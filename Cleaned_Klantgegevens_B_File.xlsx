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M TRADERS\Downloads\"/>
    </mc:Choice>
  </mc:AlternateContent>
  <bookViews>
    <workbookView xWindow="0" yWindow="0" windowWidth="23040" windowHeight="9192" activeTab="1"/>
  </bookViews>
  <sheets>
    <sheet name="Klantgegevens_A" sheetId="1" r:id="rId1"/>
    <sheet name="Klantgegevens_B" sheetId="2" r:id="rId2"/>
    <sheet name="Merged_With_Formulas" sheetId="3" r:id="rId3"/>
    <sheet name="Analysis_Pivot" sheetId="4" r:id="rId4"/>
    <sheet name="Pivot_Analysis" sheetId="5" r:id="rId5"/>
  </sheets>
  <calcPr calcId="162913"/>
</workbook>
</file>

<file path=xl/calcChain.xml><?xml version="1.0" encoding="utf-8"?>
<calcChain xmlns="http://schemas.openxmlformats.org/spreadsheetml/2006/main">
  <c r="R700" i="3" l="1"/>
  <c r="Q700" i="3"/>
  <c r="P700" i="3"/>
  <c r="O700" i="3"/>
  <c r="N700" i="3"/>
  <c r="M700" i="3"/>
  <c r="L700" i="3"/>
  <c r="K700" i="3"/>
  <c r="J700" i="3"/>
  <c r="I700" i="3"/>
  <c r="H700" i="3"/>
  <c r="G700" i="3"/>
  <c r="F700" i="3"/>
  <c r="E700" i="3"/>
  <c r="D700" i="3"/>
  <c r="B700" i="3"/>
  <c r="A700" i="3"/>
  <c r="R699" i="3"/>
  <c r="Q699" i="3"/>
  <c r="P699" i="3"/>
  <c r="O699" i="3"/>
  <c r="N699" i="3"/>
  <c r="M699" i="3"/>
  <c r="L699" i="3"/>
  <c r="K699" i="3"/>
  <c r="J699" i="3"/>
  <c r="I699" i="3"/>
  <c r="H699" i="3"/>
  <c r="G699" i="3"/>
  <c r="F699" i="3"/>
  <c r="E699" i="3"/>
  <c r="D699" i="3"/>
  <c r="B699" i="3"/>
  <c r="A699" i="3"/>
  <c r="R698" i="3"/>
  <c r="Q698" i="3"/>
  <c r="P698" i="3"/>
  <c r="O698" i="3"/>
  <c r="N698" i="3"/>
  <c r="M698" i="3"/>
  <c r="L698" i="3"/>
  <c r="K698" i="3"/>
  <c r="J698" i="3"/>
  <c r="I698" i="3"/>
  <c r="H698" i="3"/>
  <c r="G698" i="3"/>
  <c r="F698" i="3"/>
  <c r="E698" i="3"/>
  <c r="D698" i="3"/>
  <c r="B698" i="3"/>
  <c r="A698" i="3"/>
  <c r="R697" i="3"/>
  <c r="Q697" i="3"/>
  <c r="P697" i="3"/>
  <c r="O697" i="3"/>
  <c r="N697" i="3"/>
  <c r="M697" i="3"/>
  <c r="L697" i="3"/>
  <c r="K697" i="3"/>
  <c r="J697" i="3"/>
  <c r="I697" i="3"/>
  <c r="H697" i="3"/>
  <c r="G697" i="3"/>
  <c r="F697" i="3"/>
  <c r="E697" i="3"/>
  <c r="D697" i="3"/>
  <c r="B697" i="3"/>
  <c r="A697" i="3"/>
  <c r="R696" i="3"/>
  <c r="Q696" i="3"/>
  <c r="P696" i="3"/>
  <c r="O696" i="3"/>
  <c r="N696" i="3"/>
  <c r="M696" i="3"/>
  <c r="L696" i="3"/>
  <c r="K696" i="3"/>
  <c r="J696" i="3"/>
  <c r="I696" i="3"/>
  <c r="H696" i="3"/>
  <c r="G696" i="3"/>
  <c r="F696" i="3"/>
  <c r="E696" i="3"/>
  <c r="D696" i="3"/>
  <c r="B696" i="3"/>
  <c r="A696" i="3"/>
  <c r="R695" i="3"/>
  <c r="Q695" i="3"/>
  <c r="P695" i="3"/>
  <c r="O695" i="3"/>
  <c r="N695" i="3"/>
  <c r="M695" i="3"/>
  <c r="L695" i="3"/>
  <c r="K695" i="3"/>
  <c r="J695" i="3"/>
  <c r="I695" i="3"/>
  <c r="H695" i="3"/>
  <c r="G695" i="3"/>
  <c r="F695" i="3"/>
  <c r="E695" i="3"/>
  <c r="D695" i="3"/>
  <c r="B695" i="3"/>
  <c r="A695" i="3"/>
  <c r="R694" i="3"/>
  <c r="Q694" i="3"/>
  <c r="P694" i="3"/>
  <c r="O694" i="3"/>
  <c r="N694" i="3"/>
  <c r="M694" i="3"/>
  <c r="L694" i="3"/>
  <c r="K694" i="3"/>
  <c r="J694" i="3"/>
  <c r="I694" i="3"/>
  <c r="H694" i="3"/>
  <c r="G694" i="3"/>
  <c r="F694" i="3"/>
  <c r="E694" i="3"/>
  <c r="D694" i="3"/>
  <c r="B694" i="3"/>
  <c r="A694" i="3"/>
  <c r="R693" i="3"/>
  <c r="Q693" i="3"/>
  <c r="P693" i="3"/>
  <c r="O693" i="3"/>
  <c r="N693" i="3"/>
  <c r="M693" i="3"/>
  <c r="L693" i="3"/>
  <c r="K693" i="3"/>
  <c r="J693" i="3"/>
  <c r="I693" i="3"/>
  <c r="H693" i="3"/>
  <c r="G693" i="3"/>
  <c r="F693" i="3"/>
  <c r="E693" i="3"/>
  <c r="D693" i="3"/>
  <c r="B693" i="3"/>
  <c r="A693" i="3"/>
  <c r="R692" i="3"/>
  <c r="Q692" i="3"/>
  <c r="P692" i="3"/>
  <c r="O692" i="3"/>
  <c r="N692" i="3"/>
  <c r="M692" i="3"/>
  <c r="L692" i="3"/>
  <c r="K692" i="3"/>
  <c r="J692" i="3"/>
  <c r="I692" i="3"/>
  <c r="H692" i="3"/>
  <c r="G692" i="3"/>
  <c r="F692" i="3"/>
  <c r="E692" i="3"/>
  <c r="D692" i="3"/>
  <c r="B692" i="3"/>
  <c r="A692" i="3"/>
  <c r="R691" i="3"/>
  <c r="Q691" i="3"/>
  <c r="P691" i="3"/>
  <c r="O691" i="3"/>
  <c r="N691" i="3"/>
  <c r="M691" i="3"/>
  <c r="L691" i="3"/>
  <c r="K691" i="3"/>
  <c r="J691" i="3"/>
  <c r="I691" i="3"/>
  <c r="H691" i="3"/>
  <c r="G691" i="3"/>
  <c r="F691" i="3"/>
  <c r="E691" i="3"/>
  <c r="D691" i="3"/>
  <c r="B691" i="3"/>
  <c r="A691" i="3"/>
  <c r="R690" i="3"/>
  <c r="Q690" i="3"/>
  <c r="P690" i="3"/>
  <c r="O690" i="3"/>
  <c r="N690" i="3"/>
  <c r="M690" i="3"/>
  <c r="L690" i="3"/>
  <c r="K690" i="3"/>
  <c r="J690" i="3"/>
  <c r="I690" i="3"/>
  <c r="H690" i="3"/>
  <c r="G690" i="3"/>
  <c r="F690" i="3"/>
  <c r="E690" i="3"/>
  <c r="D690" i="3"/>
  <c r="B690" i="3"/>
  <c r="A690" i="3"/>
  <c r="R689" i="3"/>
  <c r="Q689" i="3"/>
  <c r="P689" i="3"/>
  <c r="O689" i="3"/>
  <c r="N689" i="3"/>
  <c r="M689" i="3"/>
  <c r="L689" i="3"/>
  <c r="K689" i="3"/>
  <c r="J689" i="3"/>
  <c r="I689" i="3"/>
  <c r="H689" i="3"/>
  <c r="G689" i="3"/>
  <c r="F689" i="3"/>
  <c r="E689" i="3"/>
  <c r="D689" i="3"/>
  <c r="B689" i="3"/>
  <c r="A689" i="3"/>
  <c r="R688" i="3"/>
  <c r="Q688" i="3"/>
  <c r="P688" i="3"/>
  <c r="O688" i="3"/>
  <c r="N688" i="3"/>
  <c r="M688" i="3"/>
  <c r="L688" i="3"/>
  <c r="K688" i="3"/>
  <c r="J688" i="3"/>
  <c r="I688" i="3"/>
  <c r="H688" i="3"/>
  <c r="G688" i="3"/>
  <c r="F688" i="3"/>
  <c r="E688" i="3"/>
  <c r="D688" i="3"/>
  <c r="B688" i="3"/>
  <c r="A688" i="3"/>
  <c r="R687" i="3"/>
  <c r="Q687" i="3"/>
  <c r="P687" i="3"/>
  <c r="O687" i="3"/>
  <c r="N687" i="3"/>
  <c r="M687" i="3"/>
  <c r="L687" i="3"/>
  <c r="K687" i="3"/>
  <c r="J687" i="3"/>
  <c r="I687" i="3"/>
  <c r="H687" i="3"/>
  <c r="G687" i="3"/>
  <c r="F687" i="3"/>
  <c r="E687" i="3"/>
  <c r="D687" i="3"/>
  <c r="B687" i="3"/>
  <c r="A687" i="3"/>
  <c r="R686" i="3"/>
  <c r="Q686" i="3"/>
  <c r="P686" i="3"/>
  <c r="O686" i="3"/>
  <c r="N686" i="3"/>
  <c r="M686" i="3"/>
  <c r="L686" i="3"/>
  <c r="K686" i="3"/>
  <c r="J686" i="3"/>
  <c r="I686" i="3"/>
  <c r="H686" i="3"/>
  <c r="G686" i="3"/>
  <c r="F686" i="3"/>
  <c r="E686" i="3"/>
  <c r="D686" i="3"/>
  <c r="B686" i="3"/>
  <c r="A686" i="3"/>
  <c r="R685" i="3"/>
  <c r="Q685" i="3"/>
  <c r="P685" i="3"/>
  <c r="O685" i="3"/>
  <c r="N685" i="3"/>
  <c r="M685" i="3"/>
  <c r="L685" i="3"/>
  <c r="K685" i="3"/>
  <c r="J685" i="3"/>
  <c r="I685" i="3"/>
  <c r="H685" i="3"/>
  <c r="G685" i="3"/>
  <c r="F685" i="3"/>
  <c r="E685" i="3"/>
  <c r="D685" i="3"/>
  <c r="B685" i="3"/>
  <c r="A685" i="3"/>
  <c r="R684" i="3"/>
  <c r="Q684" i="3"/>
  <c r="P684" i="3"/>
  <c r="O684" i="3"/>
  <c r="N684" i="3"/>
  <c r="M684" i="3"/>
  <c r="L684" i="3"/>
  <c r="K684" i="3"/>
  <c r="J684" i="3"/>
  <c r="I684" i="3"/>
  <c r="H684" i="3"/>
  <c r="G684" i="3"/>
  <c r="F684" i="3"/>
  <c r="E684" i="3"/>
  <c r="D684" i="3"/>
  <c r="B684" i="3"/>
  <c r="A684" i="3"/>
  <c r="R683" i="3"/>
  <c r="Q683" i="3"/>
  <c r="P683" i="3"/>
  <c r="O683" i="3"/>
  <c r="N683" i="3"/>
  <c r="M683" i="3"/>
  <c r="L683" i="3"/>
  <c r="K683" i="3"/>
  <c r="J683" i="3"/>
  <c r="I683" i="3"/>
  <c r="H683" i="3"/>
  <c r="G683" i="3"/>
  <c r="F683" i="3"/>
  <c r="E683" i="3"/>
  <c r="D683" i="3"/>
  <c r="B683" i="3"/>
  <c r="A683" i="3"/>
  <c r="R682" i="3"/>
  <c r="Q682" i="3"/>
  <c r="P682" i="3"/>
  <c r="O682" i="3"/>
  <c r="N682" i="3"/>
  <c r="M682" i="3"/>
  <c r="L682" i="3"/>
  <c r="K682" i="3"/>
  <c r="J682" i="3"/>
  <c r="I682" i="3"/>
  <c r="H682" i="3"/>
  <c r="G682" i="3"/>
  <c r="F682" i="3"/>
  <c r="E682" i="3"/>
  <c r="D682" i="3"/>
  <c r="B682" i="3"/>
  <c r="A682" i="3"/>
  <c r="R681" i="3"/>
  <c r="Q681" i="3"/>
  <c r="P681" i="3"/>
  <c r="O681" i="3"/>
  <c r="N681" i="3"/>
  <c r="M681" i="3"/>
  <c r="L681" i="3"/>
  <c r="K681" i="3"/>
  <c r="J681" i="3"/>
  <c r="I681" i="3"/>
  <c r="H681" i="3"/>
  <c r="G681" i="3"/>
  <c r="F681" i="3"/>
  <c r="E681" i="3"/>
  <c r="D681" i="3"/>
  <c r="B681" i="3"/>
  <c r="A681" i="3"/>
  <c r="R680" i="3"/>
  <c r="Q680" i="3"/>
  <c r="P680" i="3"/>
  <c r="O680" i="3"/>
  <c r="N680" i="3"/>
  <c r="M680" i="3"/>
  <c r="L680" i="3"/>
  <c r="K680" i="3"/>
  <c r="J680" i="3"/>
  <c r="I680" i="3"/>
  <c r="H680" i="3"/>
  <c r="G680" i="3"/>
  <c r="F680" i="3"/>
  <c r="E680" i="3"/>
  <c r="D680" i="3"/>
  <c r="B680" i="3"/>
  <c r="A680" i="3"/>
  <c r="R679" i="3"/>
  <c r="Q679" i="3"/>
  <c r="P679" i="3"/>
  <c r="O679" i="3"/>
  <c r="N679" i="3"/>
  <c r="M679" i="3"/>
  <c r="L679" i="3"/>
  <c r="K679" i="3"/>
  <c r="J679" i="3"/>
  <c r="I679" i="3"/>
  <c r="H679" i="3"/>
  <c r="G679" i="3"/>
  <c r="F679" i="3"/>
  <c r="E679" i="3"/>
  <c r="D679" i="3"/>
  <c r="B679" i="3"/>
  <c r="A679" i="3"/>
  <c r="R678" i="3"/>
  <c r="Q678" i="3"/>
  <c r="P678" i="3"/>
  <c r="O678" i="3"/>
  <c r="N678" i="3"/>
  <c r="M678" i="3"/>
  <c r="L678" i="3"/>
  <c r="K678" i="3"/>
  <c r="J678" i="3"/>
  <c r="I678" i="3"/>
  <c r="H678" i="3"/>
  <c r="G678" i="3"/>
  <c r="F678" i="3"/>
  <c r="E678" i="3"/>
  <c r="D678" i="3"/>
  <c r="B678" i="3"/>
  <c r="A678" i="3"/>
  <c r="R677" i="3"/>
  <c r="Q677" i="3"/>
  <c r="P677" i="3"/>
  <c r="O677" i="3"/>
  <c r="N677" i="3"/>
  <c r="M677" i="3"/>
  <c r="L677" i="3"/>
  <c r="K677" i="3"/>
  <c r="J677" i="3"/>
  <c r="I677" i="3"/>
  <c r="H677" i="3"/>
  <c r="G677" i="3"/>
  <c r="F677" i="3"/>
  <c r="E677" i="3"/>
  <c r="D677" i="3"/>
  <c r="B677" i="3"/>
  <c r="A677" i="3"/>
  <c r="R676" i="3"/>
  <c r="Q676" i="3"/>
  <c r="P676" i="3"/>
  <c r="O676" i="3"/>
  <c r="N676" i="3"/>
  <c r="M676" i="3"/>
  <c r="L676" i="3"/>
  <c r="K676" i="3"/>
  <c r="J676" i="3"/>
  <c r="I676" i="3"/>
  <c r="H676" i="3"/>
  <c r="G676" i="3"/>
  <c r="F676" i="3"/>
  <c r="E676" i="3"/>
  <c r="D676" i="3"/>
  <c r="B676" i="3"/>
  <c r="A676" i="3"/>
  <c r="R675" i="3"/>
  <c r="Q675" i="3"/>
  <c r="P675" i="3"/>
  <c r="O675" i="3"/>
  <c r="N675" i="3"/>
  <c r="M675" i="3"/>
  <c r="L675" i="3"/>
  <c r="K675" i="3"/>
  <c r="J675" i="3"/>
  <c r="I675" i="3"/>
  <c r="H675" i="3"/>
  <c r="G675" i="3"/>
  <c r="F675" i="3"/>
  <c r="E675" i="3"/>
  <c r="D675" i="3"/>
  <c r="B675" i="3"/>
  <c r="A675" i="3"/>
  <c r="R674" i="3"/>
  <c r="Q674" i="3"/>
  <c r="P674" i="3"/>
  <c r="O674" i="3"/>
  <c r="N674" i="3"/>
  <c r="M674" i="3"/>
  <c r="L674" i="3"/>
  <c r="K674" i="3"/>
  <c r="J674" i="3"/>
  <c r="I674" i="3"/>
  <c r="H674" i="3"/>
  <c r="G674" i="3"/>
  <c r="F674" i="3"/>
  <c r="E674" i="3"/>
  <c r="D674" i="3"/>
  <c r="B674" i="3"/>
  <c r="A674" i="3"/>
  <c r="R673" i="3"/>
  <c r="Q673" i="3"/>
  <c r="P673" i="3"/>
  <c r="O673" i="3"/>
  <c r="N673" i="3"/>
  <c r="M673" i="3"/>
  <c r="L673" i="3"/>
  <c r="K673" i="3"/>
  <c r="J673" i="3"/>
  <c r="I673" i="3"/>
  <c r="H673" i="3"/>
  <c r="G673" i="3"/>
  <c r="F673" i="3"/>
  <c r="E673" i="3"/>
  <c r="D673" i="3"/>
  <c r="B673" i="3"/>
  <c r="A673" i="3"/>
  <c r="R672" i="3"/>
  <c r="Q672" i="3"/>
  <c r="P672" i="3"/>
  <c r="O672" i="3"/>
  <c r="N672" i="3"/>
  <c r="M672" i="3"/>
  <c r="L672" i="3"/>
  <c r="K672" i="3"/>
  <c r="J672" i="3"/>
  <c r="I672" i="3"/>
  <c r="H672" i="3"/>
  <c r="G672" i="3"/>
  <c r="F672" i="3"/>
  <c r="E672" i="3"/>
  <c r="D672" i="3"/>
  <c r="B672" i="3"/>
  <c r="A672" i="3"/>
  <c r="R671" i="3"/>
  <c r="Q671" i="3"/>
  <c r="P671" i="3"/>
  <c r="O671" i="3"/>
  <c r="N671" i="3"/>
  <c r="M671" i="3"/>
  <c r="L671" i="3"/>
  <c r="K671" i="3"/>
  <c r="J671" i="3"/>
  <c r="I671" i="3"/>
  <c r="H671" i="3"/>
  <c r="G671" i="3"/>
  <c r="F671" i="3"/>
  <c r="E671" i="3"/>
  <c r="D671" i="3"/>
  <c r="B671" i="3"/>
  <c r="A671" i="3"/>
  <c r="R670" i="3"/>
  <c r="Q670" i="3"/>
  <c r="P670" i="3"/>
  <c r="O670" i="3"/>
  <c r="N670" i="3"/>
  <c r="M670" i="3"/>
  <c r="L670" i="3"/>
  <c r="K670" i="3"/>
  <c r="J670" i="3"/>
  <c r="I670" i="3"/>
  <c r="H670" i="3"/>
  <c r="G670" i="3"/>
  <c r="F670" i="3"/>
  <c r="E670" i="3"/>
  <c r="D670" i="3"/>
  <c r="B670" i="3"/>
  <c r="A670" i="3"/>
  <c r="R669" i="3"/>
  <c r="Q669" i="3"/>
  <c r="P669" i="3"/>
  <c r="O669" i="3"/>
  <c r="N669" i="3"/>
  <c r="M669" i="3"/>
  <c r="L669" i="3"/>
  <c r="K669" i="3"/>
  <c r="J669" i="3"/>
  <c r="I669" i="3"/>
  <c r="H669" i="3"/>
  <c r="G669" i="3"/>
  <c r="F669" i="3"/>
  <c r="E669" i="3"/>
  <c r="D669" i="3"/>
  <c r="B669" i="3"/>
  <c r="A669" i="3"/>
  <c r="R668" i="3"/>
  <c r="Q668" i="3"/>
  <c r="P668" i="3"/>
  <c r="O668" i="3"/>
  <c r="N668" i="3"/>
  <c r="M668" i="3"/>
  <c r="L668" i="3"/>
  <c r="K668" i="3"/>
  <c r="J668" i="3"/>
  <c r="I668" i="3"/>
  <c r="H668" i="3"/>
  <c r="G668" i="3"/>
  <c r="F668" i="3"/>
  <c r="E668" i="3"/>
  <c r="D668" i="3"/>
  <c r="B668" i="3"/>
  <c r="A668" i="3"/>
  <c r="R667" i="3"/>
  <c r="Q667" i="3"/>
  <c r="P667" i="3"/>
  <c r="O667" i="3"/>
  <c r="N667" i="3"/>
  <c r="M667" i="3"/>
  <c r="L667" i="3"/>
  <c r="K667" i="3"/>
  <c r="J667" i="3"/>
  <c r="I667" i="3"/>
  <c r="H667" i="3"/>
  <c r="G667" i="3"/>
  <c r="F667" i="3"/>
  <c r="E667" i="3"/>
  <c r="D667" i="3"/>
  <c r="B667" i="3"/>
  <c r="A667" i="3"/>
  <c r="R666" i="3"/>
  <c r="Q666" i="3"/>
  <c r="P666" i="3"/>
  <c r="O666" i="3"/>
  <c r="N666" i="3"/>
  <c r="M666" i="3"/>
  <c r="L666" i="3"/>
  <c r="K666" i="3"/>
  <c r="J666" i="3"/>
  <c r="I666" i="3"/>
  <c r="H666" i="3"/>
  <c r="G666" i="3"/>
  <c r="F666" i="3"/>
  <c r="E666" i="3"/>
  <c r="D666" i="3"/>
  <c r="B666" i="3"/>
  <c r="A666" i="3"/>
  <c r="R665" i="3"/>
  <c r="Q665" i="3"/>
  <c r="P665" i="3"/>
  <c r="O665" i="3"/>
  <c r="N665" i="3"/>
  <c r="M665" i="3"/>
  <c r="L665" i="3"/>
  <c r="K665" i="3"/>
  <c r="J665" i="3"/>
  <c r="I665" i="3"/>
  <c r="H665" i="3"/>
  <c r="G665" i="3"/>
  <c r="F665" i="3"/>
  <c r="E665" i="3"/>
  <c r="D665" i="3"/>
  <c r="B665" i="3"/>
  <c r="A665" i="3"/>
  <c r="R664" i="3"/>
  <c r="Q664" i="3"/>
  <c r="P664" i="3"/>
  <c r="O664" i="3"/>
  <c r="N664" i="3"/>
  <c r="M664" i="3"/>
  <c r="L664" i="3"/>
  <c r="K664" i="3"/>
  <c r="J664" i="3"/>
  <c r="I664" i="3"/>
  <c r="H664" i="3"/>
  <c r="G664" i="3"/>
  <c r="F664" i="3"/>
  <c r="E664" i="3"/>
  <c r="D664" i="3"/>
  <c r="B664" i="3"/>
  <c r="A664" i="3"/>
  <c r="R663" i="3"/>
  <c r="Q663" i="3"/>
  <c r="P663" i="3"/>
  <c r="O663" i="3"/>
  <c r="N663" i="3"/>
  <c r="M663" i="3"/>
  <c r="L663" i="3"/>
  <c r="K663" i="3"/>
  <c r="J663" i="3"/>
  <c r="I663" i="3"/>
  <c r="H663" i="3"/>
  <c r="G663" i="3"/>
  <c r="F663" i="3"/>
  <c r="E663" i="3"/>
  <c r="D663" i="3"/>
  <c r="B663" i="3"/>
  <c r="A663" i="3"/>
  <c r="R662" i="3"/>
  <c r="Q662" i="3"/>
  <c r="P662" i="3"/>
  <c r="O662" i="3"/>
  <c r="N662" i="3"/>
  <c r="M662" i="3"/>
  <c r="L662" i="3"/>
  <c r="K662" i="3"/>
  <c r="J662" i="3"/>
  <c r="I662" i="3"/>
  <c r="H662" i="3"/>
  <c r="G662" i="3"/>
  <c r="F662" i="3"/>
  <c r="E662" i="3"/>
  <c r="D662" i="3"/>
  <c r="B662" i="3"/>
  <c r="A662" i="3"/>
  <c r="R661" i="3"/>
  <c r="Q661" i="3"/>
  <c r="P661" i="3"/>
  <c r="O661" i="3"/>
  <c r="N661" i="3"/>
  <c r="M661" i="3"/>
  <c r="L661" i="3"/>
  <c r="K661" i="3"/>
  <c r="J661" i="3"/>
  <c r="I661" i="3"/>
  <c r="H661" i="3"/>
  <c r="G661" i="3"/>
  <c r="F661" i="3"/>
  <c r="E661" i="3"/>
  <c r="D661" i="3"/>
  <c r="B661" i="3"/>
  <c r="A661" i="3"/>
  <c r="R660" i="3"/>
  <c r="Q660" i="3"/>
  <c r="P660" i="3"/>
  <c r="O660" i="3"/>
  <c r="N660" i="3"/>
  <c r="M660" i="3"/>
  <c r="L660" i="3"/>
  <c r="K660" i="3"/>
  <c r="J660" i="3"/>
  <c r="I660" i="3"/>
  <c r="H660" i="3"/>
  <c r="G660" i="3"/>
  <c r="F660" i="3"/>
  <c r="E660" i="3"/>
  <c r="D660" i="3"/>
  <c r="B660" i="3"/>
  <c r="A660" i="3"/>
  <c r="R659" i="3"/>
  <c r="Q659" i="3"/>
  <c r="P659" i="3"/>
  <c r="O659" i="3"/>
  <c r="N659" i="3"/>
  <c r="M659" i="3"/>
  <c r="L659" i="3"/>
  <c r="K659" i="3"/>
  <c r="J659" i="3"/>
  <c r="I659" i="3"/>
  <c r="H659" i="3"/>
  <c r="G659" i="3"/>
  <c r="F659" i="3"/>
  <c r="E659" i="3"/>
  <c r="D659" i="3"/>
  <c r="B659" i="3"/>
  <c r="A659" i="3"/>
  <c r="R658" i="3"/>
  <c r="Q658" i="3"/>
  <c r="P658" i="3"/>
  <c r="O658" i="3"/>
  <c r="N658" i="3"/>
  <c r="M658" i="3"/>
  <c r="L658" i="3"/>
  <c r="K658" i="3"/>
  <c r="J658" i="3"/>
  <c r="I658" i="3"/>
  <c r="H658" i="3"/>
  <c r="G658" i="3"/>
  <c r="F658" i="3"/>
  <c r="E658" i="3"/>
  <c r="D658" i="3"/>
  <c r="B658" i="3"/>
  <c r="A658" i="3"/>
  <c r="R657" i="3"/>
  <c r="Q657" i="3"/>
  <c r="P657" i="3"/>
  <c r="O657" i="3"/>
  <c r="N657" i="3"/>
  <c r="M657" i="3"/>
  <c r="L657" i="3"/>
  <c r="K657" i="3"/>
  <c r="J657" i="3"/>
  <c r="I657" i="3"/>
  <c r="H657" i="3"/>
  <c r="G657" i="3"/>
  <c r="F657" i="3"/>
  <c r="E657" i="3"/>
  <c r="D657" i="3"/>
  <c r="B657" i="3"/>
  <c r="A657" i="3"/>
  <c r="R656" i="3"/>
  <c r="Q656" i="3"/>
  <c r="P656" i="3"/>
  <c r="O656" i="3"/>
  <c r="N656" i="3"/>
  <c r="M656" i="3"/>
  <c r="L656" i="3"/>
  <c r="K656" i="3"/>
  <c r="J656" i="3"/>
  <c r="I656" i="3"/>
  <c r="H656" i="3"/>
  <c r="G656" i="3"/>
  <c r="F656" i="3"/>
  <c r="E656" i="3"/>
  <c r="D656" i="3"/>
  <c r="B656" i="3"/>
  <c r="A656" i="3"/>
  <c r="R655" i="3"/>
  <c r="Q655" i="3"/>
  <c r="P655" i="3"/>
  <c r="O655" i="3"/>
  <c r="N655" i="3"/>
  <c r="M655" i="3"/>
  <c r="L655" i="3"/>
  <c r="K655" i="3"/>
  <c r="J655" i="3"/>
  <c r="I655" i="3"/>
  <c r="H655" i="3"/>
  <c r="G655" i="3"/>
  <c r="F655" i="3"/>
  <c r="E655" i="3"/>
  <c r="D655" i="3"/>
  <c r="B655" i="3"/>
  <c r="A655" i="3"/>
  <c r="R654" i="3"/>
  <c r="Q654" i="3"/>
  <c r="P654" i="3"/>
  <c r="O654" i="3"/>
  <c r="N654" i="3"/>
  <c r="M654" i="3"/>
  <c r="L654" i="3"/>
  <c r="K654" i="3"/>
  <c r="J654" i="3"/>
  <c r="I654" i="3"/>
  <c r="H654" i="3"/>
  <c r="G654" i="3"/>
  <c r="F654" i="3"/>
  <c r="E654" i="3"/>
  <c r="D654" i="3"/>
  <c r="B654" i="3"/>
  <c r="A654" i="3"/>
  <c r="R653" i="3"/>
  <c r="Q653" i="3"/>
  <c r="P653" i="3"/>
  <c r="O653" i="3"/>
  <c r="N653" i="3"/>
  <c r="M653" i="3"/>
  <c r="L653" i="3"/>
  <c r="K653" i="3"/>
  <c r="J653" i="3"/>
  <c r="I653" i="3"/>
  <c r="H653" i="3"/>
  <c r="G653" i="3"/>
  <c r="F653" i="3"/>
  <c r="E653" i="3"/>
  <c r="D653" i="3"/>
  <c r="B653" i="3"/>
  <c r="A653" i="3"/>
  <c r="R652" i="3"/>
  <c r="Q652" i="3"/>
  <c r="P652" i="3"/>
  <c r="O652" i="3"/>
  <c r="N652" i="3"/>
  <c r="M652" i="3"/>
  <c r="L652" i="3"/>
  <c r="K652" i="3"/>
  <c r="J652" i="3"/>
  <c r="I652" i="3"/>
  <c r="H652" i="3"/>
  <c r="G652" i="3"/>
  <c r="F652" i="3"/>
  <c r="E652" i="3"/>
  <c r="D652" i="3"/>
  <c r="B652" i="3"/>
  <c r="A652" i="3"/>
  <c r="R651" i="3"/>
  <c r="Q651" i="3"/>
  <c r="P651" i="3"/>
  <c r="O651" i="3"/>
  <c r="N651" i="3"/>
  <c r="M651" i="3"/>
  <c r="L651" i="3"/>
  <c r="K651" i="3"/>
  <c r="J651" i="3"/>
  <c r="I651" i="3"/>
  <c r="H651" i="3"/>
  <c r="G651" i="3"/>
  <c r="F651" i="3"/>
  <c r="E651" i="3"/>
  <c r="D651" i="3"/>
  <c r="B651" i="3"/>
  <c r="A651" i="3"/>
  <c r="R650" i="3"/>
  <c r="Q650" i="3"/>
  <c r="P650" i="3"/>
  <c r="O650" i="3"/>
  <c r="N650" i="3"/>
  <c r="M650" i="3"/>
  <c r="L650" i="3"/>
  <c r="K650" i="3"/>
  <c r="J650" i="3"/>
  <c r="I650" i="3"/>
  <c r="H650" i="3"/>
  <c r="G650" i="3"/>
  <c r="F650" i="3"/>
  <c r="E650" i="3"/>
  <c r="D650" i="3"/>
  <c r="B650" i="3"/>
  <c r="A650" i="3"/>
  <c r="R649" i="3"/>
  <c r="Q649" i="3"/>
  <c r="P649" i="3"/>
  <c r="O649" i="3"/>
  <c r="N649" i="3"/>
  <c r="M649" i="3"/>
  <c r="L649" i="3"/>
  <c r="K649" i="3"/>
  <c r="J649" i="3"/>
  <c r="I649" i="3"/>
  <c r="H649" i="3"/>
  <c r="G649" i="3"/>
  <c r="F649" i="3"/>
  <c r="E649" i="3"/>
  <c r="D649" i="3"/>
  <c r="B649" i="3"/>
  <c r="A649" i="3"/>
  <c r="R648" i="3"/>
  <c r="Q648" i="3"/>
  <c r="P648" i="3"/>
  <c r="O648" i="3"/>
  <c r="N648" i="3"/>
  <c r="M648" i="3"/>
  <c r="L648" i="3"/>
  <c r="K648" i="3"/>
  <c r="J648" i="3"/>
  <c r="I648" i="3"/>
  <c r="H648" i="3"/>
  <c r="G648" i="3"/>
  <c r="F648" i="3"/>
  <c r="E648" i="3"/>
  <c r="D648" i="3"/>
  <c r="B648" i="3"/>
  <c r="A648" i="3"/>
  <c r="R647" i="3"/>
  <c r="Q647" i="3"/>
  <c r="P647" i="3"/>
  <c r="O647" i="3"/>
  <c r="N647" i="3"/>
  <c r="M647" i="3"/>
  <c r="L647" i="3"/>
  <c r="K647" i="3"/>
  <c r="J647" i="3"/>
  <c r="I647" i="3"/>
  <c r="H647" i="3"/>
  <c r="G647" i="3"/>
  <c r="F647" i="3"/>
  <c r="E647" i="3"/>
  <c r="D647" i="3"/>
  <c r="B647" i="3"/>
  <c r="A647" i="3"/>
  <c r="R646" i="3"/>
  <c r="Q646" i="3"/>
  <c r="P646" i="3"/>
  <c r="O646" i="3"/>
  <c r="N646" i="3"/>
  <c r="M646" i="3"/>
  <c r="L646" i="3"/>
  <c r="K646" i="3"/>
  <c r="J646" i="3"/>
  <c r="I646" i="3"/>
  <c r="H646" i="3"/>
  <c r="G646" i="3"/>
  <c r="F646" i="3"/>
  <c r="E646" i="3"/>
  <c r="D646" i="3"/>
  <c r="B646" i="3"/>
  <c r="A646" i="3"/>
  <c r="R645" i="3"/>
  <c r="Q645" i="3"/>
  <c r="P645" i="3"/>
  <c r="O645" i="3"/>
  <c r="N645" i="3"/>
  <c r="M645" i="3"/>
  <c r="L645" i="3"/>
  <c r="K645" i="3"/>
  <c r="J645" i="3"/>
  <c r="I645" i="3"/>
  <c r="H645" i="3"/>
  <c r="G645" i="3"/>
  <c r="F645" i="3"/>
  <c r="E645" i="3"/>
  <c r="D645" i="3"/>
  <c r="B645" i="3"/>
  <c r="A645" i="3"/>
  <c r="R644" i="3"/>
  <c r="Q644" i="3"/>
  <c r="P644" i="3"/>
  <c r="O644" i="3"/>
  <c r="N644" i="3"/>
  <c r="M644" i="3"/>
  <c r="L644" i="3"/>
  <c r="K644" i="3"/>
  <c r="J644" i="3"/>
  <c r="I644" i="3"/>
  <c r="H644" i="3"/>
  <c r="G644" i="3"/>
  <c r="F644" i="3"/>
  <c r="E644" i="3"/>
  <c r="D644" i="3"/>
  <c r="B644" i="3"/>
  <c r="A644" i="3"/>
  <c r="R643" i="3"/>
  <c r="Q643" i="3"/>
  <c r="P643" i="3"/>
  <c r="O643" i="3"/>
  <c r="N643" i="3"/>
  <c r="M643" i="3"/>
  <c r="L643" i="3"/>
  <c r="K643" i="3"/>
  <c r="J643" i="3"/>
  <c r="I643" i="3"/>
  <c r="H643" i="3"/>
  <c r="G643" i="3"/>
  <c r="F643" i="3"/>
  <c r="E643" i="3"/>
  <c r="D643" i="3"/>
  <c r="B643" i="3"/>
  <c r="A643" i="3"/>
  <c r="R642" i="3"/>
  <c r="Q642" i="3"/>
  <c r="P642" i="3"/>
  <c r="O642" i="3"/>
  <c r="N642" i="3"/>
  <c r="M642" i="3"/>
  <c r="L642" i="3"/>
  <c r="K642" i="3"/>
  <c r="J642" i="3"/>
  <c r="I642" i="3"/>
  <c r="H642" i="3"/>
  <c r="G642" i="3"/>
  <c r="F642" i="3"/>
  <c r="E642" i="3"/>
  <c r="D642" i="3"/>
  <c r="B642" i="3"/>
  <c r="A642" i="3"/>
  <c r="R641" i="3"/>
  <c r="Q641" i="3"/>
  <c r="P641" i="3"/>
  <c r="O641" i="3"/>
  <c r="N641" i="3"/>
  <c r="M641" i="3"/>
  <c r="L641" i="3"/>
  <c r="K641" i="3"/>
  <c r="J641" i="3"/>
  <c r="I641" i="3"/>
  <c r="H641" i="3"/>
  <c r="G641" i="3"/>
  <c r="F641" i="3"/>
  <c r="E641" i="3"/>
  <c r="D641" i="3"/>
  <c r="B641" i="3"/>
  <c r="A641" i="3"/>
  <c r="R640" i="3"/>
  <c r="Q640" i="3"/>
  <c r="P640" i="3"/>
  <c r="O640" i="3"/>
  <c r="N640" i="3"/>
  <c r="M640" i="3"/>
  <c r="L640" i="3"/>
  <c r="K640" i="3"/>
  <c r="J640" i="3"/>
  <c r="I640" i="3"/>
  <c r="H640" i="3"/>
  <c r="G640" i="3"/>
  <c r="F640" i="3"/>
  <c r="E640" i="3"/>
  <c r="D640" i="3"/>
  <c r="B640" i="3"/>
  <c r="A640" i="3"/>
  <c r="R639" i="3"/>
  <c r="Q639" i="3"/>
  <c r="P639" i="3"/>
  <c r="O639" i="3"/>
  <c r="N639" i="3"/>
  <c r="M639" i="3"/>
  <c r="L639" i="3"/>
  <c r="K639" i="3"/>
  <c r="J639" i="3"/>
  <c r="I639" i="3"/>
  <c r="H639" i="3"/>
  <c r="G639" i="3"/>
  <c r="F639" i="3"/>
  <c r="E639" i="3"/>
  <c r="D639" i="3"/>
  <c r="B639" i="3"/>
  <c r="A639" i="3"/>
  <c r="R638" i="3"/>
  <c r="Q638" i="3"/>
  <c r="P638" i="3"/>
  <c r="O638" i="3"/>
  <c r="N638" i="3"/>
  <c r="M638" i="3"/>
  <c r="L638" i="3"/>
  <c r="K638" i="3"/>
  <c r="J638" i="3"/>
  <c r="I638" i="3"/>
  <c r="H638" i="3"/>
  <c r="G638" i="3"/>
  <c r="F638" i="3"/>
  <c r="E638" i="3"/>
  <c r="D638" i="3"/>
  <c r="B638" i="3"/>
  <c r="A638" i="3"/>
  <c r="R637" i="3"/>
  <c r="Q637" i="3"/>
  <c r="P637" i="3"/>
  <c r="O637" i="3"/>
  <c r="N637" i="3"/>
  <c r="M637" i="3"/>
  <c r="L637" i="3"/>
  <c r="K637" i="3"/>
  <c r="J637" i="3"/>
  <c r="I637" i="3"/>
  <c r="H637" i="3"/>
  <c r="G637" i="3"/>
  <c r="F637" i="3"/>
  <c r="E637" i="3"/>
  <c r="D637" i="3"/>
  <c r="B637" i="3"/>
  <c r="A637" i="3"/>
  <c r="R636" i="3"/>
  <c r="Q636" i="3"/>
  <c r="P636" i="3"/>
  <c r="O636" i="3"/>
  <c r="N636" i="3"/>
  <c r="M636" i="3"/>
  <c r="L636" i="3"/>
  <c r="K636" i="3"/>
  <c r="J636" i="3"/>
  <c r="I636" i="3"/>
  <c r="H636" i="3"/>
  <c r="G636" i="3"/>
  <c r="F636" i="3"/>
  <c r="E636" i="3"/>
  <c r="D636" i="3"/>
  <c r="B636" i="3"/>
  <c r="A636" i="3"/>
  <c r="R635" i="3"/>
  <c r="Q635" i="3"/>
  <c r="P635" i="3"/>
  <c r="O635" i="3"/>
  <c r="N635" i="3"/>
  <c r="M635" i="3"/>
  <c r="L635" i="3"/>
  <c r="K635" i="3"/>
  <c r="J635" i="3"/>
  <c r="I635" i="3"/>
  <c r="H635" i="3"/>
  <c r="G635" i="3"/>
  <c r="F635" i="3"/>
  <c r="E635" i="3"/>
  <c r="D635" i="3"/>
  <c r="B635" i="3"/>
  <c r="A635" i="3"/>
  <c r="R634" i="3"/>
  <c r="Q634" i="3"/>
  <c r="P634" i="3"/>
  <c r="O634" i="3"/>
  <c r="N634" i="3"/>
  <c r="M634" i="3"/>
  <c r="L634" i="3"/>
  <c r="K634" i="3"/>
  <c r="J634" i="3"/>
  <c r="I634" i="3"/>
  <c r="H634" i="3"/>
  <c r="G634" i="3"/>
  <c r="F634" i="3"/>
  <c r="E634" i="3"/>
  <c r="D634" i="3"/>
  <c r="B634" i="3"/>
  <c r="A634" i="3"/>
  <c r="R633" i="3"/>
  <c r="Q633" i="3"/>
  <c r="P633" i="3"/>
  <c r="O633" i="3"/>
  <c r="N633" i="3"/>
  <c r="M633" i="3"/>
  <c r="L633" i="3"/>
  <c r="K633" i="3"/>
  <c r="J633" i="3"/>
  <c r="I633" i="3"/>
  <c r="H633" i="3"/>
  <c r="G633" i="3"/>
  <c r="F633" i="3"/>
  <c r="E633" i="3"/>
  <c r="D633" i="3"/>
  <c r="B633" i="3"/>
  <c r="A633" i="3"/>
  <c r="R632" i="3"/>
  <c r="Q632" i="3"/>
  <c r="P632" i="3"/>
  <c r="O632" i="3"/>
  <c r="N632" i="3"/>
  <c r="M632" i="3"/>
  <c r="L632" i="3"/>
  <c r="K632" i="3"/>
  <c r="J632" i="3"/>
  <c r="I632" i="3"/>
  <c r="H632" i="3"/>
  <c r="G632" i="3"/>
  <c r="F632" i="3"/>
  <c r="E632" i="3"/>
  <c r="D632" i="3"/>
  <c r="B632" i="3"/>
  <c r="A632" i="3"/>
  <c r="R631" i="3"/>
  <c r="Q631" i="3"/>
  <c r="P631" i="3"/>
  <c r="O631" i="3"/>
  <c r="N631" i="3"/>
  <c r="M631" i="3"/>
  <c r="L631" i="3"/>
  <c r="K631" i="3"/>
  <c r="J631" i="3"/>
  <c r="I631" i="3"/>
  <c r="H631" i="3"/>
  <c r="G631" i="3"/>
  <c r="F631" i="3"/>
  <c r="E631" i="3"/>
  <c r="D631" i="3"/>
  <c r="B631" i="3"/>
  <c r="A631" i="3"/>
  <c r="R630" i="3"/>
  <c r="Q630" i="3"/>
  <c r="P630" i="3"/>
  <c r="O630" i="3"/>
  <c r="N630" i="3"/>
  <c r="M630" i="3"/>
  <c r="L630" i="3"/>
  <c r="K630" i="3"/>
  <c r="J630" i="3"/>
  <c r="I630" i="3"/>
  <c r="H630" i="3"/>
  <c r="G630" i="3"/>
  <c r="F630" i="3"/>
  <c r="E630" i="3"/>
  <c r="D630" i="3"/>
  <c r="B630" i="3"/>
  <c r="A630" i="3"/>
  <c r="R629" i="3"/>
  <c r="Q629" i="3"/>
  <c r="P629" i="3"/>
  <c r="O629" i="3"/>
  <c r="N629" i="3"/>
  <c r="M629" i="3"/>
  <c r="L629" i="3"/>
  <c r="K629" i="3"/>
  <c r="J629" i="3"/>
  <c r="I629" i="3"/>
  <c r="H629" i="3"/>
  <c r="G629" i="3"/>
  <c r="F629" i="3"/>
  <c r="E629" i="3"/>
  <c r="D629" i="3"/>
  <c r="B629" i="3"/>
  <c r="A629" i="3"/>
  <c r="R628" i="3"/>
  <c r="Q628" i="3"/>
  <c r="P628" i="3"/>
  <c r="O628" i="3"/>
  <c r="N628" i="3"/>
  <c r="M628" i="3"/>
  <c r="L628" i="3"/>
  <c r="K628" i="3"/>
  <c r="J628" i="3"/>
  <c r="I628" i="3"/>
  <c r="H628" i="3"/>
  <c r="G628" i="3"/>
  <c r="F628" i="3"/>
  <c r="E628" i="3"/>
  <c r="D628" i="3"/>
  <c r="B628" i="3"/>
  <c r="A628" i="3"/>
  <c r="R627" i="3"/>
  <c r="Q627" i="3"/>
  <c r="P627" i="3"/>
  <c r="O627" i="3"/>
  <c r="N627" i="3"/>
  <c r="M627" i="3"/>
  <c r="L627" i="3"/>
  <c r="K627" i="3"/>
  <c r="J627" i="3"/>
  <c r="I627" i="3"/>
  <c r="H627" i="3"/>
  <c r="G627" i="3"/>
  <c r="F627" i="3"/>
  <c r="E627" i="3"/>
  <c r="D627" i="3"/>
  <c r="B627" i="3"/>
  <c r="A627" i="3"/>
  <c r="R626" i="3"/>
  <c r="Q626" i="3"/>
  <c r="P626" i="3"/>
  <c r="O626" i="3"/>
  <c r="N626" i="3"/>
  <c r="M626" i="3"/>
  <c r="L626" i="3"/>
  <c r="K626" i="3"/>
  <c r="J626" i="3"/>
  <c r="I626" i="3"/>
  <c r="H626" i="3"/>
  <c r="G626" i="3"/>
  <c r="F626" i="3"/>
  <c r="E626" i="3"/>
  <c r="D626" i="3"/>
  <c r="B626" i="3"/>
  <c r="A626" i="3"/>
  <c r="R625" i="3"/>
  <c r="Q625" i="3"/>
  <c r="P625" i="3"/>
  <c r="O625" i="3"/>
  <c r="N625" i="3"/>
  <c r="M625" i="3"/>
  <c r="L625" i="3"/>
  <c r="K625" i="3"/>
  <c r="J625" i="3"/>
  <c r="I625" i="3"/>
  <c r="H625" i="3"/>
  <c r="G625" i="3"/>
  <c r="F625" i="3"/>
  <c r="E625" i="3"/>
  <c r="D625" i="3"/>
  <c r="B625" i="3"/>
  <c r="A625" i="3"/>
  <c r="R624" i="3"/>
  <c r="Q624" i="3"/>
  <c r="P624" i="3"/>
  <c r="O624" i="3"/>
  <c r="N624" i="3"/>
  <c r="M624" i="3"/>
  <c r="L624" i="3"/>
  <c r="K624" i="3"/>
  <c r="J624" i="3"/>
  <c r="I624" i="3"/>
  <c r="H624" i="3"/>
  <c r="G624" i="3"/>
  <c r="F624" i="3"/>
  <c r="E624" i="3"/>
  <c r="D624" i="3"/>
  <c r="B624" i="3"/>
  <c r="A624" i="3"/>
  <c r="R623" i="3"/>
  <c r="Q623" i="3"/>
  <c r="P623" i="3"/>
  <c r="O623" i="3"/>
  <c r="N623" i="3"/>
  <c r="M623" i="3"/>
  <c r="L623" i="3"/>
  <c r="K623" i="3"/>
  <c r="J623" i="3"/>
  <c r="I623" i="3"/>
  <c r="H623" i="3"/>
  <c r="G623" i="3"/>
  <c r="F623" i="3"/>
  <c r="E623" i="3"/>
  <c r="D623" i="3"/>
  <c r="B623" i="3"/>
  <c r="A623" i="3"/>
  <c r="R622" i="3"/>
  <c r="Q622" i="3"/>
  <c r="P622" i="3"/>
  <c r="O622" i="3"/>
  <c r="N622" i="3"/>
  <c r="M622" i="3"/>
  <c r="L622" i="3"/>
  <c r="K622" i="3"/>
  <c r="J622" i="3"/>
  <c r="I622" i="3"/>
  <c r="H622" i="3"/>
  <c r="G622" i="3"/>
  <c r="F622" i="3"/>
  <c r="E622" i="3"/>
  <c r="D622" i="3"/>
  <c r="B622" i="3"/>
  <c r="A622" i="3"/>
  <c r="R621" i="3"/>
  <c r="Q621" i="3"/>
  <c r="P621" i="3"/>
  <c r="O621" i="3"/>
  <c r="N621" i="3"/>
  <c r="M621" i="3"/>
  <c r="L621" i="3"/>
  <c r="K621" i="3"/>
  <c r="J621" i="3"/>
  <c r="I621" i="3"/>
  <c r="H621" i="3"/>
  <c r="G621" i="3"/>
  <c r="F621" i="3"/>
  <c r="E621" i="3"/>
  <c r="D621" i="3"/>
  <c r="B621" i="3"/>
  <c r="A621" i="3"/>
  <c r="R620" i="3"/>
  <c r="Q620" i="3"/>
  <c r="P620" i="3"/>
  <c r="O620" i="3"/>
  <c r="N620" i="3"/>
  <c r="M620" i="3"/>
  <c r="L620" i="3"/>
  <c r="K620" i="3"/>
  <c r="J620" i="3"/>
  <c r="I620" i="3"/>
  <c r="H620" i="3"/>
  <c r="G620" i="3"/>
  <c r="F620" i="3"/>
  <c r="E620" i="3"/>
  <c r="D620" i="3"/>
  <c r="B620" i="3"/>
  <c r="A620" i="3"/>
  <c r="R619" i="3"/>
  <c r="Q619" i="3"/>
  <c r="P619" i="3"/>
  <c r="O619" i="3"/>
  <c r="N619" i="3"/>
  <c r="M619" i="3"/>
  <c r="L619" i="3"/>
  <c r="K619" i="3"/>
  <c r="J619" i="3"/>
  <c r="I619" i="3"/>
  <c r="H619" i="3"/>
  <c r="G619" i="3"/>
  <c r="F619" i="3"/>
  <c r="E619" i="3"/>
  <c r="D619" i="3"/>
  <c r="B619" i="3"/>
  <c r="A619" i="3"/>
  <c r="R618" i="3"/>
  <c r="Q618" i="3"/>
  <c r="P618" i="3"/>
  <c r="O618" i="3"/>
  <c r="N618" i="3"/>
  <c r="M618" i="3"/>
  <c r="L618" i="3"/>
  <c r="K618" i="3"/>
  <c r="J618" i="3"/>
  <c r="I618" i="3"/>
  <c r="H618" i="3"/>
  <c r="G618" i="3"/>
  <c r="F618" i="3"/>
  <c r="E618" i="3"/>
  <c r="D618" i="3"/>
  <c r="B618" i="3"/>
  <c r="A618" i="3"/>
  <c r="R617" i="3"/>
  <c r="Q617" i="3"/>
  <c r="P617" i="3"/>
  <c r="O617" i="3"/>
  <c r="N617" i="3"/>
  <c r="M617" i="3"/>
  <c r="L617" i="3"/>
  <c r="K617" i="3"/>
  <c r="J617" i="3"/>
  <c r="I617" i="3"/>
  <c r="H617" i="3"/>
  <c r="G617" i="3"/>
  <c r="F617" i="3"/>
  <c r="E617" i="3"/>
  <c r="D617" i="3"/>
  <c r="B617" i="3"/>
  <c r="A617" i="3"/>
  <c r="R616" i="3"/>
  <c r="Q616" i="3"/>
  <c r="P616" i="3"/>
  <c r="O616" i="3"/>
  <c r="N616" i="3"/>
  <c r="M616" i="3"/>
  <c r="L616" i="3"/>
  <c r="K616" i="3"/>
  <c r="J616" i="3"/>
  <c r="I616" i="3"/>
  <c r="H616" i="3"/>
  <c r="G616" i="3"/>
  <c r="F616" i="3"/>
  <c r="E616" i="3"/>
  <c r="D616" i="3"/>
  <c r="B616" i="3"/>
  <c r="A616" i="3"/>
  <c r="R615" i="3"/>
  <c r="Q615" i="3"/>
  <c r="P615" i="3"/>
  <c r="O615" i="3"/>
  <c r="N615" i="3"/>
  <c r="M615" i="3"/>
  <c r="L615" i="3"/>
  <c r="K615" i="3"/>
  <c r="J615" i="3"/>
  <c r="I615" i="3"/>
  <c r="H615" i="3"/>
  <c r="G615" i="3"/>
  <c r="F615" i="3"/>
  <c r="E615" i="3"/>
  <c r="D615" i="3"/>
  <c r="B615" i="3"/>
  <c r="A615" i="3"/>
  <c r="R614" i="3"/>
  <c r="Q614" i="3"/>
  <c r="P614" i="3"/>
  <c r="O614" i="3"/>
  <c r="N614" i="3"/>
  <c r="M614" i="3"/>
  <c r="L614" i="3"/>
  <c r="K614" i="3"/>
  <c r="J614" i="3"/>
  <c r="I614" i="3"/>
  <c r="H614" i="3"/>
  <c r="G614" i="3"/>
  <c r="F614" i="3"/>
  <c r="E614" i="3"/>
  <c r="D614" i="3"/>
  <c r="B614" i="3"/>
  <c r="A614" i="3"/>
  <c r="R613" i="3"/>
  <c r="Q613" i="3"/>
  <c r="P613" i="3"/>
  <c r="O613" i="3"/>
  <c r="N613" i="3"/>
  <c r="M613" i="3"/>
  <c r="L613" i="3"/>
  <c r="K613" i="3"/>
  <c r="J613" i="3"/>
  <c r="I613" i="3"/>
  <c r="H613" i="3"/>
  <c r="G613" i="3"/>
  <c r="F613" i="3"/>
  <c r="E613" i="3"/>
  <c r="D613" i="3"/>
  <c r="B613" i="3"/>
  <c r="A613" i="3"/>
  <c r="R612" i="3"/>
  <c r="Q612" i="3"/>
  <c r="P612" i="3"/>
  <c r="O612" i="3"/>
  <c r="N612" i="3"/>
  <c r="M612" i="3"/>
  <c r="L612" i="3"/>
  <c r="K612" i="3"/>
  <c r="J612" i="3"/>
  <c r="I612" i="3"/>
  <c r="H612" i="3"/>
  <c r="G612" i="3"/>
  <c r="F612" i="3"/>
  <c r="E612" i="3"/>
  <c r="D612" i="3"/>
  <c r="B612" i="3"/>
  <c r="A612" i="3"/>
  <c r="R611" i="3"/>
  <c r="Q611" i="3"/>
  <c r="P611" i="3"/>
  <c r="O611" i="3"/>
  <c r="N611" i="3"/>
  <c r="M611" i="3"/>
  <c r="L611" i="3"/>
  <c r="K611" i="3"/>
  <c r="J611" i="3"/>
  <c r="I611" i="3"/>
  <c r="H611" i="3"/>
  <c r="G611" i="3"/>
  <c r="F611" i="3"/>
  <c r="E611" i="3"/>
  <c r="D611" i="3"/>
  <c r="B611" i="3"/>
  <c r="A611" i="3"/>
  <c r="R610" i="3"/>
  <c r="Q610" i="3"/>
  <c r="P610" i="3"/>
  <c r="O610" i="3"/>
  <c r="N610" i="3"/>
  <c r="M610" i="3"/>
  <c r="L610" i="3"/>
  <c r="K610" i="3"/>
  <c r="J610" i="3"/>
  <c r="I610" i="3"/>
  <c r="H610" i="3"/>
  <c r="G610" i="3"/>
  <c r="F610" i="3"/>
  <c r="E610" i="3"/>
  <c r="D610" i="3"/>
  <c r="B610" i="3"/>
  <c r="A610" i="3"/>
  <c r="R609" i="3"/>
  <c r="Q609" i="3"/>
  <c r="P609" i="3"/>
  <c r="O609" i="3"/>
  <c r="N609" i="3"/>
  <c r="M609" i="3"/>
  <c r="L609" i="3"/>
  <c r="K609" i="3"/>
  <c r="J609" i="3"/>
  <c r="I609" i="3"/>
  <c r="H609" i="3"/>
  <c r="G609" i="3"/>
  <c r="F609" i="3"/>
  <c r="E609" i="3"/>
  <c r="D609" i="3"/>
  <c r="B609" i="3"/>
  <c r="A609" i="3"/>
  <c r="R608" i="3"/>
  <c r="Q608" i="3"/>
  <c r="P608" i="3"/>
  <c r="O608" i="3"/>
  <c r="N608" i="3"/>
  <c r="M608" i="3"/>
  <c r="L608" i="3"/>
  <c r="K608" i="3"/>
  <c r="J608" i="3"/>
  <c r="I608" i="3"/>
  <c r="H608" i="3"/>
  <c r="G608" i="3"/>
  <c r="F608" i="3"/>
  <c r="E608" i="3"/>
  <c r="D608" i="3"/>
  <c r="B608" i="3"/>
  <c r="A608" i="3"/>
  <c r="R607" i="3"/>
  <c r="Q607" i="3"/>
  <c r="P607" i="3"/>
  <c r="O607" i="3"/>
  <c r="N607" i="3"/>
  <c r="M607" i="3"/>
  <c r="L607" i="3"/>
  <c r="K607" i="3"/>
  <c r="J607" i="3"/>
  <c r="I607" i="3"/>
  <c r="H607" i="3"/>
  <c r="G607" i="3"/>
  <c r="F607" i="3"/>
  <c r="E607" i="3"/>
  <c r="D607" i="3"/>
  <c r="B607" i="3"/>
  <c r="A607" i="3"/>
  <c r="R606" i="3"/>
  <c r="Q606" i="3"/>
  <c r="P606" i="3"/>
  <c r="O606" i="3"/>
  <c r="N606" i="3"/>
  <c r="M606" i="3"/>
  <c r="L606" i="3"/>
  <c r="K606" i="3"/>
  <c r="J606" i="3"/>
  <c r="I606" i="3"/>
  <c r="H606" i="3"/>
  <c r="G606" i="3"/>
  <c r="F606" i="3"/>
  <c r="E606" i="3"/>
  <c r="D606" i="3"/>
  <c r="B606" i="3"/>
  <c r="A606" i="3"/>
  <c r="R605" i="3"/>
  <c r="Q605" i="3"/>
  <c r="P605" i="3"/>
  <c r="O605" i="3"/>
  <c r="N605" i="3"/>
  <c r="M605" i="3"/>
  <c r="L605" i="3"/>
  <c r="K605" i="3"/>
  <c r="J605" i="3"/>
  <c r="I605" i="3"/>
  <c r="H605" i="3"/>
  <c r="G605" i="3"/>
  <c r="F605" i="3"/>
  <c r="E605" i="3"/>
  <c r="D605" i="3"/>
  <c r="B605" i="3"/>
  <c r="A605" i="3"/>
  <c r="R604" i="3"/>
  <c r="Q604" i="3"/>
  <c r="P604" i="3"/>
  <c r="O604" i="3"/>
  <c r="N604" i="3"/>
  <c r="M604" i="3"/>
  <c r="L604" i="3"/>
  <c r="K604" i="3"/>
  <c r="J604" i="3"/>
  <c r="I604" i="3"/>
  <c r="H604" i="3"/>
  <c r="G604" i="3"/>
  <c r="F604" i="3"/>
  <c r="E604" i="3"/>
  <c r="D604" i="3"/>
  <c r="B604" i="3"/>
  <c r="A604" i="3"/>
  <c r="R603" i="3"/>
  <c r="Q603" i="3"/>
  <c r="P603" i="3"/>
  <c r="O603" i="3"/>
  <c r="N603" i="3"/>
  <c r="M603" i="3"/>
  <c r="L603" i="3"/>
  <c r="K603" i="3"/>
  <c r="J603" i="3"/>
  <c r="I603" i="3"/>
  <c r="H603" i="3"/>
  <c r="G603" i="3"/>
  <c r="F603" i="3"/>
  <c r="E603" i="3"/>
  <c r="D603" i="3"/>
  <c r="B603" i="3"/>
  <c r="A603" i="3"/>
  <c r="R602" i="3"/>
  <c r="Q602" i="3"/>
  <c r="P602" i="3"/>
  <c r="O602" i="3"/>
  <c r="N602" i="3"/>
  <c r="M602" i="3"/>
  <c r="L602" i="3"/>
  <c r="K602" i="3"/>
  <c r="J602" i="3"/>
  <c r="I602" i="3"/>
  <c r="H602" i="3"/>
  <c r="G602" i="3"/>
  <c r="F602" i="3"/>
  <c r="E602" i="3"/>
  <c r="D602" i="3"/>
  <c r="B602" i="3"/>
  <c r="A602" i="3"/>
  <c r="R601" i="3"/>
  <c r="Q601" i="3"/>
  <c r="P601" i="3"/>
  <c r="O601" i="3"/>
  <c r="N601" i="3"/>
  <c r="M601" i="3"/>
  <c r="L601" i="3"/>
  <c r="K601" i="3"/>
  <c r="J601" i="3"/>
  <c r="I601" i="3"/>
  <c r="H601" i="3"/>
  <c r="G601" i="3"/>
  <c r="F601" i="3"/>
  <c r="E601" i="3"/>
  <c r="D601" i="3"/>
  <c r="B601" i="3"/>
  <c r="A601" i="3"/>
  <c r="R600" i="3"/>
  <c r="Q600" i="3"/>
  <c r="P600" i="3"/>
  <c r="O600" i="3"/>
  <c r="N600" i="3"/>
  <c r="M600" i="3"/>
  <c r="L600" i="3"/>
  <c r="K600" i="3"/>
  <c r="J600" i="3"/>
  <c r="I600" i="3"/>
  <c r="H600" i="3"/>
  <c r="G600" i="3"/>
  <c r="F600" i="3"/>
  <c r="E600" i="3"/>
  <c r="D600" i="3"/>
  <c r="B600" i="3"/>
  <c r="A600" i="3"/>
  <c r="R599" i="3"/>
  <c r="Q599" i="3"/>
  <c r="P599" i="3"/>
  <c r="O599" i="3"/>
  <c r="N599" i="3"/>
  <c r="M599" i="3"/>
  <c r="L599" i="3"/>
  <c r="K599" i="3"/>
  <c r="J599" i="3"/>
  <c r="I599" i="3"/>
  <c r="H599" i="3"/>
  <c r="G599" i="3"/>
  <c r="F599" i="3"/>
  <c r="E599" i="3"/>
  <c r="D599" i="3"/>
  <c r="B599" i="3"/>
  <c r="A599" i="3"/>
  <c r="R598" i="3"/>
  <c r="Q598" i="3"/>
  <c r="P598" i="3"/>
  <c r="O598" i="3"/>
  <c r="N598" i="3"/>
  <c r="M598" i="3"/>
  <c r="L598" i="3"/>
  <c r="K598" i="3"/>
  <c r="J598" i="3"/>
  <c r="I598" i="3"/>
  <c r="H598" i="3"/>
  <c r="G598" i="3"/>
  <c r="F598" i="3"/>
  <c r="E598" i="3"/>
  <c r="D598" i="3"/>
  <c r="B598" i="3"/>
  <c r="A598" i="3"/>
  <c r="R597" i="3"/>
  <c r="Q597" i="3"/>
  <c r="P597" i="3"/>
  <c r="O597" i="3"/>
  <c r="N597" i="3"/>
  <c r="M597" i="3"/>
  <c r="L597" i="3"/>
  <c r="K597" i="3"/>
  <c r="J597" i="3"/>
  <c r="I597" i="3"/>
  <c r="H597" i="3"/>
  <c r="G597" i="3"/>
  <c r="F597" i="3"/>
  <c r="E597" i="3"/>
  <c r="D597" i="3"/>
  <c r="B597" i="3"/>
  <c r="A597" i="3"/>
  <c r="R596" i="3"/>
  <c r="Q596" i="3"/>
  <c r="P596" i="3"/>
  <c r="O596" i="3"/>
  <c r="N596" i="3"/>
  <c r="M596" i="3"/>
  <c r="L596" i="3"/>
  <c r="K596" i="3"/>
  <c r="J596" i="3"/>
  <c r="I596" i="3"/>
  <c r="H596" i="3"/>
  <c r="G596" i="3"/>
  <c r="F596" i="3"/>
  <c r="E596" i="3"/>
  <c r="D596" i="3"/>
  <c r="B596" i="3"/>
  <c r="A596" i="3"/>
  <c r="R595" i="3"/>
  <c r="Q595" i="3"/>
  <c r="P595" i="3"/>
  <c r="O595" i="3"/>
  <c r="N595" i="3"/>
  <c r="M595" i="3"/>
  <c r="L595" i="3"/>
  <c r="K595" i="3"/>
  <c r="J595" i="3"/>
  <c r="I595" i="3"/>
  <c r="H595" i="3"/>
  <c r="G595" i="3"/>
  <c r="F595" i="3"/>
  <c r="E595" i="3"/>
  <c r="D595" i="3"/>
  <c r="B595" i="3"/>
  <c r="A595" i="3"/>
  <c r="R594" i="3"/>
  <c r="Q594" i="3"/>
  <c r="P594" i="3"/>
  <c r="O594" i="3"/>
  <c r="N594" i="3"/>
  <c r="M594" i="3"/>
  <c r="L594" i="3"/>
  <c r="K594" i="3"/>
  <c r="J594" i="3"/>
  <c r="I594" i="3"/>
  <c r="H594" i="3"/>
  <c r="G594" i="3"/>
  <c r="F594" i="3"/>
  <c r="E594" i="3"/>
  <c r="D594" i="3"/>
  <c r="B594" i="3"/>
  <c r="A594" i="3"/>
  <c r="R593" i="3"/>
  <c r="Q593" i="3"/>
  <c r="P593" i="3"/>
  <c r="O593" i="3"/>
  <c r="N593" i="3"/>
  <c r="M593" i="3"/>
  <c r="L593" i="3"/>
  <c r="K593" i="3"/>
  <c r="J593" i="3"/>
  <c r="I593" i="3"/>
  <c r="H593" i="3"/>
  <c r="G593" i="3"/>
  <c r="F593" i="3"/>
  <c r="E593" i="3"/>
  <c r="D593" i="3"/>
  <c r="B593" i="3"/>
  <c r="A593" i="3"/>
  <c r="R592" i="3"/>
  <c r="Q592" i="3"/>
  <c r="P592" i="3"/>
  <c r="O592" i="3"/>
  <c r="N592" i="3"/>
  <c r="M592" i="3"/>
  <c r="L592" i="3"/>
  <c r="K592" i="3"/>
  <c r="J592" i="3"/>
  <c r="I592" i="3"/>
  <c r="H592" i="3"/>
  <c r="G592" i="3"/>
  <c r="F592" i="3"/>
  <c r="E592" i="3"/>
  <c r="D592" i="3"/>
  <c r="B592" i="3"/>
  <c r="A592" i="3"/>
  <c r="R591" i="3"/>
  <c r="Q591" i="3"/>
  <c r="P591" i="3"/>
  <c r="O591" i="3"/>
  <c r="N591" i="3"/>
  <c r="M591" i="3"/>
  <c r="L591" i="3"/>
  <c r="K591" i="3"/>
  <c r="J591" i="3"/>
  <c r="I591" i="3"/>
  <c r="H591" i="3"/>
  <c r="G591" i="3"/>
  <c r="F591" i="3"/>
  <c r="E591" i="3"/>
  <c r="D591" i="3"/>
  <c r="B591" i="3"/>
  <c r="A591" i="3"/>
  <c r="R590" i="3"/>
  <c r="Q590" i="3"/>
  <c r="P590" i="3"/>
  <c r="O590" i="3"/>
  <c r="N590" i="3"/>
  <c r="M590" i="3"/>
  <c r="L590" i="3"/>
  <c r="K590" i="3"/>
  <c r="J590" i="3"/>
  <c r="I590" i="3"/>
  <c r="H590" i="3"/>
  <c r="G590" i="3"/>
  <c r="F590" i="3"/>
  <c r="E590" i="3"/>
  <c r="D590" i="3"/>
  <c r="B590" i="3"/>
  <c r="A590" i="3"/>
  <c r="R589" i="3"/>
  <c r="Q589" i="3"/>
  <c r="P589" i="3"/>
  <c r="O589" i="3"/>
  <c r="N589" i="3"/>
  <c r="M589" i="3"/>
  <c r="L589" i="3"/>
  <c r="K589" i="3"/>
  <c r="J589" i="3"/>
  <c r="I589" i="3"/>
  <c r="H589" i="3"/>
  <c r="G589" i="3"/>
  <c r="F589" i="3"/>
  <c r="E589" i="3"/>
  <c r="D589" i="3"/>
  <c r="B589" i="3"/>
  <c r="A589" i="3"/>
  <c r="R588" i="3"/>
  <c r="Q588" i="3"/>
  <c r="P588" i="3"/>
  <c r="O588" i="3"/>
  <c r="N588" i="3"/>
  <c r="M588" i="3"/>
  <c r="L588" i="3"/>
  <c r="K588" i="3"/>
  <c r="J588" i="3"/>
  <c r="I588" i="3"/>
  <c r="H588" i="3"/>
  <c r="G588" i="3"/>
  <c r="F588" i="3"/>
  <c r="E588" i="3"/>
  <c r="D588" i="3"/>
  <c r="B588" i="3"/>
  <c r="A588" i="3"/>
  <c r="R587" i="3"/>
  <c r="Q587" i="3"/>
  <c r="P587" i="3"/>
  <c r="O587" i="3"/>
  <c r="N587" i="3"/>
  <c r="M587" i="3"/>
  <c r="L587" i="3"/>
  <c r="K587" i="3"/>
  <c r="J587" i="3"/>
  <c r="I587" i="3"/>
  <c r="H587" i="3"/>
  <c r="G587" i="3"/>
  <c r="F587" i="3"/>
  <c r="E587" i="3"/>
  <c r="D587" i="3"/>
  <c r="B587" i="3"/>
  <c r="A587" i="3"/>
  <c r="R586" i="3"/>
  <c r="Q586" i="3"/>
  <c r="P586" i="3"/>
  <c r="O586" i="3"/>
  <c r="N586" i="3"/>
  <c r="M586" i="3"/>
  <c r="L586" i="3"/>
  <c r="K586" i="3"/>
  <c r="J586" i="3"/>
  <c r="I586" i="3"/>
  <c r="H586" i="3"/>
  <c r="G586" i="3"/>
  <c r="F586" i="3"/>
  <c r="E586" i="3"/>
  <c r="D586" i="3"/>
  <c r="B586" i="3"/>
  <c r="A586" i="3"/>
  <c r="R585" i="3"/>
  <c r="Q585" i="3"/>
  <c r="P585" i="3"/>
  <c r="O585" i="3"/>
  <c r="N585" i="3"/>
  <c r="M585" i="3"/>
  <c r="L585" i="3"/>
  <c r="K585" i="3"/>
  <c r="J585" i="3"/>
  <c r="I585" i="3"/>
  <c r="H585" i="3"/>
  <c r="G585" i="3"/>
  <c r="F585" i="3"/>
  <c r="E585" i="3"/>
  <c r="D585" i="3"/>
  <c r="B585" i="3"/>
  <c r="A585" i="3"/>
  <c r="R584" i="3"/>
  <c r="Q584" i="3"/>
  <c r="P584" i="3"/>
  <c r="O584" i="3"/>
  <c r="N584" i="3"/>
  <c r="M584" i="3"/>
  <c r="L584" i="3"/>
  <c r="K584" i="3"/>
  <c r="J584" i="3"/>
  <c r="I584" i="3"/>
  <c r="H584" i="3"/>
  <c r="G584" i="3"/>
  <c r="F584" i="3"/>
  <c r="E584" i="3"/>
  <c r="D584" i="3"/>
  <c r="B584" i="3"/>
  <c r="A584" i="3"/>
  <c r="R583" i="3"/>
  <c r="Q583" i="3"/>
  <c r="P583" i="3"/>
  <c r="O583" i="3"/>
  <c r="N583" i="3"/>
  <c r="M583" i="3"/>
  <c r="L583" i="3"/>
  <c r="K583" i="3"/>
  <c r="J583" i="3"/>
  <c r="I583" i="3"/>
  <c r="H583" i="3"/>
  <c r="G583" i="3"/>
  <c r="F583" i="3"/>
  <c r="E583" i="3"/>
  <c r="D583" i="3"/>
  <c r="B583" i="3"/>
  <c r="A583" i="3"/>
  <c r="R582" i="3"/>
  <c r="Q582" i="3"/>
  <c r="P582" i="3"/>
  <c r="O582" i="3"/>
  <c r="N582" i="3"/>
  <c r="M582" i="3"/>
  <c r="L582" i="3"/>
  <c r="K582" i="3"/>
  <c r="J582" i="3"/>
  <c r="I582" i="3"/>
  <c r="H582" i="3"/>
  <c r="G582" i="3"/>
  <c r="F582" i="3"/>
  <c r="E582" i="3"/>
  <c r="D582" i="3"/>
  <c r="B582" i="3"/>
  <c r="A582" i="3"/>
  <c r="R581" i="3"/>
  <c r="Q581" i="3"/>
  <c r="P581" i="3"/>
  <c r="O581" i="3"/>
  <c r="N581" i="3"/>
  <c r="M581" i="3"/>
  <c r="L581" i="3"/>
  <c r="K581" i="3"/>
  <c r="J581" i="3"/>
  <c r="I581" i="3"/>
  <c r="H581" i="3"/>
  <c r="G581" i="3"/>
  <c r="F581" i="3"/>
  <c r="E581" i="3"/>
  <c r="D581" i="3"/>
  <c r="B581" i="3"/>
  <c r="A581" i="3"/>
  <c r="R580" i="3"/>
  <c r="Q580" i="3"/>
  <c r="P580" i="3"/>
  <c r="O580" i="3"/>
  <c r="N580" i="3"/>
  <c r="M580" i="3"/>
  <c r="L580" i="3"/>
  <c r="K580" i="3"/>
  <c r="J580" i="3"/>
  <c r="I580" i="3"/>
  <c r="H580" i="3"/>
  <c r="G580" i="3"/>
  <c r="F580" i="3"/>
  <c r="E580" i="3"/>
  <c r="D580" i="3"/>
  <c r="B580" i="3"/>
  <c r="A580" i="3"/>
  <c r="R579" i="3"/>
  <c r="Q579" i="3"/>
  <c r="P579" i="3"/>
  <c r="O579" i="3"/>
  <c r="N579" i="3"/>
  <c r="M579" i="3"/>
  <c r="L579" i="3"/>
  <c r="K579" i="3"/>
  <c r="J579" i="3"/>
  <c r="I579" i="3"/>
  <c r="H579" i="3"/>
  <c r="G579" i="3"/>
  <c r="F579" i="3"/>
  <c r="E579" i="3"/>
  <c r="D579" i="3"/>
  <c r="B579" i="3"/>
  <c r="A579" i="3"/>
  <c r="R578" i="3"/>
  <c r="Q578" i="3"/>
  <c r="P578" i="3"/>
  <c r="O578" i="3"/>
  <c r="N578" i="3"/>
  <c r="M578" i="3"/>
  <c r="L578" i="3"/>
  <c r="K578" i="3"/>
  <c r="J578" i="3"/>
  <c r="I578" i="3"/>
  <c r="H578" i="3"/>
  <c r="G578" i="3"/>
  <c r="F578" i="3"/>
  <c r="E578" i="3"/>
  <c r="D578" i="3"/>
  <c r="B578" i="3"/>
  <c r="A578" i="3"/>
  <c r="R577" i="3"/>
  <c r="Q577" i="3"/>
  <c r="P577" i="3"/>
  <c r="O577" i="3"/>
  <c r="N577" i="3"/>
  <c r="M577" i="3"/>
  <c r="L577" i="3"/>
  <c r="K577" i="3"/>
  <c r="J577" i="3"/>
  <c r="I577" i="3"/>
  <c r="H577" i="3"/>
  <c r="G577" i="3"/>
  <c r="F577" i="3"/>
  <c r="E577" i="3"/>
  <c r="D577" i="3"/>
  <c r="B577" i="3"/>
  <c r="A577" i="3"/>
  <c r="R576" i="3"/>
  <c r="Q576" i="3"/>
  <c r="P576" i="3"/>
  <c r="O576" i="3"/>
  <c r="N576" i="3"/>
  <c r="M576" i="3"/>
  <c r="L576" i="3"/>
  <c r="K576" i="3"/>
  <c r="J576" i="3"/>
  <c r="I576" i="3"/>
  <c r="H576" i="3"/>
  <c r="G576" i="3"/>
  <c r="F576" i="3"/>
  <c r="E576" i="3"/>
  <c r="D576" i="3"/>
  <c r="B576" i="3"/>
  <c r="A576" i="3"/>
  <c r="R575" i="3"/>
  <c r="Q575" i="3"/>
  <c r="P575" i="3"/>
  <c r="O575" i="3"/>
  <c r="N575" i="3"/>
  <c r="M575" i="3"/>
  <c r="L575" i="3"/>
  <c r="K575" i="3"/>
  <c r="J575" i="3"/>
  <c r="I575" i="3"/>
  <c r="H575" i="3"/>
  <c r="G575" i="3"/>
  <c r="F575" i="3"/>
  <c r="E575" i="3"/>
  <c r="D575" i="3"/>
  <c r="B575" i="3"/>
  <c r="A575" i="3"/>
  <c r="R574" i="3"/>
  <c r="Q574" i="3"/>
  <c r="P574" i="3"/>
  <c r="O574" i="3"/>
  <c r="N574" i="3"/>
  <c r="M574" i="3"/>
  <c r="L574" i="3"/>
  <c r="K574" i="3"/>
  <c r="J574" i="3"/>
  <c r="I574" i="3"/>
  <c r="H574" i="3"/>
  <c r="G574" i="3"/>
  <c r="F574" i="3"/>
  <c r="E574" i="3"/>
  <c r="D574" i="3"/>
  <c r="B574" i="3"/>
  <c r="A574" i="3"/>
  <c r="R573" i="3"/>
  <c r="Q573" i="3"/>
  <c r="P573" i="3"/>
  <c r="O573" i="3"/>
  <c r="N573" i="3"/>
  <c r="M573" i="3"/>
  <c r="L573" i="3"/>
  <c r="K573" i="3"/>
  <c r="J573" i="3"/>
  <c r="I573" i="3"/>
  <c r="H573" i="3"/>
  <c r="G573" i="3"/>
  <c r="F573" i="3"/>
  <c r="E573" i="3"/>
  <c r="D573" i="3"/>
  <c r="B573" i="3"/>
  <c r="A573" i="3"/>
  <c r="R572" i="3"/>
  <c r="Q572" i="3"/>
  <c r="P572" i="3"/>
  <c r="O572" i="3"/>
  <c r="N572" i="3"/>
  <c r="M572" i="3"/>
  <c r="L572" i="3"/>
  <c r="K572" i="3"/>
  <c r="J572" i="3"/>
  <c r="I572" i="3"/>
  <c r="H572" i="3"/>
  <c r="G572" i="3"/>
  <c r="F572" i="3"/>
  <c r="E572" i="3"/>
  <c r="D572" i="3"/>
  <c r="B572" i="3"/>
  <c r="A572" i="3"/>
  <c r="R571" i="3"/>
  <c r="Q571" i="3"/>
  <c r="P571" i="3"/>
  <c r="O571" i="3"/>
  <c r="N571" i="3"/>
  <c r="M571" i="3"/>
  <c r="L571" i="3"/>
  <c r="K571" i="3"/>
  <c r="J571" i="3"/>
  <c r="I571" i="3"/>
  <c r="H571" i="3"/>
  <c r="G571" i="3"/>
  <c r="F571" i="3"/>
  <c r="E571" i="3"/>
  <c r="D571" i="3"/>
  <c r="B571" i="3"/>
  <c r="A571" i="3"/>
  <c r="R570" i="3"/>
  <c r="Q570" i="3"/>
  <c r="P570" i="3"/>
  <c r="O570" i="3"/>
  <c r="N570" i="3"/>
  <c r="M570" i="3"/>
  <c r="L570" i="3"/>
  <c r="K570" i="3"/>
  <c r="J570" i="3"/>
  <c r="I570" i="3"/>
  <c r="H570" i="3"/>
  <c r="G570" i="3"/>
  <c r="F570" i="3"/>
  <c r="E570" i="3"/>
  <c r="D570" i="3"/>
  <c r="B570" i="3"/>
  <c r="A570" i="3"/>
  <c r="R569" i="3"/>
  <c r="Q569" i="3"/>
  <c r="P569" i="3"/>
  <c r="O569" i="3"/>
  <c r="N569" i="3"/>
  <c r="M569" i="3"/>
  <c r="L569" i="3"/>
  <c r="K569" i="3"/>
  <c r="J569" i="3"/>
  <c r="I569" i="3"/>
  <c r="H569" i="3"/>
  <c r="G569" i="3"/>
  <c r="F569" i="3"/>
  <c r="E569" i="3"/>
  <c r="D569" i="3"/>
  <c r="B569" i="3"/>
  <c r="A569" i="3"/>
  <c r="R568" i="3"/>
  <c r="Q568" i="3"/>
  <c r="P568" i="3"/>
  <c r="O568" i="3"/>
  <c r="N568" i="3"/>
  <c r="M568" i="3"/>
  <c r="L568" i="3"/>
  <c r="K568" i="3"/>
  <c r="J568" i="3"/>
  <c r="I568" i="3"/>
  <c r="H568" i="3"/>
  <c r="G568" i="3"/>
  <c r="F568" i="3"/>
  <c r="E568" i="3"/>
  <c r="D568" i="3"/>
  <c r="B568" i="3"/>
  <c r="A568" i="3"/>
  <c r="R567" i="3"/>
  <c r="Q567" i="3"/>
  <c r="P567" i="3"/>
  <c r="O567" i="3"/>
  <c r="N567" i="3"/>
  <c r="M567" i="3"/>
  <c r="L567" i="3"/>
  <c r="K567" i="3"/>
  <c r="J567" i="3"/>
  <c r="I567" i="3"/>
  <c r="H567" i="3"/>
  <c r="G567" i="3"/>
  <c r="F567" i="3"/>
  <c r="E567" i="3"/>
  <c r="D567" i="3"/>
  <c r="B567" i="3"/>
  <c r="A567" i="3"/>
  <c r="R566" i="3"/>
  <c r="Q566" i="3"/>
  <c r="P566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B566" i="3"/>
  <c r="A566" i="3"/>
  <c r="R565" i="3"/>
  <c r="Q565" i="3"/>
  <c r="P565" i="3"/>
  <c r="O565" i="3"/>
  <c r="N565" i="3"/>
  <c r="M565" i="3"/>
  <c r="L565" i="3"/>
  <c r="K565" i="3"/>
  <c r="J565" i="3"/>
  <c r="I565" i="3"/>
  <c r="H565" i="3"/>
  <c r="G565" i="3"/>
  <c r="F565" i="3"/>
  <c r="E565" i="3"/>
  <c r="D565" i="3"/>
  <c r="B565" i="3"/>
  <c r="A565" i="3"/>
  <c r="R564" i="3"/>
  <c r="Q564" i="3"/>
  <c r="P564" i="3"/>
  <c r="O564" i="3"/>
  <c r="N564" i="3"/>
  <c r="M564" i="3"/>
  <c r="L564" i="3"/>
  <c r="K564" i="3"/>
  <c r="J564" i="3"/>
  <c r="I564" i="3"/>
  <c r="H564" i="3"/>
  <c r="G564" i="3"/>
  <c r="F564" i="3"/>
  <c r="E564" i="3"/>
  <c r="D564" i="3"/>
  <c r="B564" i="3"/>
  <c r="A564" i="3"/>
  <c r="R563" i="3"/>
  <c r="Q563" i="3"/>
  <c r="P563" i="3"/>
  <c r="O563" i="3"/>
  <c r="N563" i="3"/>
  <c r="M563" i="3"/>
  <c r="L563" i="3"/>
  <c r="K563" i="3"/>
  <c r="J563" i="3"/>
  <c r="I563" i="3"/>
  <c r="H563" i="3"/>
  <c r="G563" i="3"/>
  <c r="F563" i="3"/>
  <c r="E563" i="3"/>
  <c r="D563" i="3"/>
  <c r="B563" i="3"/>
  <c r="A563" i="3"/>
  <c r="R562" i="3"/>
  <c r="Q562" i="3"/>
  <c r="P562" i="3"/>
  <c r="O562" i="3"/>
  <c r="N562" i="3"/>
  <c r="M562" i="3"/>
  <c r="L562" i="3"/>
  <c r="K562" i="3"/>
  <c r="J562" i="3"/>
  <c r="I562" i="3"/>
  <c r="H562" i="3"/>
  <c r="G562" i="3"/>
  <c r="F562" i="3"/>
  <c r="E562" i="3"/>
  <c r="D562" i="3"/>
  <c r="B562" i="3"/>
  <c r="A562" i="3"/>
  <c r="R561" i="3"/>
  <c r="Q561" i="3"/>
  <c r="P561" i="3"/>
  <c r="O561" i="3"/>
  <c r="N561" i="3"/>
  <c r="M561" i="3"/>
  <c r="L561" i="3"/>
  <c r="K561" i="3"/>
  <c r="J561" i="3"/>
  <c r="I561" i="3"/>
  <c r="H561" i="3"/>
  <c r="G561" i="3"/>
  <c r="F561" i="3"/>
  <c r="E561" i="3"/>
  <c r="D561" i="3"/>
  <c r="B561" i="3"/>
  <c r="A561" i="3"/>
  <c r="R560" i="3"/>
  <c r="Q560" i="3"/>
  <c r="P560" i="3"/>
  <c r="O560" i="3"/>
  <c r="N560" i="3"/>
  <c r="M560" i="3"/>
  <c r="L560" i="3"/>
  <c r="K560" i="3"/>
  <c r="J560" i="3"/>
  <c r="I560" i="3"/>
  <c r="H560" i="3"/>
  <c r="G560" i="3"/>
  <c r="F560" i="3"/>
  <c r="E560" i="3"/>
  <c r="D560" i="3"/>
  <c r="B560" i="3"/>
  <c r="A560" i="3"/>
  <c r="R559" i="3"/>
  <c r="Q559" i="3"/>
  <c r="P559" i="3"/>
  <c r="O559" i="3"/>
  <c r="N559" i="3"/>
  <c r="M559" i="3"/>
  <c r="L559" i="3"/>
  <c r="K559" i="3"/>
  <c r="J559" i="3"/>
  <c r="I559" i="3"/>
  <c r="H559" i="3"/>
  <c r="G559" i="3"/>
  <c r="F559" i="3"/>
  <c r="E559" i="3"/>
  <c r="D559" i="3"/>
  <c r="B559" i="3"/>
  <c r="A559" i="3"/>
  <c r="R558" i="3"/>
  <c r="Q558" i="3"/>
  <c r="P558" i="3"/>
  <c r="O558" i="3"/>
  <c r="N558" i="3"/>
  <c r="M558" i="3"/>
  <c r="L558" i="3"/>
  <c r="K558" i="3"/>
  <c r="J558" i="3"/>
  <c r="I558" i="3"/>
  <c r="H558" i="3"/>
  <c r="G558" i="3"/>
  <c r="F558" i="3"/>
  <c r="E558" i="3"/>
  <c r="D558" i="3"/>
  <c r="B558" i="3"/>
  <c r="A558" i="3"/>
  <c r="R557" i="3"/>
  <c r="Q557" i="3"/>
  <c r="P557" i="3"/>
  <c r="O557" i="3"/>
  <c r="N557" i="3"/>
  <c r="M557" i="3"/>
  <c r="L557" i="3"/>
  <c r="K557" i="3"/>
  <c r="J557" i="3"/>
  <c r="I557" i="3"/>
  <c r="H557" i="3"/>
  <c r="G557" i="3"/>
  <c r="F557" i="3"/>
  <c r="E557" i="3"/>
  <c r="D557" i="3"/>
  <c r="B557" i="3"/>
  <c r="A557" i="3"/>
  <c r="R556" i="3"/>
  <c r="Q556" i="3"/>
  <c r="P556" i="3"/>
  <c r="O556" i="3"/>
  <c r="N556" i="3"/>
  <c r="M556" i="3"/>
  <c r="L556" i="3"/>
  <c r="K556" i="3"/>
  <c r="J556" i="3"/>
  <c r="I556" i="3"/>
  <c r="H556" i="3"/>
  <c r="G556" i="3"/>
  <c r="F556" i="3"/>
  <c r="E556" i="3"/>
  <c r="D556" i="3"/>
  <c r="B556" i="3"/>
  <c r="A556" i="3"/>
  <c r="R555" i="3"/>
  <c r="Q555" i="3"/>
  <c r="P555" i="3"/>
  <c r="O555" i="3"/>
  <c r="N555" i="3"/>
  <c r="M555" i="3"/>
  <c r="L555" i="3"/>
  <c r="K555" i="3"/>
  <c r="J555" i="3"/>
  <c r="I555" i="3"/>
  <c r="H555" i="3"/>
  <c r="G555" i="3"/>
  <c r="F555" i="3"/>
  <c r="E555" i="3"/>
  <c r="D555" i="3"/>
  <c r="B555" i="3"/>
  <c r="A555" i="3"/>
  <c r="R554" i="3"/>
  <c r="Q554" i="3"/>
  <c r="P554" i="3"/>
  <c r="O554" i="3"/>
  <c r="N554" i="3"/>
  <c r="M554" i="3"/>
  <c r="L554" i="3"/>
  <c r="K554" i="3"/>
  <c r="J554" i="3"/>
  <c r="I554" i="3"/>
  <c r="H554" i="3"/>
  <c r="G554" i="3"/>
  <c r="F554" i="3"/>
  <c r="E554" i="3"/>
  <c r="D554" i="3"/>
  <c r="B554" i="3"/>
  <c r="A554" i="3"/>
  <c r="R553" i="3"/>
  <c r="Q553" i="3"/>
  <c r="P553" i="3"/>
  <c r="O553" i="3"/>
  <c r="N553" i="3"/>
  <c r="M553" i="3"/>
  <c r="L553" i="3"/>
  <c r="K553" i="3"/>
  <c r="J553" i="3"/>
  <c r="I553" i="3"/>
  <c r="H553" i="3"/>
  <c r="G553" i="3"/>
  <c r="F553" i="3"/>
  <c r="E553" i="3"/>
  <c r="D553" i="3"/>
  <c r="B553" i="3"/>
  <c r="A553" i="3"/>
  <c r="R552" i="3"/>
  <c r="Q552" i="3"/>
  <c r="P552" i="3"/>
  <c r="O552" i="3"/>
  <c r="N552" i="3"/>
  <c r="M552" i="3"/>
  <c r="L552" i="3"/>
  <c r="K552" i="3"/>
  <c r="J552" i="3"/>
  <c r="I552" i="3"/>
  <c r="H552" i="3"/>
  <c r="G552" i="3"/>
  <c r="F552" i="3"/>
  <c r="E552" i="3"/>
  <c r="D552" i="3"/>
  <c r="B552" i="3"/>
  <c r="A552" i="3"/>
  <c r="R551" i="3"/>
  <c r="Q551" i="3"/>
  <c r="P551" i="3"/>
  <c r="O551" i="3"/>
  <c r="N551" i="3"/>
  <c r="M551" i="3"/>
  <c r="L551" i="3"/>
  <c r="K551" i="3"/>
  <c r="J551" i="3"/>
  <c r="I551" i="3"/>
  <c r="H551" i="3"/>
  <c r="G551" i="3"/>
  <c r="F551" i="3"/>
  <c r="E551" i="3"/>
  <c r="D551" i="3"/>
  <c r="B551" i="3"/>
  <c r="A551" i="3"/>
  <c r="R550" i="3"/>
  <c r="Q550" i="3"/>
  <c r="P550" i="3"/>
  <c r="O550" i="3"/>
  <c r="N550" i="3"/>
  <c r="M550" i="3"/>
  <c r="L550" i="3"/>
  <c r="K550" i="3"/>
  <c r="J550" i="3"/>
  <c r="I550" i="3"/>
  <c r="H550" i="3"/>
  <c r="G550" i="3"/>
  <c r="F550" i="3"/>
  <c r="E550" i="3"/>
  <c r="D550" i="3"/>
  <c r="B550" i="3"/>
  <c r="A550" i="3"/>
  <c r="R549" i="3"/>
  <c r="Q549" i="3"/>
  <c r="P549" i="3"/>
  <c r="O549" i="3"/>
  <c r="N549" i="3"/>
  <c r="M549" i="3"/>
  <c r="L549" i="3"/>
  <c r="K549" i="3"/>
  <c r="J549" i="3"/>
  <c r="I549" i="3"/>
  <c r="H549" i="3"/>
  <c r="G549" i="3"/>
  <c r="F549" i="3"/>
  <c r="E549" i="3"/>
  <c r="D549" i="3"/>
  <c r="B549" i="3"/>
  <c r="A549" i="3"/>
  <c r="R548" i="3"/>
  <c r="Q548" i="3"/>
  <c r="P548" i="3"/>
  <c r="O548" i="3"/>
  <c r="N548" i="3"/>
  <c r="M548" i="3"/>
  <c r="L548" i="3"/>
  <c r="K548" i="3"/>
  <c r="J548" i="3"/>
  <c r="I548" i="3"/>
  <c r="H548" i="3"/>
  <c r="G548" i="3"/>
  <c r="F548" i="3"/>
  <c r="E548" i="3"/>
  <c r="D548" i="3"/>
  <c r="B548" i="3"/>
  <c r="A548" i="3"/>
  <c r="R547" i="3"/>
  <c r="Q547" i="3"/>
  <c r="P547" i="3"/>
  <c r="O547" i="3"/>
  <c r="N547" i="3"/>
  <c r="M547" i="3"/>
  <c r="L547" i="3"/>
  <c r="K547" i="3"/>
  <c r="J547" i="3"/>
  <c r="I547" i="3"/>
  <c r="H547" i="3"/>
  <c r="G547" i="3"/>
  <c r="F547" i="3"/>
  <c r="E547" i="3"/>
  <c r="D547" i="3"/>
  <c r="B547" i="3"/>
  <c r="A547" i="3"/>
  <c r="R546" i="3"/>
  <c r="Q546" i="3"/>
  <c r="P546" i="3"/>
  <c r="O546" i="3"/>
  <c r="N546" i="3"/>
  <c r="M546" i="3"/>
  <c r="L546" i="3"/>
  <c r="K546" i="3"/>
  <c r="J546" i="3"/>
  <c r="I546" i="3"/>
  <c r="H546" i="3"/>
  <c r="G546" i="3"/>
  <c r="F546" i="3"/>
  <c r="E546" i="3"/>
  <c r="D546" i="3"/>
  <c r="B546" i="3"/>
  <c r="A546" i="3"/>
  <c r="R545" i="3"/>
  <c r="Q545" i="3"/>
  <c r="P545" i="3"/>
  <c r="O545" i="3"/>
  <c r="N545" i="3"/>
  <c r="M545" i="3"/>
  <c r="L545" i="3"/>
  <c r="K545" i="3"/>
  <c r="J545" i="3"/>
  <c r="I545" i="3"/>
  <c r="H545" i="3"/>
  <c r="G545" i="3"/>
  <c r="F545" i="3"/>
  <c r="E545" i="3"/>
  <c r="D545" i="3"/>
  <c r="B545" i="3"/>
  <c r="A545" i="3"/>
  <c r="R544" i="3"/>
  <c r="Q544" i="3"/>
  <c r="P544" i="3"/>
  <c r="O544" i="3"/>
  <c r="N544" i="3"/>
  <c r="M544" i="3"/>
  <c r="L544" i="3"/>
  <c r="K544" i="3"/>
  <c r="J544" i="3"/>
  <c r="I544" i="3"/>
  <c r="H544" i="3"/>
  <c r="G544" i="3"/>
  <c r="F544" i="3"/>
  <c r="E544" i="3"/>
  <c r="D544" i="3"/>
  <c r="B544" i="3"/>
  <c r="A544" i="3"/>
  <c r="R543" i="3"/>
  <c r="Q543" i="3"/>
  <c r="P543" i="3"/>
  <c r="O543" i="3"/>
  <c r="N543" i="3"/>
  <c r="M543" i="3"/>
  <c r="L543" i="3"/>
  <c r="K543" i="3"/>
  <c r="J543" i="3"/>
  <c r="I543" i="3"/>
  <c r="H543" i="3"/>
  <c r="G543" i="3"/>
  <c r="F543" i="3"/>
  <c r="E543" i="3"/>
  <c r="D543" i="3"/>
  <c r="B543" i="3"/>
  <c r="A543" i="3"/>
  <c r="R542" i="3"/>
  <c r="Q542" i="3"/>
  <c r="P542" i="3"/>
  <c r="O542" i="3"/>
  <c r="N542" i="3"/>
  <c r="M542" i="3"/>
  <c r="L542" i="3"/>
  <c r="K542" i="3"/>
  <c r="J542" i="3"/>
  <c r="I542" i="3"/>
  <c r="H542" i="3"/>
  <c r="G542" i="3"/>
  <c r="F542" i="3"/>
  <c r="E542" i="3"/>
  <c r="D542" i="3"/>
  <c r="B542" i="3"/>
  <c r="A542" i="3"/>
  <c r="R541" i="3"/>
  <c r="Q541" i="3"/>
  <c r="P541" i="3"/>
  <c r="O541" i="3"/>
  <c r="N541" i="3"/>
  <c r="M541" i="3"/>
  <c r="L541" i="3"/>
  <c r="K541" i="3"/>
  <c r="J541" i="3"/>
  <c r="I541" i="3"/>
  <c r="H541" i="3"/>
  <c r="G541" i="3"/>
  <c r="F541" i="3"/>
  <c r="E541" i="3"/>
  <c r="D541" i="3"/>
  <c r="B541" i="3"/>
  <c r="A541" i="3"/>
  <c r="R540" i="3"/>
  <c r="Q540" i="3"/>
  <c r="P540" i="3"/>
  <c r="O540" i="3"/>
  <c r="N540" i="3"/>
  <c r="M540" i="3"/>
  <c r="L540" i="3"/>
  <c r="K540" i="3"/>
  <c r="J540" i="3"/>
  <c r="I540" i="3"/>
  <c r="H540" i="3"/>
  <c r="G540" i="3"/>
  <c r="F540" i="3"/>
  <c r="E540" i="3"/>
  <c r="D540" i="3"/>
  <c r="B540" i="3"/>
  <c r="A540" i="3"/>
  <c r="R539" i="3"/>
  <c r="Q539" i="3"/>
  <c r="P539" i="3"/>
  <c r="O539" i="3"/>
  <c r="N539" i="3"/>
  <c r="M539" i="3"/>
  <c r="L539" i="3"/>
  <c r="K539" i="3"/>
  <c r="J539" i="3"/>
  <c r="I539" i="3"/>
  <c r="H539" i="3"/>
  <c r="G539" i="3"/>
  <c r="F539" i="3"/>
  <c r="E539" i="3"/>
  <c r="D539" i="3"/>
  <c r="B539" i="3"/>
  <c r="A539" i="3"/>
  <c r="R538" i="3"/>
  <c r="Q538" i="3"/>
  <c r="P538" i="3"/>
  <c r="O538" i="3"/>
  <c r="N538" i="3"/>
  <c r="M538" i="3"/>
  <c r="L538" i="3"/>
  <c r="K538" i="3"/>
  <c r="J538" i="3"/>
  <c r="I538" i="3"/>
  <c r="H538" i="3"/>
  <c r="G538" i="3"/>
  <c r="F538" i="3"/>
  <c r="E538" i="3"/>
  <c r="D538" i="3"/>
  <c r="B538" i="3"/>
  <c r="A538" i="3"/>
  <c r="R537" i="3"/>
  <c r="Q537" i="3"/>
  <c r="P537" i="3"/>
  <c r="O537" i="3"/>
  <c r="N537" i="3"/>
  <c r="M537" i="3"/>
  <c r="L537" i="3"/>
  <c r="K537" i="3"/>
  <c r="J537" i="3"/>
  <c r="I537" i="3"/>
  <c r="H537" i="3"/>
  <c r="G537" i="3"/>
  <c r="F537" i="3"/>
  <c r="E537" i="3"/>
  <c r="D537" i="3"/>
  <c r="B537" i="3"/>
  <c r="A537" i="3"/>
  <c r="R536" i="3"/>
  <c r="Q536" i="3"/>
  <c r="P536" i="3"/>
  <c r="O536" i="3"/>
  <c r="N536" i="3"/>
  <c r="M536" i="3"/>
  <c r="L536" i="3"/>
  <c r="K536" i="3"/>
  <c r="J536" i="3"/>
  <c r="I536" i="3"/>
  <c r="H536" i="3"/>
  <c r="G536" i="3"/>
  <c r="F536" i="3"/>
  <c r="E536" i="3"/>
  <c r="D536" i="3"/>
  <c r="B536" i="3"/>
  <c r="A536" i="3"/>
  <c r="R535" i="3"/>
  <c r="Q535" i="3"/>
  <c r="P535" i="3"/>
  <c r="O535" i="3"/>
  <c r="N535" i="3"/>
  <c r="M535" i="3"/>
  <c r="L535" i="3"/>
  <c r="K535" i="3"/>
  <c r="J535" i="3"/>
  <c r="I535" i="3"/>
  <c r="H535" i="3"/>
  <c r="G535" i="3"/>
  <c r="F535" i="3"/>
  <c r="E535" i="3"/>
  <c r="D535" i="3"/>
  <c r="B535" i="3"/>
  <c r="A535" i="3"/>
  <c r="R534" i="3"/>
  <c r="Q534" i="3"/>
  <c r="P534" i="3"/>
  <c r="O534" i="3"/>
  <c r="N534" i="3"/>
  <c r="M534" i="3"/>
  <c r="L534" i="3"/>
  <c r="K534" i="3"/>
  <c r="J534" i="3"/>
  <c r="I534" i="3"/>
  <c r="H534" i="3"/>
  <c r="G534" i="3"/>
  <c r="F534" i="3"/>
  <c r="E534" i="3"/>
  <c r="D534" i="3"/>
  <c r="B534" i="3"/>
  <c r="A534" i="3"/>
  <c r="R533" i="3"/>
  <c r="Q533" i="3"/>
  <c r="P533" i="3"/>
  <c r="O533" i="3"/>
  <c r="N533" i="3"/>
  <c r="M533" i="3"/>
  <c r="L533" i="3"/>
  <c r="K533" i="3"/>
  <c r="J533" i="3"/>
  <c r="I533" i="3"/>
  <c r="H533" i="3"/>
  <c r="G533" i="3"/>
  <c r="F533" i="3"/>
  <c r="E533" i="3"/>
  <c r="D533" i="3"/>
  <c r="B533" i="3"/>
  <c r="A533" i="3"/>
  <c r="R532" i="3"/>
  <c r="Q532" i="3"/>
  <c r="P532" i="3"/>
  <c r="O532" i="3"/>
  <c r="N532" i="3"/>
  <c r="M532" i="3"/>
  <c r="L532" i="3"/>
  <c r="K532" i="3"/>
  <c r="J532" i="3"/>
  <c r="I532" i="3"/>
  <c r="H532" i="3"/>
  <c r="G532" i="3"/>
  <c r="F532" i="3"/>
  <c r="E532" i="3"/>
  <c r="D532" i="3"/>
  <c r="B532" i="3"/>
  <c r="A532" i="3"/>
  <c r="R531" i="3"/>
  <c r="Q531" i="3"/>
  <c r="P531" i="3"/>
  <c r="O531" i="3"/>
  <c r="N531" i="3"/>
  <c r="M531" i="3"/>
  <c r="L531" i="3"/>
  <c r="K531" i="3"/>
  <c r="J531" i="3"/>
  <c r="I531" i="3"/>
  <c r="H531" i="3"/>
  <c r="G531" i="3"/>
  <c r="F531" i="3"/>
  <c r="E531" i="3"/>
  <c r="D531" i="3"/>
  <c r="B531" i="3"/>
  <c r="A531" i="3"/>
  <c r="R530" i="3"/>
  <c r="Q530" i="3"/>
  <c r="P530" i="3"/>
  <c r="O530" i="3"/>
  <c r="N530" i="3"/>
  <c r="M530" i="3"/>
  <c r="L530" i="3"/>
  <c r="K530" i="3"/>
  <c r="J530" i="3"/>
  <c r="I530" i="3"/>
  <c r="H530" i="3"/>
  <c r="G530" i="3"/>
  <c r="F530" i="3"/>
  <c r="E530" i="3"/>
  <c r="D530" i="3"/>
  <c r="B530" i="3"/>
  <c r="A530" i="3"/>
  <c r="R529" i="3"/>
  <c r="Q529" i="3"/>
  <c r="P529" i="3"/>
  <c r="O529" i="3"/>
  <c r="N529" i="3"/>
  <c r="M529" i="3"/>
  <c r="L529" i="3"/>
  <c r="K529" i="3"/>
  <c r="J529" i="3"/>
  <c r="I529" i="3"/>
  <c r="H529" i="3"/>
  <c r="G529" i="3"/>
  <c r="F529" i="3"/>
  <c r="E529" i="3"/>
  <c r="D529" i="3"/>
  <c r="B529" i="3"/>
  <c r="A529" i="3"/>
  <c r="R528" i="3"/>
  <c r="Q528" i="3"/>
  <c r="P528" i="3"/>
  <c r="O528" i="3"/>
  <c r="N528" i="3"/>
  <c r="M528" i="3"/>
  <c r="L528" i="3"/>
  <c r="K528" i="3"/>
  <c r="J528" i="3"/>
  <c r="I528" i="3"/>
  <c r="H528" i="3"/>
  <c r="G528" i="3"/>
  <c r="F528" i="3"/>
  <c r="E528" i="3"/>
  <c r="D528" i="3"/>
  <c r="B528" i="3"/>
  <c r="A528" i="3"/>
  <c r="R527" i="3"/>
  <c r="Q527" i="3"/>
  <c r="P527" i="3"/>
  <c r="O527" i="3"/>
  <c r="N527" i="3"/>
  <c r="M527" i="3"/>
  <c r="L527" i="3"/>
  <c r="K527" i="3"/>
  <c r="J527" i="3"/>
  <c r="I527" i="3"/>
  <c r="H527" i="3"/>
  <c r="G527" i="3"/>
  <c r="F527" i="3"/>
  <c r="E527" i="3"/>
  <c r="D527" i="3"/>
  <c r="B527" i="3"/>
  <c r="A527" i="3"/>
  <c r="R526" i="3"/>
  <c r="Q526" i="3"/>
  <c r="P526" i="3"/>
  <c r="O526" i="3"/>
  <c r="N526" i="3"/>
  <c r="M526" i="3"/>
  <c r="L526" i="3"/>
  <c r="K526" i="3"/>
  <c r="J526" i="3"/>
  <c r="I526" i="3"/>
  <c r="H526" i="3"/>
  <c r="G526" i="3"/>
  <c r="F526" i="3"/>
  <c r="E526" i="3"/>
  <c r="D526" i="3"/>
  <c r="B526" i="3"/>
  <c r="A526" i="3"/>
  <c r="R525" i="3"/>
  <c r="Q525" i="3"/>
  <c r="P525" i="3"/>
  <c r="O525" i="3"/>
  <c r="N525" i="3"/>
  <c r="M525" i="3"/>
  <c r="L525" i="3"/>
  <c r="K525" i="3"/>
  <c r="J525" i="3"/>
  <c r="I525" i="3"/>
  <c r="H525" i="3"/>
  <c r="G525" i="3"/>
  <c r="F525" i="3"/>
  <c r="E525" i="3"/>
  <c r="D525" i="3"/>
  <c r="B525" i="3"/>
  <c r="A525" i="3"/>
  <c r="R524" i="3"/>
  <c r="Q524" i="3"/>
  <c r="P524" i="3"/>
  <c r="O524" i="3"/>
  <c r="N524" i="3"/>
  <c r="M524" i="3"/>
  <c r="L524" i="3"/>
  <c r="K524" i="3"/>
  <c r="J524" i="3"/>
  <c r="I524" i="3"/>
  <c r="H524" i="3"/>
  <c r="G524" i="3"/>
  <c r="F524" i="3"/>
  <c r="E524" i="3"/>
  <c r="D524" i="3"/>
  <c r="B524" i="3"/>
  <c r="A524" i="3"/>
  <c r="R523" i="3"/>
  <c r="Q523" i="3"/>
  <c r="P523" i="3"/>
  <c r="O523" i="3"/>
  <c r="N523" i="3"/>
  <c r="M523" i="3"/>
  <c r="L523" i="3"/>
  <c r="K523" i="3"/>
  <c r="J523" i="3"/>
  <c r="I523" i="3"/>
  <c r="H523" i="3"/>
  <c r="G523" i="3"/>
  <c r="F523" i="3"/>
  <c r="E523" i="3"/>
  <c r="D523" i="3"/>
  <c r="B523" i="3"/>
  <c r="A523" i="3"/>
  <c r="R522" i="3"/>
  <c r="Q522" i="3"/>
  <c r="P522" i="3"/>
  <c r="O522" i="3"/>
  <c r="N522" i="3"/>
  <c r="M522" i="3"/>
  <c r="L522" i="3"/>
  <c r="K522" i="3"/>
  <c r="J522" i="3"/>
  <c r="I522" i="3"/>
  <c r="H522" i="3"/>
  <c r="G522" i="3"/>
  <c r="F522" i="3"/>
  <c r="E522" i="3"/>
  <c r="D522" i="3"/>
  <c r="B522" i="3"/>
  <c r="A522" i="3"/>
  <c r="R521" i="3"/>
  <c r="Q521" i="3"/>
  <c r="P521" i="3"/>
  <c r="O521" i="3"/>
  <c r="N521" i="3"/>
  <c r="M521" i="3"/>
  <c r="L521" i="3"/>
  <c r="K521" i="3"/>
  <c r="J521" i="3"/>
  <c r="I521" i="3"/>
  <c r="H521" i="3"/>
  <c r="G521" i="3"/>
  <c r="F521" i="3"/>
  <c r="E521" i="3"/>
  <c r="D521" i="3"/>
  <c r="B521" i="3"/>
  <c r="A521" i="3"/>
  <c r="R520" i="3"/>
  <c r="Q520" i="3"/>
  <c r="P520" i="3"/>
  <c r="O520" i="3"/>
  <c r="N520" i="3"/>
  <c r="M520" i="3"/>
  <c r="L520" i="3"/>
  <c r="K520" i="3"/>
  <c r="J520" i="3"/>
  <c r="I520" i="3"/>
  <c r="H520" i="3"/>
  <c r="G520" i="3"/>
  <c r="F520" i="3"/>
  <c r="E520" i="3"/>
  <c r="D520" i="3"/>
  <c r="B520" i="3"/>
  <c r="A520" i="3"/>
  <c r="R519" i="3"/>
  <c r="Q519" i="3"/>
  <c r="P519" i="3"/>
  <c r="O519" i="3"/>
  <c r="N519" i="3"/>
  <c r="M519" i="3"/>
  <c r="L519" i="3"/>
  <c r="K519" i="3"/>
  <c r="J519" i="3"/>
  <c r="I519" i="3"/>
  <c r="H519" i="3"/>
  <c r="G519" i="3"/>
  <c r="F519" i="3"/>
  <c r="E519" i="3"/>
  <c r="D519" i="3"/>
  <c r="B519" i="3"/>
  <c r="A519" i="3"/>
  <c r="R518" i="3"/>
  <c r="Q518" i="3"/>
  <c r="P518" i="3"/>
  <c r="O518" i="3"/>
  <c r="N518" i="3"/>
  <c r="M518" i="3"/>
  <c r="L518" i="3"/>
  <c r="K518" i="3"/>
  <c r="J518" i="3"/>
  <c r="I518" i="3"/>
  <c r="H518" i="3"/>
  <c r="G518" i="3"/>
  <c r="F518" i="3"/>
  <c r="E518" i="3"/>
  <c r="D518" i="3"/>
  <c r="B518" i="3"/>
  <c r="A518" i="3"/>
  <c r="R517" i="3"/>
  <c r="Q517" i="3"/>
  <c r="P517" i="3"/>
  <c r="O517" i="3"/>
  <c r="N517" i="3"/>
  <c r="M517" i="3"/>
  <c r="L517" i="3"/>
  <c r="K517" i="3"/>
  <c r="J517" i="3"/>
  <c r="I517" i="3"/>
  <c r="H517" i="3"/>
  <c r="G517" i="3"/>
  <c r="F517" i="3"/>
  <c r="E517" i="3"/>
  <c r="D517" i="3"/>
  <c r="B517" i="3"/>
  <c r="A517" i="3"/>
  <c r="R516" i="3"/>
  <c r="Q516" i="3"/>
  <c r="P516" i="3"/>
  <c r="O516" i="3"/>
  <c r="N516" i="3"/>
  <c r="M516" i="3"/>
  <c r="L516" i="3"/>
  <c r="K516" i="3"/>
  <c r="J516" i="3"/>
  <c r="I516" i="3"/>
  <c r="H516" i="3"/>
  <c r="G516" i="3"/>
  <c r="F516" i="3"/>
  <c r="E516" i="3"/>
  <c r="D516" i="3"/>
  <c r="B516" i="3"/>
  <c r="A516" i="3"/>
  <c r="R515" i="3"/>
  <c r="Q515" i="3"/>
  <c r="P515" i="3"/>
  <c r="O515" i="3"/>
  <c r="N515" i="3"/>
  <c r="M515" i="3"/>
  <c r="L515" i="3"/>
  <c r="K515" i="3"/>
  <c r="J515" i="3"/>
  <c r="I515" i="3"/>
  <c r="H515" i="3"/>
  <c r="G515" i="3"/>
  <c r="F515" i="3"/>
  <c r="E515" i="3"/>
  <c r="D515" i="3"/>
  <c r="B515" i="3"/>
  <c r="A515" i="3"/>
  <c r="R514" i="3"/>
  <c r="Q514" i="3"/>
  <c r="P514" i="3"/>
  <c r="O514" i="3"/>
  <c r="N514" i="3"/>
  <c r="M514" i="3"/>
  <c r="L514" i="3"/>
  <c r="K514" i="3"/>
  <c r="J514" i="3"/>
  <c r="I514" i="3"/>
  <c r="H514" i="3"/>
  <c r="G514" i="3"/>
  <c r="F514" i="3"/>
  <c r="E514" i="3"/>
  <c r="D514" i="3"/>
  <c r="B514" i="3"/>
  <c r="A514" i="3"/>
  <c r="R513" i="3"/>
  <c r="Q513" i="3"/>
  <c r="P513" i="3"/>
  <c r="O513" i="3"/>
  <c r="N513" i="3"/>
  <c r="M513" i="3"/>
  <c r="L513" i="3"/>
  <c r="K513" i="3"/>
  <c r="J513" i="3"/>
  <c r="I513" i="3"/>
  <c r="H513" i="3"/>
  <c r="G513" i="3"/>
  <c r="F513" i="3"/>
  <c r="E513" i="3"/>
  <c r="D513" i="3"/>
  <c r="B513" i="3"/>
  <c r="A513" i="3"/>
  <c r="R512" i="3"/>
  <c r="Q512" i="3"/>
  <c r="P512" i="3"/>
  <c r="O512" i="3"/>
  <c r="N512" i="3"/>
  <c r="M512" i="3"/>
  <c r="L512" i="3"/>
  <c r="K512" i="3"/>
  <c r="J512" i="3"/>
  <c r="I512" i="3"/>
  <c r="H512" i="3"/>
  <c r="G512" i="3"/>
  <c r="F512" i="3"/>
  <c r="E512" i="3"/>
  <c r="D512" i="3"/>
  <c r="B512" i="3"/>
  <c r="A512" i="3"/>
  <c r="R511" i="3"/>
  <c r="Q511" i="3"/>
  <c r="P511" i="3"/>
  <c r="O511" i="3"/>
  <c r="N511" i="3"/>
  <c r="M511" i="3"/>
  <c r="L511" i="3"/>
  <c r="K511" i="3"/>
  <c r="J511" i="3"/>
  <c r="I511" i="3"/>
  <c r="H511" i="3"/>
  <c r="G511" i="3"/>
  <c r="F511" i="3"/>
  <c r="E511" i="3"/>
  <c r="D511" i="3"/>
  <c r="B511" i="3"/>
  <c r="A511" i="3"/>
  <c r="R510" i="3"/>
  <c r="Q510" i="3"/>
  <c r="P510" i="3"/>
  <c r="O510" i="3"/>
  <c r="N510" i="3"/>
  <c r="M510" i="3"/>
  <c r="L510" i="3"/>
  <c r="K510" i="3"/>
  <c r="J510" i="3"/>
  <c r="I510" i="3"/>
  <c r="H510" i="3"/>
  <c r="G510" i="3"/>
  <c r="F510" i="3"/>
  <c r="E510" i="3"/>
  <c r="D510" i="3"/>
  <c r="B510" i="3"/>
  <c r="A510" i="3"/>
  <c r="R509" i="3"/>
  <c r="Q509" i="3"/>
  <c r="P509" i="3"/>
  <c r="O509" i="3"/>
  <c r="N509" i="3"/>
  <c r="M509" i="3"/>
  <c r="L509" i="3"/>
  <c r="K509" i="3"/>
  <c r="J509" i="3"/>
  <c r="I509" i="3"/>
  <c r="H509" i="3"/>
  <c r="G509" i="3"/>
  <c r="F509" i="3"/>
  <c r="E509" i="3"/>
  <c r="D509" i="3"/>
  <c r="B509" i="3"/>
  <c r="A509" i="3"/>
  <c r="R508" i="3"/>
  <c r="Q508" i="3"/>
  <c r="P508" i="3"/>
  <c r="O508" i="3"/>
  <c r="N508" i="3"/>
  <c r="M508" i="3"/>
  <c r="L508" i="3"/>
  <c r="K508" i="3"/>
  <c r="J508" i="3"/>
  <c r="I508" i="3"/>
  <c r="H508" i="3"/>
  <c r="G508" i="3"/>
  <c r="F508" i="3"/>
  <c r="E508" i="3"/>
  <c r="D508" i="3"/>
  <c r="B508" i="3"/>
  <c r="A508" i="3"/>
  <c r="R507" i="3"/>
  <c r="Q507" i="3"/>
  <c r="P507" i="3"/>
  <c r="O507" i="3"/>
  <c r="N507" i="3"/>
  <c r="M507" i="3"/>
  <c r="L507" i="3"/>
  <c r="K507" i="3"/>
  <c r="J507" i="3"/>
  <c r="I507" i="3"/>
  <c r="H507" i="3"/>
  <c r="G507" i="3"/>
  <c r="F507" i="3"/>
  <c r="E507" i="3"/>
  <c r="D507" i="3"/>
  <c r="B507" i="3"/>
  <c r="A507" i="3"/>
  <c r="R506" i="3"/>
  <c r="Q506" i="3"/>
  <c r="P506" i="3"/>
  <c r="O506" i="3"/>
  <c r="N506" i="3"/>
  <c r="M506" i="3"/>
  <c r="L506" i="3"/>
  <c r="K506" i="3"/>
  <c r="J506" i="3"/>
  <c r="I506" i="3"/>
  <c r="H506" i="3"/>
  <c r="G506" i="3"/>
  <c r="F506" i="3"/>
  <c r="E506" i="3"/>
  <c r="D506" i="3"/>
  <c r="B506" i="3"/>
  <c r="A506" i="3"/>
  <c r="R505" i="3"/>
  <c r="Q505" i="3"/>
  <c r="P505" i="3"/>
  <c r="O505" i="3"/>
  <c r="N505" i="3"/>
  <c r="M505" i="3"/>
  <c r="L505" i="3"/>
  <c r="K505" i="3"/>
  <c r="J505" i="3"/>
  <c r="I505" i="3"/>
  <c r="H505" i="3"/>
  <c r="G505" i="3"/>
  <c r="F505" i="3"/>
  <c r="E505" i="3"/>
  <c r="D505" i="3"/>
  <c r="B505" i="3"/>
  <c r="A505" i="3"/>
  <c r="R504" i="3"/>
  <c r="Q504" i="3"/>
  <c r="P504" i="3"/>
  <c r="O504" i="3"/>
  <c r="N504" i="3"/>
  <c r="M504" i="3"/>
  <c r="L504" i="3"/>
  <c r="K504" i="3"/>
  <c r="J504" i="3"/>
  <c r="I504" i="3"/>
  <c r="H504" i="3"/>
  <c r="G504" i="3"/>
  <c r="F504" i="3"/>
  <c r="E504" i="3"/>
  <c r="D504" i="3"/>
  <c r="B504" i="3"/>
  <c r="A504" i="3"/>
  <c r="R503" i="3"/>
  <c r="Q503" i="3"/>
  <c r="P503" i="3"/>
  <c r="O503" i="3"/>
  <c r="N503" i="3"/>
  <c r="M503" i="3"/>
  <c r="L503" i="3"/>
  <c r="K503" i="3"/>
  <c r="J503" i="3"/>
  <c r="I503" i="3"/>
  <c r="H503" i="3"/>
  <c r="G503" i="3"/>
  <c r="F503" i="3"/>
  <c r="E503" i="3"/>
  <c r="D503" i="3"/>
  <c r="B503" i="3"/>
  <c r="A503" i="3"/>
  <c r="R502" i="3"/>
  <c r="Q502" i="3"/>
  <c r="P502" i="3"/>
  <c r="O502" i="3"/>
  <c r="N502" i="3"/>
  <c r="M502" i="3"/>
  <c r="L502" i="3"/>
  <c r="K502" i="3"/>
  <c r="J502" i="3"/>
  <c r="I502" i="3"/>
  <c r="H502" i="3"/>
  <c r="G502" i="3"/>
  <c r="F502" i="3"/>
  <c r="E502" i="3"/>
  <c r="D502" i="3"/>
  <c r="B502" i="3"/>
  <c r="A502" i="3"/>
  <c r="R501" i="3"/>
  <c r="Q501" i="3"/>
  <c r="P501" i="3"/>
  <c r="O501" i="3"/>
  <c r="N501" i="3"/>
  <c r="M501" i="3"/>
  <c r="L501" i="3"/>
  <c r="K501" i="3"/>
  <c r="J501" i="3"/>
  <c r="I501" i="3"/>
  <c r="H501" i="3"/>
  <c r="G501" i="3"/>
  <c r="F501" i="3"/>
  <c r="E501" i="3"/>
  <c r="D501" i="3"/>
  <c r="B501" i="3"/>
  <c r="A501" i="3"/>
  <c r="R500" i="3"/>
  <c r="Q500" i="3"/>
  <c r="P500" i="3"/>
  <c r="O500" i="3"/>
  <c r="N500" i="3"/>
  <c r="M500" i="3"/>
  <c r="L500" i="3"/>
  <c r="K500" i="3"/>
  <c r="J500" i="3"/>
  <c r="I500" i="3"/>
  <c r="H500" i="3"/>
  <c r="G500" i="3"/>
  <c r="F500" i="3"/>
  <c r="E500" i="3"/>
  <c r="D500" i="3"/>
  <c r="B500" i="3"/>
  <c r="A500" i="3"/>
  <c r="R499" i="3"/>
  <c r="Q499" i="3"/>
  <c r="P499" i="3"/>
  <c r="O499" i="3"/>
  <c r="N499" i="3"/>
  <c r="M499" i="3"/>
  <c r="L499" i="3"/>
  <c r="K499" i="3"/>
  <c r="J499" i="3"/>
  <c r="I499" i="3"/>
  <c r="H499" i="3"/>
  <c r="G499" i="3"/>
  <c r="F499" i="3"/>
  <c r="E499" i="3"/>
  <c r="D499" i="3"/>
  <c r="B499" i="3"/>
  <c r="A499" i="3"/>
  <c r="R498" i="3"/>
  <c r="Q498" i="3"/>
  <c r="P498" i="3"/>
  <c r="O498" i="3"/>
  <c r="N498" i="3"/>
  <c r="M498" i="3"/>
  <c r="L498" i="3"/>
  <c r="K498" i="3"/>
  <c r="J498" i="3"/>
  <c r="I498" i="3"/>
  <c r="H498" i="3"/>
  <c r="G498" i="3"/>
  <c r="F498" i="3"/>
  <c r="E498" i="3"/>
  <c r="D498" i="3"/>
  <c r="B498" i="3"/>
  <c r="A498" i="3"/>
  <c r="R497" i="3"/>
  <c r="Q497" i="3"/>
  <c r="P497" i="3"/>
  <c r="O497" i="3"/>
  <c r="N497" i="3"/>
  <c r="M497" i="3"/>
  <c r="L497" i="3"/>
  <c r="K497" i="3"/>
  <c r="J497" i="3"/>
  <c r="I497" i="3"/>
  <c r="H497" i="3"/>
  <c r="G497" i="3"/>
  <c r="F497" i="3"/>
  <c r="E497" i="3"/>
  <c r="D497" i="3"/>
  <c r="B497" i="3"/>
  <c r="A497" i="3"/>
  <c r="R496" i="3"/>
  <c r="Q496" i="3"/>
  <c r="P496" i="3"/>
  <c r="O496" i="3"/>
  <c r="N496" i="3"/>
  <c r="M496" i="3"/>
  <c r="L496" i="3"/>
  <c r="K496" i="3"/>
  <c r="J496" i="3"/>
  <c r="I496" i="3"/>
  <c r="H496" i="3"/>
  <c r="G496" i="3"/>
  <c r="F496" i="3"/>
  <c r="E496" i="3"/>
  <c r="D496" i="3"/>
  <c r="B496" i="3"/>
  <c r="A496" i="3"/>
  <c r="R495" i="3"/>
  <c r="Q495" i="3"/>
  <c r="P495" i="3"/>
  <c r="O495" i="3"/>
  <c r="N495" i="3"/>
  <c r="M495" i="3"/>
  <c r="L495" i="3"/>
  <c r="K495" i="3"/>
  <c r="J495" i="3"/>
  <c r="I495" i="3"/>
  <c r="H495" i="3"/>
  <c r="G495" i="3"/>
  <c r="F495" i="3"/>
  <c r="E495" i="3"/>
  <c r="D495" i="3"/>
  <c r="B495" i="3"/>
  <c r="A495" i="3"/>
  <c r="R494" i="3"/>
  <c r="Q494" i="3"/>
  <c r="P494" i="3"/>
  <c r="O494" i="3"/>
  <c r="N494" i="3"/>
  <c r="M494" i="3"/>
  <c r="L494" i="3"/>
  <c r="K494" i="3"/>
  <c r="J494" i="3"/>
  <c r="I494" i="3"/>
  <c r="H494" i="3"/>
  <c r="G494" i="3"/>
  <c r="F494" i="3"/>
  <c r="E494" i="3"/>
  <c r="D494" i="3"/>
  <c r="B494" i="3"/>
  <c r="A494" i="3"/>
  <c r="R493" i="3"/>
  <c r="Q493" i="3"/>
  <c r="P493" i="3"/>
  <c r="O493" i="3"/>
  <c r="N493" i="3"/>
  <c r="M493" i="3"/>
  <c r="L493" i="3"/>
  <c r="K493" i="3"/>
  <c r="J493" i="3"/>
  <c r="I493" i="3"/>
  <c r="H493" i="3"/>
  <c r="G493" i="3"/>
  <c r="F493" i="3"/>
  <c r="E493" i="3"/>
  <c r="D493" i="3"/>
  <c r="B493" i="3"/>
  <c r="A493" i="3"/>
  <c r="R492" i="3"/>
  <c r="Q492" i="3"/>
  <c r="P492" i="3"/>
  <c r="O492" i="3"/>
  <c r="N492" i="3"/>
  <c r="M492" i="3"/>
  <c r="L492" i="3"/>
  <c r="K492" i="3"/>
  <c r="J492" i="3"/>
  <c r="I492" i="3"/>
  <c r="H492" i="3"/>
  <c r="G492" i="3"/>
  <c r="F492" i="3"/>
  <c r="E492" i="3"/>
  <c r="D492" i="3"/>
  <c r="B492" i="3"/>
  <c r="A492" i="3"/>
  <c r="R491" i="3"/>
  <c r="Q491" i="3"/>
  <c r="P491" i="3"/>
  <c r="O491" i="3"/>
  <c r="N491" i="3"/>
  <c r="M491" i="3"/>
  <c r="L491" i="3"/>
  <c r="K491" i="3"/>
  <c r="J491" i="3"/>
  <c r="I491" i="3"/>
  <c r="H491" i="3"/>
  <c r="G491" i="3"/>
  <c r="F491" i="3"/>
  <c r="E491" i="3"/>
  <c r="D491" i="3"/>
  <c r="B491" i="3"/>
  <c r="A491" i="3"/>
  <c r="R490" i="3"/>
  <c r="Q490" i="3"/>
  <c r="P490" i="3"/>
  <c r="O490" i="3"/>
  <c r="N490" i="3"/>
  <c r="M490" i="3"/>
  <c r="L490" i="3"/>
  <c r="K490" i="3"/>
  <c r="J490" i="3"/>
  <c r="I490" i="3"/>
  <c r="H490" i="3"/>
  <c r="G490" i="3"/>
  <c r="F490" i="3"/>
  <c r="E490" i="3"/>
  <c r="D490" i="3"/>
  <c r="B490" i="3"/>
  <c r="A490" i="3"/>
  <c r="R489" i="3"/>
  <c r="Q489" i="3"/>
  <c r="P489" i="3"/>
  <c r="O489" i="3"/>
  <c r="N489" i="3"/>
  <c r="M489" i="3"/>
  <c r="L489" i="3"/>
  <c r="K489" i="3"/>
  <c r="J489" i="3"/>
  <c r="I489" i="3"/>
  <c r="H489" i="3"/>
  <c r="G489" i="3"/>
  <c r="F489" i="3"/>
  <c r="E489" i="3"/>
  <c r="D489" i="3"/>
  <c r="B489" i="3"/>
  <c r="A489" i="3"/>
  <c r="R488" i="3"/>
  <c r="Q488" i="3"/>
  <c r="P488" i="3"/>
  <c r="O488" i="3"/>
  <c r="N488" i="3"/>
  <c r="M488" i="3"/>
  <c r="L488" i="3"/>
  <c r="K488" i="3"/>
  <c r="J488" i="3"/>
  <c r="I488" i="3"/>
  <c r="H488" i="3"/>
  <c r="G488" i="3"/>
  <c r="F488" i="3"/>
  <c r="E488" i="3"/>
  <c r="D488" i="3"/>
  <c r="B488" i="3"/>
  <c r="A488" i="3"/>
  <c r="R487" i="3"/>
  <c r="Q487" i="3"/>
  <c r="P487" i="3"/>
  <c r="O487" i="3"/>
  <c r="N487" i="3"/>
  <c r="M487" i="3"/>
  <c r="L487" i="3"/>
  <c r="K487" i="3"/>
  <c r="J487" i="3"/>
  <c r="I487" i="3"/>
  <c r="H487" i="3"/>
  <c r="G487" i="3"/>
  <c r="F487" i="3"/>
  <c r="E487" i="3"/>
  <c r="D487" i="3"/>
  <c r="B487" i="3"/>
  <c r="A487" i="3"/>
  <c r="R486" i="3"/>
  <c r="Q486" i="3"/>
  <c r="P486" i="3"/>
  <c r="O486" i="3"/>
  <c r="N486" i="3"/>
  <c r="M486" i="3"/>
  <c r="L486" i="3"/>
  <c r="K486" i="3"/>
  <c r="J486" i="3"/>
  <c r="I486" i="3"/>
  <c r="H486" i="3"/>
  <c r="G486" i="3"/>
  <c r="F486" i="3"/>
  <c r="E486" i="3"/>
  <c r="D486" i="3"/>
  <c r="B486" i="3"/>
  <c r="A486" i="3"/>
  <c r="R485" i="3"/>
  <c r="Q485" i="3"/>
  <c r="P485" i="3"/>
  <c r="O485" i="3"/>
  <c r="N485" i="3"/>
  <c r="M485" i="3"/>
  <c r="L485" i="3"/>
  <c r="K485" i="3"/>
  <c r="J485" i="3"/>
  <c r="I485" i="3"/>
  <c r="H485" i="3"/>
  <c r="G485" i="3"/>
  <c r="F485" i="3"/>
  <c r="E485" i="3"/>
  <c r="D485" i="3"/>
  <c r="B485" i="3"/>
  <c r="A485" i="3"/>
  <c r="R484" i="3"/>
  <c r="Q484" i="3"/>
  <c r="P484" i="3"/>
  <c r="O484" i="3"/>
  <c r="N484" i="3"/>
  <c r="M484" i="3"/>
  <c r="L484" i="3"/>
  <c r="K484" i="3"/>
  <c r="J484" i="3"/>
  <c r="I484" i="3"/>
  <c r="H484" i="3"/>
  <c r="G484" i="3"/>
  <c r="F484" i="3"/>
  <c r="E484" i="3"/>
  <c r="D484" i="3"/>
  <c r="B484" i="3"/>
  <c r="A484" i="3"/>
  <c r="R483" i="3"/>
  <c r="Q483" i="3"/>
  <c r="P483" i="3"/>
  <c r="O483" i="3"/>
  <c r="N483" i="3"/>
  <c r="M483" i="3"/>
  <c r="L483" i="3"/>
  <c r="K483" i="3"/>
  <c r="J483" i="3"/>
  <c r="I483" i="3"/>
  <c r="H483" i="3"/>
  <c r="G483" i="3"/>
  <c r="F483" i="3"/>
  <c r="E483" i="3"/>
  <c r="D483" i="3"/>
  <c r="B483" i="3"/>
  <c r="A483" i="3"/>
  <c r="R482" i="3"/>
  <c r="Q482" i="3"/>
  <c r="P482" i="3"/>
  <c r="O482" i="3"/>
  <c r="N482" i="3"/>
  <c r="M482" i="3"/>
  <c r="L482" i="3"/>
  <c r="K482" i="3"/>
  <c r="J482" i="3"/>
  <c r="I482" i="3"/>
  <c r="H482" i="3"/>
  <c r="G482" i="3"/>
  <c r="F482" i="3"/>
  <c r="E482" i="3"/>
  <c r="D482" i="3"/>
  <c r="B482" i="3"/>
  <c r="A482" i="3"/>
  <c r="R481" i="3"/>
  <c r="Q481" i="3"/>
  <c r="P481" i="3"/>
  <c r="O481" i="3"/>
  <c r="N481" i="3"/>
  <c r="M481" i="3"/>
  <c r="L481" i="3"/>
  <c r="K481" i="3"/>
  <c r="J481" i="3"/>
  <c r="I481" i="3"/>
  <c r="H481" i="3"/>
  <c r="G481" i="3"/>
  <c r="F481" i="3"/>
  <c r="E481" i="3"/>
  <c r="D481" i="3"/>
  <c r="B481" i="3"/>
  <c r="A481" i="3"/>
  <c r="R480" i="3"/>
  <c r="Q480" i="3"/>
  <c r="P480" i="3"/>
  <c r="O480" i="3"/>
  <c r="N480" i="3"/>
  <c r="M480" i="3"/>
  <c r="L480" i="3"/>
  <c r="K480" i="3"/>
  <c r="J480" i="3"/>
  <c r="I480" i="3"/>
  <c r="H480" i="3"/>
  <c r="G480" i="3"/>
  <c r="F480" i="3"/>
  <c r="E480" i="3"/>
  <c r="D480" i="3"/>
  <c r="B480" i="3"/>
  <c r="A480" i="3"/>
  <c r="R479" i="3"/>
  <c r="Q479" i="3"/>
  <c r="P479" i="3"/>
  <c r="O479" i="3"/>
  <c r="N479" i="3"/>
  <c r="M479" i="3"/>
  <c r="L479" i="3"/>
  <c r="K479" i="3"/>
  <c r="J479" i="3"/>
  <c r="I479" i="3"/>
  <c r="H479" i="3"/>
  <c r="G479" i="3"/>
  <c r="F479" i="3"/>
  <c r="E479" i="3"/>
  <c r="D479" i="3"/>
  <c r="B479" i="3"/>
  <c r="A479" i="3"/>
  <c r="R478" i="3"/>
  <c r="Q478" i="3"/>
  <c r="P478" i="3"/>
  <c r="O478" i="3"/>
  <c r="N478" i="3"/>
  <c r="M478" i="3"/>
  <c r="L478" i="3"/>
  <c r="K478" i="3"/>
  <c r="J478" i="3"/>
  <c r="I478" i="3"/>
  <c r="H478" i="3"/>
  <c r="G478" i="3"/>
  <c r="F478" i="3"/>
  <c r="E478" i="3"/>
  <c r="D478" i="3"/>
  <c r="B478" i="3"/>
  <c r="A478" i="3"/>
  <c r="R477" i="3"/>
  <c r="Q477" i="3"/>
  <c r="P477" i="3"/>
  <c r="O477" i="3"/>
  <c r="N477" i="3"/>
  <c r="M477" i="3"/>
  <c r="L477" i="3"/>
  <c r="K477" i="3"/>
  <c r="J477" i="3"/>
  <c r="I477" i="3"/>
  <c r="H477" i="3"/>
  <c r="G477" i="3"/>
  <c r="F477" i="3"/>
  <c r="E477" i="3"/>
  <c r="D477" i="3"/>
  <c r="B477" i="3"/>
  <c r="A477" i="3"/>
  <c r="R476" i="3"/>
  <c r="Q476" i="3"/>
  <c r="P476" i="3"/>
  <c r="O476" i="3"/>
  <c r="N476" i="3"/>
  <c r="M476" i="3"/>
  <c r="L476" i="3"/>
  <c r="K476" i="3"/>
  <c r="J476" i="3"/>
  <c r="I476" i="3"/>
  <c r="H476" i="3"/>
  <c r="G476" i="3"/>
  <c r="F476" i="3"/>
  <c r="E476" i="3"/>
  <c r="D476" i="3"/>
  <c r="B476" i="3"/>
  <c r="A476" i="3"/>
  <c r="R475" i="3"/>
  <c r="Q475" i="3"/>
  <c r="P475" i="3"/>
  <c r="O475" i="3"/>
  <c r="N475" i="3"/>
  <c r="M475" i="3"/>
  <c r="L475" i="3"/>
  <c r="K475" i="3"/>
  <c r="J475" i="3"/>
  <c r="I475" i="3"/>
  <c r="H475" i="3"/>
  <c r="G475" i="3"/>
  <c r="F475" i="3"/>
  <c r="E475" i="3"/>
  <c r="D475" i="3"/>
  <c r="B475" i="3"/>
  <c r="A475" i="3"/>
  <c r="R474" i="3"/>
  <c r="Q474" i="3"/>
  <c r="P474" i="3"/>
  <c r="O474" i="3"/>
  <c r="N474" i="3"/>
  <c r="M474" i="3"/>
  <c r="L474" i="3"/>
  <c r="K474" i="3"/>
  <c r="J474" i="3"/>
  <c r="I474" i="3"/>
  <c r="H474" i="3"/>
  <c r="G474" i="3"/>
  <c r="F474" i="3"/>
  <c r="E474" i="3"/>
  <c r="D474" i="3"/>
  <c r="B474" i="3"/>
  <c r="A474" i="3"/>
  <c r="R473" i="3"/>
  <c r="Q473" i="3"/>
  <c r="P473" i="3"/>
  <c r="O473" i="3"/>
  <c r="N473" i="3"/>
  <c r="M473" i="3"/>
  <c r="L473" i="3"/>
  <c r="K473" i="3"/>
  <c r="J473" i="3"/>
  <c r="I473" i="3"/>
  <c r="H473" i="3"/>
  <c r="G473" i="3"/>
  <c r="F473" i="3"/>
  <c r="E473" i="3"/>
  <c r="D473" i="3"/>
  <c r="B473" i="3"/>
  <c r="A473" i="3"/>
  <c r="R472" i="3"/>
  <c r="Q472" i="3"/>
  <c r="P472" i="3"/>
  <c r="O472" i="3"/>
  <c r="N472" i="3"/>
  <c r="M472" i="3"/>
  <c r="L472" i="3"/>
  <c r="K472" i="3"/>
  <c r="J472" i="3"/>
  <c r="I472" i="3"/>
  <c r="H472" i="3"/>
  <c r="G472" i="3"/>
  <c r="F472" i="3"/>
  <c r="E472" i="3"/>
  <c r="D472" i="3"/>
  <c r="B472" i="3"/>
  <c r="A472" i="3"/>
  <c r="R471" i="3"/>
  <c r="Q471" i="3"/>
  <c r="P471" i="3"/>
  <c r="O471" i="3"/>
  <c r="N471" i="3"/>
  <c r="M471" i="3"/>
  <c r="L471" i="3"/>
  <c r="K471" i="3"/>
  <c r="J471" i="3"/>
  <c r="I471" i="3"/>
  <c r="H471" i="3"/>
  <c r="G471" i="3"/>
  <c r="F471" i="3"/>
  <c r="E471" i="3"/>
  <c r="D471" i="3"/>
  <c r="B471" i="3"/>
  <c r="A471" i="3"/>
  <c r="R470" i="3"/>
  <c r="Q470" i="3"/>
  <c r="P470" i="3"/>
  <c r="O470" i="3"/>
  <c r="N470" i="3"/>
  <c r="M470" i="3"/>
  <c r="L470" i="3"/>
  <c r="K470" i="3"/>
  <c r="J470" i="3"/>
  <c r="I470" i="3"/>
  <c r="H470" i="3"/>
  <c r="G470" i="3"/>
  <c r="F470" i="3"/>
  <c r="E470" i="3"/>
  <c r="D470" i="3"/>
  <c r="B470" i="3"/>
  <c r="A470" i="3"/>
  <c r="R469" i="3"/>
  <c r="Q469" i="3"/>
  <c r="P469" i="3"/>
  <c r="O469" i="3"/>
  <c r="N469" i="3"/>
  <c r="M469" i="3"/>
  <c r="L469" i="3"/>
  <c r="K469" i="3"/>
  <c r="J469" i="3"/>
  <c r="I469" i="3"/>
  <c r="H469" i="3"/>
  <c r="G469" i="3"/>
  <c r="F469" i="3"/>
  <c r="E469" i="3"/>
  <c r="D469" i="3"/>
  <c r="B469" i="3"/>
  <c r="A469" i="3"/>
  <c r="R468" i="3"/>
  <c r="Q468" i="3"/>
  <c r="P468" i="3"/>
  <c r="O468" i="3"/>
  <c r="N468" i="3"/>
  <c r="M468" i="3"/>
  <c r="L468" i="3"/>
  <c r="K468" i="3"/>
  <c r="J468" i="3"/>
  <c r="I468" i="3"/>
  <c r="H468" i="3"/>
  <c r="G468" i="3"/>
  <c r="F468" i="3"/>
  <c r="E468" i="3"/>
  <c r="D468" i="3"/>
  <c r="B468" i="3"/>
  <c r="A468" i="3"/>
  <c r="R467" i="3"/>
  <c r="Q467" i="3"/>
  <c r="P467" i="3"/>
  <c r="O467" i="3"/>
  <c r="N467" i="3"/>
  <c r="M467" i="3"/>
  <c r="L467" i="3"/>
  <c r="K467" i="3"/>
  <c r="J467" i="3"/>
  <c r="I467" i="3"/>
  <c r="H467" i="3"/>
  <c r="G467" i="3"/>
  <c r="F467" i="3"/>
  <c r="E467" i="3"/>
  <c r="D467" i="3"/>
  <c r="B467" i="3"/>
  <c r="A467" i="3"/>
  <c r="R466" i="3"/>
  <c r="Q466" i="3"/>
  <c r="P466" i="3"/>
  <c r="O466" i="3"/>
  <c r="N466" i="3"/>
  <c r="M466" i="3"/>
  <c r="L466" i="3"/>
  <c r="K466" i="3"/>
  <c r="J466" i="3"/>
  <c r="I466" i="3"/>
  <c r="H466" i="3"/>
  <c r="G466" i="3"/>
  <c r="F466" i="3"/>
  <c r="E466" i="3"/>
  <c r="D466" i="3"/>
  <c r="B466" i="3"/>
  <c r="A466" i="3"/>
  <c r="R465" i="3"/>
  <c r="Q465" i="3"/>
  <c r="P465" i="3"/>
  <c r="O465" i="3"/>
  <c r="N465" i="3"/>
  <c r="M465" i="3"/>
  <c r="L465" i="3"/>
  <c r="K465" i="3"/>
  <c r="J465" i="3"/>
  <c r="I465" i="3"/>
  <c r="H465" i="3"/>
  <c r="G465" i="3"/>
  <c r="F465" i="3"/>
  <c r="E465" i="3"/>
  <c r="D465" i="3"/>
  <c r="B465" i="3"/>
  <c r="A465" i="3"/>
  <c r="R464" i="3"/>
  <c r="Q464" i="3"/>
  <c r="P464" i="3"/>
  <c r="O464" i="3"/>
  <c r="N464" i="3"/>
  <c r="M464" i="3"/>
  <c r="L464" i="3"/>
  <c r="K464" i="3"/>
  <c r="J464" i="3"/>
  <c r="I464" i="3"/>
  <c r="H464" i="3"/>
  <c r="G464" i="3"/>
  <c r="F464" i="3"/>
  <c r="E464" i="3"/>
  <c r="D464" i="3"/>
  <c r="B464" i="3"/>
  <c r="A464" i="3"/>
  <c r="R463" i="3"/>
  <c r="Q463" i="3"/>
  <c r="P463" i="3"/>
  <c r="O463" i="3"/>
  <c r="N463" i="3"/>
  <c r="M463" i="3"/>
  <c r="L463" i="3"/>
  <c r="K463" i="3"/>
  <c r="J463" i="3"/>
  <c r="I463" i="3"/>
  <c r="H463" i="3"/>
  <c r="G463" i="3"/>
  <c r="F463" i="3"/>
  <c r="E463" i="3"/>
  <c r="D463" i="3"/>
  <c r="B463" i="3"/>
  <c r="A463" i="3"/>
  <c r="R462" i="3"/>
  <c r="Q462" i="3"/>
  <c r="P462" i="3"/>
  <c r="O462" i="3"/>
  <c r="N462" i="3"/>
  <c r="M462" i="3"/>
  <c r="L462" i="3"/>
  <c r="K462" i="3"/>
  <c r="J462" i="3"/>
  <c r="I462" i="3"/>
  <c r="H462" i="3"/>
  <c r="G462" i="3"/>
  <c r="F462" i="3"/>
  <c r="E462" i="3"/>
  <c r="D462" i="3"/>
  <c r="B462" i="3"/>
  <c r="A462" i="3"/>
  <c r="R461" i="3"/>
  <c r="Q461" i="3"/>
  <c r="P461" i="3"/>
  <c r="O461" i="3"/>
  <c r="N461" i="3"/>
  <c r="M461" i="3"/>
  <c r="L461" i="3"/>
  <c r="K461" i="3"/>
  <c r="J461" i="3"/>
  <c r="I461" i="3"/>
  <c r="H461" i="3"/>
  <c r="G461" i="3"/>
  <c r="F461" i="3"/>
  <c r="E461" i="3"/>
  <c r="D461" i="3"/>
  <c r="B461" i="3"/>
  <c r="A461" i="3"/>
  <c r="R460" i="3"/>
  <c r="Q460" i="3"/>
  <c r="P460" i="3"/>
  <c r="O460" i="3"/>
  <c r="N460" i="3"/>
  <c r="M460" i="3"/>
  <c r="L460" i="3"/>
  <c r="K460" i="3"/>
  <c r="J460" i="3"/>
  <c r="I460" i="3"/>
  <c r="H460" i="3"/>
  <c r="G460" i="3"/>
  <c r="F460" i="3"/>
  <c r="E460" i="3"/>
  <c r="D460" i="3"/>
  <c r="B460" i="3"/>
  <c r="A460" i="3"/>
  <c r="R459" i="3"/>
  <c r="Q459" i="3"/>
  <c r="P459" i="3"/>
  <c r="O459" i="3"/>
  <c r="N459" i="3"/>
  <c r="M459" i="3"/>
  <c r="L459" i="3"/>
  <c r="K459" i="3"/>
  <c r="J459" i="3"/>
  <c r="I459" i="3"/>
  <c r="H459" i="3"/>
  <c r="G459" i="3"/>
  <c r="F459" i="3"/>
  <c r="E459" i="3"/>
  <c r="D459" i="3"/>
  <c r="B459" i="3"/>
  <c r="A459" i="3"/>
  <c r="R458" i="3"/>
  <c r="Q458" i="3"/>
  <c r="P458" i="3"/>
  <c r="O458" i="3"/>
  <c r="N458" i="3"/>
  <c r="M458" i="3"/>
  <c r="L458" i="3"/>
  <c r="K458" i="3"/>
  <c r="J458" i="3"/>
  <c r="I458" i="3"/>
  <c r="H458" i="3"/>
  <c r="G458" i="3"/>
  <c r="F458" i="3"/>
  <c r="E458" i="3"/>
  <c r="D458" i="3"/>
  <c r="B458" i="3"/>
  <c r="A458" i="3"/>
  <c r="R457" i="3"/>
  <c r="Q457" i="3"/>
  <c r="P457" i="3"/>
  <c r="O457" i="3"/>
  <c r="N457" i="3"/>
  <c r="M457" i="3"/>
  <c r="L457" i="3"/>
  <c r="K457" i="3"/>
  <c r="J457" i="3"/>
  <c r="I457" i="3"/>
  <c r="H457" i="3"/>
  <c r="G457" i="3"/>
  <c r="F457" i="3"/>
  <c r="E457" i="3"/>
  <c r="D457" i="3"/>
  <c r="B457" i="3"/>
  <c r="A457" i="3"/>
  <c r="R456" i="3"/>
  <c r="Q456" i="3"/>
  <c r="P456" i="3"/>
  <c r="O456" i="3"/>
  <c r="N456" i="3"/>
  <c r="M456" i="3"/>
  <c r="L456" i="3"/>
  <c r="K456" i="3"/>
  <c r="J456" i="3"/>
  <c r="I456" i="3"/>
  <c r="H456" i="3"/>
  <c r="G456" i="3"/>
  <c r="F456" i="3"/>
  <c r="E456" i="3"/>
  <c r="D456" i="3"/>
  <c r="B456" i="3"/>
  <c r="A456" i="3"/>
  <c r="R455" i="3"/>
  <c r="Q455" i="3"/>
  <c r="P455" i="3"/>
  <c r="O455" i="3"/>
  <c r="N455" i="3"/>
  <c r="M455" i="3"/>
  <c r="L455" i="3"/>
  <c r="K455" i="3"/>
  <c r="J455" i="3"/>
  <c r="I455" i="3"/>
  <c r="H455" i="3"/>
  <c r="G455" i="3"/>
  <c r="F455" i="3"/>
  <c r="E455" i="3"/>
  <c r="D455" i="3"/>
  <c r="B455" i="3"/>
  <c r="A455" i="3"/>
  <c r="R454" i="3"/>
  <c r="Q454" i="3"/>
  <c r="P454" i="3"/>
  <c r="O454" i="3"/>
  <c r="N454" i="3"/>
  <c r="M454" i="3"/>
  <c r="L454" i="3"/>
  <c r="K454" i="3"/>
  <c r="J454" i="3"/>
  <c r="I454" i="3"/>
  <c r="H454" i="3"/>
  <c r="G454" i="3"/>
  <c r="F454" i="3"/>
  <c r="E454" i="3"/>
  <c r="D454" i="3"/>
  <c r="B454" i="3"/>
  <c r="A454" i="3"/>
  <c r="R453" i="3"/>
  <c r="Q453" i="3"/>
  <c r="P453" i="3"/>
  <c r="O453" i="3"/>
  <c r="N453" i="3"/>
  <c r="M453" i="3"/>
  <c r="L453" i="3"/>
  <c r="K453" i="3"/>
  <c r="J453" i="3"/>
  <c r="I453" i="3"/>
  <c r="H453" i="3"/>
  <c r="G453" i="3"/>
  <c r="F453" i="3"/>
  <c r="E453" i="3"/>
  <c r="D453" i="3"/>
  <c r="B453" i="3"/>
  <c r="A453" i="3"/>
  <c r="R452" i="3"/>
  <c r="Q452" i="3"/>
  <c r="P452" i="3"/>
  <c r="O452" i="3"/>
  <c r="N452" i="3"/>
  <c r="M452" i="3"/>
  <c r="L452" i="3"/>
  <c r="K452" i="3"/>
  <c r="J452" i="3"/>
  <c r="I452" i="3"/>
  <c r="H452" i="3"/>
  <c r="G452" i="3"/>
  <c r="F452" i="3"/>
  <c r="E452" i="3"/>
  <c r="D452" i="3"/>
  <c r="B452" i="3"/>
  <c r="A452" i="3"/>
  <c r="R451" i="3"/>
  <c r="Q451" i="3"/>
  <c r="P451" i="3"/>
  <c r="O451" i="3"/>
  <c r="N451" i="3"/>
  <c r="M451" i="3"/>
  <c r="L451" i="3"/>
  <c r="K451" i="3"/>
  <c r="J451" i="3"/>
  <c r="I451" i="3"/>
  <c r="H451" i="3"/>
  <c r="G451" i="3"/>
  <c r="F451" i="3"/>
  <c r="E451" i="3"/>
  <c r="D451" i="3"/>
  <c r="B451" i="3"/>
  <c r="A451" i="3"/>
  <c r="R450" i="3"/>
  <c r="Q450" i="3"/>
  <c r="P450" i="3"/>
  <c r="O450" i="3"/>
  <c r="N450" i="3"/>
  <c r="M450" i="3"/>
  <c r="L450" i="3"/>
  <c r="K450" i="3"/>
  <c r="J450" i="3"/>
  <c r="I450" i="3"/>
  <c r="H450" i="3"/>
  <c r="G450" i="3"/>
  <c r="F450" i="3"/>
  <c r="E450" i="3"/>
  <c r="D450" i="3"/>
  <c r="B450" i="3"/>
  <c r="A450" i="3"/>
  <c r="R449" i="3"/>
  <c r="Q449" i="3"/>
  <c r="P449" i="3"/>
  <c r="O449" i="3"/>
  <c r="N449" i="3"/>
  <c r="M449" i="3"/>
  <c r="L449" i="3"/>
  <c r="K449" i="3"/>
  <c r="J449" i="3"/>
  <c r="I449" i="3"/>
  <c r="H449" i="3"/>
  <c r="G449" i="3"/>
  <c r="F449" i="3"/>
  <c r="E449" i="3"/>
  <c r="D449" i="3"/>
  <c r="B449" i="3"/>
  <c r="A449" i="3"/>
  <c r="R448" i="3"/>
  <c r="Q448" i="3"/>
  <c r="P448" i="3"/>
  <c r="O448" i="3"/>
  <c r="N448" i="3"/>
  <c r="M448" i="3"/>
  <c r="L448" i="3"/>
  <c r="K448" i="3"/>
  <c r="J448" i="3"/>
  <c r="I448" i="3"/>
  <c r="H448" i="3"/>
  <c r="G448" i="3"/>
  <c r="F448" i="3"/>
  <c r="E448" i="3"/>
  <c r="D448" i="3"/>
  <c r="B448" i="3"/>
  <c r="A448" i="3"/>
  <c r="R447" i="3"/>
  <c r="Q447" i="3"/>
  <c r="P447" i="3"/>
  <c r="O447" i="3"/>
  <c r="N447" i="3"/>
  <c r="M447" i="3"/>
  <c r="L447" i="3"/>
  <c r="K447" i="3"/>
  <c r="J447" i="3"/>
  <c r="I447" i="3"/>
  <c r="H447" i="3"/>
  <c r="G447" i="3"/>
  <c r="F447" i="3"/>
  <c r="E447" i="3"/>
  <c r="D447" i="3"/>
  <c r="B447" i="3"/>
  <c r="A447" i="3"/>
  <c r="R446" i="3"/>
  <c r="Q446" i="3"/>
  <c r="P446" i="3"/>
  <c r="O446" i="3"/>
  <c r="N446" i="3"/>
  <c r="M446" i="3"/>
  <c r="L446" i="3"/>
  <c r="K446" i="3"/>
  <c r="J446" i="3"/>
  <c r="I446" i="3"/>
  <c r="H446" i="3"/>
  <c r="G446" i="3"/>
  <c r="F446" i="3"/>
  <c r="E446" i="3"/>
  <c r="D446" i="3"/>
  <c r="B446" i="3"/>
  <c r="A446" i="3"/>
  <c r="R445" i="3"/>
  <c r="Q445" i="3"/>
  <c r="P445" i="3"/>
  <c r="O445" i="3"/>
  <c r="N445" i="3"/>
  <c r="M445" i="3"/>
  <c r="L445" i="3"/>
  <c r="K445" i="3"/>
  <c r="J445" i="3"/>
  <c r="I445" i="3"/>
  <c r="H445" i="3"/>
  <c r="G445" i="3"/>
  <c r="F445" i="3"/>
  <c r="E445" i="3"/>
  <c r="D445" i="3"/>
  <c r="B445" i="3"/>
  <c r="A445" i="3"/>
  <c r="R444" i="3"/>
  <c r="Q444" i="3"/>
  <c r="P444" i="3"/>
  <c r="O444" i="3"/>
  <c r="N444" i="3"/>
  <c r="M444" i="3"/>
  <c r="L444" i="3"/>
  <c r="K444" i="3"/>
  <c r="J444" i="3"/>
  <c r="I444" i="3"/>
  <c r="H444" i="3"/>
  <c r="G444" i="3"/>
  <c r="F444" i="3"/>
  <c r="E444" i="3"/>
  <c r="D444" i="3"/>
  <c r="B444" i="3"/>
  <c r="A444" i="3"/>
  <c r="R443" i="3"/>
  <c r="Q443" i="3"/>
  <c r="P443" i="3"/>
  <c r="O443" i="3"/>
  <c r="N443" i="3"/>
  <c r="M443" i="3"/>
  <c r="L443" i="3"/>
  <c r="K443" i="3"/>
  <c r="J443" i="3"/>
  <c r="I443" i="3"/>
  <c r="H443" i="3"/>
  <c r="G443" i="3"/>
  <c r="F443" i="3"/>
  <c r="E443" i="3"/>
  <c r="D443" i="3"/>
  <c r="B443" i="3"/>
  <c r="A443" i="3"/>
  <c r="R442" i="3"/>
  <c r="Q442" i="3"/>
  <c r="P442" i="3"/>
  <c r="O442" i="3"/>
  <c r="N442" i="3"/>
  <c r="M442" i="3"/>
  <c r="L442" i="3"/>
  <c r="K442" i="3"/>
  <c r="J442" i="3"/>
  <c r="I442" i="3"/>
  <c r="H442" i="3"/>
  <c r="G442" i="3"/>
  <c r="F442" i="3"/>
  <c r="E442" i="3"/>
  <c r="D442" i="3"/>
  <c r="B442" i="3"/>
  <c r="A442" i="3"/>
  <c r="R441" i="3"/>
  <c r="Q441" i="3"/>
  <c r="P441" i="3"/>
  <c r="O441" i="3"/>
  <c r="N441" i="3"/>
  <c r="M441" i="3"/>
  <c r="L441" i="3"/>
  <c r="K441" i="3"/>
  <c r="J441" i="3"/>
  <c r="I441" i="3"/>
  <c r="H441" i="3"/>
  <c r="G441" i="3"/>
  <c r="F441" i="3"/>
  <c r="E441" i="3"/>
  <c r="D441" i="3"/>
  <c r="B441" i="3"/>
  <c r="A441" i="3"/>
  <c r="R440" i="3"/>
  <c r="Q440" i="3"/>
  <c r="P440" i="3"/>
  <c r="O440" i="3"/>
  <c r="N440" i="3"/>
  <c r="M440" i="3"/>
  <c r="L440" i="3"/>
  <c r="K440" i="3"/>
  <c r="J440" i="3"/>
  <c r="I440" i="3"/>
  <c r="H440" i="3"/>
  <c r="G440" i="3"/>
  <c r="F440" i="3"/>
  <c r="E440" i="3"/>
  <c r="D440" i="3"/>
  <c r="B440" i="3"/>
  <c r="A440" i="3"/>
  <c r="R439" i="3"/>
  <c r="Q439" i="3"/>
  <c r="P439" i="3"/>
  <c r="O439" i="3"/>
  <c r="N439" i="3"/>
  <c r="M439" i="3"/>
  <c r="L439" i="3"/>
  <c r="K439" i="3"/>
  <c r="J439" i="3"/>
  <c r="I439" i="3"/>
  <c r="H439" i="3"/>
  <c r="G439" i="3"/>
  <c r="F439" i="3"/>
  <c r="E439" i="3"/>
  <c r="D439" i="3"/>
  <c r="B439" i="3"/>
  <c r="A439" i="3"/>
  <c r="R438" i="3"/>
  <c r="Q438" i="3"/>
  <c r="P438" i="3"/>
  <c r="O438" i="3"/>
  <c r="N438" i="3"/>
  <c r="M438" i="3"/>
  <c r="L438" i="3"/>
  <c r="K438" i="3"/>
  <c r="J438" i="3"/>
  <c r="I438" i="3"/>
  <c r="H438" i="3"/>
  <c r="G438" i="3"/>
  <c r="F438" i="3"/>
  <c r="E438" i="3"/>
  <c r="D438" i="3"/>
  <c r="B438" i="3"/>
  <c r="A438" i="3"/>
  <c r="R437" i="3"/>
  <c r="Q437" i="3"/>
  <c r="P437" i="3"/>
  <c r="O437" i="3"/>
  <c r="N437" i="3"/>
  <c r="M437" i="3"/>
  <c r="L437" i="3"/>
  <c r="K437" i="3"/>
  <c r="J437" i="3"/>
  <c r="I437" i="3"/>
  <c r="H437" i="3"/>
  <c r="G437" i="3"/>
  <c r="F437" i="3"/>
  <c r="E437" i="3"/>
  <c r="D437" i="3"/>
  <c r="B437" i="3"/>
  <c r="A437" i="3"/>
  <c r="R436" i="3"/>
  <c r="Q436" i="3"/>
  <c r="P436" i="3"/>
  <c r="O436" i="3"/>
  <c r="N436" i="3"/>
  <c r="M436" i="3"/>
  <c r="L436" i="3"/>
  <c r="K436" i="3"/>
  <c r="J436" i="3"/>
  <c r="I436" i="3"/>
  <c r="H436" i="3"/>
  <c r="G436" i="3"/>
  <c r="F436" i="3"/>
  <c r="E436" i="3"/>
  <c r="D436" i="3"/>
  <c r="B436" i="3"/>
  <c r="A436" i="3"/>
  <c r="R435" i="3"/>
  <c r="Q435" i="3"/>
  <c r="P435" i="3"/>
  <c r="O435" i="3"/>
  <c r="N435" i="3"/>
  <c r="M435" i="3"/>
  <c r="L435" i="3"/>
  <c r="K435" i="3"/>
  <c r="J435" i="3"/>
  <c r="I435" i="3"/>
  <c r="H435" i="3"/>
  <c r="G435" i="3"/>
  <c r="F435" i="3"/>
  <c r="E435" i="3"/>
  <c r="D435" i="3"/>
  <c r="B435" i="3"/>
  <c r="A435" i="3"/>
  <c r="R434" i="3"/>
  <c r="Q434" i="3"/>
  <c r="P434" i="3"/>
  <c r="O434" i="3"/>
  <c r="N434" i="3"/>
  <c r="M434" i="3"/>
  <c r="L434" i="3"/>
  <c r="K434" i="3"/>
  <c r="J434" i="3"/>
  <c r="I434" i="3"/>
  <c r="H434" i="3"/>
  <c r="G434" i="3"/>
  <c r="F434" i="3"/>
  <c r="E434" i="3"/>
  <c r="D434" i="3"/>
  <c r="B434" i="3"/>
  <c r="A434" i="3"/>
  <c r="R433" i="3"/>
  <c r="Q433" i="3"/>
  <c r="P433" i="3"/>
  <c r="O433" i="3"/>
  <c r="N433" i="3"/>
  <c r="M433" i="3"/>
  <c r="L433" i="3"/>
  <c r="K433" i="3"/>
  <c r="J433" i="3"/>
  <c r="I433" i="3"/>
  <c r="H433" i="3"/>
  <c r="G433" i="3"/>
  <c r="F433" i="3"/>
  <c r="E433" i="3"/>
  <c r="D433" i="3"/>
  <c r="B433" i="3"/>
  <c r="A433" i="3"/>
  <c r="R432" i="3"/>
  <c r="Q432" i="3"/>
  <c r="P432" i="3"/>
  <c r="O432" i="3"/>
  <c r="N432" i="3"/>
  <c r="M432" i="3"/>
  <c r="L432" i="3"/>
  <c r="K432" i="3"/>
  <c r="J432" i="3"/>
  <c r="I432" i="3"/>
  <c r="H432" i="3"/>
  <c r="G432" i="3"/>
  <c r="F432" i="3"/>
  <c r="E432" i="3"/>
  <c r="D432" i="3"/>
  <c r="B432" i="3"/>
  <c r="A432" i="3"/>
  <c r="R431" i="3"/>
  <c r="Q431" i="3"/>
  <c r="P431" i="3"/>
  <c r="O431" i="3"/>
  <c r="N431" i="3"/>
  <c r="M431" i="3"/>
  <c r="L431" i="3"/>
  <c r="K431" i="3"/>
  <c r="J431" i="3"/>
  <c r="I431" i="3"/>
  <c r="H431" i="3"/>
  <c r="G431" i="3"/>
  <c r="F431" i="3"/>
  <c r="E431" i="3"/>
  <c r="D431" i="3"/>
  <c r="B431" i="3"/>
  <c r="A431" i="3"/>
  <c r="R430" i="3"/>
  <c r="Q430" i="3"/>
  <c r="P430" i="3"/>
  <c r="O430" i="3"/>
  <c r="N430" i="3"/>
  <c r="M430" i="3"/>
  <c r="L430" i="3"/>
  <c r="K430" i="3"/>
  <c r="J430" i="3"/>
  <c r="I430" i="3"/>
  <c r="H430" i="3"/>
  <c r="G430" i="3"/>
  <c r="F430" i="3"/>
  <c r="E430" i="3"/>
  <c r="D430" i="3"/>
  <c r="B430" i="3"/>
  <c r="A430" i="3"/>
  <c r="R429" i="3"/>
  <c r="Q429" i="3"/>
  <c r="P429" i="3"/>
  <c r="O429" i="3"/>
  <c r="N429" i="3"/>
  <c r="M429" i="3"/>
  <c r="L429" i="3"/>
  <c r="K429" i="3"/>
  <c r="J429" i="3"/>
  <c r="I429" i="3"/>
  <c r="H429" i="3"/>
  <c r="G429" i="3"/>
  <c r="F429" i="3"/>
  <c r="E429" i="3"/>
  <c r="D429" i="3"/>
  <c r="B429" i="3"/>
  <c r="A429" i="3"/>
  <c r="R428" i="3"/>
  <c r="Q428" i="3"/>
  <c r="P428" i="3"/>
  <c r="O428" i="3"/>
  <c r="N428" i="3"/>
  <c r="M428" i="3"/>
  <c r="L428" i="3"/>
  <c r="K428" i="3"/>
  <c r="J428" i="3"/>
  <c r="I428" i="3"/>
  <c r="H428" i="3"/>
  <c r="G428" i="3"/>
  <c r="F428" i="3"/>
  <c r="E428" i="3"/>
  <c r="D428" i="3"/>
  <c r="B428" i="3"/>
  <c r="A428" i="3"/>
  <c r="R427" i="3"/>
  <c r="Q427" i="3"/>
  <c r="P427" i="3"/>
  <c r="O427" i="3"/>
  <c r="N427" i="3"/>
  <c r="M427" i="3"/>
  <c r="L427" i="3"/>
  <c r="K427" i="3"/>
  <c r="J427" i="3"/>
  <c r="I427" i="3"/>
  <c r="H427" i="3"/>
  <c r="G427" i="3"/>
  <c r="F427" i="3"/>
  <c r="E427" i="3"/>
  <c r="D427" i="3"/>
  <c r="B427" i="3"/>
  <c r="A427" i="3"/>
  <c r="R426" i="3"/>
  <c r="Q426" i="3"/>
  <c r="P426" i="3"/>
  <c r="O426" i="3"/>
  <c r="N426" i="3"/>
  <c r="M426" i="3"/>
  <c r="L426" i="3"/>
  <c r="K426" i="3"/>
  <c r="J426" i="3"/>
  <c r="I426" i="3"/>
  <c r="H426" i="3"/>
  <c r="G426" i="3"/>
  <c r="F426" i="3"/>
  <c r="E426" i="3"/>
  <c r="D426" i="3"/>
  <c r="B426" i="3"/>
  <c r="A426" i="3"/>
  <c r="R425" i="3"/>
  <c r="Q425" i="3"/>
  <c r="P425" i="3"/>
  <c r="O425" i="3"/>
  <c r="N425" i="3"/>
  <c r="M425" i="3"/>
  <c r="L425" i="3"/>
  <c r="K425" i="3"/>
  <c r="J425" i="3"/>
  <c r="I425" i="3"/>
  <c r="H425" i="3"/>
  <c r="G425" i="3"/>
  <c r="F425" i="3"/>
  <c r="E425" i="3"/>
  <c r="D425" i="3"/>
  <c r="B425" i="3"/>
  <c r="A425" i="3"/>
  <c r="R424" i="3"/>
  <c r="Q424" i="3"/>
  <c r="P424" i="3"/>
  <c r="O424" i="3"/>
  <c r="N424" i="3"/>
  <c r="M424" i="3"/>
  <c r="L424" i="3"/>
  <c r="K424" i="3"/>
  <c r="J424" i="3"/>
  <c r="I424" i="3"/>
  <c r="H424" i="3"/>
  <c r="G424" i="3"/>
  <c r="F424" i="3"/>
  <c r="E424" i="3"/>
  <c r="D424" i="3"/>
  <c r="B424" i="3"/>
  <c r="A424" i="3"/>
  <c r="R423" i="3"/>
  <c r="Q423" i="3"/>
  <c r="P423" i="3"/>
  <c r="O423" i="3"/>
  <c r="N423" i="3"/>
  <c r="M423" i="3"/>
  <c r="L423" i="3"/>
  <c r="K423" i="3"/>
  <c r="J423" i="3"/>
  <c r="I423" i="3"/>
  <c r="H423" i="3"/>
  <c r="G423" i="3"/>
  <c r="F423" i="3"/>
  <c r="E423" i="3"/>
  <c r="D423" i="3"/>
  <c r="B423" i="3"/>
  <c r="A423" i="3"/>
  <c r="R422" i="3"/>
  <c r="Q422" i="3"/>
  <c r="P422" i="3"/>
  <c r="O422" i="3"/>
  <c r="N422" i="3"/>
  <c r="M422" i="3"/>
  <c r="L422" i="3"/>
  <c r="K422" i="3"/>
  <c r="J422" i="3"/>
  <c r="I422" i="3"/>
  <c r="H422" i="3"/>
  <c r="G422" i="3"/>
  <c r="F422" i="3"/>
  <c r="E422" i="3"/>
  <c r="D422" i="3"/>
  <c r="B422" i="3"/>
  <c r="A422" i="3"/>
  <c r="R421" i="3"/>
  <c r="Q421" i="3"/>
  <c r="P421" i="3"/>
  <c r="O421" i="3"/>
  <c r="N421" i="3"/>
  <c r="M421" i="3"/>
  <c r="L421" i="3"/>
  <c r="K421" i="3"/>
  <c r="J421" i="3"/>
  <c r="I421" i="3"/>
  <c r="H421" i="3"/>
  <c r="G421" i="3"/>
  <c r="F421" i="3"/>
  <c r="E421" i="3"/>
  <c r="D421" i="3"/>
  <c r="B421" i="3"/>
  <c r="A421" i="3"/>
  <c r="R420" i="3"/>
  <c r="Q420" i="3"/>
  <c r="P420" i="3"/>
  <c r="O420" i="3"/>
  <c r="N420" i="3"/>
  <c r="M420" i="3"/>
  <c r="L420" i="3"/>
  <c r="K420" i="3"/>
  <c r="J420" i="3"/>
  <c r="I420" i="3"/>
  <c r="H420" i="3"/>
  <c r="G420" i="3"/>
  <c r="F420" i="3"/>
  <c r="E420" i="3"/>
  <c r="D420" i="3"/>
  <c r="B420" i="3"/>
  <c r="A420" i="3"/>
  <c r="R419" i="3"/>
  <c r="Q419" i="3"/>
  <c r="P419" i="3"/>
  <c r="O419" i="3"/>
  <c r="N419" i="3"/>
  <c r="M419" i="3"/>
  <c r="L419" i="3"/>
  <c r="K419" i="3"/>
  <c r="J419" i="3"/>
  <c r="I419" i="3"/>
  <c r="H419" i="3"/>
  <c r="G419" i="3"/>
  <c r="F419" i="3"/>
  <c r="E419" i="3"/>
  <c r="D419" i="3"/>
  <c r="B419" i="3"/>
  <c r="A419" i="3"/>
  <c r="R418" i="3"/>
  <c r="Q418" i="3"/>
  <c r="P418" i="3"/>
  <c r="O418" i="3"/>
  <c r="N418" i="3"/>
  <c r="M418" i="3"/>
  <c r="L418" i="3"/>
  <c r="K418" i="3"/>
  <c r="J418" i="3"/>
  <c r="I418" i="3"/>
  <c r="H418" i="3"/>
  <c r="G418" i="3"/>
  <c r="F418" i="3"/>
  <c r="E418" i="3"/>
  <c r="D418" i="3"/>
  <c r="B418" i="3"/>
  <c r="A418" i="3"/>
  <c r="R417" i="3"/>
  <c r="Q417" i="3"/>
  <c r="P417" i="3"/>
  <c r="O417" i="3"/>
  <c r="N417" i="3"/>
  <c r="M417" i="3"/>
  <c r="L417" i="3"/>
  <c r="K417" i="3"/>
  <c r="J417" i="3"/>
  <c r="I417" i="3"/>
  <c r="H417" i="3"/>
  <c r="G417" i="3"/>
  <c r="F417" i="3"/>
  <c r="E417" i="3"/>
  <c r="D417" i="3"/>
  <c r="B417" i="3"/>
  <c r="A417" i="3"/>
  <c r="R416" i="3"/>
  <c r="Q416" i="3"/>
  <c r="P416" i="3"/>
  <c r="O416" i="3"/>
  <c r="N416" i="3"/>
  <c r="M416" i="3"/>
  <c r="L416" i="3"/>
  <c r="K416" i="3"/>
  <c r="J416" i="3"/>
  <c r="I416" i="3"/>
  <c r="H416" i="3"/>
  <c r="G416" i="3"/>
  <c r="F416" i="3"/>
  <c r="E416" i="3"/>
  <c r="D416" i="3"/>
  <c r="B416" i="3"/>
  <c r="A416" i="3"/>
  <c r="R415" i="3"/>
  <c r="Q415" i="3"/>
  <c r="P415" i="3"/>
  <c r="O415" i="3"/>
  <c r="N415" i="3"/>
  <c r="M415" i="3"/>
  <c r="L415" i="3"/>
  <c r="K415" i="3"/>
  <c r="J415" i="3"/>
  <c r="I415" i="3"/>
  <c r="H415" i="3"/>
  <c r="G415" i="3"/>
  <c r="F415" i="3"/>
  <c r="E415" i="3"/>
  <c r="D415" i="3"/>
  <c r="B415" i="3"/>
  <c r="A415" i="3"/>
  <c r="R414" i="3"/>
  <c r="Q414" i="3"/>
  <c r="P414" i="3"/>
  <c r="O414" i="3"/>
  <c r="N414" i="3"/>
  <c r="M414" i="3"/>
  <c r="L414" i="3"/>
  <c r="K414" i="3"/>
  <c r="J414" i="3"/>
  <c r="I414" i="3"/>
  <c r="H414" i="3"/>
  <c r="G414" i="3"/>
  <c r="F414" i="3"/>
  <c r="E414" i="3"/>
  <c r="D414" i="3"/>
  <c r="B414" i="3"/>
  <c r="A414" i="3"/>
  <c r="R413" i="3"/>
  <c r="Q413" i="3"/>
  <c r="P413" i="3"/>
  <c r="O413" i="3"/>
  <c r="N413" i="3"/>
  <c r="M413" i="3"/>
  <c r="L413" i="3"/>
  <c r="K413" i="3"/>
  <c r="J413" i="3"/>
  <c r="I413" i="3"/>
  <c r="H413" i="3"/>
  <c r="G413" i="3"/>
  <c r="F413" i="3"/>
  <c r="E413" i="3"/>
  <c r="D413" i="3"/>
  <c r="B413" i="3"/>
  <c r="A413" i="3"/>
  <c r="R412" i="3"/>
  <c r="Q412" i="3"/>
  <c r="P412" i="3"/>
  <c r="O412" i="3"/>
  <c r="N412" i="3"/>
  <c r="M412" i="3"/>
  <c r="L412" i="3"/>
  <c r="K412" i="3"/>
  <c r="J412" i="3"/>
  <c r="I412" i="3"/>
  <c r="H412" i="3"/>
  <c r="G412" i="3"/>
  <c r="F412" i="3"/>
  <c r="E412" i="3"/>
  <c r="D412" i="3"/>
  <c r="B412" i="3"/>
  <c r="A412" i="3"/>
  <c r="R411" i="3"/>
  <c r="Q411" i="3"/>
  <c r="P411" i="3"/>
  <c r="O411" i="3"/>
  <c r="N411" i="3"/>
  <c r="M411" i="3"/>
  <c r="L411" i="3"/>
  <c r="K411" i="3"/>
  <c r="J411" i="3"/>
  <c r="I411" i="3"/>
  <c r="H411" i="3"/>
  <c r="G411" i="3"/>
  <c r="F411" i="3"/>
  <c r="E411" i="3"/>
  <c r="D411" i="3"/>
  <c r="B411" i="3"/>
  <c r="A411" i="3"/>
  <c r="R410" i="3"/>
  <c r="Q410" i="3"/>
  <c r="P410" i="3"/>
  <c r="O410" i="3"/>
  <c r="N410" i="3"/>
  <c r="M410" i="3"/>
  <c r="L410" i="3"/>
  <c r="K410" i="3"/>
  <c r="J410" i="3"/>
  <c r="I410" i="3"/>
  <c r="H410" i="3"/>
  <c r="G410" i="3"/>
  <c r="F410" i="3"/>
  <c r="E410" i="3"/>
  <c r="D410" i="3"/>
  <c r="B410" i="3"/>
  <c r="A410" i="3"/>
  <c r="R409" i="3"/>
  <c r="Q409" i="3"/>
  <c r="P409" i="3"/>
  <c r="O409" i="3"/>
  <c r="N409" i="3"/>
  <c r="M409" i="3"/>
  <c r="L409" i="3"/>
  <c r="K409" i="3"/>
  <c r="J409" i="3"/>
  <c r="I409" i="3"/>
  <c r="H409" i="3"/>
  <c r="G409" i="3"/>
  <c r="F409" i="3"/>
  <c r="E409" i="3"/>
  <c r="D409" i="3"/>
  <c r="B409" i="3"/>
  <c r="A409" i="3"/>
  <c r="R408" i="3"/>
  <c r="Q408" i="3"/>
  <c r="P408" i="3"/>
  <c r="O408" i="3"/>
  <c r="N408" i="3"/>
  <c r="M408" i="3"/>
  <c r="L408" i="3"/>
  <c r="K408" i="3"/>
  <c r="J408" i="3"/>
  <c r="I408" i="3"/>
  <c r="H408" i="3"/>
  <c r="G408" i="3"/>
  <c r="F408" i="3"/>
  <c r="E408" i="3"/>
  <c r="D408" i="3"/>
  <c r="B408" i="3"/>
  <c r="A408" i="3"/>
  <c r="R407" i="3"/>
  <c r="Q407" i="3"/>
  <c r="P407" i="3"/>
  <c r="O407" i="3"/>
  <c r="N407" i="3"/>
  <c r="M407" i="3"/>
  <c r="L407" i="3"/>
  <c r="K407" i="3"/>
  <c r="J407" i="3"/>
  <c r="I407" i="3"/>
  <c r="H407" i="3"/>
  <c r="G407" i="3"/>
  <c r="F407" i="3"/>
  <c r="E407" i="3"/>
  <c r="D407" i="3"/>
  <c r="B407" i="3"/>
  <c r="A407" i="3"/>
  <c r="R406" i="3"/>
  <c r="Q406" i="3"/>
  <c r="P406" i="3"/>
  <c r="O406" i="3"/>
  <c r="N406" i="3"/>
  <c r="M406" i="3"/>
  <c r="L406" i="3"/>
  <c r="K406" i="3"/>
  <c r="J406" i="3"/>
  <c r="I406" i="3"/>
  <c r="H406" i="3"/>
  <c r="G406" i="3"/>
  <c r="F406" i="3"/>
  <c r="E406" i="3"/>
  <c r="D406" i="3"/>
  <c r="B406" i="3"/>
  <c r="A406" i="3"/>
  <c r="R405" i="3"/>
  <c r="Q405" i="3"/>
  <c r="P405" i="3"/>
  <c r="O405" i="3"/>
  <c r="N405" i="3"/>
  <c r="M405" i="3"/>
  <c r="L405" i="3"/>
  <c r="K405" i="3"/>
  <c r="J405" i="3"/>
  <c r="I405" i="3"/>
  <c r="H405" i="3"/>
  <c r="G405" i="3"/>
  <c r="F405" i="3"/>
  <c r="E405" i="3"/>
  <c r="D405" i="3"/>
  <c r="B405" i="3"/>
  <c r="A405" i="3"/>
  <c r="R404" i="3"/>
  <c r="Q404" i="3"/>
  <c r="P404" i="3"/>
  <c r="O404" i="3"/>
  <c r="N404" i="3"/>
  <c r="M404" i="3"/>
  <c r="L404" i="3"/>
  <c r="K404" i="3"/>
  <c r="J404" i="3"/>
  <c r="I404" i="3"/>
  <c r="H404" i="3"/>
  <c r="G404" i="3"/>
  <c r="F404" i="3"/>
  <c r="E404" i="3"/>
  <c r="D404" i="3"/>
  <c r="B404" i="3"/>
  <c r="A404" i="3"/>
  <c r="R403" i="3"/>
  <c r="Q403" i="3"/>
  <c r="P403" i="3"/>
  <c r="O403" i="3"/>
  <c r="N403" i="3"/>
  <c r="M403" i="3"/>
  <c r="L403" i="3"/>
  <c r="K403" i="3"/>
  <c r="J403" i="3"/>
  <c r="I403" i="3"/>
  <c r="H403" i="3"/>
  <c r="G403" i="3"/>
  <c r="F403" i="3"/>
  <c r="E403" i="3"/>
  <c r="D403" i="3"/>
  <c r="B403" i="3"/>
  <c r="A403" i="3"/>
  <c r="R402" i="3"/>
  <c r="Q402" i="3"/>
  <c r="P402" i="3"/>
  <c r="O402" i="3"/>
  <c r="N402" i="3"/>
  <c r="M402" i="3"/>
  <c r="L402" i="3"/>
  <c r="K402" i="3"/>
  <c r="J402" i="3"/>
  <c r="I402" i="3"/>
  <c r="H402" i="3"/>
  <c r="G402" i="3"/>
  <c r="F402" i="3"/>
  <c r="E402" i="3"/>
  <c r="D402" i="3"/>
  <c r="B402" i="3"/>
  <c r="A402" i="3"/>
  <c r="R401" i="3"/>
  <c r="Q401" i="3"/>
  <c r="P401" i="3"/>
  <c r="O401" i="3"/>
  <c r="N401" i="3"/>
  <c r="M401" i="3"/>
  <c r="L401" i="3"/>
  <c r="K401" i="3"/>
  <c r="J401" i="3"/>
  <c r="I401" i="3"/>
  <c r="H401" i="3"/>
  <c r="G401" i="3"/>
  <c r="F401" i="3"/>
  <c r="E401" i="3"/>
  <c r="D401" i="3"/>
  <c r="B401" i="3"/>
  <c r="A401" i="3"/>
  <c r="R400" i="3"/>
  <c r="Q400" i="3"/>
  <c r="P400" i="3"/>
  <c r="O400" i="3"/>
  <c r="N400" i="3"/>
  <c r="M400" i="3"/>
  <c r="L400" i="3"/>
  <c r="K400" i="3"/>
  <c r="J400" i="3"/>
  <c r="I400" i="3"/>
  <c r="H400" i="3"/>
  <c r="G400" i="3"/>
  <c r="F400" i="3"/>
  <c r="E400" i="3"/>
  <c r="D400" i="3"/>
  <c r="B400" i="3"/>
  <c r="A400" i="3"/>
  <c r="R399" i="3"/>
  <c r="Q399" i="3"/>
  <c r="P399" i="3"/>
  <c r="O399" i="3"/>
  <c r="N399" i="3"/>
  <c r="M399" i="3"/>
  <c r="L399" i="3"/>
  <c r="K399" i="3"/>
  <c r="J399" i="3"/>
  <c r="I399" i="3"/>
  <c r="H399" i="3"/>
  <c r="G399" i="3"/>
  <c r="F399" i="3"/>
  <c r="E399" i="3"/>
  <c r="D399" i="3"/>
  <c r="B399" i="3"/>
  <c r="A399" i="3"/>
  <c r="R398" i="3"/>
  <c r="Q398" i="3"/>
  <c r="P398" i="3"/>
  <c r="O398" i="3"/>
  <c r="N398" i="3"/>
  <c r="M398" i="3"/>
  <c r="L398" i="3"/>
  <c r="K398" i="3"/>
  <c r="J398" i="3"/>
  <c r="I398" i="3"/>
  <c r="H398" i="3"/>
  <c r="G398" i="3"/>
  <c r="F398" i="3"/>
  <c r="E398" i="3"/>
  <c r="D398" i="3"/>
  <c r="B398" i="3"/>
  <c r="A398" i="3"/>
  <c r="R397" i="3"/>
  <c r="Q397" i="3"/>
  <c r="P397" i="3"/>
  <c r="O397" i="3"/>
  <c r="N397" i="3"/>
  <c r="M397" i="3"/>
  <c r="L397" i="3"/>
  <c r="K397" i="3"/>
  <c r="J397" i="3"/>
  <c r="I397" i="3"/>
  <c r="H397" i="3"/>
  <c r="G397" i="3"/>
  <c r="F397" i="3"/>
  <c r="E397" i="3"/>
  <c r="D397" i="3"/>
  <c r="B397" i="3"/>
  <c r="A397" i="3"/>
  <c r="R396" i="3"/>
  <c r="Q396" i="3"/>
  <c r="P396" i="3"/>
  <c r="O396" i="3"/>
  <c r="N396" i="3"/>
  <c r="M396" i="3"/>
  <c r="L396" i="3"/>
  <c r="K396" i="3"/>
  <c r="J396" i="3"/>
  <c r="I396" i="3"/>
  <c r="H396" i="3"/>
  <c r="G396" i="3"/>
  <c r="F396" i="3"/>
  <c r="E396" i="3"/>
  <c r="D396" i="3"/>
  <c r="B396" i="3"/>
  <c r="A396" i="3"/>
  <c r="R395" i="3"/>
  <c r="Q395" i="3"/>
  <c r="P395" i="3"/>
  <c r="O395" i="3"/>
  <c r="N395" i="3"/>
  <c r="M395" i="3"/>
  <c r="L395" i="3"/>
  <c r="K395" i="3"/>
  <c r="J395" i="3"/>
  <c r="I395" i="3"/>
  <c r="H395" i="3"/>
  <c r="G395" i="3"/>
  <c r="F395" i="3"/>
  <c r="E395" i="3"/>
  <c r="D395" i="3"/>
  <c r="B395" i="3"/>
  <c r="A395" i="3"/>
  <c r="R394" i="3"/>
  <c r="Q394" i="3"/>
  <c r="P394" i="3"/>
  <c r="O394" i="3"/>
  <c r="N394" i="3"/>
  <c r="M394" i="3"/>
  <c r="L394" i="3"/>
  <c r="K394" i="3"/>
  <c r="J394" i="3"/>
  <c r="I394" i="3"/>
  <c r="H394" i="3"/>
  <c r="G394" i="3"/>
  <c r="F394" i="3"/>
  <c r="E394" i="3"/>
  <c r="D394" i="3"/>
  <c r="B394" i="3"/>
  <c r="A394" i="3"/>
  <c r="R393" i="3"/>
  <c r="Q393" i="3"/>
  <c r="P393" i="3"/>
  <c r="O393" i="3"/>
  <c r="N393" i="3"/>
  <c r="M393" i="3"/>
  <c r="L393" i="3"/>
  <c r="K393" i="3"/>
  <c r="J393" i="3"/>
  <c r="I393" i="3"/>
  <c r="H393" i="3"/>
  <c r="G393" i="3"/>
  <c r="F393" i="3"/>
  <c r="E393" i="3"/>
  <c r="D393" i="3"/>
  <c r="B393" i="3"/>
  <c r="A393" i="3"/>
  <c r="R392" i="3"/>
  <c r="Q392" i="3"/>
  <c r="P392" i="3"/>
  <c r="O392" i="3"/>
  <c r="N392" i="3"/>
  <c r="M392" i="3"/>
  <c r="L392" i="3"/>
  <c r="K392" i="3"/>
  <c r="J392" i="3"/>
  <c r="I392" i="3"/>
  <c r="H392" i="3"/>
  <c r="G392" i="3"/>
  <c r="F392" i="3"/>
  <c r="E392" i="3"/>
  <c r="D392" i="3"/>
  <c r="B392" i="3"/>
  <c r="A392" i="3"/>
  <c r="R391" i="3"/>
  <c r="Q391" i="3"/>
  <c r="P391" i="3"/>
  <c r="O391" i="3"/>
  <c r="N391" i="3"/>
  <c r="M391" i="3"/>
  <c r="L391" i="3"/>
  <c r="K391" i="3"/>
  <c r="J391" i="3"/>
  <c r="I391" i="3"/>
  <c r="H391" i="3"/>
  <c r="G391" i="3"/>
  <c r="F391" i="3"/>
  <c r="E391" i="3"/>
  <c r="D391" i="3"/>
  <c r="B391" i="3"/>
  <c r="A391" i="3"/>
  <c r="R390" i="3"/>
  <c r="Q390" i="3"/>
  <c r="P390" i="3"/>
  <c r="O390" i="3"/>
  <c r="N390" i="3"/>
  <c r="M390" i="3"/>
  <c r="L390" i="3"/>
  <c r="K390" i="3"/>
  <c r="J390" i="3"/>
  <c r="I390" i="3"/>
  <c r="H390" i="3"/>
  <c r="G390" i="3"/>
  <c r="F390" i="3"/>
  <c r="E390" i="3"/>
  <c r="D390" i="3"/>
  <c r="B390" i="3"/>
  <c r="A390" i="3"/>
  <c r="R389" i="3"/>
  <c r="Q389" i="3"/>
  <c r="P389" i="3"/>
  <c r="O389" i="3"/>
  <c r="N389" i="3"/>
  <c r="M389" i="3"/>
  <c r="L389" i="3"/>
  <c r="K389" i="3"/>
  <c r="J389" i="3"/>
  <c r="I389" i="3"/>
  <c r="H389" i="3"/>
  <c r="G389" i="3"/>
  <c r="F389" i="3"/>
  <c r="E389" i="3"/>
  <c r="D389" i="3"/>
  <c r="B389" i="3"/>
  <c r="A389" i="3"/>
  <c r="R388" i="3"/>
  <c r="Q388" i="3"/>
  <c r="P388" i="3"/>
  <c r="O388" i="3"/>
  <c r="N388" i="3"/>
  <c r="M388" i="3"/>
  <c r="L388" i="3"/>
  <c r="K388" i="3"/>
  <c r="J388" i="3"/>
  <c r="I388" i="3"/>
  <c r="H388" i="3"/>
  <c r="G388" i="3"/>
  <c r="F388" i="3"/>
  <c r="E388" i="3"/>
  <c r="D388" i="3"/>
  <c r="B388" i="3"/>
  <c r="A388" i="3"/>
  <c r="R387" i="3"/>
  <c r="Q387" i="3"/>
  <c r="P387" i="3"/>
  <c r="O387" i="3"/>
  <c r="N387" i="3"/>
  <c r="M387" i="3"/>
  <c r="L387" i="3"/>
  <c r="K387" i="3"/>
  <c r="J387" i="3"/>
  <c r="I387" i="3"/>
  <c r="H387" i="3"/>
  <c r="G387" i="3"/>
  <c r="F387" i="3"/>
  <c r="E387" i="3"/>
  <c r="D387" i="3"/>
  <c r="B387" i="3"/>
  <c r="A387" i="3"/>
  <c r="R386" i="3"/>
  <c r="Q386" i="3"/>
  <c r="P386" i="3"/>
  <c r="O386" i="3"/>
  <c r="N386" i="3"/>
  <c r="M386" i="3"/>
  <c r="L386" i="3"/>
  <c r="K386" i="3"/>
  <c r="J386" i="3"/>
  <c r="I386" i="3"/>
  <c r="H386" i="3"/>
  <c r="G386" i="3"/>
  <c r="F386" i="3"/>
  <c r="E386" i="3"/>
  <c r="D386" i="3"/>
  <c r="B386" i="3"/>
  <c r="A386" i="3"/>
  <c r="R385" i="3"/>
  <c r="Q385" i="3"/>
  <c r="P385" i="3"/>
  <c r="O385" i="3"/>
  <c r="N385" i="3"/>
  <c r="M385" i="3"/>
  <c r="L385" i="3"/>
  <c r="K385" i="3"/>
  <c r="J385" i="3"/>
  <c r="I385" i="3"/>
  <c r="H385" i="3"/>
  <c r="G385" i="3"/>
  <c r="F385" i="3"/>
  <c r="E385" i="3"/>
  <c r="D385" i="3"/>
  <c r="B385" i="3"/>
  <c r="A385" i="3"/>
  <c r="R384" i="3"/>
  <c r="Q384" i="3"/>
  <c r="P384" i="3"/>
  <c r="O384" i="3"/>
  <c r="N384" i="3"/>
  <c r="M384" i="3"/>
  <c r="L384" i="3"/>
  <c r="K384" i="3"/>
  <c r="J384" i="3"/>
  <c r="I384" i="3"/>
  <c r="H384" i="3"/>
  <c r="G384" i="3"/>
  <c r="F384" i="3"/>
  <c r="E384" i="3"/>
  <c r="D384" i="3"/>
  <c r="B384" i="3"/>
  <c r="A384" i="3"/>
  <c r="R383" i="3"/>
  <c r="Q383" i="3"/>
  <c r="P383" i="3"/>
  <c r="O383" i="3"/>
  <c r="N383" i="3"/>
  <c r="M383" i="3"/>
  <c r="L383" i="3"/>
  <c r="K383" i="3"/>
  <c r="J383" i="3"/>
  <c r="I383" i="3"/>
  <c r="H383" i="3"/>
  <c r="G383" i="3"/>
  <c r="F383" i="3"/>
  <c r="E383" i="3"/>
  <c r="D383" i="3"/>
  <c r="B383" i="3"/>
  <c r="A383" i="3"/>
  <c r="R382" i="3"/>
  <c r="Q382" i="3"/>
  <c r="P382" i="3"/>
  <c r="O382" i="3"/>
  <c r="N382" i="3"/>
  <c r="M382" i="3"/>
  <c r="L382" i="3"/>
  <c r="K382" i="3"/>
  <c r="J382" i="3"/>
  <c r="I382" i="3"/>
  <c r="H382" i="3"/>
  <c r="G382" i="3"/>
  <c r="F382" i="3"/>
  <c r="E382" i="3"/>
  <c r="D382" i="3"/>
  <c r="B382" i="3"/>
  <c r="A382" i="3"/>
  <c r="R381" i="3"/>
  <c r="Q381" i="3"/>
  <c r="P381" i="3"/>
  <c r="O381" i="3"/>
  <c r="N381" i="3"/>
  <c r="M381" i="3"/>
  <c r="L381" i="3"/>
  <c r="K381" i="3"/>
  <c r="J381" i="3"/>
  <c r="I381" i="3"/>
  <c r="H381" i="3"/>
  <c r="G381" i="3"/>
  <c r="F381" i="3"/>
  <c r="E381" i="3"/>
  <c r="D381" i="3"/>
  <c r="B381" i="3"/>
  <c r="A381" i="3"/>
  <c r="R380" i="3"/>
  <c r="Q380" i="3"/>
  <c r="P380" i="3"/>
  <c r="O380" i="3"/>
  <c r="N380" i="3"/>
  <c r="M380" i="3"/>
  <c r="L380" i="3"/>
  <c r="K380" i="3"/>
  <c r="J380" i="3"/>
  <c r="I380" i="3"/>
  <c r="H380" i="3"/>
  <c r="G380" i="3"/>
  <c r="F380" i="3"/>
  <c r="E380" i="3"/>
  <c r="D380" i="3"/>
  <c r="B380" i="3"/>
  <c r="A380" i="3"/>
  <c r="R379" i="3"/>
  <c r="Q379" i="3"/>
  <c r="P379" i="3"/>
  <c r="O379" i="3"/>
  <c r="N379" i="3"/>
  <c r="M379" i="3"/>
  <c r="L379" i="3"/>
  <c r="K379" i="3"/>
  <c r="J379" i="3"/>
  <c r="I379" i="3"/>
  <c r="H379" i="3"/>
  <c r="G379" i="3"/>
  <c r="F379" i="3"/>
  <c r="E379" i="3"/>
  <c r="D379" i="3"/>
  <c r="B379" i="3"/>
  <c r="A379" i="3"/>
  <c r="R378" i="3"/>
  <c r="Q378" i="3"/>
  <c r="P378" i="3"/>
  <c r="O378" i="3"/>
  <c r="N378" i="3"/>
  <c r="M378" i="3"/>
  <c r="L378" i="3"/>
  <c r="K378" i="3"/>
  <c r="J378" i="3"/>
  <c r="I378" i="3"/>
  <c r="H378" i="3"/>
  <c r="G378" i="3"/>
  <c r="F378" i="3"/>
  <c r="E378" i="3"/>
  <c r="D378" i="3"/>
  <c r="B378" i="3"/>
  <c r="A378" i="3"/>
  <c r="R377" i="3"/>
  <c r="Q377" i="3"/>
  <c r="P377" i="3"/>
  <c r="O377" i="3"/>
  <c r="N377" i="3"/>
  <c r="M377" i="3"/>
  <c r="L377" i="3"/>
  <c r="K377" i="3"/>
  <c r="J377" i="3"/>
  <c r="I377" i="3"/>
  <c r="H377" i="3"/>
  <c r="G377" i="3"/>
  <c r="F377" i="3"/>
  <c r="E377" i="3"/>
  <c r="D377" i="3"/>
  <c r="B377" i="3"/>
  <c r="A377" i="3"/>
  <c r="R376" i="3"/>
  <c r="Q376" i="3"/>
  <c r="P376" i="3"/>
  <c r="O376" i="3"/>
  <c r="N376" i="3"/>
  <c r="M376" i="3"/>
  <c r="L376" i="3"/>
  <c r="K376" i="3"/>
  <c r="J376" i="3"/>
  <c r="I376" i="3"/>
  <c r="H376" i="3"/>
  <c r="G376" i="3"/>
  <c r="F376" i="3"/>
  <c r="E376" i="3"/>
  <c r="D376" i="3"/>
  <c r="B376" i="3"/>
  <c r="A376" i="3"/>
  <c r="R375" i="3"/>
  <c r="Q375" i="3"/>
  <c r="P375" i="3"/>
  <c r="O375" i="3"/>
  <c r="N375" i="3"/>
  <c r="M375" i="3"/>
  <c r="L375" i="3"/>
  <c r="K375" i="3"/>
  <c r="J375" i="3"/>
  <c r="I375" i="3"/>
  <c r="H375" i="3"/>
  <c r="G375" i="3"/>
  <c r="F375" i="3"/>
  <c r="E375" i="3"/>
  <c r="D375" i="3"/>
  <c r="B375" i="3"/>
  <c r="A375" i="3"/>
  <c r="R374" i="3"/>
  <c r="Q374" i="3"/>
  <c r="P374" i="3"/>
  <c r="O374" i="3"/>
  <c r="N374" i="3"/>
  <c r="M374" i="3"/>
  <c r="L374" i="3"/>
  <c r="K374" i="3"/>
  <c r="J374" i="3"/>
  <c r="I374" i="3"/>
  <c r="H374" i="3"/>
  <c r="G374" i="3"/>
  <c r="F374" i="3"/>
  <c r="E374" i="3"/>
  <c r="D374" i="3"/>
  <c r="B374" i="3"/>
  <c r="A374" i="3"/>
  <c r="R373" i="3"/>
  <c r="Q373" i="3"/>
  <c r="P373" i="3"/>
  <c r="O373" i="3"/>
  <c r="N373" i="3"/>
  <c r="M373" i="3"/>
  <c r="L373" i="3"/>
  <c r="K373" i="3"/>
  <c r="J373" i="3"/>
  <c r="I373" i="3"/>
  <c r="H373" i="3"/>
  <c r="G373" i="3"/>
  <c r="F373" i="3"/>
  <c r="E373" i="3"/>
  <c r="D373" i="3"/>
  <c r="B373" i="3"/>
  <c r="A373" i="3"/>
  <c r="R372" i="3"/>
  <c r="Q372" i="3"/>
  <c r="P372" i="3"/>
  <c r="O372" i="3"/>
  <c r="N372" i="3"/>
  <c r="M372" i="3"/>
  <c r="L372" i="3"/>
  <c r="K372" i="3"/>
  <c r="J372" i="3"/>
  <c r="I372" i="3"/>
  <c r="H372" i="3"/>
  <c r="G372" i="3"/>
  <c r="F372" i="3"/>
  <c r="E372" i="3"/>
  <c r="D372" i="3"/>
  <c r="B372" i="3"/>
  <c r="A372" i="3"/>
  <c r="R371" i="3"/>
  <c r="Q371" i="3"/>
  <c r="P371" i="3"/>
  <c r="O371" i="3"/>
  <c r="N371" i="3"/>
  <c r="M371" i="3"/>
  <c r="L371" i="3"/>
  <c r="K371" i="3"/>
  <c r="J371" i="3"/>
  <c r="I371" i="3"/>
  <c r="H371" i="3"/>
  <c r="G371" i="3"/>
  <c r="F371" i="3"/>
  <c r="E371" i="3"/>
  <c r="D371" i="3"/>
  <c r="B371" i="3"/>
  <c r="A371" i="3"/>
  <c r="R370" i="3"/>
  <c r="Q370" i="3"/>
  <c r="P370" i="3"/>
  <c r="O370" i="3"/>
  <c r="N370" i="3"/>
  <c r="M370" i="3"/>
  <c r="L370" i="3"/>
  <c r="K370" i="3"/>
  <c r="J370" i="3"/>
  <c r="I370" i="3"/>
  <c r="H370" i="3"/>
  <c r="G370" i="3"/>
  <c r="F370" i="3"/>
  <c r="E370" i="3"/>
  <c r="D370" i="3"/>
  <c r="B370" i="3"/>
  <c r="A370" i="3"/>
  <c r="R369" i="3"/>
  <c r="Q369" i="3"/>
  <c r="P369" i="3"/>
  <c r="O369" i="3"/>
  <c r="N369" i="3"/>
  <c r="M369" i="3"/>
  <c r="L369" i="3"/>
  <c r="K369" i="3"/>
  <c r="J369" i="3"/>
  <c r="I369" i="3"/>
  <c r="H369" i="3"/>
  <c r="G369" i="3"/>
  <c r="F369" i="3"/>
  <c r="E369" i="3"/>
  <c r="D369" i="3"/>
  <c r="B369" i="3"/>
  <c r="A369" i="3"/>
  <c r="R368" i="3"/>
  <c r="Q368" i="3"/>
  <c r="P368" i="3"/>
  <c r="O368" i="3"/>
  <c r="N368" i="3"/>
  <c r="M368" i="3"/>
  <c r="L368" i="3"/>
  <c r="K368" i="3"/>
  <c r="J368" i="3"/>
  <c r="I368" i="3"/>
  <c r="H368" i="3"/>
  <c r="G368" i="3"/>
  <c r="F368" i="3"/>
  <c r="E368" i="3"/>
  <c r="D368" i="3"/>
  <c r="B368" i="3"/>
  <c r="A368" i="3"/>
  <c r="R367" i="3"/>
  <c r="Q367" i="3"/>
  <c r="P367" i="3"/>
  <c r="O367" i="3"/>
  <c r="N367" i="3"/>
  <c r="M367" i="3"/>
  <c r="L367" i="3"/>
  <c r="K367" i="3"/>
  <c r="J367" i="3"/>
  <c r="I367" i="3"/>
  <c r="H367" i="3"/>
  <c r="G367" i="3"/>
  <c r="F367" i="3"/>
  <c r="E367" i="3"/>
  <c r="D367" i="3"/>
  <c r="B367" i="3"/>
  <c r="A367" i="3"/>
  <c r="R366" i="3"/>
  <c r="Q366" i="3"/>
  <c r="P366" i="3"/>
  <c r="O366" i="3"/>
  <c r="N366" i="3"/>
  <c r="M366" i="3"/>
  <c r="L366" i="3"/>
  <c r="K366" i="3"/>
  <c r="J366" i="3"/>
  <c r="I366" i="3"/>
  <c r="H366" i="3"/>
  <c r="G366" i="3"/>
  <c r="F366" i="3"/>
  <c r="E366" i="3"/>
  <c r="D366" i="3"/>
  <c r="B366" i="3"/>
  <c r="A366" i="3"/>
  <c r="R365" i="3"/>
  <c r="Q365" i="3"/>
  <c r="P365" i="3"/>
  <c r="O365" i="3"/>
  <c r="N365" i="3"/>
  <c r="M365" i="3"/>
  <c r="L365" i="3"/>
  <c r="K365" i="3"/>
  <c r="J365" i="3"/>
  <c r="I365" i="3"/>
  <c r="H365" i="3"/>
  <c r="G365" i="3"/>
  <c r="F365" i="3"/>
  <c r="E365" i="3"/>
  <c r="D365" i="3"/>
  <c r="B365" i="3"/>
  <c r="A365" i="3"/>
  <c r="R364" i="3"/>
  <c r="Q364" i="3"/>
  <c r="P364" i="3"/>
  <c r="O364" i="3"/>
  <c r="N364" i="3"/>
  <c r="M364" i="3"/>
  <c r="L364" i="3"/>
  <c r="K364" i="3"/>
  <c r="J364" i="3"/>
  <c r="I364" i="3"/>
  <c r="H364" i="3"/>
  <c r="G364" i="3"/>
  <c r="F364" i="3"/>
  <c r="E364" i="3"/>
  <c r="D364" i="3"/>
  <c r="B364" i="3"/>
  <c r="A364" i="3"/>
  <c r="R363" i="3"/>
  <c r="Q363" i="3"/>
  <c r="P363" i="3"/>
  <c r="O363" i="3"/>
  <c r="N363" i="3"/>
  <c r="M363" i="3"/>
  <c r="L363" i="3"/>
  <c r="K363" i="3"/>
  <c r="J363" i="3"/>
  <c r="I363" i="3"/>
  <c r="H363" i="3"/>
  <c r="G363" i="3"/>
  <c r="F363" i="3"/>
  <c r="E363" i="3"/>
  <c r="D363" i="3"/>
  <c r="B363" i="3"/>
  <c r="A363" i="3"/>
  <c r="R362" i="3"/>
  <c r="Q362" i="3"/>
  <c r="P362" i="3"/>
  <c r="O362" i="3"/>
  <c r="N362" i="3"/>
  <c r="M362" i="3"/>
  <c r="L362" i="3"/>
  <c r="K362" i="3"/>
  <c r="J362" i="3"/>
  <c r="I362" i="3"/>
  <c r="H362" i="3"/>
  <c r="G362" i="3"/>
  <c r="F362" i="3"/>
  <c r="E362" i="3"/>
  <c r="D362" i="3"/>
  <c r="B362" i="3"/>
  <c r="A362" i="3"/>
  <c r="R361" i="3"/>
  <c r="Q361" i="3"/>
  <c r="P361" i="3"/>
  <c r="O361" i="3"/>
  <c r="N361" i="3"/>
  <c r="M361" i="3"/>
  <c r="L361" i="3"/>
  <c r="K361" i="3"/>
  <c r="J361" i="3"/>
  <c r="I361" i="3"/>
  <c r="H361" i="3"/>
  <c r="G361" i="3"/>
  <c r="F361" i="3"/>
  <c r="E361" i="3"/>
  <c r="D361" i="3"/>
  <c r="B361" i="3"/>
  <c r="A361" i="3"/>
  <c r="R360" i="3"/>
  <c r="Q360" i="3"/>
  <c r="P360" i="3"/>
  <c r="O360" i="3"/>
  <c r="N360" i="3"/>
  <c r="M360" i="3"/>
  <c r="L360" i="3"/>
  <c r="K360" i="3"/>
  <c r="J360" i="3"/>
  <c r="I360" i="3"/>
  <c r="H360" i="3"/>
  <c r="G360" i="3"/>
  <c r="F360" i="3"/>
  <c r="E360" i="3"/>
  <c r="D360" i="3"/>
  <c r="B360" i="3"/>
  <c r="A360" i="3"/>
  <c r="R359" i="3"/>
  <c r="Q359" i="3"/>
  <c r="P359" i="3"/>
  <c r="O359" i="3"/>
  <c r="N359" i="3"/>
  <c r="M359" i="3"/>
  <c r="L359" i="3"/>
  <c r="K359" i="3"/>
  <c r="J359" i="3"/>
  <c r="I359" i="3"/>
  <c r="H359" i="3"/>
  <c r="G359" i="3"/>
  <c r="F359" i="3"/>
  <c r="E359" i="3"/>
  <c r="D359" i="3"/>
  <c r="B359" i="3"/>
  <c r="A359" i="3"/>
  <c r="R358" i="3"/>
  <c r="Q358" i="3"/>
  <c r="P358" i="3"/>
  <c r="O358" i="3"/>
  <c r="N358" i="3"/>
  <c r="M358" i="3"/>
  <c r="L358" i="3"/>
  <c r="K358" i="3"/>
  <c r="J358" i="3"/>
  <c r="I358" i="3"/>
  <c r="H358" i="3"/>
  <c r="G358" i="3"/>
  <c r="F358" i="3"/>
  <c r="E358" i="3"/>
  <c r="D358" i="3"/>
  <c r="B358" i="3"/>
  <c r="A358" i="3"/>
  <c r="R357" i="3"/>
  <c r="Q357" i="3"/>
  <c r="P357" i="3"/>
  <c r="O357" i="3"/>
  <c r="N357" i="3"/>
  <c r="M357" i="3"/>
  <c r="L357" i="3"/>
  <c r="K357" i="3"/>
  <c r="J357" i="3"/>
  <c r="I357" i="3"/>
  <c r="H357" i="3"/>
  <c r="G357" i="3"/>
  <c r="F357" i="3"/>
  <c r="E357" i="3"/>
  <c r="D357" i="3"/>
  <c r="B357" i="3"/>
  <c r="A357" i="3"/>
  <c r="R356" i="3"/>
  <c r="Q356" i="3"/>
  <c r="P356" i="3"/>
  <c r="O356" i="3"/>
  <c r="N356" i="3"/>
  <c r="M356" i="3"/>
  <c r="L356" i="3"/>
  <c r="K356" i="3"/>
  <c r="J356" i="3"/>
  <c r="I356" i="3"/>
  <c r="H356" i="3"/>
  <c r="G356" i="3"/>
  <c r="F356" i="3"/>
  <c r="E356" i="3"/>
  <c r="D356" i="3"/>
  <c r="B356" i="3"/>
  <c r="A356" i="3"/>
  <c r="R355" i="3"/>
  <c r="Q355" i="3"/>
  <c r="P355" i="3"/>
  <c r="O355" i="3"/>
  <c r="N355" i="3"/>
  <c r="M355" i="3"/>
  <c r="L355" i="3"/>
  <c r="K355" i="3"/>
  <c r="J355" i="3"/>
  <c r="I355" i="3"/>
  <c r="H355" i="3"/>
  <c r="G355" i="3"/>
  <c r="F355" i="3"/>
  <c r="E355" i="3"/>
  <c r="D355" i="3"/>
  <c r="B355" i="3"/>
  <c r="A355" i="3"/>
  <c r="R354" i="3"/>
  <c r="Q354" i="3"/>
  <c r="P354" i="3"/>
  <c r="O354" i="3"/>
  <c r="N354" i="3"/>
  <c r="M354" i="3"/>
  <c r="L354" i="3"/>
  <c r="K354" i="3"/>
  <c r="J354" i="3"/>
  <c r="I354" i="3"/>
  <c r="H354" i="3"/>
  <c r="G354" i="3"/>
  <c r="F354" i="3"/>
  <c r="E354" i="3"/>
  <c r="D354" i="3"/>
  <c r="B354" i="3"/>
  <c r="A354" i="3"/>
  <c r="R353" i="3"/>
  <c r="Q353" i="3"/>
  <c r="P353" i="3"/>
  <c r="O353" i="3"/>
  <c r="N353" i="3"/>
  <c r="M353" i="3"/>
  <c r="L353" i="3"/>
  <c r="K353" i="3"/>
  <c r="J353" i="3"/>
  <c r="I353" i="3"/>
  <c r="H353" i="3"/>
  <c r="G353" i="3"/>
  <c r="F353" i="3"/>
  <c r="E353" i="3"/>
  <c r="D353" i="3"/>
  <c r="B353" i="3"/>
  <c r="A353" i="3"/>
  <c r="R352" i="3"/>
  <c r="Q352" i="3"/>
  <c r="P352" i="3"/>
  <c r="O352" i="3"/>
  <c r="N352" i="3"/>
  <c r="M352" i="3"/>
  <c r="L352" i="3"/>
  <c r="K352" i="3"/>
  <c r="J352" i="3"/>
  <c r="I352" i="3"/>
  <c r="H352" i="3"/>
  <c r="G352" i="3"/>
  <c r="F352" i="3"/>
  <c r="E352" i="3"/>
  <c r="D352" i="3"/>
  <c r="B352" i="3"/>
  <c r="A352" i="3"/>
  <c r="R351" i="3"/>
  <c r="Q351" i="3"/>
  <c r="P351" i="3"/>
  <c r="O351" i="3"/>
  <c r="N351" i="3"/>
  <c r="M351" i="3"/>
  <c r="L351" i="3"/>
  <c r="K351" i="3"/>
  <c r="J351" i="3"/>
  <c r="I351" i="3"/>
  <c r="H351" i="3"/>
  <c r="G351" i="3"/>
  <c r="F351" i="3"/>
  <c r="E351" i="3"/>
  <c r="D351" i="3"/>
  <c r="B351" i="3"/>
  <c r="A351" i="3"/>
  <c r="R350" i="3"/>
  <c r="Q350" i="3"/>
  <c r="P350" i="3"/>
  <c r="O350" i="3"/>
  <c r="N350" i="3"/>
  <c r="M350" i="3"/>
  <c r="L350" i="3"/>
  <c r="K350" i="3"/>
  <c r="J350" i="3"/>
  <c r="I350" i="3"/>
  <c r="H350" i="3"/>
  <c r="G350" i="3"/>
  <c r="F350" i="3"/>
  <c r="E350" i="3"/>
  <c r="D350" i="3"/>
  <c r="B350" i="3"/>
  <c r="A350" i="3"/>
  <c r="R349" i="3"/>
  <c r="Q349" i="3"/>
  <c r="P349" i="3"/>
  <c r="O349" i="3"/>
  <c r="N349" i="3"/>
  <c r="M349" i="3"/>
  <c r="L349" i="3"/>
  <c r="K349" i="3"/>
  <c r="J349" i="3"/>
  <c r="I349" i="3"/>
  <c r="H349" i="3"/>
  <c r="G349" i="3"/>
  <c r="F349" i="3"/>
  <c r="E349" i="3"/>
  <c r="D349" i="3"/>
  <c r="B349" i="3"/>
  <c r="A349" i="3"/>
  <c r="R348" i="3"/>
  <c r="Q348" i="3"/>
  <c r="P348" i="3"/>
  <c r="O348" i="3"/>
  <c r="N348" i="3"/>
  <c r="M348" i="3"/>
  <c r="L348" i="3"/>
  <c r="K348" i="3"/>
  <c r="J348" i="3"/>
  <c r="I348" i="3"/>
  <c r="H348" i="3"/>
  <c r="G348" i="3"/>
  <c r="F348" i="3"/>
  <c r="E348" i="3"/>
  <c r="D348" i="3"/>
  <c r="B348" i="3"/>
  <c r="A348" i="3"/>
  <c r="R347" i="3"/>
  <c r="Q347" i="3"/>
  <c r="P347" i="3"/>
  <c r="O347" i="3"/>
  <c r="N347" i="3"/>
  <c r="M347" i="3"/>
  <c r="L347" i="3"/>
  <c r="K347" i="3"/>
  <c r="J347" i="3"/>
  <c r="I347" i="3"/>
  <c r="H347" i="3"/>
  <c r="G347" i="3"/>
  <c r="F347" i="3"/>
  <c r="E347" i="3"/>
  <c r="D347" i="3"/>
  <c r="B347" i="3"/>
  <c r="A347" i="3"/>
  <c r="R346" i="3"/>
  <c r="Q346" i="3"/>
  <c r="P346" i="3"/>
  <c r="O346" i="3"/>
  <c r="N346" i="3"/>
  <c r="M346" i="3"/>
  <c r="L346" i="3"/>
  <c r="K346" i="3"/>
  <c r="J346" i="3"/>
  <c r="I346" i="3"/>
  <c r="H346" i="3"/>
  <c r="G346" i="3"/>
  <c r="F346" i="3"/>
  <c r="E346" i="3"/>
  <c r="D346" i="3"/>
  <c r="B346" i="3"/>
  <c r="A346" i="3"/>
  <c r="R345" i="3"/>
  <c r="Q345" i="3"/>
  <c r="P345" i="3"/>
  <c r="O345" i="3"/>
  <c r="N345" i="3"/>
  <c r="M345" i="3"/>
  <c r="L345" i="3"/>
  <c r="K345" i="3"/>
  <c r="J345" i="3"/>
  <c r="I345" i="3"/>
  <c r="H345" i="3"/>
  <c r="G345" i="3"/>
  <c r="F345" i="3"/>
  <c r="E345" i="3"/>
  <c r="D345" i="3"/>
  <c r="B345" i="3"/>
  <c r="A345" i="3"/>
  <c r="R344" i="3"/>
  <c r="Q344" i="3"/>
  <c r="P344" i="3"/>
  <c r="O344" i="3"/>
  <c r="N344" i="3"/>
  <c r="M344" i="3"/>
  <c r="L344" i="3"/>
  <c r="K344" i="3"/>
  <c r="J344" i="3"/>
  <c r="I344" i="3"/>
  <c r="H344" i="3"/>
  <c r="G344" i="3"/>
  <c r="F344" i="3"/>
  <c r="E344" i="3"/>
  <c r="D344" i="3"/>
  <c r="B344" i="3"/>
  <c r="A344" i="3"/>
  <c r="R343" i="3"/>
  <c r="Q343" i="3"/>
  <c r="P343" i="3"/>
  <c r="O343" i="3"/>
  <c r="N343" i="3"/>
  <c r="M343" i="3"/>
  <c r="L343" i="3"/>
  <c r="K343" i="3"/>
  <c r="J343" i="3"/>
  <c r="I343" i="3"/>
  <c r="H343" i="3"/>
  <c r="G343" i="3"/>
  <c r="F343" i="3"/>
  <c r="E343" i="3"/>
  <c r="D343" i="3"/>
  <c r="B343" i="3"/>
  <c r="A343" i="3"/>
  <c r="R342" i="3"/>
  <c r="Q342" i="3"/>
  <c r="P342" i="3"/>
  <c r="O342" i="3"/>
  <c r="N342" i="3"/>
  <c r="M342" i="3"/>
  <c r="L342" i="3"/>
  <c r="K342" i="3"/>
  <c r="J342" i="3"/>
  <c r="I342" i="3"/>
  <c r="H342" i="3"/>
  <c r="G342" i="3"/>
  <c r="F342" i="3"/>
  <c r="E342" i="3"/>
  <c r="D342" i="3"/>
  <c r="B342" i="3"/>
  <c r="A342" i="3"/>
  <c r="R341" i="3"/>
  <c r="Q341" i="3"/>
  <c r="P341" i="3"/>
  <c r="O341" i="3"/>
  <c r="N341" i="3"/>
  <c r="M341" i="3"/>
  <c r="L341" i="3"/>
  <c r="K341" i="3"/>
  <c r="J341" i="3"/>
  <c r="I341" i="3"/>
  <c r="H341" i="3"/>
  <c r="G341" i="3"/>
  <c r="F341" i="3"/>
  <c r="E341" i="3"/>
  <c r="D341" i="3"/>
  <c r="B341" i="3"/>
  <c r="A341" i="3"/>
  <c r="R340" i="3"/>
  <c r="Q340" i="3"/>
  <c r="P340" i="3"/>
  <c r="O340" i="3"/>
  <c r="N340" i="3"/>
  <c r="M340" i="3"/>
  <c r="L340" i="3"/>
  <c r="K340" i="3"/>
  <c r="J340" i="3"/>
  <c r="I340" i="3"/>
  <c r="H340" i="3"/>
  <c r="G340" i="3"/>
  <c r="F340" i="3"/>
  <c r="E340" i="3"/>
  <c r="D340" i="3"/>
  <c r="B340" i="3"/>
  <c r="A340" i="3"/>
  <c r="R339" i="3"/>
  <c r="Q339" i="3"/>
  <c r="P339" i="3"/>
  <c r="O339" i="3"/>
  <c r="N339" i="3"/>
  <c r="M339" i="3"/>
  <c r="L339" i="3"/>
  <c r="K339" i="3"/>
  <c r="J339" i="3"/>
  <c r="I339" i="3"/>
  <c r="H339" i="3"/>
  <c r="G339" i="3"/>
  <c r="F339" i="3"/>
  <c r="E339" i="3"/>
  <c r="D339" i="3"/>
  <c r="B339" i="3"/>
  <c r="A339" i="3"/>
  <c r="R338" i="3"/>
  <c r="Q338" i="3"/>
  <c r="P338" i="3"/>
  <c r="O338" i="3"/>
  <c r="N338" i="3"/>
  <c r="M338" i="3"/>
  <c r="L338" i="3"/>
  <c r="K338" i="3"/>
  <c r="J338" i="3"/>
  <c r="I338" i="3"/>
  <c r="H338" i="3"/>
  <c r="G338" i="3"/>
  <c r="F338" i="3"/>
  <c r="E338" i="3"/>
  <c r="D338" i="3"/>
  <c r="B338" i="3"/>
  <c r="A338" i="3"/>
  <c r="R337" i="3"/>
  <c r="Q337" i="3"/>
  <c r="P337" i="3"/>
  <c r="O337" i="3"/>
  <c r="N337" i="3"/>
  <c r="M337" i="3"/>
  <c r="L337" i="3"/>
  <c r="K337" i="3"/>
  <c r="J337" i="3"/>
  <c r="I337" i="3"/>
  <c r="H337" i="3"/>
  <c r="G337" i="3"/>
  <c r="F337" i="3"/>
  <c r="E337" i="3"/>
  <c r="D337" i="3"/>
  <c r="B337" i="3"/>
  <c r="A337" i="3"/>
  <c r="R336" i="3"/>
  <c r="Q336" i="3"/>
  <c r="P336" i="3"/>
  <c r="O336" i="3"/>
  <c r="N336" i="3"/>
  <c r="M336" i="3"/>
  <c r="L336" i="3"/>
  <c r="K336" i="3"/>
  <c r="J336" i="3"/>
  <c r="I336" i="3"/>
  <c r="H336" i="3"/>
  <c r="G336" i="3"/>
  <c r="F336" i="3"/>
  <c r="E336" i="3"/>
  <c r="D336" i="3"/>
  <c r="B336" i="3"/>
  <c r="A336" i="3"/>
  <c r="R335" i="3"/>
  <c r="Q335" i="3"/>
  <c r="P335" i="3"/>
  <c r="O335" i="3"/>
  <c r="N335" i="3"/>
  <c r="M335" i="3"/>
  <c r="L335" i="3"/>
  <c r="K335" i="3"/>
  <c r="J335" i="3"/>
  <c r="I335" i="3"/>
  <c r="H335" i="3"/>
  <c r="G335" i="3"/>
  <c r="F335" i="3"/>
  <c r="E335" i="3"/>
  <c r="D335" i="3"/>
  <c r="B335" i="3"/>
  <c r="A335" i="3"/>
  <c r="R334" i="3"/>
  <c r="Q334" i="3"/>
  <c r="P334" i="3"/>
  <c r="O334" i="3"/>
  <c r="N334" i="3"/>
  <c r="M334" i="3"/>
  <c r="L334" i="3"/>
  <c r="K334" i="3"/>
  <c r="J334" i="3"/>
  <c r="I334" i="3"/>
  <c r="H334" i="3"/>
  <c r="G334" i="3"/>
  <c r="F334" i="3"/>
  <c r="E334" i="3"/>
  <c r="D334" i="3"/>
  <c r="B334" i="3"/>
  <c r="A334" i="3"/>
  <c r="R333" i="3"/>
  <c r="Q333" i="3"/>
  <c r="P333" i="3"/>
  <c r="O333" i="3"/>
  <c r="N333" i="3"/>
  <c r="M333" i="3"/>
  <c r="L333" i="3"/>
  <c r="K333" i="3"/>
  <c r="J333" i="3"/>
  <c r="I333" i="3"/>
  <c r="H333" i="3"/>
  <c r="G333" i="3"/>
  <c r="F333" i="3"/>
  <c r="E333" i="3"/>
  <c r="D333" i="3"/>
  <c r="B333" i="3"/>
  <c r="A333" i="3"/>
  <c r="R332" i="3"/>
  <c r="Q332" i="3"/>
  <c r="P332" i="3"/>
  <c r="O332" i="3"/>
  <c r="N332" i="3"/>
  <c r="M332" i="3"/>
  <c r="L332" i="3"/>
  <c r="K332" i="3"/>
  <c r="J332" i="3"/>
  <c r="I332" i="3"/>
  <c r="H332" i="3"/>
  <c r="G332" i="3"/>
  <c r="F332" i="3"/>
  <c r="E332" i="3"/>
  <c r="D332" i="3"/>
  <c r="B332" i="3"/>
  <c r="A332" i="3"/>
  <c r="R331" i="3"/>
  <c r="Q331" i="3"/>
  <c r="P331" i="3"/>
  <c r="O331" i="3"/>
  <c r="N331" i="3"/>
  <c r="M331" i="3"/>
  <c r="L331" i="3"/>
  <c r="K331" i="3"/>
  <c r="J331" i="3"/>
  <c r="I331" i="3"/>
  <c r="H331" i="3"/>
  <c r="G331" i="3"/>
  <c r="F331" i="3"/>
  <c r="E331" i="3"/>
  <c r="D331" i="3"/>
  <c r="B331" i="3"/>
  <c r="A331" i="3"/>
  <c r="R330" i="3"/>
  <c r="Q330" i="3"/>
  <c r="P330" i="3"/>
  <c r="O330" i="3"/>
  <c r="N330" i="3"/>
  <c r="M330" i="3"/>
  <c r="L330" i="3"/>
  <c r="K330" i="3"/>
  <c r="J330" i="3"/>
  <c r="I330" i="3"/>
  <c r="H330" i="3"/>
  <c r="G330" i="3"/>
  <c r="F330" i="3"/>
  <c r="E330" i="3"/>
  <c r="D330" i="3"/>
  <c r="B330" i="3"/>
  <c r="A330" i="3"/>
  <c r="R329" i="3"/>
  <c r="Q329" i="3"/>
  <c r="P329" i="3"/>
  <c r="O329" i="3"/>
  <c r="N329" i="3"/>
  <c r="M329" i="3"/>
  <c r="L329" i="3"/>
  <c r="K329" i="3"/>
  <c r="J329" i="3"/>
  <c r="I329" i="3"/>
  <c r="H329" i="3"/>
  <c r="G329" i="3"/>
  <c r="F329" i="3"/>
  <c r="E329" i="3"/>
  <c r="D329" i="3"/>
  <c r="B329" i="3"/>
  <c r="A329" i="3"/>
  <c r="R328" i="3"/>
  <c r="Q328" i="3"/>
  <c r="P328" i="3"/>
  <c r="O328" i="3"/>
  <c r="N328" i="3"/>
  <c r="M328" i="3"/>
  <c r="L328" i="3"/>
  <c r="K328" i="3"/>
  <c r="J328" i="3"/>
  <c r="I328" i="3"/>
  <c r="H328" i="3"/>
  <c r="G328" i="3"/>
  <c r="F328" i="3"/>
  <c r="E328" i="3"/>
  <c r="D328" i="3"/>
  <c r="B328" i="3"/>
  <c r="A328" i="3"/>
  <c r="R327" i="3"/>
  <c r="Q327" i="3"/>
  <c r="P327" i="3"/>
  <c r="O327" i="3"/>
  <c r="N327" i="3"/>
  <c r="M327" i="3"/>
  <c r="L327" i="3"/>
  <c r="K327" i="3"/>
  <c r="J327" i="3"/>
  <c r="I327" i="3"/>
  <c r="H327" i="3"/>
  <c r="G327" i="3"/>
  <c r="F327" i="3"/>
  <c r="E327" i="3"/>
  <c r="D327" i="3"/>
  <c r="B327" i="3"/>
  <c r="A327" i="3"/>
  <c r="R326" i="3"/>
  <c r="Q326" i="3"/>
  <c r="P326" i="3"/>
  <c r="O326" i="3"/>
  <c r="N326" i="3"/>
  <c r="M326" i="3"/>
  <c r="L326" i="3"/>
  <c r="K326" i="3"/>
  <c r="J326" i="3"/>
  <c r="I326" i="3"/>
  <c r="H326" i="3"/>
  <c r="G326" i="3"/>
  <c r="F326" i="3"/>
  <c r="E326" i="3"/>
  <c r="D326" i="3"/>
  <c r="B326" i="3"/>
  <c r="A326" i="3"/>
  <c r="R325" i="3"/>
  <c r="Q325" i="3"/>
  <c r="P325" i="3"/>
  <c r="O325" i="3"/>
  <c r="N325" i="3"/>
  <c r="M325" i="3"/>
  <c r="L325" i="3"/>
  <c r="K325" i="3"/>
  <c r="J325" i="3"/>
  <c r="I325" i="3"/>
  <c r="H325" i="3"/>
  <c r="G325" i="3"/>
  <c r="F325" i="3"/>
  <c r="E325" i="3"/>
  <c r="D325" i="3"/>
  <c r="B325" i="3"/>
  <c r="A325" i="3"/>
  <c r="R324" i="3"/>
  <c r="Q324" i="3"/>
  <c r="P324" i="3"/>
  <c r="O324" i="3"/>
  <c r="N324" i="3"/>
  <c r="M324" i="3"/>
  <c r="L324" i="3"/>
  <c r="K324" i="3"/>
  <c r="J324" i="3"/>
  <c r="I324" i="3"/>
  <c r="H324" i="3"/>
  <c r="G324" i="3"/>
  <c r="F324" i="3"/>
  <c r="E324" i="3"/>
  <c r="D324" i="3"/>
  <c r="B324" i="3"/>
  <c r="A324" i="3"/>
  <c r="R323" i="3"/>
  <c r="Q323" i="3"/>
  <c r="P323" i="3"/>
  <c r="O323" i="3"/>
  <c r="N323" i="3"/>
  <c r="M323" i="3"/>
  <c r="L323" i="3"/>
  <c r="K323" i="3"/>
  <c r="J323" i="3"/>
  <c r="I323" i="3"/>
  <c r="H323" i="3"/>
  <c r="G323" i="3"/>
  <c r="F323" i="3"/>
  <c r="E323" i="3"/>
  <c r="D323" i="3"/>
  <c r="B323" i="3"/>
  <c r="A323" i="3"/>
  <c r="R322" i="3"/>
  <c r="Q322" i="3"/>
  <c r="P322" i="3"/>
  <c r="O322" i="3"/>
  <c r="N322" i="3"/>
  <c r="M322" i="3"/>
  <c r="L322" i="3"/>
  <c r="K322" i="3"/>
  <c r="J322" i="3"/>
  <c r="I322" i="3"/>
  <c r="H322" i="3"/>
  <c r="G322" i="3"/>
  <c r="F322" i="3"/>
  <c r="E322" i="3"/>
  <c r="D322" i="3"/>
  <c r="B322" i="3"/>
  <c r="A322" i="3"/>
  <c r="R321" i="3"/>
  <c r="Q321" i="3"/>
  <c r="P321" i="3"/>
  <c r="O321" i="3"/>
  <c r="N321" i="3"/>
  <c r="M321" i="3"/>
  <c r="L321" i="3"/>
  <c r="K321" i="3"/>
  <c r="J321" i="3"/>
  <c r="I321" i="3"/>
  <c r="H321" i="3"/>
  <c r="G321" i="3"/>
  <c r="F321" i="3"/>
  <c r="E321" i="3"/>
  <c r="D321" i="3"/>
  <c r="B321" i="3"/>
  <c r="A321" i="3"/>
  <c r="R320" i="3"/>
  <c r="Q320" i="3"/>
  <c r="P320" i="3"/>
  <c r="O320" i="3"/>
  <c r="N320" i="3"/>
  <c r="M320" i="3"/>
  <c r="L320" i="3"/>
  <c r="K320" i="3"/>
  <c r="J320" i="3"/>
  <c r="I320" i="3"/>
  <c r="H320" i="3"/>
  <c r="G320" i="3"/>
  <c r="F320" i="3"/>
  <c r="E320" i="3"/>
  <c r="D320" i="3"/>
  <c r="B320" i="3"/>
  <c r="A320" i="3"/>
  <c r="R319" i="3"/>
  <c r="Q319" i="3"/>
  <c r="P319" i="3"/>
  <c r="O319" i="3"/>
  <c r="N319" i="3"/>
  <c r="M319" i="3"/>
  <c r="L319" i="3"/>
  <c r="K319" i="3"/>
  <c r="J319" i="3"/>
  <c r="I319" i="3"/>
  <c r="H319" i="3"/>
  <c r="G319" i="3"/>
  <c r="F319" i="3"/>
  <c r="E319" i="3"/>
  <c r="D319" i="3"/>
  <c r="B319" i="3"/>
  <c r="A319" i="3"/>
  <c r="R318" i="3"/>
  <c r="Q318" i="3"/>
  <c r="P318" i="3"/>
  <c r="O318" i="3"/>
  <c r="N318" i="3"/>
  <c r="M318" i="3"/>
  <c r="L318" i="3"/>
  <c r="K318" i="3"/>
  <c r="J318" i="3"/>
  <c r="I318" i="3"/>
  <c r="H318" i="3"/>
  <c r="G318" i="3"/>
  <c r="F318" i="3"/>
  <c r="E318" i="3"/>
  <c r="D318" i="3"/>
  <c r="B318" i="3"/>
  <c r="A318" i="3"/>
  <c r="R317" i="3"/>
  <c r="Q317" i="3"/>
  <c r="P317" i="3"/>
  <c r="O317" i="3"/>
  <c r="N317" i="3"/>
  <c r="M317" i="3"/>
  <c r="L317" i="3"/>
  <c r="K317" i="3"/>
  <c r="J317" i="3"/>
  <c r="I317" i="3"/>
  <c r="H317" i="3"/>
  <c r="G317" i="3"/>
  <c r="F317" i="3"/>
  <c r="E317" i="3"/>
  <c r="D317" i="3"/>
  <c r="B317" i="3"/>
  <c r="A317" i="3"/>
  <c r="R316" i="3"/>
  <c r="Q316" i="3"/>
  <c r="P316" i="3"/>
  <c r="O316" i="3"/>
  <c r="N316" i="3"/>
  <c r="M316" i="3"/>
  <c r="L316" i="3"/>
  <c r="K316" i="3"/>
  <c r="J316" i="3"/>
  <c r="I316" i="3"/>
  <c r="H316" i="3"/>
  <c r="G316" i="3"/>
  <c r="F316" i="3"/>
  <c r="E316" i="3"/>
  <c r="D316" i="3"/>
  <c r="B316" i="3"/>
  <c r="A316" i="3"/>
  <c r="R315" i="3"/>
  <c r="Q315" i="3"/>
  <c r="P315" i="3"/>
  <c r="O315" i="3"/>
  <c r="N315" i="3"/>
  <c r="M315" i="3"/>
  <c r="L315" i="3"/>
  <c r="K315" i="3"/>
  <c r="J315" i="3"/>
  <c r="I315" i="3"/>
  <c r="H315" i="3"/>
  <c r="G315" i="3"/>
  <c r="F315" i="3"/>
  <c r="E315" i="3"/>
  <c r="D315" i="3"/>
  <c r="B315" i="3"/>
  <c r="A315" i="3"/>
  <c r="R314" i="3"/>
  <c r="Q314" i="3"/>
  <c r="P314" i="3"/>
  <c r="O314" i="3"/>
  <c r="N314" i="3"/>
  <c r="M314" i="3"/>
  <c r="L314" i="3"/>
  <c r="K314" i="3"/>
  <c r="J314" i="3"/>
  <c r="I314" i="3"/>
  <c r="H314" i="3"/>
  <c r="G314" i="3"/>
  <c r="F314" i="3"/>
  <c r="E314" i="3"/>
  <c r="D314" i="3"/>
  <c r="B314" i="3"/>
  <c r="A314" i="3"/>
  <c r="R313" i="3"/>
  <c r="Q313" i="3"/>
  <c r="P313" i="3"/>
  <c r="O313" i="3"/>
  <c r="N313" i="3"/>
  <c r="M313" i="3"/>
  <c r="L313" i="3"/>
  <c r="K313" i="3"/>
  <c r="J313" i="3"/>
  <c r="I313" i="3"/>
  <c r="H313" i="3"/>
  <c r="G313" i="3"/>
  <c r="F313" i="3"/>
  <c r="E313" i="3"/>
  <c r="D313" i="3"/>
  <c r="B313" i="3"/>
  <c r="A313" i="3"/>
  <c r="R312" i="3"/>
  <c r="Q312" i="3"/>
  <c r="P312" i="3"/>
  <c r="O312" i="3"/>
  <c r="N312" i="3"/>
  <c r="M312" i="3"/>
  <c r="L312" i="3"/>
  <c r="K312" i="3"/>
  <c r="J312" i="3"/>
  <c r="I312" i="3"/>
  <c r="H312" i="3"/>
  <c r="G312" i="3"/>
  <c r="F312" i="3"/>
  <c r="E312" i="3"/>
  <c r="D312" i="3"/>
  <c r="B312" i="3"/>
  <c r="A312" i="3"/>
  <c r="R311" i="3"/>
  <c r="Q311" i="3"/>
  <c r="P311" i="3"/>
  <c r="O311" i="3"/>
  <c r="N311" i="3"/>
  <c r="M311" i="3"/>
  <c r="L311" i="3"/>
  <c r="K311" i="3"/>
  <c r="J311" i="3"/>
  <c r="I311" i="3"/>
  <c r="H311" i="3"/>
  <c r="G311" i="3"/>
  <c r="F311" i="3"/>
  <c r="E311" i="3"/>
  <c r="D311" i="3"/>
  <c r="B311" i="3"/>
  <c r="A311" i="3"/>
  <c r="R310" i="3"/>
  <c r="Q310" i="3"/>
  <c r="P310" i="3"/>
  <c r="O310" i="3"/>
  <c r="N310" i="3"/>
  <c r="M310" i="3"/>
  <c r="L310" i="3"/>
  <c r="K310" i="3"/>
  <c r="J310" i="3"/>
  <c r="I310" i="3"/>
  <c r="H310" i="3"/>
  <c r="G310" i="3"/>
  <c r="F310" i="3"/>
  <c r="E310" i="3"/>
  <c r="D310" i="3"/>
  <c r="B310" i="3"/>
  <c r="A310" i="3"/>
  <c r="R309" i="3"/>
  <c r="Q309" i="3"/>
  <c r="P309" i="3"/>
  <c r="O309" i="3"/>
  <c r="N309" i="3"/>
  <c r="M309" i="3"/>
  <c r="L309" i="3"/>
  <c r="K309" i="3"/>
  <c r="J309" i="3"/>
  <c r="I309" i="3"/>
  <c r="H309" i="3"/>
  <c r="G309" i="3"/>
  <c r="F309" i="3"/>
  <c r="E309" i="3"/>
  <c r="D309" i="3"/>
  <c r="B309" i="3"/>
  <c r="A309" i="3"/>
  <c r="R308" i="3"/>
  <c r="Q308" i="3"/>
  <c r="P308" i="3"/>
  <c r="O308" i="3"/>
  <c r="N308" i="3"/>
  <c r="M308" i="3"/>
  <c r="L308" i="3"/>
  <c r="K308" i="3"/>
  <c r="J308" i="3"/>
  <c r="I308" i="3"/>
  <c r="H308" i="3"/>
  <c r="G308" i="3"/>
  <c r="F308" i="3"/>
  <c r="E308" i="3"/>
  <c r="D308" i="3"/>
  <c r="B308" i="3"/>
  <c r="A308" i="3"/>
  <c r="R307" i="3"/>
  <c r="Q307" i="3"/>
  <c r="P307" i="3"/>
  <c r="O307" i="3"/>
  <c r="N307" i="3"/>
  <c r="M307" i="3"/>
  <c r="L307" i="3"/>
  <c r="K307" i="3"/>
  <c r="J307" i="3"/>
  <c r="I307" i="3"/>
  <c r="H307" i="3"/>
  <c r="G307" i="3"/>
  <c r="F307" i="3"/>
  <c r="E307" i="3"/>
  <c r="D307" i="3"/>
  <c r="B307" i="3"/>
  <c r="A307" i="3"/>
  <c r="R306" i="3"/>
  <c r="Q306" i="3"/>
  <c r="P306" i="3"/>
  <c r="O306" i="3"/>
  <c r="N306" i="3"/>
  <c r="M306" i="3"/>
  <c r="L306" i="3"/>
  <c r="K306" i="3"/>
  <c r="J306" i="3"/>
  <c r="I306" i="3"/>
  <c r="H306" i="3"/>
  <c r="G306" i="3"/>
  <c r="F306" i="3"/>
  <c r="E306" i="3"/>
  <c r="D306" i="3"/>
  <c r="B306" i="3"/>
  <c r="A306" i="3"/>
  <c r="R305" i="3"/>
  <c r="Q305" i="3"/>
  <c r="P305" i="3"/>
  <c r="O305" i="3"/>
  <c r="N305" i="3"/>
  <c r="M305" i="3"/>
  <c r="L305" i="3"/>
  <c r="K305" i="3"/>
  <c r="J305" i="3"/>
  <c r="I305" i="3"/>
  <c r="H305" i="3"/>
  <c r="G305" i="3"/>
  <c r="F305" i="3"/>
  <c r="E305" i="3"/>
  <c r="D305" i="3"/>
  <c r="B305" i="3"/>
  <c r="A305" i="3"/>
  <c r="R304" i="3"/>
  <c r="Q304" i="3"/>
  <c r="P304" i="3"/>
  <c r="O304" i="3"/>
  <c r="N304" i="3"/>
  <c r="M304" i="3"/>
  <c r="L304" i="3"/>
  <c r="K304" i="3"/>
  <c r="J304" i="3"/>
  <c r="I304" i="3"/>
  <c r="H304" i="3"/>
  <c r="G304" i="3"/>
  <c r="F304" i="3"/>
  <c r="E304" i="3"/>
  <c r="D304" i="3"/>
  <c r="B304" i="3"/>
  <c r="A304" i="3"/>
  <c r="R303" i="3"/>
  <c r="Q303" i="3"/>
  <c r="P303" i="3"/>
  <c r="O303" i="3"/>
  <c r="N303" i="3"/>
  <c r="M303" i="3"/>
  <c r="L303" i="3"/>
  <c r="K303" i="3"/>
  <c r="J303" i="3"/>
  <c r="I303" i="3"/>
  <c r="H303" i="3"/>
  <c r="G303" i="3"/>
  <c r="F303" i="3"/>
  <c r="E303" i="3"/>
  <c r="D303" i="3"/>
  <c r="B303" i="3"/>
  <c r="A303" i="3"/>
  <c r="R302" i="3"/>
  <c r="Q302" i="3"/>
  <c r="P302" i="3"/>
  <c r="O302" i="3"/>
  <c r="N302" i="3"/>
  <c r="M302" i="3"/>
  <c r="L302" i="3"/>
  <c r="K302" i="3"/>
  <c r="J302" i="3"/>
  <c r="I302" i="3"/>
  <c r="H302" i="3"/>
  <c r="G302" i="3"/>
  <c r="F302" i="3"/>
  <c r="E302" i="3"/>
  <c r="D302" i="3"/>
  <c r="B302" i="3"/>
  <c r="A302" i="3"/>
  <c r="R301" i="3"/>
  <c r="Q301" i="3"/>
  <c r="P301" i="3"/>
  <c r="O301" i="3"/>
  <c r="N301" i="3"/>
  <c r="M301" i="3"/>
  <c r="L301" i="3"/>
  <c r="K301" i="3"/>
  <c r="J301" i="3"/>
  <c r="I301" i="3"/>
  <c r="H301" i="3"/>
  <c r="G301" i="3"/>
  <c r="F301" i="3"/>
  <c r="E301" i="3"/>
  <c r="D301" i="3"/>
  <c r="B301" i="3"/>
  <c r="A301" i="3"/>
  <c r="R300" i="3"/>
  <c r="Q300" i="3"/>
  <c r="P300" i="3"/>
  <c r="O300" i="3"/>
  <c r="N300" i="3"/>
  <c r="M300" i="3"/>
  <c r="L300" i="3"/>
  <c r="K300" i="3"/>
  <c r="J300" i="3"/>
  <c r="I300" i="3"/>
  <c r="H300" i="3"/>
  <c r="G300" i="3"/>
  <c r="F300" i="3"/>
  <c r="E300" i="3"/>
  <c r="D300" i="3"/>
  <c r="B300" i="3"/>
  <c r="A300" i="3"/>
  <c r="R299" i="3"/>
  <c r="Q299" i="3"/>
  <c r="P299" i="3"/>
  <c r="O299" i="3"/>
  <c r="N299" i="3"/>
  <c r="M299" i="3"/>
  <c r="L299" i="3"/>
  <c r="K299" i="3"/>
  <c r="J299" i="3"/>
  <c r="I299" i="3"/>
  <c r="H299" i="3"/>
  <c r="G299" i="3"/>
  <c r="F299" i="3"/>
  <c r="E299" i="3"/>
  <c r="D299" i="3"/>
  <c r="B299" i="3"/>
  <c r="A299" i="3"/>
  <c r="R298" i="3"/>
  <c r="Q298" i="3"/>
  <c r="P298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B298" i="3"/>
  <c r="A298" i="3"/>
  <c r="R297" i="3"/>
  <c r="Q297" i="3"/>
  <c r="P297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B297" i="3"/>
  <c r="A297" i="3"/>
  <c r="R296" i="3"/>
  <c r="Q296" i="3"/>
  <c r="P296" i="3"/>
  <c r="O296" i="3"/>
  <c r="N296" i="3"/>
  <c r="M296" i="3"/>
  <c r="L296" i="3"/>
  <c r="K296" i="3"/>
  <c r="J296" i="3"/>
  <c r="I296" i="3"/>
  <c r="H296" i="3"/>
  <c r="G296" i="3"/>
  <c r="F296" i="3"/>
  <c r="E296" i="3"/>
  <c r="D296" i="3"/>
  <c r="B296" i="3"/>
  <c r="A296" i="3"/>
  <c r="R295" i="3"/>
  <c r="Q295" i="3"/>
  <c r="P295" i="3"/>
  <c r="O295" i="3"/>
  <c r="N295" i="3"/>
  <c r="M295" i="3"/>
  <c r="L295" i="3"/>
  <c r="K295" i="3"/>
  <c r="J295" i="3"/>
  <c r="I295" i="3"/>
  <c r="H295" i="3"/>
  <c r="G295" i="3"/>
  <c r="F295" i="3"/>
  <c r="E295" i="3"/>
  <c r="D295" i="3"/>
  <c r="B295" i="3"/>
  <c r="A295" i="3"/>
  <c r="R294" i="3"/>
  <c r="Q294" i="3"/>
  <c r="P294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B294" i="3"/>
  <c r="A294" i="3"/>
  <c r="R293" i="3"/>
  <c r="Q293" i="3"/>
  <c r="P293" i="3"/>
  <c r="O293" i="3"/>
  <c r="N293" i="3"/>
  <c r="M293" i="3"/>
  <c r="L293" i="3"/>
  <c r="K293" i="3"/>
  <c r="J293" i="3"/>
  <c r="I293" i="3"/>
  <c r="H293" i="3"/>
  <c r="G293" i="3"/>
  <c r="F293" i="3"/>
  <c r="E293" i="3"/>
  <c r="D293" i="3"/>
  <c r="B293" i="3"/>
  <c r="A293" i="3"/>
  <c r="R292" i="3"/>
  <c r="Q292" i="3"/>
  <c r="P292" i="3"/>
  <c r="O292" i="3"/>
  <c r="N292" i="3"/>
  <c r="M292" i="3"/>
  <c r="L292" i="3"/>
  <c r="K292" i="3"/>
  <c r="J292" i="3"/>
  <c r="I292" i="3"/>
  <c r="H292" i="3"/>
  <c r="G292" i="3"/>
  <c r="F292" i="3"/>
  <c r="E292" i="3"/>
  <c r="D292" i="3"/>
  <c r="B292" i="3"/>
  <c r="A292" i="3"/>
  <c r="R291" i="3"/>
  <c r="Q291" i="3"/>
  <c r="P291" i="3"/>
  <c r="O291" i="3"/>
  <c r="N291" i="3"/>
  <c r="M291" i="3"/>
  <c r="L291" i="3"/>
  <c r="K291" i="3"/>
  <c r="J291" i="3"/>
  <c r="I291" i="3"/>
  <c r="H291" i="3"/>
  <c r="G291" i="3"/>
  <c r="F291" i="3"/>
  <c r="E291" i="3"/>
  <c r="D291" i="3"/>
  <c r="B291" i="3"/>
  <c r="A291" i="3"/>
  <c r="R290" i="3"/>
  <c r="Q290" i="3"/>
  <c r="P290" i="3"/>
  <c r="O290" i="3"/>
  <c r="N290" i="3"/>
  <c r="M290" i="3"/>
  <c r="L290" i="3"/>
  <c r="K290" i="3"/>
  <c r="J290" i="3"/>
  <c r="I290" i="3"/>
  <c r="H290" i="3"/>
  <c r="G290" i="3"/>
  <c r="F290" i="3"/>
  <c r="E290" i="3"/>
  <c r="D290" i="3"/>
  <c r="B290" i="3"/>
  <c r="A290" i="3"/>
  <c r="R289" i="3"/>
  <c r="Q289" i="3"/>
  <c r="P289" i="3"/>
  <c r="O289" i="3"/>
  <c r="N289" i="3"/>
  <c r="M289" i="3"/>
  <c r="L289" i="3"/>
  <c r="K289" i="3"/>
  <c r="J289" i="3"/>
  <c r="I289" i="3"/>
  <c r="H289" i="3"/>
  <c r="G289" i="3"/>
  <c r="F289" i="3"/>
  <c r="E289" i="3"/>
  <c r="D289" i="3"/>
  <c r="B289" i="3"/>
  <c r="A289" i="3"/>
  <c r="R288" i="3"/>
  <c r="Q288" i="3"/>
  <c r="P288" i="3"/>
  <c r="O288" i="3"/>
  <c r="N288" i="3"/>
  <c r="M288" i="3"/>
  <c r="L288" i="3"/>
  <c r="K288" i="3"/>
  <c r="J288" i="3"/>
  <c r="I288" i="3"/>
  <c r="H288" i="3"/>
  <c r="G288" i="3"/>
  <c r="F288" i="3"/>
  <c r="E288" i="3"/>
  <c r="D288" i="3"/>
  <c r="B288" i="3"/>
  <c r="A288" i="3"/>
  <c r="R287" i="3"/>
  <c r="Q287" i="3"/>
  <c r="P287" i="3"/>
  <c r="O287" i="3"/>
  <c r="N287" i="3"/>
  <c r="M287" i="3"/>
  <c r="L287" i="3"/>
  <c r="K287" i="3"/>
  <c r="J287" i="3"/>
  <c r="I287" i="3"/>
  <c r="H287" i="3"/>
  <c r="G287" i="3"/>
  <c r="F287" i="3"/>
  <c r="E287" i="3"/>
  <c r="D287" i="3"/>
  <c r="B287" i="3"/>
  <c r="A287" i="3"/>
  <c r="R286" i="3"/>
  <c r="Q286" i="3"/>
  <c r="P286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B286" i="3"/>
  <c r="A286" i="3"/>
  <c r="R285" i="3"/>
  <c r="Q285" i="3"/>
  <c r="P285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B285" i="3"/>
  <c r="A285" i="3"/>
  <c r="R284" i="3"/>
  <c r="Q284" i="3"/>
  <c r="P284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B284" i="3"/>
  <c r="A284" i="3"/>
  <c r="R283" i="3"/>
  <c r="Q283" i="3"/>
  <c r="P283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B283" i="3"/>
  <c r="A283" i="3"/>
  <c r="R282" i="3"/>
  <c r="Q282" i="3"/>
  <c r="P282" i="3"/>
  <c r="O282" i="3"/>
  <c r="N282" i="3"/>
  <c r="M282" i="3"/>
  <c r="L282" i="3"/>
  <c r="K282" i="3"/>
  <c r="J282" i="3"/>
  <c r="I282" i="3"/>
  <c r="H282" i="3"/>
  <c r="G282" i="3"/>
  <c r="F282" i="3"/>
  <c r="E282" i="3"/>
  <c r="D282" i="3"/>
  <c r="B282" i="3"/>
  <c r="A282" i="3"/>
  <c r="R281" i="3"/>
  <c r="Q281" i="3"/>
  <c r="P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B281" i="3"/>
  <c r="A281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B280" i="3"/>
  <c r="A280" i="3"/>
  <c r="R279" i="3"/>
  <c r="Q279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B279" i="3"/>
  <c r="A279" i="3"/>
  <c r="R278" i="3"/>
  <c r="Q278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B278" i="3"/>
  <c r="A278" i="3"/>
  <c r="R277" i="3"/>
  <c r="Q277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B277" i="3"/>
  <c r="A277" i="3"/>
  <c r="R276" i="3"/>
  <c r="Q276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B276" i="3"/>
  <c r="A276" i="3"/>
  <c r="R275" i="3"/>
  <c r="Q275" i="3"/>
  <c r="P275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B275" i="3"/>
  <c r="A275" i="3"/>
  <c r="R274" i="3"/>
  <c r="Q274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B274" i="3"/>
  <c r="A274" i="3"/>
  <c r="R273" i="3"/>
  <c r="Q273" i="3"/>
  <c r="P273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B273" i="3"/>
  <c r="A273" i="3"/>
  <c r="R272" i="3"/>
  <c r="Q272" i="3"/>
  <c r="P272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B272" i="3"/>
  <c r="A272" i="3"/>
  <c r="R271" i="3"/>
  <c r="Q271" i="3"/>
  <c r="P271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B271" i="3"/>
  <c r="A271" i="3"/>
  <c r="R270" i="3"/>
  <c r="Q270" i="3"/>
  <c r="P270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B270" i="3"/>
  <c r="A270" i="3"/>
  <c r="R269" i="3"/>
  <c r="Q269" i="3"/>
  <c r="P269" i="3"/>
  <c r="O269" i="3"/>
  <c r="N269" i="3"/>
  <c r="M269" i="3"/>
  <c r="L269" i="3"/>
  <c r="K269" i="3"/>
  <c r="J269" i="3"/>
  <c r="I269" i="3"/>
  <c r="H269" i="3"/>
  <c r="G269" i="3"/>
  <c r="F269" i="3"/>
  <c r="E269" i="3"/>
  <c r="D269" i="3"/>
  <c r="B269" i="3"/>
  <c r="A269" i="3"/>
  <c r="R268" i="3"/>
  <c r="Q268" i="3"/>
  <c r="P268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B268" i="3"/>
  <c r="A268" i="3"/>
  <c r="R267" i="3"/>
  <c r="Q267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B267" i="3"/>
  <c r="A267" i="3"/>
  <c r="R266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B266" i="3"/>
  <c r="A266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B265" i="3"/>
  <c r="A265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B264" i="3"/>
  <c r="A264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B263" i="3"/>
  <c r="A263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B262" i="3"/>
  <c r="A262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B261" i="3"/>
  <c r="A261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B260" i="3"/>
  <c r="A260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B259" i="3"/>
  <c r="A259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B258" i="3"/>
  <c r="A258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B257" i="3"/>
  <c r="A257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B256" i="3"/>
  <c r="A256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B255" i="3"/>
  <c r="A255" i="3"/>
  <c r="R254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B254" i="3"/>
  <c r="A254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B253" i="3"/>
  <c r="A253" i="3"/>
  <c r="R252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B252" i="3"/>
  <c r="A252" i="3"/>
  <c r="R251" i="3"/>
  <c r="Q251" i="3"/>
  <c r="P251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B251" i="3"/>
  <c r="A251" i="3"/>
  <c r="R250" i="3"/>
  <c r="Q250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B250" i="3"/>
  <c r="A250" i="3"/>
  <c r="R249" i="3"/>
  <c r="Q249" i="3"/>
  <c r="P249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B249" i="3"/>
  <c r="A249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B248" i="3"/>
  <c r="A248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B247" i="3"/>
  <c r="A247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B246" i="3"/>
  <c r="A246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B245" i="3"/>
  <c r="A245" i="3"/>
  <c r="R244" i="3"/>
  <c r="Q244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B244" i="3"/>
  <c r="A244" i="3"/>
  <c r="R243" i="3"/>
  <c r="Q243" i="3"/>
  <c r="P243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B243" i="3"/>
  <c r="A243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B242" i="3"/>
  <c r="A242" i="3"/>
  <c r="R241" i="3"/>
  <c r="Q241" i="3"/>
  <c r="P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B241" i="3"/>
  <c r="A241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B240" i="3"/>
  <c r="A240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B239" i="3"/>
  <c r="A239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B238" i="3"/>
  <c r="A238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B237" i="3"/>
  <c r="A237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B236" i="3"/>
  <c r="A236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B235" i="3"/>
  <c r="A235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B234" i="3"/>
  <c r="A234" i="3"/>
  <c r="R233" i="3"/>
  <c r="Q233" i="3"/>
  <c r="P233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B233" i="3"/>
  <c r="A233" i="3"/>
  <c r="R232" i="3"/>
  <c r="Q232" i="3"/>
  <c r="P232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B232" i="3"/>
  <c r="A232" i="3"/>
  <c r="R231" i="3"/>
  <c r="Q231" i="3"/>
  <c r="P231" i="3"/>
  <c r="O231" i="3"/>
  <c r="N231" i="3"/>
  <c r="M231" i="3"/>
  <c r="L231" i="3"/>
  <c r="K231" i="3"/>
  <c r="J231" i="3"/>
  <c r="I231" i="3"/>
  <c r="H231" i="3"/>
  <c r="G231" i="3"/>
  <c r="F231" i="3"/>
  <c r="E231" i="3"/>
  <c r="D231" i="3"/>
  <c r="B231" i="3"/>
  <c r="A231" i="3"/>
  <c r="R230" i="3"/>
  <c r="Q230" i="3"/>
  <c r="P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B230" i="3"/>
  <c r="A230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B229" i="3"/>
  <c r="A229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B228" i="3"/>
  <c r="A228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B227" i="3"/>
  <c r="A227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B226" i="3"/>
  <c r="A226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B225" i="3"/>
  <c r="A225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B224" i="3"/>
  <c r="A224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B223" i="3"/>
  <c r="A223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B222" i="3"/>
  <c r="A222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B221" i="3"/>
  <c r="A221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B220" i="3"/>
  <c r="A220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B219" i="3"/>
  <c r="A219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B218" i="3"/>
  <c r="A218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B217" i="3"/>
  <c r="A217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B216" i="3"/>
  <c r="A216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B215" i="3"/>
  <c r="A215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B214" i="3"/>
  <c r="A214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B213" i="3"/>
  <c r="A213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B212" i="3"/>
  <c r="A212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B211" i="3"/>
  <c r="A211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B210" i="3"/>
  <c r="A210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B209" i="3"/>
  <c r="A209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B208" i="3"/>
  <c r="A208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B207" i="3"/>
  <c r="A207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B206" i="3"/>
  <c r="A206" i="3"/>
  <c r="R205" i="3"/>
  <c r="Q205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B205" i="3"/>
  <c r="A205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B204" i="3"/>
  <c r="A204" i="3"/>
  <c r="R203" i="3"/>
  <c r="Q203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B203" i="3"/>
  <c r="A203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B202" i="3"/>
  <c r="A202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B201" i="3"/>
  <c r="A201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B200" i="3"/>
  <c r="A200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B199" i="3"/>
  <c r="A199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B198" i="3"/>
  <c r="A198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B197" i="3"/>
  <c r="A197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B196" i="3"/>
  <c r="A196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B195" i="3"/>
  <c r="A195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B194" i="3"/>
  <c r="A194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B193" i="3"/>
  <c r="A193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B192" i="3"/>
  <c r="A192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B191" i="3"/>
  <c r="A191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B190" i="3"/>
  <c r="A190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B189" i="3"/>
  <c r="A189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B188" i="3"/>
  <c r="A188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B187" i="3"/>
  <c r="A187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B186" i="3"/>
  <c r="A186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B185" i="3"/>
  <c r="A185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B184" i="3"/>
  <c r="A184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B183" i="3"/>
  <c r="A183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B182" i="3"/>
  <c r="A182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B181" i="3"/>
  <c r="A181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B180" i="3"/>
  <c r="A180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B179" i="3"/>
  <c r="A179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B178" i="3"/>
  <c r="A178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B177" i="3"/>
  <c r="A177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B176" i="3"/>
  <c r="A176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B175" i="3"/>
  <c r="A175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B174" i="3"/>
  <c r="A174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B173" i="3"/>
  <c r="A173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B172" i="3"/>
  <c r="A172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B171" i="3"/>
  <c r="A171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B170" i="3"/>
  <c r="A170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B169" i="3"/>
  <c r="A169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B168" i="3"/>
  <c r="A168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B167" i="3"/>
  <c r="A167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B166" i="3"/>
  <c r="A166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B165" i="3"/>
  <c r="A165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B164" i="3"/>
  <c r="A164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B163" i="3"/>
  <c r="A163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B162" i="3"/>
  <c r="A162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B161" i="3"/>
  <c r="A161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B160" i="3"/>
  <c r="A160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B159" i="3"/>
  <c r="A159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B158" i="3"/>
  <c r="A158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B157" i="3"/>
  <c r="A157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B156" i="3"/>
  <c r="A156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B155" i="3"/>
  <c r="A155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B154" i="3"/>
  <c r="A154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B153" i="3"/>
  <c r="A153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B152" i="3"/>
  <c r="A152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B151" i="3"/>
  <c r="A151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B150" i="3"/>
  <c r="A150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B149" i="3"/>
  <c r="A149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B148" i="3"/>
  <c r="A148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B147" i="3"/>
  <c r="A147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B146" i="3"/>
  <c r="A146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B145" i="3"/>
  <c r="A145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B144" i="3"/>
  <c r="A144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B143" i="3"/>
  <c r="A143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B142" i="3"/>
  <c r="A142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B141" i="3"/>
  <c r="A141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B140" i="3"/>
  <c r="A140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B139" i="3"/>
  <c r="A139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B138" i="3"/>
  <c r="A138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B137" i="3"/>
  <c r="A137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B136" i="3"/>
  <c r="A136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B135" i="3"/>
  <c r="A135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B134" i="3"/>
  <c r="A134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B133" i="3"/>
  <c r="A133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B132" i="3"/>
  <c r="A132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B131" i="3"/>
  <c r="A131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B130" i="3"/>
  <c r="A130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B129" i="3"/>
  <c r="A129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B128" i="3"/>
  <c r="A128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B127" i="3"/>
  <c r="A127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B126" i="3"/>
  <c r="A126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B125" i="3"/>
  <c r="A125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B124" i="3"/>
  <c r="A124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B123" i="3"/>
  <c r="A123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B122" i="3"/>
  <c r="A122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B121" i="3"/>
  <c r="A121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B120" i="3"/>
  <c r="A120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B119" i="3"/>
  <c r="A119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B118" i="3"/>
  <c r="A118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B117" i="3"/>
  <c r="A117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B116" i="3"/>
  <c r="A116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B115" i="3"/>
  <c r="A115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B114" i="3"/>
  <c r="A114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B113" i="3"/>
  <c r="A113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B112" i="3"/>
  <c r="A112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B111" i="3"/>
  <c r="A111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B110" i="3"/>
  <c r="A110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B109" i="3"/>
  <c r="A109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B108" i="3"/>
  <c r="A108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B107" i="3"/>
  <c r="A107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B106" i="3"/>
  <c r="A106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B105" i="3"/>
  <c r="A105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B104" i="3"/>
  <c r="A104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B103" i="3"/>
  <c r="A103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B102" i="3"/>
  <c r="A102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B101" i="3"/>
  <c r="A101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B100" i="3"/>
  <c r="A100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B99" i="3"/>
  <c r="A99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B98" i="3"/>
  <c r="A98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B97" i="3"/>
  <c r="A97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B96" i="3"/>
  <c r="A96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B95" i="3"/>
  <c r="A95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B94" i="3"/>
  <c r="A94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B93" i="3"/>
  <c r="A93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B92" i="3"/>
  <c r="A92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B91" i="3"/>
  <c r="A91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B90" i="3"/>
  <c r="A90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B89" i="3"/>
  <c r="A89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B88" i="3"/>
  <c r="A88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B87" i="3"/>
  <c r="A87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B86" i="3"/>
  <c r="A86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B85" i="3"/>
  <c r="A85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B84" i="3"/>
  <c r="A84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B83" i="3"/>
  <c r="A83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B82" i="3"/>
  <c r="A82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B81" i="3"/>
  <c r="A81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B80" i="3"/>
  <c r="A80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B79" i="3"/>
  <c r="A79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B78" i="3"/>
  <c r="A78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B77" i="3"/>
  <c r="A77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B76" i="3"/>
  <c r="A76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B75" i="3"/>
  <c r="A75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B74" i="3"/>
  <c r="A74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B73" i="3"/>
  <c r="A73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B72" i="3"/>
  <c r="A72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B71" i="3"/>
  <c r="A71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B70" i="3"/>
  <c r="A70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B69" i="3"/>
  <c r="A69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B68" i="3"/>
  <c r="A68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B67" i="3"/>
  <c r="A67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B66" i="3"/>
  <c r="A66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B65" i="3"/>
  <c r="A65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B64" i="3"/>
  <c r="A64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B63" i="3"/>
  <c r="A63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B62" i="3"/>
  <c r="A62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B61" i="3"/>
  <c r="A61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B60" i="3"/>
  <c r="A60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B59" i="3"/>
  <c r="A59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B58" i="3"/>
  <c r="A58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B57" i="3"/>
  <c r="A57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B56" i="3"/>
  <c r="A56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B55" i="3"/>
  <c r="A55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B54" i="3"/>
  <c r="A54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B53" i="3"/>
  <c r="A53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B52" i="3"/>
  <c r="A52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B51" i="3"/>
  <c r="A51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B50" i="3"/>
  <c r="A50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B49" i="3"/>
  <c r="A49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B48" i="3"/>
  <c r="A48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B47" i="3"/>
  <c r="A47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B46" i="3"/>
  <c r="A46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B45" i="3"/>
  <c r="A45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B44" i="3"/>
  <c r="A44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B43" i="3"/>
  <c r="A43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B42" i="3"/>
  <c r="A42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B41" i="3"/>
  <c r="A41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B40" i="3"/>
  <c r="A40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B39" i="3"/>
  <c r="A39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B38" i="3"/>
  <c r="A38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B37" i="3"/>
  <c r="A37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B36" i="3"/>
  <c r="A36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B35" i="3"/>
  <c r="A35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B34" i="3"/>
  <c r="A34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B33" i="3"/>
  <c r="A33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B32" i="3"/>
  <c r="A32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B31" i="3"/>
  <c r="A31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B30" i="3"/>
  <c r="A30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B29" i="3"/>
  <c r="A29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B28" i="3"/>
  <c r="A28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B27" i="3"/>
  <c r="A27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B26" i="3"/>
  <c r="A26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B25" i="3"/>
  <c r="A25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B24" i="3"/>
  <c r="A24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B23" i="3"/>
  <c r="A23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B22" i="3"/>
  <c r="A22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B21" i="3"/>
  <c r="A21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B20" i="3"/>
  <c r="A20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B19" i="3"/>
  <c r="A19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B18" i="3"/>
  <c r="A18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B17" i="3"/>
  <c r="A17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B16" i="3"/>
  <c r="A16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B15" i="3"/>
  <c r="A15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B14" i="3"/>
  <c r="A14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B13" i="3"/>
  <c r="A13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B12" i="3"/>
  <c r="A12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B11" i="3"/>
  <c r="A11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B10" i="3"/>
  <c r="A10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B9" i="3"/>
  <c r="A9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B8" i="3"/>
  <c r="A8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B7" i="3"/>
  <c r="A7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B6" i="3"/>
  <c r="A6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B5" i="3"/>
  <c r="A5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B4" i="3"/>
  <c r="A4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B3" i="3"/>
  <c r="A3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B2" i="3"/>
  <c r="A2" i="3"/>
  <c r="S699" i="2"/>
  <c r="T699" i="2" s="1"/>
  <c r="Q699" i="2"/>
  <c r="S698" i="2"/>
  <c r="T698" i="2" s="1"/>
  <c r="Q698" i="2"/>
  <c r="S697" i="2"/>
  <c r="T697" i="2" s="1"/>
  <c r="Q697" i="2"/>
  <c r="T696" i="2"/>
  <c r="S696" i="2"/>
  <c r="Q696" i="2"/>
  <c r="S695" i="2"/>
  <c r="T695" i="2" s="1"/>
  <c r="Q695" i="2"/>
  <c r="T694" i="2"/>
  <c r="S694" i="2"/>
  <c r="Q694" i="2"/>
  <c r="S693" i="2"/>
  <c r="T693" i="2" s="1"/>
  <c r="Q693" i="2"/>
  <c r="S692" i="2"/>
  <c r="T692" i="2" s="1"/>
  <c r="Q692" i="2"/>
  <c r="S691" i="2"/>
  <c r="T691" i="2" s="1"/>
  <c r="Q691" i="2"/>
  <c r="S690" i="2"/>
  <c r="T690" i="2" s="1"/>
  <c r="Q690" i="2"/>
  <c r="S689" i="2"/>
  <c r="T689" i="2" s="1"/>
  <c r="Q689" i="2"/>
  <c r="T688" i="2"/>
  <c r="S688" i="2"/>
  <c r="Q688" i="2"/>
  <c r="S687" i="2"/>
  <c r="T687" i="2" s="1"/>
  <c r="Q687" i="2"/>
  <c r="T686" i="2"/>
  <c r="S686" i="2"/>
  <c r="Q686" i="2"/>
  <c r="S685" i="2"/>
  <c r="T685" i="2" s="1"/>
  <c r="Q685" i="2"/>
  <c r="S684" i="2"/>
  <c r="T684" i="2" s="1"/>
  <c r="Q684" i="2"/>
  <c r="S683" i="2"/>
  <c r="T683" i="2" s="1"/>
  <c r="Q683" i="2"/>
  <c r="S682" i="2"/>
  <c r="T682" i="2" s="1"/>
  <c r="Q682" i="2"/>
  <c r="S681" i="2"/>
  <c r="T681" i="2" s="1"/>
  <c r="Q681" i="2"/>
  <c r="T680" i="2"/>
  <c r="S680" i="2"/>
  <c r="Q680" i="2"/>
  <c r="S679" i="2"/>
  <c r="T679" i="2" s="1"/>
  <c r="Q679" i="2"/>
  <c r="T678" i="2"/>
  <c r="S678" i="2"/>
  <c r="Q678" i="2"/>
  <c r="S677" i="2"/>
  <c r="T677" i="2" s="1"/>
  <c r="Q677" i="2"/>
  <c r="S676" i="2"/>
  <c r="T676" i="2" s="1"/>
  <c r="Q676" i="2"/>
  <c r="S675" i="2"/>
  <c r="T675" i="2" s="1"/>
  <c r="Q675" i="2"/>
  <c r="S674" i="2"/>
  <c r="T674" i="2" s="1"/>
  <c r="Q674" i="2"/>
  <c r="S673" i="2"/>
  <c r="T673" i="2" s="1"/>
  <c r="Q673" i="2"/>
  <c r="T672" i="2"/>
  <c r="S672" i="2"/>
  <c r="Q672" i="2"/>
  <c r="S671" i="2"/>
  <c r="T671" i="2" s="1"/>
  <c r="Q671" i="2"/>
  <c r="T670" i="2"/>
  <c r="S670" i="2"/>
  <c r="Q670" i="2"/>
  <c r="S669" i="2"/>
  <c r="T669" i="2" s="1"/>
  <c r="Q669" i="2"/>
  <c r="S668" i="2"/>
  <c r="T668" i="2" s="1"/>
  <c r="Q668" i="2"/>
  <c r="S667" i="2"/>
  <c r="T667" i="2" s="1"/>
  <c r="Q667" i="2"/>
  <c r="S666" i="2"/>
  <c r="T666" i="2" s="1"/>
  <c r="Q666" i="2"/>
  <c r="S665" i="2"/>
  <c r="T665" i="2" s="1"/>
  <c r="Q665" i="2"/>
  <c r="T664" i="2"/>
  <c r="S664" i="2"/>
  <c r="Q664" i="2"/>
  <c r="S663" i="2"/>
  <c r="T663" i="2" s="1"/>
  <c r="Q663" i="2"/>
  <c r="T662" i="2"/>
  <c r="S662" i="2"/>
  <c r="Q662" i="2"/>
  <c r="S661" i="2"/>
  <c r="T661" i="2" s="1"/>
  <c r="Q661" i="2"/>
  <c r="S660" i="2"/>
  <c r="T660" i="2" s="1"/>
  <c r="Q660" i="2"/>
  <c r="S659" i="2"/>
  <c r="T659" i="2" s="1"/>
  <c r="Q659" i="2"/>
  <c r="S658" i="2"/>
  <c r="T658" i="2" s="1"/>
  <c r="Q658" i="2"/>
  <c r="S657" i="2"/>
  <c r="T657" i="2" s="1"/>
  <c r="Q657" i="2"/>
  <c r="T656" i="2"/>
  <c r="S656" i="2"/>
  <c r="Q656" i="2"/>
  <c r="S655" i="2"/>
  <c r="T655" i="2" s="1"/>
  <c r="Q655" i="2"/>
  <c r="T654" i="2"/>
  <c r="S654" i="2"/>
  <c r="Q654" i="2"/>
  <c r="S653" i="2"/>
  <c r="T653" i="2" s="1"/>
  <c r="Q653" i="2"/>
  <c r="S652" i="2"/>
  <c r="T652" i="2" s="1"/>
  <c r="Q652" i="2"/>
  <c r="S651" i="2"/>
  <c r="T651" i="2" s="1"/>
  <c r="Q651" i="2"/>
  <c r="S650" i="2"/>
  <c r="T650" i="2" s="1"/>
  <c r="Q650" i="2"/>
  <c r="S649" i="2"/>
  <c r="T649" i="2" s="1"/>
  <c r="Q649" i="2"/>
  <c r="T648" i="2"/>
  <c r="S648" i="2"/>
  <c r="Q648" i="2"/>
  <c r="S647" i="2"/>
  <c r="T647" i="2" s="1"/>
  <c r="Q647" i="2"/>
  <c r="T646" i="2"/>
  <c r="S646" i="2"/>
  <c r="Q646" i="2"/>
  <c r="S645" i="2"/>
  <c r="T645" i="2" s="1"/>
  <c r="Q645" i="2"/>
  <c r="S644" i="2"/>
  <c r="T644" i="2" s="1"/>
  <c r="Q644" i="2"/>
  <c r="S643" i="2"/>
  <c r="T643" i="2" s="1"/>
  <c r="Q643" i="2"/>
  <c r="S642" i="2"/>
  <c r="T642" i="2" s="1"/>
  <c r="Q642" i="2"/>
  <c r="S641" i="2"/>
  <c r="T641" i="2" s="1"/>
  <c r="Q641" i="2"/>
  <c r="T640" i="2"/>
  <c r="S640" i="2"/>
  <c r="Q640" i="2"/>
  <c r="S639" i="2"/>
  <c r="T639" i="2" s="1"/>
  <c r="Q639" i="2"/>
  <c r="T638" i="2"/>
  <c r="S638" i="2"/>
  <c r="Q638" i="2"/>
  <c r="S637" i="2"/>
  <c r="T637" i="2" s="1"/>
  <c r="Q637" i="2"/>
  <c r="S636" i="2"/>
  <c r="T636" i="2" s="1"/>
  <c r="Q636" i="2"/>
  <c r="S635" i="2"/>
  <c r="T635" i="2" s="1"/>
  <c r="Q635" i="2"/>
  <c r="S634" i="2"/>
  <c r="T634" i="2" s="1"/>
  <c r="Q634" i="2"/>
  <c r="S633" i="2"/>
  <c r="T633" i="2" s="1"/>
  <c r="Q633" i="2"/>
  <c r="T632" i="2"/>
  <c r="S632" i="2"/>
  <c r="Q632" i="2"/>
  <c r="S631" i="2"/>
  <c r="T631" i="2" s="1"/>
  <c r="Q631" i="2"/>
  <c r="T630" i="2"/>
  <c r="S630" i="2"/>
  <c r="Q630" i="2"/>
  <c r="S629" i="2"/>
  <c r="T629" i="2" s="1"/>
  <c r="Q629" i="2"/>
  <c r="S628" i="2"/>
  <c r="T628" i="2" s="1"/>
  <c r="Q628" i="2"/>
  <c r="S627" i="2"/>
  <c r="T627" i="2" s="1"/>
  <c r="Q627" i="2"/>
  <c r="S626" i="2"/>
  <c r="T626" i="2" s="1"/>
  <c r="Q626" i="2"/>
  <c r="S625" i="2"/>
  <c r="T625" i="2" s="1"/>
  <c r="Q625" i="2"/>
  <c r="T624" i="2"/>
  <c r="S624" i="2"/>
  <c r="Q624" i="2"/>
  <c r="S623" i="2"/>
  <c r="T623" i="2" s="1"/>
  <c r="Q623" i="2"/>
  <c r="T622" i="2"/>
  <c r="S622" i="2"/>
  <c r="Q622" i="2"/>
  <c r="S621" i="2"/>
  <c r="T621" i="2" s="1"/>
  <c r="Q621" i="2"/>
  <c r="S620" i="2"/>
  <c r="T620" i="2" s="1"/>
  <c r="Q620" i="2"/>
  <c r="S619" i="2"/>
  <c r="T619" i="2" s="1"/>
  <c r="Q619" i="2"/>
  <c r="S618" i="2"/>
  <c r="T618" i="2" s="1"/>
  <c r="Q618" i="2"/>
  <c r="S617" i="2"/>
  <c r="T617" i="2" s="1"/>
  <c r="Q617" i="2"/>
  <c r="T616" i="2"/>
  <c r="S616" i="2"/>
  <c r="Q616" i="2"/>
  <c r="S615" i="2"/>
  <c r="T615" i="2" s="1"/>
  <c r="Q615" i="2"/>
  <c r="T614" i="2"/>
  <c r="S614" i="2"/>
  <c r="Q614" i="2"/>
  <c r="S613" i="2"/>
  <c r="T613" i="2" s="1"/>
  <c r="Q613" i="2"/>
  <c r="T612" i="2"/>
  <c r="S612" i="2"/>
  <c r="Q612" i="2"/>
  <c r="S611" i="2"/>
  <c r="T611" i="2" s="1"/>
  <c r="Q611" i="2"/>
  <c r="S610" i="2"/>
  <c r="T610" i="2" s="1"/>
  <c r="Q610" i="2"/>
  <c r="S609" i="2"/>
  <c r="T609" i="2" s="1"/>
  <c r="Q609" i="2"/>
  <c r="T608" i="2"/>
  <c r="S608" i="2"/>
  <c r="Q608" i="2"/>
  <c r="S607" i="2"/>
  <c r="T607" i="2" s="1"/>
  <c r="Q607" i="2"/>
  <c r="T606" i="2"/>
  <c r="S606" i="2"/>
  <c r="Q606" i="2"/>
  <c r="S605" i="2"/>
  <c r="T605" i="2" s="1"/>
  <c r="Q605" i="2"/>
  <c r="S604" i="2"/>
  <c r="T604" i="2" s="1"/>
  <c r="Q604" i="2"/>
  <c r="S603" i="2"/>
  <c r="T603" i="2" s="1"/>
  <c r="Q603" i="2"/>
  <c r="S602" i="2"/>
  <c r="T602" i="2" s="1"/>
  <c r="Q602" i="2"/>
  <c r="S601" i="2"/>
  <c r="T601" i="2" s="1"/>
  <c r="Q601" i="2"/>
  <c r="T600" i="2"/>
  <c r="S600" i="2"/>
  <c r="Q600" i="2"/>
  <c r="S599" i="2"/>
  <c r="T599" i="2" s="1"/>
  <c r="Q599" i="2"/>
  <c r="T598" i="2"/>
  <c r="S598" i="2"/>
  <c r="Q598" i="2"/>
  <c r="S597" i="2"/>
  <c r="T597" i="2" s="1"/>
  <c r="Q597" i="2"/>
  <c r="T596" i="2"/>
  <c r="S596" i="2"/>
  <c r="Q596" i="2"/>
  <c r="S595" i="2"/>
  <c r="T595" i="2" s="1"/>
  <c r="Q595" i="2"/>
  <c r="S594" i="2"/>
  <c r="T594" i="2" s="1"/>
  <c r="Q594" i="2"/>
  <c r="S593" i="2"/>
  <c r="T593" i="2" s="1"/>
  <c r="Q593" i="2"/>
  <c r="T592" i="2"/>
  <c r="S592" i="2"/>
  <c r="Q592" i="2"/>
  <c r="S591" i="2"/>
  <c r="T591" i="2" s="1"/>
  <c r="Q591" i="2"/>
  <c r="T590" i="2"/>
  <c r="S590" i="2"/>
  <c r="Q590" i="2"/>
  <c r="S589" i="2"/>
  <c r="T589" i="2" s="1"/>
  <c r="Q589" i="2"/>
  <c r="S588" i="2"/>
  <c r="T588" i="2" s="1"/>
  <c r="Q588" i="2"/>
  <c r="S587" i="2"/>
  <c r="T587" i="2" s="1"/>
  <c r="Q587" i="2"/>
  <c r="S586" i="2"/>
  <c r="T586" i="2" s="1"/>
  <c r="Q586" i="2"/>
  <c r="S585" i="2"/>
  <c r="T585" i="2" s="1"/>
  <c r="Q585" i="2"/>
  <c r="T584" i="2"/>
  <c r="S584" i="2"/>
  <c r="Q584" i="2"/>
  <c r="S583" i="2"/>
  <c r="T583" i="2" s="1"/>
  <c r="Q583" i="2"/>
  <c r="T582" i="2"/>
  <c r="S582" i="2"/>
  <c r="Q582" i="2"/>
  <c r="S581" i="2"/>
  <c r="T581" i="2" s="1"/>
  <c r="Q581" i="2"/>
  <c r="T580" i="2"/>
  <c r="S580" i="2"/>
  <c r="Q580" i="2"/>
  <c r="S579" i="2"/>
  <c r="T579" i="2" s="1"/>
  <c r="Q579" i="2"/>
  <c r="S578" i="2"/>
  <c r="T578" i="2" s="1"/>
  <c r="Q578" i="2"/>
  <c r="S577" i="2"/>
  <c r="T577" i="2" s="1"/>
  <c r="Q577" i="2"/>
  <c r="T576" i="2"/>
  <c r="S576" i="2"/>
  <c r="Q576" i="2"/>
  <c r="S575" i="2"/>
  <c r="T575" i="2" s="1"/>
  <c r="Q575" i="2"/>
  <c r="S574" i="2"/>
  <c r="T574" i="2" s="1"/>
  <c r="Q574" i="2"/>
  <c r="S573" i="2"/>
  <c r="T573" i="2" s="1"/>
  <c r="Q573" i="2"/>
  <c r="S572" i="2"/>
  <c r="T572" i="2" s="1"/>
  <c r="Q572" i="2"/>
  <c r="S571" i="2"/>
  <c r="T571" i="2" s="1"/>
  <c r="Q571" i="2"/>
  <c r="S570" i="2"/>
  <c r="T570" i="2" s="1"/>
  <c r="Q570" i="2"/>
  <c r="S569" i="2"/>
  <c r="T569" i="2" s="1"/>
  <c r="Q569" i="2"/>
  <c r="T568" i="2"/>
  <c r="S568" i="2"/>
  <c r="Q568" i="2"/>
  <c r="S567" i="2"/>
  <c r="T567" i="2" s="1"/>
  <c r="Q567" i="2"/>
  <c r="T566" i="2"/>
  <c r="S566" i="2"/>
  <c r="Q566" i="2"/>
  <c r="S565" i="2"/>
  <c r="T565" i="2" s="1"/>
  <c r="Q565" i="2"/>
  <c r="T564" i="2"/>
  <c r="S564" i="2"/>
  <c r="Q564" i="2"/>
  <c r="S563" i="2"/>
  <c r="T563" i="2" s="1"/>
  <c r="Q563" i="2"/>
  <c r="S562" i="2"/>
  <c r="T562" i="2" s="1"/>
  <c r="Q562" i="2"/>
  <c r="S561" i="2"/>
  <c r="T561" i="2" s="1"/>
  <c r="Q561" i="2"/>
  <c r="T560" i="2"/>
  <c r="S560" i="2"/>
  <c r="Q560" i="2"/>
  <c r="S559" i="2"/>
  <c r="T559" i="2" s="1"/>
  <c r="Q559" i="2"/>
  <c r="T558" i="2"/>
  <c r="S558" i="2"/>
  <c r="Q558" i="2"/>
  <c r="S557" i="2"/>
  <c r="T557" i="2" s="1"/>
  <c r="Q557" i="2"/>
  <c r="S556" i="2"/>
  <c r="T556" i="2" s="1"/>
  <c r="Q556" i="2"/>
  <c r="S555" i="2"/>
  <c r="T555" i="2" s="1"/>
  <c r="Q555" i="2"/>
  <c r="S554" i="2"/>
  <c r="T554" i="2" s="1"/>
  <c r="Q554" i="2"/>
  <c r="S553" i="2"/>
  <c r="T553" i="2" s="1"/>
  <c r="Q553" i="2"/>
  <c r="T552" i="2"/>
  <c r="S552" i="2"/>
  <c r="Q552" i="2"/>
  <c r="S551" i="2"/>
  <c r="T551" i="2" s="1"/>
  <c r="Q551" i="2"/>
  <c r="T550" i="2"/>
  <c r="S550" i="2"/>
  <c r="Q550" i="2"/>
  <c r="S549" i="2"/>
  <c r="T549" i="2" s="1"/>
  <c r="Q549" i="2"/>
  <c r="T548" i="2"/>
  <c r="S548" i="2"/>
  <c r="Q548" i="2"/>
  <c r="S547" i="2"/>
  <c r="T547" i="2" s="1"/>
  <c r="Q547" i="2"/>
  <c r="S546" i="2"/>
  <c r="T546" i="2" s="1"/>
  <c r="Q546" i="2"/>
  <c r="S545" i="2"/>
  <c r="T545" i="2" s="1"/>
  <c r="Q545" i="2"/>
  <c r="T544" i="2"/>
  <c r="S544" i="2"/>
  <c r="Q544" i="2"/>
  <c r="S543" i="2"/>
  <c r="T543" i="2" s="1"/>
  <c r="Q543" i="2"/>
  <c r="S542" i="2"/>
  <c r="T542" i="2" s="1"/>
  <c r="Q542" i="2"/>
  <c r="S541" i="2"/>
  <c r="T541" i="2" s="1"/>
  <c r="Q541" i="2"/>
  <c r="S540" i="2"/>
  <c r="T540" i="2" s="1"/>
  <c r="Q540" i="2"/>
  <c r="S539" i="2"/>
  <c r="T539" i="2" s="1"/>
  <c r="Q539" i="2"/>
  <c r="S538" i="2"/>
  <c r="T538" i="2" s="1"/>
  <c r="Q538" i="2"/>
  <c r="S537" i="2"/>
  <c r="T537" i="2" s="1"/>
  <c r="Q537" i="2"/>
  <c r="T536" i="2"/>
  <c r="S536" i="2"/>
  <c r="Q536" i="2"/>
  <c r="S535" i="2"/>
  <c r="T535" i="2" s="1"/>
  <c r="Q535" i="2"/>
  <c r="T534" i="2"/>
  <c r="S534" i="2"/>
  <c r="Q534" i="2"/>
  <c r="S533" i="2"/>
  <c r="T533" i="2" s="1"/>
  <c r="Q533" i="2"/>
  <c r="S532" i="2"/>
  <c r="T532" i="2" s="1"/>
  <c r="Q532" i="2"/>
  <c r="S531" i="2"/>
  <c r="T531" i="2" s="1"/>
  <c r="Q531" i="2"/>
  <c r="T530" i="2"/>
  <c r="S530" i="2"/>
  <c r="Q530" i="2"/>
  <c r="S529" i="2"/>
  <c r="T529" i="2" s="1"/>
  <c r="Q529" i="2"/>
  <c r="S528" i="2"/>
  <c r="T528" i="2" s="1"/>
  <c r="Q528" i="2"/>
  <c r="S527" i="2"/>
  <c r="T527" i="2" s="1"/>
  <c r="Q527" i="2"/>
  <c r="S526" i="2"/>
  <c r="T526" i="2" s="1"/>
  <c r="Q526" i="2"/>
  <c r="S525" i="2"/>
  <c r="T525" i="2" s="1"/>
  <c r="Q525" i="2"/>
  <c r="S524" i="2"/>
  <c r="T524" i="2" s="1"/>
  <c r="Q524" i="2"/>
  <c r="S523" i="2"/>
  <c r="T523" i="2" s="1"/>
  <c r="Q523" i="2"/>
  <c r="T522" i="2"/>
  <c r="S522" i="2"/>
  <c r="Q522" i="2"/>
  <c r="S521" i="2"/>
  <c r="T521" i="2" s="1"/>
  <c r="Q521" i="2"/>
  <c r="S520" i="2"/>
  <c r="T520" i="2" s="1"/>
  <c r="Q520" i="2"/>
  <c r="S519" i="2"/>
  <c r="T519" i="2" s="1"/>
  <c r="Q519" i="2"/>
  <c r="S518" i="2"/>
  <c r="T518" i="2" s="1"/>
  <c r="Q518" i="2"/>
  <c r="S517" i="2"/>
  <c r="T517" i="2" s="1"/>
  <c r="Q517" i="2"/>
  <c r="S516" i="2"/>
  <c r="T516" i="2" s="1"/>
  <c r="Q516" i="2"/>
  <c r="S515" i="2"/>
  <c r="T515" i="2" s="1"/>
  <c r="Q515" i="2"/>
  <c r="T514" i="2"/>
  <c r="S514" i="2"/>
  <c r="Q514" i="2"/>
  <c r="S513" i="2"/>
  <c r="T513" i="2" s="1"/>
  <c r="Q513" i="2"/>
  <c r="S512" i="2"/>
  <c r="T512" i="2" s="1"/>
  <c r="Q512" i="2"/>
  <c r="S511" i="2"/>
  <c r="T511" i="2" s="1"/>
  <c r="Q511" i="2"/>
  <c r="S510" i="2"/>
  <c r="T510" i="2" s="1"/>
  <c r="Q510" i="2"/>
  <c r="S509" i="2"/>
  <c r="T509" i="2" s="1"/>
  <c r="Q509" i="2"/>
  <c r="S508" i="2"/>
  <c r="T508" i="2" s="1"/>
  <c r="Q508" i="2"/>
  <c r="S507" i="2"/>
  <c r="T507" i="2" s="1"/>
  <c r="Q507" i="2"/>
  <c r="T506" i="2"/>
  <c r="S506" i="2"/>
  <c r="Q506" i="2"/>
  <c r="S505" i="2"/>
  <c r="T505" i="2" s="1"/>
  <c r="Q505" i="2"/>
  <c r="S504" i="2"/>
  <c r="T504" i="2" s="1"/>
  <c r="Q504" i="2"/>
  <c r="S503" i="2"/>
  <c r="T503" i="2" s="1"/>
  <c r="Q503" i="2"/>
  <c r="S502" i="2"/>
  <c r="T502" i="2" s="1"/>
  <c r="Q502" i="2"/>
  <c r="S501" i="2"/>
  <c r="T501" i="2" s="1"/>
  <c r="Q501" i="2"/>
  <c r="S500" i="2"/>
  <c r="T500" i="2" s="1"/>
  <c r="Q500" i="2"/>
  <c r="S499" i="2"/>
  <c r="T499" i="2" s="1"/>
  <c r="Q499" i="2"/>
  <c r="T498" i="2"/>
  <c r="S498" i="2"/>
  <c r="Q498" i="2"/>
  <c r="S497" i="2"/>
  <c r="T497" i="2" s="1"/>
  <c r="Q497" i="2"/>
  <c r="S496" i="2"/>
  <c r="T496" i="2" s="1"/>
  <c r="Q496" i="2"/>
  <c r="S495" i="2"/>
  <c r="T495" i="2" s="1"/>
  <c r="Q495" i="2"/>
  <c r="S494" i="2"/>
  <c r="T494" i="2" s="1"/>
  <c r="Q494" i="2"/>
  <c r="S493" i="2"/>
  <c r="T493" i="2" s="1"/>
  <c r="Q493" i="2"/>
  <c r="S492" i="2"/>
  <c r="T492" i="2" s="1"/>
  <c r="Q492" i="2"/>
  <c r="S491" i="2"/>
  <c r="T491" i="2" s="1"/>
  <c r="Q491" i="2"/>
  <c r="T490" i="2"/>
  <c r="S490" i="2"/>
  <c r="Q490" i="2"/>
  <c r="S489" i="2"/>
  <c r="T489" i="2" s="1"/>
  <c r="Q489" i="2"/>
  <c r="S488" i="2"/>
  <c r="T488" i="2" s="1"/>
  <c r="Q488" i="2"/>
  <c r="S487" i="2"/>
  <c r="T487" i="2" s="1"/>
  <c r="Q487" i="2"/>
  <c r="S486" i="2"/>
  <c r="T486" i="2" s="1"/>
  <c r="Q486" i="2"/>
  <c r="S485" i="2"/>
  <c r="T485" i="2" s="1"/>
  <c r="Q485" i="2"/>
  <c r="S484" i="2"/>
  <c r="T484" i="2" s="1"/>
  <c r="Q484" i="2"/>
  <c r="S483" i="2"/>
  <c r="T483" i="2" s="1"/>
  <c r="Q483" i="2"/>
  <c r="T482" i="2"/>
  <c r="S482" i="2"/>
  <c r="Q482" i="2"/>
  <c r="S481" i="2"/>
  <c r="T481" i="2" s="1"/>
  <c r="Q481" i="2"/>
  <c r="S480" i="2"/>
  <c r="T480" i="2" s="1"/>
  <c r="Q480" i="2"/>
  <c r="S479" i="2"/>
  <c r="T479" i="2" s="1"/>
  <c r="Q479" i="2"/>
  <c r="S478" i="2"/>
  <c r="T478" i="2" s="1"/>
  <c r="Q478" i="2"/>
  <c r="S477" i="2"/>
  <c r="T477" i="2" s="1"/>
  <c r="Q477" i="2"/>
  <c r="S476" i="2"/>
  <c r="T476" i="2" s="1"/>
  <c r="Q476" i="2"/>
  <c r="S475" i="2"/>
  <c r="T475" i="2" s="1"/>
  <c r="Q475" i="2"/>
  <c r="T474" i="2"/>
  <c r="S474" i="2"/>
  <c r="Q474" i="2"/>
  <c r="S473" i="2"/>
  <c r="T473" i="2" s="1"/>
  <c r="Q473" i="2"/>
  <c r="S472" i="2"/>
  <c r="T472" i="2" s="1"/>
  <c r="Q472" i="2"/>
  <c r="S471" i="2"/>
  <c r="T471" i="2" s="1"/>
  <c r="Q471" i="2"/>
  <c r="S470" i="2"/>
  <c r="T470" i="2" s="1"/>
  <c r="Q470" i="2"/>
  <c r="S469" i="2"/>
  <c r="T469" i="2" s="1"/>
  <c r="Q469" i="2"/>
  <c r="S468" i="2"/>
  <c r="T468" i="2" s="1"/>
  <c r="Q468" i="2"/>
  <c r="S467" i="2"/>
  <c r="T467" i="2" s="1"/>
  <c r="Q467" i="2"/>
  <c r="T466" i="2"/>
  <c r="S466" i="2"/>
  <c r="Q466" i="2"/>
  <c r="S465" i="2"/>
  <c r="T465" i="2" s="1"/>
  <c r="Q465" i="2"/>
  <c r="S464" i="2"/>
  <c r="T464" i="2" s="1"/>
  <c r="Q464" i="2"/>
  <c r="S463" i="2"/>
  <c r="T463" i="2" s="1"/>
  <c r="Q463" i="2"/>
  <c r="S462" i="2"/>
  <c r="T462" i="2" s="1"/>
  <c r="Q462" i="2"/>
  <c r="S461" i="2"/>
  <c r="T461" i="2" s="1"/>
  <c r="Q461" i="2"/>
  <c r="S460" i="2"/>
  <c r="T460" i="2" s="1"/>
  <c r="Q460" i="2"/>
  <c r="S459" i="2"/>
  <c r="T459" i="2" s="1"/>
  <c r="Q459" i="2"/>
  <c r="T458" i="2"/>
  <c r="S458" i="2"/>
  <c r="Q458" i="2"/>
  <c r="S457" i="2"/>
  <c r="T457" i="2" s="1"/>
  <c r="Q457" i="2"/>
  <c r="S456" i="2"/>
  <c r="T456" i="2" s="1"/>
  <c r="Q456" i="2"/>
  <c r="S455" i="2"/>
  <c r="T455" i="2" s="1"/>
  <c r="Q455" i="2"/>
  <c r="S454" i="2"/>
  <c r="T454" i="2" s="1"/>
  <c r="Q454" i="2"/>
  <c r="S453" i="2"/>
  <c r="T453" i="2" s="1"/>
  <c r="Q453" i="2"/>
  <c r="S452" i="2"/>
  <c r="T452" i="2" s="1"/>
  <c r="Q452" i="2"/>
  <c r="S451" i="2"/>
  <c r="T451" i="2" s="1"/>
  <c r="Q451" i="2"/>
  <c r="T450" i="2"/>
  <c r="S450" i="2"/>
  <c r="Q450" i="2"/>
  <c r="S449" i="2"/>
  <c r="T449" i="2" s="1"/>
  <c r="Q449" i="2"/>
  <c r="S448" i="2"/>
  <c r="T448" i="2" s="1"/>
  <c r="Q448" i="2"/>
  <c r="S447" i="2"/>
  <c r="T447" i="2" s="1"/>
  <c r="Q447" i="2"/>
  <c r="S446" i="2"/>
  <c r="T446" i="2" s="1"/>
  <c r="Q446" i="2"/>
  <c r="S445" i="2"/>
  <c r="T445" i="2" s="1"/>
  <c r="Q445" i="2"/>
  <c r="S444" i="2"/>
  <c r="T444" i="2" s="1"/>
  <c r="Q444" i="2"/>
  <c r="S443" i="2"/>
  <c r="T443" i="2" s="1"/>
  <c r="Q443" i="2"/>
  <c r="T442" i="2"/>
  <c r="S442" i="2"/>
  <c r="Q442" i="2"/>
  <c r="S441" i="2"/>
  <c r="T441" i="2" s="1"/>
  <c r="Q441" i="2"/>
  <c r="S440" i="2"/>
  <c r="T440" i="2" s="1"/>
  <c r="Q440" i="2"/>
  <c r="S439" i="2"/>
  <c r="T439" i="2" s="1"/>
  <c r="Q439" i="2"/>
  <c r="S438" i="2"/>
  <c r="T438" i="2" s="1"/>
  <c r="Q438" i="2"/>
  <c r="S437" i="2"/>
  <c r="T437" i="2" s="1"/>
  <c r="Q437" i="2"/>
  <c r="S436" i="2"/>
  <c r="T436" i="2" s="1"/>
  <c r="Q436" i="2"/>
  <c r="S435" i="2"/>
  <c r="T435" i="2" s="1"/>
  <c r="Q435" i="2"/>
  <c r="S434" i="2"/>
  <c r="T434" i="2" s="1"/>
  <c r="Q434" i="2"/>
  <c r="S433" i="2"/>
  <c r="T433" i="2" s="1"/>
  <c r="Q433" i="2"/>
  <c r="S432" i="2"/>
  <c r="T432" i="2" s="1"/>
  <c r="Q432" i="2"/>
  <c r="S431" i="2"/>
  <c r="T431" i="2" s="1"/>
  <c r="Q431" i="2"/>
  <c r="S430" i="2"/>
  <c r="T430" i="2" s="1"/>
  <c r="Q430" i="2"/>
  <c r="S429" i="2"/>
  <c r="T429" i="2" s="1"/>
  <c r="Q429" i="2"/>
  <c r="S428" i="2"/>
  <c r="T428" i="2" s="1"/>
  <c r="Q428" i="2"/>
  <c r="S427" i="2"/>
  <c r="T427" i="2" s="1"/>
  <c r="Q427" i="2"/>
  <c r="S426" i="2"/>
  <c r="T426" i="2" s="1"/>
  <c r="Q426" i="2"/>
  <c r="S425" i="2"/>
  <c r="T425" i="2" s="1"/>
  <c r="Q425" i="2"/>
  <c r="S424" i="2"/>
  <c r="T424" i="2" s="1"/>
  <c r="Q424" i="2"/>
  <c r="S423" i="2"/>
  <c r="T423" i="2" s="1"/>
  <c r="Q423" i="2"/>
  <c r="S422" i="2"/>
  <c r="T422" i="2" s="1"/>
  <c r="Q422" i="2"/>
  <c r="S421" i="2"/>
  <c r="T421" i="2" s="1"/>
  <c r="Q421" i="2"/>
  <c r="S420" i="2"/>
  <c r="T420" i="2" s="1"/>
  <c r="Q420" i="2"/>
  <c r="S419" i="2"/>
  <c r="T419" i="2" s="1"/>
  <c r="Q419" i="2"/>
  <c r="S418" i="2"/>
  <c r="T418" i="2" s="1"/>
  <c r="Q418" i="2"/>
  <c r="S417" i="2"/>
  <c r="T417" i="2" s="1"/>
  <c r="Q417" i="2"/>
  <c r="S416" i="2"/>
  <c r="T416" i="2" s="1"/>
  <c r="Q416" i="2"/>
  <c r="S415" i="2"/>
  <c r="T415" i="2" s="1"/>
  <c r="Q415" i="2"/>
  <c r="S414" i="2"/>
  <c r="T414" i="2" s="1"/>
  <c r="Q414" i="2"/>
  <c r="S413" i="2"/>
  <c r="T413" i="2" s="1"/>
  <c r="Q413" i="2"/>
  <c r="S412" i="2"/>
  <c r="T412" i="2" s="1"/>
  <c r="Q412" i="2"/>
  <c r="S411" i="2"/>
  <c r="T411" i="2" s="1"/>
  <c r="Q411" i="2"/>
  <c r="T410" i="2"/>
  <c r="S410" i="2"/>
  <c r="Q410" i="2"/>
  <c r="S409" i="2"/>
  <c r="T409" i="2" s="1"/>
  <c r="Q409" i="2"/>
  <c r="S408" i="2"/>
  <c r="T408" i="2" s="1"/>
  <c r="Q408" i="2"/>
  <c r="S407" i="2"/>
  <c r="T407" i="2" s="1"/>
  <c r="Q407" i="2"/>
  <c r="T406" i="2"/>
  <c r="S406" i="2"/>
  <c r="Q406" i="2"/>
  <c r="S405" i="2"/>
  <c r="T405" i="2" s="1"/>
  <c r="Q405" i="2"/>
  <c r="S404" i="2"/>
  <c r="T404" i="2" s="1"/>
  <c r="Q404" i="2"/>
  <c r="S403" i="2"/>
  <c r="T403" i="2" s="1"/>
  <c r="Q403" i="2"/>
  <c r="T402" i="2"/>
  <c r="S402" i="2"/>
  <c r="Q402" i="2"/>
  <c r="S401" i="2"/>
  <c r="T401" i="2" s="1"/>
  <c r="Q401" i="2"/>
  <c r="S400" i="2"/>
  <c r="T400" i="2" s="1"/>
  <c r="Q400" i="2"/>
  <c r="S399" i="2"/>
  <c r="T399" i="2" s="1"/>
  <c r="Q399" i="2"/>
  <c r="T398" i="2"/>
  <c r="S398" i="2"/>
  <c r="Q398" i="2"/>
  <c r="S397" i="2"/>
  <c r="T397" i="2" s="1"/>
  <c r="Q397" i="2"/>
  <c r="S396" i="2"/>
  <c r="T396" i="2" s="1"/>
  <c r="Q396" i="2"/>
  <c r="S395" i="2"/>
  <c r="T395" i="2" s="1"/>
  <c r="Q395" i="2"/>
  <c r="T394" i="2"/>
  <c r="S394" i="2"/>
  <c r="Q394" i="2"/>
  <c r="S393" i="2"/>
  <c r="T393" i="2" s="1"/>
  <c r="Q393" i="2"/>
  <c r="S392" i="2"/>
  <c r="T392" i="2" s="1"/>
  <c r="Q392" i="2"/>
  <c r="S391" i="2"/>
  <c r="T391" i="2" s="1"/>
  <c r="Q391" i="2"/>
  <c r="T390" i="2"/>
  <c r="S390" i="2"/>
  <c r="Q390" i="2"/>
  <c r="S389" i="2"/>
  <c r="T389" i="2" s="1"/>
  <c r="Q389" i="2"/>
  <c r="S388" i="2"/>
  <c r="T388" i="2" s="1"/>
  <c r="Q388" i="2"/>
  <c r="S387" i="2"/>
  <c r="T387" i="2" s="1"/>
  <c r="Q387" i="2"/>
  <c r="T386" i="2"/>
  <c r="S386" i="2"/>
  <c r="Q386" i="2"/>
  <c r="S385" i="2"/>
  <c r="T385" i="2" s="1"/>
  <c r="Q385" i="2"/>
  <c r="S384" i="2"/>
  <c r="T384" i="2" s="1"/>
  <c r="Q384" i="2"/>
  <c r="S383" i="2"/>
  <c r="T383" i="2" s="1"/>
  <c r="Q383" i="2"/>
  <c r="T382" i="2"/>
  <c r="S382" i="2"/>
  <c r="Q382" i="2"/>
  <c r="S381" i="2"/>
  <c r="T381" i="2" s="1"/>
  <c r="Q381" i="2"/>
  <c r="S380" i="2"/>
  <c r="T380" i="2" s="1"/>
  <c r="Q380" i="2"/>
  <c r="S379" i="2"/>
  <c r="T379" i="2" s="1"/>
  <c r="Q379" i="2"/>
  <c r="T378" i="2"/>
  <c r="S378" i="2"/>
  <c r="Q378" i="2"/>
  <c r="S377" i="2"/>
  <c r="T377" i="2" s="1"/>
  <c r="Q377" i="2"/>
  <c r="S376" i="2"/>
  <c r="T376" i="2" s="1"/>
  <c r="Q376" i="2"/>
  <c r="S375" i="2"/>
  <c r="T375" i="2" s="1"/>
  <c r="Q375" i="2"/>
  <c r="T374" i="2"/>
  <c r="S374" i="2"/>
  <c r="Q374" i="2"/>
  <c r="S373" i="2"/>
  <c r="T373" i="2" s="1"/>
  <c r="Q373" i="2"/>
  <c r="S372" i="2"/>
  <c r="T372" i="2" s="1"/>
  <c r="Q372" i="2"/>
  <c r="S371" i="2"/>
  <c r="T371" i="2" s="1"/>
  <c r="Q371" i="2"/>
  <c r="T370" i="2"/>
  <c r="S370" i="2"/>
  <c r="Q370" i="2"/>
  <c r="S369" i="2"/>
  <c r="T369" i="2" s="1"/>
  <c r="Q369" i="2"/>
  <c r="S368" i="2"/>
  <c r="T368" i="2" s="1"/>
  <c r="Q368" i="2"/>
  <c r="S367" i="2"/>
  <c r="T367" i="2" s="1"/>
  <c r="Q367" i="2"/>
  <c r="T366" i="2"/>
  <c r="S366" i="2"/>
  <c r="Q366" i="2"/>
  <c r="S365" i="2"/>
  <c r="T365" i="2" s="1"/>
  <c r="Q365" i="2"/>
  <c r="S364" i="2"/>
  <c r="T364" i="2" s="1"/>
  <c r="Q364" i="2"/>
  <c r="S363" i="2"/>
  <c r="T363" i="2" s="1"/>
  <c r="Q363" i="2"/>
  <c r="T362" i="2"/>
  <c r="S362" i="2"/>
  <c r="Q362" i="2"/>
  <c r="S361" i="2"/>
  <c r="T361" i="2" s="1"/>
  <c r="Q361" i="2"/>
  <c r="S360" i="2"/>
  <c r="T360" i="2" s="1"/>
  <c r="Q360" i="2"/>
  <c r="S359" i="2"/>
  <c r="T359" i="2" s="1"/>
  <c r="Q359" i="2"/>
  <c r="T358" i="2"/>
  <c r="S358" i="2"/>
  <c r="Q358" i="2"/>
  <c r="S357" i="2"/>
  <c r="T357" i="2" s="1"/>
  <c r="Q357" i="2"/>
  <c r="S356" i="2"/>
  <c r="T356" i="2" s="1"/>
  <c r="Q356" i="2"/>
  <c r="S355" i="2"/>
  <c r="T355" i="2" s="1"/>
  <c r="Q355" i="2"/>
  <c r="T354" i="2"/>
  <c r="S354" i="2"/>
  <c r="Q354" i="2"/>
  <c r="S353" i="2"/>
  <c r="T353" i="2" s="1"/>
  <c r="Q353" i="2"/>
  <c r="S352" i="2"/>
  <c r="T352" i="2" s="1"/>
  <c r="Q352" i="2"/>
  <c r="S351" i="2"/>
  <c r="T351" i="2" s="1"/>
  <c r="Q351" i="2"/>
  <c r="T350" i="2"/>
  <c r="S350" i="2"/>
  <c r="Q350" i="2"/>
  <c r="S349" i="2"/>
  <c r="T349" i="2" s="1"/>
  <c r="Q349" i="2"/>
  <c r="S348" i="2"/>
  <c r="T348" i="2" s="1"/>
  <c r="Q348" i="2"/>
  <c r="S347" i="2"/>
  <c r="T347" i="2" s="1"/>
  <c r="Q347" i="2"/>
  <c r="T346" i="2"/>
  <c r="S346" i="2"/>
  <c r="Q346" i="2"/>
  <c r="S345" i="2"/>
  <c r="T345" i="2" s="1"/>
  <c r="Q345" i="2"/>
  <c r="S344" i="2"/>
  <c r="T344" i="2" s="1"/>
  <c r="Q344" i="2"/>
  <c r="S343" i="2"/>
  <c r="T343" i="2" s="1"/>
  <c r="Q343" i="2"/>
  <c r="T342" i="2"/>
  <c r="S342" i="2"/>
  <c r="Q342" i="2"/>
  <c r="S341" i="2"/>
  <c r="T341" i="2" s="1"/>
  <c r="Q341" i="2"/>
  <c r="S340" i="2"/>
  <c r="T340" i="2" s="1"/>
  <c r="Q340" i="2"/>
  <c r="S339" i="2"/>
  <c r="T339" i="2" s="1"/>
  <c r="Q339" i="2"/>
  <c r="T338" i="2"/>
  <c r="S338" i="2"/>
  <c r="Q338" i="2"/>
  <c r="S337" i="2"/>
  <c r="T337" i="2" s="1"/>
  <c r="Q337" i="2"/>
  <c r="S336" i="2"/>
  <c r="T336" i="2" s="1"/>
  <c r="Q336" i="2"/>
  <c r="S335" i="2"/>
  <c r="T335" i="2" s="1"/>
  <c r="Q335" i="2"/>
  <c r="T334" i="2"/>
  <c r="S334" i="2"/>
  <c r="Q334" i="2"/>
  <c r="S333" i="2"/>
  <c r="T333" i="2" s="1"/>
  <c r="Q333" i="2"/>
  <c r="S332" i="2"/>
  <c r="T332" i="2" s="1"/>
  <c r="Q332" i="2"/>
  <c r="S331" i="2"/>
  <c r="T331" i="2" s="1"/>
  <c r="Q331" i="2"/>
  <c r="T330" i="2"/>
  <c r="S330" i="2"/>
  <c r="Q330" i="2"/>
  <c r="S329" i="2"/>
  <c r="T329" i="2" s="1"/>
  <c r="Q329" i="2"/>
  <c r="S328" i="2"/>
  <c r="T328" i="2" s="1"/>
  <c r="Q328" i="2"/>
  <c r="S327" i="2"/>
  <c r="T327" i="2" s="1"/>
  <c r="Q327" i="2"/>
  <c r="T326" i="2"/>
  <c r="S326" i="2"/>
  <c r="Q326" i="2"/>
  <c r="S325" i="2"/>
  <c r="T325" i="2" s="1"/>
  <c r="Q325" i="2"/>
  <c r="S324" i="2"/>
  <c r="T324" i="2" s="1"/>
  <c r="Q324" i="2"/>
  <c r="S323" i="2"/>
  <c r="T323" i="2" s="1"/>
  <c r="Q323" i="2"/>
  <c r="T322" i="2"/>
  <c r="S322" i="2"/>
  <c r="Q322" i="2"/>
  <c r="S321" i="2"/>
  <c r="T321" i="2" s="1"/>
  <c r="Q321" i="2"/>
  <c r="S320" i="2"/>
  <c r="T320" i="2" s="1"/>
  <c r="Q320" i="2"/>
  <c r="S319" i="2"/>
  <c r="T319" i="2" s="1"/>
  <c r="Q319" i="2"/>
  <c r="T318" i="2"/>
  <c r="S318" i="2"/>
  <c r="Q318" i="2"/>
  <c r="S317" i="2"/>
  <c r="T317" i="2" s="1"/>
  <c r="Q317" i="2"/>
  <c r="S316" i="2"/>
  <c r="T316" i="2" s="1"/>
  <c r="Q316" i="2"/>
  <c r="S315" i="2"/>
  <c r="T315" i="2" s="1"/>
  <c r="Q315" i="2"/>
  <c r="T314" i="2"/>
  <c r="S314" i="2"/>
  <c r="Q314" i="2"/>
  <c r="S313" i="2"/>
  <c r="T313" i="2" s="1"/>
  <c r="Q313" i="2"/>
  <c r="T312" i="2"/>
  <c r="S312" i="2"/>
  <c r="Q312" i="2"/>
  <c r="S311" i="2"/>
  <c r="T311" i="2" s="1"/>
  <c r="Q311" i="2"/>
  <c r="S310" i="2"/>
  <c r="T310" i="2" s="1"/>
  <c r="Q310" i="2"/>
  <c r="S309" i="2"/>
  <c r="T309" i="2" s="1"/>
  <c r="Q309" i="2"/>
  <c r="S308" i="2"/>
  <c r="T308" i="2" s="1"/>
  <c r="Q308" i="2"/>
  <c r="S307" i="2"/>
  <c r="T307" i="2" s="1"/>
  <c r="Q307" i="2"/>
  <c r="T306" i="2"/>
  <c r="S306" i="2"/>
  <c r="Q306" i="2"/>
  <c r="S305" i="2"/>
  <c r="T305" i="2" s="1"/>
  <c r="Q305" i="2"/>
  <c r="S304" i="2"/>
  <c r="T304" i="2" s="1"/>
  <c r="Q304" i="2"/>
  <c r="S303" i="2"/>
  <c r="T303" i="2" s="1"/>
  <c r="Q303" i="2"/>
  <c r="S302" i="2"/>
  <c r="T302" i="2" s="1"/>
  <c r="Q302" i="2"/>
  <c r="S301" i="2"/>
  <c r="T301" i="2" s="1"/>
  <c r="Q301" i="2"/>
  <c r="S300" i="2"/>
  <c r="T300" i="2" s="1"/>
  <c r="Q300" i="2"/>
  <c r="S299" i="2"/>
  <c r="T299" i="2" s="1"/>
  <c r="Q299" i="2"/>
  <c r="T298" i="2"/>
  <c r="S298" i="2"/>
  <c r="Q298" i="2"/>
  <c r="S297" i="2"/>
  <c r="T297" i="2" s="1"/>
  <c r="Q297" i="2"/>
  <c r="T296" i="2"/>
  <c r="S296" i="2"/>
  <c r="Q296" i="2"/>
  <c r="S295" i="2"/>
  <c r="T295" i="2" s="1"/>
  <c r="Q295" i="2"/>
  <c r="T294" i="2"/>
  <c r="S294" i="2"/>
  <c r="Q294" i="2"/>
  <c r="S293" i="2"/>
  <c r="T293" i="2" s="1"/>
  <c r="Q293" i="2"/>
  <c r="S292" i="2"/>
  <c r="T292" i="2" s="1"/>
  <c r="Q292" i="2"/>
  <c r="S291" i="2"/>
  <c r="T291" i="2" s="1"/>
  <c r="Q291" i="2"/>
  <c r="T290" i="2"/>
  <c r="S290" i="2"/>
  <c r="Q290" i="2"/>
  <c r="S289" i="2"/>
  <c r="T289" i="2" s="1"/>
  <c r="Q289" i="2"/>
  <c r="S288" i="2"/>
  <c r="T288" i="2" s="1"/>
  <c r="Q288" i="2"/>
  <c r="S287" i="2"/>
  <c r="T287" i="2" s="1"/>
  <c r="Q287" i="2"/>
  <c r="S286" i="2"/>
  <c r="T286" i="2" s="1"/>
  <c r="Q286" i="2"/>
  <c r="S285" i="2"/>
  <c r="T285" i="2" s="1"/>
  <c r="Q285" i="2"/>
  <c r="S284" i="2"/>
  <c r="T284" i="2" s="1"/>
  <c r="Q284" i="2"/>
  <c r="S283" i="2"/>
  <c r="T283" i="2" s="1"/>
  <c r="Q283" i="2"/>
  <c r="T282" i="2"/>
  <c r="S282" i="2"/>
  <c r="Q282" i="2"/>
  <c r="S281" i="2"/>
  <c r="T281" i="2" s="1"/>
  <c r="Q281" i="2"/>
  <c r="S280" i="2"/>
  <c r="T280" i="2" s="1"/>
  <c r="Q280" i="2"/>
  <c r="S279" i="2"/>
  <c r="T279" i="2" s="1"/>
  <c r="Q279" i="2"/>
  <c r="T278" i="2"/>
  <c r="S278" i="2"/>
  <c r="Q278" i="2"/>
  <c r="S277" i="2"/>
  <c r="T277" i="2" s="1"/>
  <c r="Q277" i="2"/>
  <c r="S276" i="2"/>
  <c r="T276" i="2" s="1"/>
  <c r="Q276" i="2"/>
  <c r="S275" i="2"/>
  <c r="T275" i="2" s="1"/>
  <c r="Q275" i="2"/>
  <c r="T274" i="2"/>
  <c r="S274" i="2"/>
  <c r="Q274" i="2"/>
  <c r="S273" i="2"/>
  <c r="T273" i="2" s="1"/>
  <c r="Q273" i="2"/>
  <c r="T272" i="2"/>
  <c r="S272" i="2"/>
  <c r="Q272" i="2"/>
  <c r="S271" i="2"/>
  <c r="T271" i="2" s="1"/>
  <c r="Q271" i="2"/>
  <c r="S270" i="2"/>
  <c r="T270" i="2" s="1"/>
  <c r="Q270" i="2"/>
  <c r="S269" i="2"/>
  <c r="T269" i="2" s="1"/>
  <c r="Q269" i="2"/>
  <c r="S268" i="2"/>
  <c r="T268" i="2" s="1"/>
  <c r="Q268" i="2"/>
  <c r="S267" i="2"/>
  <c r="T267" i="2" s="1"/>
  <c r="Q267" i="2"/>
  <c r="T266" i="2"/>
  <c r="S266" i="2"/>
  <c r="Q266" i="2"/>
  <c r="S265" i="2"/>
  <c r="T265" i="2" s="1"/>
  <c r="Q265" i="2"/>
  <c r="S264" i="2"/>
  <c r="T264" i="2" s="1"/>
  <c r="Q264" i="2"/>
  <c r="S263" i="2"/>
  <c r="T263" i="2" s="1"/>
  <c r="Q263" i="2"/>
  <c r="S262" i="2"/>
  <c r="T262" i="2" s="1"/>
  <c r="Q262" i="2"/>
  <c r="S261" i="2"/>
  <c r="T261" i="2" s="1"/>
  <c r="Q261" i="2"/>
  <c r="S260" i="2"/>
  <c r="T260" i="2" s="1"/>
  <c r="Q260" i="2"/>
  <c r="S259" i="2"/>
  <c r="T259" i="2" s="1"/>
  <c r="Q259" i="2"/>
  <c r="T258" i="2"/>
  <c r="S258" i="2"/>
  <c r="Q258" i="2"/>
  <c r="S257" i="2"/>
  <c r="T257" i="2" s="1"/>
  <c r="Q257" i="2"/>
  <c r="S256" i="2"/>
  <c r="T256" i="2" s="1"/>
  <c r="Q256" i="2"/>
  <c r="S255" i="2"/>
  <c r="T255" i="2" s="1"/>
  <c r="Q255" i="2"/>
  <c r="T254" i="2"/>
  <c r="S254" i="2"/>
  <c r="Q254" i="2"/>
  <c r="S253" i="2"/>
  <c r="T253" i="2" s="1"/>
  <c r="Q253" i="2"/>
  <c r="S252" i="2"/>
  <c r="T252" i="2" s="1"/>
  <c r="Q252" i="2"/>
  <c r="S251" i="2"/>
  <c r="T251" i="2" s="1"/>
  <c r="Q251" i="2"/>
  <c r="T250" i="2"/>
  <c r="S250" i="2"/>
  <c r="Q250" i="2"/>
  <c r="S249" i="2"/>
  <c r="T249" i="2" s="1"/>
  <c r="Q249" i="2"/>
  <c r="T248" i="2"/>
  <c r="S248" i="2"/>
  <c r="Q248" i="2"/>
  <c r="S247" i="2"/>
  <c r="T247" i="2" s="1"/>
  <c r="Q247" i="2"/>
  <c r="S246" i="2"/>
  <c r="T246" i="2" s="1"/>
  <c r="Q246" i="2"/>
  <c r="S245" i="2"/>
  <c r="T245" i="2" s="1"/>
  <c r="Q245" i="2"/>
  <c r="S244" i="2"/>
  <c r="T244" i="2" s="1"/>
  <c r="Q244" i="2"/>
  <c r="S243" i="2"/>
  <c r="T243" i="2" s="1"/>
  <c r="Q243" i="2"/>
  <c r="S242" i="2"/>
  <c r="T242" i="2" s="1"/>
  <c r="Q242" i="2"/>
  <c r="S241" i="2"/>
  <c r="T241" i="2" s="1"/>
  <c r="Q241" i="2"/>
  <c r="S240" i="2"/>
  <c r="T240" i="2" s="1"/>
  <c r="Q240" i="2"/>
  <c r="S239" i="2"/>
  <c r="T239" i="2" s="1"/>
  <c r="Q239" i="2"/>
  <c r="S238" i="2"/>
  <c r="T238" i="2" s="1"/>
  <c r="Q238" i="2"/>
  <c r="S237" i="2"/>
  <c r="T237" i="2" s="1"/>
  <c r="Q237" i="2"/>
  <c r="S236" i="2"/>
  <c r="T236" i="2" s="1"/>
  <c r="Q236" i="2"/>
  <c r="S235" i="2"/>
  <c r="T235" i="2" s="1"/>
  <c r="Q235" i="2"/>
  <c r="S234" i="2"/>
  <c r="T234" i="2" s="1"/>
  <c r="Q234" i="2"/>
  <c r="S233" i="2"/>
  <c r="T233" i="2" s="1"/>
  <c r="Q233" i="2"/>
  <c r="S232" i="2"/>
  <c r="T232" i="2" s="1"/>
  <c r="Q232" i="2"/>
  <c r="S231" i="2"/>
  <c r="T231" i="2" s="1"/>
  <c r="Q231" i="2"/>
  <c r="S230" i="2"/>
  <c r="T230" i="2" s="1"/>
  <c r="Q230" i="2"/>
  <c r="S229" i="2"/>
  <c r="T229" i="2" s="1"/>
  <c r="Q229" i="2"/>
  <c r="S228" i="2"/>
  <c r="T228" i="2" s="1"/>
  <c r="Q228" i="2"/>
  <c r="S227" i="2"/>
  <c r="T227" i="2" s="1"/>
  <c r="Q227" i="2"/>
  <c r="S226" i="2"/>
  <c r="T226" i="2" s="1"/>
  <c r="Q226" i="2"/>
  <c r="S225" i="2"/>
  <c r="T225" i="2" s="1"/>
  <c r="Q225" i="2"/>
  <c r="S224" i="2"/>
  <c r="T224" i="2" s="1"/>
  <c r="Q224" i="2"/>
  <c r="S223" i="2"/>
  <c r="T223" i="2" s="1"/>
  <c r="Q223" i="2"/>
  <c r="S222" i="2"/>
  <c r="T222" i="2" s="1"/>
  <c r="Q222" i="2"/>
  <c r="S221" i="2"/>
  <c r="T221" i="2" s="1"/>
  <c r="Q221" i="2"/>
  <c r="S220" i="2"/>
  <c r="T220" i="2" s="1"/>
  <c r="Q220" i="2"/>
  <c r="S219" i="2"/>
  <c r="T219" i="2" s="1"/>
  <c r="Q219" i="2"/>
  <c r="S218" i="2"/>
  <c r="T218" i="2" s="1"/>
  <c r="Q218" i="2"/>
  <c r="S217" i="2"/>
  <c r="T217" i="2" s="1"/>
  <c r="Q217" i="2"/>
  <c r="S216" i="2"/>
  <c r="T216" i="2" s="1"/>
  <c r="Q216" i="2"/>
  <c r="S215" i="2"/>
  <c r="T215" i="2" s="1"/>
  <c r="Q215" i="2"/>
  <c r="S214" i="2"/>
  <c r="T214" i="2" s="1"/>
  <c r="Q214" i="2"/>
  <c r="S213" i="2"/>
  <c r="T213" i="2" s="1"/>
  <c r="Q213" i="2"/>
  <c r="S212" i="2"/>
  <c r="T212" i="2" s="1"/>
  <c r="Q212" i="2"/>
  <c r="S211" i="2"/>
  <c r="T211" i="2" s="1"/>
  <c r="Q211" i="2"/>
  <c r="S210" i="2"/>
  <c r="T210" i="2" s="1"/>
  <c r="Q210" i="2"/>
  <c r="S209" i="2"/>
  <c r="T209" i="2" s="1"/>
  <c r="Q209" i="2"/>
  <c r="S208" i="2"/>
  <c r="T208" i="2" s="1"/>
  <c r="Q208" i="2"/>
  <c r="S207" i="2"/>
  <c r="T207" i="2" s="1"/>
  <c r="Q207" i="2"/>
  <c r="S206" i="2"/>
  <c r="T206" i="2" s="1"/>
  <c r="Q206" i="2"/>
  <c r="S205" i="2"/>
  <c r="T205" i="2" s="1"/>
  <c r="Q205" i="2"/>
  <c r="S204" i="2"/>
  <c r="T204" i="2" s="1"/>
  <c r="Q204" i="2"/>
  <c r="S203" i="2"/>
  <c r="T203" i="2" s="1"/>
  <c r="Q203" i="2"/>
  <c r="S202" i="2"/>
  <c r="T202" i="2" s="1"/>
  <c r="Q202" i="2"/>
  <c r="S201" i="2"/>
  <c r="T201" i="2" s="1"/>
  <c r="Q201" i="2"/>
  <c r="S200" i="2"/>
  <c r="T200" i="2" s="1"/>
  <c r="Q200" i="2"/>
  <c r="S199" i="2"/>
  <c r="T199" i="2" s="1"/>
  <c r="Q199" i="2"/>
  <c r="S198" i="2"/>
  <c r="T198" i="2" s="1"/>
  <c r="Q198" i="2"/>
  <c r="S197" i="2"/>
  <c r="T197" i="2" s="1"/>
  <c r="Q197" i="2"/>
  <c r="S196" i="2"/>
  <c r="T196" i="2" s="1"/>
  <c r="Q196" i="2"/>
  <c r="S195" i="2"/>
  <c r="T195" i="2" s="1"/>
  <c r="Q195" i="2"/>
  <c r="S194" i="2"/>
  <c r="T194" i="2" s="1"/>
  <c r="Q194" i="2"/>
  <c r="S193" i="2"/>
  <c r="T193" i="2" s="1"/>
  <c r="Q193" i="2"/>
  <c r="S192" i="2"/>
  <c r="T192" i="2" s="1"/>
  <c r="Q192" i="2"/>
  <c r="S191" i="2"/>
  <c r="T191" i="2" s="1"/>
  <c r="Q191" i="2"/>
  <c r="S190" i="2"/>
  <c r="T190" i="2" s="1"/>
  <c r="Q190" i="2"/>
  <c r="S189" i="2"/>
  <c r="T189" i="2" s="1"/>
  <c r="Q189" i="2"/>
  <c r="S188" i="2"/>
  <c r="T188" i="2" s="1"/>
  <c r="Q188" i="2"/>
  <c r="S187" i="2"/>
  <c r="T187" i="2" s="1"/>
  <c r="Q187" i="2"/>
  <c r="S186" i="2"/>
  <c r="T186" i="2" s="1"/>
  <c r="Q186" i="2"/>
  <c r="S185" i="2"/>
  <c r="T185" i="2" s="1"/>
  <c r="Q185" i="2"/>
  <c r="S184" i="2"/>
  <c r="T184" i="2" s="1"/>
  <c r="Q184" i="2"/>
  <c r="S183" i="2"/>
  <c r="T183" i="2" s="1"/>
  <c r="Q183" i="2"/>
  <c r="S182" i="2"/>
  <c r="T182" i="2" s="1"/>
  <c r="Q182" i="2"/>
  <c r="S181" i="2"/>
  <c r="T181" i="2" s="1"/>
  <c r="Q181" i="2"/>
  <c r="S180" i="2"/>
  <c r="T180" i="2" s="1"/>
  <c r="Q180" i="2"/>
  <c r="S179" i="2"/>
  <c r="T179" i="2" s="1"/>
  <c r="Q179" i="2"/>
  <c r="S178" i="2"/>
  <c r="T178" i="2" s="1"/>
  <c r="Q178" i="2"/>
  <c r="S177" i="2"/>
  <c r="T177" i="2" s="1"/>
  <c r="Q177" i="2"/>
  <c r="S176" i="2"/>
  <c r="T176" i="2" s="1"/>
  <c r="Q176" i="2"/>
  <c r="S175" i="2"/>
  <c r="T175" i="2" s="1"/>
  <c r="Q175" i="2"/>
  <c r="S174" i="2"/>
  <c r="T174" i="2" s="1"/>
  <c r="Q174" i="2"/>
  <c r="S173" i="2"/>
  <c r="T173" i="2" s="1"/>
  <c r="Q173" i="2"/>
  <c r="S172" i="2"/>
  <c r="T172" i="2" s="1"/>
  <c r="Q172" i="2"/>
  <c r="S171" i="2"/>
  <c r="T171" i="2" s="1"/>
  <c r="Q171" i="2"/>
  <c r="S170" i="2"/>
  <c r="T170" i="2" s="1"/>
  <c r="Q170" i="2"/>
  <c r="S169" i="2"/>
  <c r="T169" i="2" s="1"/>
  <c r="Q169" i="2"/>
  <c r="S168" i="2"/>
  <c r="T168" i="2" s="1"/>
  <c r="Q168" i="2"/>
  <c r="S167" i="2"/>
  <c r="T167" i="2" s="1"/>
  <c r="Q167" i="2"/>
  <c r="S166" i="2"/>
  <c r="T166" i="2" s="1"/>
  <c r="Q166" i="2"/>
  <c r="S165" i="2"/>
  <c r="T165" i="2" s="1"/>
  <c r="Q165" i="2"/>
  <c r="S164" i="2"/>
  <c r="T164" i="2" s="1"/>
  <c r="Q164" i="2"/>
  <c r="S163" i="2"/>
  <c r="T163" i="2" s="1"/>
  <c r="Q163" i="2"/>
  <c r="S162" i="2"/>
  <c r="T162" i="2" s="1"/>
  <c r="Q162" i="2"/>
  <c r="S161" i="2"/>
  <c r="T161" i="2" s="1"/>
  <c r="Q161" i="2"/>
  <c r="S160" i="2"/>
  <c r="T160" i="2" s="1"/>
  <c r="Q160" i="2"/>
  <c r="S159" i="2"/>
  <c r="T159" i="2" s="1"/>
  <c r="Q159" i="2"/>
  <c r="S158" i="2"/>
  <c r="T158" i="2" s="1"/>
  <c r="Q158" i="2"/>
  <c r="S157" i="2"/>
  <c r="T157" i="2" s="1"/>
  <c r="Q157" i="2"/>
  <c r="S156" i="2"/>
  <c r="T156" i="2" s="1"/>
  <c r="Q156" i="2"/>
  <c r="S155" i="2"/>
  <c r="T155" i="2" s="1"/>
  <c r="Q155" i="2"/>
  <c r="S154" i="2"/>
  <c r="T154" i="2" s="1"/>
  <c r="Q154" i="2"/>
  <c r="S153" i="2"/>
  <c r="T153" i="2" s="1"/>
  <c r="Q153" i="2"/>
  <c r="S152" i="2"/>
  <c r="T152" i="2" s="1"/>
  <c r="Q152" i="2"/>
  <c r="S151" i="2"/>
  <c r="T151" i="2" s="1"/>
  <c r="Q151" i="2"/>
  <c r="S150" i="2"/>
  <c r="T150" i="2" s="1"/>
  <c r="Q150" i="2"/>
  <c r="S149" i="2"/>
  <c r="T149" i="2" s="1"/>
  <c r="Q149" i="2"/>
  <c r="S148" i="2"/>
  <c r="T148" i="2" s="1"/>
  <c r="Q148" i="2"/>
  <c r="S147" i="2"/>
  <c r="T147" i="2" s="1"/>
  <c r="Q147" i="2"/>
  <c r="S146" i="2"/>
  <c r="T146" i="2" s="1"/>
  <c r="Q146" i="2"/>
  <c r="S145" i="2"/>
  <c r="T145" i="2" s="1"/>
  <c r="Q145" i="2"/>
  <c r="S144" i="2"/>
  <c r="T144" i="2" s="1"/>
  <c r="Q144" i="2"/>
  <c r="S143" i="2"/>
  <c r="T143" i="2" s="1"/>
  <c r="Q143" i="2"/>
  <c r="S142" i="2"/>
  <c r="T142" i="2" s="1"/>
  <c r="Q142" i="2"/>
  <c r="S141" i="2"/>
  <c r="T141" i="2" s="1"/>
  <c r="Q141" i="2"/>
  <c r="S140" i="2"/>
  <c r="T140" i="2" s="1"/>
  <c r="Q140" i="2"/>
  <c r="S139" i="2"/>
  <c r="T139" i="2" s="1"/>
  <c r="Q139" i="2"/>
  <c r="S138" i="2"/>
  <c r="T138" i="2" s="1"/>
  <c r="Q138" i="2"/>
  <c r="S137" i="2"/>
  <c r="T137" i="2" s="1"/>
  <c r="Q137" i="2"/>
  <c r="S136" i="2"/>
  <c r="T136" i="2" s="1"/>
  <c r="Q136" i="2"/>
  <c r="S135" i="2"/>
  <c r="T135" i="2" s="1"/>
  <c r="Q135" i="2"/>
  <c r="S134" i="2"/>
  <c r="T134" i="2" s="1"/>
  <c r="Q134" i="2"/>
  <c r="S133" i="2"/>
  <c r="T133" i="2" s="1"/>
  <c r="Q133" i="2"/>
  <c r="S132" i="2"/>
  <c r="T132" i="2" s="1"/>
  <c r="Q132" i="2"/>
  <c r="S131" i="2"/>
  <c r="T131" i="2" s="1"/>
  <c r="Q131" i="2"/>
  <c r="S130" i="2"/>
  <c r="T130" i="2" s="1"/>
  <c r="Q130" i="2"/>
  <c r="S129" i="2"/>
  <c r="T129" i="2" s="1"/>
  <c r="Q129" i="2"/>
  <c r="S128" i="2"/>
  <c r="T128" i="2" s="1"/>
  <c r="Q128" i="2"/>
  <c r="S127" i="2"/>
  <c r="T127" i="2" s="1"/>
  <c r="Q127" i="2"/>
  <c r="S126" i="2"/>
  <c r="T126" i="2" s="1"/>
  <c r="Q126" i="2"/>
  <c r="S125" i="2"/>
  <c r="T125" i="2" s="1"/>
  <c r="Q125" i="2"/>
  <c r="S124" i="2"/>
  <c r="T124" i="2" s="1"/>
  <c r="Q124" i="2"/>
  <c r="S123" i="2"/>
  <c r="T123" i="2" s="1"/>
  <c r="Q123" i="2"/>
  <c r="S122" i="2"/>
  <c r="T122" i="2" s="1"/>
  <c r="Q122" i="2"/>
  <c r="S121" i="2"/>
  <c r="T121" i="2" s="1"/>
  <c r="Q121" i="2"/>
  <c r="S120" i="2"/>
  <c r="T120" i="2" s="1"/>
  <c r="Q120" i="2"/>
  <c r="S119" i="2"/>
  <c r="T119" i="2" s="1"/>
  <c r="Q119" i="2"/>
  <c r="S118" i="2"/>
  <c r="T118" i="2" s="1"/>
  <c r="Q118" i="2"/>
  <c r="S117" i="2"/>
  <c r="T117" i="2" s="1"/>
  <c r="Q117" i="2"/>
  <c r="S116" i="2"/>
  <c r="T116" i="2" s="1"/>
  <c r="Q116" i="2"/>
  <c r="S115" i="2"/>
  <c r="T115" i="2" s="1"/>
  <c r="Q115" i="2"/>
  <c r="S114" i="2"/>
  <c r="T114" i="2" s="1"/>
  <c r="Q114" i="2"/>
  <c r="S113" i="2"/>
  <c r="T113" i="2" s="1"/>
  <c r="Q113" i="2"/>
  <c r="S112" i="2"/>
  <c r="T112" i="2" s="1"/>
  <c r="Q112" i="2"/>
  <c r="S111" i="2"/>
  <c r="T111" i="2" s="1"/>
  <c r="Q111" i="2"/>
  <c r="S110" i="2"/>
  <c r="T110" i="2" s="1"/>
  <c r="Q110" i="2"/>
  <c r="S109" i="2"/>
  <c r="T109" i="2" s="1"/>
  <c r="Q109" i="2"/>
  <c r="S108" i="2"/>
  <c r="T108" i="2" s="1"/>
  <c r="Q108" i="2"/>
  <c r="S107" i="2"/>
  <c r="T107" i="2" s="1"/>
  <c r="Q107" i="2"/>
  <c r="S106" i="2"/>
  <c r="T106" i="2" s="1"/>
  <c r="Q106" i="2"/>
  <c r="S105" i="2"/>
  <c r="T105" i="2" s="1"/>
  <c r="Q105" i="2"/>
  <c r="S104" i="2"/>
  <c r="T104" i="2" s="1"/>
  <c r="Q104" i="2"/>
  <c r="S103" i="2"/>
  <c r="T103" i="2" s="1"/>
  <c r="Q103" i="2"/>
  <c r="S102" i="2"/>
  <c r="T102" i="2" s="1"/>
  <c r="Q102" i="2"/>
  <c r="S101" i="2"/>
  <c r="T101" i="2" s="1"/>
  <c r="Q101" i="2"/>
  <c r="S100" i="2"/>
  <c r="T100" i="2" s="1"/>
  <c r="Q100" i="2"/>
  <c r="S99" i="2"/>
  <c r="T99" i="2" s="1"/>
  <c r="Q99" i="2"/>
  <c r="S98" i="2"/>
  <c r="T98" i="2" s="1"/>
  <c r="Q98" i="2"/>
  <c r="S97" i="2"/>
  <c r="T97" i="2" s="1"/>
  <c r="Q97" i="2"/>
  <c r="S96" i="2"/>
  <c r="T96" i="2" s="1"/>
  <c r="Q96" i="2"/>
  <c r="S95" i="2"/>
  <c r="T95" i="2" s="1"/>
  <c r="Q95" i="2"/>
  <c r="S94" i="2"/>
  <c r="T94" i="2" s="1"/>
  <c r="Q94" i="2"/>
  <c r="S93" i="2"/>
  <c r="T93" i="2" s="1"/>
  <c r="Q93" i="2"/>
  <c r="S92" i="2"/>
  <c r="T92" i="2" s="1"/>
  <c r="Q92" i="2"/>
  <c r="S91" i="2"/>
  <c r="T91" i="2" s="1"/>
  <c r="Q91" i="2"/>
  <c r="S90" i="2"/>
  <c r="T90" i="2" s="1"/>
  <c r="Q90" i="2"/>
  <c r="S89" i="2"/>
  <c r="T89" i="2" s="1"/>
  <c r="Q89" i="2"/>
  <c r="S88" i="2"/>
  <c r="T88" i="2" s="1"/>
  <c r="Q88" i="2"/>
  <c r="S87" i="2"/>
  <c r="T87" i="2" s="1"/>
  <c r="Q87" i="2"/>
  <c r="S86" i="2"/>
  <c r="T86" i="2" s="1"/>
  <c r="Q86" i="2"/>
  <c r="S85" i="2"/>
  <c r="T85" i="2" s="1"/>
  <c r="Q85" i="2"/>
  <c r="S84" i="2"/>
  <c r="T84" i="2" s="1"/>
  <c r="Q84" i="2"/>
  <c r="S83" i="2"/>
  <c r="T83" i="2" s="1"/>
  <c r="Q83" i="2"/>
  <c r="S82" i="2"/>
  <c r="T82" i="2" s="1"/>
  <c r="Q82" i="2"/>
  <c r="S81" i="2"/>
  <c r="T81" i="2" s="1"/>
  <c r="Q81" i="2"/>
  <c r="S80" i="2"/>
  <c r="T80" i="2" s="1"/>
  <c r="Q80" i="2"/>
  <c r="S79" i="2"/>
  <c r="T79" i="2" s="1"/>
  <c r="Q79" i="2"/>
  <c r="S78" i="2"/>
  <c r="T78" i="2" s="1"/>
  <c r="Q78" i="2"/>
  <c r="S77" i="2"/>
  <c r="T77" i="2" s="1"/>
  <c r="Q77" i="2"/>
  <c r="S76" i="2"/>
  <c r="T76" i="2" s="1"/>
  <c r="Q76" i="2"/>
  <c r="S75" i="2"/>
  <c r="T75" i="2" s="1"/>
  <c r="Q75" i="2"/>
  <c r="S74" i="2"/>
  <c r="T74" i="2" s="1"/>
  <c r="Q74" i="2"/>
  <c r="S73" i="2"/>
  <c r="T73" i="2" s="1"/>
  <c r="Q73" i="2"/>
  <c r="S72" i="2"/>
  <c r="T72" i="2" s="1"/>
  <c r="Q72" i="2"/>
  <c r="S71" i="2"/>
  <c r="T71" i="2" s="1"/>
  <c r="Q71" i="2"/>
  <c r="S70" i="2"/>
  <c r="T70" i="2" s="1"/>
  <c r="Q70" i="2"/>
  <c r="S69" i="2"/>
  <c r="T69" i="2" s="1"/>
  <c r="Q69" i="2"/>
  <c r="S68" i="2"/>
  <c r="T68" i="2" s="1"/>
  <c r="Q68" i="2"/>
  <c r="S67" i="2"/>
  <c r="T67" i="2" s="1"/>
  <c r="Q67" i="2"/>
  <c r="S66" i="2"/>
  <c r="T66" i="2" s="1"/>
  <c r="Q66" i="2"/>
  <c r="S65" i="2"/>
  <c r="T65" i="2" s="1"/>
  <c r="Q65" i="2"/>
  <c r="S64" i="2"/>
  <c r="T64" i="2" s="1"/>
  <c r="Q64" i="2"/>
  <c r="S63" i="2"/>
  <c r="T63" i="2" s="1"/>
  <c r="Q63" i="2"/>
  <c r="S62" i="2"/>
  <c r="T62" i="2" s="1"/>
  <c r="Q62" i="2"/>
  <c r="S61" i="2"/>
  <c r="T61" i="2" s="1"/>
  <c r="Q61" i="2"/>
  <c r="S60" i="2"/>
  <c r="T60" i="2" s="1"/>
  <c r="Q60" i="2"/>
  <c r="S59" i="2"/>
  <c r="T59" i="2" s="1"/>
  <c r="Q59" i="2"/>
  <c r="S58" i="2"/>
  <c r="T58" i="2" s="1"/>
  <c r="Q58" i="2"/>
  <c r="S57" i="2"/>
  <c r="T57" i="2" s="1"/>
  <c r="Q57" i="2"/>
  <c r="S56" i="2"/>
  <c r="T56" i="2" s="1"/>
  <c r="Q56" i="2"/>
  <c r="S55" i="2"/>
  <c r="T55" i="2" s="1"/>
  <c r="Q55" i="2"/>
  <c r="S54" i="2"/>
  <c r="T54" i="2" s="1"/>
  <c r="Q54" i="2"/>
  <c r="S53" i="2"/>
  <c r="T53" i="2" s="1"/>
  <c r="Q53" i="2"/>
  <c r="S52" i="2"/>
  <c r="T52" i="2" s="1"/>
  <c r="Q52" i="2"/>
  <c r="S51" i="2"/>
  <c r="T51" i="2" s="1"/>
  <c r="Q51" i="2"/>
  <c r="S50" i="2"/>
  <c r="T50" i="2" s="1"/>
  <c r="Q50" i="2"/>
  <c r="S49" i="2"/>
  <c r="T49" i="2" s="1"/>
  <c r="Q49" i="2"/>
  <c r="S48" i="2"/>
  <c r="T48" i="2" s="1"/>
  <c r="Q48" i="2"/>
  <c r="S47" i="2"/>
  <c r="T47" i="2" s="1"/>
  <c r="Q47" i="2"/>
  <c r="S46" i="2"/>
  <c r="T46" i="2" s="1"/>
  <c r="Q46" i="2"/>
  <c r="S45" i="2"/>
  <c r="T45" i="2" s="1"/>
  <c r="Q45" i="2"/>
  <c r="S44" i="2"/>
  <c r="T44" i="2" s="1"/>
  <c r="Q44" i="2"/>
  <c r="S43" i="2"/>
  <c r="T43" i="2" s="1"/>
  <c r="Q43" i="2"/>
  <c r="S42" i="2"/>
  <c r="T42" i="2" s="1"/>
  <c r="Q42" i="2"/>
  <c r="S41" i="2"/>
  <c r="T41" i="2" s="1"/>
  <c r="Q41" i="2"/>
  <c r="S40" i="2"/>
  <c r="T40" i="2" s="1"/>
  <c r="Q40" i="2"/>
  <c r="S39" i="2"/>
  <c r="T39" i="2" s="1"/>
  <c r="Q39" i="2"/>
  <c r="S38" i="2"/>
  <c r="T38" i="2" s="1"/>
  <c r="Q38" i="2"/>
  <c r="S37" i="2"/>
  <c r="T37" i="2" s="1"/>
  <c r="Q37" i="2"/>
  <c r="S36" i="2"/>
  <c r="T36" i="2" s="1"/>
  <c r="Q36" i="2"/>
  <c r="S35" i="2"/>
  <c r="T35" i="2" s="1"/>
  <c r="Q35" i="2"/>
  <c r="S34" i="2"/>
  <c r="T34" i="2" s="1"/>
  <c r="Q34" i="2"/>
  <c r="S33" i="2"/>
  <c r="T33" i="2" s="1"/>
  <c r="Q33" i="2"/>
  <c r="S32" i="2"/>
  <c r="T32" i="2" s="1"/>
  <c r="Q32" i="2"/>
  <c r="S31" i="2"/>
  <c r="T31" i="2" s="1"/>
  <c r="Q31" i="2"/>
  <c r="S30" i="2"/>
  <c r="T30" i="2" s="1"/>
  <c r="Q30" i="2"/>
  <c r="S29" i="2"/>
  <c r="T29" i="2" s="1"/>
  <c r="Q29" i="2"/>
  <c r="S28" i="2"/>
  <c r="T28" i="2" s="1"/>
  <c r="Q28" i="2"/>
  <c r="S27" i="2"/>
  <c r="T27" i="2" s="1"/>
  <c r="Q27" i="2"/>
  <c r="S26" i="2"/>
  <c r="T26" i="2" s="1"/>
  <c r="Q26" i="2"/>
  <c r="S25" i="2"/>
  <c r="T25" i="2" s="1"/>
  <c r="Q25" i="2"/>
  <c r="S24" i="2"/>
  <c r="T24" i="2" s="1"/>
  <c r="Q24" i="2"/>
  <c r="S23" i="2"/>
  <c r="T23" i="2" s="1"/>
  <c r="Q23" i="2"/>
  <c r="S22" i="2"/>
  <c r="T22" i="2" s="1"/>
  <c r="Q22" i="2"/>
  <c r="S21" i="2"/>
  <c r="T21" i="2" s="1"/>
  <c r="Q21" i="2"/>
  <c r="S20" i="2"/>
  <c r="T20" i="2" s="1"/>
  <c r="Q20" i="2"/>
  <c r="S19" i="2"/>
  <c r="T19" i="2" s="1"/>
  <c r="Q19" i="2"/>
  <c r="S18" i="2"/>
  <c r="T18" i="2" s="1"/>
  <c r="Q18" i="2"/>
  <c r="S17" i="2"/>
  <c r="T17" i="2" s="1"/>
  <c r="Q17" i="2"/>
  <c r="S16" i="2"/>
  <c r="T16" i="2" s="1"/>
  <c r="Q16" i="2"/>
  <c r="T15" i="2"/>
  <c r="S15" i="2"/>
  <c r="Q15" i="2"/>
  <c r="S14" i="2"/>
  <c r="T14" i="2" s="1"/>
  <c r="Q14" i="2"/>
  <c r="T13" i="2"/>
  <c r="S13" i="2"/>
  <c r="Q13" i="2"/>
  <c r="S12" i="2"/>
  <c r="T12" i="2" s="1"/>
  <c r="Q12" i="2"/>
  <c r="T11" i="2"/>
  <c r="S11" i="2"/>
  <c r="Q11" i="2"/>
  <c r="S10" i="2"/>
  <c r="T10" i="2" s="1"/>
  <c r="Q10" i="2"/>
  <c r="T9" i="2"/>
  <c r="S9" i="2"/>
  <c r="Q9" i="2"/>
  <c r="S8" i="2"/>
  <c r="T8" i="2" s="1"/>
  <c r="Q8" i="2"/>
  <c r="T7" i="2"/>
  <c r="S7" i="2"/>
  <c r="Q7" i="2"/>
  <c r="S6" i="2"/>
  <c r="T6" i="2" s="1"/>
  <c r="Q6" i="2"/>
  <c r="T5" i="2"/>
  <c r="S5" i="2"/>
  <c r="Q5" i="2"/>
  <c r="S4" i="2"/>
  <c r="T4" i="2" s="1"/>
  <c r="Q4" i="2"/>
  <c r="T3" i="2"/>
  <c r="S3" i="2"/>
  <c r="Q3" i="2"/>
  <c r="S2" i="2"/>
  <c r="T2" i="2" s="1"/>
  <c r="Q2" i="2"/>
  <c r="Q513" i="1"/>
  <c r="O513" i="1"/>
  <c r="N513" i="1"/>
  <c r="Q512" i="1"/>
  <c r="O512" i="1"/>
  <c r="N512" i="1"/>
  <c r="Q511" i="1"/>
  <c r="O511" i="1"/>
  <c r="N511" i="1"/>
  <c r="Q510" i="1"/>
  <c r="O510" i="1"/>
  <c r="N510" i="1"/>
  <c r="Q509" i="1"/>
  <c r="O509" i="1"/>
  <c r="N509" i="1"/>
  <c r="Q508" i="1"/>
  <c r="O508" i="1"/>
  <c r="N508" i="1"/>
  <c r="Q507" i="1"/>
  <c r="O507" i="1"/>
  <c r="N507" i="1"/>
  <c r="Q506" i="1"/>
  <c r="O506" i="1"/>
  <c r="N506" i="1"/>
  <c r="Q505" i="1"/>
  <c r="O505" i="1"/>
  <c r="N505" i="1"/>
  <c r="Q504" i="1"/>
  <c r="O504" i="1"/>
  <c r="N504" i="1"/>
  <c r="Q503" i="1"/>
  <c r="O503" i="1"/>
  <c r="N503" i="1"/>
  <c r="Q502" i="1"/>
  <c r="O502" i="1"/>
  <c r="N502" i="1"/>
  <c r="Q501" i="1"/>
  <c r="O501" i="1"/>
  <c r="N501" i="1"/>
  <c r="Q500" i="1"/>
  <c r="O500" i="1"/>
  <c r="N500" i="1"/>
  <c r="Q499" i="1"/>
  <c r="O499" i="1"/>
  <c r="N499" i="1"/>
  <c r="Q498" i="1"/>
  <c r="O498" i="1"/>
  <c r="N498" i="1"/>
  <c r="Q497" i="1"/>
  <c r="O497" i="1"/>
  <c r="N497" i="1"/>
  <c r="Q496" i="1"/>
  <c r="O496" i="1"/>
  <c r="N496" i="1"/>
  <c r="Q495" i="1"/>
  <c r="O495" i="1"/>
  <c r="N495" i="1"/>
  <c r="Q494" i="1"/>
  <c r="O494" i="1"/>
  <c r="N494" i="1"/>
  <c r="Q493" i="1"/>
  <c r="O493" i="1"/>
  <c r="N493" i="1"/>
  <c r="Q492" i="1"/>
  <c r="O492" i="1"/>
  <c r="N492" i="1"/>
  <c r="Q491" i="1"/>
  <c r="O491" i="1"/>
  <c r="N491" i="1"/>
  <c r="Q490" i="1"/>
  <c r="O490" i="1"/>
  <c r="N490" i="1"/>
  <c r="Q489" i="1"/>
  <c r="O489" i="1"/>
  <c r="N489" i="1"/>
  <c r="Q488" i="1"/>
  <c r="O488" i="1"/>
  <c r="N488" i="1"/>
  <c r="Q487" i="1"/>
  <c r="O487" i="1"/>
  <c r="N487" i="1"/>
  <c r="Q486" i="1"/>
  <c r="O486" i="1"/>
  <c r="N486" i="1"/>
  <c r="Q485" i="1"/>
  <c r="O485" i="1"/>
  <c r="N485" i="1"/>
  <c r="Q484" i="1"/>
  <c r="O484" i="1"/>
  <c r="N484" i="1"/>
  <c r="Q483" i="1"/>
  <c r="O483" i="1"/>
  <c r="N483" i="1"/>
  <c r="Q482" i="1"/>
  <c r="O482" i="1"/>
  <c r="N482" i="1"/>
  <c r="Q481" i="1"/>
  <c r="O481" i="1"/>
  <c r="N481" i="1"/>
  <c r="Q480" i="1"/>
  <c r="O480" i="1"/>
  <c r="N480" i="1"/>
  <c r="Q479" i="1"/>
  <c r="O479" i="1"/>
  <c r="N479" i="1"/>
  <c r="Q478" i="1"/>
  <c r="O478" i="1"/>
  <c r="N478" i="1"/>
  <c r="Q477" i="1"/>
  <c r="O477" i="1"/>
  <c r="N477" i="1"/>
  <c r="Q476" i="1"/>
  <c r="O476" i="1"/>
  <c r="N476" i="1"/>
  <c r="Q475" i="1"/>
  <c r="O475" i="1"/>
  <c r="N475" i="1"/>
  <c r="Q474" i="1"/>
  <c r="O474" i="1"/>
  <c r="N474" i="1"/>
  <c r="Q473" i="1"/>
  <c r="O473" i="1"/>
  <c r="N473" i="1"/>
  <c r="Q472" i="1"/>
  <c r="O472" i="1"/>
  <c r="N472" i="1"/>
  <c r="Q471" i="1"/>
  <c r="O471" i="1"/>
  <c r="N471" i="1"/>
  <c r="Q470" i="1"/>
  <c r="O470" i="1"/>
  <c r="N470" i="1"/>
  <c r="Q469" i="1"/>
  <c r="O469" i="1"/>
  <c r="N469" i="1"/>
  <c r="Q468" i="1"/>
  <c r="O468" i="1"/>
  <c r="N468" i="1"/>
  <c r="Q467" i="1"/>
  <c r="O467" i="1"/>
  <c r="N467" i="1"/>
  <c r="Q466" i="1"/>
  <c r="O466" i="1"/>
  <c r="N466" i="1"/>
  <c r="Q465" i="1"/>
  <c r="O465" i="1"/>
  <c r="N465" i="1"/>
  <c r="Q464" i="1"/>
  <c r="O464" i="1"/>
  <c r="N464" i="1"/>
  <c r="Q463" i="1"/>
  <c r="O463" i="1"/>
  <c r="N463" i="1"/>
  <c r="Q462" i="1"/>
  <c r="O462" i="1"/>
  <c r="N462" i="1"/>
  <c r="Q461" i="1"/>
  <c r="O461" i="1"/>
  <c r="N461" i="1"/>
  <c r="Q460" i="1"/>
  <c r="O460" i="1"/>
  <c r="N460" i="1"/>
  <c r="Q459" i="1"/>
  <c r="O459" i="1"/>
  <c r="N459" i="1"/>
  <c r="Q458" i="1"/>
  <c r="O458" i="1"/>
  <c r="N458" i="1"/>
  <c r="Q457" i="1"/>
  <c r="O457" i="1"/>
  <c r="N457" i="1"/>
  <c r="Q456" i="1"/>
  <c r="O456" i="1"/>
  <c r="N456" i="1"/>
  <c r="Q455" i="1"/>
  <c r="O455" i="1"/>
  <c r="N455" i="1"/>
  <c r="Q454" i="1"/>
  <c r="O454" i="1"/>
  <c r="N454" i="1"/>
  <c r="Q453" i="1"/>
  <c r="O453" i="1"/>
  <c r="N453" i="1"/>
  <c r="Q452" i="1"/>
  <c r="O452" i="1"/>
  <c r="N452" i="1"/>
  <c r="Q451" i="1"/>
  <c r="O451" i="1"/>
  <c r="N451" i="1"/>
  <c r="Q450" i="1"/>
  <c r="O450" i="1"/>
  <c r="N450" i="1"/>
  <c r="Q449" i="1"/>
  <c r="O449" i="1"/>
  <c r="N449" i="1"/>
  <c r="Q448" i="1"/>
  <c r="O448" i="1"/>
  <c r="N448" i="1"/>
  <c r="Q447" i="1"/>
  <c r="O447" i="1"/>
  <c r="N447" i="1"/>
  <c r="Q446" i="1"/>
  <c r="O446" i="1"/>
  <c r="N446" i="1"/>
  <c r="Q445" i="1"/>
  <c r="O445" i="1"/>
  <c r="N445" i="1"/>
  <c r="Q444" i="1"/>
  <c r="O444" i="1"/>
  <c r="N444" i="1"/>
  <c r="Q443" i="1"/>
  <c r="O443" i="1"/>
  <c r="N443" i="1"/>
  <c r="Q442" i="1"/>
  <c r="O442" i="1"/>
  <c r="N442" i="1"/>
  <c r="Q441" i="1"/>
  <c r="O441" i="1"/>
  <c r="N441" i="1"/>
  <c r="Q440" i="1"/>
  <c r="O440" i="1"/>
  <c r="N440" i="1"/>
  <c r="Q439" i="1"/>
  <c r="O439" i="1"/>
  <c r="N439" i="1"/>
  <c r="Q438" i="1"/>
  <c r="O438" i="1"/>
  <c r="N438" i="1"/>
  <c r="Q437" i="1"/>
  <c r="O437" i="1"/>
  <c r="N437" i="1"/>
  <c r="Q436" i="1"/>
  <c r="O436" i="1"/>
  <c r="N436" i="1"/>
  <c r="Q435" i="1"/>
  <c r="O435" i="1"/>
  <c r="N435" i="1"/>
  <c r="Q434" i="1"/>
  <c r="O434" i="1"/>
  <c r="N434" i="1"/>
  <c r="Q433" i="1"/>
  <c r="O433" i="1"/>
  <c r="N433" i="1"/>
  <c r="Q432" i="1"/>
  <c r="O432" i="1"/>
  <c r="N432" i="1"/>
  <c r="Q431" i="1"/>
  <c r="O431" i="1"/>
  <c r="N431" i="1"/>
  <c r="Q430" i="1"/>
  <c r="O430" i="1"/>
  <c r="N430" i="1"/>
  <c r="Q429" i="1"/>
  <c r="O429" i="1"/>
  <c r="N429" i="1"/>
  <c r="Q428" i="1"/>
  <c r="O428" i="1"/>
  <c r="N428" i="1"/>
  <c r="Q427" i="1"/>
  <c r="O427" i="1"/>
  <c r="N427" i="1"/>
  <c r="Q426" i="1"/>
  <c r="O426" i="1"/>
  <c r="N426" i="1"/>
  <c r="Q425" i="1"/>
  <c r="O425" i="1"/>
  <c r="N425" i="1"/>
  <c r="Q424" i="1"/>
  <c r="O424" i="1"/>
  <c r="N424" i="1"/>
  <c r="Q423" i="1"/>
  <c r="O423" i="1"/>
  <c r="N423" i="1"/>
  <c r="Q422" i="1"/>
  <c r="O422" i="1"/>
  <c r="N422" i="1"/>
  <c r="Q421" i="1"/>
  <c r="O421" i="1"/>
  <c r="N421" i="1"/>
  <c r="Q420" i="1"/>
  <c r="O420" i="1"/>
  <c r="N420" i="1"/>
  <c r="Q419" i="1"/>
  <c r="O419" i="1"/>
  <c r="N419" i="1"/>
  <c r="Q418" i="1"/>
  <c r="O418" i="1"/>
  <c r="N418" i="1"/>
  <c r="Q417" i="1"/>
  <c r="O417" i="1"/>
  <c r="N417" i="1"/>
  <c r="Q416" i="1"/>
  <c r="O416" i="1"/>
  <c r="N416" i="1"/>
  <c r="Q415" i="1"/>
  <c r="O415" i="1"/>
  <c r="N415" i="1"/>
  <c r="Q414" i="1"/>
  <c r="O414" i="1"/>
  <c r="N414" i="1"/>
  <c r="Q413" i="1"/>
  <c r="O413" i="1"/>
  <c r="N413" i="1"/>
  <c r="Q412" i="1"/>
  <c r="O412" i="1"/>
  <c r="N412" i="1"/>
  <c r="Q411" i="1"/>
  <c r="O411" i="1"/>
  <c r="N411" i="1"/>
  <c r="Q410" i="1"/>
  <c r="O410" i="1"/>
  <c r="N410" i="1"/>
  <c r="Q409" i="1"/>
  <c r="O409" i="1"/>
  <c r="N409" i="1"/>
  <c r="Q408" i="1"/>
  <c r="O408" i="1"/>
  <c r="N408" i="1"/>
  <c r="Q407" i="1"/>
  <c r="O407" i="1"/>
  <c r="N407" i="1"/>
  <c r="Q406" i="1"/>
  <c r="O406" i="1"/>
  <c r="N406" i="1"/>
  <c r="Q405" i="1"/>
  <c r="O405" i="1"/>
  <c r="N405" i="1"/>
  <c r="Q404" i="1"/>
  <c r="O404" i="1"/>
  <c r="N404" i="1"/>
  <c r="Q403" i="1"/>
  <c r="O403" i="1"/>
  <c r="N403" i="1"/>
  <c r="Q402" i="1"/>
  <c r="O402" i="1"/>
  <c r="N402" i="1"/>
  <c r="Q401" i="1"/>
  <c r="O401" i="1"/>
  <c r="N401" i="1"/>
  <c r="Q400" i="1"/>
  <c r="O400" i="1"/>
  <c r="N400" i="1"/>
  <c r="Q399" i="1"/>
  <c r="O399" i="1"/>
  <c r="N399" i="1"/>
  <c r="Q398" i="1"/>
  <c r="O398" i="1"/>
  <c r="N398" i="1"/>
  <c r="Q397" i="1"/>
  <c r="O397" i="1"/>
  <c r="N397" i="1"/>
  <c r="Q396" i="1"/>
  <c r="O396" i="1"/>
  <c r="N396" i="1"/>
  <c r="Q395" i="1"/>
  <c r="O395" i="1"/>
  <c r="N395" i="1"/>
  <c r="Q394" i="1"/>
  <c r="O394" i="1"/>
  <c r="N394" i="1"/>
  <c r="Q393" i="1"/>
  <c r="O393" i="1"/>
  <c r="N393" i="1"/>
  <c r="Q392" i="1"/>
  <c r="O392" i="1"/>
  <c r="N392" i="1"/>
  <c r="Q391" i="1"/>
  <c r="O391" i="1"/>
  <c r="N391" i="1"/>
  <c r="Q390" i="1"/>
  <c r="O390" i="1"/>
  <c r="N390" i="1"/>
  <c r="Q389" i="1"/>
  <c r="O389" i="1"/>
  <c r="N389" i="1"/>
  <c r="Q388" i="1"/>
  <c r="O388" i="1"/>
  <c r="N388" i="1"/>
  <c r="Q387" i="1"/>
  <c r="O387" i="1"/>
  <c r="N387" i="1"/>
  <c r="Q386" i="1"/>
  <c r="O386" i="1"/>
  <c r="N386" i="1"/>
  <c r="Q385" i="1"/>
  <c r="O385" i="1"/>
  <c r="N385" i="1"/>
  <c r="Q384" i="1"/>
  <c r="O384" i="1"/>
  <c r="N384" i="1"/>
  <c r="Q383" i="1"/>
  <c r="O383" i="1"/>
  <c r="N383" i="1"/>
  <c r="Q382" i="1"/>
  <c r="O382" i="1"/>
  <c r="N382" i="1"/>
  <c r="Q381" i="1"/>
  <c r="O381" i="1"/>
  <c r="N381" i="1"/>
  <c r="Q380" i="1"/>
  <c r="O380" i="1"/>
  <c r="N380" i="1"/>
  <c r="Q379" i="1"/>
  <c r="O379" i="1"/>
  <c r="N379" i="1"/>
  <c r="Q378" i="1"/>
  <c r="O378" i="1"/>
  <c r="N378" i="1"/>
  <c r="Q377" i="1"/>
  <c r="O377" i="1"/>
  <c r="N377" i="1"/>
  <c r="Q376" i="1"/>
  <c r="O376" i="1"/>
  <c r="N376" i="1"/>
  <c r="Q375" i="1"/>
  <c r="O375" i="1"/>
  <c r="N375" i="1"/>
  <c r="Q374" i="1"/>
  <c r="O374" i="1"/>
  <c r="N374" i="1"/>
  <c r="Q373" i="1"/>
  <c r="O373" i="1"/>
  <c r="N373" i="1"/>
  <c r="Q372" i="1"/>
  <c r="O372" i="1"/>
  <c r="N372" i="1"/>
  <c r="Q371" i="1"/>
  <c r="O371" i="1"/>
  <c r="N371" i="1"/>
  <c r="Q370" i="1"/>
  <c r="O370" i="1"/>
  <c r="N370" i="1"/>
  <c r="Q369" i="1"/>
  <c r="O369" i="1"/>
  <c r="N369" i="1"/>
  <c r="Q368" i="1"/>
  <c r="O368" i="1"/>
  <c r="N368" i="1"/>
  <c r="Q367" i="1"/>
  <c r="O367" i="1"/>
  <c r="N367" i="1"/>
  <c r="Q366" i="1"/>
  <c r="O366" i="1"/>
  <c r="N366" i="1"/>
  <c r="Q365" i="1"/>
  <c r="O365" i="1"/>
  <c r="N365" i="1"/>
  <c r="Q364" i="1"/>
  <c r="O364" i="1"/>
  <c r="N364" i="1"/>
  <c r="Q363" i="1"/>
  <c r="O363" i="1"/>
  <c r="N363" i="1"/>
  <c r="Q362" i="1"/>
  <c r="O362" i="1"/>
  <c r="N362" i="1"/>
  <c r="Q361" i="1"/>
  <c r="O361" i="1"/>
  <c r="N361" i="1"/>
  <c r="Q360" i="1"/>
  <c r="O360" i="1"/>
  <c r="N360" i="1"/>
  <c r="Q359" i="1"/>
  <c r="O359" i="1"/>
  <c r="N359" i="1"/>
  <c r="Q358" i="1"/>
  <c r="O358" i="1"/>
  <c r="N358" i="1"/>
  <c r="Q357" i="1"/>
  <c r="O357" i="1"/>
  <c r="N357" i="1"/>
  <c r="Q356" i="1"/>
  <c r="O356" i="1"/>
  <c r="N356" i="1"/>
  <c r="Q355" i="1"/>
  <c r="O355" i="1"/>
  <c r="N355" i="1"/>
  <c r="Q354" i="1"/>
  <c r="O354" i="1"/>
  <c r="N354" i="1"/>
  <c r="Q353" i="1"/>
  <c r="O353" i="1"/>
  <c r="N353" i="1"/>
  <c r="Q352" i="1"/>
  <c r="O352" i="1"/>
  <c r="N352" i="1"/>
  <c r="Q351" i="1"/>
  <c r="O351" i="1"/>
  <c r="N351" i="1"/>
  <c r="Q350" i="1"/>
  <c r="O350" i="1"/>
  <c r="N350" i="1"/>
  <c r="Q349" i="1"/>
  <c r="O349" i="1"/>
  <c r="N349" i="1"/>
  <c r="Q348" i="1"/>
  <c r="O348" i="1"/>
  <c r="N348" i="1"/>
  <c r="Q347" i="1"/>
  <c r="O347" i="1"/>
  <c r="N347" i="1"/>
  <c r="Q346" i="1"/>
  <c r="O346" i="1"/>
  <c r="N346" i="1"/>
  <c r="Q345" i="1"/>
  <c r="O345" i="1"/>
  <c r="N345" i="1"/>
  <c r="Q344" i="1"/>
  <c r="O344" i="1"/>
  <c r="N344" i="1"/>
  <c r="Q343" i="1"/>
  <c r="O343" i="1"/>
  <c r="N343" i="1"/>
  <c r="Q342" i="1"/>
  <c r="O342" i="1"/>
  <c r="N342" i="1"/>
  <c r="Q341" i="1"/>
  <c r="O341" i="1"/>
  <c r="N341" i="1"/>
  <c r="Q340" i="1"/>
  <c r="O340" i="1"/>
  <c r="N340" i="1"/>
  <c r="Q339" i="1"/>
  <c r="O339" i="1"/>
  <c r="N339" i="1"/>
  <c r="Q338" i="1"/>
  <c r="O338" i="1"/>
  <c r="N338" i="1"/>
  <c r="Q337" i="1"/>
  <c r="O337" i="1"/>
  <c r="N337" i="1"/>
  <c r="Q336" i="1"/>
  <c r="O336" i="1"/>
  <c r="N336" i="1"/>
  <c r="Q335" i="1"/>
  <c r="O335" i="1"/>
  <c r="N335" i="1"/>
  <c r="Q334" i="1"/>
  <c r="O334" i="1"/>
  <c r="N334" i="1"/>
  <c r="Q333" i="1"/>
  <c r="O333" i="1"/>
  <c r="N333" i="1"/>
  <c r="Q332" i="1"/>
  <c r="O332" i="1"/>
  <c r="N332" i="1"/>
  <c r="Q331" i="1"/>
  <c r="O331" i="1"/>
  <c r="N331" i="1"/>
  <c r="Q330" i="1"/>
  <c r="O330" i="1"/>
  <c r="N330" i="1"/>
  <c r="Q329" i="1"/>
  <c r="O329" i="1"/>
  <c r="N329" i="1"/>
  <c r="Q328" i="1"/>
  <c r="O328" i="1"/>
  <c r="N328" i="1"/>
  <c r="Q327" i="1"/>
  <c r="O327" i="1"/>
  <c r="N327" i="1"/>
  <c r="Q326" i="1"/>
  <c r="O326" i="1"/>
  <c r="N326" i="1"/>
  <c r="Q325" i="1"/>
  <c r="O325" i="1"/>
  <c r="N325" i="1"/>
  <c r="Q324" i="1"/>
  <c r="O324" i="1"/>
  <c r="N324" i="1"/>
  <c r="Q323" i="1"/>
  <c r="O323" i="1"/>
  <c r="N323" i="1"/>
  <c r="Q322" i="1"/>
  <c r="O322" i="1"/>
  <c r="N322" i="1"/>
  <c r="Q321" i="1"/>
  <c r="O321" i="1"/>
  <c r="N321" i="1"/>
  <c r="Q320" i="1"/>
  <c r="O320" i="1"/>
  <c r="N320" i="1"/>
  <c r="Q319" i="1"/>
  <c r="O319" i="1"/>
  <c r="N319" i="1"/>
  <c r="Q318" i="1"/>
  <c r="O318" i="1"/>
  <c r="N318" i="1"/>
  <c r="Q317" i="1"/>
  <c r="O317" i="1"/>
  <c r="N317" i="1"/>
  <c r="Q316" i="1"/>
  <c r="O316" i="1"/>
  <c r="N316" i="1"/>
  <c r="Q315" i="1"/>
  <c r="O315" i="1"/>
  <c r="N315" i="1"/>
  <c r="Q314" i="1"/>
  <c r="O314" i="1"/>
  <c r="N314" i="1"/>
  <c r="Q313" i="1"/>
  <c r="O313" i="1"/>
  <c r="N313" i="1"/>
  <c r="Q312" i="1"/>
  <c r="O312" i="1"/>
  <c r="N312" i="1"/>
  <c r="Q311" i="1"/>
  <c r="O311" i="1"/>
  <c r="N311" i="1"/>
  <c r="Q310" i="1"/>
  <c r="O310" i="1"/>
  <c r="N310" i="1"/>
  <c r="Q309" i="1"/>
  <c r="O309" i="1"/>
  <c r="N309" i="1"/>
  <c r="Q308" i="1"/>
  <c r="O308" i="1"/>
  <c r="N308" i="1"/>
  <c r="Q307" i="1"/>
  <c r="O307" i="1"/>
  <c r="N307" i="1"/>
  <c r="Q306" i="1"/>
  <c r="O306" i="1"/>
  <c r="N306" i="1"/>
  <c r="Q305" i="1"/>
  <c r="O305" i="1"/>
  <c r="N305" i="1"/>
  <c r="Q304" i="1"/>
  <c r="O304" i="1"/>
  <c r="N304" i="1"/>
  <c r="Q303" i="1"/>
  <c r="O303" i="1"/>
  <c r="N303" i="1"/>
  <c r="Q302" i="1"/>
  <c r="O302" i="1"/>
  <c r="N302" i="1"/>
  <c r="Q301" i="1"/>
  <c r="O301" i="1"/>
  <c r="N301" i="1"/>
  <c r="Q300" i="1"/>
  <c r="O300" i="1"/>
  <c r="N300" i="1"/>
  <c r="Q299" i="1"/>
  <c r="O299" i="1"/>
  <c r="N299" i="1"/>
  <c r="Q298" i="1"/>
  <c r="O298" i="1"/>
  <c r="N298" i="1"/>
  <c r="Q297" i="1"/>
  <c r="O297" i="1"/>
  <c r="N297" i="1"/>
  <c r="Q296" i="1"/>
  <c r="O296" i="1"/>
  <c r="N296" i="1"/>
  <c r="Q295" i="1"/>
  <c r="O295" i="1"/>
  <c r="N295" i="1"/>
  <c r="Q294" i="1"/>
  <c r="O294" i="1"/>
  <c r="N294" i="1"/>
  <c r="Q293" i="1"/>
  <c r="O293" i="1"/>
  <c r="N293" i="1"/>
  <c r="Q292" i="1"/>
  <c r="O292" i="1"/>
  <c r="N292" i="1"/>
  <c r="Q291" i="1"/>
  <c r="O291" i="1"/>
  <c r="N291" i="1"/>
  <c r="Q290" i="1"/>
  <c r="O290" i="1"/>
  <c r="N290" i="1"/>
  <c r="Q289" i="1"/>
  <c r="O289" i="1"/>
  <c r="N289" i="1"/>
  <c r="Q288" i="1"/>
  <c r="O288" i="1"/>
  <c r="N288" i="1"/>
  <c r="Q287" i="1"/>
  <c r="O287" i="1"/>
  <c r="N287" i="1"/>
  <c r="Q286" i="1"/>
  <c r="O286" i="1"/>
  <c r="N286" i="1"/>
  <c r="Q285" i="1"/>
  <c r="O285" i="1"/>
  <c r="N285" i="1"/>
  <c r="Q284" i="1"/>
  <c r="O284" i="1"/>
  <c r="N284" i="1"/>
  <c r="Q283" i="1"/>
  <c r="O283" i="1"/>
  <c r="N283" i="1"/>
  <c r="Q282" i="1"/>
  <c r="O282" i="1"/>
  <c r="N282" i="1"/>
  <c r="Q281" i="1"/>
  <c r="O281" i="1"/>
  <c r="N281" i="1"/>
  <c r="Q280" i="1"/>
  <c r="O280" i="1"/>
  <c r="N280" i="1"/>
  <c r="Q279" i="1"/>
  <c r="O279" i="1"/>
  <c r="N279" i="1"/>
  <c r="Q278" i="1"/>
  <c r="O278" i="1"/>
  <c r="N278" i="1"/>
  <c r="Q277" i="1"/>
  <c r="O277" i="1"/>
  <c r="N277" i="1"/>
  <c r="Q276" i="1"/>
  <c r="O276" i="1"/>
  <c r="N276" i="1"/>
  <c r="Q275" i="1"/>
  <c r="O275" i="1"/>
  <c r="N275" i="1"/>
  <c r="Q274" i="1"/>
  <c r="O274" i="1"/>
  <c r="N274" i="1"/>
  <c r="Q273" i="1"/>
  <c r="O273" i="1"/>
  <c r="N273" i="1"/>
  <c r="Q272" i="1"/>
  <c r="O272" i="1"/>
  <c r="N272" i="1"/>
  <c r="Q271" i="1"/>
  <c r="O271" i="1"/>
  <c r="N271" i="1"/>
  <c r="Q270" i="1"/>
  <c r="O270" i="1"/>
  <c r="N270" i="1"/>
  <c r="Q269" i="1"/>
  <c r="O269" i="1"/>
  <c r="N269" i="1"/>
  <c r="Q268" i="1"/>
  <c r="O268" i="1"/>
  <c r="N268" i="1"/>
  <c r="Q267" i="1"/>
  <c r="O267" i="1"/>
  <c r="N267" i="1"/>
  <c r="Q266" i="1"/>
  <c r="O266" i="1"/>
  <c r="N266" i="1"/>
  <c r="Q265" i="1"/>
  <c r="O265" i="1"/>
  <c r="N265" i="1"/>
  <c r="Q264" i="1"/>
  <c r="O264" i="1"/>
  <c r="N264" i="1"/>
  <c r="Q263" i="1"/>
  <c r="O263" i="1"/>
  <c r="N263" i="1"/>
  <c r="Q262" i="1"/>
  <c r="O262" i="1"/>
  <c r="N262" i="1"/>
  <c r="Q261" i="1"/>
  <c r="O261" i="1"/>
  <c r="N261" i="1"/>
  <c r="Q260" i="1"/>
  <c r="O260" i="1"/>
  <c r="N260" i="1"/>
  <c r="Q259" i="1"/>
  <c r="O259" i="1"/>
  <c r="N259" i="1"/>
  <c r="Q258" i="1"/>
  <c r="O258" i="1"/>
  <c r="N258" i="1"/>
  <c r="Q257" i="1"/>
  <c r="O257" i="1"/>
  <c r="N257" i="1"/>
  <c r="Q256" i="1"/>
  <c r="O256" i="1"/>
  <c r="N256" i="1"/>
  <c r="Q255" i="1"/>
  <c r="O255" i="1"/>
  <c r="N255" i="1"/>
  <c r="Q254" i="1"/>
  <c r="O254" i="1"/>
  <c r="N254" i="1"/>
  <c r="Q253" i="1"/>
  <c r="O253" i="1"/>
  <c r="N253" i="1"/>
  <c r="Q252" i="1"/>
  <c r="O252" i="1"/>
  <c r="N252" i="1"/>
  <c r="Q251" i="1"/>
  <c r="O251" i="1"/>
  <c r="N251" i="1"/>
  <c r="Q250" i="1"/>
  <c r="O250" i="1"/>
  <c r="N250" i="1"/>
  <c r="Q249" i="1"/>
  <c r="O249" i="1"/>
  <c r="N249" i="1"/>
  <c r="Q248" i="1"/>
  <c r="O248" i="1"/>
  <c r="N248" i="1"/>
  <c r="Q247" i="1"/>
  <c r="O247" i="1"/>
  <c r="N247" i="1"/>
  <c r="Q246" i="1"/>
  <c r="O246" i="1"/>
  <c r="N246" i="1"/>
  <c r="Q245" i="1"/>
  <c r="O245" i="1"/>
  <c r="N245" i="1"/>
  <c r="Q244" i="1"/>
  <c r="O244" i="1"/>
  <c r="N244" i="1"/>
  <c r="Q243" i="1"/>
  <c r="O243" i="1"/>
  <c r="N243" i="1"/>
  <c r="Q242" i="1"/>
  <c r="O242" i="1"/>
  <c r="N242" i="1"/>
  <c r="Q241" i="1"/>
  <c r="O241" i="1"/>
  <c r="N241" i="1"/>
  <c r="Q240" i="1"/>
  <c r="O240" i="1"/>
  <c r="N240" i="1"/>
  <c r="Q239" i="1"/>
  <c r="O239" i="1"/>
  <c r="N239" i="1"/>
  <c r="Q238" i="1"/>
  <c r="O238" i="1"/>
  <c r="N238" i="1"/>
  <c r="Q237" i="1"/>
  <c r="O237" i="1"/>
  <c r="N237" i="1"/>
  <c r="Q236" i="1"/>
  <c r="O236" i="1"/>
  <c r="N236" i="1"/>
  <c r="Q235" i="1"/>
  <c r="O235" i="1"/>
  <c r="N235" i="1"/>
  <c r="Q234" i="1"/>
  <c r="O234" i="1"/>
  <c r="N234" i="1"/>
  <c r="Q233" i="1"/>
  <c r="O233" i="1"/>
  <c r="N233" i="1"/>
  <c r="Q232" i="1"/>
  <c r="O232" i="1"/>
  <c r="N232" i="1"/>
  <c r="Q231" i="1"/>
  <c r="O231" i="1"/>
  <c r="N231" i="1"/>
  <c r="Q230" i="1"/>
  <c r="O230" i="1"/>
  <c r="N230" i="1"/>
  <c r="Q229" i="1"/>
  <c r="O229" i="1"/>
  <c r="N229" i="1"/>
  <c r="Q228" i="1"/>
  <c r="O228" i="1"/>
  <c r="N228" i="1"/>
  <c r="Q227" i="1"/>
  <c r="O227" i="1"/>
  <c r="N227" i="1"/>
  <c r="Q226" i="1"/>
  <c r="O226" i="1"/>
  <c r="N226" i="1"/>
  <c r="Q225" i="1"/>
  <c r="O225" i="1"/>
  <c r="N225" i="1"/>
  <c r="Q224" i="1"/>
  <c r="O224" i="1"/>
  <c r="N224" i="1"/>
  <c r="Q223" i="1"/>
  <c r="O223" i="1"/>
  <c r="N223" i="1"/>
  <c r="Q222" i="1"/>
  <c r="O222" i="1"/>
  <c r="N222" i="1"/>
  <c r="Q221" i="1"/>
  <c r="O221" i="1"/>
  <c r="N221" i="1"/>
  <c r="Q220" i="1"/>
  <c r="O220" i="1"/>
  <c r="N220" i="1"/>
  <c r="Q219" i="1"/>
  <c r="O219" i="1"/>
  <c r="N219" i="1"/>
  <c r="Q218" i="1"/>
  <c r="O218" i="1"/>
  <c r="N218" i="1"/>
  <c r="Q217" i="1"/>
  <c r="O217" i="1"/>
  <c r="N217" i="1"/>
  <c r="Q216" i="1"/>
  <c r="O216" i="1"/>
  <c r="N216" i="1"/>
  <c r="Q215" i="1"/>
  <c r="O215" i="1"/>
  <c r="N215" i="1"/>
  <c r="Q214" i="1"/>
  <c r="O214" i="1"/>
  <c r="N214" i="1"/>
  <c r="Q213" i="1"/>
  <c r="O213" i="1"/>
  <c r="N213" i="1"/>
  <c r="Q212" i="1"/>
  <c r="O212" i="1"/>
  <c r="N212" i="1"/>
  <c r="Q211" i="1"/>
  <c r="O211" i="1"/>
  <c r="N211" i="1"/>
  <c r="Q210" i="1"/>
  <c r="O210" i="1"/>
  <c r="N210" i="1"/>
  <c r="Q209" i="1"/>
  <c r="O209" i="1"/>
  <c r="N209" i="1"/>
  <c r="Q208" i="1"/>
  <c r="O208" i="1"/>
  <c r="N208" i="1"/>
  <c r="Q207" i="1"/>
  <c r="O207" i="1"/>
  <c r="N207" i="1"/>
  <c r="Q206" i="1"/>
  <c r="O206" i="1"/>
  <c r="N206" i="1"/>
  <c r="Q205" i="1"/>
  <c r="O205" i="1"/>
  <c r="N205" i="1"/>
  <c r="Q204" i="1"/>
  <c r="O204" i="1"/>
  <c r="N204" i="1"/>
  <c r="Q203" i="1"/>
  <c r="O203" i="1"/>
  <c r="N203" i="1"/>
  <c r="Q202" i="1"/>
  <c r="O202" i="1"/>
  <c r="N202" i="1"/>
  <c r="Q201" i="1"/>
  <c r="O201" i="1"/>
  <c r="N201" i="1"/>
  <c r="Q200" i="1"/>
  <c r="O200" i="1"/>
  <c r="N200" i="1"/>
  <c r="Q199" i="1"/>
  <c r="O199" i="1"/>
  <c r="N199" i="1"/>
  <c r="Q198" i="1"/>
  <c r="O198" i="1"/>
  <c r="N198" i="1"/>
  <c r="Q197" i="1"/>
  <c r="O197" i="1"/>
  <c r="N197" i="1"/>
  <c r="Q196" i="1"/>
  <c r="O196" i="1"/>
  <c r="N196" i="1"/>
  <c r="Q195" i="1"/>
  <c r="O195" i="1"/>
  <c r="N195" i="1"/>
  <c r="Q194" i="1"/>
  <c r="O194" i="1"/>
  <c r="N194" i="1"/>
  <c r="Q193" i="1"/>
  <c r="O193" i="1"/>
  <c r="N193" i="1"/>
  <c r="Q192" i="1"/>
  <c r="O192" i="1"/>
  <c r="N192" i="1"/>
  <c r="Q191" i="1"/>
  <c r="O191" i="1"/>
  <c r="N191" i="1"/>
  <c r="Q190" i="1"/>
  <c r="O190" i="1"/>
  <c r="N190" i="1"/>
  <c r="Q189" i="1"/>
  <c r="O189" i="1"/>
  <c r="N189" i="1"/>
  <c r="Q188" i="1"/>
  <c r="O188" i="1"/>
  <c r="N188" i="1"/>
  <c r="Q187" i="1"/>
  <c r="O187" i="1"/>
  <c r="N187" i="1"/>
  <c r="Q186" i="1"/>
  <c r="O186" i="1"/>
  <c r="N186" i="1"/>
  <c r="Q185" i="1"/>
  <c r="O185" i="1"/>
  <c r="N185" i="1"/>
  <c r="Q184" i="1"/>
  <c r="O184" i="1"/>
  <c r="N184" i="1"/>
  <c r="Q183" i="1"/>
  <c r="O183" i="1"/>
  <c r="N183" i="1"/>
  <c r="Q182" i="1"/>
  <c r="O182" i="1"/>
  <c r="N182" i="1"/>
  <c r="Q181" i="1"/>
  <c r="O181" i="1"/>
  <c r="N181" i="1"/>
  <c r="Q180" i="1"/>
  <c r="O180" i="1"/>
  <c r="N180" i="1"/>
  <c r="Q179" i="1"/>
  <c r="O179" i="1"/>
  <c r="N179" i="1"/>
  <c r="Q178" i="1"/>
  <c r="O178" i="1"/>
  <c r="N178" i="1"/>
  <c r="Q177" i="1"/>
  <c r="O177" i="1"/>
  <c r="N177" i="1"/>
  <c r="Q176" i="1"/>
  <c r="O176" i="1"/>
  <c r="N176" i="1"/>
  <c r="Q175" i="1"/>
  <c r="O175" i="1"/>
  <c r="N175" i="1"/>
  <c r="Q174" i="1"/>
  <c r="O174" i="1"/>
  <c r="N174" i="1"/>
  <c r="Q173" i="1"/>
  <c r="O173" i="1"/>
  <c r="N173" i="1"/>
  <c r="Q172" i="1"/>
  <c r="O172" i="1"/>
  <c r="N172" i="1"/>
  <c r="Q171" i="1"/>
  <c r="O171" i="1"/>
  <c r="N171" i="1"/>
  <c r="Q170" i="1"/>
  <c r="O170" i="1"/>
  <c r="N170" i="1"/>
  <c r="Q169" i="1"/>
  <c r="O169" i="1"/>
  <c r="N169" i="1"/>
  <c r="Q168" i="1"/>
  <c r="O168" i="1"/>
  <c r="N168" i="1"/>
  <c r="Q167" i="1"/>
  <c r="O167" i="1"/>
  <c r="N167" i="1"/>
  <c r="Q166" i="1"/>
  <c r="O166" i="1"/>
  <c r="N166" i="1"/>
  <c r="Q165" i="1"/>
  <c r="O165" i="1"/>
  <c r="N165" i="1"/>
  <c r="Q164" i="1"/>
  <c r="O164" i="1"/>
  <c r="N164" i="1"/>
  <c r="Q163" i="1"/>
  <c r="O163" i="1"/>
  <c r="N163" i="1"/>
  <c r="Q162" i="1"/>
  <c r="O162" i="1"/>
  <c r="N162" i="1"/>
  <c r="Q161" i="1"/>
  <c r="O161" i="1"/>
  <c r="N161" i="1"/>
  <c r="Q160" i="1"/>
  <c r="O160" i="1"/>
  <c r="N160" i="1"/>
  <c r="Q159" i="1"/>
  <c r="O159" i="1"/>
  <c r="N159" i="1"/>
  <c r="Q158" i="1"/>
  <c r="O158" i="1"/>
  <c r="N158" i="1"/>
  <c r="Q157" i="1"/>
  <c r="O157" i="1"/>
  <c r="N157" i="1"/>
  <c r="Q156" i="1"/>
  <c r="O156" i="1"/>
  <c r="N156" i="1"/>
  <c r="Q155" i="1"/>
  <c r="O155" i="1"/>
  <c r="N155" i="1"/>
  <c r="Q154" i="1"/>
  <c r="O154" i="1"/>
  <c r="N154" i="1"/>
  <c r="Q153" i="1"/>
  <c r="O153" i="1"/>
  <c r="N153" i="1"/>
  <c r="Q152" i="1"/>
  <c r="O152" i="1"/>
  <c r="N152" i="1"/>
  <c r="Q151" i="1"/>
  <c r="O151" i="1"/>
  <c r="N151" i="1"/>
  <c r="Q150" i="1"/>
  <c r="O150" i="1"/>
  <c r="N150" i="1"/>
  <c r="Q149" i="1"/>
  <c r="O149" i="1"/>
  <c r="N149" i="1"/>
  <c r="Q148" i="1"/>
  <c r="O148" i="1"/>
  <c r="N148" i="1"/>
  <c r="Q147" i="1"/>
  <c r="O147" i="1"/>
  <c r="N147" i="1"/>
  <c r="Q146" i="1"/>
  <c r="O146" i="1"/>
  <c r="N146" i="1"/>
  <c r="Q145" i="1"/>
  <c r="O145" i="1"/>
  <c r="N145" i="1"/>
  <c r="Q144" i="1"/>
  <c r="O144" i="1"/>
  <c r="N144" i="1"/>
  <c r="Q143" i="1"/>
  <c r="O143" i="1"/>
  <c r="N143" i="1"/>
  <c r="Q142" i="1"/>
  <c r="O142" i="1"/>
  <c r="N142" i="1"/>
  <c r="Q141" i="1"/>
  <c r="O141" i="1"/>
  <c r="N141" i="1"/>
  <c r="Q140" i="1"/>
  <c r="O140" i="1"/>
  <c r="N140" i="1"/>
  <c r="Q139" i="1"/>
  <c r="O139" i="1"/>
  <c r="N139" i="1"/>
  <c r="Q138" i="1"/>
  <c r="O138" i="1"/>
  <c r="N138" i="1"/>
  <c r="Q137" i="1"/>
  <c r="O137" i="1"/>
  <c r="N137" i="1"/>
  <c r="Q136" i="1"/>
  <c r="O136" i="1"/>
  <c r="N136" i="1"/>
  <c r="Q135" i="1"/>
  <c r="O135" i="1"/>
  <c r="N135" i="1"/>
  <c r="Q134" i="1"/>
  <c r="O134" i="1"/>
  <c r="N134" i="1"/>
  <c r="Q133" i="1"/>
  <c r="O133" i="1"/>
  <c r="N133" i="1"/>
  <c r="Q132" i="1"/>
  <c r="O132" i="1"/>
  <c r="N132" i="1"/>
  <c r="Q131" i="1"/>
  <c r="O131" i="1"/>
  <c r="N131" i="1"/>
  <c r="Q130" i="1"/>
  <c r="O130" i="1"/>
  <c r="N130" i="1"/>
  <c r="Q129" i="1"/>
  <c r="O129" i="1"/>
  <c r="N129" i="1"/>
  <c r="Q128" i="1"/>
  <c r="O128" i="1"/>
  <c r="N128" i="1"/>
  <c r="Q127" i="1"/>
  <c r="O127" i="1"/>
  <c r="N127" i="1"/>
  <c r="Q126" i="1"/>
  <c r="O126" i="1"/>
  <c r="N126" i="1"/>
  <c r="Q125" i="1"/>
  <c r="O125" i="1"/>
  <c r="N125" i="1"/>
  <c r="Q124" i="1"/>
  <c r="O124" i="1"/>
  <c r="N124" i="1"/>
  <c r="Q123" i="1"/>
  <c r="O123" i="1"/>
  <c r="N123" i="1"/>
  <c r="Q122" i="1"/>
  <c r="O122" i="1"/>
  <c r="N122" i="1"/>
  <c r="Q121" i="1"/>
  <c r="O121" i="1"/>
  <c r="N121" i="1"/>
  <c r="Q120" i="1"/>
  <c r="O120" i="1"/>
  <c r="N120" i="1"/>
  <c r="Q119" i="1"/>
  <c r="O119" i="1"/>
  <c r="N119" i="1"/>
  <c r="Q118" i="1"/>
  <c r="O118" i="1"/>
  <c r="N118" i="1"/>
  <c r="Q117" i="1"/>
  <c r="O117" i="1"/>
  <c r="N117" i="1"/>
  <c r="Q116" i="1"/>
  <c r="O116" i="1"/>
  <c r="N116" i="1"/>
  <c r="Q115" i="1"/>
  <c r="O115" i="1"/>
  <c r="N115" i="1"/>
  <c r="Q114" i="1"/>
  <c r="O114" i="1"/>
  <c r="N114" i="1"/>
  <c r="Q113" i="1"/>
  <c r="O113" i="1"/>
  <c r="N113" i="1"/>
  <c r="Q112" i="1"/>
  <c r="O112" i="1"/>
  <c r="N112" i="1"/>
  <c r="Q111" i="1"/>
  <c r="O111" i="1"/>
  <c r="N111" i="1"/>
  <c r="Q110" i="1"/>
  <c r="O110" i="1"/>
  <c r="N110" i="1"/>
  <c r="Q109" i="1"/>
  <c r="O109" i="1"/>
  <c r="N109" i="1"/>
  <c r="Q108" i="1"/>
  <c r="O108" i="1"/>
  <c r="N108" i="1"/>
  <c r="Q107" i="1"/>
  <c r="O107" i="1"/>
  <c r="N107" i="1"/>
  <c r="Q106" i="1"/>
  <c r="O106" i="1"/>
  <c r="N106" i="1"/>
  <c r="Q105" i="1"/>
  <c r="O105" i="1"/>
  <c r="N105" i="1"/>
  <c r="Q104" i="1"/>
  <c r="O104" i="1"/>
  <c r="N104" i="1"/>
  <c r="Q103" i="1"/>
  <c r="O103" i="1"/>
  <c r="N103" i="1"/>
  <c r="Q102" i="1"/>
  <c r="O102" i="1"/>
  <c r="N102" i="1"/>
  <c r="Q101" i="1"/>
  <c r="O101" i="1"/>
  <c r="N101" i="1"/>
  <c r="Q100" i="1"/>
  <c r="O100" i="1"/>
  <c r="N100" i="1"/>
  <c r="Q99" i="1"/>
  <c r="O99" i="1"/>
  <c r="N99" i="1"/>
  <c r="Q98" i="1"/>
  <c r="O98" i="1"/>
  <c r="N98" i="1"/>
  <c r="Q97" i="1"/>
  <c r="O97" i="1"/>
  <c r="N97" i="1"/>
  <c r="Q96" i="1"/>
  <c r="O96" i="1"/>
  <c r="N96" i="1"/>
  <c r="Q95" i="1"/>
  <c r="O95" i="1"/>
  <c r="N95" i="1"/>
  <c r="Q94" i="1"/>
  <c r="O94" i="1"/>
  <c r="N94" i="1"/>
  <c r="Q93" i="1"/>
  <c r="O93" i="1"/>
  <c r="N93" i="1"/>
  <c r="Q92" i="1"/>
  <c r="O92" i="1"/>
  <c r="N92" i="1"/>
  <c r="Q91" i="1"/>
  <c r="O91" i="1"/>
  <c r="N91" i="1"/>
  <c r="Q90" i="1"/>
  <c r="O90" i="1"/>
  <c r="N90" i="1"/>
  <c r="Q89" i="1"/>
  <c r="O89" i="1"/>
  <c r="N89" i="1"/>
  <c r="Q88" i="1"/>
  <c r="O88" i="1"/>
  <c r="N88" i="1"/>
  <c r="Q87" i="1"/>
  <c r="O87" i="1"/>
  <c r="N87" i="1"/>
  <c r="Q86" i="1"/>
  <c r="O86" i="1"/>
  <c r="N86" i="1"/>
  <c r="Q85" i="1"/>
  <c r="O85" i="1"/>
  <c r="N85" i="1"/>
  <c r="Q84" i="1"/>
  <c r="O84" i="1"/>
  <c r="N84" i="1"/>
  <c r="Q83" i="1"/>
  <c r="O83" i="1"/>
  <c r="N83" i="1"/>
  <c r="Q82" i="1"/>
  <c r="O82" i="1"/>
  <c r="N82" i="1"/>
  <c r="Q81" i="1"/>
  <c r="O81" i="1"/>
  <c r="N81" i="1"/>
  <c r="Q80" i="1"/>
  <c r="O80" i="1"/>
  <c r="N80" i="1"/>
  <c r="Q79" i="1"/>
  <c r="O79" i="1"/>
  <c r="N79" i="1"/>
  <c r="Q78" i="1"/>
  <c r="O78" i="1"/>
  <c r="N78" i="1"/>
  <c r="Q77" i="1"/>
  <c r="O77" i="1"/>
  <c r="N77" i="1"/>
  <c r="Q76" i="1"/>
  <c r="O76" i="1"/>
  <c r="N76" i="1"/>
  <c r="Q75" i="1"/>
  <c r="O75" i="1"/>
  <c r="N75" i="1"/>
  <c r="Q74" i="1"/>
  <c r="O74" i="1"/>
  <c r="N74" i="1"/>
  <c r="Q73" i="1"/>
  <c r="O73" i="1"/>
  <c r="N73" i="1"/>
  <c r="Q72" i="1"/>
  <c r="O72" i="1"/>
  <c r="N72" i="1"/>
  <c r="Q71" i="1"/>
  <c r="O71" i="1"/>
  <c r="N71" i="1"/>
  <c r="Q70" i="1"/>
  <c r="O70" i="1"/>
  <c r="N70" i="1"/>
  <c r="Q69" i="1"/>
  <c r="O69" i="1"/>
  <c r="N69" i="1"/>
  <c r="Q68" i="1"/>
  <c r="O68" i="1"/>
  <c r="N68" i="1"/>
  <c r="Q67" i="1"/>
  <c r="O67" i="1"/>
  <c r="N67" i="1"/>
  <c r="Q66" i="1"/>
  <c r="O66" i="1"/>
  <c r="N66" i="1"/>
  <c r="Q65" i="1"/>
  <c r="O65" i="1"/>
  <c r="N65" i="1"/>
  <c r="Q64" i="1"/>
  <c r="O64" i="1"/>
  <c r="N64" i="1"/>
  <c r="Q63" i="1"/>
  <c r="O63" i="1"/>
  <c r="N63" i="1"/>
  <c r="Q62" i="1"/>
  <c r="O62" i="1"/>
  <c r="N62" i="1"/>
  <c r="Q61" i="1"/>
  <c r="O61" i="1"/>
  <c r="N61" i="1"/>
  <c r="Q60" i="1"/>
  <c r="O60" i="1"/>
  <c r="N60" i="1"/>
  <c r="Q59" i="1"/>
  <c r="O59" i="1"/>
  <c r="N59" i="1"/>
  <c r="Q58" i="1"/>
  <c r="O58" i="1"/>
  <c r="N58" i="1"/>
  <c r="Q57" i="1"/>
  <c r="O57" i="1"/>
  <c r="N57" i="1"/>
  <c r="Q56" i="1"/>
  <c r="O56" i="1"/>
  <c r="N56" i="1"/>
  <c r="Q55" i="1"/>
  <c r="O55" i="1"/>
  <c r="N55" i="1"/>
  <c r="Q54" i="1"/>
  <c r="O54" i="1"/>
  <c r="N54" i="1"/>
  <c r="Q53" i="1"/>
  <c r="O53" i="1"/>
  <c r="N53" i="1"/>
  <c r="Q52" i="1"/>
  <c r="O52" i="1"/>
  <c r="N52" i="1"/>
  <c r="Q51" i="1"/>
  <c r="O51" i="1"/>
  <c r="N51" i="1"/>
  <c r="Q50" i="1"/>
  <c r="O50" i="1"/>
  <c r="N50" i="1"/>
  <c r="Q49" i="1"/>
  <c r="O49" i="1"/>
  <c r="N49" i="1"/>
  <c r="Q48" i="1"/>
  <c r="O48" i="1"/>
  <c r="N48" i="1"/>
  <c r="Q47" i="1"/>
  <c r="O47" i="1"/>
  <c r="N47" i="1"/>
  <c r="Q46" i="1"/>
  <c r="O46" i="1"/>
  <c r="N46" i="1"/>
  <c r="Q45" i="1"/>
  <c r="O45" i="1"/>
  <c r="N45" i="1"/>
  <c r="Q44" i="1"/>
  <c r="O44" i="1"/>
  <c r="N44" i="1"/>
  <c r="Q43" i="1"/>
  <c r="O43" i="1"/>
  <c r="N43" i="1"/>
  <c r="Q42" i="1"/>
  <c r="O42" i="1"/>
  <c r="N42" i="1"/>
  <c r="Q41" i="1"/>
  <c r="O41" i="1"/>
  <c r="N41" i="1"/>
  <c r="Q40" i="1"/>
  <c r="O40" i="1"/>
  <c r="N40" i="1"/>
  <c r="Q39" i="1"/>
  <c r="O39" i="1"/>
  <c r="N39" i="1"/>
  <c r="Q38" i="1"/>
  <c r="O38" i="1"/>
  <c r="N38" i="1"/>
  <c r="Q37" i="1"/>
  <c r="O37" i="1"/>
  <c r="N37" i="1"/>
  <c r="Q36" i="1"/>
  <c r="O36" i="1"/>
  <c r="N36" i="1"/>
  <c r="Q35" i="1"/>
  <c r="O35" i="1"/>
  <c r="N35" i="1"/>
  <c r="Q34" i="1"/>
  <c r="O34" i="1"/>
  <c r="N34" i="1"/>
  <c r="Q33" i="1"/>
  <c r="O33" i="1"/>
  <c r="N33" i="1"/>
  <c r="Q32" i="1"/>
  <c r="O32" i="1"/>
  <c r="N32" i="1"/>
  <c r="Q31" i="1"/>
  <c r="O31" i="1"/>
  <c r="N31" i="1"/>
  <c r="Q30" i="1"/>
  <c r="O30" i="1"/>
  <c r="N30" i="1"/>
  <c r="Q29" i="1"/>
  <c r="O29" i="1"/>
  <c r="N29" i="1"/>
  <c r="Q28" i="1"/>
  <c r="O28" i="1"/>
  <c r="N28" i="1"/>
  <c r="Q27" i="1"/>
  <c r="O27" i="1"/>
  <c r="N27" i="1"/>
  <c r="Q26" i="1"/>
  <c r="O26" i="1"/>
  <c r="N26" i="1"/>
  <c r="Q25" i="1"/>
  <c r="O25" i="1"/>
  <c r="N25" i="1"/>
  <c r="Q24" i="1"/>
  <c r="O24" i="1"/>
  <c r="N24" i="1"/>
  <c r="Q23" i="1"/>
  <c r="O23" i="1"/>
  <c r="N23" i="1"/>
  <c r="Q22" i="1"/>
  <c r="O22" i="1"/>
  <c r="N22" i="1"/>
  <c r="Q21" i="1"/>
  <c r="O21" i="1"/>
  <c r="N21" i="1"/>
  <c r="Q20" i="1"/>
  <c r="O20" i="1"/>
  <c r="N20" i="1"/>
  <c r="Q19" i="1"/>
  <c r="O19" i="1"/>
  <c r="N19" i="1"/>
  <c r="Q18" i="1"/>
  <c r="O18" i="1"/>
  <c r="N18" i="1"/>
  <c r="Q17" i="1"/>
  <c r="O17" i="1"/>
  <c r="N17" i="1"/>
  <c r="Q16" i="1"/>
  <c r="O16" i="1"/>
  <c r="N16" i="1"/>
  <c r="Q15" i="1"/>
  <c r="O15" i="1"/>
  <c r="N15" i="1"/>
  <c r="Q14" i="1"/>
  <c r="O14" i="1"/>
  <c r="N14" i="1"/>
  <c r="Q13" i="1"/>
  <c r="O13" i="1"/>
  <c r="N13" i="1"/>
  <c r="Q12" i="1"/>
  <c r="O12" i="1"/>
  <c r="N12" i="1"/>
  <c r="Q11" i="1"/>
  <c r="O11" i="1"/>
  <c r="N11" i="1"/>
  <c r="Q10" i="1"/>
  <c r="O10" i="1"/>
  <c r="N10" i="1"/>
  <c r="Q9" i="1"/>
  <c r="O9" i="1"/>
  <c r="N9" i="1"/>
  <c r="Q8" i="1"/>
  <c r="O8" i="1"/>
  <c r="N8" i="1"/>
  <c r="Q7" i="1"/>
  <c r="O7" i="1"/>
  <c r="N7" i="1"/>
  <c r="Q6" i="1"/>
  <c r="O6" i="1"/>
  <c r="N6" i="1"/>
  <c r="Q5" i="1"/>
  <c r="O5" i="1"/>
  <c r="N5" i="1"/>
  <c r="Q4" i="1"/>
  <c r="O4" i="1"/>
  <c r="N4" i="1"/>
  <c r="Q3" i="1"/>
  <c r="O3" i="1"/>
  <c r="N3" i="1"/>
  <c r="Q2" i="1"/>
  <c r="O2" i="1"/>
  <c r="N2" i="1"/>
  <c r="R699" i="2"/>
  <c r="R693" i="2"/>
  <c r="R684" i="2"/>
  <c r="R677" i="2"/>
  <c r="R668" i="2"/>
  <c r="R661" i="2"/>
  <c r="R652" i="2"/>
  <c r="R645" i="2"/>
  <c r="R636" i="2"/>
  <c r="R629" i="2"/>
  <c r="R620" i="2"/>
  <c r="R613" i="2"/>
  <c r="R604" i="2"/>
  <c r="R597" i="2"/>
  <c r="R588" i="2"/>
  <c r="R581" i="2"/>
  <c r="R695" i="2"/>
  <c r="R686" i="2"/>
  <c r="R679" i="2"/>
  <c r="R670" i="2"/>
  <c r="R663" i="2"/>
  <c r="R654" i="2"/>
  <c r="R647" i="2"/>
  <c r="R638" i="2"/>
  <c r="R631" i="2"/>
  <c r="R622" i="2"/>
  <c r="R615" i="2"/>
  <c r="R606" i="2"/>
  <c r="R599" i="2"/>
  <c r="R590" i="2"/>
  <c r="R583" i="2"/>
  <c r="R574" i="2"/>
  <c r="R567" i="2"/>
  <c r="R558" i="2"/>
  <c r="R551" i="2"/>
  <c r="R542" i="2"/>
  <c r="R535" i="2"/>
  <c r="R697" i="2"/>
  <c r="R688" i="2"/>
  <c r="R681" i="2"/>
  <c r="R672" i="2"/>
  <c r="R665" i="2"/>
  <c r="R656" i="2"/>
  <c r="R649" i="2"/>
  <c r="R640" i="2"/>
  <c r="R633" i="2"/>
  <c r="R692" i="2"/>
  <c r="R685" i="2"/>
  <c r="R676" i="2"/>
  <c r="R669" i="2"/>
  <c r="R660" i="2"/>
  <c r="R653" i="2"/>
  <c r="R644" i="2"/>
  <c r="R637" i="2"/>
  <c r="R628" i="2"/>
  <c r="R621" i="2"/>
  <c r="R612" i="2"/>
  <c r="R605" i="2"/>
  <c r="R596" i="2"/>
  <c r="R589" i="2"/>
  <c r="R580" i="2"/>
  <c r="R573" i="2"/>
  <c r="R564" i="2"/>
  <c r="R557" i="2"/>
  <c r="R548" i="2"/>
  <c r="R541" i="2"/>
  <c r="R532" i="2"/>
  <c r="R530" i="2"/>
  <c r="R528" i="2"/>
  <c r="R526" i="2"/>
  <c r="R524" i="2"/>
  <c r="R522" i="2"/>
  <c r="R520" i="2"/>
  <c r="R518" i="2"/>
  <c r="R516" i="2"/>
  <c r="R514" i="2"/>
  <c r="R512" i="2"/>
  <c r="R510" i="2"/>
  <c r="R508" i="2"/>
  <c r="R506" i="2"/>
  <c r="R504" i="2"/>
  <c r="R502" i="2"/>
  <c r="R500" i="2"/>
  <c r="R498" i="2"/>
  <c r="R496" i="2"/>
  <c r="R494" i="2"/>
  <c r="R492" i="2"/>
  <c r="R490" i="2"/>
  <c r="R488" i="2"/>
  <c r="R486" i="2"/>
  <c r="R484" i="2"/>
  <c r="R482" i="2"/>
  <c r="R480" i="2"/>
  <c r="R478" i="2"/>
  <c r="R476" i="2"/>
  <c r="R474" i="2"/>
  <c r="R472" i="2"/>
  <c r="R470" i="2"/>
  <c r="R468" i="2"/>
  <c r="R466" i="2"/>
  <c r="R464" i="2"/>
  <c r="R462" i="2"/>
  <c r="R460" i="2"/>
  <c r="R458" i="2"/>
  <c r="R456" i="2"/>
  <c r="R454" i="2"/>
  <c r="R452" i="2"/>
  <c r="R450" i="2"/>
  <c r="R448" i="2"/>
  <c r="R446" i="2"/>
  <c r="R444" i="2"/>
  <c r="R442" i="2"/>
  <c r="R440" i="2"/>
  <c r="R438" i="2"/>
  <c r="R436" i="2"/>
  <c r="R434" i="2"/>
  <c r="R432" i="2"/>
  <c r="R430" i="2"/>
  <c r="R428" i="2"/>
  <c r="R426" i="2"/>
  <c r="R424" i="2"/>
  <c r="R422" i="2"/>
  <c r="R420" i="2"/>
  <c r="R418" i="2"/>
  <c r="R416" i="2"/>
  <c r="R414" i="2"/>
  <c r="R694" i="2"/>
  <c r="R687" i="2"/>
  <c r="R678" i="2"/>
  <c r="R671" i="2"/>
  <c r="R662" i="2"/>
  <c r="R655" i="2"/>
  <c r="R646" i="2"/>
  <c r="R639" i="2"/>
  <c r="R630" i="2"/>
  <c r="R623" i="2"/>
  <c r="R614" i="2"/>
  <c r="R607" i="2"/>
  <c r="R598" i="2"/>
  <c r="R591" i="2"/>
  <c r="R582" i="2"/>
  <c r="R575" i="2"/>
  <c r="R566" i="2"/>
  <c r="R559" i="2"/>
  <c r="R550" i="2"/>
  <c r="R543" i="2"/>
  <c r="R534" i="2"/>
  <c r="R696" i="2"/>
  <c r="R689" i="2"/>
  <c r="R680" i="2"/>
  <c r="R673" i="2"/>
  <c r="R664" i="2"/>
  <c r="R657" i="2"/>
  <c r="R648" i="2"/>
  <c r="R641" i="2"/>
  <c r="R632" i="2"/>
  <c r="R625" i="2"/>
  <c r="R616" i="2"/>
  <c r="R609" i="2"/>
  <c r="R600" i="2"/>
  <c r="R593" i="2"/>
  <c r="R584" i="2"/>
  <c r="R577" i="2"/>
  <c r="R568" i="2"/>
  <c r="R561" i="2"/>
  <c r="R552" i="2"/>
  <c r="R545" i="2"/>
  <c r="R536" i="2"/>
  <c r="R610" i="2"/>
  <c r="R601" i="2"/>
  <c r="R595" i="2"/>
  <c r="R586" i="2"/>
  <c r="R563" i="2"/>
  <c r="R546" i="2"/>
  <c r="R540" i="2"/>
  <c r="R529" i="2"/>
  <c r="R521" i="2"/>
  <c r="R513" i="2"/>
  <c r="R505" i="2"/>
  <c r="R497" i="2"/>
  <c r="R489" i="2"/>
  <c r="R481" i="2"/>
  <c r="R473" i="2"/>
  <c r="R465" i="2"/>
  <c r="R457" i="2"/>
  <c r="R449" i="2"/>
  <c r="R441" i="2"/>
  <c r="R433" i="2"/>
  <c r="R425" i="2"/>
  <c r="R417" i="2"/>
  <c r="R412" i="2"/>
  <c r="R405" i="2"/>
  <c r="R396" i="2"/>
  <c r="R389" i="2"/>
  <c r="R380" i="2"/>
  <c r="R373" i="2"/>
  <c r="R364" i="2"/>
  <c r="R357" i="2"/>
  <c r="R348" i="2"/>
  <c r="R341" i="2"/>
  <c r="R332" i="2"/>
  <c r="R325" i="2"/>
  <c r="R316" i="2"/>
  <c r="R698" i="2"/>
  <c r="R682" i="2"/>
  <c r="R666" i="2"/>
  <c r="R650" i="2"/>
  <c r="R634" i="2"/>
  <c r="R592" i="2"/>
  <c r="R571" i="2"/>
  <c r="R560" i="2"/>
  <c r="R554" i="2"/>
  <c r="R537" i="2"/>
  <c r="R691" i="2"/>
  <c r="R675" i="2"/>
  <c r="R659" i="2"/>
  <c r="R643" i="2"/>
  <c r="R627" i="2"/>
  <c r="R618" i="2"/>
  <c r="R603" i="2"/>
  <c r="R565" i="2"/>
  <c r="R531" i="2"/>
  <c r="R523" i="2"/>
  <c r="R515" i="2"/>
  <c r="R507" i="2"/>
  <c r="R499" i="2"/>
  <c r="R491" i="2"/>
  <c r="R483" i="2"/>
  <c r="R475" i="2"/>
  <c r="R467" i="2"/>
  <c r="R459" i="2"/>
  <c r="R451" i="2"/>
  <c r="R443" i="2"/>
  <c r="R435" i="2"/>
  <c r="R427" i="2"/>
  <c r="R419" i="2"/>
  <c r="R409" i="2"/>
  <c r="R400" i="2"/>
  <c r="R393" i="2"/>
  <c r="R384" i="2"/>
  <c r="R377" i="2"/>
  <c r="R368" i="2"/>
  <c r="R361" i="2"/>
  <c r="R352" i="2"/>
  <c r="R345" i="2"/>
  <c r="R336" i="2"/>
  <c r="R329" i="2"/>
  <c r="R320" i="2"/>
  <c r="R313" i="2"/>
  <c r="R304" i="2"/>
  <c r="R297" i="2"/>
  <c r="R288" i="2"/>
  <c r="R281" i="2"/>
  <c r="R272" i="2"/>
  <c r="R265" i="2"/>
  <c r="R256" i="2"/>
  <c r="R249" i="2"/>
  <c r="R624" i="2"/>
  <c r="R594" i="2"/>
  <c r="R585" i="2"/>
  <c r="R579" i="2"/>
  <c r="R562" i="2"/>
  <c r="R556" i="2"/>
  <c r="R539" i="2"/>
  <c r="R576" i="2"/>
  <c r="R570" i="2"/>
  <c r="R553" i="2"/>
  <c r="R533" i="2"/>
  <c r="R525" i="2"/>
  <c r="R517" i="2"/>
  <c r="R509" i="2"/>
  <c r="R501" i="2"/>
  <c r="R493" i="2"/>
  <c r="R485" i="2"/>
  <c r="R477" i="2"/>
  <c r="R469" i="2"/>
  <c r="R461" i="2"/>
  <c r="R453" i="2"/>
  <c r="R445" i="2"/>
  <c r="R437" i="2"/>
  <c r="R429" i="2"/>
  <c r="R421" i="2"/>
  <c r="R413" i="2"/>
  <c r="R404" i="2"/>
  <c r="R397" i="2"/>
  <c r="R388" i="2"/>
  <c r="R381" i="2"/>
  <c r="R372" i="2"/>
  <c r="R365" i="2"/>
  <c r="R356" i="2"/>
  <c r="R349" i="2"/>
  <c r="R340" i="2"/>
  <c r="R333" i="2"/>
  <c r="R324" i="2"/>
  <c r="R317" i="2"/>
  <c r="R690" i="2"/>
  <c r="R674" i="2"/>
  <c r="R658" i="2"/>
  <c r="R642" i="2"/>
  <c r="R626" i="2"/>
  <c r="R617" i="2"/>
  <c r="R611" i="2"/>
  <c r="R602" i="2"/>
  <c r="R587" i="2"/>
  <c r="R547" i="2"/>
  <c r="R406" i="2"/>
  <c r="R399" i="2"/>
  <c r="R390" i="2"/>
  <c r="R383" i="2"/>
  <c r="R374" i="2"/>
  <c r="R367" i="2"/>
  <c r="R358" i="2"/>
  <c r="R351" i="2"/>
  <c r="R342" i="2"/>
  <c r="R335" i="2"/>
  <c r="R683" i="2"/>
  <c r="R667" i="2"/>
  <c r="R651" i="2"/>
  <c r="R635" i="2"/>
  <c r="R608" i="2"/>
  <c r="R578" i="2"/>
  <c r="R572" i="2"/>
  <c r="R555" i="2"/>
  <c r="R544" i="2"/>
  <c r="R538" i="2"/>
  <c r="R527" i="2"/>
  <c r="R519" i="2"/>
  <c r="R511" i="2"/>
  <c r="R503" i="2"/>
  <c r="R495" i="2"/>
  <c r="R487" i="2"/>
  <c r="R479" i="2"/>
  <c r="R471" i="2"/>
  <c r="R463" i="2"/>
  <c r="R455" i="2"/>
  <c r="R447" i="2"/>
  <c r="R439" i="2"/>
  <c r="R431" i="2"/>
  <c r="R423" i="2"/>
  <c r="R415" i="2"/>
  <c r="R408" i="2"/>
  <c r="R401" i="2"/>
  <c r="R392" i="2"/>
  <c r="R385" i="2"/>
  <c r="R376" i="2"/>
  <c r="R369" i="2"/>
  <c r="R360" i="2"/>
  <c r="R353" i="2"/>
  <c r="R344" i="2"/>
  <c r="R337" i="2"/>
  <c r="R328" i="2"/>
  <c r="R321" i="2"/>
  <c r="R312" i="2"/>
  <c r="R305" i="2"/>
  <c r="R296" i="2"/>
  <c r="R289" i="2"/>
  <c r="R280" i="2"/>
  <c r="R273" i="2"/>
  <c r="R264" i="2"/>
  <c r="R257" i="2"/>
  <c r="R248" i="2"/>
  <c r="R387" i="2"/>
  <c r="R375" i="2"/>
  <c r="R366" i="2"/>
  <c r="R354" i="2"/>
  <c r="R318" i="2"/>
  <c r="R307" i="2"/>
  <c r="R302" i="2"/>
  <c r="R284" i="2"/>
  <c r="R274" i="2"/>
  <c r="R271" i="2"/>
  <c r="R261" i="2"/>
  <c r="R243" i="2"/>
  <c r="R235" i="2"/>
  <c r="R227" i="2"/>
  <c r="R219" i="2"/>
  <c r="R211" i="2"/>
  <c r="R203" i="2"/>
  <c r="R195" i="2"/>
  <c r="R187" i="2"/>
  <c r="R179" i="2"/>
  <c r="R171" i="2"/>
  <c r="R163" i="2"/>
  <c r="R155" i="2"/>
  <c r="R147" i="2"/>
  <c r="R139" i="2"/>
  <c r="R131" i="2"/>
  <c r="R123" i="2"/>
  <c r="R115" i="2"/>
  <c r="R107" i="2"/>
  <c r="R99" i="2"/>
  <c r="R91" i="2"/>
  <c r="R83" i="2"/>
  <c r="R75" i="2"/>
  <c r="R67" i="2"/>
  <c r="R59" i="2"/>
  <c r="R51" i="2"/>
  <c r="R43" i="2"/>
  <c r="R35" i="2"/>
  <c r="R619" i="2"/>
  <c r="R411" i="2"/>
  <c r="R378" i="2"/>
  <c r="R347" i="2"/>
  <c r="R323" i="2"/>
  <c r="R299" i="2"/>
  <c r="R294" i="2"/>
  <c r="R276" i="2"/>
  <c r="R266" i="2"/>
  <c r="R263" i="2"/>
  <c r="R253" i="2"/>
  <c r="R240" i="2"/>
  <c r="R232" i="2"/>
  <c r="R224" i="2"/>
  <c r="R216" i="2"/>
  <c r="R208" i="2"/>
  <c r="R200" i="2"/>
  <c r="R192" i="2"/>
  <c r="R184" i="2"/>
  <c r="R176" i="2"/>
  <c r="R168" i="2"/>
  <c r="R160" i="2"/>
  <c r="R152" i="2"/>
  <c r="R144" i="2"/>
  <c r="R136" i="2"/>
  <c r="R128" i="2"/>
  <c r="R120" i="2"/>
  <c r="R112" i="2"/>
  <c r="R104" i="2"/>
  <c r="R96" i="2"/>
  <c r="R88" i="2"/>
  <c r="R80" i="2"/>
  <c r="R72" i="2"/>
  <c r="R64" i="2"/>
  <c r="R402" i="2"/>
  <c r="R371" i="2"/>
  <c r="R359" i="2"/>
  <c r="R350" i="2"/>
  <c r="R338" i="2"/>
  <c r="R326" i="2"/>
  <c r="R309" i="2"/>
  <c r="R291" i="2"/>
  <c r="R286" i="2"/>
  <c r="R268" i="2"/>
  <c r="R258" i="2"/>
  <c r="R255" i="2"/>
  <c r="R245" i="2"/>
  <c r="R237" i="2"/>
  <c r="R229" i="2"/>
  <c r="R221" i="2"/>
  <c r="R213" i="2"/>
  <c r="R205" i="2"/>
  <c r="R197" i="2"/>
  <c r="R189" i="2"/>
  <c r="R181" i="2"/>
  <c r="R173" i="2"/>
  <c r="R165" i="2"/>
  <c r="R157" i="2"/>
  <c r="R149" i="2"/>
  <c r="R141" i="2"/>
  <c r="R133" i="2"/>
  <c r="R125" i="2"/>
  <c r="R117" i="2"/>
  <c r="R109" i="2"/>
  <c r="R101" i="2"/>
  <c r="R93" i="2"/>
  <c r="R85" i="2"/>
  <c r="R77" i="2"/>
  <c r="R69" i="2"/>
  <c r="R61" i="2"/>
  <c r="R53" i="2"/>
  <c r="R45" i="2"/>
  <c r="R37" i="2"/>
  <c r="R29" i="2"/>
  <c r="R21" i="2"/>
  <c r="R16" i="2"/>
  <c r="R14" i="2"/>
  <c r="R12" i="2"/>
  <c r="R10" i="2"/>
  <c r="R8" i="2"/>
  <c r="R6" i="2"/>
  <c r="R4" i="2"/>
  <c r="R2" i="2"/>
  <c r="R395" i="2"/>
  <c r="R362" i="2"/>
  <c r="R331" i="2"/>
  <c r="R314" i="2"/>
  <c r="R311" i="2"/>
  <c r="R301" i="2"/>
  <c r="R283" i="2"/>
  <c r="R278" i="2"/>
  <c r="R260" i="2"/>
  <c r="R250" i="2"/>
  <c r="R247" i="2"/>
  <c r="R242" i="2"/>
  <c r="R234" i="2"/>
  <c r="R226" i="2"/>
  <c r="R218" i="2"/>
  <c r="R210" i="2"/>
  <c r="R202" i="2"/>
  <c r="R194" i="2"/>
  <c r="R186" i="2"/>
  <c r="R178" i="2"/>
  <c r="R170" i="2"/>
  <c r="R162" i="2"/>
  <c r="R154" i="2"/>
  <c r="R146" i="2"/>
  <c r="R138" i="2"/>
  <c r="R130" i="2"/>
  <c r="R122" i="2"/>
  <c r="R114" i="2"/>
  <c r="R106" i="2"/>
  <c r="R98" i="2"/>
  <c r="R90" i="2"/>
  <c r="R82" i="2"/>
  <c r="R74" i="2"/>
  <c r="R66" i="2"/>
  <c r="R58" i="2"/>
  <c r="R50" i="2"/>
  <c r="R569" i="2"/>
  <c r="R549" i="2"/>
  <c r="R407" i="2"/>
  <c r="R398" i="2"/>
  <c r="R386" i="2"/>
  <c r="R355" i="2"/>
  <c r="R343" i="2"/>
  <c r="R334" i="2"/>
  <c r="R319" i="2"/>
  <c r="R306" i="2"/>
  <c r="R303" i="2"/>
  <c r="R293" i="2"/>
  <c r="R275" i="2"/>
  <c r="R270" i="2"/>
  <c r="R252" i="2"/>
  <c r="R239" i="2"/>
  <c r="R231" i="2"/>
  <c r="R223" i="2"/>
  <c r="R215" i="2"/>
  <c r="R207" i="2"/>
  <c r="R199" i="2"/>
  <c r="R191" i="2"/>
  <c r="R183" i="2"/>
  <c r="R175" i="2"/>
  <c r="R167" i="2"/>
  <c r="R159" i="2"/>
  <c r="R151" i="2"/>
  <c r="R143" i="2"/>
  <c r="R135" i="2"/>
  <c r="R127" i="2"/>
  <c r="R119" i="2"/>
  <c r="R111" i="2"/>
  <c r="R103" i="2"/>
  <c r="R95" i="2"/>
  <c r="R87" i="2"/>
  <c r="R79" i="2"/>
  <c r="R71" i="2"/>
  <c r="R63" i="2"/>
  <c r="R55" i="2"/>
  <c r="R410" i="2"/>
  <c r="R379" i="2"/>
  <c r="R346" i="2"/>
  <c r="R322" i="2"/>
  <c r="R308" i="2"/>
  <c r="R298" i="2"/>
  <c r="R295" i="2"/>
  <c r="R285" i="2"/>
  <c r="R267" i="2"/>
  <c r="R262" i="2"/>
  <c r="R244" i="2"/>
  <c r="R236" i="2"/>
  <c r="R228" i="2"/>
  <c r="R220" i="2"/>
  <c r="R212" i="2"/>
  <c r="R204" i="2"/>
  <c r="R196" i="2"/>
  <c r="R188" i="2"/>
  <c r="R180" i="2"/>
  <c r="R172" i="2"/>
  <c r="R164" i="2"/>
  <c r="R156" i="2"/>
  <c r="R148" i="2"/>
  <c r="R140" i="2"/>
  <c r="R132" i="2"/>
  <c r="R124" i="2"/>
  <c r="R116" i="2"/>
  <c r="R108" i="2"/>
  <c r="R100" i="2"/>
  <c r="R92" i="2"/>
  <c r="R84" i="2"/>
  <c r="R76" i="2"/>
  <c r="R68" i="2"/>
  <c r="R60" i="2"/>
  <c r="R52" i="2"/>
  <c r="R44" i="2"/>
  <c r="R36" i="2"/>
  <c r="R28" i="2"/>
  <c r="R20" i="2"/>
  <c r="P513" i="1"/>
  <c r="P511" i="1"/>
  <c r="P509" i="1"/>
  <c r="P507" i="1"/>
  <c r="P505" i="1"/>
  <c r="P503" i="1"/>
  <c r="P501" i="1"/>
  <c r="P499" i="1"/>
  <c r="P497" i="1"/>
  <c r="P495" i="1"/>
  <c r="P493" i="1"/>
  <c r="P491" i="1"/>
  <c r="P489" i="1"/>
  <c r="P487" i="1"/>
  <c r="P485" i="1"/>
  <c r="P483" i="1"/>
  <c r="P481" i="1"/>
  <c r="P479" i="1"/>
  <c r="P477" i="1"/>
  <c r="P475" i="1"/>
  <c r="P473" i="1"/>
  <c r="P471" i="1"/>
  <c r="P469" i="1"/>
  <c r="P467" i="1"/>
  <c r="P465" i="1"/>
  <c r="P463" i="1"/>
  <c r="P461" i="1"/>
  <c r="P459" i="1"/>
  <c r="P457" i="1"/>
  <c r="P455" i="1"/>
  <c r="P453" i="1"/>
  <c r="P451" i="1"/>
  <c r="P449" i="1"/>
  <c r="P447" i="1"/>
  <c r="P445" i="1"/>
  <c r="P443" i="1"/>
  <c r="P441" i="1"/>
  <c r="P439" i="1"/>
  <c r="P437" i="1"/>
  <c r="P435" i="1"/>
  <c r="P433" i="1"/>
  <c r="P431" i="1"/>
  <c r="P429" i="1"/>
  <c r="P427" i="1"/>
  <c r="P425" i="1"/>
  <c r="P423" i="1"/>
  <c r="P421" i="1"/>
  <c r="P419" i="1"/>
  <c r="P417" i="1"/>
  <c r="P415" i="1"/>
  <c r="P413" i="1"/>
  <c r="P411" i="1"/>
  <c r="P409" i="1"/>
  <c r="P407" i="1"/>
  <c r="P405" i="1"/>
  <c r="P403" i="1"/>
  <c r="P401" i="1"/>
  <c r="P399" i="1"/>
  <c r="P397" i="1"/>
  <c r="P395" i="1"/>
  <c r="P393" i="1"/>
  <c r="P391" i="1"/>
  <c r="P389" i="1"/>
  <c r="P387" i="1"/>
  <c r="P385" i="1"/>
  <c r="P383" i="1"/>
  <c r="P381" i="1"/>
  <c r="P379" i="1"/>
  <c r="P377" i="1"/>
  <c r="P375" i="1"/>
  <c r="P373" i="1"/>
  <c r="P371" i="1"/>
  <c r="P369" i="1"/>
  <c r="P367" i="1"/>
  <c r="P365" i="1"/>
  <c r="P363" i="1"/>
  <c r="P361" i="1"/>
  <c r="P359" i="1"/>
  <c r="P357" i="1"/>
  <c r="P355" i="1"/>
  <c r="P353" i="1"/>
  <c r="P351" i="1"/>
  <c r="P349" i="1"/>
  <c r="P347" i="1"/>
  <c r="R403" i="2"/>
  <c r="R391" i="2"/>
  <c r="R382" i="2"/>
  <c r="R370" i="2"/>
  <c r="R339" i="2"/>
  <c r="R327" i="2"/>
  <c r="R300" i="2"/>
  <c r="R290" i="2"/>
  <c r="R287" i="2"/>
  <c r="R277" i="2"/>
  <c r="R259" i="2"/>
  <c r="R254" i="2"/>
  <c r="R241" i="2"/>
  <c r="R233" i="2"/>
  <c r="R225" i="2"/>
  <c r="R217" i="2"/>
  <c r="R209" i="2"/>
  <c r="R201" i="2"/>
  <c r="R193" i="2"/>
  <c r="R185" i="2"/>
  <c r="R177" i="2"/>
  <c r="R169" i="2"/>
  <c r="R161" i="2"/>
  <c r="R153" i="2"/>
  <c r="R145" i="2"/>
  <c r="R137" i="2"/>
  <c r="R129" i="2"/>
  <c r="R121" i="2"/>
  <c r="R113" i="2"/>
  <c r="R105" i="2"/>
  <c r="R97" i="2"/>
  <c r="R89" i="2"/>
  <c r="R81" i="2"/>
  <c r="R73" i="2"/>
  <c r="R65" i="2"/>
  <c r="R57" i="2"/>
  <c r="R49" i="2"/>
  <c r="R41" i="2"/>
  <c r="R33" i="2"/>
  <c r="R25" i="2"/>
  <c r="R17" i="2"/>
  <c r="R15" i="2"/>
  <c r="R13" i="2"/>
  <c r="R11" i="2"/>
  <c r="R9" i="2"/>
  <c r="R7" i="2"/>
  <c r="R5" i="2"/>
  <c r="R3" i="2"/>
  <c r="R315" i="2"/>
  <c r="R190" i="2"/>
  <c r="R126" i="2"/>
  <c r="R62" i="2"/>
  <c r="P510" i="1"/>
  <c r="P494" i="1"/>
  <c r="P478" i="1"/>
  <c r="P462" i="1"/>
  <c r="P446" i="1"/>
  <c r="P430" i="1"/>
  <c r="P414" i="1"/>
  <c r="P398" i="1"/>
  <c r="P382" i="1"/>
  <c r="P366" i="1"/>
  <c r="P350" i="1"/>
  <c r="R246" i="2"/>
  <c r="R182" i="2"/>
  <c r="R118" i="2"/>
  <c r="R38" i="2"/>
  <c r="R19" i="2"/>
  <c r="P512" i="1"/>
  <c r="P496" i="1"/>
  <c r="P480" i="1"/>
  <c r="P464" i="1"/>
  <c r="P448" i="1"/>
  <c r="P432" i="1"/>
  <c r="P416" i="1"/>
  <c r="P400" i="1"/>
  <c r="P384" i="1"/>
  <c r="P368" i="1"/>
  <c r="P352" i="1"/>
  <c r="R363" i="2"/>
  <c r="R238" i="2"/>
  <c r="R174" i="2"/>
  <c r="R110" i="2"/>
  <c r="R54" i="2"/>
  <c r="R47" i="2"/>
  <c r="R34" i="2"/>
  <c r="R31" i="2"/>
  <c r="R22" i="2"/>
  <c r="P498" i="1"/>
  <c r="P482" i="1"/>
  <c r="P466" i="1"/>
  <c r="P450" i="1"/>
  <c r="P434" i="1"/>
  <c r="P418" i="1"/>
  <c r="P402" i="1"/>
  <c r="P386" i="1"/>
  <c r="P370" i="1"/>
  <c r="P354" i="1"/>
  <c r="P345" i="1"/>
  <c r="P343" i="1"/>
  <c r="P341" i="1"/>
  <c r="P339" i="1"/>
  <c r="P337" i="1"/>
  <c r="P335" i="1"/>
  <c r="P333" i="1"/>
  <c r="P331" i="1"/>
  <c r="P329" i="1"/>
  <c r="P327" i="1"/>
  <c r="P325" i="1"/>
  <c r="P323" i="1"/>
  <c r="P321" i="1"/>
  <c r="P319" i="1"/>
  <c r="P317" i="1"/>
  <c r="P315" i="1"/>
  <c r="P313" i="1"/>
  <c r="P311" i="1"/>
  <c r="P309" i="1"/>
  <c r="P307" i="1"/>
  <c r="P305" i="1"/>
  <c r="P303" i="1"/>
  <c r="P301" i="1"/>
  <c r="P299" i="1"/>
  <c r="P297" i="1"/>
  <c r="P295" i="1"/>
  <c r="P293" i="1"/>
  <c r="P291" i="1"/>
  <c r="P289" i="1"/>
  <c r="P287" i="1"/>
  <c r="P285" i="1"/>
  <c r="P283" i="1"/>
  <c r="P281" i="1"/>
  <c r="P279" i="1"/>
  <c r="P277" i="1"/>
  <c r="P275" i="1"/>
  <c r="P273" i="1"/>
  <c r="P271" i="1"/>
  <c r="P269" i="1"/>
  <c r="P267" i="1"/>
  <c r="P265" i="1"/>
  <c r="P263" i="1"/>
  <c r="P261" i="1"/>
  <c r="P259" i="1"/>
  <c r="P257" i="1"/>
  <c r="P255" i="1"/>
  <c r="P253" i="1"/>
  <c r="P251" i="1"/>
  <c r="P249" i="1"/>
  <c r="P247" i="1"/>
  <c r="P245" i="1"/>
  <c r="P243" i="1"/>
  <c r="P241" i="1"/>
  <c r="P239" i="1"/>
  <c r="P237" i="1"/>
  <c r="P235" i="1"/>
  <c r="P233" i="1"/>
  <c r="P231" i="1"/>
  <c r="P229" i="1"/>
  <c r="P227" i="1"/>
  <c r="P225" i="1"/>
  <c r="P223" i="1"/>
  <c r="P221" i="1"/>
  <c r="P219" i="1"/>
  <c r="P217" i="1"/>
  <c r="P215" i="1"/>
  <c r="P213" i="1"/>
  <c r="P211" i="1"/>
  <c r="P209" i="1"/>
  <c r="P207" i="1"/>
  <c r="P205" i="1"/>
  <c r="P203" i="1"/>
  <c r="P201" i="1"/>
  <c r="P199" i="1"/>
  <c r="P197" i="1"/>
  <c r="P195" i="1"/>
  <c r="P193" i="1"/>
  <c r="P191" i="1"/>
  <c r="P189" i="1"/>
  <c r="P187" i="1"/>
  <c r="P185" i="1"/>
  <c r="P183" i="1"/>
  <c r="P181" i="1"/>
  <c r="P179" i="1"/>
  <c r="P177" i="1"/>
  <c r="P175" i="1"/>
  <c r="P173" i="1"/>
  <c r="P171" i="1"/>
  <c r="P169" i="1"/>
  <c r="P167" i="1"/>
  <c r="P165" i="1"/>
  <c r="P163" i="1"/>
  <c r="P161" i="1"/>
  <c r="P159" i="1"/>
  <c r="P157" i="1"/>
  <c r="P155" i="1"/>
  <c r="P153" i="1"/>
  <c r="P151" i="1"/>
  <c r="P149" i="1"/>
  <c r="P147" i="1"/>
  <c r="P145" i="1"/>
  <c r="P143" i="1"/>
  <c r="P141" i="1"/>
  <c r="P139" i="1"/>
  <c r="P137" i="1"/>
  <c r="P135" i="1"/>
  <c r="P133" i="1"/>
  <c r="P131" i="1"/>
  <c r="P129" i="1"/>
  <c r="P127" i="1"/>
  <c r="P125" i="1"/>
  <c r="P123" i="1"/>
  <c r="P121" i="1"/>
  <c r="P119" i="1"/>
  <c r="P117" i="1"/>
  <c r="P115" i="1"/>
  <c r="P113" i="1"/>
  <c r="P111" i="1"/>
  <c r="P109" i="1"/>
  <c r="P107" i="1"/>
  <c r="P105" i="1"/>
  <c r="P103" i="1"/>
  <c r="P101" i="1"/>
  <c r="P99" i="1"/>
  <c r="P97" i="1"/>
  <c r="P95" i="1"/>
  <c r="P93" i="1"/>
  <c r="P91" i="1"/>
  <c r="P89" i="1"/>
  <c r="P87" i="1"/>
  <c r="P85" i="1"/>
  <c r="P83" i="1"/>
  <c r="P81" i="1"/>
  <c r="P79" i="1"/>
  <c r="P77" i="1"/>
  <c r="P75" i="1"/>
  <c r="P73" i="1"/>
  <c r="P71" i="1"/>
  <c r="P69" i="1"/>
  <c r="P67" i="1"/>
  <c r="P65" i="1"/>
  <c r="P63" i="1"/>
  <c r="P61" i="1"/>
  <c r="P59" i="1"/>
  <c r="P57" i="1"/>
  <c r="P55" i="1"/>
  <c r="P53" i="1"/>
  <c r="P51" i="1"/>
  <c r="P49" i="1"/>
  <c r="P47" i="1"/>
  <c r="P45" i="1"/>
  <c r="P43" i="1"/>
  <c r="P41" i="1"/>
  <c r="P39" i="1"/>
  <c r="P37" i="1"/>
  <c r="P35" i="1"/>
  <c r="P33" i="1"/>
  <c r="P31" i="1"/>
  <c r="P29" i="1"/>
  <c r="P27" i="1"/>
  <c r="P25" i="1"/>
  <c r="P23" i="1"/>
  <c r="P21" i="1"/>
  <c r="P19" i="1"/>
  <c r="P17" i="1"/>
  <c r="P15" i="1"/>
  <c r="P13" i="1"/>
  <c r="P11" i="1"/>
  <c r="P9" i="1"/>
  <c r="P7" i="1"/>
  <c r="P5" i="1"/>
  <c r="P3" i="1"/>
  <c r="R230" i="2"/>
  <c r="R166" i="2"/>
  <c r="R102" i="2"/>
  <c r="R40" i="2"/>
  <c r="P500" i="1"/>
  <c r="P484" i="1"/>
  <c r="P468" i="1"/>
  <c r="P452" i="1"/>
  <c r="P436" i="1"/>
  <c r="P420" i="1"/>
  <c r="P404" i="1"/>
  <c r="P388" i="1"/>
  <c r="P372" i="1"/>
  <c r="P356" i="1"/>
  <c r="R394" i="2"/>
  <c r="R279" i="2"/>
  <c r="R269" i="2"/>
  <c r="R251" i="2"/>
  <c r="R222" i="2"/>
  <c r="R158" i="2"/>
  <c r="R94" i="2"/>
  <c r="R27" i="2"/>
  <c r="R24" i="2"/>
  <c r="R18" i="2"/>
  <c r="P502" i="1"/>
  <c r="P486" i="1"/>
  <c r="P470" i="1"/>
  <c r="P454" i="1"/>
  <c r="P438" i="1"/>
  <c r="P422" i="1"/>
  <c r="P406" i="1"/>
  <c r="P390" i="1"/>
  <c r="P374" i="1"/>
  <c r="P358" i="1"/>
  <c r="R310" i="2"/>
  <c r="R282" i="2"/>
  <c r="R214" i="2"/>
  <c r="R150" i="2"/>
  <c r="R86" i="2"/>
  <c r="R56" i="2"/>
  <c r="R46" i="2"/>
  <c r="R30" i="2"/>
  <c r="P504" i="1"/>
  <c r="P488" i="1"/>
  <c r="P472" i="1"/>
  <c r="P456" i="1"/>
  <c r="P440" i="1"/>
  <c r="P424" i="1"/>
  <c r="P408" i="1"/>
  <c r="P392" i="1"/>
  <c r="P376" i="1"/>
  <c r="P360" i="1"/>
  <c r="R330" i="2"/>
  <c r="R292" i="2"/>
  <c r="R206" i="2"/>
  <c r="R142" i="2"/>
  <c r="R78" i="2"/>
  <c r="R42" i="2"/>
  <c r="R39" i="2"/>
  <c r="P506" i="1"/>
  <c r="P490" i="1"/>
  <c r="P474" i="1"/>
  <c r="P458" i="1"/>
  <c r="P442" i="1"/>
  <c r="P426" i="1"/>
  <c r="P410" i="1"/>
  <c r="P394" i="1"/>
  <c r="P378" i="1"/>
  <c r="P362" i="1"/>
  <c r="P346" i="1"/>
  <c r="P344" i="1"/>
  <c r="P342" i="1"/>
  <c r="P340" i="1"/>
  <c r="P338" i="1"/>
  <c r="P336" i="1"/>
  <c r="P334" i="1"/>
  <c r="P332" i="1"/>
  <c r="P330" i="1"/>
  <c r="P328" i="1"/>
  <c r="P326" i="1"/>
  <c r="P324" i="1"/>
  <c r="P322" i="1"/>
  <c r="P320" i="1"/>
  <c r="P318" i="1"/>
  <c r="P316" i="1"/>
  <c r="P314" i="1"/>
  <c r="P312" i="1"/>
  <c r="P310" i="1"/>
  <c r="P308" i="1"/>
  <c r="P306" i="1"/>
  <c r="P304" i="1"/>
  <c r="P302" i="1"/>
  <c r="P300" i="1"/>
  <c r="P298" i="1"/>
  <c r="P296" i="1"/>
  <c r="P294" i="1"/>
  <c r="P292" i="1"/>
  <c r="P290" i="1"/>
  <c r="P288" i="1"/>
  <c r="P286" i="1"/>
  <c r="P284" i="1"/>
  <c r="P282" i="1"/>
  <c r="P280" i="1"/>
  <c r="P278" i="1"/>
  <c r="P276" i="1"/>
  <c r="P274" i="1"/>
  <c r="P272" i="1"/>
  <c r="P270" i="1"/>
  <c r="P268" i="1"/>
  <c r="P266" i="1"/>
  <c r="P264" i="1"/>
  <c r="P262" i="1"/>
  <c r="P260" i="1"/>
  <c r="P258" i="1"/>
  <c r="P256" i="1"/>
  <c r="P254" i="1"/>
  <c r="P252" i="1"/>
  <c r="P250" i="1"/>
  <c r="P248" i="1"/>
  <c r="P246" i="1"/>
  <c r="P244" i="1"/>
  <c r="P242" i="1"/>
  <c r="P240" i="1"/>
  <c r="P238" i="1"/>
  <c r="P236" i="1"/>
  <c r="P234" i="1"/>
  <c r="P232" i="1"/>
  <c r="P230" i="1"/>
  <c r="P228" i="1"/>
  <c r="P226" i="1"/>
  <c r="P224" i="1"/>
  <c r="P222" i="1"/>
  <c r="P220" i="1"/>
  <c r="P218" i="1"/>
  <c r="P216" i="1"/>
  <c r="P214" i="1"/>
  <c r="P212" i="1"/>
  <c r="P210" i="1"/>
  <c r="P208" i="1"/>
  <c r="P206" i="1"/>
  <c r="P204" i="1"/>
  <c r="P202" i="1"/>
  <c r="P200" i="1"/>
  <c r="P198" i="1"/>
  <c r="P196" i="1"/>
  <c r="P194" i="1"/>
  <c r="P192" i="1"/>
  <c r="P190" i="1"/>
  <c r="P188" i="1"/>
  <c r="P186" i="1"/>
  <c r="P184" i="1"/>
  <c r="P182" i="1"/>
  <c r="P180" i="1"/>
  <c r="P178" i="1"/>
  <c r="P176" i="1"/>
  <c r="P174" i="1"/>
  <c r="P172" i="1"/>
  <c r="P170" i="1"/>
  <c r="P168" i="1"/>
  <c r="P166" i="1"/>
  <c r="P164" i="1"/>
  <c r="P162" i="1"/>
  <c r="P160" i="1"/>
  <c r="P158" i="1"/>
  <c r="P156" i="1"/>
  <c r="P154" i="1"/>
  <c r="P152" i="1"/>
  <c r="P150" i="1"/>
  <c r="P148" i="1"/>
  <c r="P146" i="1"/>
  <c r="P144" i="1"/>
  <c r="P142" i="1"/>
  <c r="P140" i="1"/>
  <c r="P138" i="1"/>
  <c r="P136" i="1"/>
  <c r="P134" i="1"/>
  <c r="P132" i="1"/>
  <c r="P130" i="1"/>
  <c r="P128" i="1"/>
  <c r="P126" i="1"/>
  <c r="P124" i="1"/>
  <c r="P122" i="1"/>
  <c r="P120" i="1"/>
  <c r="P118" i="1"/>
  <c r="P116" i="1"/>
  <c r="P114" i="1"/>
  <c r="P112" i="1"/>
  <c r="P110" i="1"/>
  <c r="P108" i="1"/>
  <c r="P106" i="1"/>
  <c r="P104" i="1"/>
  <c r="P102" i="1"/>
  <c r="P100" i="1"/>
  <c r="P98" i="1"/>
  <c r="P96" i="1"/>
  <c r="P94" i="1"/>
  <c r="P92" i="1"/>
  <c r="P90" i="1"/>
  <c r="P88" i="1"/>
  <c r="P86" i="1"/>
  <c r="P84" i="1"/>
  <c r="P82" i="1"/>
  <c r="P80" i="1"/>
  <c r="P78" i="1"/>
  <c r="P76" i="1"/>
  <c r="P74" i="1"/>
  <c r="P72" i="1"/>
  <c r="P70" i="1"/>
  <c r="P68" i="1"/>
  <c r="P66" i="1"/>
  <c r="P64" i="1"/>
  <c r="P62" i="1"/>
  <c r="P60" i="1"/>
  <c r="P58" i="1"/>
  <c r="P56" i="1"/>
  <c r="P54" i="1"/>
  <c r="P52" i="1"/>
  <c r="P50" i="1"/>
  <c r="P48" i="1"/>
  <c r="P46" i="1"/>
  <c r="P44" i="1"/>
  <c r="P42" i="1"/>
  <c r="P40" i="1"/>
  <c r="P38" i="1"/>
  <c r="P36" i="1"/>
  <c r="P34" i="1"/>
  <c r="P32" i="1"/>
  <c r="P30" i="1"/>
  <c r="P28" i="1"/>
  <c r="P26" i="1"/>
  <c r="P24" i="1"/>
  <c r="P22" i="1"/>
  <c r="P20" i="1"/>
  <c r="P18" i="1"/>
  <c r="P16" i="1"/>
  <c r="P14" i="1"/>
  <c r="P12" i="1"/>
  <c r="P10" i="1"/>
  <c r="P8" i="1"/>
  <c r="P6" i="1"/>
  <c r="P4" i="1"/>
  <c r="P2" i="1"/>
  <c r="R198" i="2"/>
  <c r="R134" i="2"/>
  <c r="R70" i="2"/>
  <c r="R48" i="2"/>
  <c r="R32" i="2"/>
  <c r="R26" i="2"/>
  <c r="R23" i="2"/>
  <c r="P508" i="1"/>
  <c r="P492" i="1"/>
  <c r="P476" i="1"/>
  <c r="P460" i="1"/>
  <c r="P444" i="1"/>
  <c r="P428" i="1"/>
  <c r="P412" i="1"/>
  <c r="P396" i="1"/>
  <c r="P380" i="1"/>
  <c r="P364" i="1"/>
  <c r="P348" i="1"/>
  <c r="C700" i="3"/>
  <c r="C698" i="3"/>
  <c r="C699" i="3"/>
  <c r="C697" i="3"/>
  <c r="C694" i="3"/>
  <c r="C695" i="3"/>
  <c r="C696" i="3"/>
  <c r="C686" i="3"/>
  <c r="C687" i="3"/>
  <c r="C688" i="3"/>
  <c r="C689" i="3"/>
  <c r="C690" i="3"/>
  <c r="C691" i="3"/>
  <c r="C692" i="3"/>
  <c r="C693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</calcChain>
</file>

<file path=xl/sharedStrings.xml><?xml version="1.0" encoding="utf-8"?>
<sst xmlns="http://schemas.openxmlformats.org/spreadsheetml/2006/main" count="12724" uniqueCount="4937">
  <si>
    <t>Naam</t>
  </si>
  <si>
    <t>Klantnummer</t>
  </si>
  <si>
    <t>Geboortedatum</t>
  </si>
  <si>
    <t>Straat</t>
  </si>
  <si>
    <t>Nummer</t>
  </si>
  <si>
    <t>gemeente</t>
  </si>
  <si>
    <t>Aantal_volwassenen_in_gezin</t>
  </si>
  <si>
    <t>Aantal_kinderen_in_gezin</t>
  </si>
  <si>
    <t>Totale_wekelijkse_uitgaven</t>
  </si>
  <si>
    <t>Bezoekfrequentie</t>
  </si>
  <si>
    <t>Betaalwijze</t>
  </si>
  <si>
    <t>Tevredenheid</t>
  </si>
  <si>
    <t>Dieet</t>
  </si>
  <si>
    <t>Achternaam</t>
  </si>
  <si>
    <t>Voornaam</t>
  </si>
  <si>
    <t>Bezoeken per maand</t>
  </si>
  <si>
    <t>Tevredenheidsniveau</t>
  </si>
  <si>
    <t>Verhelst, Francis</t>
  </si>
  <si>
    <t>28/04/1975</t>
  </si>
  <si>
    <t>Waterstraat</t>
  </si>
  <si>
    <t>Diepenbeek</t>
  </si>
  <si>
    <t>Zelden</t>
  </si>
  <si>
    <t>Payconiq</t>
  </si>
  <si>
    <t>Geen dieet</t>
  </si>
  <si>
    <t>De laet, Ona</t>
  </si>
  <si>
    <t>07/05/1984</t>
  </si>
  <si>
    <t>Sint-jozefstraat</t>
  </si>
  <si>
    <t>Genk</t>
  </si>
  <si>
    <t>Af en toe</t>
  </si>
  <si>
    <t>Bancontact</t>
  </si>
  <si>
    <t>Buelens, Dominique</t>
  </si>
  <si>
    <t>21/01/1957</t>
  </si>
  <si>
    <t>Onderbergen</t>
  </si>
  <si>
    <t>Herten</t>
  </si>
  <si>
    <t>Vegetarisch</t>
  </si>
  <si>
    <t>Dierickx, Mario</t>
  </si>
  <si>
    <t>06/01/1962</t>
  </si>
  <si>
    <t>Zieklien</t>
  </si>
  <si>
    <t>Gingelom</t>
  </si>
  <si>
    <t>Wellens, Anna</t>
  </si>
  <si>
    <t>05/12/1983</t>
  </si>
  <si>
    <t>Stropkaai</t>
  </si>
  <si>
    <t>Lanaken</t>
  </si>
  <si>
    <t>Van de walle, Guido</t>
  </si>
  <si>
    <t>30/10/1985</t>
  </si>
  <si>
    <t>Vlasmarkt</t>
  </si>
  <si>
    <t>Bilzen</t>
  </si>
  <si>
    <t>Dagelijks</t>
  </si>
  <si>
    <t>Peeters, Frank</t>
  </si>
  <si>
    <t>24/08/1949</t>
  </si>
  <si>
    <t>Goedlevenstraat</t>
  </si>
  <si>
    <t>Sint-Truiden</t>
  </si>
  <si>
    <t>Vaak</t>
  </si>
  <si>
    <t>Vermeulen, Leon</t>
  </si>
  <si>
    <t>12/11/1990</t>
  </si>
  <si>
    <t>Sint-annaplein</t>
  </si>
  <si>
    <t>Hoeselt</t>
  </si>
  <si>
    <t>Cash</t>
  </si>
  <si>
    <t>Willems, Didier</t>
  </si>
  <si>
    <t>26/08/1956</t>
  </si>
  <si>
    <t>Onderstraat</t>
  </si>
  <si>
    <t>Halen</t>
  </si>
  <si>
    <t>Peeters, José</t>
  </si>
  <si>
    <t>24/10/1963</t>
  </si>
  <si>
    <t>Pilorijnstraat</t>
  </si>
  <si>
    <t>Maasmechelen</t>
  </si>
  <si>
    <t>Bauwens, Micheline</t>
  </si>
  <si>
    <t>29/03/1970</t>
  </si>
  <si>
    <t>Kasteellaan</t>
  </si>
  <si>
    <t>Schepers, Alexandra</t>
  </si>
  <si>
    <t>18/07/1995</t>
  </si>
  <si>
    <t>Ham</t>
  </si>
  <si>
    <t>Kanne</t>
  </si>
  <si>
    <t>Verstraeten, Claire</t>
  </si>
  <si>
    <t>24/11/1960</t>
  </si>
  <si>
    <t>Godshuizenlaan</t>
  </si>
  <si>
    <t>Tongeren</t>
  </si>
  <si>
    <t>Zeer vaak</t>
  </si>
  <si>
    <t>Veganistisch</t>
  </si>
  <si>
    <t>Moerman, Niels</t>
  </si>
  <si>
    <t>14/06/1972</t>
  </si>
  <si>
    <t>Groot-brittanniëlaan</t>
  </si>
  <si>
    <t>Heusden-Zolder</t>
  </si>
  <si>
    <t>Vanhove, Filip</t>
  </si>
  <si>
    <t>23/02/1954</t>
  </si>
  <si>
    <t>Brugsesteenweg</t>
  </si>
  <si>
    <t>Timmermans, Christian</t>
  </si>
  <si>
    <t>27/10/2002</t>
  </si>
  <si>
    <t>Onze-lieve-vrouwdreef</t>
  </si>
  <si>
    <t>Willems, Brigitte</t>
  </si>
  <si>
    <t>06/06/1977</t>
  </si>
  <si>
    <t>Serpentstraat</t>
  </si>
  <si>
    <t>Lejeune, Tejo</t>
  </si>
  <si>
    <t>22/08/2005</t>
  </si>
  <si>
    <t>Lourdestraat</t>
  </si>
  <si>
    <t>Garcia, Naomi</t>
  </si>
  <si>
    <t>17/08/1981</t>
  </si>
  <si>
    <t>Tentoonstellingslaan</t>
  </si>
  <si>
    <t>Lummen</t>
  </si>
  <si>
    <t>Hendrickx, Farhad</t>
  </si>
  <si>
    <t>14/07/1984</t>
  </si>
  <si>
    <t>Blazoenstraat</t>
  </si>
  <si>
    <t>Creditcard</t>
  </si>
  <si>
    <t>Desmet, Hugo</t>
  </si>
  <si>
    <t>14/02/1972</t>
  </si>
  <si>
    <t>Ledebergstraat</t>
  </si>
  <si>
    <t>Adam, Monique</t>
  </si>
  <si>
    <t>14/11/1985</t>
  </si>
  <si>
    <t>Zuidstationstraat</t>
  </si>
  <si>
    <t>Stevens, Louise</t>
  </si>
  <si>
    <t>20/03/1952</t>
  </si>
  <si>
    <t>Hoogpoort</t>
  </si>
  <si>
    <t>Boone, Enes</t>
  </si>
  <si>
    <t>03/02/1945</t>
  </si>
  <si>
    <t>Kantienberg</t>
  </si>
  <si>
    <t>Hasselt</t>
  </si>
  <si>
    <t>De vos, Marie</t>
  </si>
  <si>
    <t>16/09/1947</t>
  </si>
  <si>
    <t>Heinakker</t>
  </si>
  <si>
    <t>Verbeeck, Samy</t>
  </si>
  <si>
    <t>20/09/1970</t>
  </si>
  <si>
    <t>Veerstraat</t>
  </si>
  <si>
    <t>Dewulf, Raymonde</t>
  </si>
  <si>
    <t>04/09/1993</t>
  </si>
  <si>
    <t>Kortedagsteeg</t>
  </si>
  <si>
    <t>Legrand, Mohamed</t>
  </si>
  <si>
    <t>10/08/1951</t>
  </si>
  <si>
    <t>Oude Houtlei</t>
  </si>
  <si>
    <t>Tessenderlo</t>
  </si>
  <si>
    <t>Desmet, Frank</t>
  </si>
  <si>
    <t>07/09/1978</t>
  </si>
  <si>
    <t>Ph. Van Der Nootstraat</t>
  </si>
  <si>
    <t>Vermeersch, Marc-Antoine</t>
  </si>
  <si>
    <t>15/07/1962</t>
  </si>
  <si>
    <t>Duivelstraat</t>
  </si>
  <si>
    <t>Vandendriessche, Serge</t>
  </si>
  <si>
    <t>11/08/1994</t>
  </si>
  <si>
    <t>Land Van Waaslaan</t>
  </si>
  <si>
    <t>Raes, Lucas</t>
  </si>
  <si>
    <t>15/08/1974</t>
  </si>
  <si>
    <t>Jan Delvinlaan</t>
  </si>
  <si>
    <t>Vandenbussche, Ruben</t>
  </si>
  <si>
    <t>06/08/1946</t>
  </si>
  <si>
    <t>Bouwmeestersstraat</t>
  </si>
  <si>
    <t>Neerpelt</t>
  </si>
  <si>
    <t>Stevens, Heidi</t>
  </si>
  <si>
    <t>11/06/1977</t>
  </si>
  <si>
    <t>Domien Geersstraat</t>
  </si>
  <si>
    <t>Maaseik</t>
  </si>
  <si>
    <t>Van den bergh, Inge</t>
  </si>
  <si>
    <t>17/05/1998</t>
  </si>
  <si>
    <t>Zeeschipstraat</t>
  </si>
  <si>
    <t>Pierre, Lieven</t>
  </si>
  <si>
    <t>16/06/1951</t>
  </si>
  <si>
    <t>Loskaai</t>
  </si>
  <si>
    <t>Carlier, Frédéric</t>
  </si>
  <si>
    <t>28/06/1962</t>
  </si>
  <si>
    <t>Sint-amandstraat</t>
  </si>
  <si>
    <t>Kinrooi</t>
  </si>
  <si>
    <t>Verheyden, Sophie</t>
  </si>
  <si>
    <t>07/05/1964</t>
  </si>
  <si>
    <t>Afrikalaan</t>
  </si>
  <si>
    <t>Mathieu, Simon</t>
  </si>
  <si>
    <t>19/09/1963</t>
  </si>
  <si>
    <t>Opglabbeek</t>
  </si>
  <si>
    <t>Verhoeven, Sandra</t>
  </si>
  <si>
    <t>09/12/1974</t>
  </si>
  <si>
    <t>Koning Boudewijnstraat</t>
  </si>
  <si>
    <t>Janssen, Vanja</t>
  </si>
  <si>
    <t>22/01/1978</t>
  </si>
  <si>
    <t>Geldmunt</t>
  </si>
  <si>
    <t>Wellen</t>
  </si>
  <si>
    <t>De block, Rayan</t>
  </si>
  <si>
    <t>04/02/1995</t>
  </si>
  <si>
    <t>Graaf Van Vlaanderenplein</t>
  </si>
  <si>
    <t>Overpelt</t>
  </si>
  <si>
    <t>Simons, Pedro</t>
  </si>
  <si>
    <t>19/11/1973</t>
  </si>
  <si>
    <t>Grondwetlaan</t>
  </si>
  <si>
    <t>Peeters, Maël</t>
  </si>
  <si>
    <t>03/04/1999</t>
  </si>
  <si>
    <t>Blekersdijk</t>
  </si>
  <si>
    <t>Kessenich</t>
  </si>
  <si>
    <t>Jacobs, Lara</t>
  </si>
  <si>
    <t>11/12/2002</t>
  </si>
  <si>
    <t>Dulle-grietlaan</t>
  </si>
  <si>
    <t>De paepe, Lucas</t>
  </si>
  <si>
    <t>11/09/1981</t>
  </si>
  <si>
    <t>Trommelstraat</t>
  </si>
  <si>
    <t>Lommel</t>
  </si>
  <si>
    <t>Blomme, Olivier</t>
  </si>
  <si>
    <t>21/10/1980</t>
  </si>
  <si>
    <t>Poolse - Winglaan</t>
  </si>
  <si>
    <t>Zepperen</t>
  </si>
  <si>
    <t>Diallo, Jolien</t>
  </si>
  <si>
    <t>10/08/1996</t>
  </si>
  <si>
    <t>Slachthuisstraat</t>
  </si>
  <si>
    <t>Rijkhoven</t>
  </si>
  <si>
    <t>De keyser, Isabelle</t>
  </si>
  <si>
    <t>06/08/1979</t>
  </si>
  <si>
    <t>Vlaanderenstraat</t>
  </si>
  <si>
    <t>Lambrecht, Younes</t>
  </si>
  <si>
    <t>10/03/1973</t>
  </si>
  <si>
    <t>Muilaardstraat</t>
  </si>
  <si>
    <t>Schepens, An-Sofie</t>
  </si>
  <si>
    <t>23/04/1973</t>
  </si>
  <si>
    <t>Acacialaan</t>
  </si>
  <si>
    <t>De bie, Bernard</t>
  </si>
  <si>
    <t>28/01/1976</t>
  </si>
  <si>
    <t>Bollewerkstraat</t>
  </si>
  <si>
    <t>Delvaux, Vincent</t>
  </si>
  <si>
    <t>06/07/1954</t>
  </si>
  <si>
    <t>Botermarkt</t>
  </si>
  <si>
    <t>Coppens, Amina</t>
  </si>
  <si>
    <t>05/12/1988</t>
  </si>
  <si>
    <t>Sagastraat</t>
  </si>
  <si>
    <t>Massart, Samira</t>
  </si>
  <si>
    <t>05/03/1947</t>
  </si>
  <si>
    <t>Pijlstraat</t>
  </si>
  <si>
    <t>Riemst</t>
  </si>
  <si>
    <t>Lambrecht, Felix</t>
  </si>
  <si>
    <t>01/06/1947</t>
  </si>
  <si>
    <t>Frans Gevaertstraat</t>
  </si>
  <si>
    <t>Cools, Patrick</t>
  </si>
  <si>
    <t>20/10/1961</t>
  </si>
  <si>
    <t>Sint-martensstraat</t>
  </si>
  <si>
    <t>Verheyden, Tom</t>
  </si>
  <si>
    <t>05/08/1994</t>
  </si>
  <si>
    <t>Eksaardserijweg</t>
  </si>
  <si>
    <t>Zonhoven</t>
  </si>
  <si>
    <t>Bogaert, Annemie</t>
  </si>
  <si>
    <t>23/10/1956</t>
  </si>
  <si>
    <t>Voskenslaan</t>
  </si>
  <si>
    <t>Debruyne, Burcu</t>
  </si>
  <si>
    <t>31/07/1994</t>
  </si>
  <si>
    <t>Hofstraat</t>
  </si>
  <si>
    <t>Maes, Maelys</t>
  </si>
  <si>
    <t>26/03/1972</t>
  </si>
  <si>
    <t>Gentbruggekouter</t>
  </si>
  <si>
    <t>Jacobs, Yolène</t>
  </si>
  <si>
    <t>22/12/1999</t>
  </si>
  <si>
    <t>Nonnemeersstraat</t>
  </si>
  <si>
    <t>Baeyens, Marie</t>
  </si>
  <si>
    <t>24/05/2001</t>
  </si>
  <si>
    <t>Sint-denijslaan</t>
  </si>
  <si>
    <t>Thiry, Théo</t>
  </si>
  <si>
    <t>29/08/1954</t>
  </si>
  <si>
    <t>Sint-elisabethplein</t>
  </si>
  <si>
    <t>Coppens, Liandro</t>
  </si>
  <si>
    <t>22/03/1990</t>
  </si>
  <si>
    <t>F. Lousbergskaai</t>
  </si>
  <si>
    <t>Mertens, Eric</t>
  </si>
  <si>
    <t>05/06/1945</t>
  </si>
  <si>
    <t>Derbystraat</t>
  </si>
  <si>
    <t>Coppens, Alassane</t>
  </si>
  <si>
    <t>22/01/1990</t>
  </si>
  <si>
    <t>Kruisstraat</t>
  </si>
  <si>
    <t>Decoster, Jacqueline</t>
  </si>
  <si>
    <t>15/07/1945</t>
  </si>
  <si>
    <t>Wolterslaan</t>
  </si>
  <si>
    <t>Vandamme, Walter</t>
  </si>
  <si>
    <t>26/06/1960</t>
  </si>
  <si>
    <t>Poortakkerstraat</t>
  </si>
  <si>
    <t>Van de walle, Robbe</t>
  </si>
  <si>
    <t>09/07/1996</t>
  </si>
  <si>
    <t>Bosmans, Geoffrey</t>
  </si>
  <si>
    <t>03/01/2005</t>
  </si>
  <si>
    <t>Pekelharing</t>
  </si>
  <si>
    <t>Geens, Marleen</t>
  </si>
  <si>
    <t>08/01/1963</t>
  </si>
  <si>
    <t>Toussaint, Alexander</t>
  </si>
  <si>
    <t>03/03/2002</t>
  </si>
  <si>
    <t>Johan Daisnestraat</t>
  </si>
  <si>
    <t>Van acker, Thibaut</t>
  </si>
  <si>
    <t>21/03/1982</t>
  </si>
  <si>
    <t>Oude-abdijstraat</t>
  </si>
  <si>
    <t>Petit, Marcel</t>
  </si>
  <si>
    <t>21/06/1957</t>
  </si>
  <si>
    <t>Korte Meer</t>
  </si>
  <si>
    <t>Hermans, Avak</t>
  </si>
  <si>
    <t>12/03/1999</t>
  </si>
  <si>
    <t>Veenakkerstraat</t>
  </si>
  <si>
    <t>Segers, Muriel</t>
  </si>
  <si>
    <t>04/05/1963</t>
  </si>
  <si>
    <t>Schouwburgstraat</t>
  </si>
  <si>
    <t>De keyser, Denise</t>
  </si>
  <si>
    <t>14/10/1981</t>
  </si>
  <si>
    <t>Aannemersstraat</t>
  </si>
  <si>
    <t>Hoste, Maeva</t>
  </si>
  <si>
    <t>15/07/1989</t>
  </si>
  <si>
    <t>Tortelduifstraat</t>
  </si>
  <si>
    <t>Vercruysse, Jozef</t>
  </si>
  <si>
    <t>24/06/1964</t>
  </si>
  <si>
    <t>Oscar De Gruyterstraat</t>
  </si>
  <si>
    <t>Lefebvre, Ambre</t>
  </si>
  <si>
    <t>03/04/1986</t>
  </si>
  <si>
    <t>E3-plein</t>
  </si>
  <si>
    <t>Van hecke, Grethel</t>
  </si>
  <si>
    <t>09/07/1954</t>
  </si>
  <si>
    <t>Helmkruidstraat</t>
  </si>
  <si>
    <t>Verstraete, Maria</t>
  </si>
  <si>
    <t>14/10/1995</t>
  </si>
  <si>
    <t>Lijnwaadstraat</t>
  </si>
  <si>
    <t>Peters, Katrien</t>
  </si>
  <si>
    <t>16/07/1973</t>
  </si>
  <si>
    <t>Velm</t>
  </si>
  <si>
    <t>Henry, Aagje</t>
  </si>
  <si>
    <t>22/10/1999</t>
  </si>
  <si>
    <t>Simons, Daniël</t>
  </si>
  <si>
    <t>16/01/1966</t>
  </si>
  <si>
    <t>Francois Laurentplein</t>
  </si>
  <si>
    <t>Bosmans, Pascale</t>
  </si>
  <si>
    <t>10/10/1977</t>
  </si>
  <si>
    <t>Sanderswal</t>
  </si>
  <si>
    <t>Mertens, Dirk</t>
  </si>
  <si>
    <t>17/11/1992</t>
  </si>
  <si>
    <t>Vrouwebroersstraat</t>
  </si>
  <si>
    <t>Callens, Dmitrii</t>
  </si>
  <si>
    <t>01/12/1950</t>
  </si>
  <si>
    <t>Andries, Hanne</t>
  </si>
  <si>
    <t>06/11/1996</t>
  </si>
  <si>
    <t>Heernislaan</t>
  </si>
  <si>
    <t>Michaux, Anthony</t>
  </si>
  <si>
    <t>01/05/1981</t>
  </si>
  <si>
    <t>Kleine Vismarkt</t>
  </si>
  <si>
    <t>Bernard, Arthur</t>
  </si>
  <si>
    <t>16/05/1982</t>
  </si>
  <si>
    <t>Vossenbergstraat</t>
  </si>
  <si>
    <t>Baert, Sarah</t>
  </si>
  <si>
    <t>20/12/1951</t>
  </si>
  <si>
    <t>Leiekaai</t>
  </si>
  <si>
    <t>Devos, Bart</t>
  </si>
  <si>
    <t>10/01/1995</t>
  </si>
  <si>
    <t>Verlorensteenstraat</t>
  </si>
  <si>
    <t>Bogaerts, Dorien</t>
  </si>
  <si>
    <t>18/07/1971</t>
  </si>
  <si>
    <t>Jean-baptiste D'hanedreef</t>
  </si>
  <si>
    <t>Janssens, Lauren</t>
  </si>
  <si>
    <t>19/06/1972</t>
  </si>
  <si>
    <t>Onafhankelijkheidslaan</t>
  </si>
  <si>
    <t>Peeters, Inez</t>
  </si>
  <si>
    <t>05/05/1964</t>
  </si>
  <si>
    <t>Timmermans, Abdellah</t>
  </si>
  <si>
    <t>24/01/1952</t>
  </si>
  <si>
    <t>Dublinstraat</t>
  </si>
  <si>
    <t>Willems, Bintou</t>
  </si>
  <si>
    <t>20/03/1961</t>
  </si>
  <si>
    <t>Drongensesteenweg</t>
  </si>
  <si>
    <t>Moreau, Laurence</t>
  </si>
  <si>
    <t>16/12/1974</t>
  </si>
  <si>
    <t>Burgstraat</t>
  </si>
  <si>
    <t>Dupont, Sara</t>
  </si>
  <si>
    <t>21/08/1970</t>
  </si>
  <si>
    <t>Harlekijnstraat</t>
  </si>
  <si>
    <t>Zutendaal</t>
  </si>
  <si>
    <t>Baeyens, Kristoff</t>
  </si>
  <si>
    <t>12/06/1989</t>
  </si>
  <si>
    <t>Hermans, Elise</t>
  </si>
  <si>
    <t>09/12/1956</t>
  </si>
  <si>
    <t>Fortlaan</t>
  </si>
  <si>
    <t>Maes, Evy</t>
  </si>
  <si>
    <t>06/12/1979</t>
  </si>
  <si>
    <t>Fregatstraat</t>
  </si>
  <si>
    <t>Borgloon</t>
  </si>
  <si>
    <t>Matthys, Françoise</t>
  </si>
  <si>
    <t>15/12/1970</t>
  </si>
  <si>
    <t>Jean Jaurèslaan</t>
  </si>
  <si>
    <t>Janssens, Veerle</t>
  </si>
  <si>
    <t>27/11/1983</t>
  </si>
  <si>
    <t>Maaltemeers</t>
  </si>
  <si>
    <t>Vanderstraeten, Jacky</t>
  </si>
  <si>
    <t>02/10/1977</t>
  </si>
  <si>
    <t>Schouwingsstraat</t>
  </si>
  <si>
    <t>Peeters, Dina</t>
  </si>
  <si>
    <t>25/11/1984</t>
  </si>
  <si>
    <t>Lefevre, Frédérick</t>
  </si>
  <si>
    <t>12/10/2000</t>
  </si>
  <si>
    <t>Kortrijksesteenweg</t>
  </si>
  <si>
    <t>De vos, Jolijn</t>
  </si>
  <si>
    <t>30/07/1971</t>
  </si>
  <si>
    <t>Drieselstraat</t>
  </si>
  <si>
    <t>Vranken, Marie-Christine</t>
  </si>
  <si>
    <t>04/10/1956</t>
  </si>
  <si>
    <t>Scheeplosserstraat</t>
  </si>
  <si>
    <t>De ridder, Sevda</t>
  </si>
  <si>
    <t>06/03/1953</t>
  </si>
  <si>
    <t>Peeters, Mamadou</t>
  </si>
  <si>
    <t>15/02/1980</t>
  </si>
  <si>
    <t>Gaardeniersweg</t>
  </si>
  <si>
    <t>Pieters, Laurence</t>
  </si>
  <si>
    <t>26/04/1974</t>
  </si>
  <si>
    <t>Korte Kruisstraat</t>
  </si>
  <si>
    <t>Wouters, Danny</t>
  </si>
  <si>
    <t>27/05/1989</t>
  </si>
  <si>
    <t>Snepkaai</t>
  </si>
  <si>
    <t>Huybrechts, Anna</t>
  </si>
  <si>
    <t>14/12/1975</t>
  </si>
  <si>
    <t>Tijdelijk Postbus</t>
  </si>
  <si>
    <t>Bodson, Michel</t>
  </si>
  <si>
    <t>26/09/1975</t>
  </si>
  <si>
    <t>Kapelledreef</t>
  </si>
  <si>
    <t>Bauwens, Shane</t>
  </si>
  <si>
    <t>11/06/1990</t>
  </si>
  <si>
    <t>Joris, Luc</t>
  </si>
  <si>
    <t>10/06/1964</t>
  </si>
  <si>
    <t>François Benardstraat</t>
  </si>
  <si>
    <t>De laet, Stefaan</t>
  </si>
  <si>
    <t>02/11/1958</t>
  </si>
  <si>
    <t>Mimosastraat</t>
  </si>
  <si>
    <t>Descamps, Mohamed</t>
  </si>
  <si>
    <t>27/10/1980</t>
  </si>
  <si>
    <t>Achtenkouterstraat</t>
  </si>
  <si>
    <t>Hendrickx, Maxime</t>
  </si>
  <si>
    <t>26/07/1998</t>
  </si>
  <si>
    <t>Koopvaardijlaan</t>
  </si>
  <si>
    <t>Claus, Mieke</t>
  </si>
  <si>
    <t>23/07/2005</t>
  </si>
  <si>
    <t>Frans Van Ryhovelaan</t>
  </si>
  <si>
    <t>Devos, Maxime</t>
  </si>
  <si>
    <t>12/04/1950</t>
  </si>
  <si>
    <t>Schoolstraat</t>
  </si>
  <si>
    <t>Meert, Hartmut</t>
  </si>
  <si>
    <t>29/11/1967</t>
  </si>
  <si>
    <t>Lentestraat</t>
  </si>
  <si>
    <t>Vanderstraeten, Erwin</t>
  </si>
  <si>
    <t>21/10/1978</t>
  </si>
  <si>
    <t>Desteldonkdorp</t>
  </si>
  <si>
    <t>De backer, Luís</t>
  </si>
  <si>
    <t>12/12/2003</t>
  </si>
  <si>
    <t>Mathias Gesweinstraat</t>
  </si>
  <si>
    <t>Dujardin, Loïc</t>
  </si>
  <si>
    <t>14/10/1954</t>
  </si>
  <si>
    <t>Eddastraat</t>
  </si>
  <si>
    <t>Lenaerts, Roger</t>
  </si>
  <si>
    <t>24/10/1952</t>
  </si>
  <si>
    <t>Kortessem</t>
  </si>
  <si>
    <t>Marchal, Miranda</t>
  </si>
  <si>
    <t>07/05/1961</t>
  </si>
  <si>
    <t>Baert, Joanna</t>
  </si>
  <si>
    <t>28/06/1970</t>
  </si>
  <si>
    <t>Gildestraat</t>
  </si>
  <si>
    <t>Claes, Naorah</t>
  </si>
  <si>
    <t>20/10/1992</t>
  </si>
  <si>
    <t>Clarissenstraat</t>
  </si>
  <si>
    <t>Lievens, Anouk</t>
  </si>
  <si>
    <t>16/01/1957</t>
  </si>
  <si>
    <t>Blekerijstraat</t>
  </si>
  <si>
    <t>Rousseau, Sarah</t>
  </si>
  <si>
    <t>12/10/2005</t>
  </si>
  <si>
    <t>Tolhuislaan</t>
  </si>
  <si>
    <t>Vandenbroucke, Christine</t>
  </si>
  <si>
    <t>15/05/1980</t>
  </si>
  <si>
    <t>Oudburg</t>
  </si>
  <si>
    <t>De pauw, Joannes</t>
  </si>
  <si>
    <t>16/07/1994</t>
  </si>
  <si>
    <t>Sint-kwintensberg</t>
  </si>
  <si>
    <t>Pieters, Robert</t>
  </si>
  <si>
    <t>09/04/1949</t>
  </si>
  <si>
    <t>Kwartelstraat</t>
  </si>
  <si>
    <t>Lambert, Gloria</t>
  </si>
  <si>
    <t>27/02/1969</t>
  </si>
  <si>
    <t>Buffelstraat</t>
  </si>
  <si>
    <t>Van daele, Freddy</t>
  </si>
  <si>
    <t>26/11/1998</t>
  </si>
  <si>
    <t>Ingelandgat</t>
  </si>
  <si>
    <t>Georges, Emile</t>
  </si>
  <si>
    <t>10/10/1999</t>
  </si>
  <si>
    <t>Speistraat</t>
  </si>
  <si>
    <t>Maertens, Ludovique</t>
  </si>
  <si>
    <t>28/09/1989</t>
  </si>
  <si>
    <t>Boeierstraat</t>
  </si>
  <si>
    <t>Masson, Mathieu</t>
  </si>
  <si>
    <t>05/05/1976</t>
  </si>
  <si>
    <t>Brabantdam</t>
  </si>
  <si>
    <t>Goffin, Dominique</t>
  </si>
  <si>
    <t>12/01/1980</t>
  </si>
  <si>
    <t>Van roy, Stefan</t>
  </si>
  <si>
    <t>21/01/2000</t>
  </si>
  <si>
    <t>Limburgstraat</t>
  </si>
  <si>
    <t>Vrancken, Karen</t>
  </si>
  <si>
    <t>03/01/2003</t>
  </si>
  <si>
    <t>Claes, Liselotte</t>
  </si>
  <si>
    <t>04/07/1980</t>
  </si>
  <si>
    <t>Imsakkerlaan</t>
  </si>
  <si>
    <t>Lambert, Georges</t>
  </si>
  <si>
    <t>18/06/1992</t>
  </si>
  <si>
    <t>De keyser, Saliha</t>
  </si>
  <si>
    <t>20/07/2001</t>
  </si>
  <si>
    <t>Brusselsesteenweg</t>
  </si>
  <si>
    <t>Leopoldsburg</t>
  </si>
  <si>
    <t>Christiaens, Florin</t>
  </si>
  <si>
    <t>10/11/1967</t>
  </si>
  <si>
    <t>Janssens, Angelina</t>
  </si>
  <si>
    <t>02/12/1978</t>
  </si>
  <si>
    <t>Sint-bernadettestraat</t>
  </si>
  <si>
    <t>Huybrechts, Apoline</t>
  </si>
  <si>
    <t>28/11/1980</t>
  </si>
  <si>
    <t>Charles De Kerchovelaan</t>
  </si>
  <si>
    <t>Van den bergh, Bieke</t>
  </si>
  <si>
    <t>11/02/1971</t>
  </si>
  <si>
    <t>De bock, Bowie</t>
  </si>
  <si>
    <t>13/12/1982</t>
  </si>
  <si>
    <t>Steendam</t>
  </si>
  <si>
    <t>Lauwers, Angéline</t>
  </si>
  <si>
    <t>10/12/1992</t>
  </si>
  <si>
    <t>Jacob Van Arteveldestraat</t>
  </si>
  <si>
    <t>Marchal, Thiago</t>
  </si>
  <si>
    <t>21/08/2004</t>
  </si>
  <si>
    <t>Ramen</t>
  </si>
  <si>
    <t>Bodart, Christelle</t>
  </si>
  <si>
    <t>20/02/1985</t>
  </si>
  <si>
    <t>Evergemsesteenweg</t>
  </si>
  <si>
    <t>Boulanger, Thierry</t>
  </si>
  <si>
    <t>15/09/1993</t>
  </si>
  <si>
    <t>Ridderstraat</t>
  </si>
  <si>
    <t>Wouters, Josianne</t>
  </si>
  <si>
    <t>03/08/1970</t>
  </si>
  <si>
    <t>Singel</t>
  </si>
  <si>
    <t>Willems, Maria</t>
  </si>
  <si>
    <t>13/11/1982</t>
  </si>
  <si>
    <t>Begijnhoflaan</t>
  </si>
  <si>
    <t>Van den bergh, Alfons</t>
  </si>
  <si>
    <t>06/10/1991</t>
  </si>
  <si>
    <t>Kikvortstraat</t>
  </si>
  <si>
    <t>Van looy, Hicham</t>
  </si>
  <si>
    <t>16/09/1979</t>
  </si>
  <si>
    <t>Akkerhage</t>
  </si>
  <si>
    <t>Parmentier, Ediz</t>
  </si>
  <si>
    <t>22/06/1996</t>
  </si>
  <si>
    <t>Huyghe, Liam</t>
  </si>
  <si>
    <t>13/06/1950</t>
  </si>
  <si>
    <t>Sint Pietersaalstraat</t>
  </si>
  <si>
    <t>Willems, Albertus</t>
  </si>
  <si>
    <t>15/06/2003</t>
  </si>
  <si>
    <t>Oscar De Reusestraat</t>
  </si>
  <si>
    <t>Segers, Bart</t>
  </si>
  <si>
    <t>07/09/1973</t>
  </si>
  <si>
    <t>New-yorkstraat</t>
  </si>
  <si>
    <t>Claes, Dona</t>
  </si>
  <si>
    <t>18/11/1978</t>
  </si>
  <si>
    <t>Reynders, Tom</t>
  </si>
  <si>
    <t>09/03/1962</t>
  </si>
  <si>
    <t>Kammerstraat</t>
  </si>
  <si>
    <t>Dubois, Julien</t>
  </si>
  <si>
    <t>10/05/1986</t>
  </si>
  <si>
    <t>Delfosse, Maria</t>
  </si>
  <si>
    <t>03/11/1980</t>
  </si>
  <si>
    <t>Sint-michielsplein</t>
  </si>
  <si>
    <t>Deprez, Lou</t>
  </si>
  <si>
    <t>13/12/1985</t>
  </si>
  <si>
    <t>Vandevelde, Karolien</t>
  </si>
  <si>
    <t>20/10/1971</t>
  </si>
  <si>
    <t>Van den bossche, André</t>
  </si>
  <si>
    <t>06/11/1964</t>
  </si>
  <si>
    <t>Einde Were</t>
  </si>
  <si>
    <t>Meert, Youri</t>
  </si>
  <si>
    <t>18/11/1998</t>
  </si>
  <si>
    <t>Andries, Jochem</t>
  </si>
  <si>
    <t>04/06/1959</t>
  </si>
  <si>
    <t>Thomas, Lilian</t>
  </si>
  <si>
    <t>05/06/1997</t>
  </si>
  <si>
    <t>Bredestraat</t>
  </si>
  <si>
    <t>Bracke, Féline</t>
  </si>
  <si>
    <t>13/06/1952</t>
  </si>
  <si>
    <t>Hoefslagstraatje</t>
  </si>
  <si>
    <t>Pieters, Athanasios</t>
  </si>
  <si>
    <t>30/07/1956</t>
  </si>
  <si>
    <t>Dikkelindestraat</t>
  </si>
  <si>
    <t>Hubert, Hemanth</t>
  </si>
  <si>
    <t>03/09/1947</t>
  </si>
  <si>
    <t>Eekhout</t>
  </si>
  <si>
    <t>Bogaert, Romi</t>
  </si>
  <si>
    <t>12/08/1991</t>
  </si>
  <si>
    <t>Collard, Amine</t>
  </si>
  <si>
    <t>13/10/1999</t>
  </si>
  <si>
    <t>Krijgslaan</t>
  </si>
  <si>
    <t>Dumont, Tolga</t>
  </si>
  <si>
    <t>19/10/1966</t>
  </si>
  <si>
    <t>Claes, Amine</t>
  </si>
  <si>
    <t>19/12/1984</t>
  </si>
  <si>
    <t>Keizer Karelstraat</t>
  </si>
  <si>
    <t>Govaerts, Suzanne</t>
  </si>
  <si>
    <t>16/05/1976</t>
  </si>
  <si>
    <t>Meerseniersstraat</t>
  </si>
  <si>
    <t>Lievens, Quentin</t>
  </si>
  <si>
    <t>12/04/1970</t>
  </si>
  <si>
    <t>Rozier</t>
  </si>
  <si>
    <t>De keyser, Hervé</t>
  </si>
  <si>
    <t>07/12/1975</t>
  </si>
  <si>
    <t>Dubois, Nadir</t>
  </si>
  <si>
    <t>08/11/1993</t>
  </si>
  <si>
    <t>Guillaume, Nadine</t>
  </si>
  <si>
    <t>23/01/1995</t>
  </si>
  <si>
    <t>Oudenaardsesteenweg</t>
  </si>
  <si>
    <t>Lambrechts, Nicolas</t>
  </si>
  <si>
    <t>17/12/1952</t>
  </si>
  <si>
    <t>Sint-pietersaalststraat</t>
  </si>
  <si>
    <t>Verbeke, Galina</t>
  </si>
  <si>
    <t>18/06/1968</t>
  </si>
  <si>
    <t>Van dijck, Perrine</t>
  </si>
  <si>
    <t>31/10/1995</t>
  </si>
  <si>
    <t>Mariakerksesteenweg</t>
  </si>
  <si>
    <t>Geens, Selena</t>
  </si>
  <si>
    <t>15/09/1955</t>
  </si>
  <si>
    <t>Maes, Juan</t>
  </si>
  <si>
    <t>30/07/1952</t>
  </si>
  <si>
    <t>Goudenleeuwplein</t>
  </si>
  <si>
    <t>Geens, Roman</t>
  </si>
  <si>
    <t>17/07/1955</t>
  </si>
  <si>
    <t>Nieuwevaart</t>
  </si>
  <si>
    <t>Dewulf, Conny</t>
  </si>
  <si>
    <t>15/03/1979</t>
  </si>
  <si>
    <t>Baudelokaai</t>
  </si>
  <si>
    <t>Vanderheyden, Clara</t>
  </si>
  <si>
    <t>20/11/1969</t>
  </si>
  <si>
    <t>Notenstraat</t>
  </si>
  <si>
    <t>Vanneste, Camelia</t>
  </si>
  <si>
    <t>29/09/1979</t>
  </si>
  <si>
    <t>Koningin Fabiolalaan</t>
  </si>
  <si>
    <t>Aerts, Jari</t>
  </si>
  <si>
    <t>14/04/1985</t>
  </si>
  <si>
    <t>Sterckx, Hugo</t>
  </si>
  <si>
    <t>09/07/1997</t>
  </si>
  <si>
    <t>Congreslaan</t>
  </si>
  <si>
    <t>Moens, Sonja</t>
  </si>
  <si>
    <t>27/06/1948</t>
  </si>
  <si>
    <t>Frans Uyttenhovestraat</t>
  </si>
  <si>
    <t>Wauters, Mathis</t>
  </si>
  <si>
    <t>01/06/2004</t>
  </si>
  <si>
    <t>Wuyts, Quinten</t>
  </si>
  <si>
    <t>30/07/2006</t>
  </si>
  <si>
    <t>Savaanstraat</t>
  </si>
  <si>
    <t>Noel, Lex</t>
  </si>
  <si>
    <t>11/08/1985</t>
  </si>
  <si>
    <t>Edmond Van Beverenplein / Myosotisstraat</t>
  </si>
  <si>
    <t>De paepe, Julien</t>
  </si>
  <si>
    <t>28/02/1958</t>
  </si>
  <si>
    <t>Goethals, Victor</t>
  </si>
  <si>
    <t>01/09/1981</t>
  </si>
  <si>
    <t>Groenehoekstraat</t>
  </si>
  <si>
    <t>Vermeersch, David</t>
  </si>
  <si>
    <t>01/06/1975</t>
  </si>
  <si>
    <t>Varenstraat</t>
  </si>
  <si>
    <t>Swinnen, Christel</t>
  </si>
  <si>
    <t>01/08/2000</t>
  </si>
  <si>
    <t>Koninging Elisabethlaan</t>
  </si>
  <si>
    <t>Lefevre, Naïm</t>
  </si>
  <si>
    <t>25/02/1969</t>
  </si>
  <si>
    <t>Meerkoetlaan</t>
  </si>
  <si>
    <t>Lemmens, Bilal</t>
  </si>
  <si>
    <t>30/10/1964</t>
  </si>
  <si>
    <t>Van de velde, Marc</t>
  </si>
  <si>
    <t>20/01/1948</t>
  </si>
  <si>
    <t>Gaston Crommenlaan</t>
  </si>
  <si>
    <t>Bosmans, Joseph</t>
  </si>
  <si>
    <t>06/09/1998</t>
  </si>
  <si>
    <t>Jan Baptist Davidstraat</t>
  </si>
  <si>
    <t>Bosmans, Anne</t>
  </si>
  <si>
    <t>03/03/1986</t>
  </si>
  <si>
    <t>Coupure Links</t>
  </si>
  <si>
    <t>Peters, Mustafa</t>
  </si>
  <si>
    <t>01/11/1964</t>
  </si>
  <si>
    <t>Loofblommestraat</t>
  </si>
  <si>
    <t>Toussaint, Saïda</t>
  </si>
  <si>
    <t>Overzet</t>
  </si>
  <si>
    <t>Janssen, Sienna</t>
  </si>
  <si>
    <t>18/03/2004</t>
  </si>
  <si>
    <t>Sassekaai</t>
  </si>
  <si>
    <t>Etienne, Jule</t>
  </si>
  <si>
    <t>11/01/2001</t>
  </si>
  <si>
    <t>Rodekoningstraat</t>
  </si>
  <si>
    <t>Declercq, Elene</t>
  </si>
  <si>
    <t>21/03/2000</t>
  </si>
  <si>
    <t>Michiels, Sandra</t>
  </si>
  <si>
    <t>25/05/2002</t>
  </si>
  <si>
    <t>Edmond Helderweirdtstraat</t>
  </si>
  <si>
    <t>Janssens, Philippe</t>
  </si>
  <si>
    <t>04/10/1954</t>
  </si>
  <si>
    <t>Denis, Henri</t>
  </si>
  <si>
    <t>03/09/1960</t>
  </si>
  <si>
    <t>Franklin Rooseveltlaan</t>
  </si>
  <si>
    <t>Janssens, Seppe</t>
  </si>
  <si>
    <t>10/01/1955</t>
  </si>
  <si>
    <t>Tweebruggenstraat</t>
  </si>
  <si>
    <t>Janssens, Eddy</t>
  </si>
  <si>
    <t>12/06/1958</t>
  </si>
  <si>
    <t>Eekhoutdriesstraat</t>
  </si>
  <si>
    <t>Beckers, Freddy</t>
  </si>
  <si>
    <t>26/04/2001</t>
  </si>
  <si>
    <t>De bie, Pauline</t>
  </si>
  <si>
    <t>20/02/2004</t>
  </si>
  <si>
    <t>Vandewalle, Martine</t>
  </si>
  <si>
    <t>22/02/1953</t>
  </si>
  <si>
    <t>Luxemburgstraat</t>
  </si>
  <si>
    <t>Andries, Marilou</t>
  </si>
  <si>
    <t>30/01/1953</t>
  </si>
  <si>
    <t>Gentsesteenweg</t>
  </si>
  <si>
    <t>Gielen, Jonathan</t>
  </si>
  <si>
    <t>19/05/1983</t>
  </si>
  <si>
    <t>Lacroix, An</t>
  </si>
  <si>
    <t>15/02/1951</t>
  </si>
  <si>
    <t>Verhulst, Wilma</t>
  </si>
  <si>
    <t>20/07/1956</t>
  </si>
  <si>
    <t>Langerbruggekaai</t>
  </si>
  <si>
    <t>Van den eynde, Alessandro</t>
  </si>
  <si>
    <t>12/09/1994</t>
  </si>
  <si>
    <t>Nieuwerkerken</t>
  </si>
  <si>
    <t>Tanghe, Jennifer</t>
  </si>
  <si>
    <t>20/06/1998</t>
  </si>
  <si>
    <t>Borremans, Angélique</t>
  </si>
  <si>
    <t>15/09/1964</t>
  </si>
  <si>
    <t>Mertens, Gertrude</t>
  </si>
  <si>
    <t>27/10/1957</t>
  </si>
  <si>
    <t>Lambert, Marc</t>
  </si>
  <si>
    <t>30/10/2001</t>
  </si>
  <si>
    <t>Alfons Van Den Broeckstraat</t>
  </si>
  <si>
    <t>Nijs, Joris</t>
  </si>
  <si>
    <t>18/04/1952</t>
  </si>
  <si>
    <t>Claes, Mark</t>
  </si>
  <si>
    <t>19/04/1970</t>
  </si>
  <si>
    <t>Gentbruggeplein</t>
  </si>
  <si>
    <t>Nijs, Kaat</t>
  </si>
  <si>
    <t>18/08/1996</t>
  </si>
  <si>
    <t>Emiel Lossystraat</t>
  </si>
  <si>
    <t>Van hoof, Pascal</t>
  </si>
  <si>
    <t>16/08/2005</t>
  </si>
  <si>
    <t>Henri Farmanstraat</t>
  </si>
  <si>
    <t>Joris, Hans</t>
  </si>
  <si>
    <t>19/05/1951</t>
  </si>
  <si>
    <t>Lindenlei</t>
  </si>
  <si>
    <t>Mortier, Jérôme</t>
  </si>
  <si>
    <t>28/11/1972</t>
  </si>
  <si>
    <t>Gerard, Elisabeth</t>
  </si>
  <si>
    <t>07/07/1972</t>
  </si>
  <si>
    <t>Gentbruggestraat</t>
  </si>
  <si>
    <t>Goossens, Senne</t>
  </si>
  <si>
    <t>14/01/1971</t>
  </si>
  <si>
    <t>Visserij</t>
  </si>
  <si>
    <t>Van den bossche, Yohanes</t>
  </si>
  <si>
    <t>14/02/1986</t>
  </si>
  <si>
    <t>Wellens, Miguel</t>
  </si>
  <si>
    <t>10/11/1979</t>
  </si>
  <si>
    <t>Hieveldstraat</t>
  </si>
  <si>
    <t>Willems, Daniel</t>
  </si>
  <si>
    <t>06/03/1968</t>
  </si>
  <si>
    <t>Rozemarijnstraat</t>
  </si>
  <si>
    <t>Cools, Alessandro</t>
  </si>
  <si>
    <t>02/02/1985</t>
  </si>
  <si>
    <t>Janssens, Sarah</t>
  </si>
  <si>
    <t>30/09/1985</t>
  </si>
  <si>
    <t>Frans Louwersstraat</t>
  </si>
  <si>
    <t>Vermeire, Véronique</t>
  </si>
  <si>
    <t>10/03/1968</t>
  </si>
  <si>
    <t>Van de voorde, Roxane</t>
  </si>
  <si>
    <t>21/05/1981</t>
  </si>
  <si>
    <t>Sint-jacobsnieuwstraat</t>
  </si>
  <si>
    <t>Hermans, Ionu</t>
  </si>
  <si>
    <t>11/02/1949</t>
  </si>
  <si>
    <t>Weefselstraat</t>
  </si>
  <si>
    <t>Georges, Fanchon</t>
  </si>
  <si>
    <t>17/03/1999</t>
  </si>
  <si>
    <t>Mageleinstraat</t>
  </si>
  <si>
    <t>Jacobs, Toni</t>
  </si>
  <si>
    <t>05/05/1968</t>
  </si>
  <si>
    <t>Bennesteeg</t>
  </si>
  <si>
    <t>Pieters, Christine</t>
  </si>
  <si>
    <t>19/06/1965</t>
  </si>
  <si>
    <t>Baudelostraat</t>
  </si>
  <si>
    <t>Collignon, Francine</t>
  </si>
  <si>
    <t>26/03/1985</t>
  </si>
  <si>
    <t>Voldersstraat</t>
  </si>
  <si>
    <t>Raes, Nuray</t>
  </si>
  <si>
    <t>18/05/1961</t>
  </si>
  <si>
    <t>Laurent, Bleona</t>
  </si>
  <si>
    <t>11/03/1949</t>
  </si>
  <si>
    <t>Houtjen</t>
  </si>
  <si>
    <t>Michiels, Mila</t>
  </si>
  <si>
    <t>15/05/1968</t>
  </si>
  <si>
    <t>Heylen, Brandon</t>
  </si>
  <si>
    <t>14/12/1985</t>
  </si>
  <si>
    <t>Werkhuizenstraat</t>
  </si>
  <si>
    <t>Hubert, Elodie</t>
  </si>
  <si>
    <t>15/03/1983</t>
  </si>
  <si>
    <t>Kwaadmechelen</t>
  </si>
  <si>
    <t>Wuyts, Jordi</t>
  </si>
  <si>
    <t>13/01/1970</t>
  </si>
  <si>
    <t>Kartuizerlaan</t>
  </si>
  <si>
    <t>Gilson, Abdelkrim</t>
  </si>
  <si>
    <t>28/07/2006</t>
  </si>
  <si>
    <t>Vogelzang</t>
  </si>
  <si>
    <t>Van acker, Henri</t>
  </si>
  <si>
    <t>08/01/1957</t>
  </si>
  <si>
    <t>Port Arthurlaan</t>
  </si>
  <si>
    <t>Wouters, Pierre</t>
  </si>
  <si>
    <t>11/07/2004</t>
  </si>
  <si>
    <t>Vliegtuiglaan</t>
  </si>
  <si>
    <t>Van hove, Gabriel</t>
  </si>
  <si>
    <t>16/01/1981</t>
  </si>
  <si>
    <t>Van den broeck, Manon</t>
  </si>
  <si>
    <t>05/12/1956</t>
  </si>
  <si>
    <t>Verstraeten, Ewelina</t>
  </si>
  <si>
    <t>19/10/2000</t>
  </si>
  <si>
    <t>Bertha Boonantsstraat</t>
  </si>
  <si>
    <t>Poncelet, Juliette</t>
  </si>
  <si>
    <t>11/12/1956</t>
  </si>
  <si>
    <t>David, Monique</t>
  </si>
  <si>
    <t>15/02/1987</t>
  </si>
  <si>
    <t>Warmoezeniersweg</t>
  </si>
  <si>
    <t>Guillaume, Saskia</t>
  </si>
  <si>
    <t>06/12/1988</t>
  </si>
  <si>
    <t>Oktrooiplein</t>
  </si>
  <si>
    <t>De bruyne, Angela</t>
  </si>
  <si>
    <t>28/10/1945</t>
  </si>
  <si>
    <t>Fontaine, Ingrid</t>
  </si>
  <si>
    <t>09/03/1981</t>
  </si>
  <si>
    <t>Huysmans, Tiffany</t>
  </si>
  <si>
    <t>01/07/2006</t>
  </si>
  <si>
    <t>Bagattenstraat</t>
  </si>
  <si>
    <t>Bosmans, Eddy</t>
  </si>
  <si>
    <t>26/07/1968</t>
  </si>
  <si>
    <t>Penitentenstraat</t>
  </si>
  <si>
    <t>Bodson, Stefanie</t>
  </si>
  <si>
    <t>09/05/1994</t>
  </si>
  <si>
    <t>Bernard, Rosaria</t>
  </si>
  <si>
    <t>20/03/1945</t>
  </si>
  <si>
    <t>Gillet, Ellen</t>
  </si>
  <si>
    <t>30/12/1987</t>
  </si>
  <si>
    <t>Collard, Patrick</t>
  </si>
  <si>
    <t>02/02/1983</t>
  </si>
  <si>
    <t>Oudewee</t>
  </si>
  <si>
    <t>Willems, Souad</t>
  </si>
  <si>
    <t>01/08/1965</t>
  </si>
  <si>
    <t>Peeters, Philippe</t>
  </si>
  <si>
    <t>13/11/1959</t>
  </si>
  <si>
    <t>Cyriel Buyssestraat</t>
  </si>
  <si>
    <t>Vandeputte, Chloé</t>
  </si>
  <si>
    <t>23/03/1947</t>
  </si>
  <si>
    <t>De laet, Tommy</t>
  </si>
  <si>
    <t>09/06/1957</t>
  </si>
  <si>
    <t>Denis, Priscilla</t>
  </si>
  <si>
    <t>22/04/2004</t>
  </si>
  <si>
    <t>Papegaaistraat</t>
  </si>
  <si>
    <t>Dubois, Yüksel</t>
  </si>
  <si>
    <t>05/01/2005</t>
  </si>
  <si>
    <t>Rooigemlaan</t>
  </si>
  <si>
    <t>De waele, Kwai</t>
  </si>
  <si>
    <t>30/10/1959</t>
  </si>
  <si>
    <t>Skaldenstraat</t>
  </si>
  <si>
    <t>Mertens, Christiane</t>
  </si>
  <si>
    <t>29/10/1979</t>
  </si>
  <si>
    <t>Mail</t>
  </si>
  <si>
    <t>Swinnen, Jozef</t>
  </si>
  <si>
    <t>09/04/1973</t>
  </si>
  <si>
    <t>Predikherenlei</t>
  </si>
  <si>
    <t>Dujardin, Jacqueline</t>
  </si>
  <si>
    <t>09/06/1999</t>
  </si>
  <si>
    <t>Huybrechts, Françoise</t>
  </si>
  <si>
    <t>27/01/1971</t>
  </si>
  <si>
    <t>Herk-de-Stad</t>
  </si>
  <si>
    <t>Libert, Godelieve</t>
  </si>
  <si>
    <t>17/09/1968</t>
  </si>
  <si>
    <t>Ketshage</t>
  </si>
  <si>
    <t>Vaes, Dirk</t>
  </si>
  <si>
    <t>25/03/1947</t>
  </si>
  <si>
    <t>Van den bosch, Céline</t>
  </si>
  <si>
    <t>09/02/1986</t>
  </si>
  <si>
    <t>Jozef Kluyskensstraat</t>
  </si>
  <si>
    <t>De ridder, Mohamed</t>
  </si>
  <si>
    <t>21/05/1945</t>
  </si>
  <si>
    <t>Coomansheide</t>
  </si>
  <si>
    <t>Dubois, Joseline</t>
  </si>
  <si>
    <t>31/12/1953</t>
  </si>
  <si>
    <t>Eliane Vogel-polskypad</t>
  </si>
  <si>
    <t>Joris, Jacqueline</t>
  </si>
  <si>
    <t>17/05/1957</t>
  </si>
  <si>
    <t>Coppens, Rita</t>
  </si>
  <si>
    <t>29/09/1945</t>
  </si>
  <si>
    <t>Pantserschipstraat</t>
  </si>
  <si>
    <t>Toussaint, Francine</t>
  </si>
  <si>
    <t>23/09/1992</t>
  </si>
  <si>
    <t>Gillet, Eléonore</t>
  </si>
  <si>
    <t>22/11/2002</t>
  </si>
  <si>
    <t>Ebergiste De Deynestraat</t>
  </si>
  <si>
    <t>Hendrickx, Willy</t>
  </si>
  <si>
    <t>28/10/1965</t>
  </si>
  <si>
    <t>Jacques, Fanny</t>
  </si>
  <si>
    <t>07/04/1977</t>
  </si>
  <si>
    <t>Delfosse, Nancy</t>
  </si>
  <si>
    <t>31/03/1999</t>
  </si>
  <si>
    <t>Sparrestraat</t>
  </si>
  <si>
    <t>Lievens, Gunther</t>
  </si>
  <si>
    <t>22/06/1951</t>
  </si>
  <si>
    <t>Rijsenbergstraat</t>
  </si>
  <si>
    <t>Stevens, Sandra</t>
  </si>
  <si>
    <t>23/07/1953</t>
  </si>
  <si>
    <t>Muizelstraat</t>
  </si>
  <si>
    <t>Luyckx, Arunkumar</t>
  </si>
  <si>
    <t>07/06/1971</t>
  </si>
  <si>
    <t>Peeters, Thierry</t>
  </si>
  <si>
    <t>21/08/1961</t>
  </si>
  <si>
    <t>Proeftuinstraat</t>
  </si>
  <si>
    <t>De bie, Magalie</t>
  </si>
  <si>
    <t>08/07/1994</t>
  </si>
  <si>
    <t>Martin, Lukman</t>
  </si>
  <si>
    <t>27/03/1962</t>
  </si>
  <si>
    <t>Stapelplein</t>
  </si>
  <si>
    <t>Vervoort, Josianne</t>
  </si>
  <si>
    <t>26/06/1979</t>
  </si>
  <si>
    <t>Prinses Clementinalaan</t>
  </si>
  <si>
    <t>Peeters, Peter</t>
  </si>
  <si>
    <t>26/08/1977</t>
  </si>
  <si>
    <t>Jan Breydelstraat</t>
  </si>
  <si>
    <t>Daniels, Asma</t>
  </si>
  <si>
    <t>09/05/1966</t>
  </si>
  <si>
    <t>Martin, Luc</t>
  </si>
  <si>
    <t>21/11/1978</t>
  </si>
  <si>
    <t>Kleine Gentstraat</t>
  </si>
  <si>
    <t>Stevens, Walid</t>
  </si>
  <si>
    <t>31/08/1955</t>
  </si>
  <si>
    <t>Steenakker</t>
  </si>
  <si>
    <t>De bruyne, Giuseppe</t>
  </si>
  <si>
    <t>09/01/1946</t>
  </si>
  <si>
    <t>Citadellaan</t>
  </si>
  <si>
    <t>Huybrechts, Navdeep</t>
  </si>
  <si>
    <t>28/10/1955</t>
  </si>
  <si>
    <t>Brusselsepoortstraat</t>
  </si>
  <si>
    <t>De roeck, Sophie</t>
  </si>
  <si>
    <t>06/04/1980</t>
  </si>
  <si>
    <t>Van damme, Nathanael</t>
  </si>
  <si>
    <t>18/07/1992</t>
  </si>
  <si>
    <t>Smet, Arzu</t>
  </si>
  <si>
    <t>10/08/1988</t>
  </si>
  <si>
    <t>Kuiperskaai</t>
  </si>
  <si>
    <t>Thys, Robert-Marian</t>
  </si>
  <si>
    <t>29/11/1987</t>
  </si>
  <si>
    <t>Dewulf, Peggy</t>
  </si>
  <si>
    <t>12/11/1995</t>
  </si>
  <si>
    <t>Pauwels, Fabienne</t>
  </si>
  <si>
    <t>14/12/1971</t>
  </si>
  <si>
    <t>Koestraat</t>
  </si>
  <si>
    <t>Garcia, Jeanne</t>
  </si>
  <si>
    <t>06/04/1988</t>
  </si>
  <si>
    <t>Sint-bernadestraat</t>
  </si>
  <si>
    <t>Dumont, Suzie</t>
  </si>
  <si>
    <t>14/10/1959</t>
  </si>
  <si>
    <t>St Kristoffelstraat</t>
  </si>
  <si>
    <t>Bogaert, Francis</t>
  </si>
  <si>
    <t>30/11/1992</t>
  </si>
  <si>
    <t>De bock, Meindert</t>
  </si>
  <si>
    <t>10/08/2002</t>
  </si>
  <si>
    <t>Foreestelaan</t>
  </si>
  <si>
    <t>Vermeulen, Gaetan</t>
  </si>
  <si>
    <t>01/02/1986</t>
  </si>
  <si>
    <t>David, Kristel</t>
  </si>
  <si>
    <t>22/10/1984</t>
  </si>
  <si>
    <t>Cornelis, Samuel</t>
  </si>
  <si>
    <t>03/10/1961</t>
  </si>
  <si>
    <t>Peeters, Eva</t>
  </si>
  <si>
    <t>11/08/2002</t>
  </si>
  <si>
    <t>Koningin Astridlaan</t>
  </si>
  <si>
    <t>Smits, Erwan</t>
  </si>
  <si>
    <t>12/11/1962</t>
  </si>
  <si>
    <t>Willems, Esteban</t>
  </si>
  <si>
    <t>10/11/1956</t>
  </si>
  <si>
    <t>Peerstraat</t>
  </si>
  <si>
    <t>Van den eynde, Rita</t>
  </si>
  <si>
    <t>15/12/1978</t>
  </si>
  <si>
    <t>Van driessche, Gaspard</t>
  </si>
  <si>
    <t>17/06/2002</t>
  </si>
  <si>
    <t>Bastin, Adrien</t>
  </si>
  <si>
    <t>14/05/1997</t>
  </si>
  <si>
    <t>Belfortstraat</t>
  </si>
  <si>
    <t>Houben, Jessica</t>
  </si>
  <si>
    <t>23/02/1948</t>
  </si>
  <si>
    <t>Baert, Giuseppina</t>
  </si>
  <si>
    <t>17/09/1966</t>
  </si>
  <si>
    <t>J.b. De Ghellincklaan</t>
  </si>
  <si>
    <t>Daniels, Lucrèce</t>
  </si>
  <si>
    <t>05/04/1957</t>
  </si>
  <si>
    <t>Scheepzatestraat</t>
  </si>
  <si>
    <t>Vervoort, Florian</t>
  </si>
  <si>
    <t>Wouters, Gisèle</t>
  </si>
  <si>
    <t>04/07/1984</t>
  </si>
  <si>
    <t>Denis, Caitlin</t>
  </si>
  <si>
    <t>19/03/1949</t>
  </si>
  <si>
    <t>Keuze</t>
  </si>
  <si>
    <t>Mertens, Françoise</t>
  </si>
  <si>
    <t>17/01/1973</t>
  </si>
  <si>
    <t>Dumont, Maël</t>
  </si>
  <si>
    <t>Zwijnaardesteenweg</t>
  </si>
  <si>
    <t>De jonghe, Lena</t>
  </si>
  <si>
    <t>03/12/1965</t>
  </si>
  <si>
    <t>Lindestuk</t>
  </si>
  <si>
    <t>Aerts, Marie-Thérèse</t>
  </si>
  <si>
    <t>28/02/1954</t>
  </si>
  <si>
    <t>Van den brande, Salwa</t>
  </si>
  <si>
    <t>22/04/1998</t>
  </si>
  <si>
    <t>De roeck, Charle</t>
  </si>
  <si>
    <t>20/08/1950</t>
  </si>
  <si>
    <t>Maria Theresiastraat</t>
  </si>
  <si>
    <t>Van de velde, Tijs</t>
  </si>
  <si>
    <t>07/12/1982</t>
  </si>
  <si>
    <t>Lacroix, Liliane</t>
  </si>
  <si>
    <t>29/07/1945</t>
  </si>
  <si>
    <t>Van den broeck, Anaïs</t>
  </si>
  <si>
    <t>14/06/1951</t>
  </si>
  <si>
    <t>Morelstraat</t>
  </si>
  <si>
    <t>Collignon, Wout</t>
  </si>
  <si>
    <t>20/06/1971</t>
  </si>
  <si>
    <t>Dampoortstraat</t>
  </si>
  <si>
    <t>Hendrickx, Kris</t>
  </si>
  <si>
    <t>19/11/1987</t>
  </si>
  <si>
    <t>Varendriesstraat</t>
  </si>
  <si>
    <t>Van den broeck, Bianca</t>
  </si>
  <si>
    <t>18/08/1997</t>
  </si>
  <si>
    <t>Meulestedekaai</t>
  </si>
  <si>
    <t>Antoine, Safia</t>
  </si>
  <si>
    <t>15/12/1960</t>
  </si>
  <si>
    <t>Bijlokehof</t>
  </si>
  <si>
    <t>Brasseur, Carine</t>
  </si>
  <si>
    <t>22/11/1989</t>
  </si>
  <si>
    <t>Verbist, Virginie</t>
  </si>
  <si>
    <t>29/01/2001</t>
  </si>
  <si>
    <t>Vierhekkensstraat</t>
  </si>
  <si>
    <t>Laurent, Saskia</t>
  </si>
  <si>
    <t>07/11/1971</t>
  </si>
  <si>
    <t>Colson, Henk</t>
  </si>
  <si>
    <t>26/12/1972</t>
  </si>
  <si>
    <t>Ketelvest</t>
  </si>
  <si>
    <t>De boeck, André</t>
  </si>
  <si>
    <t>23/01/1997</t>
  </si>
  <si>
    <t>Lobeliastraat</t>
  </si>
  <si>
    <t>Temmerman, Jaro</t>
  </si>
  <si>
    <t>04/03/1972</t>
  </si>
  <si>
    <t>Nijs, Roxana</t>
  </si>
  <si>
    <t>25/12/1988</t>
  </si>
  <si>
    <t>De Pintelaan</t>
  </si>
  <si>
    <t>Thomas, Pascal</t>
  </si>
  <si>
    <t>06/06/1953</t>
  </si>
  <si>
    <t>Wildebrake</t>
  </si>
  <si>
    <t>Noel, Isabelle</t>
  </si>
  <si>
    <t>23/07/1992</t>
  </si>
  <si>
    <t>Simon, Louisa</t>
  </si>
  <si>
    <t>22/05/1995</t>
  </si>
  <si>
    <t>Wittemolenstraat</t>
  </si>
  <si>
    <t>Vandamme, Jordan</t>
  </si>
  <si>
    <t>20/08/1949</t>
  </si>
  <si>
    <t>Timmermans, Hüseyin</t>
  </si>
  <si>
    <t>28/02/1986</t>
  </si>
  <si>
    <t>Verbist, Hicham</t>
  </si>
  <si>
    <t>26/02/1979</t>
  </si>
  <si>
    <t>Lacroix, Nyendak</t>
  </si>
  <si>
    <t>06/03/1975</t>
  </si>
  <si>
    <t>De vos, Abou</t>
  </si>
  <si>
    <t>14/08/1981</t>
  </si>
  <si>
    <t>Leroy, Nicky</t>
  </si>
  <si>
    <t>13/12/1989</t>
  </si>
  <si>
    <t>Herman, Emi</t>
  </si>
  <si>
    <t>19/03/1989</t>
  </si>
  <si>
    <t>Ooms, Aouatif</t>
  </si>
  <si>
    <t>05/01/1974</t>
  </si>
  <si>
    <t>Kalandeberg</t>
  </si>
  <si>
    <t>De meyer, Lise</t>
  </si>
  <si>
    <t>14/05/1954</t>
  </si>
  <si>
    <t>Janssens, Remi</t>
  </si>
  <si>
    <t>17/01/1959</t>
  </si>
  <si>
    <t>Robert, Sebastien</t>
  </si>
  <si>
    <t>26/01/1951</t>
  </si>
  <si>
    <t>Baarledorpstraat</t>
  </si>
  <si>
    <t>Moons, Luc</t>
  </si>
  <si>
    <t>20/05/1980</t>
  </si>
  <si>
    <t>Phoenixstraat</t>
  </si>
  <si>
    <t>De meyer, Marine</t>
  </si>
  <si>
    <t>06/10/1973</t>
  </si>
  <si>
    <t>Breestraat</t>
  </si>
  <si>
    <t>Vandeputte, Sebastiano</t>
  </si>
  <si>
    <t>19/08/1970</t>
  </si>
  <si>
    <t>Lemaire, Jérémy</t>
  </si>
  <si>
    <t>01/01/1979</t>
  </si>
  <si>
    <t>Vervoort, Dave</t>
  </si>
  <si>
    <t>29/01/1954</t>
  </si>
  <si>
    <t>Meulesteedsesteenweg</t>
  </si>
  <si>
    <t>Van dyck, Marc</t>
  </si>
  <si>
    <t>04/02/1946</t>
  </si>
  <si>
    <t>Forelstraat</t>
  </si>
  <si>
    <t>Lemaire, Yana</t>
  </si>
  <si>
    <t>10/07/1958</t>
  </si>
  <si>
    <t>Gebroeders Vandeveldestraat</t>
  </si>
  <si>
    <t>Goris, Patrick</t>
  </si>
  <si>
    <t>18/09/1985</t>
  </si>
  <si>
    <t>Lostraat</t>
  </si>
  <si>
    <t>Lemaire, Isabelle</t>
  </si>
  <si>
    <t>01/02/1975</t>
  </si>
  <si>
    <t>Gaverlandstraat</t>
  </si>
  <si>
    <t>De boeck, Hedwig</t>
  </si>
  <si>
    <t>13/12/1957</t>
  </si>
  <si>
    <t>Dubois, Gibril</t>
  </si>
  <si>
    <t>10/11/1957</t>
  </si>
  <si>
    <t>Ajuinlei</t>
  </si>
  <si>
    <t>Mertens, Oussama</t>
  </si>
  <si>
    <t>01/10/1974</t>
  </si>
  <si>
    <t>Ijskelderstraat</t>
  </si>
  <si>
    <t>Maes, Aleksandr</t>
  </si>
  <si>
    <t>23/10/1970</t>
  </si>
  <si>
    <t>Merelbekestationplein</t>
  </si>
  <si>
    <t>Bernard, Hans</t>
  </si>
  <si>
    <t>Vandamme, Katleen</t>
  </si>
  <si>
    <t>25/09/2001</t>
  </si>
  <si>
    <t>Evrard, Margaux</t>
  </si>
  <si>
    <t>06/06/1982</t>
  </si>
  <si>
    <t>Hoornstraat</t>
  </si>
  <si>
    <t>Masson, Maha</t>
  </si>
  <si>
    <t>25/03/1986</t>
  </si>
  <si>
    <t>Vijfwindgatenstraat</t>
  </si>
  <si>
    <t>Petit, Camille</t>
  </si>
  <si>
    <t>14/09/1981</t>
  </si>
  <si>
    <t>Jans, Filip</t>
  </si>
  <si>
    <t>26/12/1955</t>
  </si>
  <si>
    <t>Desmet, Danielle</t>
  </si>
  <si>
    <t>08/02/1965</t>
  </si>
  <si>
    <t>Dendermondsesteenweg</t>
  </si>
  <si>
    <t>Delvaux, Elvire</t>
  </si>
  <si>
    <t>19/01/1998</t>
  </si>
  <si>
    <t>Tuinwijk Ter Heide</t>
  </si>
  <si>
    <t>Meeus, Karolien</t>
  </si>
  <si>
    <t>03/05/2002</t>
  </si>
  <si>
    <t>Francisco Ferrerlaan</t>
  </si>
  <si>
    <t>Vanderstraeten, Sacha</t>
  </si>
  <si>
    <t>26/09/1995</t>
  </si>
  <si>
    <t>Michiels, Filippa</t>
  </si>
  <si>
    <t>17/05/2000</t>
  </si>
  <si>
    <t>Alpacastraat</t>
  </si>
  <si>
    <t>Jacobs, Tibo</t>
  </si>
  <si>
    <t>22/12/1982</t>
  </si>
  <si>
    <t>Paul De Smet De Naeyerpl</t>
  </si>
  <si>
    <t>Claes, Manu</t>
  </si>
  <si>
    <t>03/04/1970</t>
  </si>
  <si>
    <t>Gerard, Bruno</t>
  </si>
  <si>
    <t>11/09/1976</t>
  </si>
  <si>
    <t>Verheyen, Pascale</t>
  </si>
  <si>
    <t>Patershol-plotersgracht</t>
  </si>
  <si>
    <t>Cornelis, Anne-Marie</t>
  </si>
  <si>
    <t>07/02/1970</t>
  </si>
  <si>
    <t>Van den bergh, Sunay</t>
  </si>
  <si>
    <t>25/02/1989</t>
  </si>
  <si>
    <t>Moreau, Steven</t>
  </si>
  <si>
    <t>27/03/1946</t>
  </si>
  <si>
    <t>Stropstraat</t>
  </si>
  <si>
    <t>Bernard, Viviane</t>
  </si>
  <si>
    <t>27/04/1975</t>
  </si>
  <si>
    <t>Kortijksesteenweg</t>
  </si>
  <si>
    <t>Ceulemans, Nicole</t>
  </si>
  <si>
    <t>29/11/1981</t>
  </si>
  <si>
    <t>Markt</t>
  </si>
  <si>
    <t>Thomas, Gaston</t>
  </si>
  <si>
    <t>24/03/1986</t>
  </si>
  <si>
    <t>De cock, Daniel</t>
  </si>
  <si>
    <t>26/06/1945</t>
  </si>
  <si>
    <t>Bomastraat</t>
  </si>
  <si>
    <t>Lemaire, Sarah</t>
  </si>
  <si>
    <t>26/09/1961</t>
  </si>
  <si>
    <t>Jacques, Rudolf</t>
  </si>
  <si>
    <t>11/04/1956</t>
  </si>
  <si>
    <t>Weverstraat</t>
  </si>
  <si>
    <t>Aerts, Maddalena</t>
  </si>
  <si>
    <t>01/09/1998</t>
  </si>
  <si>
    <t>Verbeke, Mariam</t>
  </si>
  <si>
    <t>01/08/1946</t>
  </si>
  <si>
    <t>Kerkstraat</t>
  </si>
  <si>
    <t>Verheyen, Daan</t>
  </si>
  <si>
    <t>25/01/1995</t>
  </si>
  <si>
    <t>De cock, Kadiatou</t>
  </si>
  <si>
    <t>15/09/1982</t>
  </si>
  <si>
    <t>Petit, Myrthe</t>
  </si>
  <si>
    <t>22/11/1981</t>
  </si>
  <si>
    <t>Sint-dionysiusstraat</t>
  </si>
  <si>
    <t>Renard, Yannick</t>
  </si>
  <si>
    <t>03/06/1951</t>
  </si>
  <si>
    <t>Deinse Horsweg</t>
  </si>
  <si>
    <t>De moor, Pierre</t>
  </si>
  <si>
    <t>20/09/2005</t>
  </si>
  <si>
    <t>Begoniastraat</t>
  </si>
  <si>
    <t>Vanneste, Ary</t>
  </si>
  <si>
    <t>18/09/2003</t>
  </si>
  <si>
    <t>De clerck, Vienna</t>
  </si>
  <si>
    <t>09/11/1992</t>
  </si>
  <si>
    <t>Meersstraat</t>
  </si>
  <si>
    <t>Vervoort, Barbara</t>
  </si>
  <si>
    <t>07/10/2006</t>
  </si>
  <si>
    <t>Dubois, Garyfalia</t>
  </si>
  <si>
    <t>28/06/2006</t>
  </si>
  <si>
    <t>Dewulf, Frank</t>
  </si>
  <si>
    <t>11/01/1984</t>
  </si>
  <si>
    <t>Muinkkaai</t>
  </si>
  <si>
    <t>Vandenbroucke, Emeline</t>
  </si>
  <si>
    <t>23/09/1955</t>
  </si>
  <si>
    <t>Lemmens, Audrey</t>
  </si>
  <si>
    <t>24/09/1989</t>
  </si>
  <si>
    <t>Pleitstraat</t>
  </si>
  <si>
    <t>Vandenberghe, Sam</t>
  </si>
  <si>
    <t>07/02/1962</t>
  </si>
  <si>
    <t>Florbertusstraat</t>
  </si>
  <si>
    <t>Dethier, Etienne</t>
  </si>
  <si>
    <t>28/01/1989</t>
  </si>
  <si>
    <t>H. Frère Orbanlaan</t>
  </si>
  <si>
    <t>Bosmans, Florian</t>
  </si>
  <si>
    <t>26/09/1945</t>
  </si>
  <si>
    <t>Dethier, Martin</t>
  </si>
  <si>
    <t>05/09/1995</t>
  </si>
  <si>
    <t>Heylen, Mia</t>
  </si>
  <si>
    <t>24/08/1965</t>
  </si>
  <si>
    <t>Leys, Georges</t>
  </si>
  <si>
    <t>28/02/1970</t>
  </si>
  <si>
    <t>Ganzendries</t>
  </si>
  <si>
    <t>Bogaert, Laura</t>
  </si>
  <si>
    <t>30/12/1979</t>
  </si>
  <si>
    <t>Wauters, Jules</t>
  </si>
  <si>
    <t>11/09/2005</t>
  </si>
  <si>
    <t>Koningin Elisabethlaan</t>
  </si>
  <si>
    <t>Buelens, Simon</t>
  </si>
  <si>
    <t>07/10/1947</t>
  </si>
  <si>
    <t>Aerts, Aydin</t>
  </si>
  <si>
    <t>18/05/1997</t>
  </si>
  <si>
    <t>Gentstraat</t>
  </si>
  <si>
    <t>Maertens, Maria</t>
  </si>
  <si>
    <t>12/08/2006</t>
  </si>
  <si>
    <t>Michiels, Bertrande</t>
  </si>
  <si>
    <t>07/01/1975</t>
  </si>
  <si>
    <t>Molenaarsstraat</t>
  </si>
  <si>
    <t>Verhaeghe, Myriam</t>
  </si>
  <si>
    <t>05/02/1985</t>
  </si>
  <si>
    <t>Van damme, Serge</t>
  </si>
  <si>
    <t>08/02/1995</t>
  </si>
  <si>
    <t>Jakob Van Caeneghemstraat, </t>
  </si>
  <si>
    <t>Piron, Monique</t>
  </si>
  <si>
    <t>19/12/2002</t>
  </si>
  <si>
    <t>Claes, Claude</t>
  </si>
  <si>
    <t>22/11/1965</t>
  </si>
  <si>
    <t>Ivonna Nevejanstraat</t>
  </si>
  <si>
    <t>Heers</t>
  </si>
  <si>
    <t>Houben, Grazia</t>
  </si>
  <si>
    <t>24/01/1946</t>
  </si>
  <si>
    <t>Mortier, Antoine</t>
  </si>
  <si>
    <t>13/05/1964</t>
  </si>
  <si>
    <t>Wouters, Marcel</t>
  </si>
  <si>
    <t>03/04/1956</t>
  </si>
  <si>
    <t>Handbalstraat</t>
  </si>
  <si>
    <t>Vandaele, Jolanda</t>
  </si>
  <si>
    <t>27/06/1979</t>
  </si>
  <si>
    <t>Gilles, Isabelle</t>
  </si>
  <si>
    <t>05/06/1959</t>
  </si>
  <si>
    <t>Dufour, Stivan</t>
  </si>
  <si>
    <t>29/05/2000</t>
  </si>
  <si>
    <t>Noel, Sven</t>
  </si>
  <si>
    <t>25/03/1949</t>
  </si>
  <si>
    <t>Davidtenierslaan</t>
  </si>
  <si>
    <t>Pauwels, Silvère</t>
  </si>
  <si>
    <t>23/09/1974</t>
  </si>
  <si>
    <t>Kleimoer</t>
  </si>
  <si>
    <t>Bauwens, Andrée</t>
  </si>
  <si>
    <t>10/12/1957</t>
  </si>
  <si>
    <t>Bruiloftstraat</t>
  </si>
  <si>
    <t>Maes, Anthony</t>
  </si>
  <si>
    <t>21/07/1954</t>
  </si>
  <si>
    <t>Groenstraat</t>
  </si>
  <si>
    <t>Verbeke, Birgit</t>
  </si>
  <si>
    <t>01/11/1948</t>
  </si>
  <si>
    <t>Reep</t>
  </si>
  <si>
    <t>Descamps, Valerie</t>
  </si>
  <si>
    <t>17/02/1994</t>
  </si>
  <si>
    <t>Dupont, Elza</t>
  </si>
  <si>
    <t>19/09/1954</t>
  </si>
  <si>
    <t>Henegouwenstraat</t>
  </si>
  <si>
    <t>Vandevelde, Asif</t>
  </si>
  <si>
    <t>Dubois, Dany</t>
  </si>
  <si>
    <t>31/03/1946</t>
  </si>
  <si>
    <t>Evrard, Cezar</t>
  </si>
  <si>
    <t>18/11/1947</t>
  </si>
  <si>
    <t>Aerts, Wilfried</t>
  </si>
  <si>
    <t>03/03/1960</t>
  </si>
  <si>
    <t>De schepper, Thierry</t>
  </si>
  <si>
    <t>16/07/1999</t>
  </si>
  <si>
    <t>Hoogstraat</t>
  </si>
  <si>
    <t>Verschueren, Linda</t>
  </si>
  <si>
    <t>05/07/1994</t>
  </si>
  <si>
    <t>Delvaux, Danaé</t>
  </si>
  <si>
    <t>28/10/2001</t>
  </si>
  <si>
    <t>Olifantenstraat</t>
  </si>
  <si>
    <t>De moor, Bilal</t>
  </si>
  <si>
    <t>12/07/1999</t>
  </si>
  <si>
    <t>Poppe, Lyliane</t>
  </si>
  <si>
    <t>27/10/1963</t>
  </si>
  <si>
    <t>Ottogracht</t>
  </si>
  <si>
    <t>Goffin, Abdelali</t>
  </si>
  <si>
    <t>Masson, Abdelhak</t>
  </si>
  <si>
    <t>24/04/1957</t>
  </si>
  <si>
    <t>Kouter</t>
  </si>
  <si>
    <t>Dewaele, Mehdy</t>
  </si>
  <si>
    <t>25/11/1980</t>
  </si>
  <si>
    <t>Wilgetronkstraat</t>
  </si>
  <si>
    <t>Collard, Leontien</t>
  </si>
  <si>
    <t>10/12/1977</t>
  </si>
  <si>
    <t>Marchal, Marie</t>
  </si>
  <si>
    <t>16/07/1993</t>
  </si>
  <si>
    <t>Laurent, Romain</t>
  </si>
  <si>
    <t>14/10/1996</t>
  </si>
  <si>
    <t>Claes, Elif</t>
  </si>
  <si>
    <t>12/06/1987</t>
  </si>
  <si>
    <t>Bijenstraat</t>
  </si>
  <si>
    <t>Thys, Francis</t>
  </si>
  <si>
    <t>03/10/1985</t>
  </si>
  <si>
    <t>Tennisbaanstraat</t>
  </si>
  <si>
    <t>Verhaeghe, Rudy</t>
  </si>
  <si>
    <t>18/11/1951</t>
  </si>
  <si>
    <t>Meerhoutstraat</t>
  </si>
  <si>
    <t>Bernard, Cathérine</t>
  </si>
  <si>
    <t>12/04/1951</t>
  </si>
  <si>
    <t>Bekaert, Célia</t>
  </si>
  <si>
    <t>15/08/2005</t>
  </si>
  <si>
    <t>Beverhoutplein</t>
  </si>
  <si>
    <t>Hendrickx, Solayman</t>
  </si>
  <si>
    <t>12/04/1946</t>
  </si>
  <si>
    <t>Segers, Arnaldo</t>
  </si>
  <si>
    <t>27/11/2004</t>
  </si>
  <si>
    <t>Gasmeterlaan</t>
  </si>
  <si>
    <t>De witte, Aurélien</t>
  </si>
  <si>
    <t>13/05/1994</t>
  </si>
  <si>
    <t>Francois, Conny</t>
  </si>
  <si>
    <t>21/04/1983</t>
  </si>
  <si>
    <t>De cock, Edward</t>
  </si>
  <si>
    <t>11/06/1951</t>
  </si>
  <si>
    <t>Vandendriessche, Lisanne</t>
  </si>
  <si>
    <t>19/09/1996</t>
  </si>
  <si>
    <t>Sluizeken</t>
  </si>
  <si>
    <t>Mortier, Romain</t>
  </si>
  <si>
    <t>14/05/1970</t>
  </si>
  <si>
    <t>Veldstraat</t>
  </si>
  <si>
    <t>Devos, Jelle</t>
  </si>
  <si>
    <t>06/09/1952</t>
  </si>
  <si>
    <t>Oudebareelstraat</t>
  </si>
  <si>
    <t>Leclercq, Carine</t>
  </si>
  <si>
    <t>29/04/1966</t>
  </si>
  <si>
    <t>Michiels, Jenny</t>
  </si>
  <si>
    <t>11/04/1972</t>
  </si>
  <si>
    <t>Chr. Van Der Heydenlaan</t>
  </si>
  <si>
    <t>Van hoof, Maurice</t>
  </si>
  <si>
    <t>02/04/1960</t>
  </si>
  <si>
    <t>Denis, Alessandro</t>
  </si>
  <si>
    <t>06/05/1970</t>
  </si>
  <si>
    <t>Wittewalle</t>
  </si>
  <si>
    <t>Noel, Marc</t>
  </si>
  <si>
    <t>15/02/1971</t>
  </si>
  <si>
    <t>Vrijdagmarkt</t>
  </si>
  <si>
    <t>Verhoeven, Hans</t>
  </si>
  <si>
    <t>05/09/2003</t>
  </si>
  <si>
    <t>Hogeheerweg</t>
  </si>
  <si>
    <t>Jans, Karim</t>
  </si>
  <si>
    <t>20/04/1971</t>
  </si>
  <si>
    <t>Bij Sint-jacobs</t>
  </si>
  <si>
    <t>Daems, Victoria</t>
  </si>
  <si>
    <t>12/07/1962</t>
  </si>
  <si>
    <t>Stevens, Lya</t>
  </si>
  <si>
    <t>08/02/1952</t>
  </si>
  <si>
    <t>Francois, Angélique</t>
  </si>
  <si>
    <t>28/09/1997</t>
  </si>
  <si>
    <t>Casier De Ter Bekenlaan</t>
  </si>
  <si>
    <t>Verstraete, Eddy</t>
  </si>
  <si>
    <t>10/04/1998</t>
  </si>
  <si>
    <t>Grauwpoort</t>
  </si>
  <si>
    <t>Mahieu, Yassine</t>
  </si>
  <si>
    <t>27/04/1946</t>
  </si>
  <si>
    <t>Maes, Sarah</t>
  </si>
  <si>
    <t>28/04/1979</t>
  </si>
  <si>
    <t>Beckers, Carole</t>
  </si>
  <si>
    <t>17/01/1999</t>
  </si>
  <si>
    <t>De bock, Priscillia</t>
  </si>
  <si>
    <t>10/06/1953</t>
  </si>
  <si>
    <t>Lebrun, Gunther</t>
  </si>
  <si>
    <t>16/07/1952</t>
  </si>
  <si>
    <t>Wolfputstraat</t>
  </si>
  <si>
    <t>Rousseau, Sayed</t>
  </si>
  <si>
    <t>18/02/1992</t>
  </si>
  <si>
    <t>Twaalfapostelenstraat</t>
  </si>
  <si>
    <t>Verlinden, Jean</t>
  </si>
  <si>
    <t>22/03/1948</t>
  </si>
  <si>
    <t>Stas, Shannon</t>
  </si>
  <si>
    <t>30/07/1970</t>
  </si>
  <si>
    <t>Bosmans, David</t>
  </si>
  <si>
    <t>18/11/1977</t>
  </si>
  <si>
    <t>Raes, Loïc</t>
  </si>
  <si>
    <t>28/05/2005</t>
  </si>
  <si>
    <t>Coupure Rechts</t>
  </si>
  <si>
    <t>Heymans, Mohamed</t>
  </si>
  <si>
    <t>12/01/2005</t>
  </si>
  <si>
    <t>Houben, Isra</t>
  </si>
  <si>
    <t>24/02/1966</t>
  </si>
  <si>
    <t>Matthys, Camille</t>
  </si>
  <si>
    <t>29/07/1987</t>
  </si>
  <si>
    <t>Verheyen, Jarne</t>
  </si>
  <si>
    <t>23/11/1958</t>
  </si>
  <si>
    <t>Hermans, Hans</t>
  </si>
  <si>
    <t>18/03/1957</t>
  </si>
  <si>
    <t>Goris, Jihad</t>
  </si>
  <si>
    <t>06/11/1955</t>
  </si>
  <si>
    <t>Destelbergenstraat</t>
  </si>
  <si>
    <t>Vermeulen, Virginie</t>
  </si>
  <si>
    <t>13/07/1965</t>
  </si>
  <si>
    <t>Langerbruggestraat</t>
  </si>
  <si>
    <t>Devos, Henri</t>
  </si>
  <si>
    <t>04/05/1987</t>
  </si>
  <si>
    <t>Bijlokevest</t>
  </si>
  <si>
    <t>Willems, Francine</t>
  </si>
  <si>
    <t>16/06/1989</t>
  </si>
  <si>
    <t>Joremaaie</t>
  </si>
  <si>
    <t>Decoster, Tjardo</t>
  </si>
  <si>
    <t>30/06/1995</t>
  </si>
  <si>
    <t>André, Nassim</t>
  </si>
  <si>
    <t>24/02/1991</t>
  </si>
  <si>
    <t>Noordstraat</t>
  </si>
  <si>
    <t>Vaes, Stéphan</t>
  </si>
  <si>
    <t>05/01/1957</t>
  </si>
  <si>
    <t>Overpoortstraat</t>
  </si>
  <si>
    <t>Familienaam</t>
  </si>
  <si>
    <t>adres</t>
  </si>
  <si>
    <t>gezinsleden</t>
  </si>
  <si>
    <t>aantal bezoeken per maand</t>
  </si>
  <si>
    <t>Tevreden_over_aanbod</t>
  </si>
  <si>
    <t>Tevreden_over_versheid</t>
  </si>
  <si>
    <t>Tevreden_over_winkelvoorraad</t>
  </si>
  <si>
    <t>Tevreden_over_wachttijden_kassa</t>
  </si>
  <si>
    <t>Tevreden_over_personeel</t>
  </si>
  <si>
    <t>Aantal gezinsleden</t>
  </si>
  <si>
    <t>Tevredenheid score</t>
  </si>
  <si>
    <t>Elfie</t>
  </si>
  <si>
    <t>De vos</t>
  </si>
  <si>
    <t>544.87301-63</t>
  </si>
  <si>
    <t>18/07/1973</t>
  </si>
  <si>
    <t>Meersstraat 61, 3840 Borgloon</t>
  </si>
  <si>
    <t>Elfie,Olga,Carl</t>
  </si>
  <si>
    <t>nee</t>
  </si>
  <si>
    <t>ja</t>
  </si>
  <si>
    <t>Lenn</t>
  </si>
  <si>
    <t>Vaes</t>
  </si>
  <si>
    <t>660.36886-10</t>
  </si>
  <si>
    <t>22/10/1957</t>
  </si>
  <si>
    <t>Merelbekestationplein 7, 3620 Lanaken</t>
  </si>
  <si>
    <t>Lenn,Jakob,Véronique</t>
  </si>
  <si>
    <t>Wendy</t>
  </si>
  <si>
    <t>Houben</t>
  </si>
  <si>
    <t>650.78215-45</t>
  </si>
  <si>
    <t>21/11/1999</t>
  </si>
  <si>
    <t>Jan Delvinlaan 37, 3800 Sint-Truiden</t>
  </si>
  <si>
    <t>Wendy,Biagio,Arthur,Vilmos,Tifany</t>
  </si>
  <si>
    <t>Jade</t>
  </si>
  <si>
    <t>Swinnen</t>
  </si>
  <si>
    <t>247.57551-14</t>
  </si>
  <si>
    <t>23/03/1996</t>
  </si>
  <si>
    <t>Bredestraat 27, 3500 Hasselt</t>
  </si>
  <si>
    <t>Jade,Amelie</t>
  </si>
  <si>
    <t>Catalina</t>
  </si>
  <si>
    <t>Janssen</t>
  </si>
  <si>
    <t>518.72078-76</t>
  </si>
  <si>
    <t>23/01/1974</t>
  </si>
  <si>
    <t>Jacob Van Arteveldestraat 10, 3930 Hamont-Achel</t>
  </si>
  <si>
    <t>Catalina,Matias</t>
  </si>
  <si>
    <t>Maria</t>
  </si>
  <si>
    <t>Dierckx</t>
  </si>
  <si>
    <t>781.97644-15</t>
  </si>
  <si>
    <t>09/08/1954</t>
  </si>
  <si>
    <t>Oudekouter 65, 3600 Genk</t>
  </si>
  <si>
    <t>Maria,Leana</t>
  </si>
  <si>
    <t>Généviève</t>
  </si>
  <si>
    <t>Heymans</t>
  </si>
  <si>
    <t>191.99640-65</t>
  </si>
  <si>
    <t>30/11/2005</t>
  </si>
  <si>
    <t>Blazoenstraat 1, 3630 Maasmechelen</t>
  </si>
  <si>
    <t>Généviève,Karel,Pascal,Tom</t>
  </si>
  <si>
    <t>Hugo</t>
  </si>
  <si>
    <t>Moreau</t>
  </si>
  <si>
    <t>753.57915-21</t>
  </si>
  <si>
    <t>20/01/1988</t>
  </si>
  <si>
    <t>Pilorijnstraat 31, 3891 Meilen</t>
  </si>
  <si>
    <t>Hugo,Cecilia</t>
  </si>
  <si>
    <t>Jozef</t>
  </si>
  <si>
    <t>Lemmens</t>
  </si>
  <si>
    <t>292.33788-95</t>
  </si>
  <si>
    <t>02/02/2000</t>
  </si>
  <si>
    <t>Voorhoutkaai 4, 3545 Halen</t>
  </si>
  <si>
    <t>Jozef,Jeff</t>
  </si>
  <si>
    <t>Jan</t>
  </si>
  <si>
    <t>Etienne</t>
  </si>
  <si>
    <t>97.23464-86</t>
  </si>
  <si>
    <t>20/07/1988</t>
  </si>
  <si>
    <t>Brugstraat 51, 3500 Hasselt</t>
  </si>
  <si>
    <t>Jan,Hatice,Maria,Youssef</t>
  </si>
  <si>
    <t>Tony</t>
  </si>
  <si>
    <t>Lecomte</t>
  </si>
  <si>
    <t>312.55101-85</t>
  </si>
  <si>
    <t>05/04/1962</t>
  </si>
  <si>
    <t>Eendrachtstraat 72, 3600 Genk</t>
  </si>
  <si>
    <t>Tony,Abdelatif,Vittorio,Boudewijn</t>
  </si>
  <si>
    <t>Ruth</t>
  </si>
  <si>
    <t>De bruyn</t>
  </si>
  <si>
    <t>164.51453-79</t>
  </si>
  <si>
    <t>26/01/1974</t>
  </si>
  <si>
    <t>Luxemburgstraat 25, 3831 Herten</t>
  </si>
  <si>
    <t>Ruth,Brigitte</t>
  </si>
  <si>
    <t>Amber</t>
  </si>
  <si>
    <t>Parmentier</t>
  </si>
  <si>
    <t>551.15584-47</t>
  </si>
  <si>
    <t>07/12/1984</t>
  </si>
  <si>
    <t>Jozef Kluyskensstraat 35, 3970 Leopoldsburg</t>
  </si>
  <si>
    <t>Amber,Leen</t>
  </si>
  <si>
    <t>Stijn</t>
  </si>
  <si>
    <t>Van den bergh</t>
  </si>
  <si>
    <t>494.28676-66</t>
  </si>
  <si>
    <t>09/05/1969</t>
  </si>
  <si>
    <t>Mageleinstraat 59, 3630 Maasmechelen</t>
  </si>
  <si>
    <t>Stijn,Diana</t>
  </si>
  <si>
    <t>Thomas</t>
  </si>
  <si>
    <t>Simons</t>
  </si>
  <si>
    <t>341.77274-78</t>
  </si>
  <si>
    <t>16/12/1980</t>
  </si>
  <si>
    <t>Oktrooiplein 29, 3700 Tongeren</t>
  </si>
  <si>
    <t>Thomas,Boas,Milagros,Kemal</t>
  </si>
  <si>
    <t>Aïcha</t>
  </si>
  <si>
    <t>Beckers</t>
  </si>
  <si>
    <t>77.93855-85</t>
  </si>
  <si>
    <t>15/04/1945</t>
  </si>
  <si>
    <t>Twaalfapostelenstraat 133, 3520 Zonhoven</t>
  </si>
  <si>
    <t>Aïcha,Eva</t>
  </si>
  <si>
    <t>Sybille</t>
  </si>
  <si>
    <t>Bogaert</t>
  </si>
  <si>
    <t>511.52386-37</t>
  </si>
  <si>
    <t>08/07/1947</t>
  </si>
  <si>
    <t>Sint-elisabethplein 4, 3650 Dilsen-Stokkem</t>
  </si>
  <si>
    <t>Sybille,Eric</t>
  </si>
  <si>
    <t>Cécile</t>
  </si>
  <si>
    <t>Goossens</t>
  </si>
  <si>
    <t>752.26548-29</t>
  </si>
  <si>
    <t>01/03/1972</t>
  </si>
  <si>
    <t>Ottergemsesteenweg 95, 3831 Herten</t>
  </si>
  <si>
    <t>Cécile,Hesham,Yusuf</t>
  </si>
  <si>
    <t>Alexandra</t>
  </si>
  <si>
    <t>Martin</t>
  </si>
  <si>
    <t>193.78350-27</t>
  </si>
  <si>
    <t>04/11/1947</t>
  </si>
  <si>
    <t>Fritz De Beulestraat 28, 3831 Herten</t>
  </si>
  <si>
    <t>Alexandra,Sabine,Franscine</t>
  </si>
  <si>
    <t>Sabrina</t>
  </si>
  <si>
    <t>Gilles</t>
  </si>
  <si>
    <t>867.83193-57</t>
  </si>
  <si>
    <t>04/10/2003</t>
  </si>
  <si>
    <t>Alpacastraat 7, 3980 Tessenderlo</t>
  </si>
  <si>
    <t>Sabrina,Jimmy,Patrick,Maïté</t>
  </si>
  <si>
    <t>Cornelis</t>
  </si>
  <si>
    <t>Fernandez</t>
  </si>
  <si>
    <t>793.34724-37</t>
  </si>
  <si>
    <t>12/06/1979</t>
  </si>
  <si>
    <t>Predikherenlei 21, 3830 Wellen</t>
  </si>
  <si>
    <t>Cornelis,Shany,Frans,Fatima,Thomas</t>
  </si>
  <si>
    <t>Constantin</t>
  </si>
  <si>
    <t>Smets</t>
  </si>
  <si>
    <t>211.52042-53</t>
  </si>
  <si>
    <t>09/01/1994</t>
  </si>
  <si>
    <t>Herfststraat 76, 3770 Oud-Vroenhoven</t>
  </si>
  <si>
    <t>Constantin,Mélina,Johan,Chantal</t>
  </si>
  <si>
    <t>Ivo</t>
  </si>
  <si>
    <t>Dewaele</t>
  </si>
  <si>
    <t>168.14122-20</t>
  </si>
  <si>
    <t>23/02/2000</t>
  </si>
  <si>
    <t>Harlekijnstraat 106, 3600 Genk</t>
  </si>
  <si>
    <t>Ivo,Liliane,Michèle</t>
  </si>
  <si>
    <t>Leen</t>
  </si>
  <si>
    <t>Blomme</t>
  </si>
  <si>
    <t>118.53026-90</t>
  </si>
  <si>
    <t>13/04/2004</t>
  </si>
  <si>
    <t>Tweebruggenstraat 93, 3831 Herten</t>
  </si>
  <si>
    <t>Leen,Bibiche</t>
  </si>
  <si>
    <t>Kelly</t>
  </si>
  <si>
    <t>Marchal</t>
  </si>
  <si>
    <t>899.21286-30</t>
  </si>
  <si>
    <t>Lobeliastraat 25, 3840 Borgloon</t>
  </si>
  <si>
    <t>Kelly,Arcangelo</t>
  </si>
  <si>
    <t>Kaat</t>
  </si>
  <si>
    <t>133.73315-45</t>
  </si>
  <si>
    <t>18/09/2005</t>
  </si>
  <si>
    <t>Koestraat 16, 3500 Hasselt</t>
  </si>
  <si>
    <t>Kaat,Mireille</t>
  </si>
  <si>
    <t>Eric</t>
  </si>
  <si>
    <t>Geens</t>
  </si>
  <si>
    <t>147.67927-58</t>
  </si>
  <si>
    <t>25/12/1965</t>
  </si>
  <si>
    <t>Wielewaalstraat 1, 3840 Borgloon</t>
  </si>
  <si>
    <t>Eric,Maya,Ema</t>
  </si>
  <si>
    <t>Laurence</t>
  </si>
  <si>
    <t>Moens</t>
  </si>
  <si>
    <t>884.71406-80</t>
  </si>
  <si>
    <t>05/10/1968</t>
  </si>
  <si>
    <t>Oudburg 29, 3500 Hasselt</t>
  </si>
  <si>
    <t>Laurence,Brigitte,François</t>
  </si>
  <si>
    <t>Ahmad</t>
  </si>
  <si>
    <t>De backer</t>
  </si>
  <si>
    <t>333.89680-71</t>
  </si>
  <si>
    <t>22/09/2001</t>
  </si>
  <si>
    <t>New-yorkstraat 6, 3945 Kwaadmechelen</t>
  </si>
  <si>
    <t>Ahmad,Arlette,Eric,Boubaker</t>
  </si>
  <si>
    <t>Jonathan</t>
  </si>
  <si>
    <t>Van dijck</t>
  </si>
  <si>
    <t>588.35745-65</t>
  </si>
  <si>
    <t>30/09/1949</t>
  </si>
  <si>
    <t>Gustaaf Callierlaan 15, 3790 Moelingen</t>
  </si>
  <si>
    <t>Jonathan,João,Luna,Jean-Pierre</t>
  </si>
  <si>
    <t>Francis</t>
  </si>
  <si>
    <t>Mathieu</t>
  </si>
  <si>
    <t>602.21630-38</t>
  </si>
  <si>
    <t>04/10/1996</t>
  </si>
  <si>
    <t>Bruiloftstraat 41, 3600 Genk</t>
  </si>
  <si>
    <t>Francis,Ibrahim,Chantal</t>
  </si>
  <si>
    <t>Alicia</t>
  </si>
  <si>
    <t>Claus</t>
  </si>
  <si>
    <t>358.27445-80</t>
  </si>
  <si>
    <t>11/03/1970</t>
  </si>
  <si>
    <t>Zeeschipstraat 78, 3500 Hasselt</t>
  </si>
  <si>
    <t>Alicia,Wilsan,Esther,Bregtje</t>
  </si>
  <si>
    <t>Xander</t>
  </si>
  <si>
    <t>Adam</t>
  </si>
  <si>
    <t>596.66709-64</t>
  </si>
  <si>
    <t>16/09/1998</t>
  </si>
  <si>
    <t>Burgstraat 43, 3600 Genk</t>
  </si>
  <si>
    <t>Xander,Bérengère,Apolonia,Yves</t>
  </si>
  <si>
    <t>Enora</t>
  </si>
  <si>
    <t>Delvaux</t>
  </si>
  <si>
    <t>76.23335-60</t>
  </si>
  <si>
    <t>20/06/1987</t>
  </si>
  <si>
    <t>Lobeliastraat 22, 3530 Houthalen-Helchteren</t>
  </si>
  <si>
    <t>Enora,Robert,Eric,Dominik,Carine</t>
  </si>
  <si>
    <t>Kato</t>
  </si>
  <si>
    <t>De jonghe</t>
  </si>
  <si>
    <t>899.34538-81</t>
  </si>
  <si>
    <t>19/06/1978</t>
  </si>
  <si>
    <t>Kouter 33, 3831 Herten</t>
  </si>
  <si>
    <t>Kato,Pierre</t>
  </si>
  <si>
    <t>Salim</t>
  </si>
  <si>
    <t>201.72275-28</t>
  </si>
  <si>
    <t>19/10/1979</t>
  </si>
  <si>
    <t>Tussen Heerwegen 2, 3790 Voeren</t>
  </si>
  <si>
    <t>Salim,Eva</t>
  </si>
  <si>
    <t>Stéphane</t>
  </si>
  <si>
    <t>Eeckhout</t>
  </si>
  <si>
    <t>121.59132-77</t>
  </si>
  <si>
    <t>12/05/1951</t>
  </si>
  <si>
    <t>Dreef 57, 3620 Lanaken</t>
  </si>
  <si>
    <t>Stéphane,Laudine,Frans,Maaika</t>
  </si>
  <si>
    <t>Nicolaus</t>
  </si>
  <si>
    <t>Somers</t>
  </si>
  <si>
    <t>125.82952-55</t>
  </si>
  <si>
    <t>05/11/1949</t>
  </si>
  <si>
    <t>Pijphoekstraat 45, 3600 Genk</t>
  </si>
  <si>
    <t>Nicolaus,Jetty,Dieter,Boris</t>
  </si>
  <si>
    <t>Maarten</t>
  </si>
  <si>
    <t>Wouters</t>
  </si>
  <si>
    <t>900.74039-56</t>
  </si>
  <si>
    <t>28/07/1990</t>
  </si>
  <si>
    <t>Noordstraat 18, 3800 Sint-Truiden</t>
  </si>
  <si>
    <t>Maarten,Leonardo</t>
  </si>
  <si>
    <t>Gerda</t>
  </si>
  <si>
    <t>Maes</t>
  </si>
  <si>
    <t>543.91995-40</t>
  </si>
  <si>
    <t>20/06/1981</t>
  </si>
  <si>
    <t>Oude-abdijstraat 19, 3670 Meeuwen-Gruitrode</t>
  </si>
  <si>
    <t>Gerda,Cindy</t>
  </si>
  <si>
    <t>Soufiane</t>
  </si>
  <si>
    <t>Aerts</t>
  </si>
  <si>
    <t>432.30105-87</t>
  </si>
  <si>
    <t>28/12/1972</t>
  </si>
  <si>
    <t>Stapelplein 31, 3670 Meeuwen-Gruitrode</t>
  </si>
  <si>
    <t>Soufiane,Yasmine,Paolino</t>
  </si>
  <si>
    <t>Henry</t>
  </si>
  <si>
    <t>752.37173-55</t>
  </si>
  <si>
    <t>14/07/1952</t>
  </si>
  <si>
    <t>Koningin Fabiolalaan 60, 3800 Sint-Truiden</t>
  </si>
  <si>
    <t>Maria,Regina,Maria-Pia</t>
  </si>
  <si>
    <t>Théotime</t>
  </si>
  <si>
    <t>Diallo</t>
  </si>
  <si>
    <t>262.41777-43</t>
  </si>
  <si>
    <t>05/07/1958</t>
  </si>
  <si>
    <t>Onafhankelijkheidslaan 29, 3830 Wellen</t>
  </si>
  <si>
    <t>Théotime,Ingeborg</t>
  </si>
  <si>
    <t>Siebe</t>
  </si>
  <si>
    <t>Devos</t>
  </si>
  <si>
    <t>256.44874-82</t>
  </si>
  <si>
    <t>10/01/1968</t>
  </si>
  <si>
    <t>Traktaatweg 34, 3910 Neerpelt</t>
  </si>
  <si>
    <t>Joffrey</t>
  </si>
  <si>
    <t>Peeters</t>
  </si>
  <si>
    <t>666.51782-58</t>
  </si>
  <si>
    <t>05/05/2003</t>
  </si>
  <si>
    <t>Bevrijdingslaan 38, 3650 Dilsen-Stokkem</t>
  </si>
  <si>
    <t>Joffrey,Bianca</t>
  </si>
  <si>
    <t>Régis</t>
  </si>
  <si>
    <t>Lambrecht</t>
  </si>
  <si>
    <t>247.64812-66</t>
  </si>
  <si>
    <t>12/12/1956</t>
  </si>
  <si>
    <t>Schouwingsstraat 65, 3640 Kinrooi</t>
  </si>
  <si>
    <t>Régis,Jef,Frédine</t>
  </si>
  <si>
    <t>Liz</t>
  </si>
  <si>
    <t>Stevens</t>
  </si>
  <si>
    <t>803.29672-58</t>
  </si>
  <si>
    <t>08/11/1979</t>
  </si>
  <si>
    <t>Gouvernementstraat 7, 3890 Gingelom</t>
  </si>
  <si>
    <t>Liz,Godelieve,Amy,Laurens</t>
  </si>
  <si>
    <t>Helena</t>
  </si>
  <si>
    <t>Huyghe</t>
  </si>
  <si>
    <t>438.94651-46</t>
  </si>
  <si>
    <t>06/02/1999</t>
  </si>
  <si>
    <t>Franklin Rooseveltlaan 22, 3770 Riemst</t>
  </si>
  <si>
    <t>Helena,Auguste</t>
  </si>
  <si>
    <t>Nicky</t>
  </si>
  <si>
    <t>Borremans</t>
  </si>
  <si>
    <t>199.45934-81</t>
  </si>
  <si>
    <t>13/11/1977</t>
  </si>
  <si>
    <t>Varendriesstraat 22, 3945 Kwaadmechelen</t>
  </si>
  <si>
    <t>Nicky,Florent</t>
  </si>
  <si>
    <t>Marc</t>
  </si>
  <si>
    <t>Engels</t>
  </si>
  <si>
    <t>65.34438-92</t>
  </si>
  <si>
    <t>26/11/2003</t>
  </si>
  <si>
    <t>Kerkstraat 13, 3770 Kanne</t>
  </si>
  <si>
    <t>Marc,Rosette,Michaël,Magali,Anna</t>
  </si>
  <si>
    <t>Sara</t>
  </si>
  <si>
    <t>Lenaerts</t>
  </si>
  <si>
    <t>840.23328-21</t>
  </si>
  <si>
    <t>11/02/1998</t>
  </si>
  <si>
    <t>Bijlokevest 22, 3620 Lanaken</t>
  </si>
  <si>
    <t>Sara,Noreddine</t>
  </si>
  <si>
    <t>Jean-Claude</t>
  </si>
  <si>
    <t>De smedt</t>
  </si>
  <si>
    <t>922.55154-51</t>
  </si>
  <si>
    <t>21/01/1967</t>
  </si>
  <si>
    <t>Rooigemlaan 7, 3910 Neerpelt</t>
  </si>
  <si>
    <t>Jean-Claude,Aldo</t>
  </si>
  <si>
    <t>Sonja</t>
  </si>
  <si>
    <t>442.65533-41</t>
  </si>
  <si>
    <t>16/04/1953</t>
  </si>
  <si>
    <t>Kleine Gentstraat 104, 3831 Herten</t>
  </si>
  <si>
    <t>Chisom</t>
  </si>
  <si>
    <t>414.80354-22</t>
  </si>
  <si>
    <t>05/02/1958</t>
  </si>
  <si>
    <t>Destelbergenstraat 22, 3500 Hasselt</t>
  </si>
  <si>
    <t>Chisom,Dario,Matthias</t>
  </si>
  <si>
    <t>Vervoort</t>
  </si>
  <si>
    <t>612.71841-48</t>
  </si>
  <si>
    <t>14/04/1978</t>
  </si>
  <si>
    <t>Scheeplosserstraat 61, 3840 Borgloon</t>
  </si>
  <si>
    <t>Moons</t>
  </si>
  <si>
    <t>288.52432-68</t>
  </si>
  <si>
    <t>06/01/1966</t>
  </si>
  <si>
    <t>Gaverlandstraat 9, 3770 Riemst</t>
  </si>
  <si>
    <t>Bjorn</t>
  </si>
  <si>
    <t>Dhondt</t>
  </si>
  <si>
    <t>978.67410-15</t>
  </si>
  <si>
    <t>11/05/1970</t>
  </si>
  <si>
    <t>Voorhavenlaan 39, 3540 Herk-de-Stad</t>
  </si>
  <si>
    <t>Yamina</t>
  </si>
  <si>
    <t>855.92350-80</t>
  </si>
  <si>
    <t>16/11/1952</t>
  </si>
  <si>
    <t>J. Van Crombrugghestraat 28, 3620 Lanaken</t>
  </si>
  <si>
    <t>Yamina,Nele</t>
  </si>
  <si>
    <t>Michiels</t>
  </si>
  <si>
    <t>177.29282-98</t>
  </si>
  <si>
    <t>18/09/1954</t>
  </si>
  <si>
    <t>Ganzendries 39, 3910 Neerpelt</t>
  </si>
  <si>
    <t>Wendy,Hamid,Dany</t>
  </si>
  <si>
    <t>Vitali</t>
  </si>
  <si>
    <t>30.84367-57</t>
  </si>
  <si>
    <t>24/11/1955</t>
  </si>
  <si>
    <t>Graaf Van Vlaanderenplein 34, 3630 Maasmechelen</t>
  </si>
  <si>
    <t>Vitali,Mohamed,Stijn</t>
  </si>
  <si>
    <t>Sandrine</t>
  </si>
  <si>
    <t>De block</t>
  </si>
  <si>
    <t>643.85499-60</t>
  </si>
  <si>
    <t>29/08/1998</t>
  </si>
  <si>
    <t>Woodrow Wilsonplein 72, 3545 Halen</t>
  </si>
  <si>
    <t>Charles</t>
  </si>
  <si>
    <t>Vercruysse</t>
  </si>
  <si>
    <t>953.44718-41</t>
  </si>
  <si>
    <t>21/08/1993</t>
  </si>
  <si>
    <t>Geldmunt 22, 3890 Vorden</t>
  </si>
  <si>
    <t>Charles,Miranda,Xavier,José</t>
  </si>
  <si>
    <t>Jennifer</t>
  </si>
  <si>
    <t>Thijs</t>
  </si>
  <si>
    <t>212.35436-85</t>
  </si>
  <si>
    <t>13/08/1955</t>
  </si>
  <si>
    <t>Kraanlei 23, 3500 Hasselt</t>
  </si>
  <si>
    <t>Jennifer,Carolien,Niels,Qefser,Dirk</t>
  </si>
  <si>
    <t>Christiana</t>
  </si>
  <si>
    <t>Lejeune</t>
  </si>
  <si>
    <t>396.64281-32</t>
  </si>
  <si>
    <t>27/03/1949</t>
  </si>
  <si>
    <t>Limburgstraat 85, 3700 Tongeren</t>
  </si>
  <si>
    <t>Christiana,Ignace,Ludo,Nuriye,Marie</t>
  </si>
  <si>
    <t>Jessy</t>
  </si>
  <si>
    <t>935.84392-37</t>
  </si>
  <si>
    <t>15/09/1996</t>
  </si>
  <si>
    <t>Baarledorpstraat 15, 3530 Houthalen-Helchteren</t>
  </si>
  <si>
    <t>Jessy,Lea</t>
  </si>
  <si>
    <t>Grégoire</t>
  </si>
  <si>
    <t>Willems</t>
  </si>
  <si>
    <t>202.86868-73</t>
  </si>
  <si>
    <t>10/08/1968</t>
  </si>
  <si>
    <t>Lange Kruisstraat 56, 3630 Maasmechelen</t>
  </si>
  <si>
    <t>Grégoire,Anca,Marie-Claire</t>
  </si>
  <si>
    <t>Emiel</t>
  </si>
  <si>
    <t>Hardy</t>
  </si>
  <si>
    <t>740.71793-74</t>
  </si>
  <si>
    <t>05/08/1967</t>
  </si>
  <si>
    <t>Jacob Van Arteveldestraat 86, 3970 Leopoldsburg</t>
  </si>
  <si>
    <t>Emiel,Léon</t>
  </si>
  <si>
    <t>Letitia</t>
  </si>
  <si>
    <t>Dujardin</t>
  </si>
  <si>
    <t>726.96690-15</t>
  </si>
  <si>
    <t>04/04/1984</t>
  </si>
  <si>
    <t>Wittemolenstraat 20, 3830 Wellen</t>
  </si>
  <si>
    <t>Letitia,Marie</t>
  </si>
  <si>
    <t>Amina</t>
  </si>
  <si>
    <t>Delfosse</t>
  </si>
  <si>
    <t>472.54054-68</t>
  </si>
  <si>
    <t>22/11/2001</t>
  </si>
  <si>
    <t>Meerhoutstraat 139, 3630 Maasmechelen</t>
  </si>
  <si>
    <t>Rousseau</t>
  </si>
  <si>
    <t>221.30753-50</t>
  </si>
  <si>
    <t>12/12/1975</t>
  </si>
  <si>
    <t>Antoon Catriestraat 35, 3680 Maaseik</t>
  </si>
  <si>
    <t>Jade,Cindy,Marie-Rose</t>
  </si>
  <si>
    <t>Monica</t>
  </si>
  <si>
    <t>Verbeke</t>
  </si>
  <si>
    <t>142.60250-67</t>
  </si>
  <si>
    <t>15/05/1992</t>
  </si>
  <si>
    <t>Markt 17, 3680 Maaseik</t>
  </si>
  <si>
    <t>Monica,Alice,Ofelia,Zoé</t>
  </si>
  <si>
    <t>Clélia</t>
  </si>
  <si>
    <t>Luyten</t>
  </si>
  <si>
    <t>868.89167-88</t>
  </si>
  <si>
    <t>20/04/2001</t>
  </si>
  <si>
    <t>Sint-elisabethplein 4, 3600 Genk</t>
  </si>
  <si>
    <t>Clélia,Jeanninne</t>
  </si>
  <si>
    <t>Teo</t>
  </si>
  <si>
    <t>Bertrand</t>
  </si>
  <si>
    <t>261.34406-85</t>
  </si>
  <si>
    <t>21/01/1987</t>
  </si>
  <si>
    <t>Sint-jozefstraat 2, 3831 Herten</t>
  </si>
  <si>
    <t>Teo,Martine</t>
  </si>
  <si>
    <t>Jeannique</t>
  </si>
  <si>
    <t>Petit</t>
  </si>
  <si>
    <t>637.88623-84</t>
  </si>
  <si>
    <t>03/03/1967</t>
  </si>
  <si>
    <t>Groenstraat 43, 3700 Tongeren</t>
  </si>
  <si>
    <t>Jeannique,Mathis,Melanie</t>
  </si>
  <si>
    <t>Geneviève</t>
  </si>
  <si>
    <t>De wilde</t>
  </si>
  <si>
    <t>34.18621-70</t>
  </si>
  <si>
    <t>20/03/1997</t>
  </si>
  <si>
    <t>Chartreuzengoed 172, 3500 Hasselt</t>
  </si>
  <si>
    <t>Geneviève,Brigitte,Claire,Margaux</t>
  </si>
  <si>
    <t>966.25375-17</t>
  </si>
  <si>
    <t>26/12/2000</t>
  </si>
  <si>
    <t>Frederik Burvenichstraat 22, 3831 Herten</t>
  </si>
  <si>
    <t>Christiana,Freddy</t>
  </si>
  <si>
    <t>Rens</t>
  </si>
  <si>
    <t>Cuvelier</t>
  </si>
  <si>
    <t>759.49816-62</t>
  </si>
  <si>
    <t>29/12/2006</t>
  </si>
  <si>
    <t>Tussen Heerwegen 95, 3500 Hasselt</t>
  </si>
  <si>
    <t>Rens,Fien</t>
  </si>
  <si>
    <t>Khalifa</t>
  </si>
  <si>
    <t>Robert</t>
  </si>
  <si>
    <t>570.20242-90</t>
  </si>
  <si>
    <t>21/07/1989</t>
  </si>
  <si>
    <t>Bollewerkstraat 13, 3890 Vorden</t>
  </si>
  <si>
    <t>Christelle</t>
  </si>
  <si>
    <t>Cuypers</t>
  </si>
  <si>
    <t>482.42098-58</t>
  </si>
  <si>
    <t>06/11/2005</t>
  </si>
  <si>
    <t>Vogelzang 71, 3920 Lommel</t>
  </si>
  <si>
    <t>Christelle,Salim</t>
  </si>
  <si>
    <t>Shanna</t>
  </si>
  <si>
    <t>Van den brande</t>
  </si>
  <si>
    <t>734.11382-65</t>
  </si>
  <si>
    <t>12/05/1971</t>
  </si>
  <si>
    <t>Vijfwindgatenstraat 4, 3970 Leopoldsburg</t>
  </si>
  <si>
    <t>Shanna,Roland,Thomas</t>
  </si>
  <si>
    <t>Bjarni</t>
  </si>
  <si>
    <t>964.69725-47</t>
  </si>
  <si>
    <t>08/05/1979</t>
  </si>
  <si>
    <t>Groentenmarkt 2, 3831 Herten</t>
  </si>
  <si>
    <t>Bjarni,William</t>
  </si>
  <si>
    <t>749.73695-23</t>
  </si>
  <si>
    <t>20/10/1945</t>
  </si>
  <si>
    <t>Meerhoutstraat 1, 3840 Borgloon</t>
  </si>
  <si>
    <t>Maria,Peter,Abdellatif,Justin,Sandra,Febe</t>
  </si>
  <si>
    <t>Jacqueline</t>
  </si>
  <si>
    <t>Garcia</t>
  </si>
  <si>
    <t>713.19458-64</t>
  </si>
  <si>
    <t>07/12/1988</t>
  </si>
  <si>
    <t>Begijnhoflaan 39, 3770 Riemst</t>
  </si>
  <si>
    <t>Jacqueline,Carolien,Thomas</t>
  </si>
  <si>
    <t>Valerius</t>
  </si>
  <si>
    <t>Verbruggen</t>
  </si>
  <si>
    <t>278.23189-90</t>
  </si>
  <si>
    <t>03/05/1945</t>
  </si>
  <si>
    <t>Kleindokkaai 26, 3700 Tongeren</t>
  </si>
  <si>
    <t>Valerius,Baby,Jurgen</t>
  </si>
  <si>
    <t>Nadia</t>
  </si>
  <si>
    <t>378.22342-92</t>
  </si>
  <si>
    <t>06/04/1948</t>
  </si>
  <si>
    <t>Bomastraat 52, 3831 Herten</t>
  </si>
  <si>
    <t>Nadia,Elyas,François</t>
  </si>
  <si>
    <t>Lailla</t>
  </si>
  <si>
    <t>Van den broeck</t>
  </si>
  <si>
    <t>159.26415-71</t>
  </si>
  <si>
    <t>16/03/1993</t>
  </si>
  <si>
    <t>Kamerijkstraat 9, 3980 Tessenderlo</t>
  </si>
  <si>
    <t>Lailla,Françoise</t>
  </si>
  <si>
    <t>Yvette</t>
  </si>
  <si>
    <t>986.86987-57</t>
  </si>
  <si>
    <t>13/09/1958</t>
  </si>
  <si>
    <t>Bijlokekaai 51, 3680 Maaseik</t>
  </si>
  <si>
    <t>Yvette,Jean,Jan,Marie-Hélène</t>
  </si>
  <si>
    <t>Nassim</t>
  </si>
  <si>
    <t>Verhelst</t>
  </si>
  <si>
    <t>62.50187-25</t>
  </si>
  <si>
    <t>01/01/1998</t>
  </si>
  <si>
    <t>Burgstraat 56, 3840 Borgloon</t>
  </si>
  <si>
    <t>Nassim,Maria,Marcelle,Murielle</t>
  </si>
  <si>
    <t>Geoffrey</t>
  </si>
  <si>
    <t>Merckx</t>
  </si>
  <si>
    <t>428.68613-82</t>
  </si>
  <si>
    <t>06/02/1991</t>
  </si>
  <si>
    <t>Emiel Lossystraat 54, 3700 Tongeren</t>
  </si>
  <si>
    <t>Geoffrey,Marie-Laure,Rita,Emma,Martine</t>
  </si>
  <si>
    <t>Willem</t>
  </si>
  <si>
    <t>363.35829-14</t>
  </si>
  <si>
    <t>Oudekouter 38, 3730 Hoeselt</t>
  </si>
  <si>
    <t>Carine</t>
  </si>
  <si>
    <t>Van goethem</t>
  </si>
  <si>
    <t>233.29890-13</t>
  </si>
  <si>
    <t>02/12/1953</t>
  </si>
  <si>
    <t>Frans Uyttenhovestraat 27, 3600 Genk</t>
  </si>
  <si>
    <t>Carine,Marie-Jeanne,Léa</t>
  </si>
  <si>
    <t>Timéo</t>
  </si>
  <si>
    <t>De smet</t>
  </si>
  <si>
    <t>498.29266-25</t>
  </si>
  <si>
    <t>28/11/1953</t>
  </si>
  <si>
    <t>Opvoedingstraat 27, 3640 Kinrooi</t>
  </si>
  <si>
    <t>Timéo,Davy,Mauro</t>
  </si>
  <si>
    <t>Mégane</t>
  </si>
  <si>
    <t>231.61793-14</t>
  </si>
  <si>
    <t>17/04/1997</t>
  </si>
  <si>
    <t>Bij Sint-jacobs 38, 3831 Herten</t>
  </si>
  <si>
    <t>Mégane,Mourad</t>
  </si>
  <si>
    <t>Pelle</t>
  </si>
  <si>
    <t>758.51571-88</t>
  </si>
  <si>
    <t>26/03/1992</t>
  </si>
  <si>
    <t>Frere Orbanlaan 4, 3560 Lummen</t>
  </si>
  <si>
    <t>Pelle,Shlomo,Mathis</t>
  </si>
  <si>
    <t>Gabriela</t>
  </si>
  <si>
    <t>Jansen</t>
  </si>
  <si>
    <t>979.81058-76</t>
  </si>
  <si>
    <t>27/10/1986</t>
  </si>
  <si>
    <t>Albrecht Rodenbachstraat 5, 3920 Lommel</t>
  </si>
  <si>
    <t>Gabriela,Béatrice,Melissa</t>
  </si>
  <si>
    <t>Gaëlle</t>
  </si>
  <si>
    <t>Bernard</t>
  </si>
  <si>
    <t>797.23261-22</t>
  </si>
  <si>
    <t>Romain Clausstraat 22, 3740 Bilzen</t>
  </si>
  <si>
    <t>Freddy</t>
  </si>
  <si>
    <t>Fontaine</t>
  </si>
  <si>
    <t>876.92185-44</t>
  </si>
  <si>
    <t>29/07/1960</t>
  </si>
  <si>
    <t>Frere Orbanlaan 30, 3910 Neerpelt</t>
  </si>
  <si>
    <t>Freddy,Relinda,Marwa,Juliette</t>
  </si>
  <si>
    <t>Anna</t>
  </si>
  <si>
    <t>466.95408-59</t>
  </si>
  <si>
    <t>07/04/1983</t>
  </si>
  <si>
    <t>Tortelduifstraat 106, 3831 Herten</t>
  </si>
  <si>
    <t>John</t>
  </si>
  <si>
    <t>De cock</t>
  </si>
  <si>
    <t>263.86992-78</t>
  </si>
  <si>
    <t>02/07/1975</t>
  </si>
  <si>
    <t>Schouwburgstraat 6, 3870 Heers</t>
  </si>
  <si>
    <t>Vandeputte</t>
  </si>
  <si>
    <t>80.76937-60</t>
  </si>
  <si>
    <t>19/05/2004</t>
  </si>
  <si>
    <t>Brugsesteenweg 21, 3660 Opglabbeek</t>
  </si>
  <si>
    <t>Farah</t>
  </si>
  <si>
    <t>Heylen</t>
  </si>
  <si>
    <t>949.57346-81</t>
  </si>
  <si>
    <t>19/04/1980</t>
  </si>
  <si>
    <t>Ooievaarstraat 45, 3910 Neerpelt</t>
  </si>
  <si>
    <t>Farah,Carolus,Ovidiu,Jade</t>
  </si>
  <si>
    <t>Aurore</t>
  </si>
  <si>
    <t>Verheyen</t>
  </si>
  <si>
    <t>898.32498-31</t>
  </si>
  <si>
    <t>24/05/1978</t>
  </si>
  <si>
    <t>Serpentstraat 21, 3890 Gingelom</t>
  </si>
  <si>
    <t>Aurore,Bob,Tareq</t>
  </si>
  <si>
    <t>Vincenzo</t>
  </si>
  <si>
    <t>81.40158-84</t>
  </si>
  <si>
    <t>24/08/2002</t>
  </si>
  <si>
    <t>Zuiderlaan 22, 3630 Maasmechelen</t>
  </si>
  <si>
    <t>Vincenzo,Bo,Mélissa</t>
  </si>
  <si>
    <t>Free</t>
  </si>
  <si>
    <t>623.38301-68</t>
  </si>
  <si>
    <t>08/07/1966</t>
  </si>
  <si>
    <t>Botermarkt 44, 3500 Hasselt</t>
  </si>
  <si>
    <t>Free,Patrick,Geneviève,Muhammet</t>
  </si>
  <si>
    <t>Marie-Lou</t>
  </si>
  <si>
    <t>De wolf</t>
  </si>
  <si>
    <t>105.99996-27</t>
  </si>
  <si>
    <t>20/02/1987</t>
  </si>
  <si>
    <t>Kleine Gentstraat 36, 3600 Genk</t>
  </si>
  <si>
    <t>Marie-Lou,Sandra,Xavier</t>
  </si>
  <si>
    <t>Luigi</t>
  </si>
  <si>
    <t>Deprez</t>
  </si>
  <si>
    <t>810.17721-86</t>
  </si>
  <si>
    <t>12/09/1987</t>
  </si>
  <si>
    <t>Walpoortstraat 69, 3831 Herten</t>
  </si>
  <si>
    <t>Andreas</t>
  </si>
  <si>
    <t>Meert</t>
  </si>
  <si>
    <t>699.16583-42</t>
  </si>
  <si>
    <t>16/03/1994</t>
  </si>
  <si>
    <t>Francisco Ferrerlaan 10, 3690 Zutendaal</t>
  </si>
  <si>
    <t>Bram</t>
  </si>
  <si>
    <t>Lambert</t>
  </si>
  <si>
    <t>291.93455-12</t>
  </si>
  <si>
    <t>10/11/1983</t>
  </si>
  <si>
    <t>Bertha Boonantsstraat 8, 3940 Hechtel-Eksel</t>
  </si>
  <si>
    <t>Bram,Anna,Jennifer,Kathleen</t>
  </si>
  <si>
    <t>Safae</t>
  </si>
  <si>
    <t>Van looy</t>
  </si>
  <si>
    <t>992.41713-21</t>
  </si>
  <si>
    <t>26/05/1980</t>
  </si>
  <si>
    <t>Gaverlandstraat 19, 3980 Tessenderlo</t>
  </si>
  <si>
    <t>Safae,Sonja,Franck,Josiane,Tom,Susana,Vedat</t>
  </si>
  <si>
    <t>Victor</t>
  </si>
  <si>
    <t>Vandenbroucke</t>
  </si>
  <si>
    <t>946.88638-66</t>
  </si>
  <si>
    <t>09/04/1966</t>
  </si>
  <si>
    <t>Papegaaistraat 36, 3560 Lummen</t>
  </si>
  <si>
    <t>Victor,Gust,Christine,Caroline</t>
  </si>
  <si>
    <t>Godelieve</t>
  </si>
  <si>
    <t>216.61878-60</t>
  </si>
  <si>
    <t>13/06/1953</t>
  </si>
  <si>
    <t>Rodekoningstraat 37, 3980 Tessenderlo</t>
  </si>
  <si>
    <t>Godelieve,Lauren,Patrick,Robin,Gabriele</t>
  </si>
  <si>
    <t>Guy</t>
  </si>
  <si>
    <t>Driesen</t>
  </si>
  <si>
    <t>485.75454-41</t>
  </si>
  <si>
    <t>03/11/1956</t>
  </si>
  <si>
    <t>Vrijdagmarkt 44, 3530 Houthalen-Helchteren</t>
  </si>
  <si>
    <t>Guy,Anaïs,Suzanne</t>
  </si>
  <si>
    <t>Ciel</t>
  </si>
  <si>
    <t>Dubois</t>
  </si>
  <si>
    <t>354.94952-86</t>
  </si>
  <si>
    <t>19/08/1977</t>
  </si>
  <si>
    <t>Evergemsesteenweg 1, 3590 Diepenbeek</t>
  </si>
  <si>
    <t>Ciel,Juliette,Daniel,Caroline</t>
  </si>
  <si>
    <t>Vandenbussche</t>
  </si>
  <si>
    <t>585.55623-79</t>
  </si>
  <si>
    <t>22/12/1953</t>
  </si>
  <si>
    <t>Dendermondsesteenweg 12, 3530 Houthalen-Helchteren</t>
  </si>
  <si>
    <t>Christelle,Davy,Lutgarde</t>
  </si>
  <si>
    <t>Kurt</t>
  </si>
  <si>
    <t>Vrancken</t>
  </si>
  <si>
    <t>555.65647-45</t>
  </si>
  <si>
    <t>Coomansheide 56, 3650 Dilsen-Stokkem</t>
  </si>
  <si>
    <t>Kurt,Bertrand</t>
  </si>
  <si>
    <t>Alison</t>
  </si>
  <si>
    <t>Verhaeghe</t>
  </si>
  <si>
    <t>562.21205-24</t>
  </si>
  <si>
    <t>23/04/1996</t>
  </si>
  <si>
    <t>Ferdinand Lousbergskaai 21, 3600 Genk</t>
  </si>
  <si>
    <t>Alison,Laura</t>
  </si>
  <si>
    <t>Nicolas</t>
  </si>
  <si>
    <t>Temmerman</t>
  </si>
  <si>
    <t>88.25533-70</t>
  </si>
  <si>
    <t>18/08/1992</t>
  </si>
  <si>
    <t>Smalleheerweg 66, 3831 Herten</t>
  </si>
  <si>
    <t>Nicolas,Malika</t>
  </si>
  <si>
    <t>Marianne</t>
  </si>
  <si>
    <t>De coster</t>
  </si>
  <si>
    <t>182.69860-20</t>
  </si>
  <si>
    <t>02/05/1963</t>
  </si>
  <si>
    <t>Hazenlaan 77, 3600 Genk</t>
  </si>
  <si>
    <t>Glenn</t>
  </si>
  <si>
    <t>Dupont</t>
  </si>
  <si>
    <t>882.95438-82</t>
  </si>
  <si>
    <t>28/10/1986</t>
  </si>
  <si>
    <t>Albrecht Rodenbachstraat 38, 3770 Riemst</t>
  </si>
  <si>
    <t>Glenn,Anne,Wannes,Tom</t>
  </si>
  <si>
    <t>Tom</t>
  </si>
  <si>
    <t>221.66276-73</t>
  </si>
  <si>
    <t>01/05/1985</t>
  </si>
  <si>
    <t>Eddastraat 28, 3630 Maasmechelen</t>
  </si>
  <si>
    <t>Tom,Moustafa,Ronald,Cédric,Jelle</t>
  </si>
  <si>
    <t>601.15784-60</t>
  </si>
  <si>
    <t>07/02/1951</t>
  </si>
  <si>
    <t>Vliegtuiglaan 59, 3831 Herten</t>
  </si>
  <si>
    <t>Fatima</t>
  </si>
  <si>
    <t>Thys</t>
  </si>
  <si>
    <t>27.40711-56</t>
  </si>
  <si>
    <t>21/06/1963</t>
  </si>
  <si>
    <t>Rondehuisjesdreef 26, 3770 Riemst</t>
  </si>
  <si>
    <t>Fatima,Paul,Jacob,Mehdi</t>
  </si>
  <si>
    <t>Erik</t>
  </si>
  <si>
    <t>Vermeiren</t>
  </si>
  <si>
    <t>867.47041-54</t>
  </si>
  <si>
    <t>15/06/1947</t>
  </si>
  <si>
    <t>Dok Zuid 25, 3600 Genk</t>
  </si>
  <si>
    <t>Erik,Franca</t>
  </si>
  <si>
    <t>Samuel</t>
  </si>
  <si>
    <t>88.46351-71</t>
  </si>
  <si>
    <t>08/06/1967</t>
  </si>
  <si>
    <t>Poolse - Winglaan 30, 3800 Sint-Truiden</t>
  </si>
  <si>
    <t>Billie</t>
  </si>
  <si>
    <t>Vermeersch</t>
  </si>
  <si>
    <t>412.53429-37</t>
  </si>
  <si>
    <t>02/12/1989</t>
  </si>
  <si>
    <t>Koopvaardijlaan 8, 3700 Tongeren</t>
  </si>
  <si>
    <t>Billie,Wouter,Magdalena</t>
  </si>
  <si>
    <t>Hermine</t>
  </si>
  <si>
    <t>Dufour</t>
  </si>
  <si>
    <t>890.64011-47</t>
  </si>
  <si>
    <t>05/03/2006</t>
  </si>
  <si>
    <t>Kluizensesteenweg 38, 3530 Houthalen-Helchteren</t>
  </si>
  <si>
    <t>Abdullah</t>
  </si>
  <si>
    <t>Verschueren</t>
  </si>
  <si>
    <t>167.55085-26</t>
  </si>
  <si>
    <t>08/11/1983</t>
  </si>
  <si>
    <t>Onafhankelijkheidslaan 61, 3831 Herten</t>
  </si>
  <si>
    <t>Abdullah,Yves</t>
  </si>
  <si>
    <t>Joëlle</t>
  </si>
  <si>
    <t>61.24396-47</t>
  </si>
  <si>
    <t>18/03/1954</t>
  </si>
  <si>
    <t>Steenakker 17, 3540 Herk-de-Stad</t>
  </si>
  <si>
    <t>Joëlle,Etiennette,Raphaël,Frédéric</t>
  </si>
  <si>
    <t>Marie</t>
  </si>
  <si>
    <t>746.34107-91</t>
  </si>
  <si>
    <t>12/06/2004</t>
  </si>
  <si>
    <t>Brabantdam 39, 3830 Wellen</t>
  </si>
  <si>
    <t>Marie,Godelieve</t>
  </si>
  <si>
    <t>Estelle</t>
  </si>
  <si>
    <t>Van den bossche</t>
  </si>
  <si>
    <t>824.83003-30</t>
  </si>
  <si>
    <t>30/08/1962</t>
  </si>
  <si>
    <t>Wolfputstraat 12, 3600 Genk</t>
  </si>
  <si>
    <t>Estelle,Timmy</t>
  </si>
  <si>
    <t>972.53035-37</t>
  </si>
  <si>
    <t>04/09/1966</t>
  </si>
  <si>
    <t>Zandberg 39, 3800 Sint-Truiden</t>
  </si>
  <si>
    <t>Bram,Pascale,Anas,Martine</t>
  </si>
  <si>
    <t>Michèle</t>
  </si>
  <si>
    <t>Leroy</t>
  </si>
  <si>
    <t>962.67627-24</t>
  </si>
  <si>
    <t>11/09/2003</t>
  </si>
  <si>
    <t>Jeroom Dequesnoylaan 49, 3520 Zonhoven</t>
  </si>
  <si>
    <t>Michèle,Nora,Gauthier,Christiane</t>
  </si>
  <si>
    <t>Verbeeck</t>
  </si>
  <si>
    <t>217.64243-14</t>
  </si>
  <si>
    <t>04/06/1956</t>
  </si>
  <si>
    <t>Hoogpoort 43, 3600 Genk</t>
  </si>
  <si>
    <t>Maria,Adam</t>
  </si>
  <si>
    <t>Roland</t>
  </si>
  <si>
    <t>Dumont</t>
  </si>
  <si>
    <t>810.40926-78</t>
  </si>
  <si>
    <t>02/03/1963</t>
  </si>
  <si>
    <t>Morekstraat 52, 3920 Lommel</t>
  </si>
  <si>
    <t>Roland,Oona</t>
  </si>
  <si>
    <t>Carpentier</t>
  </si>
  <si>
    <t>418.27452-76</t>
  </si>
  <si>
    <t>18/05/1979</t>
  </si>
  <si>
    <t>Fortlaan 78, 3500 Hasselt</t>
  </si>
  <si>
    <t>Alexandra,Frédéric,Amy,Lisette</t>
  </si>
  <si>
    <t>Cornelia</t>
  </si>
  <si>
    <t>Janssens</t>
  </si>
  <si>
    <t>224.79153-50</t>
  </si>
  <si>
    <t>02/12/1981</t>
  </si>
  <si>
    <t>Kliniekstraat 28, 3620 Lanaken</t>
  </si>
  <si>
    <t>Julien</t>
  </si>
  <si>
    <t>603.18754-95</t>
  </si>
  <si>
    <t>26/09/1974</t>
  </si>
  <si>
    <t>Luchterenkouter 55, 3830 Wellen</t>
  </si>
  <si>
    <t>Julien,Nele,Jesse,Dominique,Rayane</t>
  </si>
  <si>
    <t>Souheil</t>
  </si>
  <si>
    <t>126.93767-11</t>
  </si>
  <si>
    <t>01/10/1970</t>
  </si>
  <si>
    <t>Hoogstraat 27, 3620 Lanaken</t>
  </si>
  <si>
    <t>Souheil,Tatjana</t>
  </si>
  <si>
    <t>Christophe</t>
  </si>
  <si>
    <t>De clercq</t>
  </si>
  <si>
    <t>433.53777-33</t>
  </si>
  <si>
    <t>02/11/1971</t>
  </si>
  <si>
    <t>Prinses Clementinalaan 145, 3980 Tessenderlo</t>
  </si>
  <si>
    <t>Christophe,Nathalie,Logan</t>
  </si>
  <si>
    <t>Maurice</t>
  </si>
  <si>
    <t>Charlier</t>
  </si>
  <si>
    <t>174.15869-84</t>
  </si>
  <si>
    <t>06/01/2002</t>
  </si>
  <si>
    <t>Varendriesstraat 2, 3640 Kinrooi</t>
  </si>
  <si>
    <t>Maurice,Patrick,Suzanne,Aline,Vinz</t>
  </si>
  <si>
    <t>Dimitri</t>
  </si>
  <si>
    <t>Verlinden</t>
  </si>
  <si>
    <t>417.67762-87</t>
  </si>
  <si>
    <t>02/05/1969</t>
  </si>
  <si>
    <t>Franklin Rooseveltlaan 79, 3640 Kessenich</t>
  </si>
  <si>
    <t>Dimitri,Nicolas</t>
  </si>
  <si>
    <t>Alessia</t>
  </si>
  <si>
    <t>184.80040-91</t>
  </si>
  <si>
    <t>08/06/1985</t>
  </si>
  <si>
    <t>Sleepstraat 16, 3970 Leopoldsburg</t>
  </si>
  <si>
    <t>Alessia,Cathy</t>
  </si>
  <si>
    <t>Giovanni</t>
  </si>
  <si>
    <t>Vranken</t>
  </si>
  <si>
    <t>449.62714-97</t>
  </si>
  <si>
    <t>06/01/1986</t>
  </si>
  <si>
    <t>Trekweg 94, 3550 Heusden-Zolder</t>
  </si>
  <si>
    <t>Giovanni,Büra,Darius,Anne-Françoise</t>
  </si>
  <si>
    <t>Destiny</t>
  </si>
  <si>
    <t>Mertens</t>
  </si>
  <si>
    <t>718.64842-73</t>
  </si>
  <si>
    <t>29/05/1994</t>
  </si>
  <si>
    <t>St.- Arnoustraat 32, 3500 Hasselt</t>
  </si>
  <si>
    <t>Destiny,Sahar</t>
  </si>
  <si>
    <t>Michaël</t>
  </si>
  <si>
    <t>Claessens</t>
  </si>
  <si>
    <t>398.33445-63</t>
  </si>
  <si>
    <t>16/07/1951</t>
  </si>
  <si>
    <t>Winkelwarande 23, 3850 Nieuwerkerken</t>
  </si>
  <si>
    <t>Michaël,Philippe,Jean-Marie</t>
  </si>
  <si>
    <t>Carlos</t>
  </si>
  <si>
    <t>707.63457-45</t>
  </si>
  <si>
    <t>05/02/1992</t>
  </si>
  <si>
    <t>Tijdelijk Postbus 4, 3500 Hasselt</t>
  </si>
  <si>
    <t>Carlos,Josette,Romain</t>
  </si>
  <si>
    <t>Romain</t>
  </si>
  <si>
    <t>963.47402-17</t>
  </si>
  <si>
    <t>25/01/1985</t>
  </si>
  <si>
    <t>Ganzendries 40, 3831 Herten</t>
  </si>
  <si>
    <t>Romain,Raphaël,Mélissa,Paul</t>
  </si>
  <si>
    <t>Anamaria</t>
  </si>
  <si>
    <t>Boulanger</t>
  </si>
  <si>
    <t>579.69352-38</t>
  </si>
  <si>
    <t>06/09/1958</t>
  </si>
  <si>
    <t>Korte Kruisstraat 35, 3920 Lommel</t>
  </si>
  <si>
    <t>Anamaria,Monique,Mamadou</t>
  </si>
  <si>
    <t>Simon</t>
  </si>
  <si>
    <t>164.50200-27</t>
  </si>
  <si>
    <t>09/10/2005</t>
  </si>
  <si>
    <t>Pijlstraat 1, 3600 Genk</t>
  </si>
  <si>
    <t>Willy</t>
  </si>
  <si>
    <t>296.10109-35</t>
  </si>
  <si>
    <t>31/08/1969</t>
  </si>
  <si>
    <t>Koningin Fabiolalaan 51, 3980 Tessenderlo</t>
  </si>
  <si>
    <t>Willy,Alain</t>
  </si>
  <si>
    <t>Anthony</t>
  </si>
  <si>
    <t>De decker</t>
  </si>
  <si>
    <t>293.62257-51</t>
  </si>
  <si>
    <t>13/11/1946</t>
  </si>
  <si>
    <t>Sagastraat 18, 3870 Heers</t>
  </si>
  <si>
    <t>Anthony,Christian,Luc,Katia</t>
  </si>
  <si>
    <t>Anita</t>
  </si>
  <si>
    <t>512.70819-24</t>
  </si>
  <si>
    <t>20/06/1978</t>
  </si>
  <si>
    <t>Keizervest 73, 3970 Leopoldsburg</t>
  </si>
  <si>
    <t>Nadine</t>
  </si>
  <si>
    <t>431.49612-47</t>
  </si>
  <si>
    <t>31/10/1954</t>
  </si>
  <si>
    <t>Gouvernementstraat 24, 3910 Neerpelt</t>
  </si>
  <si>
    <t>Nadine,Sabrina,Casper</t>
  </si>
  <si>
    <t>Arwen</t>
  </si>
  <si>
    <t>Leonard</t>
  </si>
  <si>
    <t>900.33940-77</t>
  </si>
  <si>
    <t>29/09/1971</t>
  </si>
  <si>
    <t>Fortlaan 42, 3891 Meilen</t>
  </si>
  <si>
    <t>Arwen,Steven</t>
  </si>
  <si>
    <t>Noah</t>
  </si>
  <si>
    <t>956.70386-91</t>
  </si>
  <si>
    <t>08/09/1964</t>
  </si>
  <si>
    <t>Coupure Rechts 37, 3600 Genk</t>
  </si>
  <si>
    <t>Louis</t>
  </si>
  <si>
    <t>Schepers</t>
  </si>
  <si>
    <t>941.93272-85</t>
  </si>
  <si>
    <t>17/08/2000</t>
  </si>
  <si>
    <t>Driesstraat 11, 3550 Heusden-Zolder</t>
  </si>
  <si>
    <t>Louis,Geert,Boubacar</t>
  </si>
  <si>
    <t>Mortier</t>
  </si>
  <si>
    <t>886.26715-47</t>
  </si>
  <si>
    <t>05/07/1971</t>
  </si>
  <si>
    <t>Desteldonkdorp 44, 3660 Opglabbeek</t>
  </si>
  <si>
    <t>Bertrand,Sacha,Bernadette,Jasmien,Nicole</t>
  </si>
  <si>
    <t>Ineke</t>
  </si>
  <si>
    <t>Pauwels</t>
  </si>
  <si>
    <t>307.73309-59</t>
  </si>
  <si>
    <t>14/05/1988</t>
  </si>
  <si>
    <t>Wiedauwkaai 29, 3910 Neerpelt</t>
  </si>
  <si>
    <t>Ineke,Maria,David,Marc,Samia</t>
  </si>
  <si>
    <t>Mariette</t>
  </si>
  <si>
    <t>386.29725-90</t>
  </si>
  <si>
    <t>26/09/1976</t>
  </si>
  <si>
    <t>Ledebergstraat 61, 3770 Oud-Vroenhoven</t>
  </si>
  <si>
    <t>Mariette,Alexandra,Tristan,Dirk</t>
  </si>
  <si>
    <t>Mario</t>
  </si>
  <si>
    <t>Goffin</t>
  </si>
  <si>
    <t>947.79704-94</t>
  </si>
  <si>
    <t>17/04/1985</t>
  </si>
  <si>
    <t>Frederik Burvenichstraat 39, 3910 Neerpelt</t>
  </si>
  <si>
    <t>Mario,Jennifer,Rosa,Robie</t>
  </si>
  <si>
    <t>Benedict</t>
  </si>
  <si>
    <t>Delhaye</t>
  </si>
  <si>
    <t>616.27260-89</t>
  </si>
  <si>
    <t>21/10/2005</t>
  </si>
  <si>
    <t>Zieklien 58, 3700 Tongeren</t>
  </si>
  <si>
    <t>Benedict,Emma,Natali,Quentin</t>
  </si>
  <si>
    <t>Salima</t>
  </si>
  <si>
    <t>Ooms</t>
  </si>
  <si>
    <t>936.42094-37</t>
  </si>
  <si>
    <t>29/08/1953</t>
  </si>
  <si>
    <t>Jozef Kluyskensstraat 14, 3910 Neerpelt</t>
  </si>
  <si>
    <t>Salima,Inès</t>
  </si>
  <si>
    <t>Silvia</t>
  </si>
  <si>
    <t>De waele</t>
  </si>
  <si>
    <t>91.43153-46</t>
  </si>
  <si>
    <t>Loskaai 1, 3831 Herten</t>
  </si>
  <si>
    <t>Silvia,Etleva,Assia,Stephane,Jolan</t>
  </si>
  <si>
    <t>Ilie</t>
  </si>
  <si>
    <t>485.33279-69</t>
  </si>
  <si>
    <t>10/04/1982</t>
  </si>
  <si>
    <t>Sint Pietersaalstraat 1, 3545 Halen</t>
  </si>
  <si>
    <t>Ilie,Mariya,Etienne</t>
  </si>
  <si>
    <t>Sophie</t>
  </si>
  <si>
    <t>947.59443-14</t>
  </si>
  <si>
    <t>13/11/1957</t>
  </si>
  <si>
    <t>Jef Crickstraat 38, 3670 Meeuwen-Gruitrode</t>
  </si>
  <si>
    <t>Sophie,Vasile,Muhammet</t>
  </si>
  <si>
    <t>Christiane</t>
  </si>
  <si>
    <t>288.91677-68</t>
  </si>
  <si>
    <t>28/12/1975</t>
  </si>
  <si>
    <t>Hogeweg 29, 3920 Lommel</t>
  </si>
  <si>
    <t>Mercedes</t>
  </si>
  <si>
    <t>De laet</t>
  </si>
  <si>
    <t>321.14479-94</t>
  </si>
  <si>
    <t>04/05/1985</t>
  </si>
  <si>
    <t>Muizelstraat 30, 3830 Wellen</t>
  </si>
  <si>
    <t>Mercedes,Serge,Steve,Thomas</t>
  </si>
  <si>
    <t>Rita</t>
  </si>
  <si>
    <t>De moor</t>
  </si>
  <si>
    <t>974.96506-97</t>
  </si>
  <si>
    <t>30/12/2003</t>
  </si>
  <si>
    <t>Gentsesteenweg 1, 3600 Genk</t>
  </si>
  <si>
    <t>Rita,Hilde</t>
  </si>
  <si>
    <t>Eléna</t>
  </si>
  <si>
    <t>566.90320-33</t>
  </si>
  <si>
    <t>05/06/1960</t>
  </si>
  <si>
    <t>Blijde Inkomststraat 26, 3500 Hasselt</t>
  </si>
  <si>
    <t>Eléna,Karlien,Stéphanie,Amélie,Nick</t>
  </si>
  <si>
    <t>Fabio</t>
  </si>
  <si>
    <t>Bollen</t>
  </si>
  <si>
    <t>346.84680-49</t>
  </si>
  <si>
    <t>19/09/2004</t>
  </si>
  <si>
    <t>Kwartelstraat 84, 3545 Halen</t>
  </si>
  <si>
    <t>Fabio,Annie,Cathy,Stijn</t>
  </si>
  <si>
    <t>255.92406-51</t>
  </si>
  <si>
    <t>21/10/2002</t>
  </si>
  <si>
    <t>Papegaaistraat 58, 3530 Houthalen-Helchteren</t>
  </si>
  <si>
    <t>Christophe,Lisa</t>
  </si>
  <si>
    <t>Ann</t>
  </si>
  <si>
    <t>108.94365-62</t>
  </si>
  <si>
    <t>13/02/1959</t>
  </si>
  <si>
    <t>Kantienberg 3, 3640 Kinrooi</t>
  </si>
  <si>
    <t>Ann,Ludvic</t>
  </si>
  <si>
    <t>Georgette</t>
  </si>
  <si>
    <t>764.21236-39</t>
  </si>
  <si>
    <t>02/07/1946</t>
  </si>
  <si>
    <t>Krijgslaan 49, 3540 Herk-de-Stad</t>
  </si>
  <si>
    <t>Georgette,Kristine,Luc</t>
  </si>
  <si>
    <t>Marine</t>
  </si>
  <si>
    <t>247.80511-17</t>
  </si>
  <si>
    <t>08/12/1971</t>
  </si>
  <si>
    <t>J. Van Crombrugghestraat 72, 3680 Maaseik</t>
  </si>
  <si>
    <t>Marine,Ann</t>
  </si>
  <si>
    <t>Spencer</t>
  </si>
  <si>
    <t>Reynders</t>
  </si>
  <si>
    <t>133.11431-94</t>
  </si>
  <si>
    <t>29/11/1976</t>
  </si>
  <si>
    <t>Korte Kruisstraat 1, 3930 Hamont-Achel</t>
  </si>
  <si>
    <t>Spencer,Krista,Christine,Lindsay,Roger</t>
  </si>
  <si>
    <t>Wauters</t>
  </si>
  <si>
    <t>560.70990-97</t>
  </si>
  <si>
    <t>13/03/1985</t>
  </si>
  <si>
    <t>Wondelgemstraat 67, 3800 Sint-Truiden</t>
  </si>
  <si>
    <t>Marie,Jeanine,Evelien</t>
  </si>
  <si>
    <t>Christian</t>
  </si>
  <si>
    <t>Gerard</t>
  </si>
  <si>
    <t>942.11117-63</t>
  </si>
  <si>
    <t>20/06/1964</t>
  </si>
  <si>
    <t>Godshuizenlaan 58, 3620 Lanaken</t>
  </si>
  <si>
    <t>Christian,Jana,Britt,Jessy</t>
  </si>
  <si>
    <t>Lara</t>
  </si>
  <si>
    <t>762.52168-86</t>
  </si>
  <si>
    <t>02/09/1955</t>
  </si>
  <si>
    <t>Oktrooiplein 25, 3850 Nieuwerkerken</t>
  </si>
  <si>
    <t>Lara,Saidou,Chin</t>
  </si>
  <si>
    <t>Liam</t>
  </si>
  <si>
    <t>Claes</t>
  </si>
  <si>
    <t>668.76979-36</t>
  </si>
  <si>
    <t>31/08/1947</t>
  </si>
  <si>
    <t>Voorhavenlaan 72, 3890 Vorden</t>
  </si>
  <si>
    <t>Liam,Vincent,Malcolm,Flo,Nathalie</t>
  </si>
  <si>
    <t>35.79434-17</t>
  </si>
  <si>
    <t>28/03/1959</t>
  </si>
  <si>
    <t>Meersstraat 63, 3740 Bilzen</t>
  </si>
  <si>
    <t>Jozef,Carine</t>
  </si>
  <si>
    <t>Daniela</t>
  </si>
  <si>
    <t>Francois</t>
  </si>
  <si>
    <t>17.29114-21</t>
  </si>
  <si>
    <t>11/12/2003</t>
  </si>
  <si>
    <t>Zeeschipstraat 14, 3920 Lommel</t>
  </si>
  <si>
    <t>Daniela,Maria,Kristina,Heidi</t>
  </si>
  <si>
    <t>Hilde</t>
  </si>
  <si>
    <t>516.47925-64</t>
  </si>
  <si>
    <t>19/02/1982</t>
  </si>
  <si>
    <t>Meerkoetlaan 17, 3740 Bilzen</t>
  </si>
  <si>
    <t>Hilde,Fanny,Sonja,Marie-Charlotte</t>
  </si>
  <si>
    <t>Elisa</t>
  </si>
  <si>
    <t>Maertens</t>
  </si>
  <si>
    <t>221.59057-16</t>
  </si>
  <si>
    <t>29/05/2001</t>
  </si>
  <si>
    <t>Elyzeese Velden 36, 3930 Hamont-Achel</t>
  </si>
  <si>
    <t>Elisa,Isabelle</t>
  </si>
  <si>
    <t>Els</t>
  </si>
  <si>
    <t>363.62767-80</t>
  </si>
  <si>
    <t>02/01/2001</t>
  </si>
  <si>
    <t>Oudeheerweg 53, 3700 Tongeren</t>
  </si>
  <si>
    <t>Els,Ginka</t>
  </si>
  <si>
    <t>Stéphanie</t>
  </si>
  <si>
    <t>467.84912-65</t>
  </si>
  <si>
    <t>09/01/1971</t>
  </si>
  <si>
    <t>Sint-bernadettestraat 55, 3600 Genk</t>
  </si>
  <si>
    <t>Kris</t>
  </si>
  <si>
    <t>729.58844-21</t>
  </si>
  <si>
    <t>08/09/1945</t>
  </si>
  <si>
    <t>Coupure Rechts 13, 3980 Tessenderlo</t>
  </si>
  <si>
    <t>Kris,Lieve,Hajar,Muhsine,Merlin</t>
  </si>
  <si>
    <t>Evelien</t>
  </si>
  <si>
    <t>770.50069-74</t>
  </si>
  <si>
    <t>07/06/1989</t>
  </si>
  <si>
    <t>Sint-jan-baptiststraat 24, 3910 Neerpelt</t>
  </si>
  <si>
    <t>Evelien,Carine,Mohamed,José,William</t>
  </si>
  <si>
    <t>Koen</t>
  </si>
  <si>
    <t>736.22793-22</t>
  </si>
  <si>
    <t>25/11/1964</t>
  </si>
  <si>
    <t>Fritz De Beulestraat 14, 3900 Overpelt</t>
  </si>
  <si>
    <t>Koen,Ghislaine,Jonny,Karen</t>
  </si>
  <si>
    <t>Kristof</t>
  </si>
  <si>
    <t>979.42879-40</t>
  </si>
  <si>
    <t>01/03/1983</t>
  </si>
  <si>
    <t>Vrouwebroersstraat 17, 3630 Maasmechelen</t>
  </si>
  <si>
    <t>Kristof,Nicole,Bart,Célia</t>
  </si>
  <si>
    <t>Denise</t>
  </si>
  <si>
    <t>583.61957-35</t>
  </si>
  <si>
    <t>19/10/1982</t>
  </si>
  <si>
    <t>Land Van Waaslaan 45, 3870 Heers</t>
  </si>
  <si>
    <t>Denise,Isaline,Liliane,Luc</t>
  </si>
  <si>
    <t>Rosalia</t>
  </si>
  <si>
    <t>560.59156-29</t>
  </si>
  <si>
    <t>08/02/1970</t>
  </si>
  <si>
    <t>Langerbruggestraat 36, 3660 Opglabbeek</t>
  </si>
  <si>
    <t>Jérôme</t>
  </si>
  <si>
    <t>677.46141-23</t>
  </si>
  <si>
    <t>23/01/1988</t>
  </si>
  <si>
    <t>Krijgslaan 38, 3800 Sint-Truiden</t>
  </si>
  <si>
    <t>Jérôme,Cécile,Agathe,Margaretha</t>
  </si>
  <si>
    <t>Dana</t>
  </si>
  <si>
    <t>691.52095-29</t>
  </si>
  <si>
    <t>16/10/1974</t>
  </si>
  <si>
    <t>Putkapelstraat 54, 3770 Oud-Vroenhoven</t>
  </si>
  <si>
    <t>Dana,Rudolf,Stef,Jules</t>
  </si>
  <si>
    <t>Yacine</t>
  </si>
  <si>
    <t>902.40614-42</t>
  </si>
  <si>
    <t>27/05/1947</t>
  </si>
  <si>
    <t>Pilorijnstraat 17, 3831 Herten</t>
  </si>
  <si>
    <t>Yacine,Nikita,Tom,Luna</t>
  </si>
  <si>
    <t>Carl</t>
  </si>
  <si>
    <t>Andries</t>
  </si>
  <si>
    <t>109.81400-84</t>
  </si>
  <si>
    <t>11/12/1975</t>
  </si>
  <si>
    <t>Sint-margrietstraat 46, 3620 Lanaken</t>
  </si>
  <si>
    <t>Carl,Josephus</t>
  </si>
  <si>
    <t>Jamila</t>
  </si>
  <si>
    <t>Van den berghe</t>
  </si>
  <si>
    <t>734.68086-55</t>
  </si>
  <si>
    <t>Dikkelindestraat 96, 3550 Heusden-Zolder</t>
  </si>
  <si>
    <t>Jamila,Quentin,Alida,Lore</t>
  </si>
  <si>
    <t>Floor</t>
  </si>
  <si>
    <t>238.51852-13</t>
  </si>
  <si>
    <t>30/11/1986</t>
  </si>
  <si>
    <t>Sint-pietersaalststraat 35, 3590 Diepenbeek</t>
  </si>
  <si>
    <t>Floor,Marina,Ben</t>
  </si>
  <si>
    <t>Dave</t>
  </si>
  <si>
    <t>519.58119-48</t>
  </si>
  <si>
    <t>Sint-jozefstraat 6, 3670 Meeuwen-Gruitrode</t>
  </si>
  <si>
    <t>Dave,Kimberley,Ingrid,Yasmine,Justine</t>
  </si>
  <si>
    <t>Eduardo</t>
  </si>
  <si>
    <t>Verstraete</t>
  </si>
  <si>
    <t>889.87522-53</t>
  </si>
  <si>
    <t>07/10/1956</t>
  </si>
  <si>
    <t>Kriekerijstraat 29, 3600 Genk</t>
  </si>
  <si>
    <t>Eduardo,Marie-Claire,Steve,Matilde</t>
  </si>
  <si>
    <t>Louise</t>
  </si>
  <si>
    <t>Meeus</t>
  </si>
  <si>
    <t>648.81741-10</t>
  </si>
  <si>
    <t>31/08/1976</t>
  </si>
  <si>
    <t>Lostraat 25, 3550 Heusden-Zolder</t>
  </si>
  <si>
    <t>Josiane</t>
  </si>
  <si>
    <t>Van camp</t>
  </si>
  <si>
    <t>528.62595-32</t>
  </si>
  <si>
    <t>13/07/1947</t>
  </si>
  <si>
    <t>Sint-lievenslaan 4, 3500 Hasselt</t>
  </si>
  <si>
    <t>Josiane,Liene,Jan,Aslan,Renée</t>
  </si>
  <si>
    <t>François</t>
  </si>
  <si>
    <t>Michel</t>
  </si>
  <si>
    <t>933.18405-17</t>
  </si>
  <si>
    <t>13/09/1983</t>
  </si>
  <si>
    <t>Groot-brittanniëlaan 74, 3980 Tessenderlo</t>
  </si>
  <si>
    <t>François,Déborah,Abraham</t>
  </si>
  <si>
    <t>Valérie</t>
  </si>
  <si>
    <t>Raes</t>
  </si>
  <si>
    <t>202.91444-75</t>
  </si>
  <si>
    <t>10/12/1999</t>
  </si>
  <si>
    <t>Koning Albertlaan 5, 3920 Lommel</t>
  </si>
  <si>
    <t>Valérie,Roger</t>
  </si>
  <si>
    <t>Jef</t>
  </si>
  <si>
    <t>Van driessche</t>
  </si>
  <si>
    <t>360.59618-48</t>
  </si>
  <si>
    <t>11/07/1953</t>
  </si>
  <si>
    <t>H.drubbelstraat 20, 3650 Dilsen-Stokkem</t>
  </si>
  <si>
    <t>Selim</t>
  </si>
  <si>
    <t>434.97474-47</t>
  </si>
  <si>
    <t>30/05/1984</t>
  </si>
  <si>
    <t>Acacialaan 23, 3680 Maaseik</t>
  </si>
  <si>
    <t>Selim,Patrick</t>
  </si>
  <si>
    <t>Méline</t>
  </si>
  <si>
    <t>654.66965-39</t>
  </si>
  <si>
    <t>19/12/1952</t>
  </si>
  <si>
    <t>Vliegtuiglaan 14, 3500 Hasselt</t>
  </si>
  <si>
    <t>Méline,Yannick,Michel,Daan,Toon</t>
  </si>
  <si>
    <t>313.68196-22</t>
  </si>
  <si>
    <t>07/01/1949</t>
  </si>
  <si>
    <t>Loofblommestraat 98, 3630 Maasmechelen</t>
  </si>
  <si>
    <t>Christine</t>
  </si>
  <si>
    <t>371.22817-84</t>
  </si>
  <si>
    <t>30/06/1985</t>
  </si>
  <si>
    <t>Weefselstraat 108, 3650 Dilsen-Stokkem</t>
  </si>
  <si>
    <t>Christine,Sara,Micheline,Zeynep</t>
  </si>
  <si>
    <t>Franco</t>
  </si>
  <si>
    <t>De witte</t>
  </si>
  <si>
    <t>299.53895-87</t>
  </si>
  <si>
    <t>10/05/1972</t>
  </si>
  <si>
    <t>Poolse - Winglaan 3, 3520 Zonhoven</t>
  </si>
  <si>
    <t>Franco,Jonas,Patricia,Melissa</t>
  </si>
  <si>
    <t>Pascal</t>
  </si>
  <si>
    <t>17.33558-49</t>
  </si>
  <si>
    <t>Blekersdijk 24, 3600 Genk</t>
  </si>
  <si>
    <t>Pascal,Joseph</t>
  </si>
  <si>
    <t>João</t>
  </si>
  <si>
    <t>816.39787-70</t>
  </si>
  <si>
    <t>04/02/1990</t>
  </si>
  <si>
    <t>Jozef Kluyskensstraat 5, 3600 Genk</t>
  </si>
  <si>
    <t>João,Pippa,Joachim,Jean-Claude</t>
  </si>
  <si>
    <t>Shadi</t>
  </si>
  <si>
    <t>Van den eynde</t>
  </si>
  <si>
    <t>401.57219-92</t>
  </si>
  <si>
    <t>29/05/1952</t>
  </si>
  <si>
    <t>Elyzeese Velden 6, 3890 Vorden</t>
  </si>
  <si>
    <t>Tijmen</t>
  </si>
  <si>
    <t>94.77346-63</t>
  </si>
  <si>
    <t>31/10/1956</t>
  </si>
  <si>
    <t>Graslei 24, 3640 Kinrooi</t>
  </si>
  <si>
    <t>Tijmen,Timothée</t>
  </si>
  <si>
    <t>Vanhoutte</t>
  </si>
  <si>
    <t>162.38124-64</t>
  </si>
  <si>
    <t>25/06/1963</t>
  </si>
  <si>
    <t>Tennisbaanstraat 1, 3640 Kinrooi</t>
  </si>
  <si>
    <t>Francis,Belgacem,Henk</t>
  </si>
  <si>
    <t>Milan</t>
  </si>
  <si>
    <t>Legrand</t>
  </si>
  <si>
    <t>169.51206-72</t>
  </si>
  <si>
    <t>12/12/1996</t>
  </si>
  <si>
    <t>Gaardeniersweg 66, 3700 Tongeren</t>
  </si>
  <si>
    <t>Milan,Maria,Logan</t>
  </si>
  <si>
    <t>Christa</t>
  </si>
  <si>
    <t>Vermeulen</t>
  </si>
  <si>
    <t>959.75876-52</t>
  </si>
  <si>
    <t>30/10/1948</t>
  </si>
  <si>
    <t>Industrieweg 19, 3900 Overpelt</t>
  </si>
  <si>
    <t>Christa,Willy,Thomas</t>
  </si>
  <si>
    <t>Alex</t>
  </si>
  <si>
    <t>Vandewalle</t>
  </si>
  <si>
    <t>620.74862-57</t>
  </si>
  <si>
    <t>29/02/1952</t>
  </si>
  <si>
    <t>Slachthuisstraat 42, 3700 Tongeren</t>
  </si>
  <si>
    <t>Alex,Laurette,Kenneth,Noëlla</t>
  </si>
  <si>
    <t>Kenny</t>
  </si>
  <si>
    <t>549.19663-16</t>
  </si>
  <si>
    <t>10/12/1952</t>
  </si>
  <si>
    <t>Vierweegsestraat 2, 3700 Tongeren</t>
  </si>
  <si>
    <t>Kenny,Julienne,Albert,Ruddi,Marie-Anne,Elaine</t>
  </si>
  <si>
    <t>Jeanine</t>
  </si>
  <si>
    <t>Goris</t>
  </si>
  <si>
    <t>218.67322-22</t>
  </si>
  <si>
    <t>16/10/1962</t>
  </si>
  <si>
    <t>Onze-lieve-vrouwdreef 4, 3920 Lommel</t>
  </si>
  <si>
    <t>Jeanine,Khadija,Marguerite,William</t>
  </si>
  <si>
    <t>Filip</t>
  </si>
  <si>
    <t>Peters</t>
  </si>
  <si>
    <t>88.89191-75</t>
  </si>
  <si>
    <t>25/11/1951</t>
  </si>
  <si>
    <t>Voormuide 8, 3530 Houthalen-Helchteren</t>
  </si>
  <si>
    <t>Filip,Yolande,Carine</t>
  </si>
  <si>
    <t>Gerlinda</t>
  </si>
  <si>
    <t>416.20327-90</t>
  </si>
  <si>
    <t>26/08/1978</t>
  </si>
  <si>
    <t>Reep 5, 3600 Genk</t>
  </si>
  <si>
    <t>Gerlinda,Nel,Eduardo,Kurt</t>
  </si>
  <si>
    <t>Hubert</t>
  </si>
  <si>
    <t>68.46934-27</t>
  </si>
  <si>
    <t>24/09/1949</t>
  </si>
  <si>
    <t>Boeierstraat 99, 3840 Borgloon</t>
  </si>
  <si>
    <t>Simon,Georgi,Yves,Noortje</t>
  </si>
  <si>
    <t>Yvonna</t>
  </si>
  <si>
    <t>928.46395-68</t>
  </si>
  <si>
    <t>10/11/1981</t>
  </si>
  <si>
    <t>St.- Arnoustraat 18, 3600 Genk</t>
  </si>
  <si>
    <t>Yvonna,Josiane,Yi,Boris</t>
  </si>
  <si>
    <t>Evgeniy</t>
  </si>
  <si>
    <t>373.99482-76</t>
  </si>
  <si>
    <t>27/12/1960</t>
  </si>
  <si>
    <t>Coupure Links 26, 3600 Genk</t>
  </si>
  <si>
    <t>Evgeniy,Yanko,Moustapha,Inès</t>
  </si>
  <si>
    <t>Tim</t>
  </si>
  <si>
    <t>459.84041-20</t>
  </si>
  <si>
    <t>20/01/1983</t>
  </si>
  <si>
    <t>Forelstraat 24, 3740 Bilzen</t>
  </si>
  <si>
    <t>Tim,Hailey</t>
  </si>
  <si>
    <t>Paula</t>
  </si>
  <si>
    <t>Christiaens</t>
  </si>
  <si>
    <t>669.81565-65</t>
  </si>
  <si>
    <t>12/06/1957</t>
  </si>
  <si>
    <t>Eekhoutdriesstraat 72, 3640 Kinrooi</t>
  </si>
  <si>
    <t>Paula,Aurélien,Silvia</t>
  </si>
  <si>
    <t>Luc</t>
  </si>
  <si>
    <t>Bosmans</t>
  </si>
  <si>
    <t>971.85753-10</t>
  </si>
  <si>
    <t>30/12/2001</t>
  </si>
  <si>
    <t>Francisco Ferrerlaan 6, 3530 Houthalen-Helchteren</t>
  </si>
  <si>
    <t>Luc,Loes,Abdelhadi</t>
  </si>
  <si>
    <t>Jorn</t>
  </si>
  <si>
    <t>770.27710-36</t>
  </si>
  <si>
    <t>09/11/2000</t>
  </si>
  <si>
    <t>Dreef 33, 3520 Zonhoven</t>
  </si>
  <si>
    <t>Jorn,Rania,Sibylle,Isabella</t>
  </si>
  <si>
    <t>Emma</t>
  </si>
  <si>
    <t>875.84851-57</t>
  </si>
  <si>
    <t>01/02/1956</t>
  </si>
  <si>
    <t>Frere Orbanlaan 41, 3530 Houthalen-Helchteren</t>
  </si>
  <si>
    <t>Emma,Stan,Nanou,Capucine</t>
  </si>
  <si>
    <t>Jessica</t>
  </si>
  <si>
    <t>Bauwens</t>
  </si>
  <si>
    <t>606.14722-45</t>
  </si>
  <si>
    <t>02/08/1959</t>
  </si>
  <si>
    <t>Jacob Van Arteveldestraat 16, 3500 Hasselt</t>
  </si>
  <si>
    <t>Jessica,Alexy</t>
  </si>
  <si>
    <t>Patrick</t>
  </si>
  <si>
    <t>171.71226-94</t>
  </si>
  <si>
    <t>20/06/1989</t>
  </si>
  <si>
    <t>Borkelaarstraat 28, 3500 Hasselt</t>
  </si>
  <si>
    <t>Patrick,Marcel,Dursun,Adèle,Kris,Kurt,Olivier</t>
  </si>
  <si>
    <t>Danièle</t>
  </si>
  <si>
    <t>430.58143-91</t>
  </si>
  <si>
    <t>14/09/1985</t>
  </si>
  <si>
    <t>Oudevest 1, 3740 Bilzen</t>
  </si>
  <si>
    <t>Danièle,Viviane</t>
  </si>
  <si>
    <t>354.47581-51</t>
  </si>
  <si>
    <t>07/11/1993</t>
  </si>
  <si>
    <t>Kartuizerlaan 23, 3640 Kinrooi</t>
  </si>
  <si>
    <t>Jérôme,Rosalyn,Elia,Lune</t>
  </si>
  <si>
    <t>Magali</t>
  </si>
  <si>
    <t>Van daele</t>
  </si>
  <si>
    <t>601.72241-64</t>
  </si>
  <si>
    <t>17/09/1996</t>
  </si>
  <si>
    <t>Speistraat 1, 3560 Lummen</t>
  </si>
  <si>
    <t>Magali,Alice</t>
  </si>
  <si>
    <t>Verhoeven</t>
  </si>
  <si>
    <t>238.38159-27</t>
  </si>
  <si>
    <t>14/04/1994</t>
  </si>
  <si>
    <t>Forelstraat 55, 3600 Genk</t>
  </si>
  <si>
    <t>Amber,Alain,Clara,Bastian</t>
  </si>
  <si>
    <t>Bassam</t>
  </si>
  <si>
    <t>883.79693-78</t>
  </si>
  <si>
    <t>18/06/1953</t>
  </si>
  <si>
    <t>Gustaaf Callierlaan 27, 3500 Hasselt</t>
  </si>
  <si>
    <t>Bassam,Laurent,Marleen,Catharina</t>
  </si>
  <si>
    <t>Laia</t>
  </si>
  <si>
    <t>959.93380-62</t>
  </si>
  <si>
    <t>22/05/1982</t>
  </si>
  <si>
    <t>Contributiestraat 5, 3890 Vorden</t>
  </si>
  <si>
    <t>Laia,Aurélien,Gaetano,Monique</t>
  </si>
  <si>
    <t>Bertha</t>
  </si>
  <si>
    <t>23.20737-84</t>
  </si>
  <si>
    <t>27/12/1992</t>
  </si>
  <si>
    <t>Limburgstraat 15, 3500 Hasselt</t>
  </si>
  <si>
    <t>Bertha,Joseph,Anneleen</t>
  </si>
  <si>
    <t>Myriam</t>
  </si>
  <si>
    <t>176.24162-66</t>
  </si>
  <si>
    <t>12/04/1998</t>
  </si>
  <si>
    <t>Citadellaan 32, 3831 Herten</t>
  </si>
  <si>
    <t>Aude</t>
  </si>
  <si>
    <t>Hoste</t>
  </si>
  <si>
    <t>488.73194-21</t>
  </si>
  <si>
    <t>09/11/1991</t>
  </si>
  <si>
    <t>Vierweegsestraat 7, 3740 Bilzen</t>
  </si>
  <si>
    <t>Aude,Dominique,Hubert,Valentine,Elvira,Raymonda</t>
  </si>
  <si>
    <t>Chrystel</t>
  </si>
  <si>
    <t>Jacobs</t>
  </si>
  <si>
    <t>841.13155-67</t>
  </si>
  <si>
    <t>25/05/1965</t>
  </si>
  <si>
    <t>Schouwingsstraat 12, 3890 Vorden</t>
  </si>
  <si>
    <t>Chrystel,Chantal,Maely,Ahmed</t>
  </si>
  <si>
    <t>Andrée</t>
  </si>
  <si>
    <t>523.74384-39</t>
  </si>
  <si>
    <t>25/04/1967</t>
  </si>
  <si>
    <t>Jakob Van Caeneghemstraat 38, 3520 Zonhoven</t>
  </si>
  <si>
    <t>Andrée,Samir,Ghislaine,Nancy</t>
  </si>
  <si>
    <t>Kathleen</t>
  </si>
  <si>
    <t>492.48619-82</t>
  </si>
  <si>
    <t>20/01/1993</t>
  </si>
  <si>
    <t>Alpacastraat 38, 3940 Hechtel-Eksel</t>
  </si>
  <si>
    <t>Mamadi</t>
  </si>
  <si>
    <t>233.90434-17</t>
  </si>
  <si>
    <t>21/05/1974</t>
  </si>
  <si>
    <t>Kortrijksesteenweg 44, 3800 Sint-Truiden</t>
  </si>
  <si>
    <t>Mamadi,Marijke,Ann,Sandra</t>
  </si>
  <si>
    <t>Amrou</t>
  </si>
  <si>
    <t>273.25869-59</t>
  </si>
  <si>
    <t>20/08/1984</t>
  </si>
  <si>
    <t>Stropkaai 62, 3540 Herk-de-Stad</t>
  </si>
  <si>
    <t>197.17155-14</t>
  </si>
  <si>
    <t>18/10/1950</t>
  </si>
  <si>
    <t>Wiedauwkaai 47, 3500 Hasselt</t>
  </si>
  <si>
    <t>Eric,Recep</t>
  </si>
  <si>
    <t>Evelyne</t>
  </si>
  <si>
    <t>Colson</t>
  </si>
  <si>
    <t>289.60993-70</t>
  </si>
  <si>
    <t>14/02/1956</t>
  </si>
  <si>
    <t>Sanderswal 44, 3600 Genk</t>
  </si>
  <si>
    <t>Evelyne,Dominique</t>
  </si>
  <si>
    <t>Johnny</t>
  </si>
  <si>
    <t>De meyer</t>
  </si>
  <si>
    <t>88.64529-39</t>
  </si>
  <si>
    <t>04/01/1975</t>
  </si>
  <si>
    <t>Lavendelstraat 20, 3500 Hasselt</t>
  </si>
  <si>
    <t>Johnny,Violette</t>
  </si>
  <si>
    <t>Laurie</t>
  </si>
  <si>
    <t>Vanneste</t>
  </si>
  <si>
    <t>657.20096-43</t>
  </si>
  <si>
    <t>05/01/1981</t>
  </si>
  <si>
    <t>Singel 45, 3500 Hasselt</t>
  </si>
  <si>
    <t>Laurie,Beata</t>
  </si>
  <si>
    <t>Jin</t>
  </si>
  <si>
    <t>801.35692-62</t>
  </si>
  <si>
    <t>07/03/1958</t>
  </si>
  <si>
    <t>Bloemistenstraat 1, 3500 Hasselt</t>
  </si>
  <si>
    <t>Jin,Lucas,Erik</t>
  </si>
  <si>
    <t>Mike</t>
  </si>
  <si>
    <t>950.65444-91</t>
  </si>
  <si>
    <t>08/12/1985</t>
  </si>
  <si>
    <t>Heinakker 7, 3720 Kortessem</t>
  </si>
  <si>
    <t>Mike,Dariusz</t>
  </si>
  <si>
    <t>Tatiana</t>
  </si>
  <si>
    <t>985.39257-27</t>
  </si>
  <si>
    <t>06/05/1993</t>
  </si>
  <si>
    <t>Poortakkerstraat 4, 3520 Zonhoven</t>
  </si>
  <si>
    <t>Tatiana,Sofia,Jacqueline,Rutger</t>
  </si>
  <si>
    <t>Joëy</t>
  </si>
  <si>
    <t>Lefebvre</t>
  </si>
  <si>
    <t>502.60471-24</t>
  </si>
  <si>
    <t>26/02/1958</t>
  </si>
  <si>
    <t>Korenlei 71, 3831 Herten</t>
  </si>
  <si>
    <t>Joëy,Jan</t>
  </si>
  <si>
    <t>Timmermans</t>
  </si>
  <si>
    <t>242.90124-74</t>
  </si>
  <si>
    <t>22/07/1949</t>
  </si>
  <si>
    <t>Oscar De Reusestraat 36, 3770 Riemst</t>
  </si>
  <si>
    <t>Michel,Ibrahim</t>
  </si>
  <si>
    <t>Dalia</t>
  </si>
  <si>
    <t>Denis</t>
  </si>
  <si>
    <t>575.88607-28</t>
  </si>
  <si>
    <t>01/11/1945</t>
  </si>
  <si>
    <t>Hoogstraat 67, 3600 Genk</t>
  </si>
  <si>
    <t>Dalia,Danthé</t>
  </si>
  <si>
    <t>André</t>
  </si>
  <si>
    <t>604.64882-92</t>
  </si>
  <si>
    <t>06/09/1947</t>
  </si>
  <si>
    <t>Korte Meer 5, 3740 Bilzen</t>
  </si>
  <si>
    <t>André,Véronique</t>
  </si>
  <si>
    <t>Reyyan</t>
  </si>
  <si>
    <t>425.60103-62</t>
  </si>
  <si>
    <t>06/09/1991</t>
  </si>
  <si>
    <t>Tuinwijk Ter Heide 12, 3620 Lanaken</t>
  </si>
  <si>
    <t>Reyyan,Petra,Massa,Laurène,Kaat</t>
  </si>
  <si>
    <t>Camille</t>
  </si>
  <si>
    <t>130.76173-22</t>
  </si>
  <si>
    <t>19/01/1992</t>
  </si>
  <si>
    <t>Lange Kruisstraat 22, 3500 Hasselt</t>
  </si>
  <si>
    <t>393.18732-89</t>
  </si>
  <si>
    <t>New-orleansstraat 53, 3630 Maasmechelen</t>
  </si>
  <si>
    <t>Guy,Nisa,Flora,Griet</t>
  </si>
  <si>
    <t>405.61847-47</t>
  </si>
  <si>
    <t>11/11/1972</t>
  </si>
  <si>
    <t>Kruisstraat 10, 3660 Opglabbeek</t>
  </si>
  <si>
    <t>Marianne,Dana,Anneke</t>
  </si>
  <si>
    <t>Margot</t>
  </si>
  <si>
    <t>188.40882-67</t>
  </si>
  <si>
    <t>24/03/1946</t>
  </si>
  <si>
    <t>Maaltebruggestraat 71, 3831 Herten</t>
  </si>
  <si>
    <t>Margot,Johanna</t>
  </si>
  <si>
    <t>Toni</t>
  </si>
  <si>
    <t>296.40001-14</t>
  </si>
  <si>
    <t>01/07/1958</t>
  </si>
  <si>
    <t>Keuze 32, 3740 Rijkhoven</t>
  </si>
  <si>
    <t>Toni,Arif,Joëlle,Vicky</t>
  </si>
  <si>
    <t>Martens</t>
  </si>
  <si>
    <t>222.26454-64</t>
  </si>
  <si>
    <t>27/02/1957</t>
  </si>
  <si>
    <t>Vierweegsestraat 27, 3500 Hasselt</t>
  </si>
  <si>
    <t>Carlos,Jim</t>
  </si>
  <si>
    <t>Bilal</t>
  </si>
  <si>
    <t>292.46311-70</t>
  </si>
  <si>
    <t>26/12/2004</t>
  </si>
  <si>
    <t>Hogeheerweg 60, 3690 Zutendaal</t>
  </si>
  <si>
    <t>Bilal,Jeannette,Jeannette,Victor,Sylwia</t>
  </si>
  <si>
    <t>Tamara</t>
  </si>
  <si>
    <t>Sterckx</t>
  </si>
  <si>
    <t>308.15274-75</t>
  </si>
  <si>
    <t>29/11/1950</t>
  </si>
  <si>
    <t>Belgiëlaan 23, 3680 Maaseik</t>
  </si>
  <si>
    <t>Tamara,Philippe</t>
  </si>
  <si>
    <t>Marie-Christine</t>
  </si>
  <si>
    <t>995.18108-18</t>
  </si>
  <si>
    <t>13/01/1990</t>
  </si>
  <si>
    <t>Einde Were 90, 3800 Sint-Truiden</t>
  </si>
  <si>
    <t>Marie-Christine,Hildegarde,Harry,Jens</t>
  </si>
  <si>
    <t>Lotte</t>
  </si>
  <si>
    <t>51.40163-16</t>
  </si>
  <si>
    <t>12/02/1999</t>
  </si>
  <si>
    <t>Heernislaan 30, 3530 Houthalen-Helchteren</t>
  </si>
  <si>
    <t>Lotte,Martin,Tania</t>
  </si>
  <si>
    <t>Yann</t>
  </si>
  <si>
    <t>692.48286-30</t>
  </si>
  <si>
    <t>16/08/1960</t>
  </si>
  <si>
    <t>Coupure 24, 3900 Overpelt</t>
  </si>
  <si>
    <t>Rachel</t>
  </si>
  <si>
    <t>Desmet</t>
  </si>
  <si>
    <t>398.64891-76</t>
  </si>
  <si>
    <t>25/09/1957</t>
  </si>
  <si>
    <t>Clarissenstraat 19, 3720 Kortessem</t>
  </si>
  <si>
    <t>Rachel,Zoé</t>
  </si>
  <si>
    <t>Isabelle</t>
  </si>
  <si>
    <t>Nys</t>
  </si>
  <si>
    <t>226.87796-89</t>
  </si>
  <si>
    <t>24/12/1980</t>
  </si>
  <si>
    <t>Beekstraatkouter 10, 3530 Houthalen-Helchteren</t>
  </si>
  <si>
    <t>Isabelle,Mario</t>
  </si>
  <si>
    <t>Lore</t>
  </si>
  <si>
    <t>984.76780-12</t>
  </si>
  <si>
    <t>26/08/1967</t>
  </si>
  <si>
    <t>Belgiëlaan 59, 3500 Hasselt</t>
  </si>
  <si>
    <t>Lore,Iman,Anthony,Fons</t>
  </si>
  <si>
    <t>Léo</t>
  </si>
  <si>
    <t>14.99371-52</t>
  </si>
  <si>
    <t>12/09/1991</t>
  </si>
  <si>
    <t>Mail 10, 3500 Hasselt</t>
  </si>
  <si>
    <t>Henri</t>
  </si>
  <si>
    <t>Everaert</t>
  </si>
  <si>
    <t>194.87698-26</t>
  </si>
  <si>
    <t>07/09/2003</t>
  </si>
  <si>
    <t>Visserij 41, 3891 Meilen</t>
  </si>
  <si>
    <t>Henri,Charlotte,Rosan,Willy</t>
  </si>
  <si>
    <t>Edithe</t>
  </si>
  <si>
    <t>395.53085-21</t>
  </si>
  <si>
    <t>24/06/1956</t>
  </si>
  <si>
    <t>Aaigemstraat 51, 3670 Meeuwen-Gruitrode</t>
  </si>
  <si>
    <t>Edithe,Anne,René</t>
  </si>
  <si>
    <t>Loïc</t>
  </si>
  <si>
    <t>Van hove</t>
  </si>
  <si>
    <t>131.12349-79</t>
  </si>
  <si>
    <t>23/09/2001</t>
  </si>
  <si>
    <t>Ledergemstraat 59, 3500 Hasselt</t>
  </si>
  <si>
    <t>Loïc,Marie,Rubina</t>
  </si>
  <si>
    <t>Sascha</t>
  </si>
  <si>
    <t>Gilson</t>
  </si>
  <si>
    <t>107.97771-33</t>
  </si>
  <si>
    <t>23/11/1960</t>
  </si>
  <si>
    <t>Sint-denijslaan 36, 3840 Borgloon</t>
  </si>
  <si>
    <t>Sascha,Melissa</t>
  </si>
  <si>
    <t>Vincent</t>
  </si>
  <si>
    <t>870.88307-28</t>
  </si>
  <si>
    <t>09/11/1978</t>
  </si>
  <si>
    <t>Acacialaan 87, 3850 Nieuwerkerken</t>
  </si>
  <si>
    <t>Jean</t>
  </si>
  <si>
    <t>591.66759-34</t>
  </si>
  <si>
    <t>15/11/1958</t>
  </si>
  <si>
    <t>Onafhankelijkheidslaan 22, 3890 Gingelom</t>
  </si>
  <si>
    <t>Jean,Annie,Herman</t>
  </si>
  <si>
    <t>Marino</t>
  </si>
  <si>
    <t>972.10185-76</t>
  </si>
  <si>
    <t>17/11/1947</t>
  </si>
  <si>
    <t>Marekstraat 11, 3831 Herten</t>
  </si>
  <si>
    <t>566.81774-72</t>
  </si>
  <si>
    <t>30/04/1948</t>
  </si>
  <si>
    <t>Afsneedorp 101, 3890 Vorden</t>
  </si>
  <si>
    <t>Carine,Sam,François,Juan</t>
  </si>
  <si>
    <t>Francesca</t>
  </si>
  <si>
    <t>991.83591-40</t>
  </si>
  <si>
    <t>17/10/1967</t>
  </si>
  <si>
    <t>Napoleon Destanbergstraat 34, 3980 Tessenderlo</t>
  </si>
  <si>
    <t>Francesca,Nadia</t>
  </si>
  <si>
    <t>Daphné</t>
  </si>
  <si>
    <t>772.17088-51</t>
  </si>
  <si>
    <t>29/08/1972</t>
  </si>
  <si>
    <t>Baudelokaai 31, 3500 Hasselt</t>
  </si>
  <si>
    <t>Daphné,Mathilda,Hubert,Irmgard</t>
  </si>
  <si>
    <t>Nancy</t>
  </si>
  <si>
    <t>165.60481-55</t>
  </si>
  <si>
    <t>15/07/1972</t>
  </si>
  <si>
    <t>Groendreef 48, 3550 Heusden-Zolder</t>
  </si>
  <si>
    <t>Nancy,Aisha,Emmanuel,Johannes</t>
  </si>
  <si>
    <t>Mélanie</t>
  </si>
  <si>
    <t>813.27964-55</t>
  </si>
  <si>
    <t>06/12/1950</t>
  </si>
  <si>
    <t>Toemaattragel 58, 3890 Vorden</t>
  </si>
  <si>
    <t>Mélanie,Alban</t>
  </si>
  <si>
    <t>494.15134-19</t>
  </si>
  <si>
    <t>11/07/2003</t>
  </si>
  <si>
    <t>Frederik Burvenichstraat 43, 3890 Vorden</t>
  </si>
  <si>
    <t>Nancy,Luc,Cécile</t>
  </si>
  <si>
    <t>Eline</t>
  </si>
  <si>
    <t>Vandenberghe</t>
  </si>
  <si>
    <t>652.34329-68</t>
  </si>
  <si>
    <t>12/12/2002</t>
  </si>
  <si>
    <t>Werkhuizenstraat 3, 3831 Herten</t>
  </si>
  <si>
    <t>374.91770-44</t>
  </si>
  <si>
    <t>Wittemolenstraat 28, 3630 Maasmechelen</t>
  </si>
  <si>
    <t>Anna,Sanne,René</t>
  </si>
  <si>
    <t>Van de voorde</t>
  </si>
  <si>
    <t>982.59036-98</t>
  </si>
  <si>
    <t>28/03/1983</t>
  </si>
  <si>
    <t>Kalandeberg 8, 3970 Leopoldsburg</t>
  </si>
  <si>
    <t>Maria,Harold</t>
  </si>
  <si>
    <t>450.68989-72</t>
  </si>
  <si>
    <t>11/10/2006</t>
  </si>
  <si>
    <t>Contributiestraat 8, 3920 Lommel</t>
  </si>
  <si>
    <t>Margot,Stéphane,Marine</t>
  </si>
  <si>
    <t>Ludo</t>
  </si>
  <si>
    <t>Gielen</t>
  </si>
  <si>
    <t>245.73783-87</t>
  </si>
  <si>
    <t>Wielewaalstraat 68, 3831 Herten</t>
  </si>
  <si>
    <t>Ludo,Michel,Henri</t>
  </si>
  <si>
    <t>450.48590-30</t>
  </si>
  <si>
    <t>07/04/1973</t>
  </si>
  <si>
    <t>Chartreuzengoed 88, 3500 Hasselt</t>
  </si>
  <si>
    <t>François,Claudine</t>
  </si>
  <si>
    <t>850.40770-18</t>
  </si>
  <si>
    <t>15/10/1979</t>
  </si>
  <si>
    <t>Eekhoutdriesstraat 6, 3680 Maaseik</t>
  </si>
  <si>
    <t>Ivo,Jean-Pierre,Douceline</t>
  </si>
  <si>
    <t>Shari</t>
  </si>
  <si>
    <t>630.53937-70</t>
  </si>
  <si>
    <t>21/08/1984</t>
  </si>
  <si>
    <t>Oscar De Reusestraat 64, 3640 Kinrooi</t>
  </si>
  <si>
    <t>Shari,Senne</t>
  </si>
  <si>
    <t>122.72107-14</t>
  </si>
  <si>
    <t>Hogeheerweg 31, 3550 Heusden-Zolder</t>
  </si>
  <si>
    <t>Maria,Priscilla</t>
  </si>
  <si>
    <t>Leclercq</t>
  </si>
  <si>
    <t>122.19902-10</t>
  </si>
  <si>
    <t>20/02/1952</t>
  </si>
  <si>
    <t>Sportstraat 77, 3500 Hasselt</t>
  </si>
  <si>
    <t>Christiane,Meriem,Bastien,Elsje</t>
  </si>
  <si>
    <t>Marie-Paule</t>
  </si>
  <si>
    <t>Van hoof</t>
  </si>
  <si>
    <t>208.52860-46</t>
  </si>
  <si>
    <t>06/03/1949</t>
  </si>
  <si>
    <t>Willem Tellstraat 61, 3690 Zutendaal</t>
  </si>
  <si>
    <t>Marie-Paule,Felix,Jacquelina</t>
  </si>
  <si>
    <t>Sofiane</t>
  </si>
  <si>
    <t>Lambrechts</t>
  </si>
  <si>
    <t>54.79621-33</t>
  </si>
  <si>
    <t>10/01/1953</t>
  </si>
  <si>
    <t>Kortijksesteenweg 19, 3740 Bilzen</t>
  </si>
  <si>
    <t>Sofiane,Isaac</t>
  </si>
  <si>
    <t>163.45837-18</t>
  </si>
  <si>
    <t>19/11/2001</t>
  </si>
  <si>
    <t>Claeysplein 34, 3500 Hasselt</t>
  </si>
  <si>
    <t>Camille,Benoit,Albane,Jozef</t>
  </si>
  <si>
    <t>31.77665-51</t>
  </si>
  <si>
    <t>17/08/1980</t>
  </si>
  <si>
    <t>Rodekoningstraat 70, 3530 Houthalen-Helchteren</t>
  </si>
  <si>
    <t>Hubert,Luc,Mara</t>
  </si>
  <si>
    <t>Josyane</t>
  </si>
  <si>
    <t>87.90672-81</t>
  </si>
  <si>
    <t>29/03/1955</t>
  </si>
  <si>
    <t>Fernand Scribedreef 21, 3970 Leopoldsburg</t>
  </si>
  <si>
    <t>Josyane,Toby,Elien,Pablo</t>
  </si>
  <si>
    <t>149.50472-76</t>
  </si>
  <si>
    <t>26/06/1987</t>
  </si>
  <si>
    <t>Wiedauwkaai 20, 3630 Maasmechelen</t>
  </si>
  <si>
    <t>Tim,Isabel,Radu,Paul,Chayenne</t>
  </si>
  <si>
    <t>Bourgeois</t>
  </si>
  <si>
    <t>711.73298-50</t>
  </si>
  <si>
    <t>07/12/1948</t>
  </si>
  <si>
    <t>Hubert Frere-orbanlaan 31, 3530 Houthalen-Helchteren</t>
  </si>
  <si>
    <t>Michèle,Juliette,Marco,Francina</t>
  </si>
  <si>
    <t>Johannes</t>
  </si>
  <si>
    <t>Lauwers</t>
  </si>
  <si>
    <t>720.28866-13</t>
  </si>
  <si>
    <t>02/11/1951</t>
  </si>
  <si>
    <t>Heinakker 32, 3650 Dilsen-Stokkem</t>
  </si>
  <si>
    <t>Johannes,Yilmaz</t>
  </si>
  <si>
    <t>Paul</t>
  </si>
  <si>
    <t>De wit</t>
  </si>
  <si>
    <t>753.13946-37</t>
  </si>
  <si>
    <t>31/03/1955</t>
  </si>
  <si>
    <t>Luxemburgstraat 19, 3680 Maaseik</t>
  </si>
  <si>
    <t>Paul,Tilly</t>
  </si>
  <si>
    <t>Sven</t>
  </si>
  <si>
    <t>Collin</t>
  </si>
  <si>
    <t>260.44089-73</t>
  </si>
  <si>
    <t>04/04/2001</t>
  </si>
  <si>
    <t>Schoolstraat 54, 3930 Hamont-Achel</t>
  </si>
  <si>
    <t>Sven,Lilie,Pedro</t>
  </si>
  <si>
    <t>Rachid</t>
  </si>
  <si>
    <t>988.32018-31</t>
  </si>
  <si>
    <t>02/11/1949</t>
  </si>
  <si>
    <t>Jan Baptist Davidstraat 9, 3600 Genk</t>
  </si>
  <si>
    <t>Rachid,Soufia,Féline,Nina</t>
  </si>
  <si>
    <t>Leysen</t>
  </si>
  <si>
    <t>394.45337-53</t>
  </si>
  <si>
    <t>20/04/1945</t>
  </si>
  <si>
    <t>Prudens Van Duyseplein 30, 3600 Genk</t>
  </si>
  <si>
    <t>Tony,Thomas,Mykhailo</t>
  </si>
  <si>
    <t>Ana</t>
  </si>
  <si>
    <t>285.60509-58</t>
  </si>
  <si>
    <t>17/08/1969</t>
  </si>
  <si>
    <t>Zeeschipstraat 53, 3620 Lanaken</t>
  </si>
  <si>
    <t>Ana,June,Taylor,Mohammed,Arna</t>
  </si>
  <si>
    <t>Nora</t>
  </si>
  <si>
    <t>544.89640-88</t>
  </si>
  <si>
    <t>16/11/1990</t>
  </si>
  <si>
    <t>Kiekenbosstraat 17, 3970 Leopoldsburg</t>
  </si>
  <si>
    <t>Nora,Mats,Roxane,Andreea,Bas</t>
  </si>
  <si>
    <t>764.72888-62</t>
  </si>
  <si>
    <t>08/04/1949</t>
  </si>
  <si>
    <t>Hurstweg 41, 3920 Lommel</t>
  </si>
  <si>
    <t>Koen,Raphaël</t>
  </si>
  <si>
    <t>Hélène</t>
  </si>
  <si>
    <t>23.73590-92</t>
  </si>
  <si>
    <t>25/09/1958</t>
  </si>
  <si>
    <t>Prinses Clementinalaan 31, 3590 Diepenbeek</t>
  </si>
  <si>
    <t>Bogaerts</t>
  </si>
  <si>
    <t>708.40603-55</t>
  </si>
  <si>
    <t>15/03/1998</t>
  </si>
  <si>
    <t>Kantienberg 19, 3831 Herten</t>
  </si>
  <si>
    <t>Maria,Marie,Carina,Patricia,Maxime</t>
  </si>
  <si>
    <t>Fabritio</t>
  </si>
  <si>
    <t>269.87357-33</t>
  </si>
  <si>
    <t>17/09/1987</t>
  </si>
  <si>
    <t>Brugsesteenweg 21, 3831 Herten</t>
  </si>
  <si>
    <t>Fabritio,Orlanne,Sonja</t>
  </si>
  <si>
    <t>44.41710-97</t>
  </si>
  <si>
    <t>01/06/1973</t>
  </si>
  <si>
    <t>Leieriggestraat 10, 3770 Riemst</t>
  </si>
  <si>
    <t>Fatima,Elien,Maria,El,Jeroen</t>
  </si>
  <si>
    <t>Dardan</t>
  </si>
  <si>
    <t>Moerman</t>
  </si>
  <si>
    <t>732.90270-74</t>
  </si>
  <si>
    <t>20/04/1948</t>
  </si>
  <si>
    <t>Snepkaai 59, 3920 Lommel</t>
  </si>
  <si>
    <t>Dardan,Marieanne</t>
  </si>
  <si>
    <t>Josée</t>
  </si>
  <si>
    <t>587.45897-16</t>
  </si>
  <si>
    <t>27/12/1965</t>
  </si>
  <si>
    <t>Bollewerkstraat 54, 3700 Tongeren</t>
  </si>
  <si>
    <t>Josée,David,Théo,Carmela,Frédérique</t>
  </si>
  <si>
    <t>Tenzin</t>
  </si>
  <si>
    <t>439.11167-98</t>
  </si>
  <si>
    <t>30/08/1974</t>
  </si>
  <si>
    <t>Romain Clausstraat 115, 3680 Maaseik</t>
  </si>
  <si>
    <t>Tenzin,Dirk,Saar,Jean</t>
  </si>
  <si>
    <t>Jeannine</t>
  </si>
  <si>
    <t>451.50089-68</t>
  </si>
  <si>
    <t>01/10/1977</t>
  </si>
  <si>
    <t>Oscar Colbrandtstraat 45, 3930 Hamont-Achel</t>
  </si>
  <si>
    <t>Jeannine,Tom,Henricus,Julien</t>
  </si>
  <si>
    <t>Émilie</t>
  </si>
  <si>
    <t>Guillaume</t>
  </si>
  <si>
    <t>40.73817-17</t>
  </si>
  <si>
    <t>13/11/1990</t>
  </si>
  <si>
    <t>Congreslaan 24, 3500 Hasselt</t>
  </si>
  <si>
    <t>Émilie,Cynthia,Maxime,Wim,Benjamin</t>
  </si>
  <si>
    <t>Margaretha</t>
  </si>
  <si>
    <t>612.75661-11</t>
  </si>
  <si>
    <t>17/12/1960</t>
  </si>
  <si>
    <t>Oude-abdijstraat 86, 3680 Maaseik</t>
  </si>
  <si>
    <t>Elien</t>
  </si>
  <si>
    <t>315.77582-45</t>
  </si>
  <si>
    <t>11/06/1996</t>
  </si>
  <si>
    <t>Europalaan 34, 3770 Riemst</t>
  </si>
  <si>
    <t>Elien,Els,Jeannine</t>
  </si>
  <si>
    <t>Iara</t>
  </si>
  <si>
    <t>Engelen</t>
  </si>
  <si>
    <t>618.72408-81</t>
  </si>
  <si>
    <t>16/04/1951</t>
  </si>
  <si>
    <t>Verlorensteenstraat 10, 3600 Genk</t>
  </si>
  <si>
    <t>Iara,Willy</t>
  </si>
  <si>
    <t>119.39189-50</t>
  </si>
  <si>
    <t>15/05/1966</t>
  </si>
  <si>
    <t>Zeeschipstraat 27, 3910 Neerpelt</t>
  </si>
  <si>
    <t>Maria,Sarah</t>
  </si>
  <si>
    <t>Francine</t>
  </si>
  <si>
    <t>806.61211-22</t>
  </si>
  <si>
    <t>15/08/1958</t>
  </si>
  <si>
    <t>Nieuwevaart 11, 3560 Lummen</t>
  </si>
  <si>
    <t>Francine,Christine,Sven,Ahmed</t>
  </si>
  <si>
    <t>Fabienne</t>
  </si>
  <si>
    <t>835.74523-36</t>
  </si>
  <si>
    <t>10/07/1994</t>
  </si>
  <si>
    <t>Leiekaai 4, 3680 Maaseik</t>
  </si>
  <si>
    <t>Lot</t>
  </si>
  <si>
    <t>Coppens</t>
  </si>
  <si>
    <t>489.25373-13</t>
  </si>
  <si>
    <t>09/12/1966</t>
  </si>
  <si>
    <t>Frans Van Ryhovelaan 64, 3500 Hasselt</t>
  </si>
  <si>
    <t>343.16989-77</t>
  </si>
  <si>
    <t>12/02/1964</t>
  </si>
  <si>
    <t>Ivonna Nevejanstraat 28, 3920 Lommel</t>
  </si>
  <si>
    <t>Thomas,Thomas,Nassim,Laurens</t>
  </si>
  <si>
    <t>Arno</t>
  </si>
  <si>
    <t>Hermans</t>
  </si>
  <si>
    <t>395.37538-28</t>
  </si>
  <si>
    <t>11/01/1947</t>
  </si>
  <si>
    <t>Doornzelestraat 16, 3920 Lommel</t>
  </si>
  <si>
    <t>Arno,Yvonne</t>
  </si>
  <si>
    <t>An</t>
  </si>
  <si>
    <t>Joris</t>
  </si>
  <si>
    <t>447.52934-94</t>
  </si>
  <si>
    <t>28/09/1971</t>
  </si>
  <si>
    <t>Zuiddokweg 36, 3500 Hasselt</t>
  </si>
  <si>
    <t>An,Léana,Najat,Georges,Jule</t>
  </si>
  <si>
    <t>Nassira</t>
  </si>
  <si>
    <t>536.94978-17</t>
  </si>
  <si>
    <t>25/05/1961</t>
  </si>
  <si>
    <t>St-baafsplein 49, 3970 Leopoldsburg</t>
  </si>
  <si>
    <t>Nassira,Vladimir,Sarah</t>
  </si>
  <si>
    <t>915.20949-69</t>
  </si>
  <si>
    <t>09/07/1989</t>
  </si>
  <si>
    <t>Ketelvest 75, 3920 Lommel</t>
  </si>
  <si>
    <t>Patrick,Serife,Elano</t>
  </si>
  <si>
    <t>Benoît</t>
  </si>
  <si>
    <t>979.50141-25</t>
  </si>
  <si>
    <t>Eendrachtstraat 40, 3600 Genk</t>
  </si>
  <si>
    <t>Benoît,Ilian</t>
  </si>
  <si>
    <t>Anouar</t>
  </si>
  <si>
    <t>Daems</t>
  </si>
  <si>
    <t>747.48521-43</t>
  </si>
  <si>
    <t>26/07/1955</t>
  </si>
  <si>
    <t>Voldersstraat 73, 3600 Genk</t>
  </si>
  <si>
    <t>Anouar,Frederik</t>
  </si>
  <si>
    <t>Ewout</t>
  </si>
  <si>
    <t>788.78544-89</t>
  </si>
  <si>
    <t>08/08/1954</t>
  </si>
  <si>
    <t>Pilorijnstraat 25, 3550 Heusden-Zolder</t>
  </si>
  <si>
    <t>Ewout,Tomas,Anaïs,Flor,Olga</t>
  </si>
  <si>
    <t>Özer</t>
  </si>
  <si>
    <t>Huysmans</t>
  </si>
  <si>
    <t>699.91455-62</t>
  </si>
  <si>
    <t>20/11/2002</t>
  </si>
  <si>
    <t>Morekstraat 1, 3600 Genk</t>
  </si>
  <si>
    <t>José</t>
  </si>
  <si>
    <t>554.22458-58</t>
  </si>
  <si>
    <t>07/02/1988</t>
  </si>
  <si>
    <t>Smalleheerweg 49, 3840 Borgloon</t>
  </si>
  <si>
    <t>José,Noah</t>
  </si>
  <si>
    <t>513.33341-11</t>
  </si>
  <si>
    <t>14/11/1946</t>
  </si>
  <si>
    <t>Oktrooiplein 35, 3600 Genk</t>
  </si>
  <si>
    <t>Louis,Michel,Dany,Constantinus</t>
  </si>
  <si>
    <t>Pauline</t>
  </si>
  <si>
    <t>190.24753-18</t>
  </si>
  <si>
    <t>20/06/1953</t>
  </si>
  <si>
    <t>Hofstraat 1, 3590 Diepenbeek</t>
  </si>
  <si>
    <t>Pauline,Wafaa,Yentl,Juliette</t>
  </si>
  <si>
    <t>Dewulf</t>
  </si>
  <si>
    <t>689.49015-25</t>
  </si>
  <si>
    <t>28/12/1967</t>
  </si>
  <si>
    <t>Oktrooiplein 69, 3910 Neerpelt</t>
  </si>
  <si>
    <t>Rachel,Dries</t>
  </si>
  <si>
    <t>René</t>
  </si>
  <si>
    <t>182.78470-58</t>
  </si>
  <si>
    <t>12/04/1957</t>
  </si>
  <si>
    <t>Kraanlei 28, 3831 Herten</t>
  </si>
  <si>
    <t>René,Aurélien</t>
  </si>
  <si>
    <t>Leon</t>
  </si>
  <si>
    <t>256.46218-75</t>
  </si>
  <si>
    <t>03/10/1987</t>
  </si>
  <si>
    <t>Koestraat 89, 3590 Diepenbeek</t>
  </si>
  <si>
    <t>Leon,Felix,André,Wael</t>
  </si>
  <si>
    <t>Piet</t>
  </si>
  <si>
    <t>758.13471-98</t>
  </si>
  <si>
    <t>22/04/1999</t>
  </si>
  <si>
    <t>E3-plein 21, 3600 Genk</t>
  </si>
  <si>
    <t>Piet,Margit,Dany</t>
  </si>
  <si>
    <t>Smits</t>
  </si>
  <si>
    <t>469.10312-69</t>
  </si>
  <si>
    <t>05/10/1985</t>
  </si>
  <si>
    <t>Dok Zuid 60, 3720 Kortessem</t>
  </si>
  <si>
    <t>Fabio,Abdul,Richard</t>
  </si>
  <si>
    <t>Gilberte</t>
  </si>
  <si>
    <t>De paepe</t>
  </si>
  <si>
    <t>361.54259-21</t>
  </si>
  <si>
    <t>18/11/1961</t>
  </si>
  <si>
    <t>Mariakerksesteenweg 8, 3600 Genk</t>
  </si>
  <si>
    <t>Gilberte,Miel</t>
  </si>
  <si>
    <t>Rosa</t>
  </si>
  <si>
    <t>Vercammen</t>
  </si>
  <si>
    <t>84.68280-52</t>
  </si>
  <si>
    <t>16/01/1977</t>
  </si>
  <si>
    <t>Waalbrugstraat 22, 3550 Heusden-Zolder</t>
  </si>
  <si>
    <t>Rosa,Patricia</t>
  </si>
  <si>
    <t>Juan</t>
  </si>
  <si>
    <t>Cornet</t>
  </si>
  <si>
    <t>120.71201-46</t>
  </si>
  <si>
    <t>25/09/1980</t>
  </si>
  <si>
    <t>Drieselstraat 55, 3890 Vorden</t>
  </si>
  <si>
    <t>Juan,Yavin,Jean-Paul</t>
  </si>
  <si>
    <t>Vicky</t>
  </si>
  <si>
    <t>417.28979-19</t>
  </si>
  <si>
    <t>19/01/2004</t>
  </si>
  <si>
    <t>Bomastraat 72, 3900 Overpelt</t>
  </si>
  <si>
    <t>Vicky,Adeline</t>
  </si>
  <si>
    <t>Jack</t>
  </si>
  <si>
    <t>877.77552-37</t>
  </si>
  <si>
    <t>Destelbergenstraat 26, 3770 Oud-Vroenhoven</t>
  </si>
  <si>
    <t>Jack,Benjamin</t>
  </si>
  <si>
    <t>Mariet</t>
  </si>
  <si>
    <t>826.98390-13</t>
  </si>
  <si>
    <t>13/03/1979</t>
  </si>
  <si>
    <t>Kikvortstraat 8, 3560 Lummen</t>
  </si>
  <si>
    <t>Mariet,Shihab</t>
  </si>
  <si>
    <t>210.90862-26</t>
  </si>
  <si>
    <t>10/07/1978</t>
  </si>
  <si>
    <t>Mail 140, 3890 Gingelom</t>
  </si>
  <si>
    <t>Freddy,Sulayman</t>
  </si>
  <si>
    <t>Verhulst</t>
  </si>
  <si>
    <t>770.46425-67</t>
  </si>
  <si>
    <t>26/10/1945</t>
  </si>
  <si>
    <t>Lourdestraat 47, 3500 Hasselt</t>
  </si>
  <si>
    <t>Willy,Zoë</t>
  </si>
  <si>
    <t>Robbe</t>
  </si>
  <si>
    <t>372.27939-78</t>
  </si>
  <si>
    <t>23/02/1992</t>
  </si>
  <si>
    <t>Gebroeders De Cockstraat 128, 3550 Heusden-Zolder</t>
  </si>
  <si>
    <t>Robbe,Nathan,Louise,Kevin</t>
  </si>
  <si>
    <t>De roeck</t>
  </si>
  <si>
    <t>934.31864-53</t>
  </si>
  <si>
    <t>05/03/1978</t>
  </si>
  <si>
    <t>Paul De Smet De Naeyerpl 1, 3550 Heusden-Zolder</t>
  </si>
  <si>
    <t>Mathieu,Alain,Florian</t>
  </si>
  <si>
    <t>Muriel</t>
  </si>
  <si>
    <t>464.70434-29</t>
  </si>
  <si>
    <t>24/07/1997</t>
  </si>
  <si>
    <t>Noordveenakkerstraat 49, 3630 Maasmechelen</t>
  </si>
  <si>
    <t>Muriel,Hanna,Dominique,Eric,Lucas,Sayfdine,Simonne</t>
  </si>
  <si>
    <t>Théa</t>
  </si>
  <si>
    <t>563.60501-57</t>
  </si>
  <si>
    <t>30/10/1991</t>
  </si>
  <si>
    <t>Hoornstraat 2, 3600 Genk</t>
  </si>
  <si>
    <t>Théa,Laïla</t>
  </si>
  <si>
    <t>Lievens</t>
  </si>
  <si>
    <t>247.78000-66</t>
  </si>
  <si>
    <t>27/03/1947</t>
  </si>
  <si>
    <t>Dok Zuid 55, 3970 Leopoldsburg</t>
  </si>
  <si>
    <t>Jean,Idalie,Susana,Guy</t>
  </si>
  <si>
    <t>Daniel</t>
  </si>
  <si>
    <t>530.76491-55</t>
  </si>
  <si>
    <t>05/05/1992</t>
  </si>
  <si>
    <t>Asselsstraat 21, 3640 Kinrooi</t>
  </si>
  <si>
    <t>Daniel,Carina</t>
  </si>
  <si>
    <t>Catharina</t>
  </si>
  <si>
    <t>382.63957-86</t>
  </si>
  <si>
    <t>08/10/2006</t>
  </si>
  <si>
    <t>Ottergemsesteenweg 78, 3550 Heusden-Zolder</t>
  </si>
  <si>
    <t>473.73300-35</t>
  </si>
  <si>
    <t>28/01/1955</t>
  </si>
  <si>
    <t>Boeierstraat 51, 3730 Hoeselt</t>
  </si>
  <si>
    <t>Tony,Denise,Anthony</t>
  </si>
  <si>
    <t>Emi</t>
  </si>
  <si>
    <t>845.83380-16</t>
  </si>
  <si>
    <t>02/02/1981</t>
  </si>
  <si>
    <t>Driepikkelstraat 55, 3550 Heusden-Zolder</t>
  </si>
  <si>
    <t>Emi,Léa,Kevin,Halil</t>
  </si>
  <si>
    <t>Julie</t>
  </si>
  <si>
    <t>404.93360-17</t>
  </si>
  <si>
    <t>28/07/1987</t>
  </si>
  <si>
    <t>Eksaardserijweg 78, 3670 Meeuwen-Gruitrode</t>
  </si>
  <si>
    <t>Julie,Anne,Lisa</t>
  </si>
  <si>
    <t>Mustapha</t>
  </si>
  <si>
    <t>903.57134-47</t>
  </si>
  <si>
    <t>10/01/1963</t>
  </si>
  <si>
    <t>Hieveldstraat 1, 3920 Lommel</t>
  </si>
  <si>
    <t>Mustapha,Benjamin</t>
  </si>
  <si>
    <t>Nijs</t>
  </si>
  <si>
    <t>910.73437-23</t>
  </si>
  <si>
    <t>23/12/1977</t>
  </si>
  <si>
    <t>Achilles Musschestraat 36, 3550 Heusden-Zolder</t>
  </si>
  <si>
    <t>Thomas,Romaysaa,Louise,Anca</t>
  </si>
  <si>
    <t>Mohamed</t>
  </si>
  <si>
    <t>666.17641-50</t>
  </si>
  <si>
    <t>04/01/1950</t>
  </si>
  <si>
    <t>Notarisstraat 42, 3770 Riemst</t>
  </si>
  <si>
    <t>Mohamed,Lucas</t>
  </si>
  <si>
    <t>Yahya</t>
  </si>
  <si>
    <t>727.50657-81</t>
  </si>
  <si>
    <t>07/08/1975</t>
  </si>
  <si>
    <t>Afsneedorp 52, 3620 Lanaken</t>
  </si>
  <si>
    <t>Ludivine</t>
  </si>
  <si>
    <t>648.99783-44</t>
  </si>
  <si>
    <t>13/10/1988</t>
  </si>
  <si>
    <t>Martelaarslaan 14, 3831 Herten</t>
  </si>
  <si>
    <t>Ludivine,Madeleine</t>
  </si>
  <si>
    <t>Chloë</t>
  </si>
  <si>
    <t>27.13590-65</t>
  </si>
  <si>
    <t>01/05/1976</t>
  </si>
  <si>
    <t>Dampoortstraat 92, 3800 Zepperen</t>
  </si>
  <si>
    <t>Chloë,Ilse,Marianne,Muhammad</t>
  </si>
  <si>
    <t>Vèronique</t>
  </si>
  <si>
    <t>Baeyens</t>
  </si>
  <si>
    <t>18.32140-59</t>
  </si>
  <si>
    <t>17/04/1969</t>
  </si>
  <si>
    <t>Oudewee 32, 3740 Bilzen</t>
  </si>
  <si>
    <t>Vèronique,Robertus</t>
  </si>
  <si>
    <t>Marina</t>
  </si>
  <si>
    <t>Vermeire</t>
  </si>
  <si>
    <t>54.18335-74</t>
  </si>
  <si>
    <t>08/04/1979</t>
  </si>
  <si>
    <t>Francisco Ferrerlaan 27, 3600 Genk</t>
  </si>
  <si>
    <t>Marina,Marlena,Rani</t>
  </si>
  <si>
    <t>511.87752-27</t>
  </si>
  <si>
    <t>13/12/1960</t>
  </si>
  <si>
    <t>Ferdinand Lousbergskaai 47, 3520 Zonhoven</t>
  </si>
  <si>
    <t>Ana,Fabienne,Nout</t>
  </si>
  <si>
    <t>Lola</t>
  </si>
  <si>
    <t>184.25931-75</t>
  </si>
  <si>
    <t>28/09/1955</t>
  </si>
  <si>
    <t>Markt 91, 3530 Houthalen-Helchteren</t>
  </si>
  <si>
    <t>Lola,Cristina</t>
  </si>
  <si>
    <t>Shawn</t>
  </si>
  <si>
    <t>Wuyts</t>
  </si>
  <si>
    <t>79.98195-43</t>
  </si>
  <si>
    <t>07/05/1982</t>
  </si>
  <si>
    <t>Schoolstraat 28, 3520 Zonhoven</t>
  </si>
  <si>
    <t>Shawn,Sebastiaan</t>
  </si>
  <si>
    <t>Serge</t>
  </si>
  <si>
    <t>Declerck</t>
  </si>
  <si>
    <t>933.81520-35</t>
  </si>
  <si>
    <t>02/03/1948</t>
  </si>
  <si>
    <t>New-yorkstraat 60, 3800 Sint-Truiden</t>
  </si>
  <si>
    <t>Serge,Antoine,Marie-Hélène,Karen</t>
  </si>
  <si>
    <t>341.83245-67</t>
  </si>
  <si>
    <t>03/10/1997</t>
  </si>
  <si>
    <t>Breestraat 27, 3600 Genk</t>
  </si>
  <si>
    <t>Filip,Marie</t>
  </si>
  <si>
    <t>513.22092-27</t>
  </si>
  <si>
    <t>26/03/1963</t>
  </si>
  <si>
    <t>Fortlaan 49, 3910 Neerpelt</t>
  </si>
  <si>
    <t>Jean,Léah</t>
  </si>
  <si>
    <t>Sonia</t>
  </si>
  <si>
    <t>922.22266-38</t>
  </si>
  <si>
    <t>17/08/1999</t>
  </si>
  <si>
    <t>Singel 143, 3670 Meeuwen-Gruitrode</t>
  </si>
  <si>
    <t>Sonia,Ann,Bastien</t>
  </si>
  <si>
    <t>934.38792-41</t>
  </si>
  <si>
    <t>24/08/1982</t>
  </si>
  <si>
    <t>Bertha Boonantsstraat 51, 3530 Houthalen-Helchteren</t>
  </si>
  <si>
    <t>Dylan</t>
  </si>
  <si>
    <t>402.18620-61</t>
  </si>
  <si>
    <t>18/09/1968</t>
  </si>
  <si>
    <t>Gasmeterlaan 23, 3530 Houthalen-Helchteren</t>
  </si>
  <si>
    <t>Dylan,Benny,Emma,Achille</t>
  </si>
  <si>
    <t>901.60513-98</t>
  </si>
  <si>
    <t>06/06/1994</t>
  </si>
  <si>
    <t>Claeysplein 34, 3790 Voeren</t>
  </si>
  <si>
    <t>Vincent,David,Yassin,Eric</t>
  </si>
  <si>
    <t>Edwin</t>
  </si>
  <si>
    <t>118.62140-40</t>
  </si>
  <si>
    <t>31/01/1956</t>
  </si>
  <si>
    <t>Buffelstraat 9, 3980 Tessenderlo</t>
  </si>
  <si>
    <t>Stas</t>
  </si>
  <si>
    <t>397.34845-81</t>
  </si>
  <si>
    <t>24/01/1978</t>
  </si>
  <si>
    <t>Maisstraat 14, 3630 Maasmechelen</t>
  </si>
  <si>
    <t>Michel,David</t>
  </si>
  <si>
    <t>Mia</t>
  </si>
  <si>
    <t>460.80553-10</t>
  </si>
  <si>
    <t>03/04/1979</t>
  </si>
  <si>
    <t>Raas Van Gaverestraat 61, 3800 Sint-Truiden</t>
  </si>
  <si>
    <t>Mia,Erna</t>
  </si>
  <si>
    <t>Said</t>
  </si>
  <si>
    <t>959.89202-49</t>
  </si>
  <si>
    <t>14/06/1997</t>
  </si>
  <si>
    <t>Bouwmeestersstraat 14, 3891 Meilen</t>
  </si>
  <si>
    <t>Said,Kim,Patrick,Marc,Danny</t>
  </si>
  <si>
    <t>Ludmila</t>
  </si>
  <si>
    <t>745.70448-26</t>
  </si>
  <si>
    <t>24/04/1975</t>
  </si>
  <si>
    <t>Koninging Elisabethlaan 38, 3500 Hasselt</t>
  </si>
  <si>
    <t>Ludmila,Claudia,Thibaut,Mounir,Anne-Marie</t>
  </si>
  <si>
    <t>Mindy</t>
  </si>
  <si>
    <t>176.73186-12</t>
  </si>
  <si>
    <t>29/01/1961</t>
  </si>
  <si>
    <t>Keizervest 98, 3940 Hechtel-Eksel</t>
  </si>
  <si>
    <t>Mindy,Noam,Ali,Dennis,Jozef,Annelies</t>
  </si>
  <si>
    <t>Obaida</t>
  </si>
  <si>
    <t>Verstraeten</t>
  </si>
  <si>
    <t>935.68525-48</t>
  </si>
  <si>
    <t>Borkelaarstraat 63, 3840 Borgloon</t>
  </si>
  <si>
    <t>Obaida,Andre</t>
  </si>
  <si>
    <t>Lisa</t>
  </si>
  <si>
    <t>Dethier</t>
  </si>
  <si>
    <t>986.47157-52</t>
  </si>
  <si>
    <t>17/02/1952</t>
  </si>
  <si>
    <t>Belgiëlaan 40, 3980 Tessenderlo</t>
  </si>
  <si>
    <t>Lisa,Valérie</t>
  </si>
  <si>
    <t>394.42151-38</t>
  </si>
  <si>
    <t>24/01/1983</t>
  </si>
  <si>
    <t>Kortijksesteenweg 20, 3500 Hasselt</t>
  </si>
  <si>
    <t>Christian,Paolo,Mathieu,Catherine</t>
  </si>
  <si>
    <t>462.21779-59</t>
  </si>
  <si>
    <t>17/05/1962</t>
  </si>
  <si>
    <t>Jan Van Stopenberghestraat 35, 3630 Maasmechelen</t>
  </si>
  <si>
    <t>Steve</t>
  </si>
  <si>
    <t>679.74762-65</t>
  </si>
  <si>
    <t>05/02/1991</t>
  </si>
  <si>
    <t>Driepikkelstraat 4, 3970 Leopoldsburg</t>
  </si>
  <si>
    <t>Steve,Sonia,Efkan,Catharine</t>
  </si>
  <si>
    <t>Nathalie</t>
  </si>
  <si>
    <t>595.40025-39</t>
  </si>
  <si>
    <t>15/06/1994</t>
  </si>
  <si>
    <t>Ledebergstraat 36, 3550 Heusden-Zolder</t>
  </si>
  <si>
    <t>Nathalie,Dominique</t>
  </si>
  <si>
    <t>Carlier</t>
  </si>
  <si>
    <t>871.37647-33</t>
  </si>
  <si>
    <t>20/03/1948</t>
  </si>
  <si>
    <t>Koopvaardijlaan 76, 3670 Meeuwen-Gruitrode</t>
  </si>
  <si>
    <t>Gilberte,Rosette,Anna,Ellen</t>
  </si>
  <si>
    <t>Mya</t>
  </si>
  <si>
    <t>364.88861-91</t>
  </si>
  <si>
    <t>08/08/1947</t>
  </si>
  <si>
    <t>Lavendelstraat 22, 3870 Heers</t>
  </si>
  <si>
    <t>Mya,Ben,Chantal,Yoann</t>
  </si>
  <si>
    <t>Dalila</t>
  </si>
  <si>
    <t>Vandevelde</t>
  </si>
  <si>
    <t>775.94673-81</t>
  </si>
  <si>
    <t>13/12/1964</t>
  </si>
  <si>
    <t>François Benardstraat 62, 3600 Genk</t>
  </si>
  <si>
    <t>Dalila,Maria,Mathieu</t>
  </si>
  <si>
    <t>Antoine</t>
  </si>
  <si>
    <t>795.57226-20</t>
  </si>
  <si>
    <t>01/01/1976</t>
  </si>
  <si>
    <t>Abdisstraat 25, 3700 Tongeren</t>
  </si>
  <si>
    <t>Monique</t>
  </si>
  <si>
    <t>Deckers</t>
  </si>
  <si>
    <t>533.28779-62</t>
  </si>
  <si>
    <t>21/06/1980</t>
  </si>
  <si>
    <t>Vogelzang 12, 3680 Maaseik</t>
  </si>
  <si>
    <t>Monique,Nikolai,Fares,Alia</t>
  </si>
  <si>
    <t>Femke</t>
  </si>
  <si>
    <t>426.92600-40</t>
  </si>
  <si>
    <t>Bevrijdingslaan 17, 3600 Genk</t>
  </si>
  <si>
    <t>Femke,Jasmien</t>
  </si>
  <si>
    <t>222.27295-62</t>
  </si>
  <si>
    <t>03/01/1966</t>
  </si>
  <si>
    <t>Jef Crickstraat 6, 3600 Genk</t>
  </si>
  <si>
    <t>Stijn,Jordan</t>
  </si>
  <si>
    <t>Kim</t>
  </si>
  <si>
    <t>533.23524-79</t>
  </si>
  <si>
    <t>05/09/1949</t>
  </si>
  <si>
    <t>Frans Louwersstraat 70, 3910 Neerpelt</t>
  </si>
  <si>
    <t>Kim,Chantal,Cassandra,Salmane,Uzma</t>
  </si>
  <si>
    <t>28.46052-45</t>
  </si>
  <si>
    <t>Keuze 62, 3530 Houthalen-Helchteren</t>
  </si>
  <si>
    <t>François,Jean-Charles</t>
  </si>
  <si>
    <t>Elyana</t>
  </si>
  <si>
    <t>Bodart</t>
  </si>
  <si>
    <t>845.73989-81</t>
  </si>
  <si>
    <t>01/08/1992</t>
  </si>
  <si>
    <t>Kortemunt 44, 3660 Opglabbeek</t>
  </si>
  <si>
    <t>Taher</t>
  </si>
  <si>
    <t>916.27578-71</t>
  </si>
  <si>
    <t>07/11/1945</t>
  </si>
  <si>
    <t>Forelstraat 33, 3550 Heusden-Zolder</t>
  </si>
  <si>
    <t>Taher,Ziggy</t>
  </si>
  <si>
    <t>150.48480-43</t>
  </si>
  <si>
    <t>18/01/1972</t>
  </si>
  <si>
    <t>Sint-baafsplein 77, 3831 Herten</t>
  </si>
  <si>
    <t>Tony,Albert,Marinette,Sonja</t>
  </si>
  <si>
    <t>Ingrid</t>
  </si>
  <si>
    <t>533.18190-71</t>
  </si>
  <si>
    <t>24/06/1960</t>
  </si>
  <si>
    <t>Onafhankelijkheidslaan 20, 3500 Hasselt</t>
  </si>
  <si>
    <t>Ingrid,Sophie</t>
  </si>
  <si>
    <t>Martine</t>
  </si>
  <si>
    <t>603.29496-57</t>
  </si>
  <si>
    <t>23/04/1950</t>
  </si>
  <si>
    <t>Pijphoekstraat 46, 3831 Herten</t>
  </si>
  <si>
    <t>Martine,Jeanine</t>
  </si>
  <si>
    <t>Van de velde</t>
  </si>
  <si>
    <t>300.87798-98</t>
  </si>
  <si>
    <t>22/07/1972</t>
  </si>
  <si>
    <t>Oudebareelstraat 21, 3890 Vorden</t>
  </si>
  <si>
    <t>Emma,Murielle,Rafaela</t>
  </si>
  <si>
    <t>Alain</t>
  </si>
  <si>
    <t>159.20027-66</t>
  </si>
  <si>
    <t>26/06/1956</t>
  </si>
  <si>
    <t>Twaalfapostelenstraat 13, 3910 Neerpelt</t>
  </si>
  <si>
    <t>Alain,Juliette</t>
  </si>
  <si>
    <t>Sami</t>
  </si>
  <si>
    <t>Decock</t>
  </si>
  <si>
    <t>286.37364-16</t>
  </si>
  <si>
    <t>17/05/1997</t>
  </si>
  <si>
    <t>Tennisbaanstraat 69, 3670 Meeuwen-Gruitrode</t>
  </si>
  <si>
    <t>Sami,Marianne,Musa,Vanessa,Nina</t>
  </si>
  <si>
    <t>68.17203-43</t>
  </si>
  <si>
    <t>10/02/1981</t>
  </si>
  <si>
    <t>Elyzeese Velden 36, 3650 Dilsen-Stokkem</t>
  </si>
  <si>
    <t>Hilde,Pascal,Nathan,Bram,Louis</t>
  </si>
  <si>
    <t>Vanessa</t>
  </si>
  <si>
    <t>793.56765-31</t>
  </si>
  <si>
    <t>Marekstraat 31, 3900 Overpelt</t>
  </si>
  <si>
    <t>Vanessa,Viviane</t>
  </si>
  <si>
    <t>Steven</t>
  </si>
  <si>
    <t>744.49581-58</t>
  </si>
  <si>
    <t>Jacob Van Arteveldestraat 72, 3530 Houthalen-Helchteren</t>
  </si>
  <si>
    <t>Steven,Constant,Henri,Kevin</t>
  </si>
  <si>
    <t>Peggy</t>
  </si>
  <si>
    <t>66.93744-68</t>
  </si>
  <si>
    <t>08/09/1991</t>
  </si>
  <si>
    <t>Ferdinand Lousbergskaai 1, 3920 Lommel</t>
  </si>
  <si>
    <t>Peggy,Bouchra,Jules,Sumitra,Delphine</t>
  </si>
  <si>
    <t>785.55992-19</t>
  </si>
  <si>
    <t>14/01/1970</t>
  </si>
  <si>
    <t>Onze-lieve-vrouwdreef 58, 3550 Heusden-Zolder</t>
  </si>
  <si>
    <t>Amira</t>
  </si>
  <si>
    <t>419.25199-36</t>
  </si>
  <si>
    <t>17/11/1986</t>
  </si>
  <si>
    <t>Proeftuinstraat 4, 3600 Genk</t>
  </si>
  <si>
    <t>Amira,Didier,Peter</t>
  </si>
  <si>
    <t>Vanhove</t>
  </si>
  <si>
    <t>431.62661-66</t>
  </si>
  <si>
    <t>02/09/1957</t>
  </si>
  <si>
    <t>Motorstraat 28, 3831 Herten</t>
  </si>
  <si>
    <t>Julie,Lenka</t>
  </si>
  <si>
    <t>686.33127-63</t>
  </si>
  <si>
    <t>21/10/1957</t>
  </si>
  <si>
    <t>Schepenhuisstraat 17, 3500 Hasselt</t>
  </si>
  <si>
    <t>Billie,Juliana,Stef,Christine</t>
  </si>
  <si>
    <t>Justine</t>
  </si>
  <si>
    <t>242.10037-18</t>
  </si>
  <si>
    <t>10/12/1958</t>
  </si>
  <si>
    <t>Steenakker 45, 3630 Maasmechelen</t>
  </si>
  <si>
    <t>Justine,Lutgarde</t>
  </si>
  <si>
    <t>Virginie</t>
  </si>
  <si>
    <t>190.87417-66</t>
  </si>
  <si>
    <t>Klimoplaan 50, 3700 Tongeren</t>
  </si>
  <si>
    <t>Virginie,Lode,Isabel,Alicia</t>
  </si>
  <si>
    <t>Adele</t>
  </si>
  <si>
    <t>Smeets</t>
  </si>
  <si>
    <t>972.89367-57</t>
  </si>
  <si>
    <t>02/06/1949</t>
  </si>
  <si>
    <t>Keizer Karelstraat 10, 3590 Diepenbeek</t>
  </si>
  <si>
    <t>Adele,Valeria,Wim</t>
  </si>
  <si>
    <t>Remy</t>
  </si>
  <si>
    <t>202.99674-39</t>
  </si>
  <si>
    <t>20/11/1982</t>
  </si>
  <si>
    <t>Ter Platen 93, 3630 Maasmechelen</t>
  </si>
  <si>
    <t>Mohamed,Giuseppe,Justine</t>
  </si>
  <si>
    <t>Linda</t>
  </si>
  <si>
    <t>Callewaert</t>
  </si>
  <si>
    <t>132.99072-38</t>
  </si>
  <si>
    <t>18/01/1946</t>
  </si>
  <si>
    <t>Mimosastraat 102, 3630 Maasmechelen</t>
  </si>
  <si>
    <t>Linda,Yano,Igor,Dominique,Ayoub</t>
  </si>
  <si>
    <t>Annie</t>
  </si>
  <si>
    <t>701.60741-85</t>
  </si>
  <si>
    <t>02/10/1974</t>
  </si>
  <si>
    <t>Ridderstraat 32, 3630 Maasmechelen</t>
  </si>
  <si>
    <t>Narong</t>
  </si>
  <si>
    <t>919.95319-45</t>
  </si>
  <si>
    <t>14/10/1961</t>
  </si>
  <si>
    <t>Destelbergenstraat 2, 3890 Gingelom</t>
  </si>
  <si>
    <t>Narong,Adnan,Sébastien</t>
  </si>
  <si>
    <t>Tifanny</t>
  </si>
  <si>
    <t>429.90639-81</t>
  </si>
  <si>
    <t>26/01/1986</t>
  </si>
  <si>
    <t>Gaston Crommenlaan 1, 3660 Opglabbeek</t>
  </si>
  <si>
    <t>Tifanny,Johan</t>
  </si>
  <si>
    <t>Eléonore</t>
  </si>
  <si>
    <t>Descamps</t>
  </si>
  <si>
    <t>875.86037-30</t>
  </si>
  <si>
    <t>31/05/1983</t>
  </si>
  <si>
    <t>Jan Delvinlaan 19, 3840 Borgloon</t>
  </si>
  <si>
    <t>Eléonore,Judith,Delphine</t>
  </si>
  <si>
    <t>199.78443-10</t>
  </si>
  <si>
    <t>18/01/1996</t>
  </si>
  <si>
    <t>Poolse - Winglaan 36, 3770 Riemst</t>
  </si>
  <si>
    <t>Marc,Carina,Marije,Thalya</t>
  </si>
  <si>
    <t>Zakaria</t>
  </si>
  <si>
    <t>853.69758-32</t>
  </si>
  <si>
    <t>22/03/1997</t>
  </si>
  <si>
    <t>Harlekijnstraat 35, 3590 Diepenbeek</t>
  </si>
  <si>
    <t>Zakaria,Anas</t>
  </si>
  <si>
    <t>Anny</t>
  </si>
  <si>
    <t>Collignon</t>
  </si>
  <si>
    <t>135.19763-63</t>
  </si>
  <si>
    <t>05/08/1992</t>
  </si>
  <si>
    <t>H. Frère Orbanlaan 8, 3800 Sint-Truiden</t>
  </si>
  <si>
    <t>Anny,Sarah,Beatrix,Jean-Pierre</t>
  </si>
  <si>
    <t>Dirk</t>
  </si>
  <si>
    <t>878.90839-21</t>
  </si>
  <si>
    <t>05/02/1987</t>
  </si>
  <si>
    <t>Ferdinand Lousbergskaai 49, 3831 Herten</t>
  </si>
  <si>
    <t>Dirk,Bénédicte</t>
  </si>
  <si>
    <t>Benny</t>
  </si>
  <si>
    <t>Brasseur</t>
  </si>
  <si>
    <t>332.77075-47</t>
  </si>
  <si>
    <t>14/04/1963</t>
  </si>
  <si>
    <t>Sint-michielsplein 22, 3650 Dilsen-Stokkem</t>
  </si>
  <si>
    <t>Benny,Manon,Harold</t>
  </si>
  <si>
    <t>Wim</t>
  </si>
  <si>
    <t>Poncelet</t>
  </si>
  <si>
    <t>468.88499-82</t>
  </si>
  <si>
    <t>30/06/1961</t>
  </si>
  <si>
    <t>Morelstraat 73, 3590 Diepenbeek</t>
  </si>
  <si>
    <t>Wim,Ria,Ayfer</t>
  </si>
  <si>
    <t>Carole</t>
  </si>
  <si>
    <t>584.45912-53</t>
  </si>
  <si>
    <t>17/02/2005</t>
  </si>
  <si>
    <t>Kortijksesteenweg 7, 3500 Hasselt</t>
  </si>
  <si>
    <t>Carole,Lars,Amany</t>
  </si>
  <si>
    <t>Liesbet</t>
  </si>
  <si>
    <t>368.52633-10</t>
  </si>
  <si>
    <t>03/05/1946</t>
  </si>
  <si>
    <t>Ramen 51, 3831 Herten</t>
  </si>
  <si>
    <t>Liesbet,Lea</t>
  </si>
  <si>
    <t>Karl</t>
  </si>
  <si>
    <t>681.11028-36</t>
  </si>
  <si>
    <t>13/03/1984</t>
  </si>
  <si>
    <t>Emilius Seghersplein 9, 3630 Maasmechelen</t>
  </si>
  <si>
    <t>Karl,Lies</t>
  </si>
  <si>
    <t>Piron</t>
  </si>
  <si>
    <t>659.26425-92</t>
  </si>
  <si>
    <t>Hofstraat 15, 3650 Dilsen-Stokkem</t>
  </si>
  <si>
    <t>Evelien,Tinne,Esteban,Aurelia,Michel</t>
  </si>
  <si>
    <t>43.42406-78</t>
  </si>
  <si>
    <t>30/05/1966</t>
  </si>
  <si>
    <t>Acacialaan 109, 3980 Tessenderlo</t>
  </si>
  <si>
    <t>Rachel,Ionela,Chloé,Dorian</t>
  </si>
  <si>
    <t>Rami</t>
  </si>
  <si>
    <t>193.90926-31</t>
  </si>
  <si>
    <t>Willem Tellstraat 15, 3831 Herten</t>
  </si>
  <si>
    <t>Rami,Jean-Marie,Annie,Ivo</t>
  </si>
  <si>
    <t>Ali</t>
  </si>
  <si>
    <t>443.56871-62</t>
  </si>
  <si>
    <t>05/06/1964</t>
  </si>
  <si>
    <t>Zeeschipstraat 60, 3800 Sint-Truiden</t>
  </si>
  <si>
    <t>Ali,Jean-Pierre,Claire</t>
  </si>
  <si>
    <t>Petra</t>
  </si>
  <si>
    <t>965.71674-70</t>
  </si>
  <si>
    <t>09/05/1954</t>
  </si>
  <si>
    <t>Coupure Rechts 48, 3980 Tessenderlo</t>
  </si>
  <si>
    <t>Kevin</t>
  </si>
  <si>
    <t>145.18532-86</t>
  </si>
  <si>
    <t>18/09/1993</t>
  </si>
  <si>
    <t>Duivelstraat 13, 3620 Lanaken</t>
  </si>
  <si>
    <t>Kevin,Roland,Irfan</t>
  </si>
  <si>
    <t>Irina</t>
  </si>
  <si>
    <t>798.80928-84</t>
  </si>
  <si>
    <t>Maaltemeers 32, 3640 Kinrooi</t>
  </si>
  <si>
    <t>Irina,Yevgeniya</t>
  </si>
  <si>
    <t>Efe</t>
  </si>
  <si>
    <t>563.65045-11</t>
  </si>
  <si>
    <t>03/11/1996</t>
  </si>
  <si>
    <t>St.- Arnoustraat 28, 3831 Herten</t>
  </si>
  <si>
    <t>Efe,Giuseppe,Maria</t>
  </si>
  <si>
    <t>Selma</t>
  </si>
  <si>
    <t>766.42478-67</t>
  </si>
  <si>
    <t>12/06/1990</t>
  </si>
  <si>
    <t>Onderbergen 18, 3945 Kwaadmechelen</t>
  </si>
  <si>
    <t>Selma,Peggy,Annie,Mike</t>
  </si>
  <si>
    <t>Geert</t>
  </si>
  <si>
    <t>659.52853-44</t>
  </si>
  <si>
    <t>11/11/1954</t>
  </si>
  <si>
    <t>Florbertusstraat 5, 3910 Neerpelt</t>
  </si>
  <si>
    <t>Geert,Nilda</t>
  </si>
  <si>
    <t>Manel</t>
  </si>
  <si>
    <t>621.18396-35</t>
  </si>
  <si>
    <t>24/10/1956</t>
  </si>
  <si>
    <t>Deinse Horsweg 35, 3740 Bilzen</t>
  </si>
  <si>
    <t>Manel,Adam,Timon,Deborah,Natalie</t>
  </si>
  <si>
    <t>468.41219-46</t>
  </si>
  <si>
    <t>28/03/1997</t>
  </si>
  <si>
    <t>Peerstraat 94, 3680 Maaseik</t>
  </si>
  <si>
    <t>Liam,Nabila,Flavie,Ange,Sacha</t>
  </si>
  <si>
    <t>Fidan</t>
  </si>
  <si>
    <t>948.71495-71</t>
  </si>
  <si>
    <t>29/05/1945</t>
  </si>
  <si>
    <t>Burggravenlaan 41, 3770 Riemst</t>
  </si>
  <si>
    <t>Fidan,Diego,Andy</t>
  </si>
  <si>
    <t>Isabella</t>
  </si>
  <si>
    <t>Jonckheere</t>
  </si>
  <si>
    <t>390.39537-33</t>
  </si>
  <si>
    <t>13/12/1951</t>
  </si>
  <si>
    <t>Pleitstraat 20, 3500 Hasselt</t>
  </si>
  <si>
    <t>Isabella,Christine,Sevrine</t>
  </si>
  <si>
    <t>Kleber</t>
  </si>
  <si>
    <t>798.12405-83</t>
  </si>
  <si>
    <t>31/12/1972</t>
  </si>
  <si>
    <t>Veldstraat 24, 3700 Tongeren</t>
  </si>
  <si>
    <t>383.30494-15</t>
  </si>
  <si>
    <t>04/02/1984</t>
  </si>
  <si>
    <t>Koophandelsplein 63, 3600 Genk</t>
  </si>
  <si>
    <t>Lowie</t>
  </si>
  <si>
    <t>964.23634-78</t>
  </si>
  <si>
    <t>22/03/1950</t>
  </si>
  <si>
    <t>Phoenixstraat 22, 3620 Lanaken</t>
  </si>
  <si>
    <t>Lowie,Quinten,Adam,Anne</t>
  </si>
  <si>
    <t>781.97671-62</t>
  </si>
  <si>
    <t>05/11/1946</t>
  </si>
  <si>
    <t>Bennesteeg 118, 3680 Maaseik</t>
  </si>
  <si>
    <t>Cécile,Regina,Djalila,Mihai</t>
  </si>
  <si>
    <t>61.84907-93</t>
  </si>
  <si>
    <t>02/06/1995</t>
  </si>
  <si>
    <t>Kortijksesteenweg 61, 3800 Sint-Truiden</t>
  </si>
  <si>
    <t>Adam,Geneviève</t>
  </si>
  <si>
    <t>Yanis</t>
  </si>
  <si>
    <t>342.15284-93</t>
  </si>
  <si>
    <t>13/12/1961</t>
  </si>
  <si>
    <t>St.- Arnoustraat 38, 3500 Hasselt</t>
  </si>
  <si>
    <t>Yanis,Jeanne,Didier,Tibo</t>
  </si>
  <si>
    <t>Steffan</t>
  </si>
  <si>
    <t>De clerck</t>
  </si>
  <si>
    <t>392.74970-76</t>
  </si>
  <si>
    <t>11/12/1964</t>
  </si>
  <si>
    <t>Pekelharing 96, 3600 Genk</t>
  </si>
  <si>
    <t>Steffan,Alice,Gina</t>
  </si>
  <si>
    <t>Jacek</t>
  </si>
  <si>
    <t>647.62296-44</t>
  </si>
  <si>
    <t>16/03/1950</t>
  </si>
  <si>
    <t>Antwerpsesteenweg 37, 3920 Lommel</t>
  </si>
  <si>
    <t>Jacek,Alyssia,Kimberly,Alain</t>
  </si>
  <si>
    <t>Kristel</t>
  </si>
  <si>
    <t>362.30641-86</t>
  </si>
  <si>
    <t>Afsneedorp 58, 3870 Heers</t>
  </si>
  <si>
    <t>Kristel,Andrzej</t>
  </si>
  <si>
    <t>Mireille</t>
  </si>
  <si>
    <t>345.28886-70</t>
  </si>
  <si>
    <t>12/05/2005</t>
  </si>
  <si>
    <t>Heemstraat 60, 3590 Diepenbeek</t>
  </si>
  <si>
    <t>Mireille,Ruslan</t>
  </si>
  <si>
    <t>Farida</t>
  </si>
  <si>
    <t>827.70588-27</t>
  </si>
  <si>
    <t>19/02/1980</t>
  </si>
  <si>
    <t>Dok Zuid 58, 3800 Sint-Truiden</t>
  </si>
  <si>
    <t>Farida,Amélia,Bérénice</t>
  </si>
  <si>
    <t>174.69315-25</t>
  </si>
  <si>
    <t>10/02/1987</t>
  </si>
  <si>
    <t>Wilgetronkstraat 68, 3900 Overpelt</t>
  </si>
  <si>
    <t>Dimitri,Didier,Bertha,Metin</t>
  </si>
  <si>
    <t>Firmin</t>
  </si>
  <si>
    <t>92.27255-78</t>
  </si>
  <si>
    <t>08/05/2004</t>
  </si>
  <si>
    <t>Romain Clausstraat 2, 3530 Houthalen-Helchteren</t>
  </si>
  <si>
    <t>Firmin,Rakhim,Ilaria,Maria,Tim</t>
  </si>
  <si>
    <t>Magda</t>
  </si>
  <si>
    <t>986.31707-70</t>
  </si>
  <si>
    <t>25/02/1977</t>
  </si>
  <si>
    <t>Skaldenstraat 1, 3630 Maasmechelen</t>
  </si>
  <si>
    <t>Magda,Jutta,Yvette</t>
  </si>
  <si>
    <t>Mads</t>
  </si>
  <si>
    <t>399.39701-97</t>
  </si>
  <si>
    <t>22/01/1953</t>
  </si>
  <si>
    <t>Peerstraat 23, 3850 Nieuwerkerken</t>
  </si>
  <si>
    <t>Mads,Erik,Dorine</t>
  </si>
  <si>
    <t>Gio</t>
  </si>
  <si>
    <t>802.14219-83</t>
  </si>
  <si>
    <t>24/04/1965</t>
  </si>
  <si>
    <t>Boeierstraat 5, 3831 Herten</t>
  </si>
  <si>
    <t>Gio,Siegrid,Gianfranco</t>
  </si>
  <si>
    <t>Thérèse</t>
  </si>
  <si>
    <t>Vanderheyden</t>
  </si>
  <si>
    <t>592.11044-29</t>
  </si>
  <si>
    <t>09/10/1974</t>
  </si>
  <si>
    <t>Varenstraat 8, 3600 Genk</t>
  </si>
  <si>
    <t>Thérèse,Dylan,Mario,Jeremy</t>
  </si>
  <si>
    <t>283.15627-93</t>
  </si>
  <si>
    <t>20/09/1979</t>
  </si>
  <si>
    <t>Eddastraat 47, 3530 Houthalen-Helchteren</t>
  </si>
  <si>
    <t>Mario,Nicole,Olivier,Sarah</t>
  </si>
  <si>
    <t>Joni</t>
  </si>
  <si>
    <t>915.95954-25</t>
  </si>
  <si>
    <t>25/08/1989</t>
  </si>
  <si>
    <t>Muilaardstraat 63, 3630 Maasmechelen</t>
  </si>
  <si>
    <t>Joni,Hakim,Franky,Jordi,Lissandro</t>
  </si>
  <si>
    <t>718.60408-92</t>
  </si>
  <si>
    <t>30/09/1992</t>
  </si>
  <si>
    <t>Sint-lievenslaan 63, 3650 Dilsen-Stokkem</t>
  </si>
  <si>
    <t>Patrick,Marc,Luc</t>
  </si>
  <si>
    <t>Natasja</t>
  </si>
  <si>
    <t>Verdonck</t>
  </si>
  <si>
    <t>751.96073-97</t>
  </si>
  <si>
    <t>07/07/1997</t>
  </si>
  <si>
    <t>Kiekenbosstraat 88, 3560 Lummen</t>
  </si>
  <si>
    <t>434.98438-72</t>
  </si>
  <si>
    <t>29/05/1956</t>
  </si>
  <si>
    <t>Sint Pietersaalstraat 9, 3500 Hasselt</t>
  </si>
  <si>
    <t>Marie,Erik,Ann</t>
  </si>
  <si>
    <t>Renard</t>
  </si>
  <si>
    <t>338.85651-38</t>
  </si>
  <si>
    <t>31/05/2000</t>
  </si>
  <si>
    <t>Trekweg 11, 3910 Neerpelt</t>
  </si>
  <si>
    <t>Muriel,Maureen,Maria,Fenna,Maija</t>
  </si>
  <si>
    <t>Patrice</t>
  </si>
  <si>
    <t>Pierre</t>
  </si>
  <si>
    <t>190.35432-42</t>
  </si>
  <si>
    <t>04/11/1981</t>
  </si>
  <si>
    <t>Kriekerijstraat 27, 3920 Lommel</t>
  </si>
  <si>
    <t>Patrice,Rolando,Rita</t>
  </si>
  <si>
    <t>Olivier</t>
  </si>
  <si>
    <t>894.30037-36</t>
  </si>
  <si>
    <t>30/06/1981</t>
  </si>
  <si>
    <t>Vossenbergstraat 82, 3500 Hasselt</t>
  </si>
  <si>
    <t>Norah</t>
  </si>
  <si>
    <t>479.51000-85</t>
  </si>
  <si>
    <t>16/10/1960</t>
  </si>
  <si>
    <t>Nieuwewandeling 87, 3600 Genk</t>
  </si>
  <si>
    <t>95.94494-40</t>
  </si>
  <si>
    <t>16/01/1969</t>
  </si>
  <si>
    <t>Bijlokekaai 24, 3920 Lommel</t>
  </si>
  <si>
    <t>Tony,Jolien,Nathalie</t>
  </si>
  <si>
    <t>568.55507-31</t>
  </si>
  <si>
    <t>08/11/1966</t>
  </si>
  <si>
    <t>Keizervest 21, 3730 Hoeselt</t>
  </si>
  <si>
    <t>Louise,Steven</t>
  </si>
  <si>
    <t>Laurent</t>
  </si>
  <si>
    <t>764.31293-60</t>
  </si>
  <si>
    <t>27/10/1976</t>
  </si>
  <si>
    <t>Voorhoutkaai 32, 3530 Houthalen-Helchteren</t>
  </si>
  <si>
    <t>Laurent,Gerben,Rasha,Thomas,Valerica</t>
  </si>
  <si>
    <t>Goethals</t>
  </si>
  <si>
    <t>100.77523-85</t>
  </si>
  <si>
    <t>13/11/1986</t>
  </si>
  <si>
    <t>Grauwpoort 48, 3640 Kessenich</t>
  </si>
  <si>
    <t>Elien,Greta</t>
  </si>
  <si>
    <t>Mamadou</t>
  </si>
  <si>
    <t>127.78716-61</t>
  </si>
  <si>
    <t>12/02/1990</t>
  </si>
  <si>
    <t>Hogeheerweg 8, 3600 Genk</t>
  </si>
  <si>
    <t>Mamadou,Sigrid,Helen</t>
  </si>
  <si>
    <t>Hermann</t>
  </si>
  <si>
    <t>De groote</t>
  </si>
  <si>
    <t>429.21760-20</t>
  </si>
  <si>
    <t>30/11/1954</t>
  </si>
  <si>
    <t>Bevrijdingslaan 63, 3900 Overpelt</t>
  </si>
  <si>
    <t>Hermann,Eléonore</t>
  </si>
  <si>
    <t>49.17915-50</t>
  </si>
  <si>
    <t>26/05/1983</t>
  </si>
  <si>
    <t>Voldersstraat 1, 3730 Hoeselt</t>
  </si>
  <si>
    <t>Camille,Nour,Josette,Sarah,Liesl</t>
  </si>
  <si>
    <t>Therese</t>
  </si>
  <si>
    <t>735.38414-33</t>
  </si>
  <si>
    <t>08/12/1945</t>
  </si>
  <si>
    <t>K.m.hendrikaplein 109, 3690 Zutendaal</t>
  </si>
  <si>
    <t>Therese,Nadine,Roland,Herman,Myriam</t>
  </si>
  <si>
    <t>Lebrun</t>
  </si>
  <si>
    <t>584.10757-94</t>
  </si>
  <si>
    <t>17/03/1956</t>
  </si>
  <si>
    <t>Buffelstraat 23, 3530 Houthalen-Helchteren</t>
  </si>
  <si>
    <t>Bernard,Kobe</t>
  </si>
  <si>
    <t>Liya</t>
  </si>
  <si>
    <t>839.34380-83</t>
  </si>
  <si>
    <t>17/02/1945</t>
  </si>
  <si>
    <t>Korte Kruisstraat 32, 3891 Meilen</t>
  </si>
  <si>
    <t>Liya,Looka,Ria,Dani</t>
  </si>
  <si>
    <t>Parveen</t>
  </si>
  <si>
    <t>450.16561-83</t>
  </si>
  <si>
    <t>19/12/1957</t>
  </si>
  <si>
    <t>Lijnwaadstraat 21, 3600 Genk</t>
  </si>
  <si>
    <t>Parveen,Jacques,Salaheddine,Renelde,Louis</t>
  </si>
  <si>
    <t>Hilda</t>
  </si>
  <si>
    <t>362.66387-97</t>
  </si>
  <si>
    <t>28/11/1995</t>
  </si>
  <si>
    <t>Donkersteeg 4, 3840 Borgloon</t>
  </si>
  <si>
    <t>Hilda,Eden,Georges</t>
  </si>
  <si>
    <t>956.17304-34</t>
  </si>
  <si>
    <t>31/05/1950</t>
  </si>
  <si>
    <t>Mail 34, 3640 Kinrooi</t>
  </si>
  <si>
    <t>Jonathan,Jeremy,Patricia,Amber</t>
  </si>
  <si>
    <t>Marco</t>
  </si>
  <si>
    <t>23.81331-73</t>
  </si>
  <si>
    <t>Wittemolenstraat 39, 3700 Tongeren</t>
  </si>
  <si>
    <t>Marco,Marc</t>
  </si>
  <si>
    <t>353.98673-13</t>
  </si>
  <si>
    <t>04/09/1953</t>
  </si>
  <si>
    <t>Goedlevenstraat 16, 3680 Maaseik</t>
  </si>
  <si>
    <t>Annie,Gilbert,Guy,Lewis</t>
  </si>
  <si>
    <t>Tommy</t>
  </si>
  <si>
    <t>Callens</t>
  </si>
  <si>
    <t>325.95559-32</t>
  </si>
  <si>
    <t>30/10/1987</t>
  </si>
  <si>
    <t>Kortedagsteeg 44, 3831 Herten</t>
  </si>
  <si>
    <t>Tommy,Geoffrey,Meryem,Joachim</t>
  </si>
  <si>
    <t>Rania</t>
  </si>
  <si>
    <t>214.12060-74</t>
  </si>
  <si>
    <t>01/09/2002</t>
  </si>
  <si>
    <t>Mimosastraat 10, 3630 Maasmechelen</t>
  </si>
  <si>
    <t>Rania,Diana</t>
  </si>
  <si>
    <t>414.68232-76</t>
  </si>
  <si>
    <t>08/09/1946</t>
  </si>
  <si>
    <t>Sleepstraat 6, 3620 Lanaken</t>
  </si>
  <si>
    <t>Anny,Lotte,Lea,Lisette</t>
  </si>
  <si>
    <t>Brigitte</t>
  </si>
  <si>
    <t>211.28311-19</t>
  </si>
  <si>
    <t>10/09/1990</t>
  </si>
  <si>
    <t>H. Frère Orbanlaan 53, 3630 Maasmechelen</t>
  </si>
  <si>
    <t>Brigitte,Belle,Estée</t>
  </si>
  <si>
    <t>Jacques</t>
  </si>
  <si>
    <t>Vanderstraeten</t>
  </si>
  <si>
    <t>394.15254-17</t>
  </si>
  <si>
    <t>14/12/1972</t>
  </si>
  <si>
    <t>Muidepoort 12, 3530 Houthalen-Helchteren</t>
  </si>
  <si>
    <t>Jacques,Cindy,Tatiana</t>
  </si>
  <si>
    <t>Karlijn</t>
  </si>
  <si>
    <t>De boeck</t>
  </si>
  <si>
    <t>892.62792-82</t>
  </si>
  <si>
    <t>05/09/1974</t>
  </si>
  <si>
    <t>Derbystraat 30, 3520 Zonhoven</t>
  </si>
  <si>
    <t>Karlijn,Samet,Viggo</t>
  </si>
  <si>
    <t>Ibe</t>
  </si>
  <si>
    <t>870.33475-20</t>
  </si>
  <si>
    <t>20/06/1946</t>
  </si>
  <si>
    <t>Voskenslaan 98, 3910 Neerpelt</t>
  </si>
  <si>
    <t>Ibe,Mirjam,Katrin</t>
  </si>
  <si>
    <t>Wesley</t>
  </si>
  <si>
    <t>440.57599-21</t>
  </si>
  <si>
    <t>Destelbergenstraat 25, 3740 Bilzen</t>
  </si>
  <si>
    <t>Wesley,Nel,Elisabeth,Martine</t>
  </si>
  <si>
    <t>Helene</t>
  </si>
  <si>
    <t>285.84881-83</t>
  </si>
  <si>
    <t>21/07/2001</t>
  </si>
  <si>
    <t>Langerbruggekaai 36, 3500 Hasselt</t>
  </si>
  <si>
    <t>Helene,Claude,Marie-Hélène,Wesley</t>
  </si>
  <si>
    <t>167.42028-46</t>
  </si>
  <si>
    <t>30/05/1951</t>
  </si>
  <si>
    <t>Tortelduifstraat 64, 3660 Opglabbeek</t>
  </si>
  <si>
    <t>Lowie,Gisela,Leentje</t>
  </si>
  <si>
    <t>David</t>
  </si>
  <si>
    <t>Vandendriessche</t>
  </si>
  <si>
    <t>555.64800-11</t>
  </si>
  <si>
    <t>Marekstraat 9, 3831 Herten</t>
  </si>
  <si>
    <t>David,Zoé,Miguel</t>
  </si>
  <si>
    <t>Lander</t>
  </si>
  <si>
    <t>142.71605-41</t>
  </si>
  <si>
    <t>12/10/1996</t>
  </si>
  <si>
    <t>Predikherenlei 91, 3550 Heusden-Zolder</t>
  </si>
  <si>
    <t>Lander,Lina,Jean</t>
  </si>
  <si>
    <t>251.67995-97</t>
  </si>
  <si>
    <t>23/02/1989</t>
  </si>
  <si>
    <t>Tijdelijk Postbus 37, 3890 Vorden</t>
  </si>
  <si>
    <t>Koen,Michael,Rudy,Roland</t>
  </si>
  <si>
    <t>832.90688-43</t>
  </si>
  <si>
    <t>29/03/1992</t>
  </si>
  <si>
    <t>Mendonkdorp 12, 3831 Herten</t>
  </si>
  <si>
    <t>Aurore,Jean-Bernard</t>
  </si>
  <si>
    <t>Esther</t>
  </si>
  <si>
    <t>Schmitz</t>
  </si>
  <si>
    <t>230.89605-58</t>
  </si>
  <si>
    <t>11/05/1969</t>
  </si>
  <si>
    <t>Ooievaarstraat 7, 3500 Hasselt</t>
  </si>
  <si>
    <t>Esther,Thierry,Bart,Mathias,Fatima</t>
  </si>
  <si>
    <t>Mirthe</t>
  </si>
  <si>
    <t>480.42627-39</t>
  </si>
  <si>
    <t>01/09/1954</t>
  </si>
  <si>
    <t>Burgstraat 5, 3600 Genk</t>
  </si>
  <si>
    <t>Mirthe,Bertrand</t>
  </si>
  <si>
    <t>Guido</t>
  </si>
  <si>
    <t>Michaux</t>
  </si>
  <si>
    <t>479.71417-21</t>
  </si>
  <si>
    <t>21/07/1948</t>
  </si>
  <si>
    <t>Werkhuizenstraat 69, 3600 Genk</t>
  </si>
  <si>
    <t>Guglielmo</t>
  </si>
  <si>
    <t>858.19762-41</t>
  </si>
  <si>
    <t>01/05/1947</t>
  </si>
  <si>
    <t>Bijlokekaai 57, 3740 Bilzen</t>
  </si>
  <si>
    <t>Guglielmo,Wout,Filip,Stefan,Inge</t>
  </si>
  <si>
    <t>784.80638-77</t>
  </si>
  <si>
    <t>16/04/1978</t>
  </si>
  <si>
    <t>Noordstraat 33, 3620 Lanaken</t>
  </si>
  <si>
    <t>Geert,Caroline,Maria,Jim,Kato,Nikolinka,Rebecca</t>
  </si>
  <si>
    <t>Anne-Sophie</t>
  </si>
  <si>
    <t>231.47467-93</t>
  </si>
  <si>
    <t>30/06/1948</t>
  </si>
  <si>
    <t>Belfortstraat 11, 3500 Hasselt</t>
  </si>
  <si>
    <t>Anne-Sophie,Jutta</t>
  </si>
  <si>
    <t>Adèle</t>
  </si>
  <si>
    <t>654.94045-39</t>
  </si>
  <si>
    <t>22/08/1974</t>
  </si>
  <si>
    <t>Onafhankelijkheidslaan 47, 3940 Hechtel-Eksel</t>
  </si>
  <si>
    <t>Adèle,Didier,Chantal</t>
  </si>
  <si>
    <t>Rani</t>
  </si>
  <si>
    <t>528.62629-27</t>
  </si>
  <si>
    <t>17/04/2001</t>
  </si>
  <si>
    <t>Frans Louwersstraat 31, 3620 Lanaken</t>
  </si>
  <si>
    <t>Rani,Firmin,Lea,Fil</t>
  </si>
  <si>
    <t>Massart</t>
  </si>
  <si>
    <t>889.28152-29</t>
  </si>
  <si>
    <t>22/03/1973</t>
  </si>
  <si>
    <t>Sint-bernadestraat 1, 3740 Bilzen</t>
  </si>
  <si>
    <t>Mark</t>
  </si>
  <si>
    <t>Ceulemans</t>
  </si>
  <si>
    <t>128.89930-86</t>
  </si>
  <si>
    <t>18/02/1983</t>
  </si>
  <si>
    <t>Recollettenlei 8, 3540 Herk-de-Stad</t>
  </si>
  <si>
    <t>Mark,Greet,Monique,Kyara</t>
  </si>
  <si>
    <t>Perrine</t>
  </si>
  <si>
    <t>308.44262-80</t>
  </si>
  <si>
    <t>Groot-brittanniëlaan 10, 3680 Maaseik</t>
  </si>
  <si>
    <t>Perrine,Ivana,Severine,Sarah</t>
  </si>
  <si>
    <t>Blanchette</t>
  </si>
  <si>
    <t>120.55415-97</t>
  </si>
  <si>
    <t>02/11/1970</t>
  </si>
  <si>
    <t>Langerbruggekaai 13, 3640 Kinrooi</t>
  </si>
  <si>
    <t>Blanchette,Youssouf</t>
  </si>
  <si>
    <t>654.85007-45</t>
  </si>
  <si>
    <t>29/02/1996</t>
  </si>
  <si>
    <t>Begijnhoflaan 55, 3500 Hasselt</t>
  </si>
  <si>
    <t>Arne</t>
  </si>
  <si>
    <t>292.49484-68</t>
  </si>
  <si>
    <t>29/06/1960</t>
  </si>
  <si>
    <t>Korenmarkt 7, 3740 Bilzen</t>
  </si>
  <si>
    <t>304.60029-72</t>
  </si>
  <si>
    <t>11/08/1975</t>
  </si>
  <si>
    <t>Koning Boudewijnstraat 72, 3630 Maasmechelen</t>
  </si>
  <si>
    <t>Daniel,Lucas</t>
  </si>
  <si>
    <t>Pieter</t>
  </si>
  <si>
    <t>D'hondt</t>
  </si>
  <si>
    <t>156.17021-27</t>
  </si>
  <si>
    <t>Scheepzatestraat 112, 3800 Sint-Truiden</t>
  </si>
  <si>
    <t>Pieter,Johan,Laurence</t>
  </si>
  <si>
    <t>Bruno</t>
  </si>
  <si>
    <t>991.34806-47</t>
  </si>
  <si>
    <t>07/06/1977</t>
  </si>
  <si>
    <t>Duivelstraat 65, 3831 Herten</t>
  </si>
  <si>
    <t>Bruno,Bradley</t>
  </si>
  <si>
    <t>112.48321-28</t>
  </si>
  <si>
    <t>05/08/1948</t>
  </si>
  <si>
    <t>Hundelgemsesteenweg 6, 3550 Heusden-Zolder</t>
  </si>
  <si>
    <t>Marina,Elisabeth,Walter,Nancy</t>
  </si>
  <si>
    <t>Françoise</t>
  </si>
  <si>
    <t>Pirotte</t>
  </si>
  <si>
    <t>533.69563-61</t>
  </si>
  <si>
    <t>29/12/1988</t>
  </si>
  <si>
    <t>Francois Laurentplein 6, 3650 Dilsen-Stokkem</t>
  </si>
  <si>
    <t>Françoise,Jeanne,Michel,Bart</t>
  </si>
  <si>
    <t>188.79374-90</t>
  </si>
  <si>
    <t>11/01/1978</t>
  </si>
  <si>
    <t>Frans Gevaertstraat 101, 3770 Oud-Vroenhoven</t>
  </si>
  <si>
    <t>Julie,Paul,Rosalie</t>
  </si>
  <si>
    <t>Pinar</t>
  </si>
  <si>
    <t>Declercq</t>
  </si>
  <si>
    <t>331.10206-58</t>
  </si>
  <si>
    <t>17/08/1953</t>
  </si>
  <si>
    <t>Koning Albertlaan 97, 3920 Lommel</t>
  </si>
  <si>
    <t>Pinar,Tatjana</t>
  </si>
  <si>
    <t>Peter</t>
  </si>
  <si>
    <t>658.23028-72</t>
  </si>
  <si>
    <t>16/08/1990</t>
  </si>
  <si>
    <t>Walpoortstraat 12, 3520 Zonhoven</t>
  </si>
  <si>
    <t>Peter,Marjolein</t>
  </si>
  <si>
    <t>Meunier</t>
  </si>
  <si>
    <t>721.66577-61</t>
  </si>
  <si>
    <t>07/07/1947</t>
  </si>
  <si>
    <t>Francois Laurentplein 38, 3630 Maasmechelen</t>
  </si>
  <si>
    <t>Rachel,Sadiye,Glenn</t>
  </si>
  <si>
    <t>Rohat</t>
  </si>
  <si>
    <t>747.25509-97</t>
  </si>
  <si>
    <t>06/01/1964</t>
  </si>
  <si>
    <t>Bijlokekaai 75, 3920 Lommel</t>
  </si>
  <si>
    <t>Fabian</t>
  </si>
  <si>
    <t>275.93372-20</t>
  </si>
  <si>
    <t>22/05/1981</t>
  </si>
  <si>
    <t>Weverstraat 75, 3800 Sint-Truiden</t>
  </si>
  <si>
    <t>Fabian,Xandro</t>
  </si>
  <si>
    <t>Gustaaf</t>
  </si>
  <si>
    <t>407.70529-50</t>
  </si>
  <si>
    <t>14/01/1951</t>
  </si>
  <si>
    <t>Kwartelstraat 20, 3890 Gingelom</t>
  </si>
  <si>
    <t>Gustaaf,Romain</t>
  </si>
  <si>
    <t>935.47268-29</t>
  </si>
  <si>
    <t>18/03/1989</t>
  </si>
  <si>
    <t>Baarledorpstraat 98, 3600 Genk</t>
  </si>
  <si>
    <t>André,Marie,Yannick,Jean-Pierre</t>
  </si>
  <si>
    <t>640.85444-37</t>
  </si>
  <si>
    <t>29/05/1961</t>
  </si>
  <si>
    <t>Bevrijdingslaan 27, 3620 Lanaken</t>
  </si>
  <si>
    <t>Koen,Liliane,Mohamed,François,Mariia</t>
  </si>
  <si>
    <t>Elisabeth</t>
  </si>
  <si>
    <t>858.19896-12</t>
  </si>
  <si>
    <t>15/08/1980</t>
  </si>
  <si>
    <t>Abdisstraat 21, 3660 Opglabbeek</t>
  </si>
  <si>
    <t>Elisabeth,Patricia</t>
  </si>
  <si>
    <t>49.86624-35</t>
  </si>
  <si>
    <t>30/07/1962</t>
  </si>
  <si>
    <t>Sportstraat 139, 3600 Genk</t>
  </si>
  <si>
    <t>Isabelle,Henryk,Adrianus,Jarne,François</t>
  </si>
  <si>
    <t>927.70285-91</t>
  </si>
  <si>
    <t>13/03/1970</t>
  </si>
  <si>
    <t>Dublinstraat 20, 3800 Sint-Truiden</t>
  </si>
  <si>
    <t>Simon,Gilles,Jules</t>
  </si>
  <si>
    <t>266.16362-89</t>
  </si>
  <si>
    <t>06/05/1961</t>
  </si>
  <si>
    <t>Abdijmolenstraat 46, 3500 Hasselt</t>
  </si>
  <si>
    <t>François,Lotte,Herman,Jacobus,Cathy</t>
  </si>
  <si>
    <t>599.70438-91</t>
  </si>
  <si>
    <t>08/03/1951</t>
  </si>
  <si>
    <t>Sodamassage 54, 3550 Heusden-Zolder</t>
  </si>
  <si>
    <t>Freddy,Mevlut,Patrice,Dave,Linda</t>
  </si>
  <si>
    <t>Timothy</t>
  </si>
  <si>
    <t>547.32375-28</t>
  </si>
  <si>
    <t>02/06/1985</t>
  </si>
  <si>
    <t>Sint-bernadettestraat 20, 3910 Neerpelt</t>
  </si>
  <si>
    <t>Timothy,Claudine</t>
  </si>
  <si>
    <t>Diana</t>
  </si>
  <si>
    <t>56.51715-31</t>
  </si>
  <si>
    <t>18/02/1986</t>
  </si>
  <si>
    <t>Florbertusstraat 46, 3730 Hoeselt</t>
  </si>
  <si>
    <t>Diana,Catherine,Anne,Tine</t>
  </si>
  <si>
    <t>Anouk</t>
  </si>
  <si>
    <t>819.27183-11</t>
  </si>
  <si>
    <t>24/10/1998</t>
  </si>
  <si>
    <t>Graaf Van Vlaanderenplein 3, 3800 Sint-Truiden</t>
  </si>
  <si>
    <t>Nell</t>
  </si>
  <si>
    <t>929.76722-71</t>
  </si>
  <si>
    <t>17/06/1957</t>
  </si>
  <si>
    <t>Normaalschoolstraat 11, 3831 Herten</t>
  </si>
  <si>
    <t>Nell,Roland,Mohamed,Femke</t>
  </si>
  <si>
    <t>Gino</t>
  </si>
  <si>
    <t>229.75036-11</t>
  </si>
  <si>
    <t>03/07/1983</t>
  </si>
  <si>
    <t>Winkelwarande 29, 3530 Houthalen-Helchteren</t>
  </si>
  <si>
    <t>Gino,Renée,Anne-Sophie,Nadjette,Fanny</t>
  </si>
  <si>
    <t>Ruslan</t>
  </si>
  <si>
    <t>479.49264-73</t>
  </si>
  <si>
    <t>23/06/1952</t>
  </si>
  <si>
    <t>Vossenbergstraat 30, 3790 Moelingen</t>
  </si>
  <si>
    <t>Ruslan,Jules</t>
  </si>
  <si>
    <t>Stephanie</t>
  </si>
  <si>
    <t>293.48424-88</t>
  </si>
  <si>
    <t>29/08/1970</t>
  </si>
  <si>
    <t>Grondwetlaan 3, 3620 Lanaken</t>
  </si>
  <si>
    <t>Stephanie,Abdelkarim,Marit,Véronique</t>
  </si>
  <si>
    <t>153.34223-60</t>
  </si>
  <si>
    <t>11/03/1959</t>
  </si>
  <si>
    <t>Eddastraat 3, 3550 Heusden-Zolder</t>
  </si>
  <si>
    <t>Christophe,Valdrina,Jean-François,Georgia</t>
  </si>
  <si>
    <t>Erwin</t>
  </si>
  <si>
    <t>59.87885-75</t>
  </si>
  <si>
    <t>26/10/2003</t>
  </si>
  <si>
    <t>Kapelledreef 12, 3520 Zonhoven</t>
  </si>
  <si>
    <t>Erwin,Nicola,Olivia</t>
  </si>
  <si>
    <t>Anne-Marie</t>
  </si>
  <si>
    <t>884.74987-77</t>
  </si>
  <si>
    <t>01/04/1999</t>
  </si>
  <si>
    <t>Mageleinstraat 16, 3500 Hasselt</t>
  </si>
  <si>
    <t>Anne-Marie,Jules,Ingrid</t>
  </si>
  <si>
    <t>554.63218-80</t>
  </si>
  <si>
    <t>13/08/1963</t>
  </si>
  <si>
    <t>Blekersdijk 32, 3800 Sint-Truiden</t>
  </si>
  <si>
    <t>Luc,Gwendy</t>
  </si>
  <si>
    <t>Loane</t>
  </si>
  <si>
    <t>Herman</t>
  </si>
  <si>
    <t>321.45967-33</t>
  </si>
  <si>
    <t>17/07/1959</t>
  </si>
  <si>
    <t>Noordhoutstraat 8, 3900 Overpelt</t>
  </si>
  <si>
    <t>497.15441-78</t>
  </si>
  <si>
    <t>06/05/1953</t>
  </si>
  <si>
    <t>Loofblommestraat 62, 3630 Maasmechelen</t>
  </si>
  <si>
    <t>Dylan,Valérie,Irène,Gina</t>
  </si>
  <si>
    <t>Léopold</t>
  </si>
  <si>
    <t>De keyser</t>
  </si>
  <si>
    <t>924.44712-32</t>
  </si>
  <si>
    <t>10/04/1977</t>
  </si>
  <si>
    <t>Hurstweg 47, 3800 Sint-Truiden</t>
  </si>
  <si>
    <t>Léopold,Jean</t>
  </si>
  <si>
    <t>Lorraine</t>
  </si>
  <si>
    <t>297.20156-29</t>
  </si>
  <si>
    <t>16/10/2001</t>
  </si>
  <si>
    <t>Overzet 47, 3740 Bilzen</t>
  </si>
  <si>
    <t>Lorraine,Fatoumata,Xavier,Rosa</t>
  </si>
  <si>
    <t>Jorge</t>
  </si>
  <si>
    <t>484.21564-29</t>
  </si>
  <si>
    <t>01/09/1953</t>
  </si>
  <si>
    <t>Vierweegsestraat 28, 3600 Genk</t>
  </si>
  <si>
    <t>Richard</t>
  </si>
  <si>
    <t>426.16202-26</t>
  </si>
  <si>
    <t>26/06/1968</t>
  </si>
  <si>
    <t>Einde Were 2, 3560 Lummen</t>
  </si>
  <si>
    <t>Richard,Freddy,Teresa</t>
  </si>
  <si>
    <t>Johan</t>
  </si>
  <si>
    <t>112.64685-20</t>
  </si>
  <si>
    <t>07/09/1991</t>
  </si>
  <si>
    <t>Peerstraat 13, 3600 Genk</t>
  </si>
  <si>
    <t>Johan,Yelena,Marvin</t>
  </si>
  <si>
    <t>108.88083-53</t>
  </si>
  <si>
    <t>03/10/2004</t>
  </si>
  <si>
    <t>Molenstraat 64, 3700 Tongeren</t>
  </si>
  <si>
    <t>Joël</t>
  </si>
  <si>
    <t>Helsen</t>
  </si>
  <si>
    <t>610.77705-96</t>
  </si>
  <si>
    <t>05/12/1995</t>
  </si>
  <si>
    <t>Grotesteenweg Zuid 89, 3740 Bilzen</t>
  </si>
  <si>
    <t>Joël,Mila</t>
  </si>
  <si>
    <t>Torsten</t>
  </si>
  <si>
    <t>546.56352-48</t>
  </si>
  <si>
    <t>03/02/1976</t>
  </si>
  <si>
    <t>Noordhoutstraat 31, 3540 Herk-de-Stad</t>
  </si>
  <si>
    <t>Torsten,Augustinus</t>
  </si>
  <si>
    <t>587.64939-85</t>
  </si>
  <si>
    <t>31/12/1987</t>
  </si>
  <si>
    <t>Acacialaan 49, 3890 Gingelom</t>
  </si>
  <si>
    <t>Willy,Jerôme</t>
  </si>
  <si>
    <t>Nuyts</t>
  </si>
  <si>
    <t>385.35873-75</t>
  </si>
  <si>
    <t>26/05/1967</t>
  </si>
  <si>
    <t>Molenstraat 28, 3500 Hasselt</t>
  </si>
  <si>
    <t>Tim,Marcos,Diana</t>
  </si>
  <si>
    <t>532.19267-63</t>
  </si>
  <si>
    <t>10/03/1949</t>
  </si>
  <si>
    <t>Lindenlei 20, 3980 Tessenderlo</t>
  </si>
  <si>
    <t>Sacha</t>
  </si>
  <si>
    <t>Toussaint</t>
  </si>
  <si>
    <t>634.89203-20</t>
  </si>
  <si>
    <t>22/04/1976</t>
  </si>
  <si>
    <t>Sint-pietersnieuwstraat 21, 3530 Houthalen-Helchteren</t>
  </si>
  <si>
    <t>Sacha,Raphaël,Katleen,Hilde</t>
  </si>
  <si>
    <t>Torkild</t>
  </si>
  <si>
    <t>497.79807-51</t>
  </si>
  <si>
    <t>01/02/1987</t>
  </si>
  <si>
    <t>Fritz De Beulestraat 2, 3530 Houthalen-Helchteren</t>
  </si>
  <si>
    <t>Torkild,Louange,Valentin</t>
  </si>
  <si>
    <t>Juliaan</t>
  </si>
  <si>
    <t>451.73095-46</t>
  </si>
  <si>
    <t>04/12/1953</t>
  </si>
  <si>
    <t>Penitentenstraat 51, 3500 Hasselt</t>
  </si>
  <si>
    <t>Juliaan,Ruben,Neriman</t>
  </si>
  <si>
    <t>963.56401-64</t>
  </si>
  <si>
    <t>07/05/1965</t>
  </si>
  <si>
    <t>Drongensesteenweg 6, 3831 Herten</t>
  </si>
  <si>
    <t>Alessia,Frédéric</t>
  </si>
  <si>
    <t>Matteo</t>
  </si>
  <si>
    <t>De bruyne</t>
  </si>
  <si>
    <t>97.47063-62</t>
  </si>
  <si>
    <t>15/10/1964</t>
  </si>
  <si>
    <t>Boeierstraat 26, 3620 Lanaken</t>
  </si>
  <si>
    <t>Matteo,Valentine,Maria,Marie</t>
  </si>
  <si>
    <t>Evrard</t>
  </si>
  <si>
    <t>824.42977-36</t>
  </si>
  <si>
    <t>30/04/1986</t>
  </si>
  <si>
    <t>Clarissenstraat 70, 3770 Riemst</t>
  </si>
  <si>
    <t>Tom,Jamal,Oceanne,Luc</t>
  </si>
  <si>
    <t>Van roy</t>
  </si>
  <si>
    <t>533.19212-91</t>
  </si>
  <si>
    <t>14/05/1996</t>
  </si>
  <si>
    <t>Einde Were 57, 3831 Herten</t>
  </si>
  <si>
    <t>Nadine,Geneviève,Stefaan</t>
  </si>
  <si>
    <t>Jens</t>
  </si>
  <si>
    <t>204.45499-67</t>
  </si>
  <si>
    <t>08/06/1975</t>
  </si>
  <si>
    <t>Oscar De Gruyterstraat 99, 3690 Zutendaal</t>
  </si>
  <si>
    <t>Jens,Inaya,Nadine,Jonathan,Ashwin</t>
  </si>
  <si>
    <t>Emmily</t>
  </si>
  <si>
    <t>De ridder</t>
  </si>
  <si>
    <t>113.92188-67</t>
  </si>
  <si>
    <t>07/10/1975</t>
  </si>
  <si>
    <t>Meulestedekaai 9, 3500 Hasselt</t>
  </si>
  <si>
    <t>Emmily,Eliane,Dominique,Fethi,Caroline</t>
  </si>
  <si>
    <t>Helga</t>
  </si>
  <si>
    <t>Vanderlinden</t>
  </si>
  <si>
    <t>151.84750-44</t>
  </si>
  <si>
    <t>26/02/2003</t>
  </si>
  <si>
    <t>St.- Arnoustraat 47, 3590 Diepenbeek</t>
  </si>
  <si>
    <t>Helga,Marie</t>
  </si>
  <si>
    <t>Manuella</t>
  </si>
  <si>
    <t>Cools</t>
  </si>
  <si>
    <t>215.16314-75</t>
  </si>
  <si>
    <t>08/01/1948</t>
  </si>
  <si>
    <t>Leieriggestraat 70, 3840 Borgloon</t>
  </si>
  <si>
    <t>Manuella,Lander</t>
  </si>
  <si>
    <t>440.52825-28</t>
  </si>
  <si>
    <t>10/09/1957</t>
  </si>
  <si>
    <t>Muidepoort 6, 3830 Wellen</t>
  </si>
  <si>
    <t>Virginie,Lindsay,Marc</t>
  </si>
  <si>
    <t>Emilie</t>
  </si>
  <si>
    <t>Piette</t>
  </si>
  <si>
    <t>454.77955-20</t>
  </si>
  <si>
    <t>26/02/1948</t>
  </si>
  <si>
    <t>Mendonkdorp 57, 3600 Genk</t>
  </si>
  <si>
    <t>Quentin</t>
  </si>
  <si>
    <t>934.47643-88</t>
  </si>
  <si>
    <t>10/06/1998</t>
  </si>
  <si>
    <t>Brabantdam 41, 3520 Zonhoven</t>
  </si>
  <si>
    <t>Mathéo</t>
  </si>
  <si>
    <t>421.16103-26</t>
  </si>
  <si>
    <t>16/12/1954</t>
  </si>
  <si>
    <t>Sint-pietersnieuwstraat 11, 3800 Sint-Truiden</t>
  </si>
  <si>
    <t>Mathéo,Roger,Tiffanie,Olivier</t>
  </si>
  <si>
    <t>260.56399-63</t>
  </si>
  <si>
    <t>11/02/2003</t>
  </si>
  <si>
    <t>Bijlokevest 36, 3720 Kortessem</t>
  </si>
  <si>
    <t>Kristof,Anaïs,Sultan,Andy</t>
  </si>
  <si>
    <t>Hans</t>
  </si>
  <si>
    <t>883.74709-35</t>
  </si>
  <si>
    <t>31/12/1994</t>
  </si>
  <si>
    <t>J.b. De Ghellincklaan 18, 3620 Lanaken</t>
  </si>
  <si>
    <t>Hans,Jeanine,Ronny</t>
  </si>
  <si>
    <t>823.42184-67</t>
  </si>
  <si>
    <t>31/08/1964</t>
  </si>
  <si>
    <t>Rodekoningstraat 5, 3890 Gingelom</t>
  </si>
  <si>
    <t>Martine,Cynthia</t>
  </si>
  <si>
    <t>Catherine</t>
  </si>
  <si>
    <t>256.30114-52</t>
  </si>
  <si>
    <t>07/09/1974</t>
  </si>
  <si>
    <t>Emiel Lossystraat 44, 3600 Genk</t>
  </si>
  <si>
    <t>Catherine,Roxane,Rafal,Anita</t>
  </si>
  <si>
    <t>Sofie</t>
  </si>
  <si>
    <t>933.24410-66</t>
  </si>
  <si>
    <t>20/01/1982</t>
  </si>
  <si>
    <t>Rijsenbergstraat 37, 3831 Herten</t>
  </si>
  <si>
    <t>Sofie,Jean-Baptiste,Johan,Maël,Jordy</t>
  </si>
  <si>
    <t>951.87322-31</t>
  </si>
  <si>
    <t>28/06/1991</t>
  </si>
  <si>
    <t>Afsneestraat 17, 3930 Hamont-Achel</t>
  </si>
  <si>
    <t>Laurence,Jochen,Marleen,Angela,Bernadette</t>
  </si>
  <si>
    <t>Hendrickx</t>
  </si>
  <si>
    <t>703.94399-81</t>
  </si>
  <si>
    <t>17/08/1982</t>
  </si>
  <si>
    <t>Pilorijnstraat 12, 3500 Hasselt</t>
  </si>
  <si>
    <t>Robert,Wendy,Mathieu,Yasmine,Jente</t>
  </si>
  <si>
    <t>Léni</t>
  </si>
  <si>
    <t>149.74857-29</t>
  </si>
  <si>
    <t>28/04/1967</t>
  </si>
  <si>
    <t>Francois Laurentplein 60, 3740 Bilzen</t>
  </si>
  <si>
    <t>Léni,Jana,Patricia</t>
  </si>
  <si>
    <t>Leonor</t>
  </si>
  <si>
    <t>569.84468-17</t>
  </si>
  <si>
    <t>22/06/1959</t>
  </si>
  <si>
    <t>Lange Kruisstraat 7, 3740 Bilzen</t>
  </si>
  <si>
    <t>Leonor,Manon,Karin,Marco,Nohaila,Valérie</t>
  </si>
  <si>
    <t>Aura</t>
  </si>
  <si>
    <t>149.43307-79</t>
  </si>
  <si>
    <t>11/05/1963</t>
  </si>
  <si>
    <t>Aura,Virginie,Mohamed</t>
  </si>
  <si>
    <t>Jesse</t>
  </si>
  <si>
    <t>11.40359-97</t>
  </si>
  <si>
    <t>25/09/2003</t>
  </si>
  <si>
    <t>Sint-jan-baptiststraat 15, 3740 Bilzen</t>
  </si>
  <si>
    <t>Jesse,Daniel</t>
  </si>
  <si>
    <t>Viviane</t>
  </si>
  <si>
    <t>Verelst</t>
  </si>
  <si>
    <t>504.96340-52</t>
  </si>
  <si>
    <t>11/07/1991</t>
  </si>
  <si>
    <t>Romain Clausstraat 34, 3640 Kinrooi</t>
  </si>
  <si>
    <t>Dragos</t>
  </si>
  <si>
    <t>530.44234-13</t>
  </si>
  <si>
    <t>01/02/1964</t>
  </si>
  <si>
    <t>Gentbruggeplein 19, 3890 Vorden</t>
  </si>
  <si>
    <t>Dragos,Elisa,Ramzi</t>
  </si>
  <si>
    <t>Nourhan</t>
  </si>
  <si>
    <t>Lemaire</t>
  </si>
  <si>
    <t>289.68878-24</t>
  </si>
  <si>
    <t>05/06/1992</t>
  </si>
  <si>
    <t>Putkapelstraat 73, 3700 Tongeren</t>
  </si>
  <si>
    <t>Rudy</t>
  </si>
  <si>
    <t>264.32070-53</t>
  </si>
  <si>
    <t>20/07/2000</t>
  </si>
  <si>
    <t>Grotesteenweg Zuid 29, 3530 Houthalen-Helchteren</t>
  </si>
  <si>
    <t>Rudy,Ben</t>
  </si>
  <si>
    <t>Axel</t>
  </si>
  <si>
    <t>610.62452-94</t>
  </si>
  <si>
    <t>27/01/1958</t>
  </si>
  <si>
    <t>Begijnhoflaan 7, 3831 Herten</t>
  </si>
  <si>
    <t>Axel,Stefaan,Nadine,Michiel</t>
  </si>
  <si>
    <t>Stefanie</t>
  </si>
  <si>
    <t>17.44266-87</t>
  </si>
  <si>
    <t>17/04/1952</t>
  </si>
  <si>
    <t>Mathias Gesweinstraat 71, 3730 Hoeselt</t>
  </si>
  <si>
    <t>Stefanie,Marie,Suzanne</t>
  </si>
  <si>
    <t>Halyna</t>
  </si>
  <si>
    <t>Libert</t>
  </si>
  <si>
    <t>663.53503-37</t>
  </si>
  <si>
    <t>07/09/1952</t>
  </si>
  <si>
    <t>Kortrijksesteenweg 127, 3830 Wellen</t>
  </si>
  <si>
    <t>Halyna,Jarno</t>
  </si>
  <si>
    <t>Veerle</t>
  </si>
  <si>
    <t>346.28140-87</t>
  </si>
  <si>
    <t>18/06/1951</t>
  </si>
  <si>
    <t>Tijdelijk Postbus 53, 3930 Hamont-Achel</t>
  </si>
  <si>
    <t>Veerle,Maria,Eliane</t>
  </si>
  <si>
    <t>Daniels</t>
  </si>
  <si>
    <t>701.62905-21</t>
  </si>
  <si>
    <t>21/03/1951</t>
  </si>
  <si>
    <t>Woodrow Wilsonplein 37, 3600 Genk</t>
  </si>
  <si>
    <t>André,Zehra,Mohamed,Anne-Sophie,Catherine</t>
  </si>
  <si>
    <t>Miles</t>
  </si>
  <si>
    <t>Schepens</t>
  </si>
  <si>
    <t>231.52065-62</t>
  </si>
  <si>
    <t>16/01/2005</t>
  </si>
  <si>
    <t>Eliane Vogel-polskypad 43, 3600 Genk</t>
  </si>
  <si>
    <t>Miles,Tanguy</t>
  </si>
  <si>
    <t>994.17349-20</t>
  </si>
  <si>
    <t>Gildestraat 3, 3600 Genk</t>
  </si>
  <si>
    <t>Jolien</t>
  </si>
  <si>
    <t>308.43716-32</t>
  </si>
  <si>
    <t>18/12/1967</t>
  </si>
  <si>
    <t>Eekhoutdriesstraat 7, 3740 Bilzen</t>
  </si>
  <si>
    <t>Jolien,Leonarda</t>
  </si>
  <si>
    <t>Inge</t>
  </si>
  <si>
    <t>821.80246-96</t>
  </si>
  <si>
    <t>07/05/1971</t>
  </si>
  <si>
    <t>Nekkersputstraat 17, 3831 Herten</t>
  </si>
  <si>
    <t>Inge,Marie,Leart,Marc</t>
  </si>
  <si>
    <t>Estée</t>
  </si>
  <si>
    <t>362.28452-93</t>
  </si>
  <si>
    <t>26/11/1950</t>
  </si>
  <si>
    <t>Bruiloftstraat 15, 3900 Overpelt</t>
  </si>
  <si>
    <t>Estée,Elyse</t>
  </si>
  <si>
    <t>Rafael</t>
  </si>
  <si>
    <t>Jans</t>
  </si>
  <si>
    <t>586.11724-68</t>
  </si>
  <si>
    <t>22/06/1980</t>
  </si>
  <si>
    <t>Kalandeberg 73, 3590 Diepenbeek</t>
  </si>
  <si>
    <t>Rafael,Maria</t>
  </si>
  <si>
    <t>Ulrike</t>
  </si>
  <si>
    <t>437.70796-98</t>
  </si>
  <si>
    <t>30/03/1993</t>
  </si>
  <si>
    <t>Oudevest 62, 3890 Gingelom</t>
  </si>
  <si>
    <t>Ulrike,Victoria</t>
  </si>
  <si>
    <t>Myrianne</t>
  </si>
  <si>
    <t>524.70107-26</t>
  </si>
  <si>
    <t>11/12/1979</t>
  </si>
  <si>
    <t>Oudebareelstraat 30, 3770 Riemst</t>
  </si>
  <si>
    <t>Myrianne,Amelie,Christa,Andreas</t>
  </si>
  <si>
    <t>Isabel</t>
  </si>
  <si>
    <t>14.42024-17</t>
  </si>
  <si>
    <t>09/04/1976</t>
  </si>
  <si>
    <t>Bredestraat 6, 3500 Hasselt</t>
  </si>
  <si>
    <t>Isabel,Batuhan,René,Anne,Malake</t>
  </si>
  <si>
    <t>488.45676-73</t>
  </si>
  <si>
    <t>02/12/1987</t>
  </si>
  <si>
    <t>Krijgslaan 75, 3700 Tongeren</t>
  </si>
  <si>
    <t>Victor,Anatolii,Godelieve</t>
  </si>
  <si>
    <t>Noël</t>
  </si>
  <si>
    <t>79.29520-94</t>
  </si>
  <si>
    <t>Wondelgemkaai 58, 3891 Meilen</t>
  </si>
  <si>
    <t>Noël,Kimberly,Fitim</t>
  </si>
  <si>
    <t>Lio</t>
  </si>
  <si>
    <t>277.34867-14</t>
  </si>
  <si>
    <t>24/11/1980</t>
  </si>
  <si>
    <t>Ferdinand Lousbergskaai 49, 3640 Kinrooi</t>
  </si>
  <si>
    <t>Lio,Marc,Amadou,Mehmet</t>
  </si>
  <si>
    <t>Léon</t>
  </si>
  <si>
    <t>309.18516-85</t>
  </si>
  <si>
    <t>28/12/1980</t>
  </si>
  <si>
    <t>Nieuwland 13, 3800 Sint-Truiden</t>
  </si>
  <si>
    <t>Léon,Anca</t>
  </si>
  <si>
    <t>Eugeniusz</t>
  </si>
  <si>
    <t>384.66985-43</t>
  </si>
  <si>
    <t>21/02/1958</t>
  </si>
  <si>
    <t>Meerseniersstraat 58, 3831 Herten</t>
  </si>
  <si>
    <t>Eugeniusz,Adrien,Martine</t>
  </si>
  <si>
    <t>Finn</t>
  </si>
  <si>
    <t>489.79092-16</t>
  </si>
  <si>
    <t>12/11/1987</t>
  </si>
  <si>
    <t>Scheepzatestraat 71, 3650 Dilsen-Stokkem</t>
  </si>
  <si>
    <t>Lina</t>
  </si>
  <si>
    <t>58.27700-64</t>
  </si>
  <si>
    <t>11/03/1958</t>
  </si>
  <si>
    <t>Bijenstraat 26, 3730 Hoeselt</t>
  </si>
  <si>
    <t>Lina,Pieter,Théo,Arlette</t>
  </si>
  <si>
    <t>Smet</t>
  </si>
  <si>
    <t>327.37871-70</t>
  </si>
  <si>
    <t>07/04/1992</t>
  </si>
  <si>
    <t>Wielewaalstraat 50, 3500 Hasselt</t>
  </si>
  <si>
    <t>Steven,Rudy,Lisa</t>
  </si>
  <si>
    <t>614.29647-78</t>
  </si>
  <si>
    <t>21/12/1964</t>
  </si>
  <si>
    <t>De Pintelaan 1, 3920 Lommel</t>
  </si>
  <si>
    <t>Joëlle,Maria,Christel,Jacques</t>
  </si>
  <si>
    <t>Amalya</t>
  </si>
  <si>
    <t>365.93134-56</t>
  </si>
  <si>
    <t>15/10/1988</t>
  </si>
  <si>
    <t>Boeierstraat 13, 3620 Lanaken</t>
  </si>
  <si>
    <t>Amalya,Géraldine</t>
  </si>
  <si>
    <t>848.42164-36</t>
  </si>
  <si>
    <t>31/05/1971</t>
  </si>
  <si>
    <t>Loofblommestraat 38, 3800 Sint-Truiden</t>
  </si>
  <si>
    <t>Jacques,Ivette,Matilde,Melanie</t>
  </si>
  <si>
    <t>Danielle</t>
  </si>
  <si>
    <t>86.76448-24</t>
  </si>
  <si>
    <t>04/11/2002</t>
  </si>
  <si>
    <t>Dikkelindestraat 5, 3910 Neerpelt</t>
  </si>
  <si>
    <t>Danielle,Joël</t>
  </si>
  <si>
    <t>Lutgard</t>
  </si>
  <si>
    <t>149.29738-20</t>
  </si>
  <si>
    <t>13/02/1969</t>
  </si>
  <si>
    <t>Predikherenlei 26, 3560 Lummen</t>
  </si>
  <si>
    <t>Lutgard,Catherine</t>
  </si>
  <si>
    <t>Jürgen</t>
  </si>
  <si>
    <t>Lecocq</t>
  </si>
  <si>
    <t>826.66668-80</t>
  </si>
  <si>
    <t>25/06/1991</t>
  </si>
  <si>
    <t>Brugstraat 11, 3520 Zonhoven</t>
  </si>
  <si>
    <t>Jürgen,Döne</t>
  </si>
  <si>
    <t>967.46068-17</t>
  </si>
  <si>
    <t>21/06/1998</t>
  </si>
  <si>
    <t>Wondelgemstraat 1, 3650 Dilsen-Stokkem</t>
  </si>
  <si>
    <t>Myriam,Lauretta,Ibrahim</t>
  </si>
  <si>
    <t>494.21529-48</t>
  </si>
  <si>
    <t>17/08/1991</t>
  </si>
  <si>
    <t>Rozier 67, 3500 Hasselt</t>
  </si>
  <si>
    <t>Leon,Aymane,Johan</t>
  </si>
  <si>
    <t>Leopold</t>
  </si>
  <si>
    <t>749.42171-40</t>
  </si>
  <si>
    <t>29/09/1969</t>
  </si>
  <si>
    <t>Molenstraat 37, 3890 Gingelom</t>
  </si>
  <si>
    <t>Leopold,Rui,Philippe</t>
  </si>
  <si>
    <t>Eva</t>
  </si>
  <si>
    <t>412.38225-58</t>
  </si>
  <si>
    <t>20/12/1977</t>
  </si>
  <si>
    <t>Johan Daisnestraat 11, 3900 Overpelt</t>
  </si>
  <si>
    <t>Eva,Leon,Jean-Philippe,Victor,Françoise</t>
  </si>
  <si>
    <t>Abdel-Hamid</t>
  </si>
  <si>
    <t>453.97008-91</t>
  </si>
  <si>
    <t>02/01/1995</t>
  </si>
  <si>
    <t>Lijnwaadstraat 8, 3630 Maasmechelen</t>
  </si>
  <si>
    <t>Abdel-Hamid,Seydi,Mireille,Aissatou,Victor,Alexandre,Erika</t>
  </si>
  <si>
    <t>Nicole</t>
  </si>
  <si>
    <t>76.10518-65</t>
  </si>
  <si>
    <t>02/11/1988</t>
  </si>
  <si>
    <t>Ketelvest 8, 3720 Kortessem</t>
  </si>
  <si>
    <t>Nicole,Katrien</t>
  </si>
  <si>
    <t>274.35672-13</t>
  </si>
  <si>
    <t>02/04/1999</t>
  </si>
  <si>
    <t>Steenakker 10, 3970 Leopoldsburg</t>
  </si>
  <si>
    <t>Margot,Akira</t>
  </si>
  <si>
    <t>Rayan</t>
  </si>
  <si>
    <t>615.40599-46</t>
  </si>
  <si>
    <t>30/09/1990</t>
  </si>
  <si>
    <t>François Benardstraat 14, 3600 Genk</t>
  </si>
  <si>
    <t>Rayan,Viviane</t>
  </si>
  <si>
    <t>Verheyden</t>
  </si>
  <si>
    <t>311.41785-96</t>
  </si>
  <si>
    <t>18/11/1957</t>
  </si>
  <si>
    <t>Tennisbaanstraat 57, 3520 Zonhoven</t>
  </si>
  <si>
    <t>Liam,Annie</t>
  </si>
  <si>
    <t>876.94914-13</t>
  </si>
  <si>
    <t>19/11/1950</t>
  </si>
  <si>
    <t>J. Van Crombrugghestraat 31, 3620 Lanaken</t>
  </si>
  <si>
    <t>Annie,Sharif,Chiel,David</t>
  </si>
  <si>
    <t>Lies</t>
  </si>
  <si>
    <t>492.69116-70</t>
  </si>
  <si>
    <t>07/07/1995</t>
  </si>
  <si>
    <t>Lieven Bauwensplein 29, 3970 Leopoldsburg</t>
  </si>
  <si>
    <t>Lies,Elias</t>
  </si>
  <si>
    <t>710.66898-70</t>
  </si>
  <si>
    <t>04/03/1961</t>
  </si>
  <si>
    <t>Fregatstraat 32, 3740 Bilzen</t>
  </si>
  <si>
    <t>Michel,Linda,Maria</t>
  </si>
  <si>
    <t>Jarne</t>
  </si>
  <si>
    <t>Van de walle</t>
  </si>
  <si>
    <t>59.90192-81</t>
  </si>
  <si>
    <t>16/08/1994</t>
  </si>
  <si>
    <t>Tweebruggenstraat 4, 3590 Diepenbeek</t>
  </si>
  <si>
    <t>Jarne,Nele,Dorian,Maure</t>
  </si>
  <si>
    <t>691.47983-80</t>
  </si>
  <si>
    <t>11/05/1956</t>
  </si>
  <si>
    <t>Antwerpsesteenweg 16, 3500 Hasselt</t>
  </si>
  <si>
    <t>Alex,Fabien,Tassiana,Nathanaël</t>
  </si>
  <si>
    <t>Ulysse</t>
  </si>
  <si>
    <t>82.51516-73</t>
  </si>
  <si>
    <t>29/07/1954</t>
  </si>
  <si>
    <t>Bredestraat 6, 3550 Heusden-Zolder</t>
  </si>
  <si>
    <t>Ulysse,Annelies</t>
  </si>
  <si>
    <t>Victoria</t>
  </si>
  <si>
    <t>395.56939-12</t>
  </si>
  <si>
    <t>20/08/1959</t>
  </si>
  <si>
    <t>Dok-noord 63, 3500 Hasselt</t>
  </si>
  <si>
    <t>Victoria,Leon,Yvonne</t>
  </si>
  <si>
    <t>753.39852-15</t>
  </si>
  <si>
    <t>28/06/1966</t>
  </si>
  <si>
    <t>Albrecht Rodenbachstraat 3, 3550 Heusden-Zolder</t>
  </si>
  <si>
    <t>104.48201-98</t>
  </si>
  <si>
    <t>18/11/1962</t>
  </si>
  <si>
    <t>Maaltebruggestraat 40, 3690 Zutendaal</t>
  </si>
  <si>
    <t>Sophie,Greet,Naïm</t>
  </si>
  <si>
    <t>Boris</t>
  </si>
  <si>
    <t>Baeten</t>
  </si>
  <si>
    <t>151.31298-77</t>
  </si>
  <si>
    <t>28/11/2001</t>
  </si>
  <si>
    <t>Tortelduifstraat 34, 3650 Dilsen-Stokkem</t>
  </si>
  <si>
    <t>Boris,Eddy,Michel</t>
  </si>
  <si>
    <t>Abdellah</t>
  </si>
  <si>
    <t>143.17934-35</t>
  </si>
  <si>
    <t>15/06/1965</t>
  </si>
  <si>
    <t>Koninging Elisabethlaan 73, 3620 Lanaken</t>
  </si>
  <si>
    <t>Abdellah,Finnian</t>
  </si>
  <si>
    <t>Alma</t>
  </si>
  <si>
    <t>51.15185-26</t>
  </si>
  <si>
    <t>12/08/1963</t>
  </si>
  <si>
    <t>Frans Louwersstraat 33, 3690 Zutendaal</t>
  </si>
  <si>
    <t>Alma,Marc,Anne,Fatiha</t>
  </si>
  <si>
    <t>148.38701-44</t>
  </si>
  <si>
    <t>04/05/1972</t>
  </si>
  <si>
    <t>Overzet 7, 3900 Overpelt</t>
  </si>
  <si>
    <t>Ann,Steve,Nadia</t>
  </si>
  <si>
    <t>Scheherazade</t>
  </si>
  <si>
    <t>764.79328-48</t>
  </si>
  <si>
    <t>15/12/1966</t>
  </si>
  <si>
    <t>Florbertusstraat 31, 3500 Hasselt</t>
  </si>
  <si>
    <t>Scheherazade,Johny</t>
  </si>
  <si>
    <t>Roger</t>
  </si>
  <si>
    <t>203.90271-16</t>
  </si>
  <si>
    <t>11/08/1969</t>
  </si>
  <si>
    <t>Buffelstraat 90, 3910 Neerpelt</t>
  </si>
  <si>
    <t>Roger,Lotte,Godelieve,Marta</t>
  </si>
  <si>
    <t>Joram</t>
  </si>
  <si>
    <t>909.58523-60</t>
  </si>
  <si>
    <t>30/01/1946</t>
  </si>
  <si>
    <t>Schouwingsstraat 53, 3530 Houthalen-Helchteren</t>
  </si>
  <si>
    <t>Amélie</t>
  </si>
  <si>
    <t>172.21136-65</t>
  </si>
  <si>
    <t>03/07/1958</t>
  </si>
  <si>
    <t>Oude-abdijstraat 8, 3900 Overpelt</t>
  </si>
  <si>
    <t>Amélie,Christophe,Nadine,Hicham</t>
  </si>
  <si>
    <t>Jean-Luc</t>
  </si>
  <si>
    <t>643.80595-20</t>
  </si>
  <si>
    <t>26/05/1985</t>
  </si>
  <si>
    <t>Snepkaai 21, 3590 Diepenbeek</t>
  </si>
  <si>
    <t>Jean-Luc,Mathias,Eden,Halil,Mariam</t>
  </si>
  <si>
    <t>Bekaert</t>
  </si>
  <si>
    <t>208.85746-47</t>
  </si>
  <si>
    <t>Trekweg 6, 3700 Tongeren</t>
  </si>
  <si>
    <t>Veerle,Seyit</t>
  </si>
  <si>
    <t>Horus</t>
  </si>
  <si>
    <t>449.10541-65</t>
  </si>
  <si>
    <t>03/01/1997</t>
  </si>
  <si>
    <t>Maaltemeers 5, 3870 Heers</t>
  </si>
  <si>
    <t>Horus,Sonja,Gregorio,Charlotte</t>
  </si>
  <si>
    <t>Marien</t>
  </si>
  <si>
    <t>904.10295-73</t>
  </si>
  <si>
    <t>10/08/1982</t>
  </si>
  <si>
    <t>Ter Platen 41, 3830 Wellen</t>
  </si>
  <si>
    <t>Antoine,Peggy,Léana,Marta</t>
  </si>
  <si>
    <t>751.93764-38</t>
  </si>
  <si>
    <t>14/11/1951</t>
  </si>
  <si>
    <t>Desteldonkdorp 40, 3500 Hasselt</t>
  </si>
  <si>
    <t>Lucette</t>
  </si>
  <si>
    <t>262.89673-77</t>
  </si>
  <si>
    <t>22/05/1945</t>
  </si>
  <si>
    <t>Patijntjestraat 15, 3800 Sint-Truiden</t>
  </si>
  <si>
    <t>Capucine</t>
  </si>
  <si>
    <t>850.46019-86</t>
  </si>
  <si>
    <t>20/03/2001</t>
  </si>
  <si>
    <t>Koningsdal 51, 3930 Hamont-Achel</t>
  </si>
  <si>
    <t>Capucine,Ode,Wout,Charlotte</t>
  </si>
  <si>
    <t>Saskia</t>
  </si>
  <si>
    <t>151.18898-37</t>
  </si>
  <si>
    <t>13/08/1973</t>
  </si>
  <si>
    <t>Gebroeders Van Eyckstraat 45, 3545 Halen</t>
  </si>
  <si>
    <t>Saskia,Corrado,Thomas,Kawthar</t>
  </si>
  <si>
    <t>Rabah</t>
  </si>
  <si>
    <t>Georges</t>
  </si>
  <si>
    <t>264.42443-39</t>
  </si>
  <si>
    <t>07/04/1974</t>
  </si>
  <si>
    <t>Veldstraat 15, 3740 Bilzen</t>
  </si>
  <si>
    <t>Rabah,Huguette</t>
  </si>
  <si>
    <t>663.71301-71</t>
  </si>
  <si>
    <t>16/10/1961</t>
  </si>
  <si>
    <t>Langerbruggekaai 22, 3520 Zonhoven</t>
  </si>
  <si>
    <t>Dirk,Anita</t>
  </si>
  <si>
    <t>Katrien</t>
  </si>
  <si>
    <t>Pollet</t>
  </si>
  <si>
    <t>130.72886-82</t>
  </si>
  <si>
    <t>21/11/1994</t>
  </si>
  <si>
    <t>Lijnwaadstraat 63, 3890 Vorden</t>
  </si>
  <si>
    <t>Katrien,Tania,Simone,Yaël,Anita</t>
  </si>
  <si>
    <t>Marguerite</t>
  </si>
  <si>
    <t>De schepper</t>
  </si>
  <si>
    <t>432.10209-56</t>
  </si>
  <si>
    <t>09/10/1960</t>
  </si>
  <si>
    <t>Sint-jacobsnieuwstraat 29, 3700 Tongeren</t>
  </si>
  <si>
    <t>Marguerite,Julian,Anthony</t>
  </si>
  <si>
    <t>Jelle</t>
  </si>
  <si>
    <t>500.85644-97</t>
  </si>
  <si>
    <t>12/01/1974</t>
  </si>
  <si>
    <t>Brusselsesteenweg 50, 3831 Herten</t>
  </si>
  <si>
    <t>Jelle,Emma,Marc</t>
  </si>
  <si>
    <t>946.49550-85</t>
  </si>
  <si>
    <t>03/06/1994</t>
  </si>
  <si>
    <t>Nekkersputstraat 18, 3831 Herten</t>
  </si>
  <si>
    <t>708.73149-60</t>
  </si>
  <si>
    <t>30/10/1957</t>
  </si>
  <si>
    <t>Aaigemstraat 26, 3831 Herten</t>
  </si>
  <si>
    <t>Tim,Ilayda</t>
  </si>
  <si>
    <t>Fernand</t>
  </si>
  <si>
    <t>135.28764-20</t>
  </si>
  <si>
    <t>20/04/1995</t>
  </si>
  <si>
    <t>Deinse Horsweg 20, 3660 Opglabbeek</t>
  </si>
  <si>
    <t>Fernand,Patrick,Mathieu,Céline</t>
  </si>
  <si>
    <t>Elfride</t>
  </si>
  <si>
    <t>748.65064-57</t>
  </si>
  <si>
    <t>10/10/1990</t>
  </si>
  <si>
    <t>Bijenstraat 18, 3530 Houthalen-Helchteren</t>
  </si>
  <si>
    <t>Elfride,Christiana</t>
  </si>
  <si>
    <t>203.67949-70</t>
  </si>
  <si>
    <t>Graaf Van Vlaanderenplein 48, 3500 Hasselt</t>
  </si>
  <si>
    <t>Vanessa,Caroline,Clara</t>
  </si>
  <si>
    <t>754.85303-97</t>
  </si>
  <si>
    <t>07/07/1946</t>
  </si>
  <si>
    <t>Groenehoekstraat 63, 3891 Meilen</t>
  </si>
  <si>
    <t>Capucine,Oona,Yvonne</t>
  </si>
  <si>
    <t>Jean-Pierre</t>
  </si>
  <si>
    <t>Gillet</t>
  </si>
  <si>
    <t>374.45955-84</t>
  </si>
  <si>
    <t>31/07/1957</t>
  </si>
  <si>
    <t>Nieuwewandeling 18, 3831 Herten</t>
  </si>
  <si>
    <t>Jean-Pierre,Leo,Jean-Christophe,Michel,David</t>
  </si>
  <si>
    <t>248.75956-45</t>
  </si>
  <si>
    <t>17/04/1976</t>
  </si>
  <si>
    <t>Voldersstraat 49, 3670 Meeuwen-Gruitrode</t>
  </si>
  <si>
    <t>Kevin,Sammi,Liam,Saleh</t>
  </si>
  <si>
    <t>Hatidzhe</t>
  </si>
  <si>
    <t>323.26977-69</t>
  </si>
  <si>
    <t>19/01/1973</t>
  </si>
  <si>
    <t>New-yorkstraat 81, 3970 Leopoldsburg</t>
  </si>
  <si>
    <t>Hatidzhe,Casimir,Yanni,Ghislain</t>
  </si>
  <si>
    <t>996.93163-45</t>
  </si>
  <si>
    <t>19/08/1950</t>
  </si>
  <si>
    <t>Meerhoutstraat 57, 3740 Bilzen</t>
  </si>
  <si>
    <t>Valérie,Maya,Annick,Liliane</t>
  </si>
  <si>
    <t>Gauthier</t>
  </si>
  <si>
    <t>73.36406-57</t>
  </si>
  <si>
    <t>07/07/2005</t>
  </si>
  <si>
    <t>Sagastraat 98, 3900 Overpelt</t>
  </si>
  <si>
    <t>Gauthier,Stijn,Naëlle,Jonas,Ellie</t>
  </si>
  <si>
    <t>893.41636-16</t>
  </si>
  <si>
    <t>07/05/2005</t>
  </si>
  <si>
    <t>Voldersstraat 58, 3700 Tongeren</t>
  </si>
  <si>
    <t>Jeannine,Emmanuel</t>
  </si>
  <si>
    <t>Emiline</t>
  </si>
  <si>
    <t>707.63721-76</t>
  </si>
  <si>
    <t>06/10/1945</t>
  </si>
  <si>
    <t>François Laurentplein 33, 3540 Herk-de-Stad</t>
  </si>
  <si>
    <t>Emiline,Yousef</t>
  </si>
  <si>
    <t>Annelore</t>
  </si>
  <si>
    <t>871.41049-41</t>
  </si>
  <si>
    <t>09/04/1990</t>
  </si>
  <si>
    <t>Kleindokkaai 8, 3500 Hasselt</t>
  </si>
  <si>
    <t>Annelore,Cynthia</t>
  </si>
  <si>
    <t>Josephus</t>
  </si>
  <si>
    <t>799.41326-79</t>
  </si>
  <si>
    <t>13/03/1972</t>
  </si>
  <si>
    <t>Dracenastraat 30, 3831 Herten</t>
  </si>
  <si>
    <t>Josephus,Lev</t>
  </si>
  <si>
    <t>452.55248-28</t>
  </si>
  <si>
    <t>09/12/1975</t>
  </si>
  <si>
    <t>Bennesteeg 33, 3891 Meilen</t>
  </si>
  <si>
    <t>Christian,Luca,Murat,Romanus</t>
  </si>
  <si>
    <t>Antoinette</t>
  </si>
  <si>
    <t>827.99876-88</t>
  </si>
  <si>
    <t>04/11/1957</t>
  </si>
  <si>
    <t>Bij Sint-jacobs 52, 3920 Lommel</t>
  </si>
  <si>
    <t>Antoinette,Lara,Morgane</t>
  </si>
  <si>
    <t>Yessica</t>
  </si>
  <si>
    <t>966.89292-68</t>
  </si>
  <si>
    <t>31/03/1967</t>
  </si>
  <si>
    <t>Driepikkelstraat 27, 3800 Zepperen</t>
  </si>
  <si>
    <t>Yessica,Nina</t>
  </si>
  <si>
    <t>988.87347-37</t>
  </si>
  <si>
    <t>08/04/1980</t>
  </si>
  <si>
    <t>Florbertusstraat 37, 3930 Hamont-Achel</t>
  </si>
  <si>
    <t>Julien,Anastasiia,Miranda,Amelie</t>
  </si>
  <si>
    <t>Manu</t>
  </si>
  <si>
    <t>Baetens</t>
  </si>
  <si>
    <t>454.76682-24</t>
  </si>
  <si>
    <t>21/06/1975</t>
  </si>
  <si>
    <t>Voormuide 26, 3630 Maasmechelen</t>
  </si>
  <si>
    <t>Manu,Chantal</t>
  </si>
  <si>
    <t>43.26703-74</t>
  </si>
  <si>
    <t>07/05/1958</t>
  </si>
  <si>
    <t>Gouvernementstraat 38, 3900 Overpelt</t>
  </si>
  <si>
    <t>Camille,Noël</t>
  </si>
  <si>
    <t>795.53935-35</t>
  </si>
  <si>
    <t>22/05/1986</t>
  </si>
  <si>
    <t>Derbystraat 91, 3590 Diepenbeek</t>
  </si>
  <si>
    <t>Kim,Mbark,Roos,Philéas,Annik</t>
  </si>
  <si>
    <t>Juliette</t>
  </si>
  <si>
    <t>600.37154-39</t>
  </si>
  <si>
    <t>08/09/1977</t>
  </si>
  <si>
    <t>Geldmunt 6, 3600 Genk</t>
  </si>
  <si>
    <t>Juliette,Amina</t>
  </si>
  <si>
    <t>Nio</t>
  </si>
  <si>
    <t>Bracke</t>
  </si>
  <si>
    <t>792.47226-67</t>
  </si>
  <si>
    <t>20/07/1946</t>
  </si>
  <si>
    <t>Overpoortstraat 58, 3900 Overpelt</t>
  </si>
  <si>
    <t>Nio,Elia,Enzo,Loïc</t>
  </si>
  <si>
    <t>556.73644-86</t>
  </si>
  <si>
    <t>09/07/1964</t>
  </si>
  <si>
    <t>Sint-pietersnieuwstraat 34, 3920 Lommel</t>
  </si>
  <si>
    <t>Samuel,Michail,Ionel,Gerda,Jenny</t>
  </si>
  <si>
    <t>171.50200-29</t>
  </si>
  <si>
    <t>31/03/2002</t>
  </si>
  <si>
    <t>Deinse Horsweg 24, 3800 Sint-Truiden</t>
  </si>
  <si>
    <t>Nicole,Benjamin</t>
  </si>
  <si>
    <t>Lena</t>
  </si>
  <si>
    <t>556.43997-70</t>
  </si>
  <si>
    <t>21/05/1977</t>
  </si>
  <si>
    <t>Onderstraat 9, 3520 Zonhoven</t>
  </si>
  <si>
    <t>Lena,Elisabeth,Samuel,Valentina,Arthur</t>
  </si>
  <si>
    <t>Sandra</t>
  </si>
  <si>
    <t>814.95142-40</t>
  </si>
  <si>
    <t>04/12/2001</t>
  </si>
  <si>
    <t>Gagelstraat 16, 3700 Tongeren</t>
  </si>
  <si>
    <t>Sandra,Bo</t>
  </si>
  <si>
    <t>Yara</t>
  </si>
  <si>
    <t>484.40017-88</t>
  </si>
  <si>
    <t>06/07/1963</t>
  </si>
  <si>
    <t>Warmoezeniersweg 14, 3590 Diepenbeek</t>
  </si>
  <si>
    <t>Yara,Célia</t>
  </si>
  <si>
    <t>891.69279-37</t>
  </si>
  <si>
    <t>26/05/1996</t>
  </si>
  <si>
    <t>Vlaanderenstraat 31, 3680 Maaseik</t>
  </si>
  <si>
    <t>827.94687-19</t>
  </si>
  <si>
    <t>07/01/1991</t>
  </si>
  <si>
    <t>Baudelokaai 52, 3940 Hechtel-Eksel</t>
  </si>
  <si>
    <t>Christelle,Laure,Yves</t>
  </si>
  <si>
    <t>706.16968-11</t>
  </si>
  <si>
    <t>22/11/1984</t>
  </si>
  <si>
    <t>Ijskelderstraat 59, 3690 Zutendaal</t>
  </si>
  <si>
    <t>Evelien,Leo,Roel</t>
  </si>
  <si>
    <t>Margareta</t>
  </si>
  <si>
    <t>677.69303-80</t>
  </si>
  <si>
    <t>29/05/1979</t>
  </si>
  <si>
    <t>Coupure Links 40, 3590 Diepenbeek</t>
  </si>
  <si>
    <t>Margareta,Colette,Dieter</t>
  </si>
  <si>
    <t>Alexander</t>
  </si>
  <si>
    <t>180.63065-55</t>
  </si>
  <si>
    <t>08/10/1953</t>
  </si>
  <si>
    <t>Chr. Van Der Heydenlaan 73, 3530 Houthalen-Helchteren</t>
  </si>
  <si>
    <t>Alexander,Jaak,Emmanuel,Christophe</t>
  </si>
  <si>
    <t>Marty</t>
  </si>
  <si>
    <t>856.32892-62</t>
  </si>
  <si>
    <t>28/01/1990</t>
  </si>
  <si>
    <t>Scheeplosserstraat 35, 3540 Herk-de-Stad</t>
  </si>
  <si>
    <t>Marty,Amal,Joelle,Ammar,Odette</t>
  </si>
  <si>
    <t>Mina</t>
  </si>
  <si>
    <t>422.47909-96</t>
  </si>
  <si>
    <t>04/11/1975</t>
  </si>
  <si>
    <t>Grotesteenweg Zuid 25, 3720 Kortessem</t>
  </si>
  <si>
    <t>Mina,Joel</t>
  </si>
  <si>
    <t>891.14245-39</t>
  </si>
  <si>
    <t>14/04/1960</t>
  </si>
  <si>
    <t>Hoogstraat 22, 3500 Hasselt</t>
  </si>
  <si>
    <t>Roos</t>
  </si>
  <si>
    <t>335.72785-97</t>
  </si>
  <si>
    <t>15/10/1973</t>
  </si>
  <si>
    <t>Florbertusstraat 50, 3890 Gingelom</t>
  </si>
  <si>
    <t>Roos,Rita,Mouhamad</t>
  </si>
  <si>
    <t>Zoë</t>
  </si>
  <si>
    <t>Gérard</t>
  </si>
  <si>
    <t>738.36214-62</t>
  </si>
  <si>
    <t>18/08/1994</t>
  </si>
  <si>
    <t>Hofstraat 3, 3540 Herk-de-Stad</t>
  </si>
  <si>
    <t>Lieven</t>
  </si>
  <si>
    <t>684.47219-37</t>
  </si>
  <si>
    <t>30/08/2006</t>
  </si>
  <si>
    <t>Lentestraat 92, 3790 Moelingen</t>
  </si>
  <si>
    <t>Lieven,Patrick,Sofie,Youri</t>
  </si>
  <si>
    <t>59.63713-17</t>
  </si>
  <si>
    <t>27/09/2002</t>
  </si>
  <si>
    <t>Maisstraat 26, 3970 Leopoldsburg</t>
  </si>
  <si>
    <t>Luc,Larissa,Sylvie,Jozef</t>
  </si>
  <si>
    <t>Naam (gecombineerd)</t>
  </si>
  <si>
    <t>adres (gecombineerd)</t>
  </si>
  <si>
    <t>Aantal volwassenen</t>
  </si>
  <si>
    <t>Aantal kinderen</t>
  </si>
  <si>
    <t>Tevredenheid Score</t>
  </si>
  <si>
    <t>Bron</t>
  </si>
  <si>
    <t>Use Excel UI to insert PivotTables from 'Merged_With_Formulas'</t>
  </si>
  <si>
    <t>Suggested: Avg satisfaction by visit frequency, total spending by gezinsleden</t>
  </si>
  <si>
    <t>Gemiddelde Tevredenheid</t>
  </si>
  <si>
    <t>Totaal Wekelijkse Uitgaven</t>
  </si>
  <si>
    <t>Aantal Huishoudens</t>
  </si>
  <si>
    <t>Regelmatig</t>
  </si>
  <si>
    <t>⬆️ Dit is een voorbeeld van een draaitabeloverzicht die je in Excel kunt visualiseren.</t>
  </si>
  <si>
    <t>Gebruik deze structuur om een draaitabel en grafiek te maken (bijv. staafdiagram of lijndiagram).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</si>
</sst>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3"/>
  <sheetViews>
    <sheetView topLeftCell="A17" workbookViewId="0">
      <selection activeCell="P2" sqref="P2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2715381943</v>
      </c>
      <c r="C2" t="s">
        <v>18</v>
      </c>
      <c r="D2" t="s">
        <v>19</v>
      </c>
      <c r="E2">
        <v>57</v>
      </c>
      <c r="F2" t="s">
        <v>20</v>
      </c>
      <c r="G2">
        <v>2</v>
      </c>
      <c r="H2">
        <v>1</v>
      </c>
      <c r="I2">
        <v>86.62</v>
      </c>
      <c r="J2" t="s">
        <v>21</v>
      </c>
      <c r="K2" t="s">
        <v>22</v>
      </c>
      <c r="L2">
        <v>7.31</v>
      </c>
      <c r="M2" t="s">
        <v>23</v>
      </c>
      <c r="N2" t="str">
        <f t="shared" ref="N2:N65" si="0">LEFT(A2, FIND(",", A2)-1)</f>
        <v>Verhelst</v>
      </c>
      <c r="O2" t="str">
        <f t="shared" ref="O2:O65" si="1">MID(A2, FIND(",", A2)+2, LEN(A2))</f>
        <v>Francis</v>
      </c>
      <c r="P2" t="e">
        <f t="shared" ref="P2:P65" ca="1" si="2">SWITCH(J2, "Zelden", 1, "Af en toe", 4, "Regelmatig", 8, "Vaak", 12)</f>
        <v>#NAME?</v>
      </c>
      <c r="Q2" t="str">
        <f t="shared" ref="Q2:Q65" si="3">IF(L2&gt;=7, "Tevreden", "Ontevreden")</f>
        <v>Tevreden</v>
      </c>
    </row>
    <row r="3" spans="1:17" x14ac:dyDescent="0.3">
      <c r="A3" t="s">
        <v>24</v>
      </c>
      <c r="B3">
        <v>5412368555</v>
      </c>
      <c r="C3" t="s">
        <v>25</v>
      </c>
      <c r="D3" t="s">
        <v>26</v>
      </c>
      <c r="E3">
        <v>92</v>
      </c>
      <c r="F3" t="s">
        <v>27</v>
      </c>
      <c r="G3">
        <v>2</v>
      </c>
      <c r="H3">
        <v>2</v>
      </c>
      <c r="I3">
        <v>172.58</v>
      </c>
      <c r="J3" t="s">
        <v>28</v>
      </c>
      <c r="K3" t="s">
        <v>29</v>
      </c>
      <c r="L3">
        <v>6.95</v>
      </c>
      <c r="M3" t="s">
        <v>23</v>
      </c>
      <c r="N3" t="str">
        <f t="shared" si="0"/>
        <v>De laet</v>
      </c>
      <c r="O3" t="str">
        <f t="shared" si="1"/>
        <v>Ona</v>
      </c>
      <c r="P3" t="e">
        <f t="shared" ca="1" si="2"/>
        <v>#NAME?</v>
      </c>
      <c r="Q3" t="str">
        <f t="shared" si="3"/>
        <v>Ontevreden</v>
      </c>
    </row>
    <row r="4" spans="1:17" x14ac:dyDescent="0.3">
      <c r="A4" t="s">
        <v>30</v>
      </c>
      <c r="B4">
        <v>3807023629</v>
      </c>
      <c r="C4" t="s">
        <v>31</v>
      </c>
      <c r="D4" t="s">
        <v>32</v>
      </c>
      <c r="E4">
        <v>50</v>
      </c>
      <c r="F4" t="s">
        <v>33</v>
      </c>
      <c r="G4">
        <v>2</v>
      </c>
      <c r="H4">
        <v>0</v>
      </c>
      <c r="I4">
        <v>70.930000000000007</v>
      </c>
      <c r="J4" t="s">
        <v>28</v>
      </c>
      <c r="K4" t="s">
        <v>29</v>
      </c>
      <c r="L4">
        <v>8.6999999999999993</v>
      </c>
      <c r="M4" t="s">
        <v>34</v>
      </c>
      <c r="N4" t="str">
        <f t="shared" si="0"/>
        <v>Buelens</v>
      </c>
      <c r="O4" t="str">
        <f t="shared" si="1"/>
        <v>Dominique</v>
      </c>
      <c r="P4" t="e">
        <f t="shared" ca="1" si="2"/>
        <v>#NAME?</v>
      </c>
      <c r="Q4" t="str">
        <f t="shared" si="3"/>
        <v>Tevreden</v>
      </c>
    </row>
    <row r="5" spans="1:17" x14ac:dyDescent="0.3">
      <c r="A5" t="s">
        <v>35</v>
      </c>
      <c r="B5">
        <v>4478013249</v>
      </c>
      <c r="C5" t="s">
        <v>36</v>
      </c>
      <c r="D5" t="s">
        <v>37</v>
      </c>
      <c r="E5">
        <v>42</v>
      </c>
      <c r="F5" t="s">
        <v>38</v>
      </c>
      <c r="G5">
        <v>5</v>
      </c>
      <c r="H5">
        <v>0</v>
      </c>
      <c r="I5">
        <v>173.04</v>
      </c>
      <c r="J5" t="s">
        <v>21</v>
      </c>
      <c r="K5" t="s">
        <v>22</v>
      </c>
      <c r="L5">
        <v>6.91</v>
      </c>
      <c r="M5" t="s">
        <v>23</v>
      </c>
      <c r="N5" t="str">
        <f t="shared" si="0"/>
        <v>Dierickx</v>
      </c>
      <c r="O5" t="str">
        <f t="shared" si="1"/>
        <v>Mario</v>
      </c>
      <c r="P5" t="e">
        <f t="shared" ca="1" si="2"/>
        <v>#NAME?</v>
      </c>
      <c r="Q5" t="str">
        <f t="shared" si="3"/>
        <v>Ontevreden</v>
      </c>
    </row>
    <row r="6" spans="1:17" x14ac:dyDescent="0.3">
      <c r="A6" t="s">
        <v>39</v>
      </c>
      <c r="B6">
        <v>6113079810</v>
      </c>
      <c r="C6" t="s">
        <v>40</v>
      </c>
      <c r="D6" t="s">
        <v>41</v>
      </c>
      <c r="E6">
        <v>37</v>
      </c>
      <c r="F6" t="s">
        <v>42</v>
      </c>
      <c r="G6">
        <v>2</v>
      </c>
      <c r="H6">
        <v>0</v>
      </c>
      <c r="I6">
        <v>45.85</v>
      </c>
      <c r="J6" t="s">
        <v>28</v>
      </c>
      <c r="K6" t="s">
        <v>29</v>
      </c>
      <c r="L6">
        <v>7.3</v>
      </c>
      <c r="M6" t="s">
        <v>23</v>
      </c>
      <c r="N6" t="str">
        <f t="shared" si="0"/>
        <v>Wellens</v>
      </c>
      <c r="O6" t="str">
        <f t="shared" si="1"/>
        <v>Anna</v>
      </c>
      <c r="P6" t="e">
        <f t="shared" ca="1" si="2"/>
        <v>#NAME?</v>
      </c>
      <c r="Q6" t="str">
        <f t="shared" si="3"/>
        <v>Tevreden</v>
      </c>
    </row>
    <row r="7" spans="1:17" x14ac:dyDescent="0.3">
      <c r="A7" t="s">
        <v>43</v>
      </c>
      <c r="B7">
        <v>7724386364</v>
      </c>
      <c r="C7" t="s">
        <v>44</v>
      </c>
      <c r="D7" t="s">
        <v>45</v>
      </c>
      <c r="E7">
        <v>68</v>
      </c>
      <c r="F7" t="s">
        <v>46</v>
      </c>
      <c r="G7">
        <v>2</v>
      </c>
      <c r="H7">
        <v>4</v>
      </c>
      <c r="I7">
        <v>220.16</v>
      </c>
      <c r="J7" t="s">
        <v>47</v>
      </c>
      <c r="K7" t="s">
        <v>22</v>
      </c>
      <c r="L7">
        <v>6.3</v>
      </c>
      <c r="M7" t="s">
        <v>23</v>
      </c>
      <c r="N7" t="str">
        <f t="shared" si="0"/>
        <v>Van de walle</v>
      </c>
      <c r="O7" t="str">
        <f t="shared" si="1"/>
        <v>Guido</v>
      </c>
      <c r="P7" t="e">
        <f t="shared" ca="1" si="2"/>
        <v>#NAME?</v>
      </c>
      <c r="Q7" t="str">
        <f t="shared" si="3"/>
        <v>Ontevreden</v>
      </c>
    </row>
    <row r="8" spans="1:17" x14ac:dyDescent="0.3">
      <c r="A8" t="s">
        <v>48</v>
      </c>
      <c r="B8">
        <v>6652637488</v>
      </c>
      <c r="C8" t="s">
        <v>49</v>
      </c>
      <c r="D8" t="s">
        <v>50</v>
      </c>
      <c r="E8">
        <v>47</v>
      </c>
      <c r="F8" t="s">
        <v>51</v>
      </c>
      <c r="G8">
        <v>1</v>
      </c>
      <c r="H8">
        <v>0</v>
      </c>
      <c r="I8">
        <v>20.47</v>
      </c>
      <c r="J8" t="s">
        <v>52</v>
      </c>
      <c r="K8" t="s">
        <v>22</v>
      </c>
      <c r="L8">
        <v>7.18</v>
      </c>
      <c r="M8" t="s">
        <v>23</v>
      </c>
      <c r="N8" t="str">
        <f t="shared" si="0"/>
        <v>Peeters</v>
      </c>
      <c r="O8" t="str">
        <f t="shared" si="1"/>
        <v>Frank</v>
      </c>
      <c r="P8" t="e">
        <f t="shared" ca="1" si="2"/>
        <v>#NAME?</v>
      </c>
      <c r="Q8" t="str">
        <f t="shared" si="3"/>
        <v>Tevreden</v>
      </c>
    </row>
    <row r="9" spans="1:17" x14ac:dyDescent="0.3">
      <c r="A9" t="s">
        <v>53</v>
      </c>
      <c r="B9">
        <v>9927674896</v>
      </c>
      <c r="C9" t="s">
        <v>54</v>
      </c>
      <c r="D9" t="s">
        <v>55</v>
      </c>
      <c r="E9">
        <v>12</v>
      </c>
      <c r="F9" t="s">
        <v>56</v>
      </c>
      <c r="G9">
        <v>2</v>
      </c>
      <c r="H9">
        <v>2</v>
      </c>
      <c r="I9">
        <v>98.99</v>
      </c>
      <c r="J9" t="s">
        <v>47</v>
      </c>
      <c r="K9" t="s">
        <v>57</v>
      </c>
      <c r="L9">
        <v>7.26</v>
      </c>
      <c r="M9" t="s">
        <v>23</v>
      </c>
      <c r="N9" t="str">
        <f t="shared" si="0"/>
        <v>Vermeulen</v>
      </c>
      <c r="O9" t="str">
        <f t="shared" si="1"/>
        <v>Leon</v>
      </c>
      <c r="P9" t="e">
        <f t="shared" ca="1" si="2"/>
        <v>#NAME?</v>
      </c>
      <c r="Q9" t="str">
        <f t="shared" si="3"/>
        <v>Tevreden</v>
      </c>
    </row>
    <row r="10" spans="1:17" x14ac:dyDescent="0.3">
      <c r="A10" t="s">
        <v>58</v>
      </c>
      <c r="B10">
        <v>8619085213</v>
      </c>
      <c r="C10" t="s">
        <v>59</v>
      </c>
      <c r="D10" t="s">
        <v>60</v>
      </c>
      <c r="E10">
        <v>7</v>
      </c>
      <c r="F10" t="s">
        <v>61</v>
      </c>
      <c r="G10">
        <v>1</v>
      </c>
      <c r="H10">
        <v>3</v>
      </c>
      <c r="I10">
        <v>141.32</v>
      </c>
      <c r="J10" t="s">
        <v>47</v>
      </c>
      <c r="K10" t="s">
        <v>22</v>
      </c>
      <c r="L10">
        <v>7.6</v>
      </c>
      <c r="M10" t="s">
        <v>34</v>
      </c>
      <c r="N10" t="str">
        <f t="shared" si="0"/>
        <v>Willems</v>
      </c>
      <c r="O10" t="str">
        <f t="shared" si="1"/>
        <v>Didier</v>
      </c>
      <c r="P10" t="e">
        <f t="shared" ca="1" si="2"/>
        <v>#NAME?</v>
      </c>
      <c r="Q10" t="str">
        <f t="shared" si="3"/>
        <v>Tevreden</v>
      </c>
    </row>
    <row r="11" spans="1:17" x14ac:dyDescent="0.3">
      <c r="A11" t="s">
        <v>62</v>
      </c>
      <c r="B11">
        <v>7519640151</v>
      </c>
      <c r="C11" t="s">
        <v>63</v>
      </c>
      <c r="D11" t="s">
        <v>64</v>
      </c>
      <c r="E11">
        <v>6</v>
      </c>
      <c r="F11" t="s">
        <v>65</v>
      </c>
      <c r="G11">
        <v>1</v>
      </c>
      <c r="H11">
        <v>0</v>
      </c>
      <c r="I11">
        <v>76.400000000000006</v>
      </c>
      <c r="J11" t="s">
        <v>52</v>
      </c>
      <c r="K11" t="s">
        <v>29</v>
      </c>
      <c r="L11">
        <v>7.71</v>
      </c>
      <c r="M11" t="s">
        <v>23</v>
      </c>
      <c r="N11" t="str">
        <f t="shared" si="0"/>
        <v>Peeters</v>
      </c>
      <c r="O11" t="str">
        <f t="shared" si="1"/>
        <v>José</v>
      </c>
      <c r="P11" t="e">
        <f t="shared" ca="1" si="2"/>
        <v>#NAME?</v>
      </c>
      <c r="Q11" t="str">
        <f t="shared" si="3"/>
        <v>Tevreden</v>
      </c>
    </row>
    <row r="12" spans="1:17" x14ac:dyDescent="0.3">
      <c r="A12" t="s">
        <v>66</v>
      </c>
      <c r="B12">
        <v>923969979</v>
      </c>
      <c r="C12" t="s">
        <v>67</v>
      </c>
      <c r="D12" t="s">
        <v>68</v>
      </c>
      <c r="E12">
        <v>38</v>
      </c>
      <c r="F12" t="s">
        <v>33</v>
      </c>
      <c r="G12">
        <v>1</v>
      </c>
      <c r="H12">
        <v>2</v>
      </c>
      <c r="I12">
        <v>207.88</v>
      </c>
      <c r="J12" t="s">
        <v>47</v>
      </c>
      <c r="K12" t="s">
        <v>29</v>
      </c>
      <c r="L12">
        <v>6.43</v>
      </c>
      <c r="M12" t="s">
        <v>23</v>
      </c>
      <c r="N12" t="str">
        <f t="shared" si="0"/>
        <v>Bauwens</v>
      </c>
      <c r="O12" t="str">
        <f t="shared" si="1"/>
        <v>Micheline</v>
      </c>
      <c r="P12" t="e">
        <f t="shared" ca="1" si="2"/>
        <v>#NAME?</v>
      </c>
      <c r="Q12" t="str">
        <f t="shared" si="3"/>
        <v>Ontevreden</v>
      </c>
    </row>
    <row r="13" spans="1:17" x14ac:dyDescent="0.3">
      <c r="A13" t="s">
        <v>69</v>
      </c>
      <c r="B13">
        <v>2659942039</v>
      </c>
      <c r="C13" t="s">
        <v>70</v>
      </c>
      <c r="D13" t="s">
        <v>71</v>
      </c>
      <c r="E13">
        <v>81</v>
      </c>
      <c r="F13" t="s">
        <v>72</v>
      </c>
      <c r="G13">
        <v>1</v>
      </c>
      <c r="H13">
        <v>3</v>
      </c>
      <c r="I13">
        <v>29.18</v>
      </c>
      <c r="J13" t="s">
        <v>28</v>
      </c>
      <c r="K13" t="s">
        <v>29</v>
      </c>
      <c r="L13">
        <v>6.91</v>
      </c>
      <c r="M13" t="s">
        <v>23</v>
      </c>
      <c r="N13" t="str">
        <f t="shared" si="0"/>
        <v>Schepers</v>
      </c>
      <c r="O13" t="str">
        <f t="shared" si="1"/>
        <v>Alexandra</v>
      </c>
      <c r="P13" t="e">
        <f t="shared" ca="1" si="2"/>
        <v>#NAME?</v>
      </c>
      <c r="Q13" t="str">
        <f t="shared" si="3"/>
        <v>Ontevreden</v>
      </c>
    </row>
    <row r="14" spans="1:17" x14ac:dyDescent="0.3">
      <c r="A14" t="s">
        <v>73</v>
      </c>
      <c r="B14">
        <v>8796429255</v>
      </c>
      <c r="C14" t="s">
        <v>74</v>
      </c>
      <c r="D14" t="s">
        <v>75</v>
      </c>
      <c r="E14">
        <v>2</v>
      </c>
      <c r="F14" t="s">
        <v>76</v>
      </c>
      <c r="G14">
        <v>1</v>
      </c>
      <c r="H14">
        <v>4</v>
      </c>
      <c r="I14">
        <v>192.24</v>
      </c>
      <c r="J14" t="s">
        <v>77</v>
      </c>
      <c r="K14" t="s">
        <v>29</v>
      </c>
      <c r="L14">
        <v>5.99</v>
      </c>
      <c r="M14" t="s">
        <v>78</v>
      </c>
      <c r="N14" t="str">
        <f t="shared" si="0"/>
        <v>Verstraeten</v>
      </c>
      <c r="O14" t="str">
        <f t="shared" si="1"/>
        <v>Claire</v>
      </c>
      <c r="P14" t="e">
        <f t="shared" ca="1" si="2"/>
        <v>#NAME?</v>
      </c>
      <c r="Q14" t="str">
        <f t="shared" si="3"/>
        <v>Ontevreden</v>
      </c>
    </row>
    <row r="15" spans="1:17" x14ac:dyDescent="0.3">
      <c r="A15" t="s">
        <v>79</v>
      </c>
      <c r="B15">
        <v>2816851950</v>
      </c>
      <c r="C15" t="s">
        <v>80</v>
      </c>
      <c r="D15" t="s">
        <v>81</v>
      </c>
      <c r="E15">
        <v>18</v>
      </c>
      <c r="F15" t="s">
        <v>82</v>
      </c>
      <c r="G15">
        <v>2</v>
      </c>
      <c r="H15">
        <v>0</v>
      </c>
      <c r="I15">
        <v>22.85</v>
      </c>
      <c r="J15" t="s">
        <v>77</v>
      </c>
      <c r="K15" t="s">
        <v>29</v>
      </c>
      <c r="L15">
        <v>7.95</v>
      </c>
      <c r="M15" t="s">
        <v>34</v>
      </c>
      <c r="N15" t="str">
        <f t="shared" si="0"/>
        <v>Moerman</v>
      </c>
      <c r="O15" t="str">
        <f t="shared" si="1"/>
        <v>Niels</v>
      </c>
      <c r="P15" t="e">
        <f t="shared" ca="1" si="2"/>
        <v>#NAME?</v>
      </c>
      <c r="Q15" t="str">
        <f t="shared" si="3"/>
        <v>Tevreden</v>
      </c>
    </row>
    <row r="16" spans="1:17" x14ac:dyDescent="0.3">
      <c r="A16" t="s">
        <v>83</v>
      </c>
      <c r="B16">
        <v>3149063744</v>
      </c>
      <c r="C16" t="s">
        <v>84</v>
      </c>
      <c r="D16" t="s">
        <v>85</v>
      </c>
      <c r="E16">
        <v>39</v>
      </c>
      <c r="F16" t="s">
        <v>27</v>
      </c>
      <c r="G16">
        <v>2</v>
      </c>
      <c r="H16">
        <v>2</v>
      </c>
      <c r="I16">
        <v>178.27</v>
      </c>
      <c r="J16" t="s">
        <v>52</v>
      </c>
      <c r="K16" t="s">
        <v>29</v>
      </c>
      <c r="L16">
        <v>7.37</v>
      </c>
      <c r="M16" t="s">
        <v>23</v>
      </c>
      <c r="N16" t="str">
        <f t="shared" si="0"/>
        <v>Vanhove</v>
      </c>
      <c r="O16" t="str">
        <f t="shared" si="1"/>
        <v>Filip</v>
      </c>
      <c r="P16" t="e">
        <f t="shared" ca="1" si="2"/>
        <v>#NAME?</v>
      </c>
      <c r="Q16" t="str">
        <f t="shared" si="3"/>
        <v>Tevreden</v>
      </c>
    </row>
    <row r="17" spans="1:17" x14ac:dyDescent="0.3">
      <c r="A17" t="s">
        <v>86</v>
      </c>
      <c r="B17">
        <v>6394984550</v>
      </c>
      <c r="C17" t="s">
        <v>87</v>
      </c>
      <c r="D17" t="s">
        <v>88</v>
      </c>
      <c r="E17">
        <v>72</v>
      </c>
      <c r="F17" t="s">
        <v>82</v>
      </c>
      <c r="G17">
        <v>1</v>
      </c>
      <c r="H17">
        <v>5</v>
      </c>
      <c r="I17">
        <v>252.37</v>
      </c>
      <c r="J17" t="s">
        <v>28</v>
      </c>
      <c r="K17" t="s">
        <v>29</v>
      </c>
      <c r="L17">
        <v>6.6</v>
      </c>
      <c r="M17" t="s">
        <v>23</v>
      </c>
      <c r="N17" t="str">
        <f t="shared" si="0"/>
        <v>Timmermans</v>
      </c>
      <c r="O17" t="str">
        <f t="shared" si="1"/>
        <v>Christian</v>
      </c>
      <c r="P17" t="e">
        <f t="shared" ca="1" si="2"/>
        <v>#NAME?</v>
      </c>
      <c r="Q17" t="str">
        <f t="shared" si="3"/>
        <v>Ontevreden</v>
      </c>
    </row>
    <row r="18" spans="1:17" x14ac:dyDescent="0.3">
      <c r="A18" t="s">
        <v>89</v>
      </c>
      <c r="B18">
        <v>3899356759</v>
      </c>
      <c r="C18" t="s">
        <v>90</v>
      </c>
      <c r="D18" t="s">
        <v>91</v>
      </c>
      <c r="E18">
        <v>15</v>
      </c>
      <c r="F18" t="s">
        <v>33</v>
      </c>
      <c r="G18">
        <v>1</v>
      </c>
      <c r="H18">
        <v>1</v>
      </c>
      <c r="I18">
        <v>58.19</v>
      </c>
      <c r="J18" t="s">
        <v>52</v>
      </c>
      <c r="K18" t="s">
        <v>29</v>
      </c>
      <c r="L18">
        <v>7.49</v>
      </c>
      <c r="M18" t="s">
        <v>23</v>
      </c>
      <c r="N18" t="str">
        <f t="shared" si="0"/>
        <v>Willems</v>
      </c>
      <c r="O18" t="str">
        <f t="shared" si="1"/>
        <v>Brigitte</v>
      </c>
      <c r="P18" t="e">
        <f t="shared" ca="1" si="2"/>
        <v>#NAME?</v>
      </c>
      <c r="Q18" t="str">
        <f t="shared" si="3"/>
        <v>Tevreden</v>
      </c>
    </row>
    <row r="19" spans="1:17" x14ac:dyDescent="0.3">
      <c r="A19" t="s">
        <v>92</v>
      </c>
      <c r="B19">
        <v>4138138085</v>
      </c>
      <c r="C19" t="s">
        <v>93</v>
      </c>
      <c r="D19" t="s">
        <v>94</v>
      </c>
      <c r="E19">
        <v>2</v>
      </c>
      <c r="F19" t="s">
        <v>76</v>
      </c>
      <c r="G19">
        <v>2</v>
      </c>
      <c r="H19">
        <v>1</v>
      </c>
      <c r="I19">
        <v>28.13</v>
      </c>
      <c r="J19" t="s">
        <v>77</v>
      </c>
      <c r="K19" t="s">
        <v>29</v>
      </c>
      <c r="L19">
        <v>7.26</v>
      </c>
      <c r="M19" t="s">
        <v>23</v>
      </c>
      <c r="N19" t="str">
        <f t="shared" si="0"/>
        <v>Lejeune</v>
      </c>
      <c r="O19" t="str">
        <f t="shared" si="1"/>
        <v>Tejo</v>
      </c>
      <c r="P19" t="e">
        <f t="shared" ca="1" si="2"/>
        <v>#NAME?</v>
      </c>
      <c r="Q19" t="str">
        <f t="shared" si="3"/>
        <v>Tevreden</v>
      </c>
    </row>
    <row r="20" spans="1:17" x14ac:dyDescent="0.3">
      <c r="A20" t="s">
        <v>95</v>
      </c>
      <c r="B20">
        <v>5212083355</v>
      </c>
      <c r="C20" t="s">
        <v>96</v>
      </c>
      <c r="D20" t="s">
        <v>97</v>
      </c>
      <c r="E20">
        <v>39</v>
      </c>
      <c r="F20" t="s">
        <v>98</v>
      </c>
      <c r="G20">
        <v>2</v>
      </c>
      <c r="H20">
        <v>2</v>
      </c>
      <c r="I20">
        <v>155.33000000000001</v>
      </c>
      <c r="J20" t="s">
        <v>77</v>
      </c>
      <c r="K20" t="s">
        <v>57</v>
      </c>
      <c r="L20">
        <v>7.05</v>
      </c>
      <c r="M20" t="s">
        <v>23</v>
      </c>
      <c r="N20" t="str">
        <f t="shared" si="0"/>
        <v>Garcia</v>
      </c>
      <c r="O20" t="str">
        <f t="shared" si="1"/>
        <v>Naomi</v>
      </c>
      <c r="P20" t="e">
        <f t="shared" ca="1" si="2"/>
        <v>#NAME?</v>
      </c>
      <c r="Q20" t="str">
        <f t="shared" si="3"/>
        <v>Tevreden</v>
      </c>
    </row>
    <row r="21" spans="1:17" x14ac:dyDescent="0.3">
      <c r="A21" t="s">
        <v>99</v>
      </c>
      <c r="B21">
        <v>9841440581</v>
      </c>
      <c r="C21" t="s">
        <v>100</v>
      </c>
      <c r="D21" t="s">
        <v>101</v>
      </c>
      <c r="E21">
        <v>63</v>
      </c>
      <c r="F21" t="s">
        <v>20</v>
      </c>
      <c r="G21">
        <v>2</v>
      </c>
      <c r="H21">
        <v>0</v>
      </c>
      <c r="I21">
        <v>51.56</v>
      </c>
      <c r="J21" t="s">
        <v>52</v>
      </c>
      <c r="K21" t="s">
        <v>102</v>
      </c>
      <c r="L21">
        <v>6.95</v>
      </c>
      <c r="M21" t="s">
        <v>23</v>
      </c>
      <c r="N21" t="str">
        <f t="shared" si="0"/>
        <v>Hendrickx</v>
      </c>
      <c r="O21" t="str">
        <f t="shared" si="1"/>
        <v>Farhad</v>
      </c>
      <c r="P21" t="e">
        <f t="shared" ca="1" si="2"/>
        <v>#NAME?</v>
      </c>
      <c r="Q21" t="str">
        <f t="shared" si="3"/>
        <v>Ontevreden</v>
      </c>
    </row>
    <row r="22" spans="1:17" x14ac:dyDescent="0.3">
      <c r="A22" t="s">
        <v>103</v>
      </c>
      <c r="B22">
        <v>9604030114</v>
      </c>
      <c r="C22" t="s">
        <v>104</v>
      </c>
      <c r="D22" t="s">
        <v>105</v>
      </c>
      <c r="E22">
        <v>80</v>
      </c>
      <c r="F22" t="s">
        <v>98</v>
      </c>
      <c r="G22">
        <v>1</v>
      </c>
      <c r="H22">
        <v>0</v>
      </c>
      <c r="I22">
        <v>128.78</v>
      </c>
      <c r="J22" t="s">
        <v>47</v>
      </c>
      <c r="K22" t="s">
        <v>22</v>
      </c>
      <c r="L22">
        <v>8.49</v>
      </c>
      <c r="M22" t="s">
        <v>34</v>
      </c>
      <c r="N22" t="str">
        <f t="shared" si="0"/>
        <v>Desmet</v>
      </c>
      <c r="O22" t="str">
        <f t="shared" si="1"/>
        <v>Hugo</v>
      </c>
      <c r="P22" t="e">
        <f t="shared" ca="1" si="2"/>
        <v>#NAME?</v>
      </c>
      <c r="Q22" t="str">
        <f t="shared" si="3"/>
        <v>Tevreden</v>
      </c>
    </row>
    <row r="23" spans="1:17" x14ac:dyDescent="0.3">
      <c r="A23" t="s">
        <v>106</v>
      </c>
      <c r="B23">
        <v>7729459784</v>
      </c>
      <c r="C23" t="s">
        <v>107</v>
      </c>
      <c r="D23" t="s">
        <v>108</v>
      </c>
      <c r="E23">
        <v>94</v>
      </c>
      <c r="F23" t="s">
        <v>65</v>
      </c>
      <c r="G23">
        <v>2</v>
      </c>
      <c r="H23">
        <v>0</v>
      </c>
      <c r="I23">
        <v>156.35</v>
      </c>
      <c r="J23" t="s">
        <v>52</v>
      </c>
      <c r="K23" t="s">
        <v>22</v>
      </c>
      <c r="L23">
        <v>7.02</v>
      </c>
      <c r="M23" t="s">
        <v>23</v>
      </c>
      <c r="N23" t="str">
        <f t="shared" si="0"/>
        <v>Adam</v>
      </c>
      <c r="O23" t="str">
        <f t="shared" si="1"/>
        <v>Monique</v>
      </c>
      <c r="P23" t="e">
        <f t="shared" ca="1" si="2"/>
        <v>#NAME?</v>
      </c>
      <c r="Q23" t="str">
        <f t="shared" si="3"/>
        <v>Tevreden</v>
      </c>
    </row>
    <row r="24" spans="1:17" x14ac:dyDescent="0.3">
      <c r="A24" t="s">
        <v>109</v>
      </c>
      <c r="B24">
        <v>5151995691</v>
      </c>
      <c r="C24" t="s">
        <v>110</v>
      </c>
      <c r="D24" t="s">
        <v>111</v>
      </c>
      <c r="E24">
        <v>45</v>
      </c>
      <c r="F24" t="s">
        <v>51</v>
      </c>
      <c r="G24">
        <v>1</v>
      </c>
      <c r="H24">
        <v>2</v>
      </c>
      <c r="I24">
        <v>66.91</v>
      </c>
      <c r="J24" t="s">
        <v>28</v>
      </c>
      <c r="K24" t="s">
        <v>22</v>
      </c>
      <c r="L24">
        <v>7.84</v>
      </c>
      <c r="M24" t="s">
        <v>23</v>
      </c>
      <c r="N24" t="str">
        <f t="shared" si="0"/>
        <v>Stevens</v>
      </c>
      <c r="O24" t="str">
        <f t="shared" si="1"/>
        <v>Louise</v>
      </c>
      <c r="P24" t="e">
        <f t="shared" ca="1" si="2"/>
        <v>#NAME?</v>
      </c>
      <c r="Q24" t="str">
        <f t="shared" si="3"/>
        <v>Tevreden</v>
      </c>
    </row>
    <row r="25" spans="1:17" x14ac:dyDescent="0.3">
      <c r="A25" t="s">
        <v>112</v>
      </c>
      <c r="B25">
        <v>5802102880</v>
      </c>
      <c r="C25" t="s">
        <v>113</v>
      </c>
      <c r="D25" t="s">
        <v>114</v>
      </c>
      <c r="E25">
        <v>46</v>
      </c>
      <c r="F25" t="s">
        <v>115</v>
      </c>
      <c r="G25">
        <v>5</v>
      </c>
      <c r="H25">
        <v>2</v>
      </c>
      <c r="I25">
        <v>213.51</v>
      </c>
      <c r="J25" t="s">
        <v>21</v>
      </c>
      <c r="K25" t="s">
        <v>29</v>
      </c>
      <c r="L25">
        <v>7.36</v>
      </c>
      <c r="M25" t="s">
        <v>23</v>
      </c>
      <c r="N25" t="str">
        <f t="shared" si="0"/>
        <v>Boone</v>
      </c>
      <c r="O25" t="str">
        <f t="shared" si="1"/>
        <v>Enes</v>
      </c>
      <c r="P25" t="e">
        <f t="shared" ca="1" si="2"/>
        <v>#NAME?</v>
      </c>
      <c r="Q25" t="str">
        <f t="shared" si="3"/>
        <v>Tevreden</v>
      </c>
    </row>
    <row r="26" spans="1:17" x14ac:dyDescent="0.3">
      <c r="A26" t="s">
        <v>116</v>
      </c>
      <c r="B26">
        <v>7389210812</v>
      </c>
      <c r="C26" t="s">
        <v>117</v>
      </c>
      <c r="D26" t="s">
        <v>118</v>
      </c>
      <c r="E26">
        <v>8</v>
      </c>
      <c r="F26" t="s">
        <v>33</v>
      </c>
      <c r="G26">
        <v>1</v>
      </c>
      <c r="H26">
        <v>0</v>
      </c>
      <c r="I26">
        <v>18.32</v>
      </c>
      <c r="J26" t="s">
        <v>28</v>
      </c>
      <c r="K26" t="s">
        <v>22</v>
      </c>
      <c r="L26">
        <v>6.95</v>
      </c>
      <c r="M26" t="s">
        <v>23</v>
      </c>
      <c r="N26" t="str">
        <f t="shared" si="0"/>
        <v>De vos</v>
      </c>
      <c r="O26" t="str">
        <f t="shared" si="1"/>
        <v>Marie</v>
      </c>
      <c r="P26" t="e">
        <f t="shared" ca="1" si="2"/>
        <v>#NAME?</v>
      </c>
      <c r="Q26" t="str">
        <f t="shared" si="3"/>
        <v>Ontevreden</v>
      </c>
    </row>
    <row r="27" spans="1:17" x14ac:dyDescent="0.3">
      <c r="A27" t="s">
        <v>119</v>
      </c>
      <c r="B27">
        <v>5627043879</v>
      </c>
      <c r="C27" t="s">
        <v>120</v>
      </c>
      <c r="D27" t="s">
        <v>121</v>
      </c>
      <c r="E27">
        <v>46</v>
      </c>
      <c r="F27" t="s">
        <v>98</v>
      </c>
      <c r="G27">
        <v>1</v>
      </c>
      <c r="H27">
        <v>2</v>
      </c>
      <c r="I27">
        <v>158.08000000000001</v>
      </c>
      <c r="J27" t="s">
        <v>28</v>
      </c>
      <c r="K27" t="s">
        <v>29</v>
      </c>
      <c r="L27">
        <v>6.9</v>
      </c>
      <c r="M27" t="s">
        <v>23</v>
      </c>
      <c r="N27" t="str">
        <f t="shared" si="0"/>
        <v>Verbeeck</v>
      </c>
      <c r="O27" t="str">
        <f t="shared" si="1"/>
        <v>Samy</v>
      </c>
      <c r="P27" t="e">
        <f t="shared" ca="1" si="2"/>
        <v>#NAME?</v>
      </c>
      <c r="Q27" t="str">
        <f t="shared" si="3"/>
        <v>Ontevreden</v>
      </c>
    </row>
    <row r="28" spans="1:17" x14ac:dyDescent="0.3">
      <c r="A28" t="s">
        <v>122</v>
      </c>
      <c r="B28">
        <v>7584889357</v>
      </c>
      <c r="C28" t="s">
        <v>123</v>
      </c>
      <c r="D28" t="s">
        <v>124</v>
      </c>
      <c r="E28">
        <v>27</v>
      </c>
      <c r="F28" t="s">
        <v>115</v>
      </c>
      <c r="G28">
        <v>1</v>
      </c>
      <c r="H28">
        <v>0</v>
      </c>
      <c r="I28">
        <v>112.58</v>
      </c>
      <c r="J28" t="s">
        <v>52</v>
      </c>
      <c r="K28" t="s">
        <v>57</v>
      </c>
      <c r="L28">
        <v>6.52</v>
      </c>
      <c r="M28" t="s">
        <v>23</v>
      </c>
      <c r="N28" t="str">
        <f t="shared" si="0"/>
        <v>Dewulf</v>
      </c>
      <c r="O28" t="str">
        <f t="shared" si="1"/>
        <v>Raymonde</v>
      </c>
      <c r="P28" t="e">
        <f t="shared" ca="1" si="2"/>
        <v>#NAME?</v>
      </c>
      <c r="Q28" t="str">
        <f t="shared" si="3"/>
        <v>Ontevreden</v>
      </c>
    </row>
    <row r="29" spans="1:17" x14ac:dyDescent="0.3">
      <c r="A29" t="s">
        <v>125</v>
      </c>
      <c r="B29">
        <v>7318747059</v>
      </c>
      <c r="C29" t="s">
        <v>126</v>
      </c>
      <c r="D29" t="s">
        <v>127</v>
      </c>
      <c r="E29">
        <v>10</v>
      </c>
      <c r="F29" t="s">
        <v>128</v>
      </c>
      <c r="G29">
        <v>2</v>
      </c>
      <c r="H29">
        <v>3</v>
      </c>
      <c r="I29">
        <v>166.74</v>
      </c>
      <c r="J29" t="s">
        <v>47</v>
      </c>
      <c r="K29" t="s">
        <v>29</v>
      </c>
      <c r="L29">
        <v>6.96</v>
      </c>
      <c r="M29" t="s">
        <v>23</v>
      </c>
      <c r="N29" t="str">
        <f t="shared" si="0"/>
        <v>Legrand</v>
      </c>
      <c r="O29" t="str">
        <f t="shared" si="1"/>
        <v>Mohamed</v>
      </c>
      <c r="P29" t="e">
        <f t="shared" ca="1" si="2"/>
        <v>#NAME?</v>
      </c>
      <c r="Q29" t="str">
        <f t="shared" si="3"/>
        <v>Ontevreden</v>
      </c>
    </row>
    <row r="30" spans="1:17" x14ac:dyDescent="0.3">
      <c r="A30" t="s">
        <v>129</v>
      </c>
      <c r="B30">
        <v>5333512674</v>
      </c>
      <c r="C30" t="s">
        <v>130</v>
      </c>
      <c r="D30" t="s">
        <v>131</v>
      </c>
      <c r="E30">
        <v>73</v>
      </c>
      <c r="F30" t="s">
        <v>42</v>
      </c>
      <c r="G30">
        <v>2</v>
      </c>
      <c r="H30">
        <v>2</v>
      </c>
      <c r="I30">
        <v>76.680000000000007</v>
      </c>
      <c r="J30" t="s">
        <v>21</v>
      </c>
      <c r="K30" t="s">
        <v>22</v>
      </c>
      <c r="L30">
        <v>6.13</v>
      </c>
      <c r="M30" t="s">
        <v>78</v>
      </c>
      <c r="N30" t="str">
        <f t="shared" si="0"/>
        <v>Desmet</v>
      </c>
      <c r="O30" t="str">
        <f t="shared" si="1"/>
        <v>Frank</v>
      </c>
      <c r="P30" t="e">
        <f t="shared" ca="1" si="2"/>
        <v>#NAME?</v>
      </c>
      <c r="Q30" t="str">
        <f t="shared" si="3"/>
        <v>Ontevreden</v>
      </c>
    </row>
    <row r="31" spans="1:17" x14ac:dyDescent="0.3">
      <c r="A31" t="s">
        <v>132</v>
      </c>
      <c r="B31">
        <v>2055608781</v>
      </c>
      <c r="C31" t="s">
        <v>133</v>
      </c>
      <c r="D31" t="s">
        <v>134</v>
      </c>
      <c r="E31">
        <v>49</v>
      </c>
      <c r="F31" t="s">
        <v>51</v>
      </c>
      <c r="G31">
        <v>1</v>
      </c>
      <c r="H31">
        <v>2</v>
      </c>
      <c r="I31">
        <v>86.26</v>
      </c>
      <c r="J31" t="s">
        <v>28</v>
      </c>
      <c r="K31" t="s">
        <v>29</v>
      </c>
      <c r="L31">
        <v>7.11</v>
      </c>
      <c r="M31" t="s">
        <v>23</v>
      </c>
      <c r="N31" t="str">
        <f t="shared" si="0"/>
        <v>Vermeersch</v>
      </c>
      <c r="O31" t="str">
        <f t="shared" si="1"/>
        <v>Marc-Antoine</v>
      </c>
      <c r="P31" t="e">
        <f t="shared" ca="1" si="2"/>
        <v>#NAME?</v>
      </c>
      <c r="Q31" t="str">
        <f t="shared" si="3"/>
        <v>Tevreden</v>
      </c>
    </row>
    <row r="32" spans="1:17" x14ac:dyDescent="0.3">
      <c r="A32" t="s">
        <v>135</v>
      </c>
      <c r="B32">
        <v>9135689871</v>
      </c>
      <c r="C32" t="s">
        <v>136</v>
      </c>
      <c r="D32" t="s">
        <v>137</v>
      </c>
      <c r="E32">
        <v>1</v>
      </c>
      <c r="F32" t="s">
        <v>51</v>
      </c>
      <c r="G32">
        <v>2</v>
      </c>
      <c r="H32">
        <v>0</v>
      </c>
      <c r="I32">
        <v>93.29</v>
      </c>
      <c r="J32" t="s">
        <v>28</v>
      </c>
      <c r="K32" t="s">
        <v>22</v>
      </c>
      <c r="L32">
        <v>6.88</v>
      </c>
      <c r="M32" t="s">
        <v>23</v>
      </c>
      <c r="N32" t="str">
        <f t="shared" si="0"/>
        <v>Vandendriessche</v>
      </c>
      <c r="O32" t="str">
        <f t="shared" si="1"/>
        <v>Serge</v>
      </c>
      <c r="P32" t="e">
        <f t="shared" ca="1" si="2"/>
        <v>#NAME?</v>
      </c>
      <c r="Q32" t="str">
        <f t="shared" si="3"/>
        <v>Ontevreden</v>
      </c>
    </row>
    <row r="33" spans="1:17" x14ac:dyDescent="0.3">
      <c r="A33" t="s">
        <v>138</v>
      </c>
      <c r="B33">
        <v>4275470695</v>
      </c>
      <c r="C33" t="s">
        <v>139</v>
      </c>
      <c r="D33" t="s">
        <v>140</v>
      </c>
      <c r="E33">
        <v>83</v>
      </c>
      <c r="F33" t="s">
        <v>115</v>
      </c>
      <c r="G33">
        <v>2</v>
      </c>
      <c r="H33">
        <v>2</v>
      </c>
      <c r="I33">
        <v>128.99</v>
      </c>
      <c r="J33" t="s">
        <v>28</v>
      </c>
      <c r="K33" t="s">
        <v>57</v>
      </c>
      <c r="L33">
        <v>7.25</v>
      </c>
      <c r="M33" t="s">
        <v>23</v>
      </c>
      <c r="N33" t="str">
        <f t="shared" si="0"/>
        <v>Raes</v>
      </c>
      <c r="O33" t="str">
        <f t="shared" si="1"/>
        <v>Lucas</v>
      </c>
      <c r="P33" t="e">
        <f t="shared" ca="1" si="2"/>
        <v>#NAME?</v>
      </c>
      <c r="Q33" t="str">
        <f t="shared" si="3"/>
        <v>Tevreden</v>
      </c>
    </row>
    <row r="34" spans="1:17" x14ac:dyDescent="0.3">
      <c r="A34" t="s">
        <v>141</v>
      </c>
      <c r="B34">
        <v>3685022557</v>
      </c>
      <c r="C34" t="s">
        <v>142</v>
      </c>
      <c r="D34" t="s">
        <v>143</v>
      </c>
      <c r="E34">
        <v>24</v>
      </c>
      <c r="F34" t="s">
        <v>144</v>
      </c>
      <c r="G34">
        <v>1</v>
      </c>
      <c r="H34">
        <v>4</v>
      </c>
      <c r="I34">
        <v>196.47</v>
      </c>
      <c r="J34" t="s">
        <v>28</v>
      </c>
      <c r="K34" t="s">
        <v>57</v>
      </c>
      <c r="L34">
        <v>6.77</v>
      </c>
      <c r="M34" t="s">
        <v>23</v>
      </c>
      <c r="N34" t="str">
        <f t="shared" si="0"/>
        <v>Vandenbussche</v>
      </c>
      <c r="O34" t="str">
        <f t="shared" si="1"/>
        <v>Ruben</v>
      </c>
      <c r="P34" t="e">
        <f t="shared" ca="1" si="2"/>
        <v>#NAME?</v>
      </c>
      <c r="Q34" t="str">
        <f t="shared" si="3"/>
        <v>Ontevreden</v>
      </c>
    </row>
    <row r="35" spans="1:17" x14ac:dyDescent="0.3">
      <c r="A35" t="s">
        <v>145</v>
      </c>
      <c r="B35">
        <v>5017741565</v>
      </c>
      <c r="C35" t="s">
        <v>146</v>
      </c>
      <c r="D35" t="s">
        <v>147</v>
      </c>
      <c r="E35">
        <v>39</v>
      </c>
      <c r="F35" t="s">
        <v>148</v>
      </c>
      <c r="G35">
        <v>1</v>
      </c>
      <c r="H35">
        <v>2</v>
      </c>
      <c r="I35">
        <v>67.33</v>
      </c>
      <c r="J35" t="s">
        <v>47</v>
      </c>
      <c r="K35" t="s">
        <v>22</v>
      </c>
      <c r="L35">
        <v>7.18</v>
      </c>
      <c r="M35" t="s">
        <v>23</v>
      </c>
      <c r="N35" t="str">
        <f t="shared" si="0"/>
        <v>Stevens</v>
      </c>
      <c r="O35" t="str">
        <f t="shared" si="1"/>
        <v>Heidi</v>
      </c>
      <c r="P35" t="e">
        <f t="shared" ca="1" si="2"/>
        <v>#NAME?</v>
      </c>
      <c r="Q35" t="str">
        <f t="shared" si="3"/>
        <v>Tevreden</v>
      </c>
    </row>
    <row r="36" spans="1:17" x14ac:dyDescent="0.3">
      <c r="A36" t="s">
        <v>149</v>
      </c>
      <c r="B36">
        <v>4365995370</v>
      </c>
      <c r="C36" t="s">
        <v>150</v>
      </c>
      <c r="D36" t="s">
        <v>151</v>
      </c>
      <c r="E36">
        <v>18</v>
      </c>
      <c r="F36" t="s">
        <v>76</v>
      </c>
      <c r="G36">
        <v>3</v>
      </c>
      <c r="H36">
        <v>2</v>
      </c>
      <c r="I36">
        <v>138.37</v>
      </c>
      <c r="J36" t="s">
        <v>52</v>
      </c>
      <c r="K36" t="s">
        <v>57</v>
      </c>
      <c r="L36">
        <v>7.84</v>
      </c>
      <c r="M36" t="s">
        <v>34</v>
      </c>
      <c r="N36" t="str">
        <f t="shared" si="0"/>
        <v>Van den bergh</v>
      </c>
      <c r="O36" t="str">
        <f t="shared" si="1"/>
        <v>Inge</v>
      </c>
      <c r="P36" t="e">
        <f t="shared" ca="1" si="2"/>
        <v>#NAME?</v>
      </c>
      <c r="Q36" t="str">
        <f t="shared" si="3"/>
        <v>Tevreden</v>
      </c>
    </row>
    <row r="37" spans="1:17" x14ac:dyDescent="0.3">
      <c r="A37" t="s">
        <v>152</v>
      </c>
      <c r="B37">
        <v>5444978846</v>
      </c>
      <c r="C37" t="s">
        <v>153</v>
      </c>
      <c r="D37" t="s">
        <v>154</v>
      </c>
      <c r="E37">
        <v>71</v>
      </c>
      <c r="F37" t="s">
        <v>76</v>
      </c>
      <c r="G37">
        <v>4</v>
      </c>
      <c r="H37">
        <v>5</v>
      </c>
      <c r="I37">
        <v>238.25</v>
      </c>
      <c r="J37" t="s">
        <v>28</v>
      </c>
      <c r="K37" t="s">
        <v>22</v>
      </c>
      <c r="L37">
        <v>6.65</v>
      </c>
      <c r="M37" t="s">
        <v>23</v>
      </c>
      <c r="N37" t="str">
        <f t="shared" si="0"/>
        <v>Pierre</v>
      </c>
      <c r="O37" t="str">
        <f t="shared" si="1"/>
        <v>Lieven</v>
      </c>
      <c r="P37" t="e">
        <f t="shared" ca="1" si="2"/>
        <v>#NAME?</v>
      </c>
      <c r="Q37" t="str">
        <f t="shared" si="3"/>
        <v>Ontevreden</v>
      </c>
    </row>
    <row r="38" spans="1:17" x14ac:dyDescent="0.3">
      <c r="A38" t="s">
        <v>155</v>
      </c>
      <c r="B38">
        <v>3403402628</v>
      </c>
      <c r="C38" t="s">
        <v>156</v>
      </c>
      <c r="D38" t="s">
        <v>157</v>
      </c>
      <c r="E38">
        <v>63</v>
      </c>
      <c r="F38" t="s">
        <v>158</v>
      </c>
      <c r="G38">
        <v>1</v>
      </c>
      <c r="H38">
        <v>0</v>
      </c>
      <c r="I38">
        <v>41.23</v>
      </c>
      <c r="J38" t="s">
        <v>28</v>
      </c>
      <c r="K38" t="s">
        <v>22</v>
      </c>
      <c r="L38">
        <v>6.26</v>
      </c>
      <c r="M38" t="s">
        <v>78</v>
      </c>
      <c r="N38" t="str">
        <f t="shared" si="0"/>
        <v>Carlier</v>
      </c>
      <c r="O38" t="str">
        <f t="shared" si="1"/>
        <v>Frédéric</v>
      </c>
      <c r="P38" t="e">
        <f t="shared" ca="1" si="2"/>
        <v>#NAME?</v>
      </c>
      <c r="Q38" t="str">
        <f t="shared" si="3"/>
        <v>Ontevreden</v>
      </c>
    </row>
    <row r="39" spans="1:17" x14ac:dyDescent="0.3">
      <c r="A39" t="s">
        <v>159</v>
      </c>
      <c r="B39">
        <v>155948058</v>
      </c>
      <c r="C39" t="s">
        <v>160</v>
      </c>
      <c r="D39" t="s">
        <v>161</v>
      </c>
      <c r="E39">
        <v>76</v>
      </c>
      <c r="F39" t="s">
        <v>82</v>
      </c>
      <c r="G39">
        <v>2</v>
      </c>
      <c r="H39">
        <v>0</v>
      </c>
      <c r="I39">
        <v>82.61</v>
      </c>
      <c r="J39" t="s">
        <v>52</v>
      </c>
      <c r="K39" t="s">
        <v>57</v>
      </c>
      <c r="L39">
        <v>7.26</v>
      </c>
      <c r="M39" t="s">
        <v>23</v>
      </c>
      <c r="N39" t="str">
        <f t="shared" si="0"/>
        <v>Verheyden</v>
      </c>
      <c r="O39" t="str">
        <f t="shared" si="1"/>
        <v>Sophie</v>
      </c>
      <c r="P39" t="e">
        <f t="shared" ca="1" si="2"/>
        <v>#NAME?</v>
      </c>
      <c r="Q39" t="str">
        <f t="shared" si="3"/>
        <v>Tevreden</v>
      </c>
    </row>
    <row r="40" spans="1:17" x14ac:dyDescent="0.3">
      <c r="A40" t="s">
        <v>162</v>
      </c>
      <c r="B40">
        <v>8597213732</v>
      </c>
      <c r="C40" t="s">
        <v>163</v>
      </c>
      <c r="D40" t="s">
        <v>101</v>
      </c>
      <c r="E40">
        <v>35</v>
      </c>
      <c r="F40" t="s">
        <v>164</v>
      </c>
      <c r="G40">
        <v>6</v>
      </c>
      <c r="H40">
        <v>3</v>
      </c>
      <c r="I40">
        <v>193.75</v>
      </c>
      <c r="J40" t="s">
        <v>28</v>
      </c>
      <c r="K40" t="s">
        <v>57</v>
      </c>
      <c r="L40">
        <v>6.8</v>
      </c>
      <c r="M40" t="s">
        <v>23</v>
      </c>
      <c r="N40" t="str">
        <f t="shared" si="0"/>
        <v>Mathieu</v>
      </c>
      <c r="O40" t="str">
        <f t="shared" si="1"/>
        <v>Simon</v>
      </c>
      <c r="P40" t="e">
        <f t="shared" ca="1" si="2"/>
        <v>#NAME?</v>
      </c>
      <c r="Q40" t="str">
        <f t="shared" si="3"/>
        <v>Ontevreden</v>
      </c>
    </row>
    <row r="41" spans="1:17" x14ac:dyDescent="0.3">
      <c r="A41" t="s">
        <v>165</v>
      </c>
      <c r="B41">
        <v>1492057477</v>
      </c>
      <c r="C41" t="s">
        <v>166</v>
      </c>
      <c r="D41" t="s">
        <v>167</v>
      </c>
      <c r="E41">
        <v>43</v>
      </c>
      <c r="F41" t="s">
        <v>42</v>
      </c>
      <c r="G41">
        <v>3</v>
      </c>
      <c r="H41">
        <v>2</v>
      </c>
      <c r="I41">
        <v>155.26</v>
      </c>
      <c r="J41" t="s">
        <v>21</v>
      </c>
      <c r="K41" t="s">
        <v>29</v>
      </c>
      <c r="L41">
        <v>6.7</v>
      </c>
      <c r="M41" t="s">
        <v>23</v>
      </c>
      <c r="N41" t="str">
        <f t="shared" si="0"/>
        <v>Verhoeven</v>
      </c>
      <c r="O41" t="str">
        <f t="shared" si="1"/>
        <v>Sandra</v>
      </c>
      <c r="P41" t="e">
        <f t="shared" ca="1" si="2"/>
        <v>#NAME?</v>
      </c>
      <c r="Q41" t="str">
        <f t="shared" si="3"/>
        <v>Ontevreden</v>
      </c>
    </row>
    <row r="42" spans="1:17" x14ac:dyDescent="0.3">
      <c r="A42" t="s">
        <v>168</v>
      </c>
      <c r="B42">
        <v>4215983096</v>
      </c>
      <c r="C42" t="s">
        <v>169</v>
      </c>
      <c r="D42" t="s">
        <v>170</v>
      </c>
      <c r="E42">
        <v>66</v>
      </c>
      <c r="F42" t="s">
        <v>171</v>
      </c>
      <c r="G42">
        <v>1</v>
      </c>
      <c r="H42">
        <v>0</v>
      </c>
      <c r="I42">
        <v>34.619999999999997</v>
      </c>
      <c r="J42" t="s">
        <v>28</v>
      </c>
      <c r="K42" t="s">
        <v>29</v>
      </c>
      <c r="L42">
        <v>7.64</v>
      </c>
      <c r="M42" t="s">
        <v>23</v>
      </c>
      <c r="N42" t="str">
        <f t="shared" si="0"/>
        <v>Janssen</v>
      </c>
      <c r="O42" t="str">
        <f t="shared" si="1"/>
        <v>Vanja</v>
      </c>
      <c r="P42" t="e">
        <f t="shared" ca="1" si="2"/>
        <v>#NAME?</v>
      </c>
      <c r="Q42" t="str">
        <f t="shared" si="3"/>
        <v>Tevreden</v>
      </c>
    </row>
    <row r="43" spans="1:17" x14ac:dyDescent="0.3">
      <c r="A43" t="s">
        <v>172</v>
      </c>
      <c r="B43">
        <v>781587021</v>
      </c>
      <c r="C43" t="s">
        <v>173</v>
      </c>
      <c r="D43" t="s">
        <v>174</v>
      </c>
      <c r="E43">
        <v>37</v>
      </c>
      <c r="F43" t="s">
        <v>175</v>
      </c>
      <c r="G43">
        <v>1</v>
      </c>
      <c r="H43">
        <v>2</v>
      </c>
      <c r="I43">
        <v>228.44</v>
      </c>
      <c r="J43" t="s">
        <v>28</v>
      </c>
      <c r="K43" t="s">
        <v>22</v>
      </c>
      <c r="L43">
        <v>6.6</v>
      </c>
      <c r="M43" t="s">
        <v>23</v>
      </c>
      <c r="N43" t="str">
        <f t="shared" si="0"/>
        <v>De block</v>
      </c>
      <c r="O43" t="str">
        <f t="shared" si="1"/>
        <v>Rayan</v>
      </c>
      <c r="P43" t="e">
        <f t="shared" ca="1" si="2"/>
        <v>#NAME?</v>
      </c>
      <c r="Q43" t="str">
        <f t="shared" si="3"/>
        <v>Ontevreden</v>
      </c>
    </row>
    <row r="44" spans="1:17" x14ac:dyDescent="0.3">
      <c r="A44" t="s">
        <v>176</v>
      </c>
      <c r="B44">
        <v>4762187668</v>
      </c>
      <c r="C44" t="s">
        <v>177</v>
      </c>
      <c r="D44" t="s">
        <v>178</v>
      </c>
      <c r="E44">
        <v>56</v>
      </c>
      <c r="F44" t="s">
        <v>65</v>
      </c>
      <c r="G44">
        <v>1</v>
      </c>
      <c r="H44">
        <v>0</v>
      </c>
      <c r="I44">
        <v>20.440000000000001</v>
      </c>
      <c r="J44" t="s">
        <v>47</v>
      </c>
      <c r="K44" t="s">
        <v>29</v>
      </c>
      <c r="L44">
        <v>6.95</v>
      </c>
      <c r="M44" t="s">
        <v>23</v>
      </c>
      <c r="N44" t="str">
        <f t="shared" si="0"/>
        <v>Simons</v>
      </c>
      <c r="O44" t="str">
        <f t="shared" si="1"/>
        <v>Pedro</v>
      </c>
      <c r="P44" t="e">
        <f t="shared" ca="1" si="2"/>
        <v>#NAME?</v>
      </c>
      <c r="Q44" t="str">
        <f t="shared" si="3"/>
        <v>Ontevreden</v>
      </c>
    </row>
    <row r="45" spans="1:17" x14ac:dyDescent="0.3">
      <c r="A45" t="s">
        <v>179</v>
      </c>
      <c r="B45">
        <v>1788181578</v>
      </c>
      <c r="C45" t="s">
        <v>180</v>
      </c>
      <c r="D45" t="s">
        <v>181</v>
      </c>
      <c r="E45">
        <v>51</v>
      </c>
      <c r="F45" t="s">
        <v>182</v>
      </c>
      <c r="G45">
        <v>1</v>
      </c>
      <c r="H45">
        <v>0</v>
      </c>
      <c r="I45">
        <v>69.150000000000006</v>
      </c>
      <c r="J45" t="s">
        <v>21</v>
      </c>
      <c r="K45" t="s">
        <v>29</v>
      </c>
      <c r="L45">
        <v>7.15</v>
      </c>
      <c r="M45" t="s">
        <v>23</v>
      </c>
      <c r="N45" t="str">
        <f t="shared" si="0"/>
        <v>Peeters</v>
      </c>
      <c r="O45" t="str">
        <f t="shared" si="1"/>
        <v>Maël</v>
      </c>
      <c r="P45" t="e">
        <f t="shared" ca="1" si="2"/>
        <v>#NAME?</v>
      </c>
      <c r="Q45" t="str">
        <f t="shared" si="3"/>
        <v>Tevreden</v>
      </c>
    </row>
    <row r="46" spans="1:17" x14ac:dyDescent="0.3">
      <c r="A46" t="s">
        <v>183</v>
      </c>
      <c r="B46">
        <v>9763686018</v>
      </c>
      <c r="C46" t="s">
        <v>184</v>
      </c>
      <c r="D46" t="s">
        <v>185</v>
      </c>
      <c r="E46">
        <v>1</v>
      </c>
      <c r="F46" t="s">
        <v>115</v>
      </c>
      <c r="G46">
        <v>2</v>
      </c>
      <c r="H46">
        <v>0</v>
      </c>
      <c r="I46">
        <v>144.18</v>
      </c>
      <c r="J46" t="s">
        <v>77</v>
      </c>
      <c r="K46" t="s">
        <v>22</v>
      </c>
      <c r="L46">
        <v>7.08</v>
      </c>
      <c r="M46" t="s">
        <v>23</v>
      </c>
      <c r="N46" t="str">
        <f t="shared" si="0"/>
        <v>Jacobs</v>
      </c>
      <c r="O46" t="str">
        <f t="shared" si="1"/>
        <v>Lara</v>
      </c>
      <c r="P46" t="e">
        <f t="shared" ca="1" si="2"/>
        <v>#NAME?</v>
      </c>
      <c r="Q46" t="str">
        <f t="shared" si="3"/>
        <v>Tevreden</v>
      </c>
    </row>
    <row r="47" spans="1:17" x14ac:dyDescent="0.3">
      <c r="A47" t="s">
        <v>186</v>
      </c>
      <c r="B47">
        <v>4082862990</v>
      </c>
      <c r="C47" t="s">
        <v>187</v>
      </c>
      <c r="D47" t="s">
        <v>188</v>
      </c>
      <c r="E47">
        <v>21</v>
      </c>
      <c r="F47" t="s">
        <v>189</v>
      </c>
      <c r="G47">
        <v>1</v>
      </c>
      <c r="H47">
        <v>0</v>
      </c>
      <c r="I47">
        <v>69.709999999999994</v>
      </c>
      <c r="J47" t="s">
        <v>47</v>
      </c>
      <c r="K47" t="s">
        <v>29</v>
      </c>
      <c r="L47">
        <v>7.26</v>
      </c>
      <c r="M47" t="s">
        <v>23</v>
      </c>
      <c r="N47" t="str">
        <f t="shared" si="0"/>
        <v>De paepe</v>
      </c>
      <c r="O47" t="str">
        <f t="shared" si="1"/>
        <v>Lucas</v>
      </c>
      <c r="P47" t="e">
        <f t="shared" ca="1" si="2"/>
        <v>#NAME?</v>
      </c>
      <c r="Q47" t="str">
        <f t="shared" si="3"/>
        <v>Tevreden</v>
      </c>
    </row>
    <row r="48" spans="1:17" x14ac:dyDescent="0.3">
      <c r="A48" t="s">
        <v>190</v>
      </c>
      <c r="B48">
        <v>803948065</v>
      </c>
      <c r="C48" t="s">
        <v>191</v>
      </c>
      <c r="D48" t="s">
        <v>192</v>
      </c>
      <c r="E48">
        <v>72</v>
      </c>
      <c r="F48" t="s">
        <v>193</v>
      </c>
      <c r="G48">
        <v>2</v>
      </c>
      <c r="H48">
        <v>0</v>
      </c>
      <c r="I48">
        <v>52.24</v>
      </c>
      <c r="J48" t="s">
        <v>47</v>
      </c>
      <c r="K48" t="s">
        <v>29</v>
      </c>
      <c r="L48">
        <v>7.48</v>
      </c>
      <c r="M48" t="s">
        <v>23</v>
      </c>
      <c r="N48" t="str">
        <f t="shared" si="0"/>
        <v>Blomme</v>
      </c>
      <c r="O48" t="str">
        <f t="shared" si="1"/>
        <v>Olivier</v>
      </c>
      <c r="P48" t="e">
        <f t="shared" ca="1" si="2"/>
        <v>#NAME?</v>
      </c>
      <c r="Q48" t="str">
        <f t="shared" si="3"/>
        <v>Tevreden</v>
      </c>
    </row>
    <row r="49" spans="1:17" x14ac:dyDescent="0.3">
      <c r="A49" t="s">
        <v>194</v>
      </c>
      <c r="B49">
        <v>4687533052</v>
      </c>
      <c r="C49" t="s">
        <v>195</v>
      </c>
      <c r="D49" t="s">
        <v>196</v>
      </c>
      <c r="E49">
        <v>12</v>
      </c>
      <c r="F49" t="s">
        <v>197</v>
      </c>
      <c r="G49">
        <v>1</v>
      </c>
      <c r="H49">
        <v>3</v>
      </c>
      <c r="I49">
        <v>32.83</v>
      </c>
      <c r="J49" t="s">
        <v>47</v>
      </c>
      <c r="K49" t="s">
        <v>22</v>
      </c>
      <c r="L49">
        <v>7.32</v>
      </c>
      <c r="M49" t="s">
        <v>23</v>
      </c>
      <c r="N49" t="str">
        <f t="shared" si="0"/>
        <v>Diallo</v>
      </c>
      <c r="O49" t="str">
        <f t="shared" si="1"/>
        <v>Jolien</v>
      </c>
      <c r="P49" t="e">
        <f t="shared" ca="1" si="2"/>
        <v>#NAME?</v>
      </c>
      <c r="Q49" t="str">
        <f t="shared" si="3"/>
        <v>Tevreden</v>
      </c>
    </row>
    <row r="50" spans="1:17" x14ac:dyDescent="0.3">
      <c r="A50" t="s">
        <v>198</v>
      </c>
      <c r="B50">
        <v>5498744612</v>
      </c>
      <c r="C50" t="s">
        <v>199</v>
      </c>
      <c r="D50" t="s">
        <v>200</v>
      </c>
      <c r="E50">
        <v>77</v>
      </c>
      <c r="F50" t="s">
        <v>158</v>
      </c>
      <c r="G50">
        <v>2</v>
      </c>
      <c r="H50">
        <v>1</v>
      </c>
      <c r="I50">
        <v>124.84</v>
      </c>
      <c r="J50" t="s">
        <v>21</v>
      </c>
      <c r="K50" t="s">
        <v>22</v>
      </c>
      <c r="L50">
        <v>7.42</v>
      </c>
      <c r="M50" t="s">
        <v>23</v>
      </c>
      <c r="N50" t="str">
        <f t="shared" si="0"/>
        <v>De keyser</v>
      </c>
      <c r="O50" t="str">
        <f t="shared" si="1"/>
        <v>Isabelle</v>
      </c>
      <c r="P50" t="e">
        <f t="shared" ca="1" si="2"/>
        <v>#NAME?</v>
      </c>
      <c r="Q50" t="str">
        <f t="shared" si="3"/>
        <v>Tevreden</v>
      </c>
    </row>
    <row r="51" spans="1:17" x14ac:dyDescent="0.3">
      <c r="A51" t="s">
        <v>201</v>
      </c>
      <c r="B51">
        <v>6849140384</v>
      </c>
      <c r="C51" t="s">
        <v>202</v>
      </c>
      <c r="D51" t="s">
        <v>203</v>
      </c>
      <c r="E51">
        <v>12</v>
      </c>
      <c r="F51" t="s">
        <v>51</v>
      </c>
      <c r="G51">
        <v>1</v>
      </c>
      <c r="H51">
        <v>4</v>
      </c>
      <c r="I51">
        <v>103.87</v>
      </c>
      <c r="J51" t="s">
        <v>77</v>
      </c>
      <c r="K51" t="s">
        <v>22</v>
      </c>
      <c r="L51">
        <v>8.2200000000000006</v>
      </c>
      <c r="M51" t="s">
        <v>34</v>
      </c>
      <c r="N51" t="str">
        <f t="shared" si="0"/>
        <v>Lambrecht</v>
      </c>
      <c r="O51" t="str">
        <f t="shared" si="1"/>
        <v>Younes</v>
      </c>
      <c r="P51" t="e">
        <f t="shared" ca="1" si="2"/>
        <v>#NAME?</v>
      </c>
      <c r="Q51" t="str">
        <f t="shared" si="3"/>
        <v>Tevreden</v>
      </c>
    </row>
    <row r="52" spans="1:17" x14ac:dyDescent="0.3">
      <c r="A52" t="s">
        <v>204</v>
      </c>
      <c r="B52">
        <v>512877056</v>
      </c>
      <c r="C52" t="s">
        <v>205</v>
      </c>
      <c r="D52" t="s">
        <v>206</v>
      </c>
      <c r="E52">
        <v>49</v>
      </c>
      <c r="F52" t="s">
        <v>76</v>
      </c>
      <c r="G52">
        <v>1</v>
      </c>
      <c r="H52">
        <v>0</v>
      </c>
      <c r="I52">
        <v>52.35</v>
      </c>
      <c r="J52" t="s">
        <v>21</v>
      </c>
      <c r="K52" t="s">
        <v>22</v>
      </c>
      <c r="L52">
        <v>6.96</v>
      </c>
      <c r="M52" t="s">
        <v>23</v>
      </c>
      <c r="N52" t="str">
        <f t="shared" si="0"/>
        <v>Schepens</v>
      </c>
      <c r="O52" t="str">
        <f t="shared" si="1"/>
        <v>An-Sofie</v>
      </c>
      <c r="P52" t="e">
        <f t="shared" ca="1" si="2"/>
        <v>#NAME?</v>
      </c>
      <c r="Q52" t="str">
        <f t="shared" si="3"/>
        <v>Ontevreden</v>
      </c>
    </row>
    <row r="53" spans="1:17" x14ac:dyDescent="0.3">
      <c r="A53" t="s">
        <v>207</v>
      </c>
      <c r="B53">
        <v>7278992482</v>
      </c>
      <c r="C53" t="s">
        <v>208</v>
      </c>
      <c r="D53" t="s">
        <v>209</v>
      </c>
      <c r="E53">
        <v>65</v>
      </c>
      <c r="F53" t="s">
        <v>164</v>
      </c>
      <c r="G53">
        <v>2</v>
      </c>
      <c r="H53">
        <v>0</v>
      </c>
      <c r="I53">
        <v>40.96</v>
      </c>
      <c r="J53" t="s">
        <v>52</v>
      </c>
      <c r="K53" t="s">
        <v>22</v>
      </c>
      <c r="L53">
        <v>7.59</v>
      </c>
      <c r="M53" t="s">
        <v>23</v>
      </c>
      <c r="N53" t="str">
        <f t="shared" si="0"/>
        <v>De bie</v>
      </c>
      <c r="O53" t="str">
        <f t="shared" si="1"/>
        <v>Bernard</v>
      </c>
      <c r="P53" t="e">
        <f t="shared" ca="1" si="2"/>
        <v>#NAME?</v>
      </c>
      <c r="Q53" t="str">
        <f t="shared" si="3"/>
        <v>Tevreden</v>
      </c>
    </row>
    <row r="54" spans="1:17" x14ac:dyDescent="0.3">
      <c r="A54" t="s">
        <v>210</v>
      </c>
      <c r="B54">
        <v>7983157684</v>
      </c>
      <c r="C54" t="s">
        <v>211</v>
      </c>
      <c r="D54" t="s">
        <v>212</v>
      </c>
      <c r="E54">
        <v>25</v>
      </c>
      <c r="F54" t="s">
        <v>76</v>
      </c>
      <c r="G54">
        <v>2</v>
      </c>
      <c r="H54">
        <v>0</v>
      </c>
      <c r="I54">
        <v>24.42</v>
      </c>
      <c r="J54" t="s">
        <v>28</v>
      </c>
      <c r="K54" t="s">
        <v>22</v>
      </c>
      <c r="L54">
        <v>7.44</v>
      </c>
      <c r="M54" t="s">
        <v>23</v>
      </c>
      <c r="N54" t="str">
        <f t="shared" si="0"/>
        <v>Delvaux</v>
      </c>
      <c r="O54" t="str">
        <f t="shared" si="1"/>
        <v>Vincent</v>
      </c>
      <c r="P54" t="e">
        <f t="shared" ca="1" si="2"/>
        <v>#NAME?</v>
      </c>
      <c r="Q54" t="str">
        <f t="shared" si="3"/>
        <v>Tevreden</v>
      </c>
    </row>
    <row r="55" spans="1:17" x14ac:dyDescent="0.3">
      <c r="A55" t="s">
        <v>213</v>
      </c>
      <c r="B55">
        <v>4157402662</v>
      </c>
      <c r="C55" t="s">
        <v>214</v>
      </c>
      <c r="D55" t="s">
        <v>215</v>
      </c>
      <c r="E55">
        <v>8</v>
      </c>
      <c r="F55" t="s">
        <v>42</v>
      </c>
      <c r="G55">
        <v>1</v>
      </c>
      <c r="H55">
        <v>3</v>
      </c>
      <c r="I55">
        <v>113.57</v>
      </c>
      <c r="J55" t="s">
        <v>52</v>
      </c>
      <c r="K55" t="s">
        <v>29</v>
      </c>
      <c r="L55">
        <v>7.17</v>
      </c>
      <c r="M55" t="s">
        <v>23</v>
      </c>
      <c r="N55" t="str">
        <f t="shared" si="0"/>
        <v>Coppens</v>
      </c>
      <c r="O55" t="str">
        <f t="shared" si="1"/>
        <v>Amina</v>
      </c>
      <c r="P55" t="e">
        <f t="shared" ca="1" si="2"/>
        <v>#NAME?</v>
      </c>
      <c r="Q55" t="str">
        <f t="shared" si="3"/>
        <v>Tevreden</v>
      </c>
    </row>
    <row r="56" spans="1:17" x14ac:dyDescent="0.3">
      <c r="A56" t="s">
        <v>216</v>
      </c>
      <c r="B56">
        <v>8106788238</v>
      </c>
      <c r="C56" t="s">
        <v>217</v>
      </c>
      <c r="D56" t="s">
        <v>218</v>
      </c>
      <c r="E56">
        <v>35</v>
      </c>
      <c r="F56" t="s">
        <v>219</v>
      </c>
      <c r="G56">
        <v>2</v>
      </c>
      <c r="H56">
        <v>1</v>
      </c>
      <c r="I56">
        <v>123.2</v>
      </c>
      <c r="J56" t="s">
        <v>52</v>
      </c>
      <c r="K56" t="s">
        <v>29</v>
      </c>
      <c r="L56">
        <v>6.26</v>
      </c>
      <c r="M56" t="s">
        <v>78</v>
      </c>
      <c r="N56" t="str">
        <f t="shared" si="0"/>
        <v>Massart</v>
      </c>
      <c r="O56" t="str">
        <f t="shared" si="1"/>
        <v>Samira</v>
      </c>
      <c r="P56" t="e">
        <f t="shared" ca="1" si="2"/>
        <v>#NAME?</v>
      </c>
      <c r="Q56" t="str">
        <f t="shared" si="3"/>
        <v>Ontevreden</v>
      </c>
    </row>
    <row r="57" spans="1:17" x14ac:dyDescent="0.3">
      <c r="A57" t="s">
        <v>220</v>
      </c>
      <c r="B57">
        <v>7142598039</v>
      </c>
      <c r="C57" t="s">
        <v>221</v>
      </c>
      <c r="D57" t="s">
        <v>222</v>
      </c>
      <c r="E57">
        <v>10</v>
      </c>
      <c r="F57" t="s">
        <v>51</v>
      </c>
      <c r="G57">
        <v>1</v>
      </c>
      <c r="H57">
        <v>0</v>
      </c>
      <c r="I57">
        <v>138.38</v>
      </c>
      <c r="J57" t="s">
        <v>52</v>
      </c>
      <c r="K57" t="s">
        <v>57</v>
      </c>
      <c r="L57">
        <v>7</v>
      </c>
      <c r="M57" t="s">
        <v>23</v>
      </c>
      <c r="N57" t="str">
        <f t="shared" si="0"/>
        <v>Lambrecht</v>
      </c>
      <c r="O57" t="str">
        <f t="shared" si="1"/>
        <v>Felix</v>
      </c>
      <c r="P57" t="e">
        <f t="shared" ca="1" si="2"/>
        <v>#NAME?</v>
      </c>
      <c r="Q57" t="str">
        <f t="shared" si="3"/>
        <v>Tevreden</v>
      </c>
    </row>
    <row r="58" spans="1:17" x14ac:dyDescent="0.3">
      <c r="A58" t="s">
        <v>223</v>
      </c>
      <c r="B58">
        <v>6114091372</v>
      </c>
      <c r="C58" t="s">
        <v>224</v>
      </c>
      <c r="D58" t="s">
        <v>225</v>
      </c>
      <c r="E58">
        <v>1</v>
      </c>
      <c r="F58" t="s">
        <v>115</v>
      </c>
      <c r="G58">
        <v>5</v>
      </c>
      <c r="H58">
        <v>2</v>
      </c>
      <c r="I58">
        <v>152.05000000000001</v>
      </c>
      <c r="J58" t="s">
        <v>28</v>
      </c>
      <c r="K58" t="s">
        <v>29</v>
      </c>
      <c r="L58">
        <v>6.93</v>
      </c>
      <c r="M58" t="s">
        <v>23</v>
      </c>
      <c r="N58" t="str">
        <f t="shared" si="0"/>
        <v>Cools</v>
      </c>
      <c r="O58" t="str">
        <f t="shared" si="1"/>
        <v>Patrick</v>
      </c>
      <c r="P58" t="e">
        <f t="shared" ca="1" si="2"/>
        <v>#NAME?</v>
      </c>
      <c r="Q58" t="str">
        <f t="shared" si="3"/>
        <v>Ontevreden</v>
      </c>
    </row>
    <row r="59" spans="1:17" x14ac:dyDescent="0.3">
      <c r="A59" t="s">
        <v>226</v>
      </c>
      <c r="B59">
        <v>7055894710</v>
      </c>
      <c r="C59" t="s">
        <v>227</v>
      </c>
      <c r="D59" t="s">
        <v>228</v>
      </c>
      <c r="E59">
        <v>37</v>
      </c>
      <c r="F59" t="s">
        <v>229</v>
      </c>
      <c r="G59">
        <v>2</v>
      </c>
      <c r="H59">
        <v>1</v>
      </c>
      <c r="I59">
        <v>25.27</v>
      </c>
      <c r="J59" t="s">
        <v>77</v>
      </c>
      <c r="K59" t="s">
        <v>29</v>
      </c>
      <c r="L59">
        <v>7.78</v>
      </c>
      <c r="M59" t="s">
        <v>23</v>
      </c>
      <c r="N59" t="str">
        <f t="shared" si="0"/>
        <v>Verheyden</v>
      </c>
      <c r="O59" t="str">
        <f t="shared" si="1"/>
        <v>Tom</v>
      </c>
      <c r="P59" t="e">
        <f t="shared" ca="1" si="2"/>
        <v>#NAME?</v>
      </c>
      <c r="Q59" t="str">
        <f t="shared" si="3"/>
        <v>Tevreden</v>
      </c>
    </row>
    <row r="60" spans="1:17" x14ac:dyDescent="0.3">
      <c r="A60" t="s">
        <v>230</v>
      </c>
      <c r="B60">
        <v>8796496272</v>
      </c>
      <c r="C60" t="s">
        <v>231</v>
      </c>
      <c r="D60" t="s">
        <v>232</v>
      </c>
      <c r="E60">
        <v>33</v>
      </c>
      <c r="F60" t="s">
        <v>171</v>
      </c>
      <c r="G60">
        <v>2</v>
      </c>
      <c r="H60">
        <v>0</v>
      </c>
      <c r="I60">
        <v>52.79</v>
      </c>
      <c r="J60" t="s">
        <v>52</v>
      </c>
      <c r="K60" t="s">
        <v>22</v>
      </c>
      <c r="L60">
        <v>6.58</v>
      </c>
      <c r="M60" t="s">
        <v>23</v>
      </c>
      <c r="N60" t="str">
        <f t="shared" si="0"/>
        <v>Bogaert</v>
      </c>
      <c r="O60" t="str">
        <f t="shared" si="1"/>
        <v>Annemie</v>
      </c>
      <c r="P60" t="e">
        <f t="shared" ca="1" si="2"/>
        <v>#NAME?</v>
      </c>
      <c r="Q60" t="str">
        <f t="shared" si="3"/>
        <v>Ontevreden</v>
      </c>
    </row>
    <row r="61" spans="1:17" x14ac:dyDescent="0.3">
      <c r="A61" t="s">
        <v>233</v>
      </c>
      <c r="B61">
        <v>5299729087</v>
      </c>
      <c r="C61" t="s">
        <v>234</v>
      </c>
      <c r="D61" t="s">
        <v>235</v>
      </c>
      <c r="E61">
        <v>62</v>
      </c>
      <c r="F61" t="s">
        <v>175</v>
      </c>
      <c r="G61">
        <v>5</v>
      </c>
      <c r="H61">
        <v>2</v>
      </c>
      <c r="I61">
        <v>154.44</v>
      </c>
      <c r="J61" t="s">
        <v>21</v>
      </c>
      <c r="K61" t="s">
        <v>29</v>
      </c>
      <c r="L61">
        <v>7.56</v>
      </c>
      <c r="M61" t="s">
        <v>23</v>
      </c>
      <c r="N61" t="str">
        <f t="shared" si="0"/>
        <v>Debruyne</v>
      </c>
      <c r="O61" t="str">
        <f t="shared" si="1"/>
        <v>Burcu</v>
      </c>
      <c r="P61" t="e">
        <f t="shared" ca="1" si="2"/>
        <v>#NAME?</v>
      </c>
      <c r="Q61" t="str">
        <f t="shared" si="3"/>
        <v>Tevreden</v>
      </c>
    </row>
    <row r="62" spans="1:17" x14ac:dyDescent="0.3">
      <c r="A62" t="s">
        <v>236</v>
      </c>
      <c r="B62">
        <v>7477392213</v>
      </c>
      <c r="C62" t="s">
        <v>237</v>
      </c>
      <c r="D62" t="s">
        <v>238</v>
      </c>
      <c r="E62">
        <v>26</v>
      </c>
      <c r="F62" t="s">
        <v>38</v>
      </c>
      <c r="G62">
        <v>1</v>
      </c>
      <c r="H62">
        <v>0</v>
      </c>
      <c r="I62">
        <v>74.319999999999993</v>
      </c>
      <c r="J62" t="s">
        <v>28</v>
      </c>
      <c r="K62" t="s">
        <v>29</v>
      </c>
      <c r="L62">
        <v>6.1</v>
      </c>
      <c r="M62" t="s">
        <v>78</v>
      </c>
      <c r="N62" t="str">
        <f t="shared" si="0"/>
        <v>Maes</v>
      </c>
      <c r="O62" t="str">
        <f t="shared" si="1"/>
        <v>Maelys</v>
      </c>
      <c r="P62" t="e">
        <f t="shared" ca="1" si="2"/>
        <v>#NAME?</v>
      </c>
      <c r="Q62" t="str">
        <f t="shared" si="3"/>
        <v>Ontevreden</v>
      </c>
    </row>
    <row r="63" spans="1:17" x14ac:dyDescent="0.3">
      <c r="A63" t="s">
        <v>239</v>
      </c>
      <c r="B63">
        <v>1964206525</v>
      </c>
      <c r="C63" t="s">
        <v>240</v>
      </c>
      <c r="D63" t="s">
        <v>241</v>
      </c>
      <c r="E63">
        <v>32</v>
      </c>
      <c r="F63" t="s">
        <v>65</v>
      </c>
      <c r="G63">
        <v>2</v>
      </c>
      <c r="H63">
        <v>0</v>
      </c>
      <c r="I63">
        <v>120.93</v>
      </c>
      <c r="J63" t="s">
        <v>52</v>
      </c>
      <c r="K63" t="s">
        <v>22</v>
      </c>
      <c r="L63">
        <v>6.13</v>
      </c>
      <c r="M63" t="s">
        <v>78</v>
      </c>
      <c r="N63" t="str">
        <f t="shared" si="0"/>
        <v>Jacobs</v>
      </c>
      <c r="O63" t="str">
        <f t="shared" si="1"/>
        <v>Yolène</v>
      </c>
      <c r="P63" t="e">
        <f t="shared" ca="1" si="2"/>
        <v>#NAME?</v>
      </c>
      <c r="Q63" t="str">
        <f t="shared" si="3"/>
        <v>Ontevreden</v>
      </c>
    </row>
    <row r="64" spans="1:17" x14ac:dyDescent="0.3">
      <c r="A64" t="s">
        <v>242</v>
      </c>
      <c r="B64">
        <v>7428441816</v>
      </c>
      <c r="C64" t="s">
        <v>243</v>
      </c>
      <c r="D64" t="s">
        <v>244</v>
      </c>
      <c r="E64">
        <v>54</v>
      </c>
      <c r="F64" t="s">
        <v>115</v>
      </c>
      <c r="G64">
        <v>2</v>
      </c>
      <c r="H64">
        <v>2</v>
      </c>
      <c r="I64">
        <v>98.94</v>
      </c>
      <c r="J64" t="s">
        <v>28</v>
      </c>
      <c r="K64" t="s">
        <v>29</v>
      </c>
      <c r="L64">
        <v>7.27</v>
      </c>
      <c r="M64" t="s">
        <v>23</v>
      </c>
      <c r="N64" t="str">
        <f t="shared" si="0"/>
        <v>Baeyens</v>
      </c>
      <c r="O64" t="str">
        <f t="shared" si="1"/>
        <v>Marie</v>
      </c>
      <c r="P64" t="e">
        <f t="shared" ca="1" si="2"/>
        <v>#NAME?</v>
      </c>
      <c r="Q64" t="str">
        <f t="shared" si="3"/>
        <v>Tevreden</v>
      </c>
    </row>
    <row r="65" spans="1:17" x14ac:dyDescent="0.3">
      <c r="A65" t="s">
        <v>245</v>
      </c>
      <c r="B65">
        <v>5916529093</v>
      </c>
      <c r="C65" t="s">
        <v>246</v>
      </c>
      <c r="D65" t="s">
        <v>247</v>
      </c>
      <c r="E65">
        <v>21</v>
      </c>
      <c r="F65" t="s">
        <v>148</v>
      </c>
      <c r="G65">
        <v>1</v>
      </c>
      <c r="H65">
        <v>2</v>
      </c>
      <c r="I65">
        <v>41.16</v>
      </c>
      <c r="J65" t="s">
        <v>21</v>
      </c>
      <c r="K65" t="s">
        <v>22</v>
      </c>
      <c r="L65">
        <v>6.74</v>
      </c>
      <c r="M65" t="s">
        <v>23</v>
      </c>
      <c r="N65" t="str">
        <f t="shared" si="0"/>
        <v>Thiry</v>
      </c>
      <c r="O65" t="str">
        <f t="shared" si="1"/>
        <v>Théo</v>
      </c>
      <c r="P65" t="e">
        <f t="shared" ca="1" si="2"/>
        <v>#NAME?</v>
      </c>
      <c r="Q65" t="str">
        <f t="shared" si="3"/>
        <v>Ontevreden</v>
      </c>
    </row>
    <row r="66" spans="1:17" x14ac:dyDescent="0.3">
      <c r="A66" t="s">
        <v>248</v>
      </c>
      <c r="B66">
        <v>4524815134</v>
      </c>
      <c r="C66" t="s">
        <v>249</v>
      </c>
      <c r="D66" t="s">
        <v>250</v>
      </c>
      <c r="E66">
        <v>84</v>
      </c>
      <c r="F66" t="s">
        <v>76</v>
      </c>
      <c r="G66">
        <v>2</v>
      </c>
      <c r="H66">
        <v>0</v>
      </c>
      <c r="I66">
        <v>49.58</v>
      </c>
      <c r="J66" t="s">
        <v>28</v>
      </c>
      <c r="K66" t="s">
        <v>29</v>
      </c>
      <c r="L66">
        <v>7.34</v>
      </c>
      <c r="M66" t="s">
        <v>23</v>
      </c>
      <c r="N66" t="str">
        <f t="shared" ref="N66:N129" si="4">LEFT(A66, FIND(",", A66)-1)</f>
        <v>Coppens</v>
      </c>
      <c r="O66" t="str">
        <f t="shared" ref="O66:O129" si="5">MID(A66, FIND(",", A66)+2, LEN(A66))</f>
        <v>Liandro</v>
      </c>
      <c r="P66" t="e">
        <f t="shared" ref="P66:P129" ca="1" si="6">SWITCH(J66, "Zelden", 1, "Af en toe", 4, "Regelmatig", 8, "Vaak", 12)</f>
        <v>#NAME?</v>
      </c>
      <c r="Q66" t="str">
        <f t="shared" ref="Q66:Q129" si="7">IF(L66&gt;=7, "Tevreden", "Ontevreden")</f>
        <v>Tevreden</v>
      </c>
    </row>
    <row r="67" spans="1:17" x14ac:dyDescent="0.3">
      <c r="A67" t="s">
        <v>251</v>
      </c>
      <c r="B67">
        <v>5404619058</v>
      </c>
      <c r="C67" t="s">
        <v>252</v>
      </c>
      <c r="D67" t="s">
        <v>253</v>
      </c>
      <c r="E67">
        <v>42</v>
      </c>
      <c r="F67" t="s">
        <v>56</v>
      </c>
      <c r="G67">
        <v>2</v>
      </c>
      <c r="H67">
        <v>0</v>
      </c>
      <c r="I67">
        <v>80.430000000000007</v>
      </c>
      <c r="J67" t="s">
        <v>28</v>
      </c>
      <c r="K67" t="s">
        <v>29</v>
      </c>
      <c r="L67">
        <v>7.04</v>
      </c>
      <c r="M67" t="s">
        <v>23</v>
      </c>
      <c r="N67" t="str">
        <f t="shared" si="4"/>
        <v>Mertens</v>
      </c>
      <c r="O67" t="str">
        <f t="shared" si="5"/>
        <v>Eric</v>
      </c>
      <c r="P67" t="e">
        <f t="shared" ca="1" si="6"/>
        <v>#NAME?</v>
      </c>
      <c r="Q67" t="str">
        <f t="shared" si="7"/>
        <v>Tevreden</v>
      </c>
    </row>
    <row r="68" spans="1:17" x14ac:dyDescent="0.3">
      <c r="A68" t="s">
        <v>254</v>
      </c>
      <c r="B68">
        <v>7712960954</v>
      </c>
      <c r="C68" t="s">
        <v>255</v>
      </c>
      <c r="D68" t="s">
        <v>256</v>
      </c>
      <c r="E68">
        <v>68</v>
      </c>
      <c r="F68" t="s">
        <v>61</v>
      </c>
      <c r="G68">
        <v>1</v>
      </c>
      <c r="H68">
        <v>0</v>
      </c>
      <c r="I68">
        <v>95.96</v>
      </c>
      <c r="J68" t="s">
        <v>28</v>
      </c>
      <c r="K68" t="s">
        <v>22</v>
      </c>
      <c r="L68">
        <v>7.19</v>
      </c>
      <c r="M68" t="s">
        <v>23</v>
      </c>
      <c r="N68" t="str">
        <f t="shared" si="4"/>
        <v>Coppens</v>
      </c>
      <c r="O68" t="str">
        <f t="shared" si="5"/>
        <v>Alassane</v>
      </c>
      <c r="P68" t="e">
        <f t="shared" ca="1" si="6"/>
        <v>#NAME?</v>
      </c>
      <c r="Q68" t="str">
        <f t="shared" si="7"/>
        <v>Tevreden</v>
      </c>
    </row>
    <row r="69" spans="1:17" x14ac:dyDescent="0.3">
      <c r="A69" t="s">
        <v>257</v>
      </c>
      <c r="B69">
        <v>3043663227</v>
      </c>
      <c r="C69" t="s">
        <v>258</v>
      </c>
      <c r="D69" t="s">
        <v>259</v>
      </c>
      <c r="E69">
        <v>39</v>
      </c>
      <c r="F69" t="s">
        <v>27</v>
      </c>
      <c r="G69">
        <v>2</v>
      </c>
      <c r="H69">
        <v>3</v>
      </c>
      <c r="I69">
        <v>135.34</v>
      </c>
      <c r="J69" t="s">
        <v>21</v>
      </c>
      <c r="K69" t="s">
        <v>57</v>
      </c>
      <c r="L69">
        <v>7.43</v>
      </c>
      <c r="M69" t="s">
        <v>23</v>
      </c>
      <c r="N69" t="str">
        <f t="shared" si="4"/>
        <v>Decoster</v>
      </c>
      <c r="O69" t="str">
        <f t="shared" si="5"/>
        <v>Jacqueline</v>
      </c>
      <c r="P69" t="e">
        <f t="shared" ca="1" si="6"/>
        <v>#NAME?</v>
      </c>
      <c r="Q69" t="str">
        <f t="shared" si="7"/>
        <v>Tevreden</v>
      </c>
    </row>
    <row r="70" spans="1:17" x14ac:dyDescent="0.3">
      <c r="A70" t="s">
        <v>260</v>
      </c>
      <c r="B70">
        <v>5339666678</v>
      </c>
      <c r="C70" t="s">
        <v>261</v>
      </c>
      <c r="D70" t="s">
        <v>262</v>
      </c>
      <c r="E70">
        <v>55</v>
      </c>
      <c r="F70" t="s">
        <v>33</v>
      </c>
      <c r="G70">
        <v>2</v>
      </c>
      <c r="H70">
        <v>0</v>
      </c>
      <c r="I70">
        <v>56.45</v>
      </c>
      <c r="J70" t="s">
        <v>28</v>
      </c>
      <c r="K70" t="s">
        <v>29</v>
      </c>
      <c r="L70">
        <v>7.6</v>
      </c>
      <c r="M70" t="s">
        <v>23</v>
      </c>
      <c r="N70" t="str">
        <f t="shared" si="4"/>
        <v>Vandamme</v>
      </c>
      <c r="O70" t="str">
        <f t="shared" si="5"/>
        <v>Walter</v>
      </c>
      <c r="P70" t="e">
        <f t="shared" ca="1" si="6"/>
        <v>#NAME?</v>
      </c>
      <c r="Q70" t="str">
        <f t="shared" si="7"/>
        <v>Tevreden</v>
      </c>
    </row>
    <row r="71" spans="1:17" x14ac:dyDescent="0.3">
      <c r="A71" t="s">
        <v>263</v>
      </c>
      <c r="B71">
        <v>3572520711</v>
      </c>
      <c r="C71" t="s">
        <v>264</v>
      </c>
      <c r="D71" t="s">
        <v>212</v>
      </c>
      <c r="E71">
        <v>29</v>
      </c>
      <c r="F71" t="s">
        <v>148</v>
      </c>
      <c r="G71">
        <v>2</v>
      </c>
      <c r="H71">
        <v>0</v>
      </c>
      <c r="I71">
        <v>68.510000000000005</v>
      </c>
      <c r="J71" t="s">
        <v>28</v>
      </c>
      <c r="K71" t="s">
        <v>29</v>
      </c>
      <c r="L71">
        <v>7.09</v>
      </c>
      <c r="M71" t="s">
        <v>23</v>
      </c>
      <c r="N71" t="str">
        <f t="shared" si="4"/>
        <v>Van de walle</v>
      </c>
      <c r="O71" t="str">
        <f t="shared" si="5"/>
        <v>Robbe</v>
      </c>
      <c r="P71" t="e">
        <f t="shared" ca="1" si="6"/>
        <v>#NAME?</v>
      </c>
      <c r="Q71" t="str">
        <f t="shared" si="7"/>
        <v>Tevreden</v>
      </c>
    </row>
    <row r="72" spans="1:17" x14ac:dyDescent="0.3">
      <c r="A72" t="s">
        <v>265</v>
      </c>
      <c r="B72">
        <v>8811889894</v>
      </c>
      <c r="C72" t="s">
        <v>266</v>
      </c>
      <c r="D72" t="s">
        <v>267</v>
      </c>
      <c r="E72">
        <v>39</v>
      </c>
      <c r="F72" t="s">
        <v>175</v>
      </c>
      <c r="G72">
        <v>2</v>
      </c>
      <c r="H72">
        <v>0</v>
      </c>
      <c r="I72">
        <v>75.47</v>
      </c>
      <c r="J72" t="s">
        <v>28</v>
      </c>
      <c r="K72" t="s">
        <v>22</v>
      </c>
      <c r="L72">
        <v>7.13</v>
      </c>
      <c r="M72" t="s">
        <v>23</v>
      </c>
      <c r="N72" t="str">
        <f t="shared" si="4"/>
        <v>Bosmans</v>
      </c>
      <c r="O72" t="str">
        <f t="shared" si="5"/>
        <v>Geoffrey</v>
      </c>
      <c r="P72" t="e">
        <f t="shared" ca="1" si="6"/>
        <v>#NAME?</v>
      </c>
      <c r="Q72" t="str">
        <f t="shared" si="7"/>
        <v>Tevreden</v>
      </c>
    </row>
    <row r="73" spans="1:17" x14ac:dyDescent="0.3">
      <c r="A73" t="s">
        <v>268</v>
      </c>
      <c r="B73">
        <v>3652428793</v>
      </c>
      <c r="C73" t="s">
        <v>269</v>
      </c>
      <c r="D73" t="s">
        <v>157</v>
      </c>
      <c r="E73">
        <v>44</v>
      </c>
      <c r="F73" t="s">
        <v>115</v>
      </c>
      <c r="G73">
        <v>1</v>
      </c>
      <c r="H73">
        <v>0</v>
      </c>
      <c r="I73">
        <v>53.92</v>
      </c>
      <c r="J73" t="s">
        <v>21</v>
      </c>
      <c r="K73" t="s">
        <v>22</v>
      </c>
      <c r="L73">
        <v>7.1</v>
      </c>
      <c r="M73" t="s">
        <v>23</v>
      </c>
      <c r="N73" t="str">
        <f t="shared" si="4"/>
        <v>Geens</v>
      </c>
      <c r="O73" t="str">
        <f t="shared" si="5"/>
        <v>Marleen</v>
      </c>
      <c r="P73" t="e">
        <f t="shared" ca="1" si="6"/>
        <v>#NAME?</v>
      </c>
      <c r="Q73" t="str">
        <f t="shared" si="7"/>
        <v>Tevreden</v>
      </c>
    </row>
    <row r="74" spans="1:17" x14ac:dyDescent="0.3">
      <c r="A74" t="s">
        <v>270</v>
      </c>
      <c r="B74">
        <v>7281141889</v>
      </c>
      <c r="C74" t="s">
        <v>271</v>
      </c>
      <c r="D74" t="s">
        <v>272</v>
      </c>
      <c r="E74">
        <v>29</v>
      </c>
      <c r="F74" t="s">
        <v>56</v>
      </c>
      <c r="G74">
        <v>1</v>
      </c>
      <c r="H74">
        <v>3</v>
      </c>
      <c r="I74">
        <v>99.04</v>
      </c>
      <c r="J74" t="s">
        <v>28</v>
      </c>
      <c r="K74" t="s">
        <v>29</v>
      </c>
      <c r="L74">
        <v>6.81</v>
      </c>
      <c r="M74" t="s">
        <v>23</v>
      </c>
      <c r="N74" t="str">
        <f t="shared" si="4"/>
        <v>Toussaint</v>
      </c>
      <c r="O74" t="str">
        <f t="shared" si="5"/>
        <v>Alexander</v>
      </c>
      <c r="P74" t="e">
        <f t="shared" ca="1" si="6"/>
        <v>#NAME?</v>
      </c>
      <c r="Q74" t="str">
        <f t="shared" si="7"/>
        <v>Ontevreden</v>
      </c>
    </row>
    <row r="75" spans="1:17" x14ac:dyDescent="0.3">
      <c r="A75" t="s">
        <v>273</v>
      </c>
      <c r="B75">
        <v>1308556894</v>
      </c>
      <c r="C75" t="s">
        <v>274</v>
      </c>
      <c r="D75" t="s">
        <v>275</v>
      </c>
      <c r="E75">
        <v>105</v>
      </c>
      <c r="F75" t="s">
        <v>115</v>
      </c>
      <c r="G75">
        <v>2</v>
      </c>
      <c r="H75">
        <v>0</v>
      </c>
      <c r="I75">
        <v>41.4</v>
      </c>
      <c r="J75" t="s">
        <v>52</v>
      </c>
      <c r="K75" t="s">
        <v>22</v>
      </c>
      <c r="L75">
        <v>8.4</v>
      </c>
      <c r="M75" t="s">
        <v>34</v>
      </c>
      <c r="N75" t="str">
        <f t="shared" si="4"/>
        <v>Van acker</v>
      </c>
      <c r="O75" t="str">
        <f t="shared" si="5"/>
        <v>Thibaut</v>
      </c>
      <c r="P75" t="e">
        <f t="shared" ca="1" si="6"/>
        <v>#NAME?</v>
      </c>
      <c r="Q75" t="str">
        <f t="shared" si="7"/>
        <v>Tevreden</v>
      </c>
    </row>
    <row r="76" spans="1:17" x14ac:dyDescent="0.3">
      <c r="A76" t="s">
        <v>276</v>
      </c>
      <c r="B76">
        <v>253977930</v>
      </c>
      <c r="C76" t="s">
        <v>277</v>
      </c>
      <c r="D76" t="s">
        <v>278</v>
      </c>
      <c r="E76">
        <v>66</v>
      </c>
      <c r="F76" t="s">
        <v>189</v>
      </c>
      <c r="G76">
        <v>2</v>
      </c>
      <c r="H76">
        <v>2</v>
      </c>
      <c r="I76">
        <v>103.4</v>
      </c>
      <c r="J76" t="s">
        <v>28</v>
      </c>
      <c r="K76" t="s">
        <v>22</v>
      </c>
      <c r="L76">
        <v>8</v>
      </c>
      <c r="M76" t="s">
        <v>34</v>
      </c>
      <c r="N76" t="str">
        <f t="shared" si="4"/>
        <v>Petit</v>
      </c>
      <c r="O76" t="str">
        <f t="shared" si="5"/>
        <v>Marcel</v>
      </c>
      <c r="P76" t="e">
        <f t="shared" ca="1" si="6"/>
        <v>#NAME?</v>
      </c>
      <c r="Q76" t="str">
        <f t="shared" si="7"/>
        <v>Tevreden</v>
      </c>
    </row>
    <row r="77" spans="1:17" x14ac:dyDescent="0.3">
      <c r="A77" t="s">
        <v>279</v>
      </c>
      <c r="B77">
        <v>2557041480</v>
      </c>
      <c r="C77" t="s">
        <v>280</v>
      </c>
      <c r="D77" t="s">
        <v>281</v>
      </c>
      <c r="E77">
        <v>102</v>
      </c>
      <c r="F77" t="s">
        <v>33</v>
      </c>
      <c r="G77">
        <v>1</v>
      </c>
      <c r="H77">
        <v>2</v>
      </c>
      <c r="I77">
        <v>42.52</v>
      </c>
      <c r="J77" t="s">
        <v>52</v>
      </c>
      <c r="K77" t="s">
        <v>57</v>
      </c>
      <c r="L77">
        <v>7.08</v>
      </c>
      <c r="M77" t="s">
        <v>23</v>
      </c>
      <c r="N77" t="str">
        <f t="shared" si="4"/>
        <v>Hermans</v>
      </c>
      <c r="O77" t="str">
        <f t="shared" si="5"/>
        <v>Avak</v>
      </c>
      <c r="P77" t="e">
        <f t="shared" ca="1" si="6"/>
        <v>#NAME?</v>
      </c>
      <c r="Q77" t="str">
        <f t="shared" si="7"/>
        <v>Tevreden</v>
      </c>
    </row>
    <row r="78" spans="1:17" x14ac:dyDescent="0.3">
      <c r="A78" t="s">
        <v>282</v>
      </c>
      <c r="B78">
        <v>5302579560</v>
      </c>
      <c r="C78" t="s">
        <v>283</v>
      </c>
      <c r="D78" t="s">
        <v>284</v>
      </c>
      <c r="E78">
        <v>75</v>
      </c>
      <c r="F78" t="s">
        <v>115</v>
      </c>
      <c r="G78">
        <v>2</v>
      </c>
      <c r="H78">
        <v>2</v>
      </c>
      <c r="I78">
        <v>123.78</v>
      </c>
      <c r="J78" t="s">
        <v>52</v>
      </c>
      <c r="K78" t="s">
        <v>29</v>
      </c>
      <c r="L78">
        <v>7.09</v>
      </c>
      <c r="M78" t="s">
        <v>23</v>
      </c>
      <c r="N78" t="str">
        <f t="shared" si="4"/>
        <v>Segers</v>
      </c>
      <c r="O78" t="str">
        <f t="shared" si="5"/>
        <v>Muriel</v>
      </c>
      <c r="P78" t="e">
        <f t="shared" ca="1" si="6"/>
        <v>#NAME?</v>
      </c>
      <c r="Q78" t="str">
        <f t="shared" si="7"/>
        <v>Tevreden</v>
      </c>
    </row>
    <row r="79" spans="1:17" x14ac:dyDescent="0.3">
      <c r="A79" t="s">
        <v>285</v>
      </c>
      <c r="B79">
        <v>3705010467</v>
      </c>
      <c r="C79" t="s">
        <v>286</v>
      </c>
      <c r="D79" t="s">
        <v>287</v>
      </c>
      <c r="E79">
        <v>13</v>
      </c>
      <c r="F79" t="s">
        <v>42</v>
      </c>
      <c r="G79">
        <v>1</v>
      </c>
      <c r="H79">
        <v>0</v>
      </c>
      <c r="I79">
        <v>21.16</v>
      </c>
      <c r="J79" t="s">
        <v>21</v>
      </c>
      <c r="K79" t="s">
        <v>22</v>
      </c>
      <c r="L79">
        <v>7.7</v>
      </c>
      <c r="M79" t="s">
        <v>34</v>
      </c>
      <c r="N79" t="str">
        <f t="shared" si="4"/>
        <v>De keyser</v>
      </c>
      <c r="O79" t="str">
        <f t="shared" si="5"/>
        <v>Denise</v>
      </c>
      <c r="P79" t="e">
        <f t="shared" ca="1" si="6"/>
        <v>#NAME?</v>
      </c>
      <c r="Q79" t="str">
        <f t="shared" si="7"/>
        <v>Tevreden</v>
      </c>
    </row>
    <row r="80" spans="1:17" x14ac:dyDescent="0.3">
      <c r="A80" t="s">
        <v>288</v>
      </c>
      <c r="B80">
        <v>4306946185</v>
      </c>
      <c r="C80" t="s">
        <v>289</v>
      </c>
      <c r="D80" t="s">
        <v>290</v>
      </c>
      <c r="E80">
        <v>47</v>
      </c>
      <c r="F80" t="s">
        <v>27</v>
      </c>
      <c r="G80">
        <v>1</v>
      </c>
      <c r="H80">
        <v>0</v>
      </c>
      <c r="I80">
        <v>35.28</v>
      </c>
      <c r="J80" t="s">
        <v>47</v>
      </c>
      <c r="K80" t="s">
        <v>29</v>
      </c>
      <c r="L80">
        <v>7.2</v>
      </c>
      <c r="M80" t="s">
        <v>23</v>
      </c>
      <c r="N80" t="str">
        <f t="shared" si="4"/>
        <v>Hoste</v>
      </c>
      <c r="O80" t="str">
        <f t="shared" si="5"/>
        <v>Maeva</v>
      </c>
      <c r="P80" t="e">
        <f t="shared" ca="1" si="6"/>
        <v>#NAME?</v>
      </c>
      <c r="Q80" t="str">
        <f t="shared" si="7"/>
        <v>Tevreden</v>
      </c>
    </row>
    <row r="81" spans="1:17" x14ac:dyDescent="0.3">
      <c r="A81" t="s">
        <v>291</v>
      </c>
      <c r="B81">
        <v>7779858047</v>
      </c>
      <c r="C81" t="s">
        <v>292</v>
      </c>
      <c r="D81" t="s">
        <v>293</v>
      </c>
      <c r="E81">
        <v>8</v>
      </c>
      <c r="F81" t="s">
        <v>115</v>
      </c>
      <c r="G81">
        <v>2</v>
      </c>
      <c r="H81">
        <v>3</v>
      </c>
      <c r="I81">
        <v>122.87</v>
      </c>
      <c r="J81" t="s">
        <v>21</v>
      </c>
      <c r="K81" t="s">
        <v>22</v>
      </c>
      <c r="L81">
        <v>6.76</v>
      </c>
      <c r="M81" t="s">
        <v>23</v>
      </c>
      <c r="N81" t="str">
        <f t="shared" si="4"/>
        <v>Vercruysse</v>
      </c>
      <c r="O81" t="str">
        <f t="shared" si="5"/>
        <v>Jozef</v>
      </c>
      <c r="P81" t="e">
        <f t="shared" ca="1" si="6"/>
        <v>#NAME?</v>
      </c>
      <c r="Q81" t="str">
        <f t="shared" si="7"/>
        <v>Ontevreden</v>
      </c>
    </row>
    <row r="82" spans="1:17" x14ac:dyDescent="0.3">
      <c r="A82" t="s">
        <v>294</v>
      </c>
      <c r="B82">
        <v>2336165948</v>
      </c>
      <c r="C82" t="s">
        <v>295</v>
      </c>
      <c r="D82" t="s">
        <v>296</v>
      </c>
      <c r="E82">
        <v>31</v>
      </c>
      <c r="F82" t="s">
        <v>148</v>
      </c>
      <c r="G82">
        <v>2</v>
      </c>
      <c r="H82">
        <v>5</v>
      </c>
      <c r="I82">
        <v>73.58</v>
      </c>
      <c r="J82" t="s">
        <v>28</v>
      </c>
      <c r="K82" t="s">
        <v>22</v>
      </c>
      <c r="L82">
        <v>6.85</v>
      </c>
      <c r="M82" t="s">
        <v>23</v>
      </c>
      <c r="N82" t="str">
        <f t="shared" si="4"/>
        <v>Lefebvre</v>
      </c>
      <c r="O82" t="str">
        <f t="shared" si="5"/>
        <v>Ambre</v>
      </c>
      <c r="P82" t="e">
        <f t="shared" ca="1" si="6"/>
        <v>#NAME?</v>
      </c>
      <c r="Q82" t="str">
        <f t="shared" si="7"/>
        <v>Ontevreden</v>
      </c>
    </row>
    <row r="83" spans="1:17" x14ac:dyDescent="0.3">
      <c r="A83" t="s">
        <v>297</v>
      </c>
      <c r="B83">
        <v>3942464082</v>
      </c>
      <c r="C83" t="s">
        <v>298</v>
      </c>
      <c r="D83" t="s">
        <v>299</v>
      </c>
      <c r="E83">
        <v>30</v>
      </c>
      <c r="F83" t="s">
        <v>51</v>
      </c>
      <c r="G83">
        <v>1</v>
      </c>
      <c r="H83">
        <v>0</v>
      </c>
      <c r="I83">
        <v>25.71</v>
      </c>
      <c r="J83" t="s">
        <v>21</v>
      </c>
      <c r="K83" t="s">
        <v>22</v>
      </c>
      <c r="L83">
        <v>5.83</v>
      </c>
      <c r="M83" t="s">
        <v>78</v>
      </c>
      <c r="N83" t="str">
        <f t="shared" si="4"/>
        <v>Van hecke</v>
      </c>
      <c r="O83" t="str">
        <f t="shared" si="5"/>
        <v>Grethel</v>
      </c>
      <c r="P83" t="e">
        <f t="shared" ca="1" si="6"/>
        <v>#NAME?</v>
      </c>
      <c r="Q83" t="str">
        <f t="shared" si="7"/>
        <v>Ontevreden</v>
      </c>
    </row>
    <row r="84" spans="1:17" x14ac:dyDescent="0.3">
      <c r="A84" t="s">
        <v>300</v>
      </c>
      <c r="B84">
        <v>7587392440</v>
      </c>
      <c r="C84" t="s">
        <v>301</v>
      </c>
      <c r="D84" t="s">
        <v>302</v>
      </c>
      <c r="E84">
        <v>17</v>
      </c>
      <c r="F84" t="s">
        <v>219</v>
      </c>
      <c r="G84">
        <v>1</v>
      </c>
      <c r="H84">
        <v>3</v>
      </c>
      <c r="I84">
        <v>120.13</v>
      </c>
      <c r="J84" t="s">
        <v>47</v>
      </c>
      <c r="K84" t="s">
        <v>29</v>
      </c>
      <c r="L84">
        <v>6.85</v>
      </c>
      <c r="M84" t="s">
        <v>23</v>
      </c>
      <c r="N84" t="str">
        <f t="shared" si="4"/>
        <v>Verstraete</v>
      </c>
      <c r="O84" t="str">
        <f t="shared" si="5"/>
        <v>Maria</v>
      </c>
      <c r="P84" t="e">
        <f t="shared" ca="1" si="6"/>
        <v>#NAME?</v>
      </c>
      <c r="Q84" t="str">
        <f t="shared" si="7"/>
        <v>Ontevreden</v>
      </c>
    </row>
    <row r="85" spans="1:17" x14ac:dyDescent="0.3">
      <c r="A85" t="s">
        <v>303</v>
      </c>
      <c r="B85">
        <v>3162235572</v>
      </c>
      <c r="C85" t="s">
        <v>304</v>
      </c>
      <c r="D85" t="s">
        <v>121</v>
      </c>
      <c r="E85">
        <v>44</v>
      </c>
      <c r="F85" t="s">
        <v>305</v>
      </c>
      <c r="G85">
        <v>5</v>
      </c>
      <c r="H85">
        <v>0</v>
      </c>
      <c r="I85">
        <v>24.18</v>
      </c>
      <c r="J85" t="s">
        <v>77</v>
      </c>
      <c r="K85" t="s">
        <v>22</v>
      </c>
      <c r="L85">
        <v>7.18</v>
      </c>
      <c r="M85" t="s">
        <v>23</v>
      </c>
      <c r="N85" t="str">
        <f t="shared" si="4"/>
        <v>Peters</v>
      </c>
      <c r="O85" t="str">
        <f t="shared" si="5"/>
        <v>Katrien</v>
      </c>
      <c r="P85" t="e">
        <f t="shared" ca="1" si="6"/>
        <v>#NAME?</v>
      </c>
      <c r="Q85" t="str">
        <f t="shared" si="7"/>
        <v>Tevreden</v>
      </c>
    </row>
    <row r="86" spans="1:17" x14ac:dyDescent="0.3">
      <c r="A86" t="s">
        <v>306</v>
      </c>
      <c r="B86">
        <v>176554914</v>
      </c>
      <c r="C86" t="s">
        <v>307</v>
      </c>
      <c r="D86" t="s">
        <v>272</v>
      </c>
      <c r="E86">
        <v>3</v>
      </c>
      <c r="F86" t="s">
        <v>33</v>
      </c>
      <c r="G86">
        <v>1</v>
      </c>
      <c r="H86">
        <v>2</v>
      </c>
      <c r="I86">
        <v>114.78</v>
      </c>
      <c r="J86" t="s">
        <v>77</v>
      </c>
      <c r="K86" t="s">
        <v>22</v>
      </c>
      <c r="L86">
        <v>6.92</v>
      </c>
      <c r="M86" t="s">
        <v>23</v>
      </c>
      <c r="N86" t="str">
        <f t="shared" si="4"/>
        <v>Henry</v>
      </c>
      <c r="O86" t="str">
        <f t="shared" si="5"/>
        <v>Aagje</v>
      </c>
      <c r="P86" t="e">
        <f t="shared" ca="1" si="6"/>
        <v>#NAME?</v>
      </c>
      <c r="Q86" t="str">
        <f t="shared" si="7"/>
        <v>Ontevreden</v>
      </c>
    </row>
    <row r="87" spans="1:17" x14ac:dyDescent="0.3">
      <c r="A87" t="s">
        <v>308</v>
      </c>
      <c r="B87">
        <v>1229742947</v>
      </c>
      <c r="C87" t="s">
        <v>309</v>
      </c>
      <c r="D87" t="s">
        <v>310</v>
      </c>
      <c r="E87">
        <v>1</v>
      </c>
      <c r="F87" t="s">
        <v>219</v>
      </c>
      <c r="G87">
        <v>1</v>
      </c>
      <c r="H87">
        <v>3</v>
      </c>
      <c r="I87">
        <v>194.83</v>
      </c>
      <c r="J87" t="s">
        <v>21</v>
      </c>
      <c r="K87" t="s">
        <v>29</v>
      </c>
      <c r="L87">
        <v>8.74</v>
      </c>
      <c r="M87" t="s">
        <v>34</v>
      </c>
      <c r="N87" t="str">
        <f t="shared" si="4"/>
        <v>Simons</v>
      </c>
      <c r="O87" t="str">
        <f t="shared" si="5"/>
        <v>Daniël</v>
      </c>
      <c r="P87" t="e">
        <f t="shared" ca="1" si="6"/>
        <v>#NAME?</v>
      </c>
      <c r="Q87" t="str">
        <f t="shared" si="7"/>
        <v>Tevreden</v>
      </c>
    </row>
    <row r="88" spans="1:17" x14ac:dyDescent="0.3">
      <c r="A88" t="s">
        <v>311</v>
      </c>
      <c r="B88">
        <v>409117390</v>
      </c>
      <c r="C88" t="s">
        <v>312</v>
      </c>
      <c r="D88" t="s">
        <v>313</v>
      </c>
      <c r="E88">
        <v>64</v>
      </c>
      <c r="F88" t="s">
        <v>46</v>
      </c>
      <c r="G88">
        <v>2</v>
      </c>
      <c r="H88">
        <v>5</v>
      </c>
      <c r="I88">
        <v>140.74</v>
      </c>
      <c r="J88" t="s">
        <v>28</v>
      </c>
      <c r="K88" t="s">
        <v>102</v>
      </c>
      <c r="L88">
        <v>6.63</v>
      </c>
      <c r="M88" t="s">
        <v>23</v>
      </c>
      <c r="N88" t="str">
        <f t="shared" si="4"/>
        <v>Bosmans</v>
      </c>
      <c r="O88" t="str">
        <f t="shared" si="5"/>
        <v>Pascale</v>
      </c>
      <c r="P88" t="e">
        <f t="shared" ca="1" si="6"/>
        <v>#NAME?</v>
      </c>
      <c r="Q88" t="str">
        <f t="shared" si="7"/>
        <v>Ontevreden</v>
      </c>
    </row>
    <row r="89" spans="1:17" x14ac:dyDescent="0.3">
      <c r="A89" t="s">
        <v>314</v>
      </c>
      <c r="B89">
        <v>4248747670</v>
      </c>
      <c r="C89" t="s">
        <v>315</v>
      </c>
      <c r="D89" t="s">
        <v>316</v>
      </c>
      <c r="E89">
        <v>11</v>
      </c>
      <c r="F89" t="s">
        <v>115</v>
      </c>
      <c r="G89">
        <v>3</v>
      </c>
      <c r="H89">
        <v>5</v>
      </c>
      <c r="I89">
        <v>173.3</v>
      </c>
      <c r="J89" t="s">
        <v>77</v>
      </c>
      <c r="K89" t="s">
        <v>57</v>
      </c>
      <c r="L89">
        <v>7.54</v>
      </c>
      <c r="M89" t="s">
        <v>23</v>
      </c>
      <c r="N89" t="str">
        <f t="shared" si="4"/>
        <v>Mertens</v>
      </c>
      <c r="O89" t="str">
        <f t="shared" si="5"/>
        <v>Dirk</v>
      </c>
      <c r="P89" t="e">
        <f t="shared" ca="1" si="6"/>
        <v>#NAME?</v>
      </c>
      <c r="Q89" t="str">
        <f t="shared" si="7"/>
        <v>Tevreden</v>
      </c>
    </row>
    <row r="90" spans="1:17" x14ac:dyDescent="0.3">
      <c r="A90" t="s">
        <v>317</v>
      </c>
      <c r="B90">
        <v>3528039551</v>
      </c>
      <c r="C90" t="s">
        <v>318</v>
      </c>
      <c r="D90" t="s">
        <v>41</v>
      </c>
      <c r="E90">
        <v>65</v>
      </c>
      <c r="F90" t="s">
        <v>51</v>
      </c>
      <c r="G90">
        <v>2</v>
      </c>
      <c r="H90">
        <v>3</v>
      </c>
      <c r="I90">
        <v>157.24</v>
      </c>
      <c r="J90" t="s">
        <v>52</v>
      </c>
      <c r="K90" t="s">
        <v>29</v>
      </c>
      <c r="L90">
        <v>7.61</v>
      </c>
      <c r="M90" t="s">
        <v>23</v>
      </c>
      <c r="N90" t="str">
        <f t="shared" si="4"/>
        <v>Callens</v>
      </c>
      <c r="O90" t="str">
        <f t="shared" si="5"/>
        <v>Dmitrii</v>
      </c>
      <c r="P90" t="e">
        <f t="shared" ca="1" si="6"/>
        <v>#NAME?</v>
      </c>
      <c r="Q90" t="str">
        <f t="shared" si="7"/>
        <v>Tevreden</v>
      </c>
    </row>
    <row r="91" spans="1:17" x14ac:dyDescent="0.3">
      <c r="A91" t="s">
        <v>319</v>
      </c>
      <c r="B91">
        <v>4355743851</v>
      </c>
      <c r="C91" t="s">
        <v>320</v>
      </c>
      <c r="D91" t="s">
        <v>321</v>
      </c>
      <c r="E91">
        <v>21</v>
      </c>
      <c r="F91" t="s">
        <v>51</v>
      </c>
      <c r="G91">
        <v>1</v>
      </c>
      <c r="H91">
        <v>3</v>
      </c>
      <c r="I91">
        <v>83.07</v>
      </c>
      <c r="J91" t="s">
        <v>28</v>
      </c>
      <c r="K91" t="s">
        <v>22</v>
      </c>
      <c r="L91">
        <v>7.03</v>
      </c>
      <c r="M91" t="s">
        <v>23</v>
      </c>
      <c r="N91" t="str">
        <f t="shared" si="4"/>
        <v>Andries</v>
      </c>
      <c r="O91" t="str">
        <f t="shared" si="5"/>
        <v>Hanne</v>
      </c>
      <c r="P91" t="e">
        <f t="shared" ca="1" si="6"/>
        <v>#NAME?</v>
      </c>
      <c r="Q91" t="str">
        <f t="shared" si="7"/>
        <v>Tevreden</v>
      </c>
    </row>
    <row r="92" spans="1:17" x14ac:dyDescent="0.3">
      <c r="A92" t="s">
        <v>322</v>
      </c>
      <c r="B92">
        <v>2188700087</v>
      </c>
      <c r="C92" t="s">
        <v>323</v>
      </c>
      <c r="D92" t="s">
        <v>324</v>
      </c>
      <c r="E92">
        <v>7</v>
      </c>
      <c r="F92" t="s">
        <v>82</v>
      </c>
      <c r="G92">
        <v>2</v>
      </c>
      <c r="H92">
        <v>0</v>
      </c>
      <c r="I92">
        <v>109.58</v>
      </c>
      <c r="J92" t="s">
        <v>77</v>
      </c>
      <c r="K92" t="s">
        <v>102</v>
      </c>
      <c r="L92">
        <v>7.77</v>
      </c>
      <c r="M92" t="s">
        <v>23</v>
      </c>
      <c r="N92" t="str">
        <f t="shared" si="4"/>
        <v>Michaux</v>
      </c>
      <c r="O92" t="str">
        <f t="shared" si="5"/>
        <v>Anthony</v>
      </c>
      <c r="P92" t="e">
        <f t="shared" ca="1" si="6"/>
        <v>#NAME?</v>
      </c>
      <c r="Q92" t="str">
        <f t="shared" si="7"/>
        <v>Tevreden</v>
      </c>
    </row>
    <row r="93" spans="1:17" x14ac:dyDescent="0.3">
      <c r="A93" t="s">
        <v>325</v>
      </c>
      <c r="B93">
        <v>2427146593</v>
      </c>
      <c r="C93" t="s">
        <v>326</v>
      </c>
      <c r="D93" t="s">
        <v>327</v>
      </c>
      <c r="E93">
        <v>44</v>
      </c>
      <c r="F93" t="s">
        <v>158</v>
      </c>
      <c r="G93">
        <v>2</v>
      </c>
      <c r="H93">
        <v>0</v>
      </c>
      <c r="I93">
        <v>39.32</v>
      </c>
      <c r="J93" t="s">
        <v>52</v>
      </c>
      <c r="K93" t="s">
        <v>29</v>
      </c>
      <c r="L93">
        <v>7.64</v>
      </c>
      <c r="M93" t="s">
        <v>23</v>
      </c>
      <c r="N93" t="str">
        <f t="shared" si="4"/>
        <v>Bernard</v>
      </c>
      <c r="O93" t="str">
        <f t="shared" si="5"/>
        <v>Arthur</v>
      </c>
      <c r="P93" t="e">
        <f t="shared" ca="1" si="6"/>
        <v>#NAME?</v>
      </c>
      <c r="Q93" t="str">
        <f t="shared" si="7"/>
        <v>Tevreden</v>
      </c>
    </row>
    <row r="94" spans="1:17" x14ac:dyDescent="0.3">
      <c r="A94" t="s">
        <v>328</v>
      </c>
      <c r="B94">
        <v>8516166166</v>
      </c>
      <c r="C94" t="s">
        <v>329</v>
      </c>
      <c r="D94" t="s">
        <v>330</v>
      </c>
      <c r="E94">
        <v>41</v>
      </c>
      <c r="F94" t="s">
        <v>115</v>
      </c>
      <c r="G94">
        <v>1</v>
      </c>
      <c r="H94">
        <v>2</v>
      </c>
      <c r="I94">
        <v>136.47</v>
      </c>
      <c r="J94" t="s">
        <v>77</v>
      </c>
      <c r="K94" t="s">
        <v>22</v>
      </c>
      <c r="L94">
        <v>7.54</v>
      </c>
      <c r="M94" t="s">
        <v>23</v>
      </c>
      <c r="N94" t="str">
        <f t="shared" si="4"/>
        <v>Baert</v>
      </c>
      <c r="O94" t="str">
        <f t="shared" si="5"/>
        <v>Sarah</v>
      </c>
      <c r="P94" t="e">
        <f t="shared" ca="1" si="6"/>
        <v>#NAME?</v>
      </c>
      <c r="Q94" t="str">
        <f t="shared" si="7"/>
        <v>Tevreden</v>
      </c>
    </row>
    <row r="95" spans="1:17" x14ac:dyDescent="0.3">
      <c r="A95" t="s">
        <v>331</v>
      </c>
      <c r="B95">
        <v>8865172397</v>
      </c>
      <c r="C95" t="s">
        <v>332</v>
      </c>
      <c r="D95" t="s">
        <v>333</v>
      </c>
      <c r="E95">
        <v>62</v>
      </c>
      <c r="F95" t="s">
        <v>144</v>
      </c>
      <c r="G95">
        <v>2</v>
      </c>
      <c r="H95">
        <v>0</v>
      </c>
      <c r="I95">
        <v>50.2</v>
      </c>
      <c r="J95" t="s">
        <v>21</v>
      </c>
      <c r="K95" t="s">
        <v>29</v>
      </c>
      <c r="L95">
        <v>7.3</v>
      </c>
      <c r="M95" t="s">
        <v>23</v>
      </c>
      <c r="N95" t="str">
        <f t="shared" si="4"/>
        <v>Devos</v>
      </c>
      <c r="O95" t="str">
        <f t="shared" si="5"/>
        <v>Bart</v>
      </c>
      <c r="P95" t="e">
        <f t="shared" ca="1" si="6"/>
        <v>#NAME?</v>
      </c>
      <c r="Q95" t="str">
        <f t="shared" si="7"/>
        <v>Tevreden</v>
      </c>
    </row>
    <row r="96" spans="1:17" x14ac:dyDescent="0.3">
      <c r="A96" t="s">
        <v>334</v>
      </c>
      <c r="B96">
        <v>1667873144</v>
      </c>
      <c r="C96" t="s">
        <v>335</v>
      </c>
      <c r="D96" t="s">
        <v>336</v>
      </c>
      <c r="E96">
        <v>7</v>
      </c>
      <c r="F96" t="s">
        <v>65</v>
      </c>
      <c r="G96">
        <v>2</v>
      </c>
      <c r="H96">
        <v>2</v>
      </c>
      <c r="I96">
        <v>162.47</v>
      </c>
      <c r="J96" t="s">
        <v>52</v>
      </c>
      <c r="K96" t="s">
        <v>29</v>
      </c>
      <c r="L96">
        <v>6.86</v>
      </c>
      <c r="M96" t="s">
        <v>23</v>
      </c>
      <c r="N96" t="str">
        <f t="shared" si="4"/>
        <v>Bogaerts</v>
      </c>
      <c r="O96" t="str">
        <f t="shared" si="5"/>
        <v>Dorien</v>
      </c>
      <c r="P96" t="e">
        <f t="shared" ca="1" si="6"/>
        <v>#NAME?</v>
      </c>
      <c r="Q96" t="str">
        <f t="shared" si="7"/>
        <v>Ontevreden</v>
      </c>
    </row>
    <row r="97" spans="1:17" x14ac:dyDescent="0.3">
      <c r="A97" t="s">
        <v>337</v>
      </c>
      <c r="B97">
        <v>3663250166</v>
      </c>
      <c r="C97" t="s">
        <v>338</v>
      </c>
      <c r="D97" t="s">
        <v>339</v>
      </c>
      <c r="E97">
        <v>33</v>
      </c>
      <c r="F97" t="s">
        <v>82</v>
      </c>
      <c r="G97">
        <v>1</v>
      </c>
      <c r="H97">
        <v>2</v>
      </c>
      <c r="I97">
        <v>79.03</v>
      </c>
      <c r="J97" t="s">
        <v>47</v>
      </c>
      <c r="K97" t="s">
        <v>22</v>
      </c>
      <c r="L97">
        <v>7.69</v>
      </c>
      <c r="M97" t="s">
        <v>34</v>
      </c>
      <c r="N97" t="str">
        <f t="shared" si="4"/>
        <v>Janssens</v>
      </c>
      <c r="O97" t="str">
        <f t="shared" si="5"/>
        <v>Lauren</v>
      </c>
      <c r="P97" t="e">
        <f t="shared" ca="1" si="6"/>
        <v>#NAME?</v>
      </c>
      <c r="Q97" t="str">
        <f t="shared" si="7"/>
        <v>Tevreden</v>
      </c>
    </row>
    <row r="98" spans="1:17" x14ac:dyDescent="0.3">
      <c r="A98" t="s">
        <v>340</v>
      </c>
      <c r="B98">
        <v>4948997245</v>
      </c>
      <c r="C98" t="s">
        <v>341</v>
      </c>
      <c r="D98" t="s">
        <v>313</v>
      </c>
      <c r="E98">
        <v>2</v>
      </c>
      <c r="F98" t="s">
        <v>27</v>
      </c>
      <c r="G98">
        <v>2</v>
      </c>
      <c r="H98">
        <v>2</v>
      </c>
      <c r="I98">
        <v>145.71</v>
      </c>
      <c r="J98" t="s">
        <v>21</v>
      </c>
      <c r="K98" t="s">
        <v>22</v>
      </c>
      <c r="L98">
        <v>6.99</v>
      </c>
      <c r="M98" t="s">
        <v>23</v>
      </c>
      <c r="N98" t="str">
        <f t="shared" si="4"/>
        <v>Peeters</v>
      </c>
      <c r="O98" t="str">
        <f t="shared" si="5"/>
        <v>Inez</v>
      </c>
      <c r="P98" t="e">
        <f t="shared" ca="1" si="6"/>
        <v>#NAME?</v>
      </c>
      <c r="Q98" t="str">
        <f t="shared" si="7"/>
        <v>Ontevreden</v>
      </c>
    </row>
    <row r="99" spans="1:17" x14ac:dyDescent="0.3">
      <c r="A99" t="s">
        <v>342</v>
      </c>
      <c r="B99">
        <v>2677478727</v>
      </c>
      <c r="C99" t="s">
        <v>343</v>
      </c>
      <c r="D99" t="s">
        <v>344</v>
      </c>
      <c r="E99">
        <v>2</v>
      </c>
      <c r="F99" t="s">
        <v>65</v>
      </c>
      <c r="G99">
        <v>2</v>
      </c>
      <c r="H99">
        <v>3</v>
      </c>
      <c r="I99">
        <v>54.06</v>
      </c>
      <c r="J99" t="s">
        <v>28</v>
      </c>
      <c r="K99" t="s">
        <v>29</v>
      </c>
      <c r="L99">
        <v>6.95</v>
      </c>
      <c r="M99" t="s">
        <v>23</v>
      </c>
      <c r="N99" t="str">
        <f t="shared" si="4"/>
        <v>Timmermans</v>
      </c>
      <c r="O99" t="str">
        <f t="shared" si="5"/>
        <v>Abdellah</v>
      </c>
      <c r="P99" t="e">
        <f t="shared" ca="1" si="6"/>
        <v>#NAME?</v>
      </c>
      <c r="Q99" t="str">
        <f t="shared" si="7"/>
        <v>Ontevreden</v>
      </c>
    </row>
    <row r="100" spans="1:17" x14ac:dyDescent="0.3">
      <c r="A100" t="s">
        <v>345</v>
      </c>
      <c r="B100">
        <v>8789334026</v>
      </c>
      <c r="C100" t="s">
        <v>346</v>
      </c>
      <c r="D100" t="s">
        <v>347</v>
      </c>
      <c r="E100">
        <v>86</v>
      </c>
      <c r="F100" t="s">
        <v>148</v>
      </c>
      <c r="G100">
        <v>2</v>
      </c>
      <c r="H100">
        <v>0</v>
      </c>
      <c r="I100">
        <v>30.96</v>
      </c>
      <c r="J100" t="s">
        <v>28</v>
      </c>
      <c r="K100" t="s">
        <v>22</v>
      </c>
      <c r="L100">
        <v>7.15</v>
      </c>
      <c r="M100" t="s">
        <v>23</v>
      </c>
      <c r="N100" t="str">
        <f t="shared" si="4"/>
        <v>Willems</v>
      </c>
      <c r="O100" t="str">
        <f t="shared" si="5"/>
        <v>Bintou</v>
      </c>
      <c r="P100" t="e">
        <f t="shared" ca="1" si="6"/>
        <v>#NAME?</v>
      </c>
      <c r="Q100" t="str">
        <f t="shared" si="7"/>
        <v>Tevreden</v>
      </c>
    </row>
    <row r="101" spans="1:17" x14ac:dyDescent="0.3">
      <c r="A101" t="s">
        <v>348</v>
      </c>
      <c r="B101">
        <v>2667860396</v>
      </c>
      <c r="C101" t="s">
        <v>349</v>
      </c>
      <c r="D101" t="s">
        <v>350</v>
      </c>
      <c r="E101">
        <v>37</v>
      </c>
      <c r="F101" t="s">
        <v>27</v>
      </c>
      <c r="G101">
        <v>1</v>
      </c>
      <c r="H101">
        <v>2</v>
      </c>
      <c r="I101">
        <v>79.33</v>
      </c>
      <c r="J101" t="s">
        <v>52</v>
      </c>
      <c r="K101" t="s">
        <v>29</v>
      </c>
      <c r="L101">
        <v>6.8</v>
      </c>
      <c r="M101" t="s">
        <v>23</v>
      </c>
      <c r="N101" t="str">
        <f t="shared" si="4"/>
        <v>Moreau</v>
      </c>
      <c r="O101" t="str">
        <f t="shared" si="5"/>
        <v>Laurence</v>
      </c>
      <c r="P101" t="e">
        <f t="shared" ca="1" si="6"/>
        <v>#NAME?</v>
      </c>
      <c r="Q101" t="str">
        <f t="shared" si="7"/>
        <v>Ontevreden</v>
      </c>
    </row>
    <row r="102" spans="1:17" x14ac:dyDescent="0.3">
      <c r="A102" t="s">
        <v>351</v>
      </c>
      <c r="B102">
        <v>1097035096</v>
      </c>
      <c r="C102" t="s">
        <v>352</v>
      </c>
      <c r="D102" t="s">
        <v>353</v>
      </c>
      <c r="E102">
        <v>2</v>
      </c>
      <c r="F102" t="s">
        <v>354</v>
      </c>
      <c r="G102">
        <v>1</v>
      </c>
      <c r="H102">
        <v>0</v>
      </c>
      <c r="I102">
        <v>44.15</v>
      </c>
      <c r="J102" t="s">
        <v>28</v>
      </c>
      <c r="K102" t="s">
        <v>102</v>
      </c>
      <c r="L102">
        <v>7.28</v>
      </c>
      <c r="M102" t="s">
        <v>23</v>
      </c>
      <c r="N102" t="str">
        <f t="shared" si="4"/>
        <v>Dupont</v>
      </c>
      <c r="O102" t="str">
        <f t="shared" si="5"/>
        <v>Sara</v>
      </c>
      <c r="P102" t="e">
        <f t="shared" ca="1" si="6"/>
        <v>#NAME?</v>
      </c>
      <c r="Q102" t="str">
        <f t="shared" si="7"/>
        <v>Tevreden</v>
      </c>
    </row>
    <row r="103" spans="1:17" x14ac:dyDescent="0.3">
      <c r="A103" t="s">
        <v>355</v>
      </c>
      <c r="B103">
        <v>3613846572</v>
      </c>
      <c r="C103" t="s">
        <v>356</v>
      </c>
      <c r="D103" t="s">
        <v>114</v>
      </c>
      <c r="E103">
        <v>50</v>
      </c>
      <c r="F103" t="s">
        <v>65</v>
      </c>
      <c r="G103">
        <v>1</v>
      </c>
      <c r="H103">
        <v>0</v>
      </c>
      <c r="I103">
        <v>46.62</v>
      </c>
      <c r="J103" t="s">
        <v>28</v>
      </c>
      <c r="K103" t="s">
        <v>22</v>
      </c>
      <c r="L103">
        <v>8.4600000000000009</v>
      </c>
      <c r="M103" t="s">
        <v>34</v>
      </c>
      <c r="N103" t="str">
        <f t="shared" si="4"/>
        <v>Baeyens</v>
      </c>
      <c r="O103" t="str">
        <f t="shared" si="5"/>
        <v>Kristoff</v>
      </c>
      <c r="P103" t="e">
        <f t="shared" ca="1" si="6"/>
        <v>#NAME?</v>
      </c>
      <c r="Q103" t="str">
        <f t="shared" si="7"/>
        <v>Tevreden</v>
      </c>
    </row>
    <row r="104" spans="1:17" x14ac:dyDescent="0.3">
      <c r="A104" t="s">
        <v>357</v>
      </c>
      <c r="B104">
        <v>2902559951</v>
      </c>
      <c r="C104" t="s">
        <v>358</v>
      </c>
      <c r="D104" t="s">
        <v>359</v>
      </c>
      <c r="E104">
        <v>34</v>
      </c>
      <c r="F104" t="s">
        <v>158</v>
      </c>
      <c r="G104">
        <v>1</v>
      </c>
      <c r="H104">
        <v>1</v>
      </c>
      <c r="I104">
        <v>104.9</v>
      </c>
      <c r="J104" t="s">
        <v>28</v>
      </c>
      <c r="K104" t="s">
        <v>57</v>
      </c>
      <c r="L104">
        <v>8.7100000000000009</v>
      </c>
      <c r="M104" t="s">
        <v>34</v>
      </c>
      <c r="N104" t="str">
        <f t="shared" si="4"/>
        <v>Hermans</v>
      </c>
      <c r="O104" t="str">
        <f t="shared" si="5"/>
        <v>Elise</v>
      </c>
      <c r="P104" t="e">
        <f t="shared" ca="1" si="6"/>
        <v>#NAME?</v>
      </c>
      <c r="Q104" t="str">
        <f t="shared" si="7"/>
        <v>Tevreden</v>
      </c>
    </row>
    <row r="105" spans="1:17" x14ac:dyDescent="0.3">
      <c r="A105" t="s">
        <v>360</v>
      </c>
      <c r="B105">
        <v>7734812843</v>
      </c>
      <c r="C105" t="s">
        <v>361</v>
      </c>
      <c r="D105" t="s">
        <v>362</v>
      </c>
      <c r="E105">
        <v>42</v>
      </c>
      <c r="F105" t="s">
        <v>363</v>
      </c>
      <c r="G105">
        <v>1</v>
      </c>
      <c r="H105">
        <v>0</v>
      </c>
      <c r="I105">
        <v>21.84</v>
      </c>
      <c r="J105" t="s">
        <v>77</v>
      </c>
      <c r="K105" t="s">
        <v>29</v>
      </c>
      <c r="L105">
        <v>7.85</v>
      </c>
      <c r="M105" t="s">
        <v>23</v>
      </c>
      <c r="N105" t="str">
        <f t="shared" si="4"/>
        <v>Maes</v>
      </c>
      <c r="O105" t="str">
        <f t="shared" si="5"/>
        <v>Evy</v>
      </c>
      <c r="P105" t="e">
        <f t="shared" ca="1" si="6"/>
        <v>#NAME?</v>
      </c>
      <c r="Q105" t="str">
        <f t="shared" si="7"/>
        <v>Tevreden</v>
      </c>
    </row>
    <row r="106" spans="1:17" x14ac:dyDescent="0.3">
      <c r="A106" t="s">
        <v>364</v>
      </c>
      <c r="B106">
        <v>6818808977</v>
      </c>
      <c r="C106" t="s">
        <v>365</v>
      </c>
      <c r="D106" t="s">
        <v>366</v>
      </c>
      <c r="E106">
        <v>8</v>
      </c>
      <c r="F106" t="s">
        <v>229</v>
      </c>
      <c r="G106">
        <v>1</v>
      </c>
      <c r="H106">
        <v>4</v>
      </c>
      <c r="I106">
        <v>142.02000000000001</v>
      </c>
      <c r="J106" t="s">
        <v>47</v>
      </c>
      <c r="K106" t="s">
        <v>22</v>
      </c>
      <c r="L106">
        <v>6.72</v>
      </c>
      <c r="M106" t="s">
        <v>23</v>
      </c>
      <c r="N106" t="str">
        <f t="shared" si="4"/>
        <v>Matthys</v>
      </c>
      <c r="O106" t="str">
        <f t="shared" si="5"/>
        <v>Françoise</v>
      </c>
      <c r="P106" t="e">
        <f t="shared" ca="1" si="6"/>
        <v>#NAME?</v>
      </c>
      <c r="Q106" t="str">
        <f t="shared" si="7"/>
        <v>Ontevreden</v>
      </c>
    </row>
    <row r="107" spans="1:17" x14ac:dyDescent="0.3">
      <c r="A107" t="s">
        <v>367</v>
      </c>
      <c r="B107">
        <v>7133077119</v>
      </c>
      <c r="C107" t="s">
        <v>368</v>
      </c>
      <c r="D107" t="s">
        <v>369</v>
      </c>
      <c r="E107">
        <v>1</v>
      </c>
      <c r="F107" t="s">
        <v>51</v>
      </c>
      <c r="G107">
        <v>1</v>
      </c>
      <c r="H107">
        <v>0</v>
      </c>
      <c r="I107">
        <v>25.3</v>
      </c>
      <c r="J107" t="s">
        <v>77</v>
      </c>
      <c r="K107" t="s">
        <v>22</v>
      </c>
      <c r="L107">
        <v>8.4700000000000006</v>
      </c>
      <c r="M107" t="s">
        <v>34</v>
      </c>
      <c r="N107" t="str">
        <f t="shared" si="4"/>
        <v>Janssens</v>
      </c>
      <c r="O107" t="str">
        <f t="shared" si="5"/>
        <v>Veerle</v>
      </c>
      <c r="P107" t="e">
        <f t="shared" ca="1" si="6"/>
        <v>#NAME?</v>
      </c>
      <c r="Q107" t="str">
        <f t="shared" si="7"/>
        <v>Tevreden</v>
      </c>
    </row>
    <row r="108" spans="1:17" x14ac:dyDescent="0.3">
      <c r="A108" t="s">
        <v>370</v>
      </c>
      <c r="B108">
        <v>9911446144</v>
      </c>
      <c r="C108" t="s">
        <v>371</v>
      </c>
      <c r="D108" t="s">
        <v>372</v>
      </c>
      <c r="E108">
        <v>15</v>
      </c>
      <c r="F108" t="s">
        <v>82</v>
      </c>
      <c r="G108">
        <v>2</v>
      </c>
      <c r="H108">
        <v>3</v>
      </c>
      <c r="I108">
        <v>98.69</v>
      </c>
      <c r="J108" t="s">
        <v>28</v>
      </c>
      <c r="K108" t="s">
        <v>29</v>
      </c>
      <c r="L108">
        <v>6.93</v>
      </c>
      <c r="M108" t="s">
        <v>23</v>
      </c>
      <c r="N108" t="str">
        <f t="shared" si="4"/>
        <v>Vanderstraeten</v>
      </c>
      <c r="O108" t="str">
        <f t="shared" si="5"/>
        <v>Jacky</v>
      </c>
      <c r="P108" t="e">
        <f t="shared" ca="1" si="6"/>
        <v>#NAME?</v>
      </c>
      <c r="Q108" t="str">
        <f t="shared" si="7"/>
        <v>Ontevreden</v>
      </c>
    </row>
    <row r="109" spans="1:17" x14ac:dyDescent="0.3">
      <c r="A109" t="s">
        <v>373</v>
      </c>
      <c r="B109">
        <v>5616155350</v>
      </c>
      <c r="C109" t="s">
        <v>374</v>
      </c>
      <c r="D109" t="s">
        <v>64</v>
      </c>
      <c r="E109">
        <v>14</v>
      </c>
      <c r="F109" t="s">
        <v>27</v>
      </c>
      <c r="G109">
        <v>1</v>
      </c>
      <c r="H109">
        <v>5</v>
      </c>
      <c r="I109">
        <v>231.18</v>
      </c>
      <c r="J109" t="s">
        <v>52</v>
      </c>
      <c r="K109" t="s">
        <v>29</v>
      </c>
      <c r="L109">
        <v>6.85</v>
      </c>
      <c r="M109" t="s">
        <v>23</v>
      </c>
      <c r="N109" t="str">
        <f t="shared" si="4"/>
        <v>Peeters</v>
      </c>
      <c r="O109" t="str">
        <f t="shared" si="5"/>
        <v>Dina</v>
      </c>
      <c r="P109" t="e">
        <f t="shared" ca="1" si="6"/>
        <v>#NAME?</v>
      </c>
      <c r="Q109" t="str">
        <f t="shared" si="7"/>
        <v>Ontevreden</v>
      </c>
    </row>
    <row r="110" spans="1:17" x14ac:dyDescent="0.3">
      <c r="A110" t="s">
        <v>375</v>
      </c>
      <c r="B110">
        <v>5432754949</v>
      </c>
      <c r="C110" t="s">
        <v>376</v>
      </c>
      <c r="D110" t="s">
        <v>377</v>
      </c>
      <c r="E110">
        <v>18</v>
      </c>
      <c r="F110" t="s">
        <v>27</v>
      </c>
      <c r="G110">
        <v>3</v>
      </c>
      <c r="H110">
        <v>0</v>
      </c>
      <c r="I110">
        <v>101.47</v>
      </c>
      <c r="J110" t="s">
        <v>28</v>
      </c>
      <c r="K110" t="s">
        <v>57</v>
      </c>
      <c r="L110">
        <v>8.01</v>
      </c>
      <c r="M110" t="s">
        <v>34</v>
      </c>
      <c r="N110" t="str">
        <f t="shared" si="4"/>
        <v>Lefevre</v>
      </c>
      <c r="O110" t="str">
        <f t="shared" si="5"/>
        <v>Frédérick</v>
      </c>
      <c r="P110" t="e">
        <f t="shared" ca="1" si="6"/>
        <v>#NAME?</v>
      </c>
      <c r="Q110" t="str">
        <f t="shared" si="7"/>
        <v>Tevreden</v>
      </c>
    </row>
    <row r="111" spans="1:17" x14ac:dyDescent="0.3">
      <c r="A111" t="s">
        <v>378</v>
      </c>
      <c r="B111">
        <v>5072471346</v>
      </c>
      <c r="C111" t="s">
        <v>379</v>
      </c>
      <c r="D111" t="s">
        <v>380</v>
      </c>
      <c r="E111">
        <v>79</v>
      </c>
      <c r="F111" t="s">
        <v>76</v>
      </c>
      <c r="G111">
        <v>1</v>
      </c>
      <c r="H111">
        <v>2</v>
      </c>
      <c r="I111">
        <v>18.28</v>
      </c>
      <c r="J111" t="s">
        <v>28</v>
      </c>
      <c r="K111" t="s">
        <v>29</v>
      </c>
      <c r="L111">
        <v>6.93</v>
      </c>
      <c r="M111" t="s">
        <v>23</v>
      </c>
      <c r="N111" t="str">
        <f t="shared" si="4"/>
        <v>De vos</v>
      </c>
      <c r="O111" t="str">
        <f t="shared" si="5"/>
        <v>Jolijn</v>
      </c>
      <c r="P111" t="e">
        <f t="shared" ca="1" si="6"/>
        <v>#NAME?</v>
      </c>
      <c r="Q111" t="str">
        <f t="shared" si="7"/>
        <v>Ontevreden</v>
      </c>
    </row>
    <row r="112" spans="1:17" x14ac:dyDescent="0.3">
      <c r="A112" t="s">
        <v>381</v>
      </c>
      <c r="B112">
        <v>3477958029</v>
      </c>
      <c r="C112" t="s">
        <v>382</v>
      </c>
      <c r="D112" t="s">
        <v>383</v>
      </c>
      <c r="E112">
        <v>38</v>
      </c>
      <c r="F112" t="s">
        <v>27</v>
      </c>
      <c r="G112">
        <v>2</v>
      </c>
      <c r="H112">
        <v>5</v>
      </c>
      <c r="I112">
        <v>256.56</v>
      </c>
      <c r="J112" t="s">
        <v>28</v>
      </c>
      <c r="K112" t="s">
        <v>22</v>
      </c>
      <c r="L112">
        <v>6.93</v>
      </c>
      <c r="M112" t="s">
        <v>23</v>
      </c>
      <c r="N112" t="str">
        <f t="shared" si="4"/>
        <v>Vranken</v>
      </c>
      <c r="O112" t="str">
        <f t="shared" si="5"/>
        <v>Marie-Christine</v>
      </c>
      <c r="P112" t="e">
        <f t="shared" ca="1" si="6"/>
        <v>#NAME?</v>
      </c>
      <c r="Q112" t="str">
        <f t="shared" si="7"/>
        <v>Ontevreden</v>
      </c>
    </row>
    <row r="113" spans="1:17" x14ac:dyDescent="0.3">
      <c r="A113" t="s">
        <v>384</v>
      </c>
      <c r="B113">
        <v>6922400019</v>
      </c>
      <c r="C113" t="s">
        <v>385</v>
      </c>
      <c r="D113" t="s">
        <v>281</v>
      </c>
      <c r="E113">
        <v>4</v>
      </c>
      <c r="F113" t="s">
        <v>65</v>
      </c>
      <c r="G113">
        <v>1</v>
      </c>
      <c r="H113">
        <v>2</v>
      </c>
      <c r="I113">
        <v>56.02</v>
      </c>
      <c r="J113" t="s">
        <v>21</v>
      </c>
      <c r="K113" t="s">
        <v>22</v>
      </c>
      <c r="L113">
        <v>7.28</v>
      </c>
      <c r="M113" t="s">
        <v>23</v>
      </c>
      <c r="N113" t="str">
        <f t="shared" si="4"/>
        <v>De ridder</v>
      </c>
      <c r="O113" t="str">
        <f t="shared" si="5"/>
        <v>Sevda</v>
      </c>
      <c r="P113" t="e">
        <f t="shared" ca="1" si="6"/>
        <v>#NAME?</v>
      </c>
      <c r="Q113" t="str">
        <f t="shared" si="7"/>
        <v>Tevreden</v>
      </c>
    </row>
    <row r="114" spans="1:17" x14ac:dyDescent="0.3">
      <c r="A114" t="s">
        <v>386</v>
      </c>
      <c r="B114">
        <v>3328288566</v>
      </c>
      <c r="C114" t="s">
        <v>387</v>
      </c>
      <c r="D114" t="s">
        <v>388</v>
      </c>
      <c r="E114">
        <v>59</v>
      </c>
      <c r="F114" t="s">
        <v>65</v>
      </c>
      <c r="G114">
        <v>2</v>
      </c>
      <c r="H114">
        <v>0</v>
      </c>
      <c r="I114">
        <v>110.29</v>
      </c>
      <c r="J114" t="s">
        <v>52</v>
      </c>
      <c r="K114" t="s">
        <v>22</v>
      </c>
      <c r="L114">
        <v>6.97</v>
      </c>
      <c r="M114" t="s">
        <v>23</v>
      </c>
      <c r="N114" t="str">
        <f t="shared" si="4"/>
        <v>Peeters</v>
      </c>
      <c r="O114" t="str">
        <f t="shared" si="5"/>
        <v>Mamadou</v>
      </c>
      <c r="P114" t="e">
        <f t="shared" ca="1" si="6"/>
        <v>#NAME?</v>
      </c>
      <c r="Q114" t="str">
        <f t="shared" si="7"/>
        <v>Ontevreden</v>
      </c>
    </row>
    <row r="115" spans="1:17" x14ac:dyDescent="0.3">
      <c r="A115" t="s">
        <v>389</v>
      </c>
      <c r="B115">
        <v>4236365648</v>
      </c>
      <c r="C115" t="s">
        <v>390</v>
      </c>
      <c r="D115" t="s">
        <v>391</v>
      </c>
      <c r="E115">
        <v>21</v>
      </c>
      <c r="F115" t="s">
        <v>27</v>
      </c>
      <c r="G115">
        <v>2</v>
      </c>
      <c r="H115">
        <v>0</v>
      </c>
      <c r="I115">
        <v>121.98</v>
      </c>
      <c r="J115" t="s">
        <v>28</v>
      </c>
      <c r="K115" t="s">
        <v>22</v>
      </c>
      <c r="L115">
        <v>7.36</v>
      </c>
      <c r="M115" t="s">
        <v>23</v>
      </c>
      <c r="N115" t="str">
        <f t="shared" si="4"/>
        <v>Pieters</v>
      </c>
      <c r="O115" t="str">
        <f t="shared" si="5"/>
        <v>Laurence</v>
      </c>
      <c r="P115" t="e">
        <f t="shared" ca="1" si="6"/>
        <v>#NAME?</v>
      </c>
      <c r="Q115" t="str">
        <f t="shared" si="7"/>
        <v>Tevreden</v>
      </c>
    </row>
    <row r="116" spans="1:17" x14ac:dyDescent="0.3">
      <c r="A116" t="s">
        <v>392</v>
      </c>
      <c r="B116">
        <v>8521665712</v>
      </c>
      <c r="C116" t="s">
        <v>393</v>
      </c>
      <c r="D116" t="s">
        <v>394</v>
      </c>
      <c r="E116">
        <v>49</v>
      </c>
      <c r="F116" t="s">
        <v>65</v>
      </c>
      <c r="G116">
        <v>2</v>
      </c>
      <c r="H116">
        <v>0</v>
      </c>
      <c r="I116">
        <v>142.36000000000001</v>
      </c>
      <c r="J116" t="s">
        <v>52</v>
      </c>
      <c r="K116" t="s">
        <v>22</v>
      </c>
      <c r="L116">
        <v>7.73</v>
      </c>
      <c r="M116" t="s">
        <v>23</v>
      </c>
      <c r="N116" t="str">
        <f t="shared" si="4"/>
        <v>Wouters</v>
      </c>
      <c r="O116" t="str">
        <f t="shared" si="5"/>
        <v>Danny</v>
      </c>
      <c r="P116" t="e">
        <f t="shared" ca="1" si="6"/>
        <v>#NAME?</v>
      </c>
      <c r="Q116" t="str">
        <f t="shared" si="7"/>
        <v>Tevreden</v>
      </c>
    </row>
    <row r="117" spans="1:17" x14ac:dyDescent="0.3">
      <c r="A117" t="s">
        <v>395</v>
      </c>
      <c r="B117">
        <v>4104204738</v>
      </c>
      <c r="C117" t="s">
        <v>396</v>
      </c>
      <c r="D117" t="s">
        <v>397</v>
      </c>
      <c r="E117">
        <v>60</v>
      </c>
      <c r="F117" t="s">
        <v>65</v>
      </c>
      <c r="G117">
        <v>2</v>
      </c>
      <c r="H117">
        <v>0</v>
      </c>
      <c r="I117">
        <v>115.89</v>
      </c>
      <c r="J117" t="s">
        <v>21</v>
      </c>
      <c r="K117" t="s">
        <v>29</v>
      </c>
      <c r="L117">
        <v>7.92</v>
      </c>
      <c r="M117" t="s">
        <v>34</v>
      </c>
      <c r="N117" t="str">
        <f t="shared" si="4"/>
        <v>Huybrechts</v>
      </c>
      <c r="O117" t="str">
        <f t="shared" si="5"/>
        <v>Anna</v>
      </c>
      <c r="P117" t="e">
        <f t="shared" ca="1" si="6"/>
        <v>#NAME?</v>
      </c>
      <c r="Q117" t="str">
        <f t="shared" si="7"/>
        <v>Tevreden</v>
      </c>
    </row>
    <row r="118" spans="1:17" x14ac:dyDescent="0.3">
      <c r="A118" t="s">
        <v>398</v>
      </c>
      <c r="B118">
        <v>3983376038</v>
      </c>
      <c r="C118" t="s">
        <v>399</v>
      </c>
      <c r="D118" t="s">
        <v>400</v>
      </c>
      <c r="E118">
        <v>8</v>
      </c>
      <c r="F118" t="s">
        <v>65</v>
      </c>
      <c r="G118">
        <v>2</v>
      </c>
      <c r="H118">
        <v>1</v>
      </c>
      <c r="I118">
        <v>193.56</v>
      </c>
      <c r="J118" t="s">
        <v>21</v>
      </c>
      <c r="K118" t="s">
        <v>22</v>
      </c>
      <c r="L118">
        <v>7.13</v>
      </c>
      <c r="M118" t="s">
        <v>23</v>
      </c>
      <c r="N118" t="str">
        <f t="shared" si="4"/>
        <v>Bodson</v>
      </c>
      <c r="O118" t="str">
        <f t="shared" si="5"/>
        <v>Michel</v>
      </c>
      <c r="P118" t="e">
        <f t="shared" ca="1" si="6"/>
        <v>#NAME?</v>
      </c>
      <c r="Q118" t="str">
        <f t="shared" si="7"/>
        <v>Tevreden</v>
      </c>
    </row>
    <row r="119" spans="1:17" x14ac:dyDescent="0.3">
      <c r="A119" t="s">
        <v>401</v>
      </c>
      <c r="B119">
        <v>692577914</v>
      </c>
      <c r="C119" t="s">
        <v>402</v>
      </c>
      <c r="D119" t="s">
        <v>154</v>
      </c>
      <c r="E119">
        <v>45</v>
      </c>
      <c r="F119" t="s">
        <v>61</v>
      </c>
      <c r="G119">
        <v>1</v>
      </c>
      <c r="H119">
        <v>0</v>
      </c>
      <c r="I119">
        <v>133.15</v>
      </c>
      <c r="J119" t="s">
        <v>28</v>
      </c>
      <c r="K119" t="s">
        <v>57</v>
      </c>
      <c r="L119">
        <v>8.6199999999999992</v>
      </c>
      <c r="M119" t="s">
        <v>34</v>
      </c>
      <c r="N119" t="str">
        <f t="shared" si="4"/>
        <v>Bauwens</v>
      </c>
      <c r="O119" t="str">
        <f t="shared" si="5"/>
        <v>Shane</v>
      </c>
      <c r="P119" t="e">
        <f t="shared" ca="1" si="6"/>
        <v>#NAME?</v>
      </c>
      <c r="Q119" t="str">
        <f t="shared" si="7"/>
        <v>Tevreden</v>
      </c>
    </row>
    <row r="120" spans="1:17" x14ac:dyDescent="0.3">
      <c r="A120" t="s">
        <v>403</v>
      </c>
      <c r="B120">
        <v>1403842310</v>
      </c>
      <c r="C120" t="s">
        <v>404</v>
      </c>
      <c r="D120" t="s">
        <v>405</v>
      </c>
      <c r="E120">
        <v>39</v>
      </c>
      <c r="F120" t="s">
        <v>27</v>
      </c>
      <c r="G120">
        <v>2</v>
      </c>
      <c r="H120">
        <v>0</v>
      </c>
      <c r="I120">
        <v>88.75</v>
      </c>
      <c r="J120" t="s">
        <v>77</v>
      </c>
      <c r="K120" t="s">
        <v>57</v>
      </c>
      <c r="L120">
        <v>7.36</v>
      </c>
      <c r="M120" t="s">
        <v>23</v>
      </c>
      <c r="N120" t="str">
        <f t="shared" si="4"/>
        <v>Joris</v>
      </c>
      <c r="O120" t="str">
        <f t="shared" si="5"/>
        <v>Luc</v>
      </c>
      <c r="P120" t="e">
        <f t="shared" ca="1" si="6"/>
        <v>#NAME?</v>
      </c>
      <c r="Q120" t="str">
        <f t="shared" si="7"/>
        <v>Tevreden</v>
      </c>
    </row>
    <row r="121" spans="1:17" x14ac:dyDescent="0.3">
      <c r="A121" t="s">
        <v>406</v>
      </c>
      <c r="B121">
        <v>6662542244</v>
      </c>
      <c r="C121" t="s">
        <v>407</v>
      </c>
      <c r="D121" t="s">
        <v>408</v>
      </c>
      <c r="E121">
        <v>30</v>
      </c>
      <c r="F121" t="s">
        <v>65</v>
      </c>
      <c r="G121">
        <v>1</v>
      </c>
      <c r="H121">
        <v>0</v>
      </c>
      <c r="I121">
        <v>88.92</v>
      </c>
      <c r="J121" t="s">
        <v>77</v>
      </c>
      <c r="K121" t="s">
        <v>22</v>
      </c>
      <c r="L121">
        <v>7.26</v>
      </c>
      <c r="M121" t="s">
        <v>23</v>
      </c>
      <c r="N121" t="str">
        <f t="shared" si="4"/>
        <v>De laet</v>
      </c>
      <c r="O121" t="str">
        <f t="shared" si="5"/>
        <v>Stefaan</v>
      </c>
      <c r="P121" t="e">
        <f t="shared" ca="1" si="6"/>
        <v>#NAME?</v>
      </c>
      <c r="Q121" t="str">
        <f t="shared" si="7"/>
        <v>Tevreden</v>
      </c>
    </row>
    <row r="122" spans="1:17" x14ac:dyDescent="0.3">
      <c r="A122" t="s">
        <v>409</v>
      </c>
      <c r="B122">
        <v>7886454958</v>
      </c>
      <c r="C122" t="s">
        <v>410</v>
      </c>
      <c r="D122" t="s">
        <v>411</v>
      </c>
      <c r="E122">
        <v>5</v>
      </c>
      <c r="F122" t="s">
        <v>38</v>
      </c>
      <c r="G122">
        <v>2</v>
      </c>
      <c r="H122">
        <v>0</v>
      </c>
      <c r="I122">
        <v>79.14</v>
      </c>
      <c r="J122" t="s">
        <v>52</v>
      </c>
      <c r="K122" t="s">
        <v>22</v>
      </c>
      <c r="L122">
        <v>6.77</v>
      </c>
      <c r="M122" t="s">
        <v>23</v>
      </c>
      <c r="N122" t="str">
        <f t="shared" si="4"/>
        <v>Descamps</v>
      </c>
      <c r="O122" t="str">
        <f t="shared" si="5"/>
        <v>Mohamed</v>
      </c>
      <c r="P122" t="e">
        <f t="shared" ca="1" si="6"/>
        <v>#NAME?</v>
      </c>
      <c r="Q122" t="str">
        <f t="shared" si="7"/>
        <v>Ontevreden</v>
      </c>
    </row>
    <row r="123" spans="1:17" x14ac:dyDescent="0.3">
      <c r="A123" t="s">
        <v>412</v>
      </c>
      <c r="B123">
        <v>4724890859</v>
      </c>
      <c r="C123" t="s">
        <v>413</v>
      </c>
      <c r="D123" t="s">
        <v>414</v>
      </c>
      <c r="E123">
        <v>32</v>
      </c>
      <c r="F123" t="s">
        <v>27</v>
      </c>
      <c r="G123">
        <v>2</v>
      </c>
      <c r="H123">
        <v>1</v>
      </c>
      <c r="I123">
        <v>101.58</v>
      </c>
      <c r="J123" t="s">
        <v>47</v>
      </c>
      <c r="K123" t="s">
        <v>57</v>
      </c>
      <c r="L123">
        <v>7.22</v>
      </c>
      <c r="M123" t="s">
        <v>23</v>
      </c>
      <c r="N123" t="str">
        <f t="shared" si="4"/>
        <v>Hendrickx</v>
      </c>
      <c r="O123" t="str">
        <f t="shared" si="5"/>
        <v>Maxime</v>
      </c>
      <c r="P123" t="e">
        <f t="shared" ca="1" si="6"/>
        <v>#NAME?</v>
      </c>
      <c r="Q123" t="str">
        <f t="shared" si="7"/>
        <v>Tevreden</v>
      </c>
    </row>
    <row r="124" spans="1:17" x14ac:dyDescent="0.3">
      <c r="A124" t="s">
        <v>415</v>
      </c>
      <c r="B124">
        <v>9081630146</v>
      </c>
      <c r="C124" t="s">
        <v>416</v>
      </c>
      <c r="D124" t="s">
        <v>417</v>
      </c>
      <c r="E124">
        <v>9</v>
      </c>
      <c r="F124" t="s">
        <v>20</v>
      </c>
      <c r="G124">
        <v>1</v>
      </c>
      <c r="H124">
        <v>5</v>
      </c>
      <c r="I124">
        <v>124.92</v>
      </c>
      <c r="J124" t="s">
        <v>47</v>
      </c>
      <c r="K124" t="s">
        <v>57</v>
      </c>
      <c r="L124">
        <v>7.43</v>
      </c>
      <c r="M124" t="s">
        <v>23</v>
      </c>
      <c r="N124" t="str">
        <f t="shared" si="4"/>
        <v>Claus</v>
      </c>
      <c r="O124" t="str">
        <f t="shared" si="5"/>
        <v>Mieke</v>
      </c>
      <c r="P124" t="e">
        <f t="shared" ca="1" si="6"/>
        <v>#NAME?</v>
      </c>
      <c r="Q124" t="str">
        <f t="shared" si="7"/>
        <v>Tevreden</v>
      </c>
    </row>
    <row r="125" spans="1:17" x14ac:dyDescent="0.3">
      <c r="A125" t="s">
        <v>418</v>
      </c>
      <c r="B125">
        <v>4197596671</v>
      </c>
      <c r="C125" t="s">
        <v>419</v>
      </c>
      <c r="D125" t="s">
        <v>420</v>
      </c>
      <c r="E125">
        <v>18</v>
      </c>
      <c r="F125" t="s">
        <v>27</v>
      </c>
      <c r="G125">
        <v>1</v>
      </c>
      <c r="H125">
        <v>0</v>
      </c>
      <c r="I125">
        <v>98.6</v>
      </c>
      <c r="J125" t="s">
        <v>28</v>
      </c>
      <c r="K125" t="s">
        <v>22</v>
      </c>
      <c r="L125">
        <v>8.65</v>
      </c>
      <c r="M125" t="s">
        <v>34</v>
      </c>
      <c r="N125" t="str">
        <f t="shared" si="4"/>
        <v>Devos</v>
      </c>
      <c r="O125" t="str">
        <f t="shared" si="5"/>
        <v>Maxime</v>
      </c>
      <c r="P125" t="e">
        <f t="shared" ca="1" si="6"/>
        <v>#NAME?</v>
      </c>
      <c r="Q125" t="str">
        <f t="shared" si="7"/>
        <v>Tevreden</v>
      </c>
    </row>
    <row r="126" spans="1:17" x14ac:dyDescent="0.3">
      <c r="A126" t="s">
        <v>421</v>
      </c>
      <c r="B126">
        <v>7015594050</v>
      </c>
      <c r="C126" t="s">
        <v>422</v>
      </c>
      <c r="D126" t="s">
        <v>423</v>
      </c>
      <c r="E126">
        <v>53</v>
      </c>
      <c r="F126" t="s">
        <v>144</v>
      </c>
      <c r="G126">
        <v>2</v>
      </c>
      <c r="H126">
        <v>3</v>
      </c>
      <c r="I126">
        <v>193.47</v>
      </c>
      <c r="J126" t="s">
        <v>52</v>
      </c>
      <c r="K126" t="s">
        <v>29</v>
      </c>
      <c r="L126">
        <v>7.02</v>
      </c>
      <c r="M126" t="s">
        <v>23</v>
      </c>
      <c r="N126" t="str">
        <f t="shared" si="4"/>
        <v>Meert</v>
      </c>
      <c r="O126" t="str">
        <f t="shared" si="5"/>
        <v>Hartmut</v>
      </c>
      <c r="P126" t="e">
        <f t="shared" ca="1" si="6"/>
        <v>#NAME?</v>
      </c>
      <c r="Q126" t="str">
        <f t="shared" si="7"/>
        <v>Tevreden</v>
      </c>
    </row>
    <row r="127" spans="1:17" x14ac:dyDescent="0.3">
      <c r="A127" t="s">
        <v>424</v>
      </c>
      <c r="B127">
        <v>8669605579</v>
      </c>
      <c r="C127" t="s">
        <v>425</v>
      </c>
      <c r="D127" t="s">
        <v>426</v>
      </c>
      <c r="E127">
        <v>29</v>
      </c>
      <c r="F127" t="s">
        <v>189</v>
      </c>
      <c r="G127">
        <v>1</v>
      </c>
      <c r="H127">
        <v>2</v>
      </c>
      <c r="I127">
        <v>85.99</v>
      </c>
      <c r="J127" t="s">
        <v>52</v>
      </c>
      <c r="K127" t="s">
        <v>29</v>
      </c>
      <c r="L127">
        <v>8.57</v>
      </c>
      <c r="M127" t="s">
        <v>34</v>
      </c>
      <c r="N127" t="str">
        <f t="shared" si="4"/>
        <v>Vanderstraeten</v>
      </c>
      <c r="O127" t="str">
        <f t="shared" si="5"/>
        <v>Erwin</v>
      </c>
      <c r="P127" t="e">
        <f t="shared" ca="1" si="6"/>
        <v>#NAME?</v>
      </c>
      <c r="Q127" t="str">
        <f t="shared" si="7"/>
        <v>Tevreden</v>
      </c>
    </row>
    <row r="128" spans="1:17" x14ac:dyDescent="0.3">
      <c r="A128" t="s">
        <v>427</v>
      </c>
      <c r="B128">
        <v>2045659440</v>
      </c>
      <c r="C128" t="s">
        <v>428</v>
      </c>
      <c r="D128" t="s">
        <v>429</v>
      </c>
      <c r="E128">
        <v>76</v>
      </c>
      <c r="F128" t="s">
        <v>27</v>
      </c>
      <c r="G128">
        <v>2</v>
      </c>
      <c r="H128">
        <v>2</v>
      </c>
      <c r="I128">
        <v>90.23</v>
      </c>
      <c r="J128" t="s">
        <v>28</v>
      </c>
      <c r="K128" t="s">
        <v>22</v>
      </c>
      <c r="L128">
        <v>7.75</v>
      </c>
      <c r="M128" t="s">
        <v>34</v>
      </c>
      <c r="N128" t="str">
        <f t="shared" si="4"/>
        <v>De backer</v>
      </c>
      <c r="O128" t="str">
        <f t="shared" si="5"/>
        <v>Luís</v>
      </c>
      <c r="P128" t="e">
        <f t="shared" ca="1" si="6"/>
        <v>#NAME?</v>
      </c>
      <c r="Q128" t="str">
        <f t="shared" si="7"/>
        <v>Tevreden</v>
      </c>
    </row>
    <row r="129" spans="1:17" x14ac:dyDescent="0.3">
      <c r="A129" t="s">
        <v>430</v>
      </c>
      <c r="B129">
        <v>9061790895</v>
      </c>
      <c r="C129" t="s">
        <v>431</v>
      </c>
      <c r="D129" t="s">
        <v>432</v>
      </c>
      <c r="E129">
        <v>16</v>
      </c>
      <c r="F129" t="s">
        <v>33</v>
      </c>
      <c r="G129">
        <v>2</v>
      </c>
      <c r="H129">
        <v>0</v>
      </c>
      <c r="I129">
        <v>99.18</v>
      </c>
      <c r="J129" t="s">
        <v>28</v>
      </c>
      <c r="K129" t="s">
        <v>22</v>
      </c>
      <c r="L129">
        <v>7.86</v>
      </c>
      <c r="M129" t="s">
        <v>23</v>
      </c>
      <c r="N129" t="str">
        <f t="shared" si="4"/>
        <v>Dujardin</v>
      </c>
      <c r="O129" t="str">
        <f t="shared" si="5"/>
        <v>Loïc</v>
      </c>
      <c r="P129" t="e">
        <f t="shared" ca="1" si="6"/>
        <v>#NAME?</v>
      </c>
      <c r="Q129" t="str">
        <f t="shared" si="7"/>
        <v>Tevreden</v>
      </c>
    </row>
    <row r="130" spans="1:17" x14ac:dyDescent="0.3">
      <c r="A130" t="s">
        <v>433</v>
      </c>
      <c r="B130">
        <v>9142273367</v>
      </c>
      <c r="C130" t="s">
        <v>434</v>
      </c>
      <c r="D130" t="s">
        <v>362</v>
      </c>
      <c r="E130">
        <v>33</v>
      </c>
      <c r="F130" t="s">
        <v>435</v>
      </c>
      <c r="G130">
        <v>2</v>
      </c>
      <c r="H130">
        <v>2</v>
      </c>
      <c r="I130">
        <v>38.67</v>
      </c>
      <c r="J130" t="s">
        <v>21</v>
      </c>
      <c r="K130" t="s">
        <v>29</v>
      </c>
      <c r="L130">
        <v>7.24</v>
      </c>
      <c r="M130" t="s">
        <v>23</v>
      </c>
      <c r="N130" t="str">
        <f t="shared" ref="N130:N193" si="8">LEFT(A130, FIND(",", A130)-1)</f>
        <v>Lenaerts</v>
      </c>
      <c r="O130" t="str">
        <f t="shared" ref="O130:O193" si="9">MID(A130, FIND(",", A130)+2, LEN(A130))</f>
        <v>Roger</v>
      </c>
      <c r="P130" t="e">
        <f t="shared" ref="P130:P193" ca="1" si="10">SWITCH(J130, "Zelden", 1, "Af en toe", 4, "Regelmatig", 8, "Vaak", 12)</f>
        <v>#NAME?</v>
      </c>
      <c r="Q130" t="str">
        <f t="shared" ref="Q130:Q193" si="11">IF(L130&gt;=7, "Tevreden", "Ontevreden")</f>
        <v>Tevreden</v>
      </c>
    </row>
    <row r="131" spans="1:17" x14ac:dyDescent="0.3">
      <c r="A131" t="s">
        <v>436</v>
      </c>
      <c r="B131">
        <v>2528404159</v>
      </c>
      <c r="C131" t="s">
        <v>437</v>
      </c>
      <c r="D131" t="s">
        <v>316</v>
      </c>
      <c r="E131">
        <v>50</v>
      </c>
      <c r="F131" t="s">
        <v>33</v>
      </c>
      <c r="G131">
        <v>1</v>
      </c>
      <c r="H131">
        <v>1</v>
      </c>
      <c r="I131">
        <v>137.15</v>
      </c>
      <c r="J131" t="s">
        <v>28</v>
      </c>
      <c r="K131" t="s">
        <v>29</v>
      </c>
      <c r="L131">
        <v>6.98</v>
      </c>
      <c r="M131" t="s">
        <v>23</v>
      </c>
      <c r="N131" t="str">
        <f t="shared" si="8"/>
        <v>Marchal</v>
      </c>
      <c r="O131" t="str">
        <f t="shared" si="9"/>
        <v>Miranda</v>
      </c>
      <c r="P131" t="e">
        <f t="shared" ca="1" si="10"/>
        <v>#NAME?</v>
      </c>
      <c r="Q131" t="str">
        <f t="shared" si="11"/>
        <v>Ontevreden</v>
      </c>
    </row>
    <row r="132" spans="1:17" x14ac:dyDescent="0.3">
      <c r="A132" t="s">
        <v>438</v>
      </c>
      <c r="B132">
        <v>7031802163</v>
      </c>
      <c r="C132" t="s">
        <v>439</v>
      </c>
      <c r="D132" t="s">
        <v>440</v>
      </c>
      <c r="E132">
        <v>4</v>
      </c>
      <c r="F132" t="s">
        <v>65</v>
      </c>
      <c r="G132">
        <v>2</v>
      </c>
      <c r="H132">
        <v>2</v>
      </c>
      <c r="I132">
        <v>77.31</v>
      </c>
      <c r="J132" t="s">
        <v>21</v>
      </c>
      <c r="K132" t="s">
        <v>29</v>
      </c>
      <c r="L132">
        <v>7.8</v>
      </c>
      <c r="M132" t="s">
        <v>23</v>
      </c>
      <c r="N132" t="str">
        <f t="shared" si="8"/>
        <v>Baert</v>
      </c>
      <c r="O132" t="str">
        <f t="shared" si="9"/>
        <v>Joanna</v>
      </c>
      <c r="P132" t="e">
        <f t="shared" ca="1" si="10"/>
        <v>#NAME?</v>
      </c>
      <c r="Q132" t="str">
        <f t="shared" si="11"/>
        <v>Tevreden</v>
      </c>
    </row>
    <row r="133" spans="1:17" x14ac:dyDescent="0.3">
      <c r="A133" t="s">
        <v>441</v>
      </c>
      <c r="B133">
        <v>6161305680</v>
      </c>
      <c r="C133" t="s">
        <v>442</v>
      </c>
      <c r="D133" t="s">
        <v>443</v>
      </c>
      <c r="E133">
        <v>26</v>
      </c>
      <c r="F133" t="s">
        <v>20</v>
      </c>
      <c r="G133">
        <v>1</v>
      </c>
      <c r="H133">
        <v>1</v>
      </c>
      <c r="I133">
        <v>19.25</v>
      </c>
      <c r="J133" t="s">
        <v>21</v>
      </c>
      <c r="K133" t="s">
        <v>22</v>
      </c>
      <c r="L133">
        <v>6.75</v>
      </c>
      <c r="M133" t="s">
        <v>23</v>
      </c>
      <c r="N133" t="str">
        <f t="shared" si="8"/>
        <v>Claes</v>
      </c>
      <c r="O133" t="str">
        <f t="shared" si="9"/>
        <v>Naorah</v>
      </c>
      <c r="P133" t="e">
        <f t="shared" ca="1" si="10"/>
        <v>#NAME?</v>
      </c>
      <c r="Q133" t="str">
        <f t="shared" si="11"/>
        <v>Ontevreden</v>
      </c>
    </row>
    <row r="134" spans="1:17" x14ac:dyDescent="0.3">
      <c r="A134" t="s">
        <v>444</v>
      </c>
      <c r="B134">
        <v>1046017066</v>
      </c>
      <c r="C134" t="s">
        <v>445</v>
      </c>
      <c r="D134" t="s">
        <v>446</v>
      </c>
      <c r="E134">
        <v>44</v>
      </c>
      <c r="F134" t="s">
        <v>27</v>
      </c>
      <c r="G134">
        <v>2</v>
      </c>
      <c r="H134">
        <v>0</v>
      </c>
      <c r="I134">
        <v>24.69</v>
      </c>
      <c r="J134" t="s">
        <v>52</v>
      </c>
      <c r="K134" t="s">
        <v>22</v>
      </c>
      <c r="L134">
        <v>8.3000000000000007</v>
      </c>
      <c r="M134" t="s">
        <v>34</v>
      </c>
      <c r="N134" t="str">
        <f t="shared" si="8"/>
        <v>Lievens</v>
      </c>
      <c r="O134" t="str">
        <f t="shared" si="9"/>
        <v>Anouk</v>
      </c>
      <c r="P134" t="e">
        <f t="shared" ca="1" si="10"/>
        <v>#NAME?</v>
      </c>
      <c r="Q134" t="str">
        <f t="shared" si="11"/>
        <v>Tevreden</v>
      </c>
    </row>
    <row r="135" spans="1:17" x14ac:dyDescent="0.3">
      <c r="A135" t="s">
        <v>447</v>
      </c>
      <c r="B135">
        <v>5274351338</v>
      </c>
      <c r="C135" t="s">
        <v>448</v>
      </c>
      <c r="D135" t="s">
        <v>449</v>
      </c>
      <c r="E135">
        <v>27</v>
      </c>
      <c r="F135" t="s">
        <v>189</v>
      </c>
      <c r="G135">
        <v>1</v>
      </c>
      <c r="H135">
        <v>0</v>
      </c>
      <c r="I135">
        <v>41.25</v>
      </c>
      <c r="J135" t="s">
        <v>28</v>
      </c>
      <c r="K135" t="s">
        <v>57</v>
      </c>
      <c r="L135">
        <v>8.16</v>
      </c>
      <c r="M135" t="s">
        <v>34</v>
      </c>
      <c r="N135" t="str">
        <f t="shared" si="8"/>
        <v>Rousseau</v>
      </c>
      <c r="O135" t="str">
        <f t="shared" si="9"/>
        <v>Sarah</v>
      </c>
      <c r="P135" t="e">
        <f t="shared" ca="1" si="10"/>
        <v>#NAME?</v>
      </c>
      <c r="Q135" t="str">
        <f t="shared" si="11"/>
        <v>Tevreden</v>
      </c>
    </row>
    <row r="136" spans="1:17" x14ac:dyDescent="0.3">
      <c r="A136" t="s">
        <v>450</v>
      </c>
      <c r="B136">
        <v>8702381980</v>
      </c>
      <c r="C136" t="s">
        <v>451</v>
      </c>
      <c r="D136" t="s">
        <v>452</v>
      </c>
      <c r="E136">
        <v>23</v>
      </c>
      <c r="F136" t="s">
        <v>33</v>
      </c>
      <c r="G136">
        <v>2</v>
      </c>
      <c r="H136">
        <v>5</v>
      </c>
      <c r="I136">
        <v>155.05000000000001</v>
      </c>
      <c r="J136" t="s">
        <v>21</v>
      </c>
      <c r="K136" t="s">
        <v>29</v>
      </c>
      <c r="L136">
        <v>7.55</v>
      </c>
      <c r="M136" t="s">
        <v>23</v>
      </c>
      <c r="N136" t="str">
        <f t="shared" si="8"/>
        <v>Vandenbroucke</v>
      </c>
      <c r="O136" t="str">
        <f t="shared" si="9"/>
        <v>Christine</v>
      </c>
      <c r="P136" t="e">
        <f t="shared" ca="1" si="10"/>
        <v>#NAME?</v>
      </c>
      <c r="Q136" t="str">
        <f t="shared" si="11"/>
        <v>Tevreden</v>
      </c>
    </row>
    <row r="137" spans="1:17" x14ac:dyDescent="0.3">
      <c r="A137" t="s">
        <v>453</v>
      </c>
      <c r="B137">
        <v>8017754236</v>
      </c>
      <c r="C137" t="s">
        <v>454</v>
      </c>
      <c r="D137" t="s">
        <v>455</v>
      </c>
      <c r="E137">
        <v>7</v>
      </c>
      <c r="F137" t="s">
        <v>56</v>
      </c>
      <c r="G137">
        <v>1</v>
      </c>
      <c r="H137">
        <v>0</v>
      </c>
      <c r="I137">
        <v>22.92</v>
      </c>
      <c r="J137" t="s">
        <v>52</v>
      </c>
      <c r="K137" t="s">
        <v>22</v>
      </c>
      <c r="L137">
        <v>6.85</v>
      </c>
      <c r="M137" t="s">
        <v>23</v>
      </c>
      <c r="N137" t="str">
        <f t="shared" si="8"/>
        <v>De pauw</v>
      </c>
      <c r="O137" t="str">
        <f t="shared" si="9"/>
        <v>Joannes</v>
      </c>
      <c r="P137" t="e">
        <f t="shared" ca="1" si="10"/>
        <v>#NAME?</v>
      </c>
      <c r="Q137" t="str">
        <f t="shared" si="11"/>
        <v>Ontevreden</v>
      </c>
    </row>
    <row r="138" spans="1:17" x14ac:dyDescent="0.3">
      <c r="A138" t="s">
        <v>456</v>
      </c>
      <c r="B138">
        <v>2153843598</v>
      </c>
      <c r="C138" t="s">
        <v>457</v>
      </c>
      <c r="D138" t="s">
        <v>458</v>
      </c>
      <c r="E138">
        <v>46</v>
      </c>
      <c r="F138" t="s">
        <v>56</v>
      </c>
      <c r="G138">
        <v>4</v>
      </c>
      <c r="H138">
        <v>5</v>
      </c>
      <c r="I138">
        <v>172.48</v>
      </c>
      <c r="J138" t="s">
        <v>28</v>
      </c>
      <c r="K138" t="s">
        <v>57</v>
      </c>
      <c r="L138">
        <v>7.38</v>
      </c>
      <c r="M138" t="s">
        <v>23</v>
      </c>
      <c r="N138" t="str">
        <f t="shared" si="8"/>
        <v>Pieters</v>
      </c>
      <c r="O138" t="str">
        <f t="shared" si="9"/>
        <v>Robert</v>
      </c>
      <c r="P138" t="e">
        <f t="shared" ca="1" si="10"/>
        <v>#NAME?</v>
      </c>
      <c r="Q138" t="str">
        <f t="shared" si="11"/>
        <v>Tevreden</v>
      </c>
    </row>
    <row r="139" spans="1:17" x14ac:dyDescent="0.3">
      <c r="A139" t="s">
        <v>459</v>
      </c>
      <c r="B139">
        <v>1936212383</v>
      </c>
      <c r="C139" t="s">
        <v>460</v>
      </c>
      <c r="D139" t="s">
        <v>461</v>
      </c>
      <c r="E139">
        <v>59</v>
      </c>
      <c r="F139" t="s">
        <v>98</v>
      </c>
      <c r="G139">
        <v>1</v>
      </c>
      <c r="H139">
        <v>0</v>
      </c>
      <c r="I139">
        <v>104.39</v>
      </c>
      <c r="J139" t="s">
        <v>28</v>
      </c>
      <c r="K139" t="s">
        <v>29</v>
      </c>
      <c r="L139">
        <v>6.9</v>
      </c>
      <c r="M139" t="s">
        <v>23</v>
      </c>
      <c r="N139" t="str">
        <f t="shared" si="8"/>
        <v>Lambert</v>
      </c>
      <c r="O139" t="str">
        <f t="shared" si="9"/>
        <v>Gloria</v>
      </c>
      <c r="P139" t="e">
        <f t="shared" ca="1" si="10"/>
        <v>#NAME?</v>
      </c>
      <c r="Q139" t="str">
        <f t="shared" si="11"/>
        <v>Ontevreden</v>
      </c>
    </row>
    <row r="140" spans="1:17" x14ac:dyDescent="0.3">
      <c r="A140" t="s">
        <v>462</v>
      </c>
      <c r="B140">
        <v>9541036244</v>
      </c>
      <c r="C140" t="s">
        <v>463</v>
      </c>
      <c r="D140" t="s">
        <v>464</v>
      </c>
      <c r="E140">
        <v>21</v>
      </c>
      <c r="F140" t="s">
        <v>46</v>
      </c>
      <c r="G140">
        <v>1</v>
      </c>
      <c r="H140">
        <v>3</v>
      </c>
      <c r="I140">
        <v>131.82</v>
      </c>
      <c r="J140" t="s">
        <v>28</v>
      </c>
      <c r="K140" t="s">
        <v>22</v>
      </c>
      <c r="L140">
        <v>7.02</v>
      </c>
      <c r="M140" t="s">
        <v>23</v>
      </c>
      <c r="N140" t="str">
        <f t="shared" si="8"/>
        <v>Van daele</v>
      </c>
      <c r="O140" t="str">
        <f t="shared" si="9"/>
        <v>Freddy</v>
      </c>
      <c r="P140" t="e">
        <f t="shared" ca="1" si="10"/>
        <v>#NAME?</v>
      </c>
      <c r="Q140" t="str">
        <f t="shared" si="11"/>
        <v>Tevreden</v>
      </c>
    </row>
    <row r="141" spans="1:17" x14ac:dyDescent="0.3">
      <c r="A141" t="s">
        <v>465</v>
      </c>
      <c r="B141">
        <v>9405523786</v>
      </c>
      <c r="C141" t="s">
        <v>466</v>
      </c>
      <c r="D141" t="s">
        <v>467</v>
      </c>
      <c r="E141">
        <v>98</v>
      </c>
      <c r="F141" t="s">
        <v>175</v>
      </c>
      <c r="G141">
        <v>2</v>
      </c>
      <c r="H141">
        <v>4</v>
      </c>
      <c r="I141">
        <v>220.87</v>
      </c>
      <c r="J141" t="s">
        <v>28</v>
      </c>
      <c r="K141" t="s">
        <v>22</v>
      </c>
      <c r="L141">
        <v>7.11</v>
      </c>
      <c r="M141" t="s">
        <v>23</v>
      </c>
      <c r="N141" t="str">
        <f t="shared" si="8"/>
        <v>Georges</v>
      </c>
      <c r="O141" t="str">
        <f t="shared" si="9"/>
        <v>Emile</v>
      </c>
      <c r="P141" t="e">
        <f t="shared" ca="1" si="10"/>
        <v>#NAME?</v>
      </c>
      <c r="Q141" t="str">
        <f t="shared" si="11"/>
        <v>Tevreden</v>
      </c>
    </row>
    <row r="142" spans="1:17" x14ac:dyDescent="0.3">
      <c r="A142" t="s">
        <v>468</v>
      </c>
      <c r="B142">
        <v>8247326186</v>
      </c>
      <c r="C142" t="s">
        <v>469</v>
      </c>
      <c r="D142" t="s">
        <v>470</v>
      </c>
      <c r="E142">
        <v>24</v>
      </c>
      <c r="F142" t="s">
        <v>38</v>
      </c>
      <c r="G142">
        <v>2</v>
      </c>
      <c r="H142">
        <v>2</v>
      </c>
      <c r="I142">
        <v>167.63</v>
      </c>
      <c r="J142" t="s">
        <v>21</v>
      </c>
      <c r="K142" t="s">
        <v>29</v>
      </c>
      <c r="L142">
        <v>7.24</v>
      </c>
      <c r="M142" t="s">
        <v>23</v>
      </c>
      <c r="N142" t="str">
        <f t="shared" si="8"/>
        <v>Maertens</v>
      </c>
      <c r="O142" t="str">
        <f t="shared" si="9"/>
        <v>Ludovique</v>
      </c>
      <c r="P142" t="e">
        <f t="shared" ca="1" si="10"/>
        <v>#NAME?</v>
      </c>
      <c r="Q142" t="str">
        <f t="shared" si="11"/>
        <v>Tevreden</v>
      </c>
    </row>
    <row r="143" spans="1:17" x14ac:dyDescent="0.3">
      <c r="A143" t="s">
        <v>471</v>
      </c>
      <c r="B143">
        <v>9126235398</v>
      </c>
      <c r="C143" t="s">
        <v>472</v>
      </c>
      <c r="D143" t="s">
        <v>473</v>
      </c>
      <c r="E143">
        <v>2</v>
      </c>
      <c r="F143" t="s">
        <v>128</v>
      </c>
      <c r="G143">
        <v>3</v>
      </c>
      <c r="H143">
        <v>5</v>
      </c>
      <c r="I143">
        <v>143.33000000000001</v>
      </c>
      <c r="J143" t="s">
        <v>28</v>
      </c>
      <c r="K143" t="s">
        <v>57</v>
      </c>
      <c r="L143">
        <v>6.88</v>
      </c>
      <c r="M143" t="s">
        <v>23</v>
      </c>
      <c r="N143" t="str">
        <f t="shared" si="8"/>
        <v>Masson</v>
      </c>
      <c r="O143" t="str">
        <f t="shared" si="9"/>
        <v>Mathieu</v>
      </c>
      <c r="P143" t="e">
        <f t="shared" ca="1" si="10"/>
        <v>#NAME?</v>
      </c>
      <c r="Q143" t="str">
        <f t="shared" si="11"/>
        <v>Ontevreden</v>
      </c>
    </row>
    <row r="144" spans="1:17" x14ac:dyDescent="0.3">
      <c r="A144" t="s">
        <v>474</v>
      </c>
      <c r="B144">
        <v>4299491664</v>
      </c>
      <c r="C144" t="s">
        <v>475</v>
      </c>
      <c r="D144" t="s">
        <v>426</v>
      </c>
      <c r="E144">
        <v>15</v>
      </c>
      <c r="F144" t="s">
        <v>158</v>
      </c>
      <c r="G144">
        <v>1</v>
      </c>
      <c r="H144">
        <v>2</v>
      </c>
      <c r="I144">
        <v>134.82</v>
      </c>
      <c r="J144" t="s">
        <v>77</v>
      </c>
      <c r="K144" t="s">
        <v>22</v>
      </c>
      <c r="L144">
        <v>8.15</v>
      </c>
      <c r="M144" t="s">
        <v>34</v>
      </c>
      <c r="N144" t="str">
        <f t="shared" si="8"/>
        <v>Goffin</v>
      </c>
      <c r="O144" t="str">
        <f t="shared" si="9"/>
        <v>Dominique</v>
      </c>
      <c r="P144" t="e">
        <f t="shared" ca="1" si="10"/>
        <v>#NAME?</v>
      </c>
      <c r="Q144" t="str">
        <f t="shared" si="11"/>
        <v>Tevreden</v>
      </c>
    </row>
    <row r="145" spans="1:17" x14ac:dyDescent="0.3">
      <c r="A145" t="s">
        <v>476</v>
      </c>
      <c r="B145">
        <v>4937967250</v>
      </c>
      <c r="C145" t="s">
        <v>477</v>
      </c>
      <c r="D145" t="s">
        <v>478</v>
      </c>
      <c r="E145">
        <v>37</v>
      </c>
      <c r="F145" t="s">
        <v>65</v>
      </c>
      <c r="G145">
        <v>2</v>
      </c>
      <c r="H145">
        <v>0</v>
      </c>
      <c r="I145">
        <v>105.63</v>
      </c>
      <c r="J145" t="s">
        <v>52</v>
      </c>
      <c r="K145" t="s">
        <v>29</v>
      </c>
      <c r="L145">
        <v>6.85</v>
      </c>
      <c r="M145" t="s">
        <v>23</v>
      </c>
      <c r="N145" t="str">
        <f t="shared" si="8"/>
        <v>Van roy</v>
      </c>
      <c r="O145" t="str">
        <f t="shared" si="9"/>
        <v>Stefan</v>
      </c>
      <c r="P145" t="e">
        <f t="shared" ca="1" si="10"/>
        <v>#NAME?</v>
      </c>
      <c r="Q145" t="str">
        <f t="shared" si="11"/>
        <v>Ontevreden</v>
      </c>
    </row>
    <row r="146" spans="1:17" x14ac:dyDescent="0.3">
      <c r="A146" t="s">
        <v>479</v>
      </c>
      <c r="B146">
        <v>5148498333</v>
      </c>
      <c r="C146" t="s">
        <v>480</v>
      </c>
      <c r="D146" t="s">
        <v>108</v>
      </c>
      <c r="E146">
        <v>66</v>
      </c>
      <c r="F146" t="s">
        <v>82</v>
      </c>
      <c r="G146">
        <v>1</v>
      </c>
      <c r="H146">
        <v>2</v>
      </c>
      <c r="I146">
        <v>93.49</v>
      </c>
      <c r="J146" t="s">
        <v>47</v>
      </c>
      <c r="K146" t="s">
        <v>29</v>
      </c>
      <c r="L146">
        <v>7.31</v>
      </c>
      <c r="M146" t="s">
        <v>23</v>
      </c>
      <c r="N146" t="str">
        <f t="shared" si="8"/>
        <v>Vrancken</v>
      </c>
      <c r="O146" t="str">
        <f t="shared" si="9"/>
        <v>Karen</v>
      </c>
      <c r="P146" t="e">
        <f t="shared" ca="1" si="10"/>
        <v>#NAME?</v>
      </c>
      <c r="Q146" t="str">
        <f t="shared" si="11"/>
        <v>Tevreden</v>
      </c>
    </row>
    <row r="147" spans="1:17" x14ac:dyDescent="0.3">
      <c r="A147" t="s">
        <v>481</v>
      </c>
      <c r="B147">
        <v>8559360127</v>
      </c>
      <c r="C147" t="s">
        <v>482</v>
      </c>
      <c r="D147" t="s">
        <v>483</v>
      </c>
      <c r="E147">
        <v>110</v>
      </c>
      <c r="F147" t="s">
        <v>115</v>
      </c>
      <c r="G147">
        <v>2</v>
      </c>
      <c r="H147">
        <v>0</v>
      </c>
      <c r="I147">
        <v>66.22</v>
      </c>
      <c r="J147" t="s">
        <v>28</v>
      </c>
      <c r="K147" t="s">
        <v>57</v>
      </c>
      <c r="L147">
        <v>7.47</v>
      </c>
      <c r="M147" t="s">
        <v>23</v>
      </c>
      <c r="N147" t="str">
        <f t="shared" si="8"/>
        <v>Claes</v>
      </c>
      <c r="O147" t="str">
        <f t="shared" si="9"/>
        <v>Liselotte</v>
      </c>
      <c r="P147" t="e">
        <f t="shared" ca="1" si="10"/>
        <v>#NAME?</v>
      </c>
      <c r="Q147" t="str">
        <f t="shared" si="11"/>
        <v>Tevreden</v>
      </c>
    </row>
    <row r="148" spans="1:17" x14ac:dyDescent="0.3">
      <c r="A148" t="s">
        <v>484</v>
      </c>
      <c r="B148">
        <v>9363302067</v>
      </c>
      <c r="C148" t="s">
        <v>485</v>
      </c>
      <c r="D148" t="s">
        <v>336</v>
      </c>
      <c r="E148">
        <v>4</v>
      </c>
      <c r="F148" t="s">
        <v>51</v>
      </c>
      <c r="G148">
        <v>2</v>
      </c>
      <c r="H148">
        <v>3</v>
      </c>
      <c r="I148">
        <v>143.44999999999999</v>
      </c>
      <c r="J148" t="s">
        <v>28</v>
      </c>
      <c r="K148" t="s">
        <v>22</v>
      </c>
      <c r="L148">
        <v>7.62</v>
      </c>
      <c r="M148" t="s">
        <v>23</v>
      </c>
      <c r="N148" t="str">
        <f t="shared" si="8"/>
        <v>Lambert</v>
      </c>
      <c r="O148" t="str">
        <f t="shared" si="9"/>
        <v>Georges</v>
      </c>
      <c r="P148" t="e">
        <f t="shared" ca="1" si="10"/>
        <v>#NAME?</v>
      </c>
      <c r="Q148" t="str">
        <f t="shared" si="11"/>
        <v>Tevreden</v>
      </c>
    </row>
    <row r="149" spans="1:17" x14ac:dyDescent="0.3">
      <c r="A149" t="s">
        <v>486</v>
      </c>
      <c r="B149">
        <v>1892233529</v>
      </c>
      <c r="C149" t="s">
        <v>487</v>
      </c>
      <c r="D149" t="s">
        <v>488</v>
      </c>
      <c r="E149">
        <v>62</v>
      </c>
      <c r="F149" t="s">
        <v>489</v>
      </c>
      <c r="G149">
        <v>1</v>
      </c>
      <c r="H149">
        <v>0</v>
      </c>
      <c r="I149">
        <v>20.85</v>
      </c>
      <c r="J149" t="s">
        <v>47</v>
      </c>
      <c r="K149" t="s">
        <v>22</v>
      </c>
      <c r="L149">
        <v>7.26</v>
      </c>
      <c r="M149" t="s">
        <v>23</v>
      </c>
      <c r="N149" t="str">
        <f t="shared" si="8"/>
        <v>De keyser</v>
      </c>
      <c r="O149" t="str">
        <f t="shared" si="9"/>
        <v>Saliha</v>
      </c>
      <c r="P149" t="e">
        <f t="shared" ca="1" si="10"/>
        <v>#NAME?</v>
      </c>
      <c r="Q149" t="str">
        <f t="shared" si="11"/>
        <v>Tevreden</v>
      </c>
    </row>
    <row r="150" spans="1:17" x14ac:dyDescent="0.3">
      <c r="A150" t="s">
        <v>490</v>
      </c>
      <c r="B150">
        <v>9461551460</v>
      </c>
      <c r="C150" t="s">
        <v>491</v>
      </c>
      <c r="D150" t="s">
        <v>151</v>
      </c>
      <c r="E150">
        <v>12</v>
      </c>
      <c r="F150" t="s">
        <v>98</v>
      </c>
      <c r="G150">
        <v>1</v>
      </c>
      <c r="H150">
        <v>0</v>
      </c>
      <c r="I150">
        <v>130.12</v>
      </c>
      <c r="J150" t="s">
        <v>52</v>
      </c>
      <c r="K150" t="s">
        <v>29</v>
      </c>
      <c r="L150">
        <v>8.2899999999999991</v>
      </c>
      <c r="M150" t="s">
        <v>34</v>
      </c>
      <c r="N150" t="str">
        <f t="shared" si="8"/>
        <v>Christiaens</v>
      </c>
      <c r="O150" t="str">
        <f t="shared" si="9"/>
        <v>Florin</v>
      </c>
      <c r="P150" t="e">
        <f t="shared" ca="1" si="10"/>
        <v>#NAME?</v>
      </c>
      <c r="Q150" t="str">
        <f t="shared" si="11"/>
        <v>Tevreden</v>
      </c>
    </row>
    <row r="151" spans="1:17" x14ac:dyDescent="0.3">
      <c r="A151" t="s">
        <v>492</v>
      </c>
      <c r="B151">
        <v>5382962126</v>
      </c>
      <c r="C151" t="s">
        <v>493</v>
      </c>
      <c r="D151" t="s">
        <v>494</v>
      </c>
      <c r="E151">
        <v>43</v>
      </c>
      <c r="F151" t="s">
        <v>82</v>
      </c>
      <c r="G151">
        <v>2</v>
      </c>
      <c r="H151">
        <v>1</v>
      </c>
      <c r="I151">
        <v>135.02000000000001</v>
      </c>
      <c r="J151" t="s">
        <v>28</v>
      </c>
      <c r="K151" t="s">
        <v>102</v>
      </c>
      <c r="L151">
        <v>7.3</v>
      </c>
      <c r="M151" t="s">
        <v>23</v>
      </c>
      <c r="N151" t="str">
        <f t="shared" si="8"/>
        <v>Janssens</v>
      </c>
      <c r="O151" t="str">
        <f t="shared" si="9"/>
        <v>Angelina</v>
      </c>
      <c r="P151" t="e">
        <f t="shared" ca="1" si="10"/>
        <v>#NAME?</v>
      </c>
      <c r="Q151" t="str">
        <f t="shared" si="11"/>
        <v>Tevreden</v>
      </c>
    </row>
    <row r="152" spans="1:17" x14ac:dyDescent="0.3">
      <c r="A152" t="s">
        <v>495</v>
      </c>
      <c r="B152">
        <v>1514476765</v>
      </c>
      <c r="C152" t="s">
        <v>496</v>
      </c>
      <c r="D152" t="s">
        <v>497</v>
      </c>
      <c r="E152">
        <v>105</v>
      </c>
      <c r="F152" t="s">
        <v>171</v>
      </c>
      <c r="G152">
        <v>1</v>
      </c>
      <c r="H152">
        <v>1</v>
      </c>
      <c r="I152">
        <v>134.41999999999999</v>
      </c>
      <c r="J152" t="s">
        <v>28</v>
      </c>
      <c r="K152" t="s">
        <v>29</v>
      </c>
      <c r="L152">
        <v>7.33</v>
      </c>
      <c r="M152" t="s">
        <v>23</v>
      </c>
      <c r="N152" t="str">
        <f t="shared" si="8"/>
        <v>Huybrechts</v>
      </c>
      <c r="O152" t="str">
        <f t="shared" si="9"/>
        <v>Apoline</v>
      </c>
      <c r="P152" t="e">
        <f t="shared" ca="1" si="10"/>
        <v>#NAME?</v>
      </c>
      <c r="Q152" t="str">
        <f t="shared" si="11"/>
        <v>Tevreden</v>
      </c>
    </row>
    <row r="153" spans="1:17" x14ac:dyDescent="0.3">
      <c r="A153" t="s">
        <v>498</v>
      </c>
      <c r="B153">
        <v>6154692523</v>
      </c>
      <c r="C153" t="s">
        <v>499</v>
      </c>
      <c r="D153" t="s">
        <v>455</v>
      </c>
      <c r="E153">
        <v>12</v>
      </c>
      <c r="F153" t="s">
        <v>82</v>
      </c>
      <c r="G153">
        <v>2</v>
      </c>
      <c r="H153">
        <v>1</v>
      </c>
      <c r="I153">
        <v>86.28</v>
      </c>
      <c r="J153" t="s">
        <v>21</v>
      </c>
      <c r="K153" t="s">
        <v>29</v>
      </c>
      <c r="L153">
        <v>7.47</v>
      </c>
      <c r="M153" t="s">
        <v>23</v>
      </c>
      <c r="N153" t="str">
        <f t="shared" si="8"/>
        <v>Van den bergh</v>
      </c>
      <c r="O153" t="str">
        <f t="shared" si="9"/>
        <v>Bieke</v>
      </c>
      <c r="P153" t="e">
        <f t="shared" ca="1" si="10"/>
        <v>#NAME?</v>
      </c>
      <c r="Q153" t="str">
        <f t="shared" si="11"/>
        <v>Tevreden</v>
      </c>
    </row>
    <row r="154" spans="1:17" x14ac:dyDescent="0.3">
      <c r="A154" t="s">
        <v>500</v>
      </c>
      <c r="B154">
        <v>7858009059</v>
      </c>
      <c r="C154" t="s">
        <v>501</v>
      </c>
      <c r="D154" t="s">
        <v>502</v>
      </c>
      <c r="E154">
        <v>11</v>
      </c>
      <c r="F154" t="s">
        <v>229</v>
      </c>
      <c r="G154">
        <v>2</v>
      </c>
      <c r="H154">
        <v>0</v>
      </c>
      <c r="I154">
        <v>147.84</v>
      </c>
      <c r="J154" t="s">
        <v>52</v>
      </c>
      <c r="K154" t="s">
        <v>22</v>
      </c>
      <c r="L154">
        <v>7.1</v>
      </c>
      <c r="M154" t="s">
        <v>23</v>
      </c>
      <c r="N154" t="str">
        <f t="shared" si="8"/>
        <v>De bock</v>
      </c>
      <c r="O154" t="str">
        <f t="shared" si="9"/>
        <v>Bowie</v>
      </c>
      <c r="P154" t="e">
        <f t="shared" ca="1" si="10"/>
        <v>#NAME?</v>
      </c>
      <c r="Q154" t="str">
        <f t="shared" si="11"/>
        <v>Tevreden</v>
      </c>
    </row>
    <row r="155" spans="1:17" x14ac:dyDescent="0.3">
      <c r="A155" t="s">
        <v>503</v>
      </c>
      <c r="B155">
        <v>408009749</v>
      </c>
      <c r="C155" t="s">
        <v>504</v>
      </c>
      <c r="D155" t="s">
        <v>505</v>
      </c>
      <c r="E155">
        <v>1</v>
      </c>
      <c r="F155" t="s">
        <v>82</v>
      </c>
      <c r="G155">
        <v>1</v>
      </c>
      <c r="H155">
        <v>1</v>
      </c>
      <c r="I155">
        <v>55.75</v>
      </c>
      <c r="J155" t="s">
        <v>77</v>
      </c>
      <c r="K155" t="s">
        <v>57</v>
      </c>
      <c r="L155">
        <v>7.09</v>
      </c>
      <c r="M155" t="s">
        <v>23</v>
      </c>
      <c r="N155" t="str">
        <f t="shared" si="8"/>
        <v>Lauwers</v>
      </c>
      <c r="O155" t="str">
        <f t="shared" si="9"/>
        <v>Angéline</v>
      </c>
      <c r="P155" t="e">
        <f t="shared" ca="1" si="10"/>
        <v>#NAME?</v>
      </c>
      <c r="Q155" t="str">
        <f t="shared" si="11"/>
        <v>Tevreden</v>
      </c>
    </row>
    <row r="156" spans="1:17" x14ac:dyDescent="0.3">
      <c r="A156" t="s">
        <v>506</v>
      </c>
      <c r="B156">
        <v>2538887066</v>
      </c>
      <c r="C156" t="s">
        <v>507</v>
      </c>
      <c r="D156" t="s">
        <v>508</v>
      </c>
      <c r="E156">
        <v>47</v>
      </c>
      <c r="F156" t="s">
        <v>148</v>
      </c>
      <c r="G156">
        <v>1</v>
      </c>
      <c r="H156">
        <v>0</v>
      </c>
      <c r="I156">
        <v>135.52000000000001</v>
      </c>
      <c r="J156" t="s">
        <v>28</v>
      </c>
      <c r="K156" t="s">
        <v>29</v>
      </c>
      <c r="L156">
        <v>6.12</v>
      </c>
      <c r="M156" t="s">
        <v>78</v>
      </c>
      <c r="N156" t="str">
        <f t="shared" si="8"/>
        <v>Marchal</v>
      </c>
      <c r="O156" t="str">
        <f t="shared" si="9"/>
        <v>Thiago</v>
      </c>
      <c r="P156" t="e">
        <f t="shared" ca="1" si="10"/>
        <v>#NAME?</v>
      </c>
      <c r="Q156" t="str">
        <f t="shared" si="11"/>
        <v>Ontevreden</v>
      </c>
    </row>
    <row r="157" spans="1:17" x14ac:dyDescent="0.3">
      <c r="A157" t="s">
        <v>509</v>
      </c>
      <c r="B157">
        <v>9336113546</v>
      </c>
      <c r="C157" t="s">
        <v>510</v>
      </c>
      <c r="D157" t="s">
        <v>511</v>
      </c>
      <c r="E157">
        <v>60</v>
      </c>
      <c r="F157" t="s">
        <v>229</v>
      </c>
      <c r="G157">
        <v>1</v>
      </c>
      <c r="H157">
        <v>2</v>
      </c>
      <c r="I157">
        <v>90.91</v>
      </c>
      <c r="J157" t="s">
        <v>47</v>
      </c>
      <c r="K157" t="s">
        <v>22</v>
      </c>
      <c r="L157">
        <v>7.74</v>
      </c>
      <c r="M157" t="s">
        <v>23</v>
      </c>
      <c r="N157" t="str">
        <f t="shared" si="8"/>
        <v>Bodart</v>
      </c>
      <c r="O157" t="str">
        <f t="shared" si="9"/>
        <v>Christelle</v>
      </c>
      <c r="P157" t="e">
        <f t="shared" ca="1" si="10"/>
        <v>#NAME?</v>
      </c>
      <c r="Q157" t="str">
        <f t="shared" si="11"/>
        <v>Tevreden</v>
      </c>
    </row>
    <row r="158" spans="1:17" x14ac:dyDescent="0.3">
      <c r="A158" t="s">
        <v>512</v>
      </c>
      <c r="B158">
        <v>6828829479</v>
      </c>
      <c r="C158" t="s">
        <v>513</v>
      </c>
      <c r="D158" t="s">
        <v>514</v>
      </c>
      <c r="E158">
        <v>48</v>
      </c>
      <c r="F158" t="s">
        <v>33</v>
      </c>
      <c r="G158">
        <v>1</v>
      </c>
      <c r="H158">
        <v>0</v>
      </c>
      <c r="I158">
        <v>27.61</v>
      </c>
      <c r="J158" t="s">
        <v>77</v>
      </c>
      <c r="K158" t="s">
        <v>29</v>
      </c>
      <c r="L158">
        <v>7.59</v>
      </c>
      <c r="M158" t="s">
        <v>23</v>
      </c>
      <c r="N158" t="str">
        <f t="shared" si="8"/>
        <v>Boulanger</v>
      </c>
      <c r="O158" t="str">
        <f t="shared" si="9"/>
        <v>Thierry</v>
      </c>
      <c r="P158" t="e">
        <f t="shared" ca="1" si="10"/>
        <v>#NAME?</v>
      </c>
      <c r="Q158" t="str">
        <f t="shared" si="11"/>
        <v>Tevreden</v>
      </c>
    </row>
    <row r="159" spans="1:17" x14ac:dyDescent="0.3">
      <c r="A159" t="s">
        <v>515</v>
      </c>
      <c r="B159">
        <v>5757704373</v>
      </c>
      <c r="C159" t="s">
        <v>516</v>
      </c>
      <c r="D159" t="s">
        <v>517</v>
      </c>
      <c r="E159">
        <v>46</v>
      </c>
      <c r="F159" t="s">
        <v>189</v>
      </c>
      <c r="G159">
        <v>2</v>
      </c>
      <c r="H159">
        <v>0</v>
      </c>
      <c r="I159">
        <v>151.47</v>
      </c>
      <c r="J159" t="s">
        <v>28</v>
      </c>
      <c r="K159" t="s">
        <v>22</v>
      </c>
      <c r="L159">
        <v>7.4</v>
      </c>
      <c r="M159" t="s">
        <v>23</v>
      </c>
      <c r="N159" t="str">
        <f t="shared" si="8"/>
        <v>Wouters</v>
      </c>
      <c r="O159" t="str">
        <f t="shared" si="9"/>
        <v>Josianne</v>
      </c>
      <c r="P159" t="e">
        <f t="shared" ca="1" si="10"/>
        <v>#NAME?</v>
      </c>
      <c r="Q159" t="str">
        <f t="shared" si="11"/>
        <v>Tevreden</v>
      </c>
    </row>
    <row r="160" spans="1:17" x14ac:dyDescent="0.3">
      <c r="A160" t="s">
        <v>518</v>
      </c>
      <c r="B160">
        <v>1163452881</v>
      </c>
      <c r="C160" t="s">
        <v>519</v>
      </c>
      <c r="D160" t="s">
        <v>520</v>
      </c>
      <c r="E160">
        <v>18</v>
      </c>
      <c r="F160" t="s">
        <v>189</v>
      </c>
      <c r="G160">
        <v>2</v>
      </c>
      <c r="H160">
        <v>2</v>
      </c>
      <c r="I160">
        <v>115.22</v>
      </c>
      <c r="J160" t="s">
        <v>21</v>
      </c>
      <c r="K160" t="s">
        <v>22</v>
      </c>
      <c r="L160">
        <v>7.98</v>
      </c>
      <c r="M160" t="s">
        <v>34</v>
      </c>
      <c r="N160" t="str">
        <f t="shared" si="8"/>
        <v>Willems</v>
      </c>
      <c r="O160" t="str">
        <f t="shared" si="9"/>
        <v>Maria</v>
      </c>
      <c r="P160" t="e">
        <f t="shared" ca="1" si="10"/>
        <v>#NAME?</v>
      </c>
      <c r="Q160" t="str">
        <f t="shared" si="11"/>
        <v>Tevreden</v>
      </c>
    </row>
    <row r="161" spans="1:17" x14ac:dyDescent="0.3">
      <c r="A161" t="s">
        <v>521</v>
      </c>
      <c r="B161">
        <v>1497503461</v>
      </c>
      <c r="C161" t="s">
        <v>522</v>
      </c>
      <c r="D161" t="s">
        <v>523</v>
      </c>
      <c r="E161">
        <v>77</v>
      </c>
      <c r="F161" t="s">
        <v>46</v>
      </c>
      <c r="G161">
        <v>2</v>
      </c>
      <c r="H161">
        <v>2</v>
      </c>
      <c r="I161">
        <v>115.94</v>
      </c>
      <c r="J161" t="s">
        <v>28</v>
      </c>
      <c r="K161" t="s">
        <v>22</v>
      </c>
      <c r="L161">
        <v>7.38</v>
      </c>
      <c r="M161" t="s">
        <v>23</v>
      </c>
      <c r="N161" t="str">
        <f t="shared" si="8"/>
        <v>Van den bergh</v>
      </c>
      <c r="O161" t="str">
        <f t="shared" si="9"/>
        <v>Alfons</v>
      </c>
      <c r="P161" t="e">
        <f t="shared" ca="1" si="10"/>
        <v>#NAME?</v>
      </c>
      <c r="Q161" t="str">
        <f t="shared" si="11"/>
        <v>Tevreden</v>
      </c>
    </row>
    <row r="162" spans="1:17" x14ac:dyDescent="0.3">
      <c r="A162" t="s">
        <v>524</v>
      </c>
      <c r="B162">
        <v>3267615587</v>
      </c>
      <c r="C162" t="s">
        <v>525</v>
      </c>
      <c r="D162" t="s">
        <v>526</v>
      </c>
      <c r="E162">
        <v>102</v>
      </c>
      <c r="F162" t="s">
        <v>82</v>
      </c>
      <c r="G162">
        <v>1</v>
      </c>
      <c r="H162">
        <v>2</v>
      </c>
      <c r="I162">
        <v>119.49</v>
      </c>
      <c r="J162" t="s">
        <v>52</v>
      </c>
      <c r="K162" t="s">
        <v>29</v>
      </c>
      <c r="L162">
        <v>6.99</v>
      </c>
      <c r="M162" t="s">
        <v>23</v>
      </c>
      <c r="N162" t="str">
        <f t="shared" si="8"/>
        <v>Van looy</v>
      </c>
      <c r="O162" t="str">
        <f t="shared" si="9"/>
        <v>Hicham</v>
      </c>
      <c r="P162" t="e">
        <f t="shared" ca="1" si="10"/>
        <v>#NAME?</v>
      </c>
      <c r="Q162" t="str">
        <f t="shared" si="11"/>
        <v>Ontevreden</v>
      </c>
    </row>
    <row r="163" spans="1:17" x14ac:dyDescent="0.3">
      <c r="A163" t="s">
        <v>527</v>
      </c>
      <c r="B163">
        <v>157190195</v>
      </c>
      <c r="C163" t="s">
        <v>528</v>
      </c>
      <c r="D163" t="s">
        <v>206</v>
      </c>
      <c r="E163">
        <v>96</v>
      </c>
      <c r="F163" t="s">
        <v>42</v>
      </c>
      <c r="G163">
        <v>2</v>
      </c>
      <c r="H163">
        <v>5</v>
      </c>
      <c r="I163">
        <v>178.27</v>
      </c>
      <c r="J163" t="s">
        <v>52</v>
      </c>
      <c r="K163" t="s">
        <v>29</v>
      </c>
      <c r="L163">
        <v>7.73</v>
      </c>
      <c r="M163" t="s">
        <v>23</v>
      </c>
      <c r="N163" t="str">
        <f t="shared" si="8"/>
        <v>Parmentier</v>
      </c>
      <c r="O163" t="str">
        <f t="shared" si="9"/>
        <v>Ediz</v>
      </c>
      <c r="P163" t="e">
        <f t="shared" ca="1" si="10"/>
        <v>#NAME?</v>
      </c>
      <c r="Q163" t="str">
        <f t="shared" si="11"/>
        <v>Tevreden</v>
      </c>
    </row>
    <row r="164" spans="1:17" x14ac:dyDescent="0.3">
      <c r="A164" t="s">
        <v>529</v>
      </c>
      <c r="B164">
        <v>2266498673</v>
      </c>
      <c r="C164" t="s">
        <v>530</v>
      </c>
      <c r="D164" t="s">
        <v>531</v>
      </c>
      <c r="E164">
        <v>34</v>
      </c>
      <c r="F164" t="s">
        <v>65</v>
      </c>
      <c r="G164">
        <v>2</v>
      </c>
      <c r="H164">
        <v>0</v>
      </c>
      <c r="I164">
        <v>19.48</v>
      </c>
      <c r="J164" t="s">
        <v>47</v>
      </c>
      <c r="K164" t="s">
        <v>29</v>
      </c>
      <c r="L164">
        <v>7.26</v>
      </c>
      <c r="M164" t="s">
        <v>23</v>
      </c>
      <c r="N164" t="str">
        <f t="shared" si="8"/>
        <v>Huyghe</v>
      </c>
      <c r="O164" t="str">
        <f t="shared" si="9"/>
        <v>Liam</v>
      </c>
      <c r="P164" t="e">
        <f t="shared" ca="1" si="10"/>
        <v>#NAME?</v>
      </c>
      <c r="Q164" t="str">
        <f t="shared" si="11"/>
        <v>Tevreden</v>
      </c>
    </row>
    <row r="165" spans="1:17" x14ac:dyDescent="0.3">
      <c r="A165" t="s">
        <v>532</v>
      </c>
      <c r="B165">
        <v>3615912098</v>
      </c>
      <c r="C165" t="s">
        <v>533</v>
      </c>
      <c r="D165" t="s">
        <v>534</v>
      </c>
      <c r="E165">
        <v>20</v>
      </c>
      <c r="F165" t="s">
        <v>76</v>
      </c>
      <c r="G165">
        <v>2</v>
      </c>
      <c r="H165">
        <v>0</v>
      </c>
      <c r="I165">
        <v>49.79</v>
      </c>
      <c r="J165" t="s">
        <v>52</v>
      </c>
      <c r="K165" t="s">
        <v>22</v>
      </c>
      <c r="L165">
        <v>8.59</v>
      </c>
      <c r="M165" t="s">
        <v>34</v>
      </c>
      <c r="N165" t="str">
        <f t="shared" si="8"/>
        <v>Willems</v>
      </c>
      <c r="O165" t="str">
        <f t="shared" si="9"/>
        <v>Albertus</v>
      </c>
      <c r="P165" t="e">
        <f t="shared" ca="1" si="10"/>
        <v>#NAME?</v>
      </c>
      <c r="Q165" t="str">
        <f t="shared" si="11"/>
        <v>Tevreden</v>
      </c>
    </row>
    <row r="166" spans="1:17" x14ac:dyDescent="0.3">
      <c r="A166" t="s">
        <v>535</v>
      </c>
      <c r="B166">
        <v>739137442</v>
      </c>
      <c r="C166" t="s">
        <v>536</v>
      </c>
      <c r="D166" t="s">
        <v>537</v>
      </c>
      <c r="E166">
        <v>1</v>
      </c>
      <c r="F166" t="s">
        <v>65</v>
      </c>
      <c r="G166">
        <v>2</v>
      </c>
      <c r="H166">
        <v>0</v>
      </c>
      <c r="I166">
        <v>55.76</v>
      </c>
      <c r="J166" t="s">
        <v>47</v>
      </c>
      <c r="K166" t="s">
        <v>29</v>
      </c>
      <c r="L166">
        <v>7.1</v>
      </c>
      <c r="M166" t="s">
        <v>23</v>
      </c>
      <c r="N166" t="str">
        <f t="shared" si="8"/>
        <v>Segers</v>
      </c>
      <c r="O166" t="str">
        <f t="shared" si="9"/>
        <v>Bart</v>
      </c>
      <c r="P166" t="e">
        <f t="shared" ca="1" si="10"/>
        <v>#NAME?</v>
      </c>
      <c r="Q166" t="str">
        <f t="shared" si="11"/>
        <v>Tevreden</v>
      </c>
    </row>
    <row r="167" spans="1:17" x14ac:dyDescent="0.3">
      <c r="A167" t="s">
        <v>538</v>
      </c>
      <c r="B167">
        <v>5547491915</v>
      </c>
      <c r="C167" t="s">
        <v>539</v>
      </c>
      <c r="D167" t="s">
        <v>267</v>
      </c>
      <c r="E167">
        <v>14</v>
      </c>
      <c r="F167" t="s">
        <v>42</v>
      </c>
      <c r="G167">
        <v>2</v>
      </c>
      <c r="H167">
        <v>2</v>
      </c>
      <c r="I167">
        <v>209.83</v>
      </c>
      <c r="J167" t="s">
        <v>28</v>
      </c>
      <c r="K167" t="s">
        <v>29</v>
      </c>
      <c r="L167">
        <v>7.07</v>
      </c>
      <c r="M167" t="s">
        <v>23</v>
      </c>
      <c r="N167" t="str">
        <f t="shared" si="8"/>
        <v>Claes</v>
      </c>
      <c r="O167" t="str">
        <f t="shared" si="9"/>
        <v>Dona</v>
      </c>
      <c r="P167" t="e">
        <f t="shared" ca="1" si="10"/>
        <v>#NAME?</v>
      </c>
      <c r="Q167" t="str">
        <f t="shared" si="11"/>
        <v>Tevreden</v>
      </c>
    </row>
    <row r="168" spans="1:17" x14ac:dyDescent="0.3">
      <c r="A168" t="s">
        <v>540</v>
      </c>
      <c r="B168">
        <v>2169689454</v>
      </c>
      <c r="C168" t="s">
        <v>541</v>
      </c>
      <c r="D168" t="s">
        <v>542</v>
      </c>
      <c r="E168">
        <v>40</v>
      </c>
      <c r="F168" t="s">
        <v>33</v>
      </c>
      <c r="G168">
        <v>6</v>
      </c>
      <c r="H168">
        <v>0</v>
      </c>
      <c r="I168">
        <v>140.13</v>
      </c>
      <c r="J168" t="s">
        <v>52</v>
      </c>
      <c r="K168" t="s">
        <v>22</v>
      </c>
      <c r="L168">
        <v>7.22</v>
      </c>
      <c r="M168" t="s">
        <v>23</v>
      </c>
      <c r="N168" t="str">
        <f t="shared" si="8"/>
        <v>Reynders</v>
      </c>
      <c r="O168" t="str">
        <f t="shared" si="9"/>
        <v>Tom</v>
      </c>
      <c r="P168" t="e">
        <f t="shared" ca="1" si="10"/>
        <v>#NAME?</v>
      </c>
      <c r="Q168" t="str">
        <f t="shared" si="11"/>
        <v>Tevreden</v>
      </c>
    </row>
    <row r="169" spans="1:17" x14ac:dyDescent="0.3">
      <c r="A169" t="s">
        <v>543</v>
      </c>
      <c r="B169">
        <v>3345582355</v>
      </c>
      <c r="C169" t="s">
        <v>544</v>
      </c>
      <c r="D169" t="s">
        <v>397</v>
      </c>
      <c r="E169">
        <v>26</v>
      </c>
      <c r="F169" t="s">
        <v>65</v>
      </c>
      <c r="G169">
        <v>2</v>
      </c>
      <c r="H169">
        <v>2</v>
      </c>
      <c r="I169">
        <v>137.51</v>
      </c>
      <c r="J169" t="s">
        <v>52</v>
      </c>
      <c r="K169" t="s">
        <v>22</v>
      </c>
      <c r="L169">
        <v>8.42</v>
      </c>
      <c r="M169" t="s">
        <v>34</v>
      </c>
      <c r="N169" t="str">
        <f t="shared" si="8"/>
        <v>Dubois</v>
      </c>
      <c r="O169" t="str">
        <f t="shared" si="9"/>
        <v>Julien</v>
      </c>
      <c r="P169" t="e">
        <f t="shared" ca="1" si="10"/>
        <v>#NAME?</v>
      </c>
      <c r="Q169" t="str">
        <f t="shared" si="11"/>
        <v>Tevreden</v>
      </c>
    </row>
    <row r="170" spans="1:17" x14ac:dyDescent="0.3">
      <c r="A170" t="s">
        <v>545</v>
      </c>
      <c r="B170">
        <v>2096899864</v>
      </c>
      <c r="C170" t="s">
        <v>546</v>
      </c>
      <c r="D170" t="s">
        <v>547</v>
      </c>
      <c r="E170">
        <v>5</v>
      </c>
      <c r="F170" t="s">
        <v>189</v>
      </c>
      <c r="G170">
        <v>1</v>
      </c>
      <c r="H170">
        <v>2</v>
      </c>
      <c r="I170">
        <v>124.85</v>
      </c>
      <c r="J170" t="s">
        <v>21</v>
      </c>
      <c r="K170" t="s">
        <v>102</v>
      </c>
      <c r="L170">
        <v>7.13</v>
      </c>
      <c r="M170" t="s">
        <v>23</v>
      </c>
      <c r="N170" t="str">
        <f t="shared" si="8"/>
        <v>Delfosse</v>
      </c>
      <c r="O170" t="str">
        <f t="shared" si="9"/>
        <v>Maria</v>
      </c>
      <c r="P170" t="e">
        <f t="shared" ca="1" si="10"/>
        <v>#NAME?</v>
      </c>
      <c r="Q170" t="str">
        <f t="shared" si="11"/>
        <v>Tevreden</v>
      </c>
    </row>
    <row r="171" spans="1:17" x14ac:dyDescent="0.3">
      <c r="A171" t="s">
        <v>548</v>
      </c>
      <c r="B171">
        <v>1957489039</v>
      </c>
      <c r="C171" t="s">
        <v>549</v>
      </c>
      <c r="D171" t="s">
        <v>222</v>
      </c>
      <c r="E171">
        <v>53</v>
      </c>
      <c r="F171" t="s">
        <v>189</v>
      </c>
      <c r="G171">
        <v>1</v>
      </c>
      <c r="H171">
        <v>0</v>
      </c>
      <c r="I171">
        <v>18.09</v>
      </c>
      <c r="J171" t="s">
        <v>52</v>
      </c>
      <c r="K171" t="s">
        <v>29</v>
      </c>
      <c r="L171">
        <v>7.09</v>
      </c>
      <c r="M171" t="s">
        <v>23</v>
      </c>
      <c r="N171" t="str">
        <f t="shared" si="8"/>
        <v>Deprez</v>
      </c>
      <c r="O171" t="str">
        <f t="shared" si="9"/>
        <v>Lou</v>
      </c>
      <c r="P171" t="e">
        <f t="shared" ca="1" si="10"/>
        <v>#NAME?</v>
      </c>
      <c r="Q171" t="str">
        <f t="shared" si="11"/>
        <v>Tevreden</v>
      </c>
    </row>
    <row r="172" spans="1:17" x14ac:dyDescent="0.3">
      <c r="A172" t="s">
        <v>550</v>
      </c>
      <c r="B172">
        <v>2926291376</v>
      </c>
      <c r="C172" t="s">
        <v>551</v>
      </c>
      <c r="D172" t="s">
        <v>464</v>
      </c>
      <c r="E172">
        <v>44</v>
      </c>
      <c r="F172" t="s">
        <v>229</v>
      </c>
      <c r="G172">
        <v>2</v>
      </c>
      <c r="H172">
        <v>1</v>
      </c>
      <c r="I172">
        <v>123.62</v>
      </c>
      <c r="J172" t="s">
        <v>28</v>
      </c>
      <c r="K172" t="s">
        <v>22</v>
      </c>
      <c r="L172">
        <v>7.25</v>
      </c>
      <c r="M172" t="s">
        <v>23</v>
      </c>
      <c r="N172" t="str">
        <f t="shared" si="8"/>
        <v>Vandevelde</v>
      </c>
      <c r="O172" t="str">
        <f t="shared" si="9"/>
        <v>Karolien</v>
      </c>
      <c r="P172" t="e">
        <f t="shared" ca="1" si="10"/>
        <v>#NAME?</v>
      </c>
      <c r="Q172" t="str">
        <f t="shared" si="11"/>
        <v>Tevreden</v>
      </c>
    </row>
    <row r="173" spans="1:17" x14ac:dyDescent="0.3">
      <c r="A173" t="s">
        <v>552</v>
      </c>
      <c r="B173">
        <v>366189245</v>
      </c>
      <c r="C173" t="s">
        <v>553</v>
      </c>
      <c r="D173" t="s">
        <v>554</v>
      </c>
      <c r="E173">
        <v>19</v>
      </c>
      <c r="F173" t="s">
        <v>171</v>
      </c>
      <c r="G173">
        <v>1</v>
      </c>
      <c r="H173">
        <v>0</v>
      </c>
      <c r="I173">
        <v>17.850000000000001</v>
      </c>
      <c r="J173" t="s">
        <v>47</v>
      </c>
      <c r="K173" t="s">
        <v>29</v>
      </c>
      <c r="L173">
        <v>6.54</v>
      </c>
      <c r="M173" t="s">
        <v>23</v>
      </c>
      <c r="N173" t="str">
        <f t="shared" si="8"/>
        <v>Van den bossche</v>
      </c>
      <c r="O173" t="str">
        <f t="shared" si="9"/>
        <v>André</v>
      </c>
      <c r="P173" t="e">
        <f t="shared" ca="1" si="10"/>
        <v>#NAME?</v>
      </c>
      <c r="Q173" t="str">
        <f t="shared" si="11"/>
        <v>Ontevreden</v>
      </c>
    </row>
    <row r="174" spans="1:17" x14ac:dyDescent="0.3">
      <c r="A174" t="s">
        <v>555</v>
      </c>
      <c r="B174">
        <v>4935891430</v>
      </c>
      <c r="C174" t="s">
        <v>556</v>
      </c>
      <c r="D174" t="s">
        <v>408</v>
      </c>
      <c r="E174">
        <v>21</v>
      </c>
      <c r="F174" t="s">
        <v>115</v>
      </c>
      <c r="G174">
        <v>2</v>
      </c>
      <c r="H174">
        <v>0</v>
      </c>
      <c r="I174">
        <v>40.08</v>
      </c>
      <c r="J174" t="s">
        <v>28</v>
      </c>
      <c r="K174" t="s">
        <v>29</v>
      </c>
      <c r="L174">
        <v>6.73</v>
      </c>
      <c r="M174" t="s">
        <v>23</v>
      </c>
      <c r="N174" t="str">
        <f t="shared" si="8"/>
        <v>Meert</v>
      </c>
      <c r="O174" t="str">
        <f t="shared" si="9"/>
        <v>Youri</v>
      </c>
      <c r="P174" t="e">
        <f t="shared" ca="1" si="10"/>
        <v>#NAME?</v>
      </c>
      <c r="Q174" t="str">
        <f t="shared" si="11"/>
        <v>Ontevreden</v>
      </c>
    </row>
    <row r="175" spans="1:17" x14ac:dyDescent="0.3">
      <c r="A175" t="s">
        <v>557</v>
      </c>
      <c r="B175">
        <v>8843352777</v>
      </c>
      <c r="C175" t="s">
        <v>558</v>
      </c>
      <c r="D175" t="s">
        <v>330</v>
      </c>
      <c r="E175">
        <v>69</v>
      </c>
      <c r="F175" t="s">
        <v>38</v>
      </c>
      <c r="G175">
        <v>2</v>
      </c>
      <c r="H175">
        <v>3</v>
      </c>
      <c r="I175">
        <v>145.13999999999999</v>
      </c>
      <c r="J175" t="s">
        <v>28</v>
      </c>
      <c r="K175" t="s">
        <v>57</v>
      </c>
      <c r="L175">
        <v>7.19</v>
      </c>
      <c r="M175" t="s">
        <v>23</v>
      </c>
      <c r="N175" t="str">
        <f t="shared" si="8"/>
        <v>Andries</v>
      </c>
      <c r="O175" t="str">
        <f t="shared" si="9"/>
        <v>Jochem</v>
      </c>
      <c r="P175" t="e">
        <f t="shared" ca="1" si="10"/>
        <v>#NAME?</v>
      </c>
      <c r="Q175" t="str">
        <f t="shared" si="11"/>
        <v>Tevreden</v>
      </c>
    </row>
    <row r="176" spans="1:17" x14ac:dyDescent="0.3">
      <c r="A176" t="s">
        <v>559</v>
      </c>
      <c r="B176">
        <v>7562005994</v>
      </c>
      <c r="C176" t="s">
        <v>560</v>
      </c>
      <c r="D176" t="s">
        <v>561</v>
      </c>
      <c r="E176">
        <v>39</v>
      </c>
      <c r="F176" t="s">
        <v>51</v>
      </c>
      <c r="G176">
        <v>2</v>
      </c>
      <c r="H176">
        <v>3</v>
      </c>
      <c r="I176">
        <v>118.35</v>
      </c>
      <c r="J176" t="s">
        <v>21</v>
      </c>
      <c r="K176" t="s">
        <v>29</v>
      </c>
      <c r="L176">
        <v>7.21</v>
      </c>
      <c r="M176" t="s">
        <v>23</v>
      </c>
      <c r="N176" t="str">
        <f t="shared" si="8"/>
        <v>Thomas</v>
      </c>
      <c r="O176" t="str">
        <f t="shared" si="9"/>
        <v>Lilian</v>
      </c>
      <c r="P176" t="e">
        <f t="shared" ca="1" si="10"/>
        <v>#NAME?</v>
      </c>
      <c r="Q176" t="str">
        <f t="shared" si="11"/>
        <v>Tevreden</v>
      </c>
    </row>
    <row r="177" spans="1:17" x14ac:dyDescent="0.3">
      <c r="A177" t="s">
        <v>562</v>
      </c>
      <c r="B177">
        <v>8236211694</v>
      </c>
      <c r="C177" t="s">
        <v>563</v>
      </c>
      <c r="D177" t="s">
        <v>564</v>
      </c>
      <c r="E177">
        <v>75</v>
      </c>
      <c r="F177" t="s">
        <v>229</v>
      </c>
      <c r="G177">
        <v>1</v>
      </c>
      <c r="H177">
        <v>0</v>
      </c>
      <c r="I177">
        <v>19.079999999999998</v>
      </c>
      <c r="J177" t="s">
        <v>77</v>
      </c>
      <c r="K177" t="s">
        <v>22</v>
      </c>
      <c r="L177">
        <v>7.56</v>
      </c>
      <c r="M177" t="s">
        <v>23</v>
      </c>
      <c r="N177" t="str">
        <f t="shared" si="8"/>
        <v>Bracke</v>
      </c>
      <c r="O177" t="str">
        <f t="shared" si="9"/>
        <v>Féline</v>
      </c>
      <c r="P177" t="e">
        <f t="shared" ca="1" si="10"/>
        <v>#NAME?</v>
      </c>
      <c r="Q177" t="str">
        <f t="shared" si="11"/>
        <v>Tevreden</v>
      </c>
    </row>
    <row r="178" spans="1:17" x14ac:dyDescent="0.3">
      <c r="A178" t="s">
        <v>565</v>
      </c>
      <c r="B178">
        <v>3531844520</v>
      </c>
      <c r="C178" t="s">
        <v>566</v>
      </c>
      <c r="D178" t="s">
        <v>567</v>
      </c>
      <c r="E178">
        <v>16</v>
      </c>
      <c r="F178" t="s">
        <v>189</v>
      </c>
      <c r="G178">
        <v>1</v>
      </c>
      <c r="H178">
        <v>2</v>
      </c>
      <c r="I178">
        <v>234.98</v>
      </c>
      <c r="J178" t="s">
        <v>21</v>
      </c>
      <c r="K178" t="s">
        <v>29</v>
      </c>
      <c r="L178">
        <v>8.2799999999999994</v>
      </c>
      <c r="M178" t="s">
        <v>34</v>
      </c>
      <c r="N178" t="str">
        <f t="shared" si="8"/>
        <v>Pieters</v>
      </c>
      <c r="O178" t="str">
        <f t="shared" si="9"/>
        <v>Athanasios</v>
      </c>
      <c r="P178" t="e">
        <f t="shared" ca="1" si="10"/>
        <v>#NAME?</v>
      </c>
      <c r="Q178" t="str">
        <f t="shared" si="11"/>
        <v>Tevreden</v>
      </c>
    </row>
    <row r="179" spans="1:17" x14ac:dyDescent="0.3">
      <c r="A179" t="s">
        <v>568</v>
      </c>
      <c r="B179">
        <v>4521245748</v>
      </c>
      <c r="C179" t="s">
        <v>569</v>
      </c>
      <c r="D179" t="s">
        <v>570</v>
      </c>
      <c r="E179">
        <v>18</v>
      </c>
      <c r="F179" t="s">
        <v>56</v>
      </c>
      <c r="G179">
        <v>2</v>
      </c>
      <c r="H179">
        <v>2</v>
      </c>
      <c r="I179">
        <v>104.54</v>
      </c>
      <c r="J179" t="s">
        <v>52</v>
      </c>
      <c r="K179" t="s">
        <v>57</v>
      </c>
      <c r="L179">
        <v>7.58</v>
      </c>
      <c r="M179" t="s">
        <v>23</v>
      </c>
      <c r="N179" t="str">
        <f t="shared" si="8"/>
        <v>Hubert</v>
      </c>
      <c r="O179" t="str">
        <f t="shared" si="9"/>
        <v>Hemanth</v>
      </c>
      <c r="P179" t="e">
        <f t="shared" ca="1" si="10"/>
        <v>#NAME?</v>
      </c>
      <c r="Q179" t="str">
        <f t="shared" si="11"/>
        <v>Tevreden</v>
      </c>
    </row>
    <row r="180" spans="1:17" x14ac:dyDescent="0.3">
      <c r="A180" t="s">
        <v>571</v>
      </c>
      <c r="B180">
        <v>8803577439</v>
      </c>
      <c r="C180" t="s">
        <v>572</v>
      </c>
      <c r="D180" t="s">
        <v>377</v>
      </c>
      <c r="E180">
        <v>23</v>
      </c>
      <c r="F180" t="s">
        <v>65</v>
      </c>
      <c r="G180">
        <v>2</v>
      </c>
      <c r="H180">
        <v>1</v>
      </c>
      <c r="I180">
        <v>126.08</v>
      </c>
      <c r="J180" t="s">
        <v>21</v>
      </c>
      <c r="K180" t="s">
        <v>57</v>
      </c>
      <c r="L180">
        <v>7.13</v>
      </c>
      <c r="M180" t="s">
        <v>23</v>
      </c>
      <c r="N180" t="str">
        <f t="shared" si="8"/>
        <v>Bogaert</v>
      </c>
      <c r="O180" t="str">
        <f t="shared" si="9"/>
        <v>Romi</v>
      </c>
      <c r="P180" t="e">
        <f t="shared" ca="1" si="10"/>
        <v>#NAME?</v>
      </c>
      <c r="Q180" t="str">
        <f t="shared" si="11"/>
        <v>Tevreden</v>
      </c>
    </row>
    <row r="181" spans="1:17" x14ac:dyDescent="0.3">
      <c r="A181" t="s">
        <v>573</v>
      </c>
      <c r="B181">
        <v>215875724</v>
      </c>
      <c r="C181" t="s">
        <v>574</v>
      </c>
      <c r="D181" t="s">
        <v>575</v>
      </c>
      <c r="E181">
        <v>43</v>
      </c>
      <c r="F181" t="s">
        <v>363</v>
      </c>
      <c r="G181">
        <v>2</v>
      </c>
      <c r="H181">
        <v>0</v>
      </c>
      <c r="I181">
        <v>114.04</v>
      </c>
      <c r="J181" t="s">
        <v>52</v>
      </c>
      <c r="K181" t="s">
        <v>57</v>
      </c>
      <c r="L181">
        <v>7.31</v>
      </c>
      <c r="M181" t="s">
        <v>23</v>
      </c>
      <c r="N181" t="str">
        <f t="shared" si="8"/>
        <v>Collard</v>
      </c>
      <c r="O181" t="str">
        <f t="shared" si="9"/>
        <v>Amine</v>
      </c>
      <c r="P181" t="e">
        <f t="shared" ca="1" si="10"/>
        <v>#NAME?</v>
      </c>
      <c r="Q181" t="str">
        <f t="shared" si="11"/>
        <v>Tevreden</v>
      </c>
    </row>
    <row r="182" spans="1:17" x14ac:dyDescent="0.3">
      <c r="A182" t="s">
        <v>576</v>
      </c>
      <c r="B182">
        <v>8254983971</v>
      </c>
      <c r="C182" t="s">
        <v>577</v>
      </c>
      <c r="D182" t="s">
        <v>531</v>
      </c>
      <c r="E182">
        <v>1</v>
      </c>
      <c r="F182" t="s">
        <v>115</v>
      </c>
      <c r="G182">
        <v>1</v>
      </c>
      <c r="H182">
        <v>0</v>
      </c>
      <c r="I182">
        <v>27.33</v>
      </c>
      <c r="J182" t="s">
        <v>77</v>
      </c>
      <c r="K182" t="s">
        <v>22</v>
      </c>
      <c r="L182">
        <v>7.13</v>
      </c>
      <c r="M182" t="s">
        <v>23</v>
      </c>
      <c r="N182" t="str">
        <f t="shared" si="8"/>
        <v>Dumont</v>
      </c>
      <c r="O182" t="str">
        <f t="shared" si="9"/>
        <v>Tolga</v>
      </c>
      <c r="P182" t="e">
        <f t="shared" ca="1" si="10"/>
        <v>#NAME?</v>
      </c>
      <c r="Q182" t="str">
        <f t="shared" si="11"/>
        <v>Tevreden</v>
      </c>
    </row>
    <row r="183" spans="1:17" x14ac:dyDescent="0.3">
      <c r="A183" t="s">
        <v>578</v>
      </c>
      <c r="B183">
        <v>2387667826</v>
      </c>
      <c r="C183" t="s">
        <v>579</v>
      </c>
      <c r="D183" t="s">
        <v>580</v>
      </c>
      <c r="E183">
        <v>8</v>
      </c>
      <c r="F183" t="s">
        <v>158</v>
      </c>
      <c r="G183">
        <v>2</v>
      </c>
      <c r="H183">
        <v>0</v>
      </c>
      <c r="I183">
        <v>128.24</v>
      </c>
      <c r="J183" t="s">
        <v>28</v>
      </c>
      <c r="K183" t="s">
        <v>22</v>
      </c>
      <c r="L183">
        <v>7.62</v>
      </c>
      <c r="M183" t="s">
        <v>23</v>
      </c>
      <c r="N183" t="str">
        <f t="shared" si="8"/>
        <v>Claes</v>
      </c>
      <c r="O183" t="str">
        <f t="shared" si="9"/>
        <v>Amine</v>
      </c>
      <c r="P183" t="e">
        <f t="shared" ca="1" si="10"/>
        <v>#NAME?</v>
      </c>
      <c r="Q183" t="str">
        <f t="shared" si="11"/>
        <v>Tevreden</v>
      </c>
    </row>
    <row r="184" spans="1:17" x14ac:dyDescent="0.3">
      <c r="A184" t="s">
        <v>581</v>
      </c>
      <c r="B184">
        <v>3333406030</v>
      </c>
      <c r="C184" t="s">
        <v>582</v>
      </c>
      <c r="D184" t="s">
        <v>583</v>
      </c>
      <c r="E184">
        <v>26</v>
      </c>
      <c r="F184" t="s">
        <v>76</v>
      </c>
      <c r="G184">
        <v>1</v>
      </c>
      <c r="H184">
        <v>1</v>
      </c>
      <c r="I184">
        <v>83.21</v>
      </c>
      <c r="J184" t="s">
        <v>47</v>
      </c>
      <c r="K184" t="s">
        <v>22</v>
      </c>
      <c r="L184">
        <v>7.3</v>
      </c>
      <c r="M184" t="s">
        <v>23</v>
      </c>
      <c r="N184" t="str">
        <f t="shared" si="8"/>
        <v>Govaerts</v>
      </c>
      <c r="O184" t="str">
        <f t="shared" si="9"/>
        <v>Suzanne</v>
      </c>
      <c r="P184" t="e">
        <f t="shared" ca="1" si="10"/>
        <v>#NAME?</v>
      </c>
      <c r="Q184" t="str">
        <f t="shared" si="11"/>
        <v>Tevreden</v>
      </c>
    </row>
    <row r="185" spans="1:17" x14ac:dyDescent="0.3">
      <c r="A185" t="s">
        <v>584</v>
      </c>
      <c r="B185">
        <v>1401762277</v>
      </c>
      <c r="C185" t="s">
        <v>585</v>
      </c>
      <c r="D185" t="s">
        <v>586</v>
      </c>
      <c r="E185">
        <v>41</v>
      </c>
      <c r="F185" t="s">
        <v>65</v>
      </c>
      <c r="G185">
        <v>1</v>
      </c>
      <c r="H185">
        <v>0</v>
      </c>
      <c r="I185">
        <v>58.03</v>
      </c>
      <c r="J185" t="s">
        <v>21</v>
      </c>
      <c r="K185" t="s">
        <v>29</v>
      </c>
      <c r="L185">
        <v>6.67</v>
      </c>
      <c r="M185" t="s">
        <v>23</v>
      </c>
      <c r="N185" t="str">
        <f t="shared" si="8"/>
        <v>Lievens</v>
      </c>
      <c r="O185" t="str">
        <f t="shared" si="9"/>
        <v>Quentin</v>
      </c>
      <c r="P185" t="e">
        <f t="shared" ca="1" si="10"/>
        <v>#NAME?</v>
      </c>
      <c r="Q185" t="str">
        <f t="shared" si="11"/>
        <v>Ontevreden</v>
      </c>
    </row>
    <row r="186" spans="1:17" x14ac:dyDescent="0.3">
      <c r="A186" t="s">
        <v>587</v>
      </c>
      <c r="B186">
        <v>8283501287</v>
      </c>
      <c r="C186" t="s">
        <v>588</v>
      </c>
      <c r="D186" t="s">
        <v>157</v>
      </c>
      <c r="E186">
        <v>50</v>
      </c>
      <c r="F186" t="s">
        <v>98</v>
      </c>
      <c r="G186">
        <v>1</v>
      </c>
      <c r="H186">
        <v>0</v>
      </c>
      <c r="I186">
        <v>82.03</v>
      </c>
      <c r="J186" t="s">
        <v>77</v>
      </c>
      <c r="K186" t="s">
        <v>29</v>
      </c>
      <c r="L186">
        <v>6.85</v>
      </c>
      <c r="M186" t="s">
        <v>23</v>
      </c>
      <c r="N186" t="str">
        <f t="shared" si="8"/>
        <v>De keyser</v>
      </c>
      <c r="O186" t="str">
        <f t="shared" si="9"/>
        <v>Hervé</v>
      </c>
      <c r="P186" t="e">
        <f t="shared" ca="1" si="10"/>
        <v>#NAME?</v>
      </c>
      <c r="Q186" t="str">
        <f t="shared" si="11"/>
        <v>Ontevreden</v>
      </c>
    </row>
    <row r="187" spans="1:17" x14ac:dyDescent="0.3">
      <c r="A187" t="s">
        <v>589</v>
      </c>
      <c r="B187">
        <v>7291652651</v>
      </c>
      <c r="C187" t="s">
        <v>590</v>
      </c>
      <c r="D187" t="s">
        <v>32</v>
      </c>
      <c r="E187">
        <v>6</v>
      </c>
      <c r="F187" t="s">
        <v>20</v>
      </c>
      <c r="G187">
        <v>2</v>
      </c>
      <c r="H187">
        <v>0</v>
      </c>
      <c r="I187">
        <v>84.36</v>
      </c>
      <c r="J187" t="s">
        <v>77</v>
      </c>
      <c r="K187" t="s">
        <v>29</v>
      </c>
      <c r="L187">
        <v>8.42</v>
      </c>
      <c r="M187" t="s">
        <v>34</v>
      </c>
      <c r="N187" t="str">
        <f t="shared" si="8"/>
        <v>Dubois</v>
      </c>
      <c r="O187" t="str">
        <f t="shared" si="9"/>
        <v>Nadir</v>
      </c>
      <c r="P187" t="e">
        <f t="shared" ca="1" si="10"/>
        <v>#NAME?</v>
      </c>
      <c r="Q187" t="str">
        <f t="shared" si="11"/>
        <v>Tevreden</v>
      </c>
    </row>
    <row r="188" spans="1:17" x14ac:dyDescent="0.3">
      <c r="A188" t="s">
        <v>591</v>
      </c>
      <c r="B188">
        <v>2033671216</v>
      </c>
      <c r="C188" t="s">
        <v>592</v>
      </c>
      <c r="D188" t="s">
        <v>593</v>
      </c>
      <c r="E188">
        <v>26</v>
      </c>
      <c r="F188" t="s">
        <v>51</v>
      </c>
      <c r="G188">
        <v>1</v>
      </c>
      <c r="H188">
        <v>0</v>
      </c>
      <c r="I188">
        <v>67.599999999999994</v>
      </c>
      <c r="J188" t="s">
        <v>28</v>
      </c>
      <c r="K188" t="s">
        <v>57</v>
      </c>
      <c r="L188">
        <v>6.93</v>
      </c>
      <c r="M188" t="s">
        <v>23</v>
      </c>
      <c r="N188" t="str">
        <f t="shared" si="8"/>
        <v>Guillaume</v>
      </c>
      <c r="O188" t="str">
        <f t="shared" si="9"/>
        <v>Nadine</v>
      </c>
      <c r="P188" t="e">
        <f t="shared" ca="1" si="10"/>
        <v>#NAME?</v>
      </c>
      <c r="Q188" t="str">
        <f t="shared" si="11"/>
        <v>Ontevreden</v>
      </c>
    </row>
    <row r="189" spans="1:17" x14ac:dyDescent="0.3">
      <c r="A189" t="s">
        <v>594</v>
      </c>
      <c r="B189">
        <v>8492044363</v>
      </c>
      <c r="C189" t="s">
        <v>595</v>
      </c>
      <c r="D189" t="s">
        <v>596</v>
      </c>
      <c r="E189">
        <v>17</v>
      </c>
      <c r="F189" t="s">
        <v>229</v>
      </c>
      <c r="G189">
        <v>1</v>
      </c>
      <c r="H189">
        <v>1</v>
      </c>
      <c r="I189">
        <v>36.75</v>
      </c>
      <c r="J189" t="s">
        <v>52</v>
      </c>
      <c r="K189" t="s">
        <v>22</v>
      </c>
      <c r="L189">
        <v>7.64</v>
      </c>
      <c r="M189" t="s">
        <v>23</v>
      </c>
      <c r="N189" t="str">
        <f t="shared" si="8"/>
        <v>Lambrechts</v>
      </c>
      <c r="O189" t="str">
        <f t="shared" si="9"/>
        <v>Nicolas</v>
      </c>
      <c r="P189" t="e">
        <f t="shared" ca="1" si="10"/>
        <v>#NAME?</v>
      </c>
      <c r="Q189" t="str">
        <f t="shared" si="11"/>
        <v>Tevreden</v>
      </c>
    </row>
    <row r="190" spans="1:17" x14ac:dyDescent="0.3">
      <c r="A190" t="s">
        <v>597</v>
      </c>
      <c r="B190">
        <v>6937367897</v>
      </c>
      <c r="C190" t="s">
        <v>598</v>
      </c>
      <c r="D190" t="s">
        <v>151</v>
      </c>
      <c r="E190">
        <v>109</v>
      </c>
      <c r="F190" t="s">
        <v>115</v>
      </c>
      <c r="G190">
        <v>2</v>
      </c>
      <c r="H190">
        <v>5</v>
      </c>
      <c r="I190">
        <v>125.09</v>
      </c>
      <c r="J190" t="s">
        <v>28</v>
      </c>
      <c r="K190" t="s">
        <v>22</v>
      </c>
      <c r="L190">
        <v>6.93</v>
      </c>
      <c r="M190" t="s">
        <v>23</v>
      </c>
      <c r="N190" t="str">
        <f t="shared" si="8"/>
        <v>Verbeke</v>
      </c>
      <c r="O190" t="str">
        <f t="shared" si="9"/>
        <v>Galina</v>
      </c>
      <c r="P190" t="e">
        <f t="shared" ca="1" si="10"/>
        <v>#NAME?</v>
      </c>
      <c r="Q190" t="str">
        <f t="shared" si="11"/>
        <v>Ontevreden</v>
      </c>
    </row>
    <row r="191" spans="1:17" x14ac:dyDescent="0.3">
      <c r="A191" t="s">
        <v>599</v>
      </c>
      <c r="B191">
        <v>9619854636</v>
      </c>
      <c r="C191" t="s">
        <v>600</v>
      </c>
      <c r="D191" t="s">
        <v>601</v>
      </c>
      <c r="E191">
        <v>7</v>
      </c>
      <c r="F191" t="s">
        <v>144</v>
      </c>
      <c r="G191">
        <v>1</v>
      </c>
      <c r="H191">
        <v>3</v>
      </c>
      <c r="I191">
        <v>166.81</v>
      </c>
      <c r="J191" t="s">
        <v>28</v>
      </c>
      <c r="K191" t="s">
        <v>22</v>
      </c>
      <c r="L191">
        <v>7.32</v>
      </c>
      <c r="M191" t="s">
        <v>23</v>
      </c>
      <c r="N191" t="str">
        <f t="shared" si="8"/>
        <v>Van dijck</v>
      </c>
      <c r="O191" t="str">
        <f t="shared" si="9"/>
        <v>Perrine</v>
      </c>
      <c r="P191" t="e">
        <f t="shared" ca="1" si="10"/>
        <v>#NAME?</v>
      </c>
      <c r="Q191" t="str">
        <f t="shared" si="11"/>
        <v>Tevreden</v>
      </c>
    </row>
    <row r="192" spans="1:17" x14ac:dyDescent="0.3">
      <c r="A192" t="s">
        <v>602</v>
      </c>
      <c r="B192">
        <v>9955363761</v>
      </c>
      <c r="C192" t="s">
        <v>603</v>
      </c>
      <c r="D192" t="s">
        <v>517</v>
      </c>
      <c r="E192">
        <v>82</v>
      </c>
      <c r="F192" t="s">
        <v>76</v>
      </c>
      <c r="G192">
        <v>5</v>
      </c>
      <c r="H192">
        <v>1</v>
      </c>
      <c r="I192">
        <v>104</v>
      </c>
      <c r="J192" t="s">
        <v>28</v>
      </c>
      <c r="K192" t="s">
        <v>29</v>
      </c>
      <c r="L192">
        <v>6.94</v>
      </c>
      <c r="M192" t="s">
        <v>23</v>
      </c>
      <c r="N192" t="str">
        <f t="shared" si="8"/>
        <v>Geens</v>
      </c>
      <c r="O192" t="str">
        <f t="shared" si="9"/>
        <v>Selena</v>
      </c>
      <c r="P192" t="e">
        <f t="shared" ca="1" si="10"/>
        <v>#NAME?</v>
      </c>
      <c r="Q192" t="str">
        <f t="shared" si="11"/>
        <v>Ontevreden</v>
      </c>
    </row>
    <row r="193" spans="1:17" x14ac:dyDescent="0.3">
      <c r="A193" t="s">
        <v>604</v>
      </c>
      <c r="B193">
        <v>5652001060</v>
      </c>
      <c r="C193" t="s">
        <v>605</v>
      </c>
      <c r="D193" t="s">
        <v>606</v>
      </c>
      <c r="E193">
        <v>43</v>
      </c>
      <c r="F193" t="s">
        <v>175</v>
      </c>
      <c r="G193">
        <v>1</v>
      </c>
      <c r="H193">
        <v>3</v>
      </c>
      <c r="I193">
        <v>130.44999999999999</v>
      </c>
      <c r="J193" t="s">
        <v>52</v>
      </c>
      <c r="K193" t="s">
        <v>22</v>
      </c>
      <c r="L193">
        <v>7.06</v>
      </c>
      <c r="M193" t="s">
        <v>23</v>
      </c>
      <c r="N193" t="str">
        <f t="shared" si="8"/>
        <v>Maes</v>
      </c>
      <c r="O193" t="str">
        <f t="shared" si="9"/>
        <v>Juan</v>
      </c>
      <c r="P193" t="e">
        <f t="shared" ca="1" si="10"/>
        <v>#NAME?</v>
      </c>
      <c r="Q193" t="str">
        <f t="shared" si="11"/>
        <v>Tevreden</v>
      </c>
    </row>
    <row r="194" spans="1:17" x14ac:dyDescent="0.3">
      <c r="A194" t="s">
        <v>607</v>
      </c>
      <c r="B194">
        <v>618762982</v>
      </c>
      <c r="C194" t="s">
        <v>608</v>
      </c>
      <c r="D194" t="s">
        <v>609</v>
      </c>
      <c r="E194">
        <v>74</v>
      </c>
      <c r="F194" t="s">
        <v>115</v>
      </c>
      <c r="G194">
        <v>1</v>
      </c>
      <c r="H194">
        <v>0</v>
      </c>
      <c r="I194">
        <v>91.54</v>
      </c>
      <c r="J194" t="s">
        <v>28</v>
      </c>
      <c r="K194" t="s">
        <v>22</v>
      </c>
      <c r="L194">
        <v>7.54</v>
      </c>
      <c r="M194" t="s">
        <v>23</v>
      </c>
      <c r="N194" t="str">
        <f t="shared" ref="N194:N257" si="12">LEFT(A194, FIND(",", A194)-1)</f>
        <v>Geens</v>
      </c>
      <c r="O194" t="str">
        <f t="shared" ref="O194:O257" si="13">MID(A194, FIND(",", A194)+2, LEN(A194))</f>
        <v>Roman</v>
      </c>
      <c r="P194" t="e">
        <f t="shared" ref="P194:P257" ca="1" si="14">SWITCH(J194, "Zelden", 1, "Af en toe", 4, "Regelmatig", 8, "Vaak", 12)</f>
        <v>#NAME?</v>
      </c>
      <c r="Q194" t="str">
        <f t="shared" ref="Q194:Q257" si="15">IF(L194&gt;=7, "Tevreden", "Ontevreden")</f>
        <v>Tevreden</v>
      </c>
    </row>
    <row r="195" spans="1:17" x14ac:dyDescent="0.3">
      <c r="A195" t="s">
        <v>610</v>
      </c>
      <c r="B195">
        <v>906188038</v>
      </c>
      <c r="C195" t="s">
        <v>611</v>
      </c>
      <c r="D195" t="s">
        <v>612</v>
      </c>
      <c r="E195">
        <v>11</v>
      </c>
      <c r="F195" t="s">
        <v>115</v>
      </c>
      <c r="G195">
        <v>2</v>
      </c>
      <c r="H195">
        <v>0</v>
      </c>
      <c r="I195">
        <v>29.98</v>
      </c>
      <c r="J195" t="s">
        <v>28</v>
      </c>
      <c r="K195" t="s">
        <v>22</v>
      </c>
      <c r="L195">
        <v>6.97</v>
      </c>
      <c r="M195" t="s">
        <v>23</v>
      </c>
      <c r="N195" t="str">
        <f t="shared" si="12"/>
        <v>Dewulf</v>
      </c>
      <c r="O195" t="str">
        <f t="shared" si="13"/>
        <v>Conny</v>
      </c>
      <c r="P195" t="e">
        <f t="shared" ca="1" si="14"/>
        <v>#NAME?</v>
      </c>
      <c r="Q195" t="str">
        <f t="shared" si="15"/>
        <v>Ontevreden</v>
      </c>
    </row>
    <row r="196" spans="1:17" x14ac:dyDescent="0.3">
      <c r="A196" t="s">
        <v>613</v>
      </c>
      <c r="B196">
        <v>7195423742</v>
      </c>
      <c r="C196" t="s">
        <v>614</v>
      </c>
      <c r="D196" t="s">
        <v>615</v>
      </c>
      <c r="E196">
        <v>30</v>
      </c>
      <c r="F196" t="s">
        <v>42</v>
      </c>
      <c r="G196">
        <v>6</v>
      </c>
      <c r="H196">
        <v>2</v>
      </c>
      <c r="I196">
        <v>70.95</v>
      </c>
      <c r="J196" t="s">
        <v>47</v>
      </c>
      <c r="K196" t="s">
        <v>29</v>
      </c>
      <c r="L196">
        <v>8.6</v>
      </c>
      <c r="M196" t="s">
        <v>34</v>
      </c>
      <c r="N196" t="str">
        <f t="shared" si="12"/>
        <v>Vanderheyden</v>
      </c>
      <c r="O196" t="str">
        <f t="shared" si="13"/>
        <v>Clara</v>
      </c>
      <c r="P196" t="e">
        <f t="shared" ca="1" si="14"/>
        <v>#NAME?</v>
      </c>
      <c r="Q196" t="str">
        <f t="shared" si="15"/>
        <v>Tevreden</v>
      </c>
    </row>
    <row r="197" spans="1:17" x14ac:dyDescent="0.3">
      <c r="A197" t="s">
        <v>616</v>
      </c>
      <c r="B197">
        <v>2745865338</v>
      </c>
      <c r="C197" t="s">
        <v>617</v>
      </c>
      <c r="D197" t="s">
        <v>618</v>
      </c>
      <c r="E197">
        <v>32</v>
      </c>
      <c r="F197" t="s">
        <v>148</v>
      </c>
      <c r="G197">
        <v>2</v>
      </c>
      <c r="H197">
        <v>1</v>
      </c>
      <c r="I197">
        <v>57.65</v>
      </c>
      <c r="J197" t="s">
        <v>21</v>
      </c>
      <c r="K197" t="s">
        <v>29</v>
      </c>
      <c r="L197">
        <v>6.98</v>
      </c>
      <c r="M197" t="s">
        <v>23</v>
      </c>
      <c r="N197" t="str">
        <f t="shared" si="12"/>
        <v>Vanneste</v>
      </c>
      <c r="O197" t="str">
        <f t="shared" si="13"/>
        <v>Camelia</v>
      </c>
      <c r="P197" t="e">
        <f t="shared" ca="1" si="14"/>
        <v>#NAME?</v>
      </c>
      <c r="Q197" t="str">
        <f t="shared" si="15"/>
        <v>Ontevreden</v>
      </c>
    </row>
    <row r="198" spans="1:17" x14ac:dyDescent="0.3">
      <c r="A198" t="s">
        <v>619</v>
      </c>
      <c r="B198">
        <v>3822750488</v>
      </c>
      <c r="C198" t="s">
        <v>620</v>
      </c>
      <c r="D198" t="s">
        <v>423</v>
      </c>
      <c r="E198">
        <v>11</v>
      </c>
      <c r="F198" t="s">
        <v>76</v>
      </c>
      <c r="G198">
        <v>5</v>
      </c>
      <c r="H198">
        <v>2</v>
      </c>
      <c r="I198">
        <v>172.94</v>
      </c>
      <c r="J198" t="s">
        <v>52</v>
      </c>
      <c r="K198" t="s">
        <v>22</v>
      </c>
      <c r="L198">
        <v>6.33</v>
      </c>
      <c r="M198" t="s">
        <v>23</v>
      </c>
      <c r="N198" t="str">
        <f t="shared" si="12"/>
        <v>Aerts</v>
      </c>
      <c r="O198" t="str">
        <f t="shared" si="13"/>
        <v>Jari</v>
      </c>
      <c r="P198" t="e">
        <f t="shared" ca="1" si="14"/>
        <v>#NAME?</v>
      </c>
      <c r="Q198" t="str">
        <f t="shared" si="15"/>
        <v>Ontevreden</v>
      </c>
    </row>
    <row r="199" spans="1:17" x14ac:dyDescent="0.3">
      <c r="A199" t="s">
        <v>621</v>
      </c>
      <c r="B199">
        <v>2187979293</v>
      </c>
      <c r="C199" t="s">
        <v>622</v>
      </c>
      <c r="D199" t="s">
        <v>623</v>
      </c>
      <c r="E199">
        <v>62</v>
      </c>
      <c r="F199" t="s">
        <v>65</v>
      </c>
      <c r="G199">
        <v>1</v>
      </c>
      <c r="H199">
        <v>0</v>
      </c>
      <c r="I199">
        <v>45.97</v>
      </c>
      <c r="J199" t="s">
        <v>28</v>
      </c>
      <c r="K199" t="s">
        <v>29</v>
      </c>
      <c r="L199">
        <v>7.18</v>
      </c>
      <c r="M199" t="s">
        <v>23</v>
      </c>
      <c r="N199" t="str">
        <f t="shared" si="12"/>
        <v>Sterckx</v>
      </c>
      <c r="O199" t="str">
        <f t="shared" si="13"/>
        <v>Hugo</v>
      </c>
      <c r="P199" t="e">
        <f t="shared" ca="1" si="14"/>
        <v>#NAME?</v>
      </c>
      <c r="Q199" t="str">
        <f t="shared" si="15"/>
        <v>Tevreden</v>
      </c>
    </row>
    <row r="200" spans="1:17" x14ac:dyDescent="0.3">
      <c r="A200" t="s">
        <v>624</v>
      </c>
      <c r="B200">
        <v>4541373114</v>
      </c>
      <c r="C200" t="s">
        <v>625</v>
      </c>
      <c r="D200" t="s">
        <v>626</v>
      </c>
      <c r="E200">
        <v>84</v>
      </c>
      <c r="F200" t="s">
        <v>42</v>
      </c>
      <c r="G200">
        <v>2</v>
      </c>
      <c r="H200">
        <v>2</v>
      </c>
      <c r="I200">
        <v>106.88</v>
      </c>
      <c r="J200" t="s">
        <v>28</v>
      </c>
      <c r="K200" t="s">
        <v>22</v>
      </c>
      <c r="L200">
        <v>7.16</v>
      </c>
      <c r="M200" t="s">
        <v>23</v>
      </c>
      <c r="N200" t="str">
        <f t="shared" si="12"/>
        <v>Moens</v>
      </c>
      <c r="O200" t="str">
        <f t="shared" si="13"/>
        <v>Sonja</v>
      </c>
      <c r="P200" t="e">
        <f t="shared" ca="1" si="14"/>
        <v>#NAME?</v>
      </c>
      <c r="Q200" t="str">
        <f t="shared" si="15"/>
        <v>Tevreden</v>
      </c>
    </row>
    <row r="201" spans="1:17" x14ac:dyDescent="0.3">
      <c r="A201" t="s">
        <v>627</v>
      </c>
      <c r="B201">
        <v>2787882123</v>
      </c>
      <c r="C201" t="s">
        <v>628</v>
      </c>
      <c r="D201" t="s">
        <v>68</v>
      </c>
      <c r="E201">
        <v>11</v>
      </c>
      <c r="F201" t="s">
        <v>42</v>
      </c>
      <c r="G201">
        <v>2</v>
      </c>
      <c r="H201">
        <v>2</v>
      </c>
      <c r="I201">
        <v>105.83</v>
      </c>
      <c r="J201" t="s">
        <v>52</v>
      </c>
      <c r="K201" t="s">
        <v>22</v>
      </c>
      <c r="L201">
        <v>6.5</v>
      </c>
      <c r="M201" t="s">
        <v>23</v>
      </c>
      <c r="N201" t="str">
        <f t="shared" si="12"/>
        <v>Wauters</v>
      </c>
      <c r="O201" t="str">
        <f t="shared" si="13"/>
        <v>Mathis</v>
      </c>
      <c r="P201" t="e">
        <f t="shared" ca="1" si="14"/>
        <v>#NAME?</v>
      </c>
      <c r="Q201" t="str">
        <f t="shared" si="15"/>
        <v>Ontevreden</v>
      </c>
    </row>
    <row r="202" spans="1:17" x14ac:dyDescent="0.3">
      <c r="A202" t="s">
        <v>629</v>
      </c>
      <c r="B202">
        <v>7597521955</v>
      </c>
      <c r="C202" t="s">
        <v>630</v>
      </c>
      <c r="D202" t="s">
        <v>631</v>
      </c>
      <c r="E202">
        <v>13</v>
      </c>
      <c r="F202" t="s">
        <v>82</v>
      </c>
      <c r="G202">
        <v>2</v>
      </c>
      <c r="H202">
        <v>2</v>
      </c>
      <c r="I202">
        <v>78.930000000000007</v>
      </c>
      <c r="J202" t="s">
        <v>77</v>
      </c>
      <c r="K202" t="s">
        <v>29</v>
      </c>
      <c r="L202">
        <v>7.2</v>
      </c>
      <c r="M202" t="s">
        <v>23</v>
      </c>
      <c r="N202" t="str">
        <f t="shared" si="12"/>
        <v>Wuyts</v>
      </c>
      <c r="O202" t="str">
        <f t="shared" si="13"/>
        <v>Quinten</v>
      </c>
      <c r="P202" t="e">
        <f t="shared" ca="1" si="14"/>
        <v>#NAME?</v>
      </c>
      <c r="Q202" t="str">
        <f t="shared" si="15"/>
        <v>Tevreden</v>
      </c>
    </row>
    <row r="203" spans="1:17" x14ac:dyDescent="0.3">
      <c r="A203" t="s">
        <v>632</v>
      </c>
      <c r="B203">
        <v>7053279668</v>
      </c>
      <c r="C203" t="s">
        <v>633</v>
      </c>
      <c r="D203" t="s">
        <v>634</v>
      </c>
      <c r="E203">
        <v>32</v>
      </c>
      <c r="F203" t="s">
        <v>189</v>
      </c>
      <c r="G203">
        <v>2</v>
      </c>
      <c r="H203">
        <v>0</v>
      </c>
      <c r="I203">
        <v>83.39</v>
      </c>
      <c r="J203" t="s">
        <v>28</v>
      </c>
      <c r="K203" t="s">
        <v>22</v>
      </c>
      <c r="L203">
        <v>8.18</v>
      </c>
      <c r="M203" t="s">
        <v>34</v>
      </c>
      <c r="N203" t="str">
        <f t="shared" si="12"/>
        <v>Noel</v>
      </c>
      <c r="O203" t="str">
        <f t="shared" si="13"/>
        <v>Lex</v>
      </c>
      <c r="P203" t="e">
        <f t="shared" ca="1" si="14"/>
        <v>#NAME?</v>
      </c>
      <c r="Q203" t="str">
        <f t="shared" si="15"/>
        <v>Tevreden</v>
      </c>
    </row>
    <row r="204" spans="1:17" x14ac:dyDescent="0.3">
      <c r="A204" t="s">
        <v>635</v>
      </c>
      <c r="B204">
        <v>9719632077</v>
      </c>
      <c r="C204" t="s">
        <v>636</v>
      </c>
      <c r="D204" t="s">
        <v>575</v>
      </c>
      <c r="E204">
        <v>13</v>
      </c>
      <c r="F204" t="s">
        <v>46</v>
      </c>
      <c r="G204">
        <v>1</v>
      </c>
      <c r="H204">
        <v>2</v>
      </c>
      <c r="I204">
        <v>113.32</v>
      </c>
      <c r="J204" t="s">
        <v>21</v>
      </c>
      <c r="K204" t="s">
        <v>22</v>
      </c>
      <c r="L204">
        <v>6.16</v>
      </c>
      <c r="M204" t="s">
        <v>78</v>
      </c>
      <c r="N204" t="str">
        <f t="shared" si="12"/>
        <v>De paepe</v>
      </c>
      <c r="O204" t="str">
        <f t="shared" si="13"/>
        <v>Julien</v>
      </c>
      <c r="P204" t="e">
        <f t="shared" ca="1" si="14"/>
        <v>#NAME?</v>
      </c>
      <c r="Q204" t="str">
        <f t="shared" si="15"/>
        <v>Ontevreden</v>
      </c>
    </row>
    <row r="205" spans="1:17" x14ac:dyDescent="0.3">
      <c r="A205" t="s">
        <v>637</v>
      </c>
      <c r="B205">
        <v>2843548077</v>
      </c>
      <c r="C205" t="s">
        <v>638</v>
      </c>
      <c r="D205" t="s">
        <v>639</v>
      </c>
      <c r="E205">
        <v>58</v>
      </c>
      <c r="F205" t="s">
        <v>27</v>
      </c>
      <c r="G205">
        <v>2</v>
      </c>
      <c r="H205">
        <v>3</v>
      </c>
      <c r="I205">
        <v>128.71</v>
      </c>
      <c r="J205" t="s">
        <v>77</v>
      </c>
      <c r="K205" t="s">
        <v>22</v>
      </c>
      <c r="L205">
        <v>6.86</v>
      </c>
      <c r="M205" t="s">
        <v>23</v>
      </c>
      <c r="N205" t="str">
        <f t="shared" si="12"/>
        <v>Goethals</v>
      </c>
      <c r="O205" t="str">
        <f t="shared" si="13"/>
        <v>Victor</v>
      </c>
      <c r="P205" t="e">
        <f t="shared" ca="1" si="14"/>
        <v>#NAME?</v>
      </c>
      <c r="Q205" t="str">
        <f t="shared" si="15"/>
        <v>Ontevreden</v>
      </c>
    </row>
    <row r="206" spans="1:17" x14ac:dyDescent="0.3">
      <c r="A206" t="s">
        <v>640</v>
      </c>
      <c r="B206">
        <v>5382080110</v>
      </c>
      <c r="C206" t="s">
        <v>641</v>
      </c>
      <c r="D206" t="s">
        <v>642</v>
      </c>
      <c r="E206">
        <v>1</v>
      </c>
      <c r="F206" t="s">
        <v>189</v>
      </c>
      <c r="G206">
        <v>4</v>
      </c>
      <c r="H206">
        <v>0</v>
      </c>
      <c r="I206">
        <v>174.1</v>
      </c>
      <c r="J206" t="s">
        <v>28</v>
      </c>
      <c r="K206" t="s">
        <v>22</v>
      </c>
      <c r="L206">
        <v>8.17</v>
      </c>
      <c r="M206" t="s">
        <v>34</v>
      </c>
      <c r="N206" t="str">
        <f t="shared" si="12"/>
        <v>Vermeersch</v>
      </c>
      <c r="O206" t="str">
        <f t="shared" si="13"/>
        <v>David</v>
      </c>
      <c r="P206" t="e">
        <f t="shared" ca="1" si="14"/>
        <v>#NAME?</v>
      </c>
      <c r="Q206" t="str">
        <f t="shared" si="15"/>
        <v>Tevreden</v>
      </c>
    </row>
    <row r="207" spans="1:17" x14ac:dyDescent="0.3">
      <c r="A207" t="s">
        <v>643</v>
      </c>
      <c r="B207">
        <v>9735067852</v>
      </c>
      <c r="C207" t="s">
        <v>644</v>
      </c>
      <c r="D207" t="s">
        <v>645</v>
      </c>
      <c r="E207">
        <v>64</v>
      </c>
      <c r="F207" t="s">
        <v>128</v>
      </c>
      <c r="G207">
        <v>1</v>
      </c>
      <c r="H207">
        <v>0</v>
      </c>
      <c r="I207">
        <v>75.760000000000005</v>
      </c>
      <c r="J207" t="s">
        <v>21</v>
      </c>
      <c r="K207" t="s">
        <v>29</v>
      </c>
      <c r="L207">
        <v>7.14</v>
      </c>
      <c r="M207" t="s">
        <v>23</v>
      </c>
      <c r="N207" t="str">
        <f t="shared" si="12"/>
        <v>Swinnen</v>
      </c>
      <c r="O207" t="str">
        <f t="shared" si="13"/>
        <v>Christel</v>
      </c>
      <c r="P207" t="e">
        <f t="shared" ca="1" si="14"/>
        <v>#NAME?</v>
      </c>
      <c r="Q207" t="str">
        <f t="shared" si="15"/>
        <v>Tevreden</v>
      </c>
    </row>
    <row r="208" spans="1:17" x14ac:dyDescent="0.3">
      <c r="A208" t="s">
        <v>646</v>
      </c>
      <c r="B208">
        <v>6721154598</v>
      </c>
      <c r="C208" t="s">
        <v>647</v>
      </c>
      <c r="D208" t="s">
        <v>648</v>
      </c>
      <c r="E208">
        <v>55</v>
      </c>
      <c r="F208" t="s">
        <v>115</v>
      </c>
      <c r="G208">
        <v>1</v>
      </c>
      <c r="H208">
        <v>3</v>
      </c>
      <c r="I208">
        <v>99.79</v>
      </c>
      <c r="J208" t="s">
        <v>77</v>
      </c>
      <c r="K208" t="s">
        <v>29</v>
      </c>
      <c r="L208">
        <v>7.2</v>
      </c>
      <c r="M208" t="s">
        <v>23</v>
      </c>
      <c r="N208" t="str">
        <f t="shared" si="12"/>
        <v>Lefevre</v>
      </c>
      <c r="O208" t="str">
        <f t="shared" si="13"/>
        <v>Naïm</v>
      </c>
      <c r="P208" t="e">
        <f t="shared" ca="1" si="14"/>
        <v>#NAME?</v>
      </c>
      <c r="Q208" t="str">
        <f t="shared" si="15"/>
        <v>Tevreden</v>
      </c>
    </row>
    <row r="209" spans="1:17" x14ac:dyDescent="0.3">
      <c r="A209" t="s">
        <v>649</v>
      </c>
      <c r="B209">
        <v>5509559096</v>
      </c>
      <c r="C209" t="s">
        <v>650</v>
      </c>
      <c r="D209" t="s">
        <v>50</v>
      </c>
      <c r="E209">
        <v>19</v>
      </c>
      <c r="F209" t="s">
        <v>148</v>
      </c>
      <c r="G209">
        <v>1</v>
      </c>
      <c r="H209">
        <v>0</v>
      </c>
      <c r="I209">
        <v>44.65</v>
      </c>
      <c r="J209" t="s">
        <v>28</v>
      </c>
      <c r="K209" t="s">
        <v>29</v>
      </c>
      <c r="L209">
        <v>7.7</v>
      </c>
      <c r="M209" t="s">
        <v>23</v>
      </c>
      <c r="N209" t="str">
        <f t="shared" si="12"/>
        <v>Lemmens</v>
      </c>
      <c r="O209" t="str">
        <f t="shared" si="13"/>
        <v>Bilal</v>
      </c>
      <c r="P209" t="e">
        <f t="shared" ca="1" si="14"/>
        <v>#NAME?</v>
      </c>
      <c r="Q209" t="str">
        <f t="shared" si="15"/>
        <v>Tevreden</v>
      </c>
    </row>
    <row r="210" spans="1:17" x14ac:dyDescent="0.3">
      <c r="A210" t="s">
        <v>651</v>
      </c>
      <c r="B210">
        <v>3352653421</v>
      </c>
      <c r="C210" t="s">
        <v>652</v>
      </c>
      <c r="D210" t="s">
        <v>653</v>
      </c>
      <c r="E210">
        <v>77</v>
      </c>
      <c r="F210" t="s">
        <v>115</v>
      </c>
      <c r="G210">
        <v>6</v>
      </c>
      <c r="H210">
        <v>4</v>
      </c>
      <c r="I210">
        <v>249.01</v>
      </c>
      <c r="J210" t="s">
        <v>52</v>
      </c>
      <c r="K210" t="s">
        <v>22</v>
      </c>
      <c r="L210">
        <v>6.78</v>
      </c>
      <c r="M210" t="s">
        <v>23</v>
      </c>
      <c r="N210" t="str">
        <f t="shared" si="12"/>
        <v>Van de velde</v>
      </c>
      <c r="O210" t="str">
        <f t="shared" si="13"/>
        <v>Marc</v>
      </c>
      <c r="P210" t="e">
        <f t="shared" ca="1" si="14"/>
        <v>#NAME?</v>
      </c>
      <c r="Q210" t="str">
        <f t="shared" si="15"/>
        <v>Ontevreden</v>
      </c>
    </row>
    <row r="211" spans="1:17" x14ac:dyDescent="0.3">
      <c r="A211" t="s">
        <v>654</v>
      </c>
      <c r="B211">
        <v>6899682114</v>
      </c>
      <c r="C211" t="s">
        <v>655</v>
      </c>
      <c r="D211" t="s">
        <v>656</v>
      </c>
      <c r="E211">
        <v>19</v>
      </c>
      <c r="F211" t="s">
        <v>175</v>
      </c>
      <c r="G211">
        <v>1</v>
      </c>
      <c r="H211">
        <v>2</v>
      </c>
      <c r="I211">
        <v>71.709999999999994</v>
      </c>
      <c r="J211" t="s">
        <v>21</v>
      </c>
      <c r="K211" t="s">
        <v>57</v>
      </c>
      <c r="L211">
        <v>6.48</v>
      </c>
      <c r="M211" t="s">
        <v>23</v>
      </c>
      <c r="N211" t="str">
        <f t="shared" si="12"/>
        <v>Bosmans</v>
      </c>
      <c r="O211" t="str">
        <f t="shared" si="13"/>
        <v>Joseph</v>
      </c>
      <c r="P211" t="e">
        <f t="shared" ca="1" si="14"/>
        <v>#NAME?</v>
      </c>
      <c r="Q211" t="str">
        <f t="shared" si="15"/>
        <v>Ontevreden</v>
      </c>
    </row>
    <row r="212" spans="1:17" x14ac:dyDescent="0.3">
      <c r="A212" t="s">
        <v>657</v>
      </c>
      <c r="B212">
        <v>4783141619</v>
      </c>
      <c r="C212" t="s">
        <v>658</v>
      </c>
      <c r="D212" t="s">
        <v>659</v>
      </c>
      <c r="E212">
        <v>9</v>
      </c>
      <c r="F212" t="s">
        <v>148</v>
      </c>
      <c r="G212">
        <v>1</v>
      </c>
      <c r="H212">
        <v>0</v>
      </c>
      <c r="I212">
        <v>45.22</v>
      </c>
      <c r="J212" t="s">
        <v>28</v>
      </c>
      <c r="K212" t="s">
        <v>102</v>
      </c>
      <c r="L212">
        <v>6.85</v>
      </c>
      <c r="M212" t="s">
        <v>23</v>
      </c>
      <c r="N212" t="str">
        <f t="shared" si="12"/>
        <v>Bosmans</v>
      </c>
      <c r="O212" t="str">
        <f t="shared" si="13"/>
        <v>Anne</v>
      </c>
      <c r="P212" t="e">
        <f t="shared" ca="1" si="14"/>
        <v>#NAME?</v>
      </c>
      <c r="Q212" t="str">
        <f t="shared" si="15"/>
        <v>Ontevreden</v>
      </c>
    </row>
    <row r="213" spans="1:17" x14ac:dyDescent="0.3">
      <c r="A213" t="s">
        <v>660</v>
      </c>
      <c r="B213">
        <v>8673931818</v>
      </c>
      <c r="C213" t="s">
        <v>661</v>
      </c>
      <c r="D213" t="s">
        <v>662</v>
      </c>
      <c r="E213">
        <v>42</v>
      </c>
      <c r="F213" t="s">
        <v>65</v>
      </c>
      <c r="G213">
        <v>2</v>
      </c>
      <c r="H213">
        <v>3</v>
      </c>
      <c r="I213">
        <v>142.31</v>
      </c>
      <c r="J213" t="s">
        <v>47</v>
      </c>
      <c r="K213" t="s">
        <v>57</v>
      </c>
      <c r="L213">
        <v>7.07</v>
      </c>
      <c r="M213" t="s">
        <v>23</v>
      </c>
      <c r="N213" t="str">
        <f t="shared" si="12"/>
        <v>Peters</v>
      </c>
      <c r="O213" t="str">
        <f t="shared" si="13"/>
        <v>Mustafa</v>
      </c>
      <c r="P213" t="e">
        <f t="shared" ca="1" si="14"/>
        <v>#NAME?</v>
      </c>
      <c r="Q213" t="str">
        <f t="shared" si="15"/>
        <v>Tevreden</v>
      </c>
    </row>
    <row r="214" spans="1:17" x14ac:dyDescent="0.3">
      <c r="A214" t="s">
        <v>663</v>
      </c>
      <c r="B214">
        <v>7829536550</v>
      </c>
      <c r="C214" t="s">
        <v>407</v>
      </c>
      <c r="D214" t="s">
        <v>664</v>
      </c>
      <c r="E214">
        <v>19</v>
      </c>
      <c r="F214" t="s">
        <v>65</v>
      </c>
      <c r="G214">
        <v>4</v>
      </c>
      <c r="H214">
        <v>1</v>
      </c>
      <c r="I214">
        <v>220.04</v>
      </c>
      <c r="J214" t="s">
        <v>28</v>
      </c>
      <c r="K214" t="s">
        <v>57</v>
      </c>
      <c r="L214">
        <v>6.91</v>
      </c>
      <c r="M214" t="s">
        <v>23</v>
      </c>
      <c r="N214" t="str">
        <f t="shared" si="12"/>
        <v>Toussaint</v>
      </c>
      <c r="O214" t="str">
        <f t="shared" si="13"/>
        <v>Saïda</v>
      </c>
      <c r="P214" t="e">
        <f t="shared" ca="1" si="14"/>
        <v>#NAME?</v>
      </c>
      <c r="Q214" t="str">
        <f t="shared" si="15"/>
        <v>Ontevreden</v>
      </c>
    </row>
    <row r="215" spans="1:17" x14ac:dyDescent="0.3">
      <c r="A215" t="s">
        <v>665</v>
      </c>
      <c r="B215">
        <v>2268157467</v>
      </c>
      <c r="C215" t="s">
        <v>666</v>
      </c>
      <c r="D215" t="s">
        <v>667</v>
      </c>
      <c r="E215">
        <v>34</v>
      </c>
      <c r="F215" t="s">
        <v>82</v>
      </c>
      <c r="G215">
        <v>1</v>
      </c>
      <c r="H215">
        <v>2</v>
      </c>
      <c r="I215">
        <v>53.49</v>
      </c>
      <c r="J215" t="s">
        <v>28</v>
      </c>
      <c r="K215" t="s">
        <v>29</v>
      </c>
      <c r="L215">
        <v>8.98</v>
      </c>
      <c r="M215" t="s">
        <v>34</v>
      </c>
      <c r="N215" t="str">
        <f t="shared" si="12"/>
        <v>Janssen</v>
      </c>
      <c r="O215" t="str">
        <f t="shared" si="13"/>
        <v>Sienna</v>
      </c>
      <c r="P215" t="e">
        <f t="shared" ca="1" si="14"/>
        <v>#NAME?</v>
      </c>
      <c r="Q215" t="str">
        <f t="shared" si="15"/>
        <v>Tevreden</v>
      </c>
    </row>
    <row r="216" spans="1:17" x14ac:dyDescent="0.3">
      <c r="A216" t="s">
        <v>668</v>
      </c>
      <c r="B216">
        <v>4377762717</v>
      </c>
      <c r="C216" t="s">
        <v>669</v>
      </c>
      <c r="D216" t="s">
        <v>670</v>
      </c>
      <c r="E216">
        <v>21</v>
      </c>
      <c r="F216" t="s">
        <v>115</v>
      </c>
      <c r="G216">
        <v>2</v>
      </c>
      <c r="H216">
        <v>0</v>
      </c>
      <c r="I216">
        <v>53.85</v>
      </c>
      <c r="J216" t="s">
        <v>21</v>
      </c>
      <c r="K216" t="s">
        <v>22</v>
      </c>
      <c r="L216">
        <v>6.59</v>
      </c>
      <c r="M216" t="s">
        <v>23</v>
      </c>
      <c r="N216" t="str">
        <f t="shared" si="12"/>
        <v>Etienne</v>
      </c>
      <c r="O216" t="str">
        <f t="shared" si="13"/>
        <v>Jule</v>
      </c>
      <c r="P216" t="e">
        <f t="shared" ca="1" si="14"/>
        <v>#NAME?</v>
      </c>
      <c r="Q216" t="str">
        <f t="shared" si="15"/>
        <v>Ontevreden</v>
      </c>
    </row>
    <row r="217" spans="1:17" x14ac:dyDescent="0.3">
      <c r="A217" t="s">
        <v>671</v>
      </c>
      <c r="B217">
        <v>1238300696</v>
      </c>
      <c r="C217" t="s">
        <v>672</v>
      </c>
      <c r="D217" t="s">
        <v>238</v>
      </c>
      <c r="E217">
        <v>4</v>
      </c>
      <c r="F217" t="s">
        <v>229</v>
      </c>
      <c r="G217">
        <v>1</v>
      </c>
      <c r="H217">
        <v>2</v>
      </c>
      <c r="I217">
        <v>77.3</v>
      </c>
      <c r="J217" t="s">
        <v>77</v>
      </c>
      <c r="K217" t="s">
        <v>29</v>
      </c>
      <c r="L217">
        <v>7.24</v>
      </c>
      <c r="M217" t="s">
        <v>23</v>
      </c>
      <c r="N217" t="str">
        <f t="shared" si="12"/>
        <v>Declercq</v>
      </c>
      <c r="O217" t="str">
        <f t="shared" si="13"/>
        <v>Elene</v>
      </c>
      <c r="P217" t="e">
        <f t="shared" ca="1" si="14"/>
        <v>#NAME?</v>
      </c>
      <c r="Q217" t="str">
        <f t="shared" si="15"/>
        <v>Tevreden</v>
      </c>
    </row>
    <row r="218" spans="1:17" x14ac:dyDescent="0.3">
      <c r="A218" t="s">
        <v>673</v>
      </c>
      <c r="B218">
        <v>9593771640</v>
      </c>
      <c r="C218" t="s">
        <v>674</v>
      </c>
      <c r="D218" t="s">
        <v>675</v>
      </c>
      <c r="E218">
        <v>32</v>
      </c>
      <c r="F218" t="s">
        <v>219</v>
      </c>
      <c r="G218">
        <v>2</v>
      </c>
      <c r="H218">
        <v>0</v>
      </c>
      <c r="I218">
        <v>52.54</v>
      </c>
      <c r="J218" t="s">
        <v>28</v>
      </c>
      <c r="K218" t="s">
        <v>57</v>
      </c>
      <c r="L218">
        <v>7.4</v>
      </c>
      <c r="M218" t="s">
        <v>23</v>
      </c>
      <c r="N218" t="str">
        <f t="shared" si="12"/>
        <v>Michiels</v>
      </c>
      <c r="O218" t="str">
        <f t="shared" si="13"/>
        <v>Sandra</v>
      </c>
      <c r="P218" t="e">
        <f t="shared" ca="1" si="14"/>
        <v>#NAME?</v>
      </c>
      <c r="Q218" t="str">
        <f t="shared" si="15"/>
        <v>Tevreden</v>
      </c>
    </row>
    <row r="219" spans="1:17" x14ac:dyDescent="0.3">
      <c r="A219" t="s">
        <v>676</v>
      </c>
      <c r="B219">
        <v>6764262651</v>
      </c>
      <c r="C219" t="s">
        <v>677</v>
      </c>
      <c r="D219" t="s">
        <v>167</v>
      </c>
      <c r="E219">
        <v>67</v>
      </c>
      <c r="F219" t="s">
        <v>175</v>
      </c>
      <c r="G219">
        <v>1</v>
      </c>
      <c r="H219">
        <v>0</v>
      </c>
      <c r="I219">
        <v>85.9</v>
      </c>
      <c r="J219" t="s">
        <v>52</v>
      </c>
      <c r="K219" t="s">
        <v>29</v>
      </c>
      <c r="L219">
        <v>7.29</v>
      </c>
      <c r="M219" t="s">
        <v>23</v>
      </c>
      <c r="N219" t="str">
        <f t="shared" si="12"/>
        <v>Janssens</v>
      </c>
      <c r="O219" t="str">
        <f t="shared" si="13"/>
        <v>Philippe</v>
      </c>
      <c r="P219" t="e">
        <f t="shared" ca="1" si="14"/>
        <v>#NAME?</v>
      </c>
      <c r="Q219" t="str">
        <f t="shared" si="15"/>
        <v>Tevreden</v>
      </c>
    </row>
    <row r="220" spans="1:17" x14ac:dyDescent="0.3">
      <c r="A220" t="s">
        <v>678</v>
      </c>
      <c r="B220">
        <v>8623071043</v>
      </c>
      <c r="C220" t="s">
        <v>679</v>
      </c>
      <c r="D220" t="s">
        <v>680</v>
      </c>
      <c r="E220">
        <v>2</v>
      </c>
      <c r="F220" t="s">
        <v>158</v>
      </c>
      <c r="G220">
        <v>2</v>
      </c>
      <c r="H220">
        <v>0</v>
      </c>
      <c r="I220">
        <v>53.44</v>
      </c>
      <c r="J220" t="s">
        <v>52</v>
      </c>
      <c r="K220" t="s">
        <v>22</v>
      </c>
      <c r="L220">
        <v>5.97</v>
      </c>
      <c r="M220" t="s">
        <v>78</v>
      </c>
      <c r="N220" t="str">
        <f t="shared" si="12"/>
        <v>Denis</v>
      </c>
      <c r="O220" t="str">
        <f t="shared" si="13"/>
        <v>Henri</v>
      </c>
      <c r="P220" t="e">
        <f t="shared" ca="1" si="14"/>
        <v>#NAME?</v>
      </c>
      <c r="Q220" t="str">
        <f t="shared" si="15"/>
        <v>Ontevreden</v>
      </c>
    </row>
    <row r="221" spans="1:17" x14ac:dyDescent="0.3">
      <c r="A221" t="s">
        <v>681</v>
      </c>
      <c r="B221">
        <v>5605873646</v>
      </c>
      <c r="C221" t="s">
        <v>682</v>
      </c>
      <c r="D221" t="s">
        <v>683</v>
      </c>
      <c r="E221">
        <v>64</v>
      </c>
      <c r="F221" t="s">
        <v>51</v>
      </c>
      <c r="G221">
        <v>6</v>
      </c>
      <c r="H221">
        <v>4</v>
      </c>
      <c r="I221">
        <v>279.64</v>
      </c>
      <c r="J221" t="s">
        <v>52</v>
      </c>
      <c r="K221" t="s">
        <v>57</v>
      </c>
      <c r="L221">
        <v>6.93</v>
      </c>
      <c r="M221" t="s">
        <v>23</v>
      </c>
      <c r="N221" t="str">
        <f t="shared" si="12"/>
        <v>Janssens</v>
      </c>
      <c r="O221" t="str">
        <f t="shared" si="13"/>
        <v>Seppe</v>
      </c>
      <c r="P221" t="e">
        <f t="shared" ca="1" si="14"/>
        <v>#NAME?</v>
      </c>
      <c r="Q221" t="str">
        <f t="shared" si="15"/>
        <v>Ontevreden</v>
      </c>
    </row>
    <row r="222" spans="1:17" x14ac:dyDescent="0.3">
      <c r="A222" t="s">
        <v>684</v>
      </c>
      <c r="B222">
        <v>449847948</v>
      </c>
      <c r="C222" t="s">
        <v>685</v>
      </c>
      <c r="D222" t="s">
        <v>686</v>
      </c>
      <c r="E222">
        <v>18</v>
      </c>
      <c r="F222" t="s">
        <v>51</v>
      </c>
      <c r="G222">
        <v>2</v>
      </c>
      <c r="H222">
        <v>0</v>
      </c>
      <c r="I222">
        <v>119.3</v>
      </c>
      <c r="J222" t="s">
        <v>52</v>
      </c>
      <c r="K222" t="s">
        <v>57</v>
      </c>
      <c r="L222">
        <v>7.38</v>
      </c>
      <c r="M222" t="s">
        <v>23</v>
      </c>
      <c r="N222" t="str">
        <f t="shared" si="12"/>
        <v>Janssens</v>
      </c>
      <c r="O222" t="str">
        <f t="shared" si="13"/>
        <v>Eddy</v>
      </c>
      <c r="P222" t="e">
        <f t="shared" ca="1" si="14"/>
        <v>#NAME?</v>
      </c>
      <c r="Q222" t="str">
        <f t="shared" si="15"/>
        <v>Tevreden</v>
      </c>
    </row>
    <row r="223" spans="1:17" x14ac:dyDescent="0.3">
      <c r="A223" t="s">
        <v>687</v>
      </c>
      <c r="B223">
        <v>6956704435</v>
      </c>
      <c r="C223" t="s">
        <v>688</v>
      </c>
      <c r="D223" t="s">
        <v>561</v>
      </c>
      <c r="E223">
        <v>20</v>
      </c>
      <c r="F223" t="s">
        <v>189</v>
      </c>
      <c r="G223">
        <v>2</v>
      </c>
      <c r="H223">
        <v>0</v>
      </c>
      <c r="I223">
        <v>92.79</v>
      </c>
      <c r="J223" t="s">
        <v>52</v>
      </c>
      <c r="K223" t="s">
        <v>22</v>
      </c>
      <c r="L223">
        <v>8.0399999999999991</v>
      </c>
      <c r="M223" t="s">
        <v>34</v>
      </c>
      <c r="N223" t="str">
        <f t="shared" si="12"/>
        <v>Beckers</v>
      </c>
      <c r="O223" t="str">
        <f t="shared" si="13"/>
        <v>Freddy</v>
      </c>
      <c r="P223" t="e">
        <f t="shared" ca="1" si="14"/>
        <v>#NAME?</v>
      </c>
      <c r="Q223" t="str">
        <f t="shared" si="15"/>
        <v>Tevreden</v>
      </c>
    </row>
    <row r="224" spans="1:17" x14ac:dyDescent="0.3">
      <c r="A224" t="s">
        <v>689</v>
      </c>
      <c r="B224">
        <v>6518125173</v>
      </c>
      <c r="C224" t="s">
        <v>690</v>
      </c>
      <c r="D224" t="s">
        <v>284</v>
      </c>
      <c r="E224">
        <v>8</v>
      </c>
      <c r="F224" t="s">
        <v>33</v>
      </c>
      <c r="G224">
        <v>1</v>
      </c>
      <c r="H224">
        <v>4</v>
      </c>
      <c r="I224">
        <v>265.74</v>
      </c>
      <c r="J224" t="s">
        <v>52</v>
      </c>
      <c r="K224" t="s">
        <v>22</v>
      </c>
      <c r="L224">
        <v>6.96</v>
      </c>
      <c r="M224" t="s">
        <v>23</v>
      </c>
      <c r="N224" t="str">
        <f t="shared" si="12"/>
        <v>De bie</v>
      </c>
      <c r="O224" t="str">
        <f t="shared" si="13"/>
        <v>Pauline</v>
      </c>
      <c r="P224" t="e">
        <f t="shared" ca="1" si="14"/>
        <v>#NAME?</v>
      </c>
      <c r="Q224" t="str">
        <f t="shared" si="15"/>
        <v>Ontevreden</v>
      </c>
    </row>
    <row r="225" spans="1:17" x14ac:dyDescent="0.3">
      <c r="A225" t="s">
        <v>691</v>
      </c>
      <c r="B225">
        <v>7495544525</v>
      </c>
      <c r="C225" t="s">
        <v>692</v>
      </c>
      <c r="D225" t="s">
        <v>693</v>
      </c>
      <c r="E225">
        <v>152</v>
      </c>
      <c r="F225" t="s">
        <v>189</v>
      </c>
      <c r="G225">
        <v>2</v>
      </c>
      <c r="H225">
        <v>4</v>
      </c>
      <c r="I225">
        <v>123.86</v>
      </c>
      <c r="J225" t="s">
        <v>28</v>
      </c>
      <c r="K225" t="s">
        <v>57</v>
      </c>
      <c r="L225">
        <v>7.21</v>
      </c>
      <c r="M225" t="s">
        <v>23</v>
      </c>
      <c r="N225" t="str">
        <f t="shared" si="12"/>
        <v>Vandewalle</v>
      </c>
      <c r="O225" t="str">
        <f t="shared" si="13"/>
        <v>Martine</v>
      </c>
      <c r="P225" t="e">
        <f t="shared" ca="1" si="14"/>
        <v>#NAME?</v>
      </c>
      <c r="Q225" t="str">
        <f t="shared" si="15"/>
        <v>Tevreden</v>
      </c>
    </row>
    <row r="226" spans="1:17" x14ac:dyDescent="0.3">
      <c r="A226" t="s">
        <v>694</v>
      </c>
      <c r="B226">
        <v>254879515</v>
      </c>
      <c r="C226" t="s">
        <v>695</v>
      </c>
      <c r="D226" t="s">
        <v>696</v>
      </c>
      <c r="E226">
        <v>55</v>
      </c>
      <c r="F226" t="s">
        <v>27</v>
      </c>
      <c r="G226">
        <v>1</v>
      </c>
      <c r="H226">
        <v>2</v>
      </c>
      <c r="I226">
        <v>106.51</v>
      </c>
      <c r="J226" t="s">
        <v>52</v>
      </c>
      <c r="K226" t="s">
        <v>22</v>
      </c>
      <c r="L226">
        <v>6.65</v>
      </c>
      <c r="M226" t="s">
        <v>23</v>
      </c>
      <c r="N226" t="str">
        <f t="shared" si="12"/>
        <v>Andries</v>
      </c>
      <c r="O226" t="str">
        <f t="shared" si="13"/>
        <v>Marilou</v>
      </c>
      <c r="P226" t="e">
        <f t="shared" ca="1" si="14"/>
        <v>#NAME?</v>
      </c>
      <c r="Q226" t="str">
        <f t="shared" si="15"/>
        <v>Ontevreden</v>
      </c>
    </row>
    <row r="227" spans="1:17" x14ac:dyDescent="0.3">
      <c r="A227" t="s">
        <v>697</v>
      </c>
      <c r="B227">
        <v>6212375660</v>
      </c>
      <c r="C227" t="s">
        <v>698</v>
      </c>
      <c r="D227" t="s">
        <v>37</v>
      </c>
      <c r="E227">
        <v>65</v>
      </c>
      <c r="F227" t="s">
        <v>76</v>
      </c>
      <c r="G227">
        <v>1</v>
      </c>
      <c r="H227">
        <v>0</v>
      </c>
      <c r="I227">
        <v>120.18</v>
      </c>
      <c r="J227" t="s">
        <v>52</v>
      </c>
      <c r="K227" t="s">
        <v>57</v>
      </c>
      <c r="L227">
        <v>7.38</v>
      </c>
      <c r="M227" t="s">
        <v>23</v>
      </c>
      <c r="N227" t="str">
        <f t="shared" si="12"/>
        <v>Gielen</v>
      </c>
      <c r="O227" t="str">
        <f t="shared" si="13"/>
        <v>Jonathan</v>
      </c>
      <c r="P227" t="e">
        <f t="shared" ca="1" si="14"/>
        <v>#NAME?</v>
      </c>
      <c r="Q227" t="str">
        <f t="shared" si="15"/>
        <v>Tevreden</v>
      </c>
    </row>
    <row r="228" spans="1:17" x14ac:dyDescent="0.3">
      <c r="A228" t="s">
        <v>699</v>
      </c>
      <c r="B228">
        <v>814091592</v>
      </c>
      <c r="C228" t="s">
        <v>700</v>
      </c>
      <c r="D228" t="s">
        <v>85</v>
      </c>
      <c r="E228">
        <v>7</v>
      </c>
      <c r="F228" t="s">
        <v>115</v>
      </c>
      <c r="G228">
        <v>2</v>
      </c>
      <c r="H228">
        <v>0</v>
      </c>
      <c r="I228">
        <v>33.26</v>
      </c>
      <c r="J228" t="s">
        <v>28</v>
      </c>
      <c r="K228" t="s">
        <v>57</v>
      </c>
      <c r="L228">
        <v>7.11</v>
      </c>
      <c r="M228" t="s">
        <v>23</v>
      </c>
      <c r="N228" t="str">
        <f t="shared" si="12"/>
        <v>Lacroix</v>
      </c>
      <c r="O228" t="str">
        <f t="shared" si="13"/>
        <v>An</v>
      </c>
      <c r="P228" t="e">
        <f t="shared" ca="1" si="14"/>
        <v>#NAME?</v>
      </c>
      <c r="Q228" t="str">
        <f t="shared" si="15"/>
        <v>Tevreden</v>
      </c>
    </row>
    <row r="229" spans="1:17" x14ac:dyDescent="0.3">
      <c r="A229" t="s">
        <v>701</v>
      </c>
      <c r="B229">
        <v>7257488523</v>
      </c>
      <c r="C229" t="s">
        <v>702</v>
      </c>
      <c r="D229" t="s">
        <v>703</v>
      </c>
      <c r="E229">
        <v>65</v>
      </c>
      <c r="F229" t="s">
        <v>128</v>
      </c>
      <c r="G229">
        <v>2</v>
      </c>
      <c r="H229">
        <v>1</v>
      </c>
      <c r="I229">
        <v>63.95</v>
      </c>
      <c r="J229" t="s">
        <v>28</v>
      </c>
      <c r="K229" t="s">
        <v>29</v>
      </c>
      <c r="L229">
        <v>7.33</v>
      </c>
      <c r="M229" t="s">
        <v>23</v>
      </c>
      <c r="N229" t="str">
        <f t="shared" si="12"/>
        <v>Verhulst</v>
      </c>
      <c r="O229" t="str">
        <f t="shared" si="13"/>
        <v>Wilma</v>
      </c>
      <c r="P229" t="e">
        <f t="shared" ca="1" si="14"/>
        <v>#NAME?</v>
      </c>
      <c r="Q229" t="str">
        <f t="shared" si="15"/>
        <v>Tevreden</v>
      </c>
    </row>
    <row r="230" spans="1:17" x14ac:dyDescent="0.3">
      <c r="A230" t="s">
        <v>704</v>
      </c>
      <c r="B230">
        <v>4543883236</v>
      </c>
      <c r="C230" t="s">
        <v>705</v>
      </c>
      <c r="D230" t="s">
        <v>222</v>
      </c>
      <c r="E230">
        <v>88</v>
      </c>
      <c r="F230" t="s">
        <v>706</v>
      </c>
      <c r="G230">
        <v>6</v>
      </c>
      <c r="H230">
        <v>0</v>
      </c>
      <c r="I230">
        <v>105.07</v>
      </c>
      <c r="J230" t="s">
        <v>21</v>
      </c>
      <c r="K230" t="s">
        <v>57</v>
      </c>
      <c r="L230">
        <v>6.8</v>
      </c>
      <c r="M230" t="s">
        <v>23</v>
      </c>
      <c r="N230" t="str">
        <f t="shared" si="12"/>
        <v>Van den eynde</v>
      </c>
      <c r="O230" t="str">
        <f t="shared" si="13"/>
        <v>Alessandro</v>
      </c>
      <c r="P230" t="e">
        <f t="shared" ca="1" si="14"/>
        <v>#NAME?</v>
      </c>
      <c r="Q230" t="str">
        <f t="shared" si="15"/>
        <v>Ontevreden</v>
      </c>
    </row>
    <row r="231" spans="1:17" x14ac:dyDescent="0.3">
      <c r="A231" t="s">
        <v>707</v>
      </c>
      <c r="B231">
        <v>499089561</v>
      </c>
      <c r="C231" t="s">
        <v>708</v>
      </c>
      <c r="D231" t="s">
        <v>299</v>
      </c>
      <c r="E231">
        <v>20</v>
      </c>
      <c r="F231" t="s">
        <v>82</v>
      </c>
      <c r="G231">
        <v>4</v>
      </c>
      <c r="H231">
        <v>2</v>
      </c>
      <c r="I231">
        <v>140.63999999999999</v>
      </c>
      <c r="J231" t="s">
        <v>28</v>
      </c>
      <c r="K231" t="s">
        <v>29</v>
      </c>
      <c r="L231">
        <v>7.09</v>
      </c>
      <c r="M231" t="s">
        <v>23</v>
      </c>
      <c r="N231" t="str">
        <f t="shared" si="12"/>
        <v>Tanghe</v>
      </c>
      <c r="O231" t="str">
        <f t="shared" si="13"/>
        <v>Jennifer</v>
      </c>
      <c r="P231" t="e">
        <f t="shared" ca="1" si="14"/>
        <v>#NAME?</v>
      </c>
      <c r="Q231" t="str">
        <f t="shared" si="15"/>
        <v>Tevreden</v>
      </c>
    </row>
    <row r="232" spans="1:17" x14ac:dyDescent="0.3">
      <c r="A232" t="s">
        <v>709</v>
      </c>
      <c r="B232">
        <v>3999196954</v>
      </c>
      <c r="C232" t="s">
        <v>710</v>
      </c>
      <c r="D232" t="s">
        <v>567</v>
      </c>
      <c r="E232">
        <v>57</v>
      </c>
      <c r="F232" t="s">
        <v>27</v>
      </c>
      <c r="G232">
        <v>1</v>
      </c>
      <c r="H232">
        <v>1</v>
      </c>
      <c r="I232">
        <v>55.14</v>
      </c>
      <c r="J232" t="s">
        <v>77</v>
      </c>
      <c r="K232" t="s">
        <v>22</v>
      </c>
      <c r="L232">
        <v>6.88</v>
      </c>
      <c r="M232" t="s">
        <v>23</v>
      </c>
      <c r="N232" t="str">
        <f t="shared" si="12"/>
        <v>Borremans</v>
      </c>
      <c r="O232" t="str">
        <f t="shared" si="13"/>
        <v>Angélique</v>
      </c>
      <c r="P232" t="e">
        <f t="shared" ca="1" si="14"/>
        <v>#NAME?</v>
      </c>
      <c r="Q232" t="str">
        <f t="shared" si="15"/>
        <v>Ontevreden</v>
      </c>
    </row>
    <row r="233" spans="1:17" x14ac:dyDescent="0.3">
      <c r="A233" t="s">
        <v>711</v>
      </c>
      <c r="B233">
        <v>5701403220</v>
      </c>
      <c r="C233" t="s">
        <v>712</v>
      </c>
      <c r="D233" t="s">
        <v>222</v>
      </c>
      <c r="E233">
        <v>34</v>
      </c>
      <c r="F233" t="s">
        <v>46</v>
      </c>
      <c r="G233">
        <v>2</v>
      </c>
      <c r="H233">
        <v>0</v>
      </c>
      <c r="I233">
        <v>87.21</v>
      </c>
      <c r="J233" t="s">
        <v>47</v>
      </c>
      <c r="K233" t="s">
        <v>29</v>
      </c>
      <c r="L233">
        <v>6.36</v>
      </c>
      <c r="M233" t="s">
        <v>78</v>
      </c>
      <c r="N233" t="str">
        <f t="shared" si="12"/>
        <v>Mertens</v>
      </c>
      <c r="O233" t="str">
        <f t="shared" si="13"/>
        <v>Gertrude</v>
      </c>
      <c r="P233" t="e">
        <f t="shared" ca="1" si="14"/>
        <v>#NAME?</v>
      </c>
      <c r="Q233" t="str">
        <f t="shared" si="15"/>
        <v>Ontevreden</v>
      </c>
    </row>
    <row r="234" spans="1:17" x14ac:dyDescent="0.3">
      <c r="A234" t="s">
        <v>713</v>
      </c>
      <c r="B234">
        <v>2534724351</v>
      </c>
      <c r="C234" t="s">
        <v>714</v>
      </c>
      <c r="D234" t="s">
        <v>715</v>
      </c>
      <c r="E234">
        <v>33</v>
      </c>
      <c r="F234" t="s">
        <v>46</v>
      </c>
      <c r="G234">
        <v>1</v>
      </c>
      <c r="H234">
        <v>2</v>
      </c>
      <c r="I234">
        <v>86.6</v>
      </c>
      <c r="J234" t="s">
        <v>47</v>
      </c>
      <c r="K234" t="s">
        <v>22</v>
      </c>
      <c r="L234">
        <v>6.88</v>
      </c>
      <c r="M234" t="s">
        <v>23</v>
      </c>
      <c r="N234" t="str">
        <f t="shared" si="12"/>
        <v>Lambert</v>
      </c>
      <c r="O234" t="str">
        <f t="shared" si="13"/>
        <v>Marc</v>
      </c>
      <c r="P234" t="e">
        <f t="shared" ca="1" si="14"/>
        <v>#NAME?</v>
      </c>
      <c r="Q234" t="str">
        <f t="shared" si="15"/>
        <v>Ontevreden</v>
      </c>
    </row>
    <row r="235" spans="1:17" x14ac:dyDescent="0.3">
      <c r="A235" t="s">
        <v>716</v>
      </c>
      <c r="B235">
        <v>2475557971</v>
      </c>
      <c r="C235" t="s">
        <v>717</v>
      </c>
      <c r="D235" t="s">
        <v>680</v>
      </c>
      <c r="E235">
        <v>10</v>
      </c>
      <c r="F235" t="s">
        <v>363</v>
      </c>
      <c r="G235">
        <v>2</v>
      </c>
      <c r="H235">
        <v>0</v>
      </c>
      <c r="I235">
        <v>34.31</v>
      </c>
      <c r="J235" t="s">
        <v>21</v>
      </c>
      <c r="K235" t="s">
        <v>22</v>
      </c>
      <c r="L235">
        <v>8.02</v>
      </c>
      <c r="M235" t="s">
        <v>34</v>
      </c>
      <c r="N235" t="str">
        <f t="shared" si="12"/>
        <v>Nijs</v>
      </c>
      <c r="O235" t="str">
        <f t="shared" si="13"/>
        <v>Joris</v>
      </c>
      <c r="P235" t="e">
        <f t="shared" ca="1" si="14"/>
        <v>#NAME?</v>
      </c>
      <c r="Q235" t="str">
        <f t="shared" si="15"/>
        <v>Tevreden</v>
      </c>
    </row>
    <row r="236" spans="1:17" x14ac:dyDescent="0.3">
      <c r="A236" t="s">
        <v>718</v>
      </c>
      <c r="B236">
        <v>4166153984</v>
      </c>
      <c r="C236" t="s">
        <v>719</v>
      </c>
      <c r="D236" t="s">
        <v>720</v>
      </c>
      <c r="E236">
        <v>16</v>
      </c>
      <c r="F236" t="s">
        <v>115</v>
      </c>
      <c r="G236">
        <v>2</v>
      </c>
      <c r="H236">
        <v>1</v>
      </c>
      <c r="I236">
        <v>75.25</v>
      </c>
      <c r="J236" t="s">
        <v>52</v>
      </c>
      <c r="K236" t="s">
        <v>29</v>
      </c>
      <c r="L236">
        <v>7.23</v>
      </c>
      <c r="M236" t="s">
        <v>23</v>
      </c>
      <c r="N236" t="str">
        <f t="shared" si="12"/>
        <v>Claes</v>
      </c>
      <c r="O236" t="str">
        <f t="shared" si="13"/>
        <v>Mark</v>
      </c>
      <c r="P236" t="e">
        <f t="shared" ca="1" si="14"/>
        <v>#NAME?</v>
      </c>
      <c r="Q236" t="str">
        <f t="shared" si="15"/>
        <v>Tevreden</v>
      </c>
    </row>
    <row r="237" spans="1:17" x14ac:dyDescent="0.3">
      <c r="A237" t="s">
        <v>721</v>
      </c>
      <c r="B237">
        <v>2145010962</v>
      </c>
      <c r="C237" t="s">
        <v>722</v>
      </c>
      <c r="D237" t="s">
        <v>723</v>
      </c>
      <c r="E237">
        <v>7</v>
      </c>
      <c r="F237" t="s">
        <v>229</v>
      </c>
      <c r="G237">
        <v>4</v>
      </c>
      <c r="H237">
        <v>0</v>
      </c>
      <c r="I237">
        <v>144.57</v>
      </c>
      <c r="J237" t="s">
        <v>21</v>
      </c>
      <c r="K237" t="s">
        <v>22</v>
      </c>
      <c r="L237">
        <v>7.39</v>
      </c>
      <c r="M237" t="s">
        <v>23</v>
      </c>
      <c r="N237" t="str">
        <f t="shared" si="12"/>
        <v>Nijs</v>
      </c>
      <c r="O237" t="str">
        <f t="shared" si="13"/>
        <v>Kaat</v>
      </c>
      <c r="P237" t="e">
        <f t="shared" ca="1" si="14"/>
        <v>#NAME?</v>
      </c>
      <c r="Q237" t="str">
        <f t="shared" si="15"/>
        <v>Tevreden</v>
      </c>
    </row>
    <row r="238" spans="1:17" x14ac:dyDescent="0.3">
      <c r="A238" t="s">
        <v>724</v>
      </c>
      <c r="B238">
        <v>1409777960</v>
      </c>
      <c r="C238" t="s">
        <v>725</v>
      </c>
      <c r="D238" t="s">
        <v>726</v>
      </c>
      <c r="E238">
        <v>65</v>
      </c>
      <c r="F238" t="s">
        <v>20</v>
      </c>
      <c r="G238">
        <v>2</v>
      </c>
      <c r="H238">
        <v>1</v>
      </c>
      <c r="I238">
        <v>50.22</v>
      </c>
      <c r="J238" t="s">
        <v>77</v>
      </c>
      <c r="K238" t="s">
        <v>22</v>
      </c>
      <c r="L238">
        <v>7.53</v>
      </c>
      <c r="M238" t="s">
        <v>23</v>
      </c>
      <c r="N238" t="str">
        <f t="shared" si="12"/>
        <v>Van hoof</v>
      </c>
      <c r="O238" t="str">
        <f t="shared" si="13"/>
        <v>Pascal</v>
      </c>
      <c r="P238" t="e">
        <f t="shared" ca="1" si="14"/>
        <v>#NAME?</v>
      </c>
      <c r="Q238" t="str">
        <f t="shared" si="15"/>
        <v>Tevreden</v>
      </c>
    </row>
    <row r="239" spans="1:17" x14ac:dyDescent="0.3">
      <c r="A239" t="s">
        <v>727</v>
      </c>
      <c r="B239">
        <v>4488943466</v>
      </c>
      <c r="C239" t="s">
        <v>728</v>
      </c>
      <c r="D239" t="s">
        <v>729</v>
      </c>
      <c r="E239">
        <v>12</v>
      </c>
      <c r="F239" t="s">
        <v>189</v>
      </c>
      <c r="G239">
        <v>2</v>
      </c>
      <c r="H239">
        <v>0</v>
      </c>
      <c r="I239">
        <v>105.92</v>
      </c>
      <c r="J239" t="s">
        <v>28</v>
      </c>
      <c r="K239" t="s">
        <v>22</v>
      </c>
      <c r="L239">
        <v>7.2</v>
      </c>
      <c r="M239" t="s">
        <v>23</v>
      </c>
      <c r="N239" t="str">
        <f t="shared" si="12"/>
        <v>Joris</v>
      </c>
      <c r="O239" t="str">
        <f t="shared" si="13"/>
        <v>Hans</v>
      </c>
      <c r="P239" t="e">
        <f t="shared" ca="1" si="14"/>
        <v>#NAME?</v>
      </c>
      <c r="Q239" t="str">
        <f t="shared" si="15"/>
        <v>Tevreden</v>
      </c>
    </row>
    <row r="240" spans="1:17" x14ac:dyDescent="0.3">
      <c r="A240" t="s">
        <v>730</v>
      </c>
      <c r="B240">
        <v>2903015080</v>
      </c>
      <c r="C240" t="s">
        <v>731</v>
      </c>
      <c r="D240" t="s">
        <v>461</v>
      </c>
      <c r="E240">
        <v>43</v>
      </c>
      <c r="F240" t="s">
        <v>42</v>
      </c>
      <c r="G240">
        <v>1</v>
      </c>
      <c r="H240">
        <v>0</v>
      </c>
      <c r="I240">
        <v>20.37</v>
      </c>
      <c r="J240" t="s">
        <v>77</v>
      </c>
      <c r="K240" t="s">
        <v>29</v>
      </c>
      <c r="L240">
        <v>7.68</v>
      </c>
      <c r="M240" t="s">
        <v>23</v>
      </c>
      <c r="N240" t="str">
        <f t="shared" si="12"/>
        <v>Mortier</v>
      </c>
      <c r="O240" t="str">
        <f t="shared" si="13"/>
        <v>Jérôme</v>
      </c>
      <c r="P240" t="e">
        <f t="shared" ca="1" si="14"/>
        <v>#NAME?</v>
      </c>
      <c r="Q240" t="str">
        <f t="shared" si="15"/>
        <v>Tevreden</v>
      </c>
    </row>
    <row r="241" spans="1:17" x14ac:dyDescent="0.3">
      <c r="A241" t="s">
        <v>732</v>
      </c>
      <c r="B241">
        <v>6801905957</v>
      </c>
      <c r="C241" t="s">
        <v>733</v>
      </c>
      <c r="D241" t="s">
        <v>734</v>
      </c>
      <c r="E241">
        <v>35</v>
      </c>
      <c r="F241" t="s">
        <v>98</v>
      </c>
      <c r="G241">
        <v>2</v>
      </c>
      <c r="H241">
        <v>0</v>
      </c>
      <c r="I241">
        <v>108.69</v>
      </c>
      <c r="J241" t="s">
        <v>52</v>
      </c>
      <c r="K241" t="s">
        <v>29</v>
      </c>
      <c r="L241">
        <v>7.81</v>
      </c>
      <c r="M241" t="s">
        <v>23</v>
      </c>
      <c r="N241" t="str">
        <f t="shared" si="12"/>
        <v>Gerard</v>
      </c>
      <c r="O241" t="str">
        <f t="shared" si="13"/>
        <v>Elisabeth</v>
      </c>
      <c r="P241" t="e">
        <f t="shared" ca="1" si="14"/>
        <v>#NAME?</v>
      </c>
      <c r="Q241" t="str">
        <f t="shared" si="15"/>
        <v>Tevreden</v>
      </c>
    </row>
    <row r="242" spans="1:17" x14ac:dyDescent="0.3">
      <c r="A242" t="s">
        <v>735</v>
      </c>
      <c r="B242">
        <v>7479481798</v>
      </c>
      <c r="C242" t="s">
        <v>736</v>
      </c>
      <c r="D242" t="s">
        <v>737</v>
      </c>
      <c r="E242">
        <v>32</v>
      </c>
      <c r="F242" t="s">
        <v>82</v>
      </c>
      <c r="G242">
        <v>2</v>
      </c>
      <c r="H242">
        <v>0</v>
      </c>
      <c r="I242">
        <v>84.5</v>
      </c>
      <c r="J242" t="s">
        <v>28</v>
      </c>
      <c r="K242" t="s">
        <v>22</v>
      </c>
      <c r="L242">
        <v>7.88</v>
      </c>
      <c r="M242" t="s">
        <v>34</v>
      </c>
      <c r="N242" t="str">
        <f t="shared" si="12"/>
        <v>Goossens</v>
      </c>
      <c r="O242" t="str">
        <f t="shared" si="13"/>
        <v>Senne</v>
      </c>
      <c r="P242" t="e">
        <f t="shared" ca="1" si="14"/>
        <v>#NAME?</v>
      </c>
      <c r="Q242" t="str">
        <f t="shared" si="15"/>
        <v>Tevreden</v>
      </c>
    </row>
    <row r="243" spans="1:17" x14ac:dyDescent="0.3">
      <c r="A243" t="s">
        <v>738</v>
      </c>
      <c r="B243">
        <v>6204745767</v>
      </c>
      <c r="C243" t="s">
        <v>739</v>
      </c>
      <c r="D243" t="s">
        <v>225</v>
      </c>
      <c r="E243">
        <v>31</v>
      </c>
      <c r="F243" t="s">
        <v>27</v>
      </c>
      <c r="G243">
        <v>1</v>
      </c>
      <c r="H243">
        <v>4</v>
      </c>
      <c r="I243">
        <v>170.91</v>
      </c>
      <c r="J243" t="s">
        <v>47</v>
      </c>
      <c r="K243" t="s">
        <v>22</v>
      </c>
      <c r="L243">
        <v>7.19</v>
      </c>
      <c r="M243" t="s">
        <v>23</v>
      </c>
      <c r="N243" t="str">
        <f t="shared" si="12"/>
        <v>Van den bossche</v>
      </c>
      <c r="O243" t="str">
        <f t="shared" si="13"/>
        <v>Yohanes</v>
      </c>
      <c r="P243" t="e">
        <f t="shared" ca="1" si="14"/>
        <v>#NAME?</v>
      </c>
      <c r="Q243" t="str">
        <f t="shared" si="15"/>
        <v>Tevreden</v>
      </c>
    </row>
    <row r="244" spans="1:17" x14ac:dyDescent="0.3">
      <c r="A244" t="s">
        <v>740</v>
      </c>
      <c r="B244">
        <v>5811378180</v>
      </c>
      <c r="C244" t="s">
        <v>741</v>
      </c>
      <c r="D244" t="s">
        <v>742</v>
      </c>
      <c r="E244">
        <v>15</v>
      </c>
      <c r="F244" t="s">
        <v>33</v>
      </c>
      <c r="G244">
        <v>1</v>
      </c>
      <c r="H244">
        <v>1</v>
      </c>
      <c r="I244">
        <v>75.64</v>
      </c>
      <c r="J244" t="s">
        <v>28</v>
      </c>
      <c r="K244" t="s">
        <v>22</v>
      </c>
      <c r="L244">
        <v>7.47</v>
      </c>
      <c r="M244" t="s">
        <v>23</v>
      </c>
      <c r="N244" t="str">
        <f t="shared" si="12"/>
        <v>Wellens</v>
      </c>
      <c r="O244" t="str">
        <f t="shared" si="13"/>
        <v>Miguel</v>
      </c>
      <c r="P244" t="e">
        <f t="shared" ca="1" si="14"/>
        <v>#NAME?</v>
      </c>
      <c r="Q244" t="str">
        <f t="shared" si="15"/>
        <v>Tevreden</v>
      </c>
    </row>
    <row r="245" spans="1:17" x14ac:dyDescent="0.3">
      <c r="A245" t="s">
        <v>743</v>
      </c>
      <c r="B245">
        <v>6306061889</v>
      </c>
      <c r="C245" t="s">
        <v>744</v>
      </c>
      <c r="D245" t="s">
        <v>745</v>
      </c>
      <c r="E245">
        <v>3</v>
      </c>
      <c r="F245" t="s">
        <v>33</v>
      </c>
      <c r="G245">
        <v>1</v>
      </c>
      <c r="H245">
        <v>4</v>
      </c>
      <c r="I245">
        <v>132.49</v>
      </c>
      <c r="J245" t="s">
        <v>28</v>
      </c>
      <c r="K245" t="s">
        <v>29</v>
      </c>
      <c r="L245">
        <v>6.07</v>
      </c>
      <c r="M245" t="s">
        <v>78</v>
      </c>
      <c r="N245" t="str">
        <f t="shared" si="12"/>
        <v>Willems</v>
      </c>
      <c r="O245" t="str">
        <f t="shared" si="13"/>
        <v>Daniel</v>
      </c>
      <c r="P245" t="e">
        <f t="shared" ca="1" si="14"/>
        <v>#NAME?</v>
      </c>
      <c r="Q245" t="str">
        <f t="shared" si="15"/>
        <v>Ontevreden</v>
      </c>
    </row>
    <row r="246" spans="1:17" x14ac:dyDescent="0.3">
      <c r="A246" t="s">
        <v>746</v>
      </c>
      <c r="B246">
        <v>864374464</v>
      </c>
      <c r="C246" t="s">
        <v>747</v>
      </c>
      <c r="D246" t="s">
        <v>101</v>
      </c>
      <c r="E246">
        <v>23</v>
      </c>
      <c r="F246" t="s">
        <v>65</v>
      </c>
      <c r="G246">
        <v>2</v>
      </c>
      <c r="H246">
        <v>5</v>
      </c>
      <c r="I246">
        <v>167.29</v>
      </c>
      <c r="J246" t="s">
        <v>47</v>
      </c>
      <c r="K246" t="s">
        <v>57</v>
      </c>
      <c r="L246">
        <v>6.85</v>
      </c>
      <c r="M246" t="s">
        <v>23</v>
      </c>
      <c r="N246" t="str">
        <f t="shared" si="12"/>
        <v>Cools</v>
      </c>
      <c r="O246" t="str">
        <f t="shared" si="13"/>
        <v>Alessandro</v>
      </c>
      <c r="P246" t="e">
        <f t="shared" ca="1" si="14"/>
        <v>#NAME?</v>
      </c>
      <c r="Q246" t="str">
        <f t="shared" si="15"/>
        <v>Ontevreden</v>
      </c>
    </row>
    <row r="247" spans="1:17" x14ac:dyDescent="0.3">
      <c r="A247" t="s">
        <v>748</v>
      </c>
      <c r="B247">
        <v>9456912160</v>
      </c>
      <c r="C247" t="s">
        <v>749</v>
      </c>
      <c r="D247" t="s">
        <v>750</v>
      </c>
      <c r="E247">
        <v>95</v>
      </c>
      <c r="F247" t="s">
        <v>197</v>
      </c>
      <c r="G247">
        <v>1</v>
      </c>
      <c r="H247">
        <v>0</v>
      </c>
      <c r="I247">
        <v>110.31</v>
      </c>
      <c r="J247" t="s">
        <v>28</v>
      </c>
      <c r="K247" t="s">
        <v>22</v>
      </c>
      <c r="L247">
        <v>7.17</v>
      </c>
      <c r="M247" t="s">
        <v>23</v>
      </c>
      <c r="N247" t="str">
        <f t="shared" si="12"/>
        <v>Janssens</v>
      </c>
      <c r="O247" t="str">
        <f t="shared" si="13"/>
        <v>Sarah</v>
      </c>
      <c r="P247" t="e">
        <f t="shared" ca="1" si="14"/>
        <v>#NAME?</v>
      </c>
      <c r="Q247" t="str">
        <f t="shared" si="15"/>
        <v>Tevreden</v>
      </c>
    </row>
    <row r="248" spans="1:17" x14ac:dyDescent="0.3">
      <c r="A248" t="s">
        <v>751</v>
      </c>
      <c r="B248">
        <v>7619768559</v>
      </c>
      <c r="C248" t="s">
        <v>752</v>
      </c>
      <c r="D248" t="s">
        <v>670</v>
      </c>
      <c r="E248">
        <v>22</v>
      </c>
      <c r="F248" t="s">
        <v>82</v>
      </c>
      <c r="G248">
        <v>2</v>
      </c>
      <c r="H248">
        <v>1</v>
      </c>
      <c r="I248">
        <v>139.44999999999999</v>
      </c>
      <c r="J248" t="s">
        <v>77</v>
      </c>
      <c r="K248" t="s">
        <v>22</v>
      </c>
      <c r="L248">
        <v>7.1</v>
      </c>
      <c r="M248" t="s">
        <v>23</v>
      </c>
      <c r="N248" t="str">
        <f t="shared" si="12"/>
        <v>Vermeire</v>
      </c>
      <c r="O248" t="str">
        <f t="shared" si="13"/>
        <v>Véronique</v>
      </c>
      <c r="P248" t="e">
        <f t="shared" ca="1" si="14"/>
        <v>#NAME?</v>
      </c>
      <c r="Q248" t="str">
        <f t="shared" si="15"/>
        <v>Tevreden</v>
      </c>
    </row>
    <row r="249" spans="1:17" x14ac:dyDescent="0.3">
      <c r="A249" t="s">
        <v>753</v>
      </c>
      <c r="B249">
        <v>9813671676</v>
      </c>
      <c r="C249" t="s">
        <v>754</v>
      </c>
      <c r="D249" t="s">
        <v>755</v>
      </c>
      <c r="E249">
        <v>38</v>
      </c>
      <c r="F249" t="s">
        <v>128</v>
      </c>
      <c r="G249">
        <v>1</v>
      </c>
      <c r="H249">
        <v>0</v>
      </c>
      <c r="I249">
        <v>104.56</v>
      </c>
      <c r="J249" t="s">
        <v>47</v>
      </c>
      <c r="K249" t="s">
        <v>102</v>
      </c>
      <c r="L249">
        <v>7.57</v>
      </c>
      <c r="M249" t="s">
        <v>23</v>
      </c>
      <c r="N249" t="str">
        <f t="shared" si="12"/>
        <v>Van de voorde</v>
      </c>
      <c r="O249" t="str">
        <f t="shared" si="13"/>
        <v>Roxane</v>
      </c>
      <c r="P249" t="e">
        <f t="shared" ca="1" si="14"/>
        <v>#NAME?</v>
      </c>
      <c r="Q249" t="str">
        <f t="shared" si="15"/>
        <v>Tevreden</v>
      </c>
    </row>
    <row r="250" spans="1:17" x14ac:dyDescent="0.3">
      <c r="A250" t="s">
        <v>756</v>
      </c>
      <c r="B250">
        <v>6672532464</v>
      </c>
      <c r="C250" t="s">
        <v>757</v>
      </c>
      <c r="D250" t="s">
        <v>758</v>
      </c>
      <c r="E250">
        <v>47</v>
      </c>
      <c r="F250" t="s">
        <v>219</v>
      </c>
      <c r="G250">
        <v>2</v>
      </c>
      <c r="H250">
        <v>5</v>
      </c>
      <c r="I250">
        <v>174.02</v>
      </c>
      <c r="J250" t="s">
        <v>21</v>
      </c>
      <c r="K250" t="s">
        <v>22</v>
      </c>
      <c r="L250">
        <v>7.01</v>
      </c>
      <c r="M250" t="s">
        <v>23</v>
      </c>
      <c r="N250" t="str">
        <f t="shared" si="12"/>
        <v>Hermans</v>
      </c>
      <c r="O250" t="str">
        <f t="shared" si="13"/>
        <v>Ionu</v>
      </c>
      <c r="P250" t="e">
        <f t="shared" ca="1" si="14"/>
        <v>#NAME?</v>
      </c>
      <c r="Q250" t="str">
        <f t="shared" si="15"/>
        <v>Tevreden</v>
      </c>
    </row>
    <row r="251" spans="1:17" x14ac:dyDescent="0.3">
      <c r="A251" t="s">
        <v>759</v>
      </c>
      <c r="B251">
        <v>5094243698</v>
      </c>
      <c r="C251" t="s">
        <v>760</v>
      </c>
      <c r="D251" t="s">
        <v>761</v>
      </c>
      <c r="E251">
        <v>53</v>
      </c>
      <c r="F251" t="s">
        <v>115</v>
      </c>
      <c r="G251">
        <v>1</v>
      </c>
      <c r="H251">
        <v>0</v>
      </c>
      <c r="I251">
        <v>58.16</v>
      </c>
      <c r="J251" t="s">
        <v>77</v>
      </c>
      <c r="K251" t="s">
        <v>57</v>
      </c>
      <c r="L251">
        <v>7.33</v>
      </c>
      <c r="M251" t="s">
        <v>23</v>
      </c>
      <c r="N251" t="str">
        <f t="shared" si="12"/>
        <v>Georges</v>
      </c>
      <c r="O251" t="str">
        <f t="shared" si="13"/>
        <v>Fanchon</v>
      </c>
      <c r="P251" t="e">
        <f t="shared" ca="1" si="14"/>
        <v>#NAME?</v>
      </c>
      <c r="Q251" t="str">
        <f t="shared" si="15"/>
        <v>Tevreden</v>
      </c>
    </row>
    <row r="252" spans="1:17" x14ac:dyDescent="0.3">
      <c r="A252" t="s">
        <v>762</v>
      </c>
      <c r="B252">
        <v>9467224738</v>
      </c>
      <c r="C252" t="s">
        <v>763</v>
      </c>
      <c r="D252" t="s">
        <v>764</v>
      </c>
      <c r="E252">
        <v>2</v>
      </c>
      <c r="F252" t="s">
        <v>175</v>
      </c>
      <c r="G252">
        <v>5</v>
      </c>
      <c r="H252">
        <v>0</v>
      </c>
      <c r="I252">
        <v>161.46</v>
      </c>
      <c r="J252" t="s">
        <v>47</v>
      </c>
      <c r="K252" t="s">
        <v>29</v>
      </c>
      <c r="L252">
        <v>6.94</v>
      </c>
      <c r="M252" t="s">
        <v>23</v>
      </c>
      <c r="N252" t="str">
        <f t="shared" si="12"/>
        <v>Jacobs</v>
      </c>
      <c r="O252" t="str">
        <f t="shared" si="13"/>
        <v>Toni</v>
      </c>
      <c r="P252" t="e">
        <f t="shared" ca="1" si="14"/>
        <v>#NAME?</v>
      </c>
      <c r="Q252" t="str">
        <f t="shared" si="15"/>
        <v>Ontevreden</v>
      </c>
    </row>
    <row r="253" spans="1:17" x14ac:dyDescent="0.3">
      <c r="A253" t="s">
        <v>765</v>
      </c>
      <c r="B253">
        <v>6534358720</v>
      </c>
      <c r="C253" t="s">
        <v>766</v>
      </c>
      <c r="D253" t="s">
        <v>767</v>
      </c>
      <c r="E253">
        <v>90</v>
      </c>
      <c r="F253" t="s">
        <v>82</v>
      </c>
      <c r="G253">
        <v>4</v>
      </c>
      <c r="H253">
        <v>3</v>
      </c>
      <c r="I253">
        <v>167.32</v>
      </c>
      <c r="J253" t="s">
        <v>21</v>
      </c>
      <c r="K253" t="s">
        <v>29</v>
      </c>
      <c r="L253">
        <v>6.81</v>
      </c>
      <c r="M253" t="s">
        <v>23</v>
      </c>
      <c r="N253" t="str">
        <f t="shared" si="12"/>
        <v>Pieters</v>
      </c>
      <c r="O253" t="str">
        <f t="shared" si="13"/>
        <v>Christine</v>
      </c>
      <c r="P253" t="e">
        <f t="shared" ca="1" si="14"/>
        <v>#NAME?</v>
      </c>
      <c r="Q253" t="str">
        <f t="shared" si="15"/>
        <v>Ontevreden</v>
      </c>
    </row>
    <row r="254" spans="1:17" x14ac:dyDescent="0.3">
      <c r="A254" t="s">
        <v>768</v>
      </c>
      <c r="B254">
        <v>6506620511</v>
      </c>
      <c r="C254" t="s">
        <v>769</v>
      </c>
      <c r="D254" t="s">
        <v>770</v>
      </c>
      <c r="E254">
        <v>35</v>
      </c>
      <c r="F254" t="s">
        <v>42</v>
      </c>
      <c r="G254">
        <v>2</v>
      </c>
      <c r="H254">
        <v>2</v>
      </c>
      <c r="I254">
        <v>132.88</v>
      </c>
      <c r="J254" t="s">
        <v>28</v>
      </c>
      <c r="K254" t="s">
        <v>29</v>
      </c>
      <c r="L254">
        <v>6.8</v>
      </c>
      <c r="M254" t="s">
        <v>23</v>
      </c>
      <c r="N254" t="str">
        <f t="shared" si="12"/>
        <v>Collignon</v>
      </c>
      <c r="O254" t="str">
        <f t="shared" si="13"/>
        <v>Francine</v>
      </c>
      <c r="P254" t="e">
        <f t="shared" ca="1" si="14"/>
        <v>#NAME?</v>
      </c>
      <c r="Q254" t="str">
        <f t="shared" si="15"/>
        <v>Ontevreden</v>
      </c>
    </row>
    <row r="255" spans="1:17" x14ac:dyDescent="0.3">
      <c r="A255" t="s">
        <v>771</v>
      </c>
      <c r="B255">
        <v>3895123133</v>
      </c>
      <c r="C255" t="s">
        <v>772</v>
      </c>
      <c r="D255" t="s">
        <v>659</v>
      </c>
      <c r="E255">
        <v>96</v>
      </c>
      <c r="F255" t="s">
        <v>115</v>
      </c>
      <c r="G255">
        <v>1</v>
      </c>
      <c r="H255">
        <v>3</v>
      </c>
      <c r="I255">
        <v>132.09</v>
      </c>
      <c r="J255" t="s">
        <v>28</v>
      </c>
      <c r="K255" t="s">
        <v>29</v>
      </c>
      <c r="L255">
        <v>7.71</v>
      </c>
      <c r="M255" t="s">
        <v>23</v>
      </c>
      <c r="N255" t="str">
        <f t="shared" si="12"/>
        <v>Raes</v>
      </c>
      <c r="O255" t="str">
        <f t="shared" si="13"/>
        <v>Nuray</v>
      </c>
      <c r="P255" t="e">
        <f t="shared" ca="1" si="14"/>
        <v>#NAME?</v>
      </c>
      <c r="Q255" t="str">
        <f t="shared" si="15"/>
        <v>Tevreden</v>
      </c>
    </row>
    <row r="256" spans="1:17" x14ac:dyDescent="0.3">
      <c r="A256" t="s">
        <v>773</v>
      </c>
      <c r="B256">
        <v>7557042246</v>
      </c>
      <c r="C256" t="s">
        <v>774</v>
      </c>
      <c r="D256" t="s">
        <v>775</v>
      </c>
      <c r="E256">
        <v>60</v>
      </c>
      <c r="F256" t="s">
        <v>82</v>
      </c>
      <c r="G256">
        <v>2</v>
      </c>
      <c r="H256">
        <v>5</v>
      </c>
      <c r="I256">
        <v>205.16</v>
      </c>
      <c r="J256" t="s">
        <v>52</v>
      </c>
      <c r="K256" t="s">
        <v>29</v>
      </c>
      <c r="L256">
        <v>7.37</v>
      </c>
      <c r="M256" t="s">
        <v>23</v>
      </c>
      <c r="N256" t="str">
        <f t="shared" si="12"/>
        <v>Laurent</v>
      </c>
      <c r="O256" t="str">
        <f t="shared" si="13"/>
        <v>Bleona</v>
      </c>
      <c r="P256" t="e">
        <f t="shared" ca="1" si="14"/>
        <v>#NAME?</v>
      </c>
      <c r="Q256" t="str">
        <f t="shared" si="15"/>
        <v>Tevreden</v>
      </c>
    </row>
    <row r="257" spans="1:17" x14ac:dyDescent="0.3">
      <c r="A257" t="s">
        <v>776</v>
      </c>
      <c r="B257">
        <v>696041656</v>
      </c>
      <c r="C257" t="s">
        <v>777</v>
      </c>
      <c r="D257" t="s">
        <v>299</v>
      </c>
      <c r="E257">
        <v>22</v>
      </c>
      <c r="F257" t="s">
        <v>27</v>
      </c>
      <c r="G257">
        <v>4</v>
      </c>
      <c r="H257">
        <v>0</v>
      </c>
      <c r="I257">
        <v>126.81</v>
      </c>
      <c r="J257" t="s">
        <v>52</v>
      </c>
      <c r="K257" t="s">
        <v>22</v>
      </c>
      <c r="L257">
        <v>7.04</v>
      </c>
      <c r="M257" t="s">
        <v>23</v>
      </c>
      <c r="N257" t="str">
        <f t="shared" si="12"/>
        <v>Michiels</v>
      </c>
      <c r="O257" t="str">
        <f t="shared" si="13"/>
        <v>Mila</v>
      </c>
      <c r="P257" t="e">
        <f t="shared" ca="1" si="14"/>
        <v>#NAME?</v>
      </c>
      <c r="Q257" t="str">
        <f t="shared" si="15"/>
        <v>Tevreden</v>
      </c>
    </row>
    <row r="258" spans="1:17" x14ac:dyDescent="0.3">
      <c r="A258" t="s">
        <v>778</v>
      </c>
      <c r="B258">
        <v>9289456928</v>
      </c>
      <c r="C258" t="s">
        <v>779</v>
      </c>
      <c r="D258" t="s">
        <v>780</v>
      </c>
      <c r="E258">
        <v>5</v>
      </c>
      <c r="F258" t="s">
        <v>175</v>
      </c>
      <c r="G258">
        <v>1</v>
      </c>
      <c r="H258">
        <v>0</v>
      </c>
      <c r="I258">
        <v>38.94</v>
      </c>
      <c r="J258" t="s">
        <v>52</v>
      </c>
      <c r="K258" t="s">
        <v>22</v>
      </c>
      <c r="L258">
        <v>6.66</v>
      </c>
      <c r="M258" t="s">
        <v>23</v>
      </c>
      <c r="N258" t="str">
        <f t="shared" ref="N258:N321" si="16">LEFT(A258, FIND(",", A258)-1)</f>
        <v>Heylen</v>
      </c>
      <c r="O258" t="str">
        <f t="shared" ref="O258:O321" si="17">MID(A258, FIND(",", A258)+2, LEN(A258))</f>
        <v>Brandon</v>
      </c>
      <c r="P258" t="e">
        <f t="shared" ref="P258:P321" ca="1" si="18">SWITCH(J258, "Zelden", 1, "Af en toe", 4, "Regelmatig", 8, "Vaak", 12)</f>
        <v>#NAME?</v>
      </c>
      <c r="Q258" t="str">
        <f t="shared" ref="Q258:Q321" si="19">IF(L258&gt;=7, "Tevreden", "Ontevreden")</f>
        <v>Ontevreden</v>
      </c>
    </row>
    <row r="259" spans="1:17" x14ac:dyDescent="0.3">
      <c r="A259" t="s">
        <v>781</v>
      </c>
      <c r="B259">
        <v>8438798978</v>
      </c>
      <c r="C259" t="s">
        <v>782</v>
      </c>
      <c r="D259" t="s">
        <v>645</v>
      </c>
      <c r="E259">
        <v>18</v>
      </c>
      <c r="F259" t="s">
        <v>783</v>
      </c>
      <c r="G259">
        <v>2</v>
      </c>
      <c r="H259">
        <v>0</v>
      </c>
      <c r="I259">
        <v>93</v>
      </c>
      <c r="J259" t="s">
        <v>47</v>
      </c>
      <c r="K259" t="s">
        <v>57</v>
      </c>
      <c r="L259">
        <v>7.31</v>
      </c>
      <c r="M259" t="s">
        <v>23</v>
      </c>
      <c r="N259" t="str">
        <f t="shared" si="16"/>
        <v>Hubert</v>
      </c>
      <c r="O259" t="str">
        <f t="shared" si="17"/>
        <v>Elodie</v>
      </c>
      <c r="P259" t="e">
        <f t="shared" ca="1" si="18"/>
        <v>#NAME?</v>
      </c>
      <c r="Q259" t="str">
        <f t="shared" si="19"/>
        <v>Tevreden</v>
      </c>
    </row>
    <row r="260" spans="1:17" x14ac:dyDescent="0.3">
      <c r="A260" t="s">
        <v>784</v>
      </c>
      <c r="B260">
        <v>4759925484</v>
      </c>
      <c r="C260" t="s">
        <v>785</v>
      </c>
      <c r="D260" t="s">
        <v>786</v>
      </c>
      <c r="E260">
        <v>42</v>
      </c>
      <c r="F260" t="s">
        <v>148</v>
      </c>
      <c r="G260">
        <v>2</v>
      </c>
      <c r="H260">
        <v>0</v>
      </c>
      <c r="I260">
        <v>112.41</v>
      </c>
      <c r="J260" t="s">
        <v>77</v>
      </c>
      <c r="K260" t="s">
        <v>22</v>
      </c>
      <c r="L260">
        <v>7.46</v>
      </c>
      <c r="M260" t="s">
        <v>23</v>
      </c>
      <c r="N260" t="str">
        <f t="shared" si="16"/>
        <v>Wuyts</v>
      </c>
      <c r="O260" t="str">
        <f t="shared" si="17"/>
        <v>Jordi</v>
      </c>
      <c r="P260" t="e">
        <f t="shared" ca="1" si="18"/>
        <v>#NAME?</v>
      </c>
      <c r="Q260" t="str">
        <f t="shared" si="19"/>
        <v>Tevreden</v>
      </c>
    </row>
    <row r="261" spans="1:17" x14ac:dyDescent="0.3">
      <c r="A261" t="s">
        <v>787</v>
      </c>
      <c r="B261">
        <v>5469060383</v>
      </c>
      <c r="C261" t="s">
        <v>788</v>
      </c>
      <c r="D261" t="s">
        <v>789</v>
      </c>
      <c r="E261">
        <v>6</v>
      </c>
      <c r="F261" t="s">
        <v>42</v>
      </c>
      <c r="G261">
        <v>1</v>
      </c>
      <c r="H261">
        <v>0</v>
      </c>
      <c r="I261">
        <v>20.49</v>
      </c>
      <c r="J261" t="s">
        <v>52</v>
      </c>
      <c r="K261" t="s">
        <v>22</v>
      </c>
      <c r="L261">
        <v>5.87</v>
      </c>
      <c r="M261" t="s">
        <v>78</v>
      </c>
      <c r="N261" t="str">
        <f t="shared" si="16"/>
        <v>Gilson</v>
      </c>
      <c r="O261" t="str">
        <f t="shared" si="17"/>
        <v>Abdelkrim</v>
      </c>
      <c r="P261" t="e">
        <f t="shared" ca="1" si="18"/>
        <v>#NAME?</v>
      </c>
      <c r="Q261" t="str">
        <f t="shared" si="19"/>
        <v>Ontevreden</v>
      </c>
    </row>
    <row r="262" spans="1:17" x14ac:dyDescent="0.3">
      <c r="A262" t="s">
        <v>790</v>
      </c>
      <c r="B262">
        <v>9185403418</v>
      </c>
      <c r="C262" t="s">
        <v>791</v>
      </c>
      <c r="D262" t="s">
        <v>792</v>
      </c>
      <c r="E262">
        <v>35</v>
      </c>
      <c r="F262" t="s">
        <v>148</v>
      </c>
      <c r="G262">
        <v>2</v>
      </c>
      <c r="H262">
        <v>2</v>
      </c>
      <c r="I262">
        <v>64.58</v>
      </c>
      <c r="J262" t="s">
        <v>28</v>
      </c>
      <c r="K262" t="s">
        <v>29</v>
      </c>
      <c r="L262">
        <v>7.05</v>
      </c>
      <c r="M262" t="s">
        <v>23</v>
      </c>
      <c r="N262" t="str">
        <f t="shared" si="16"/>
        <v>Van acker</v>
      </c>
      <c r="O262" t="str">
        <f t="shared" si="17"/>
        <v>Henri</v>
      </c>
      <c r="P262" t="e">
        <f t="shared" ca="1" si="18"/>
        <v>#NAME?</v>
      </c>
      <c r="Q262" t="str">
        <f t="shared" si="19"/>
        <v>Tevreden</v>
      </c>
    </row>
    <row r="263" spans="1:17" x14ac:dyDescent="0.3">
      <c r="A263" t="s">
        <v>793</v>
      </c>
      <c r="B263">
        <v>5417765471</v>
      </c>
      <c r="C263" t="s">
        <v>794</v>
      </c>
      <c r="D263" t="s">
        <v>795</v>
      </c>
      <c r="E263">
        <v>34</v>
      </c>
      <c r="F263" t="s">
        <v>189</v>
      </c>
      <c r="G263">
        <v>3</v>
      </c>
      <c r="H263">
        <v>0</v>
      </c>
      <c r="I263">
        <v>138.47999999999999</v>
      </c>
      <c r="J263" t="s">
        <v>47</v>
      </c>
      <c r="K263" t="s">
        <v>22</v>
      </c>
      <c r="L263">
        <v>7.6</v>
      </c>
      <c r="M263" t="s">
        <v>23</v>
      </c>
      <c r="N263" t="str">
        <f t="shared" si="16"/>
        <v>Wouters</v>
      </c>
      <c r="O263" t="str">
        <f t="shared" si="17"/>
        <v>Pierre</v>
      </c>
      <c r="P263" t="e">
        <f t="shared" ca="1" si="18"/>
        <v>#NAME?</v>
      </c>
      <c r="Q263" t="str">
        <f t="shared" si="19"/>
        <v>Tevreden</v>
      </c>
    </row>
    <row r="264" spans="1:17" x14ac:dyDescent="0.3">
      <c r="A264" t="s">
        <v>796</v>
      </c>
      <c r="B264">
        <v>7697711382</v>
      </c>
      <c r="C264" t="s">
        <v>797</v>
      </c>
      <c r="D264" t="s">
        <v>124</v>
      </c>
      <c r="E264">
        <v>9</v>
      </c>
      <c r="F264" t="s">
        <v>76</v>
      </c>
      <c r="G264">
        <v>5</v>
      </c>
      <c r="H264">
        <v>0</v>
      </c>
      <c r="I264">
        <v>69.650000000000006</v>
      </c>
      <c r="J264" t="s">
        <v>28</v>
      </c>
      <c r="K264" t="s">
        <v>57</v>
      </c>
      <c r="L264">
        <v>7.22</v>
      </c>
      <c r="M264" t="s">
        <v>23</v>
      </c>
      <c r="N264" t="str">
        <f t="shared" si="16"/>
        <v>Van hove</v>
      </c>
      <c r="O264" t="str">
        <f t="shared" si="17"/>
        <v>Gabriel</v>
      </c>
      <c r="P264" t="e">
        <f t="shared" ca="1" si="18"/>
        <v>#NAME?</v>
      </c>
      <c r="Q264" t="str">
        <f t="shared" si="19"/>
        <v>Tevreden</v>
      </c>
    </row>
    <row r="265" spans="1:17" x14ac:dyDescent="0.3">
      <c r="A265" t="s">
        <v>798</v>
      </c>
      <c r="B265">
        <v>3895048815</v>
      </c>
      <c r="C265" t="s">
        <v>799</v>
      </c>
      <c r="D265" t="s">
        <v>440</v>
      </c>
      <c r="E265">
        <v>59</v>
      </c>
      <c r="F265" t="s">
        <v>148</v>
      </c>
      <c r="G265">
        <v>2</v>
      </c>
      <c r="H265">
        <v>4</v>
      </c>
      <c r="I265">
        <v>119.33</v>
      </c>
      <c r="J265" t="s">
        <v>28</v>
      </c>
      <c r="K265" t="s">
        <v>57</v>
      </c>
      <c r="L265">
        <v>6.7</v>
      </c>
      <c r="M265" t="s">
        <v>23</v>
      </c>
      <c r="N265" t="str">
        <f t="shared" si="16"/>
        <v>Van den broeck</v>
      </c>
      <c r="O265" t="str">
        <f t="shared" si="17"/>
        <v>Manon</v>
      </c>
      <c r="P265" t="e">
        <f t="shared" ca="1" si="18"/>
        <v>#NAME?</v>
      </c>
      <c r="Q265" t="str">
        <f t="shared" si="19"/>
        <v>Ontevreden</v>
      </c>
    </row>
    <row r="266" spans="1:17" x14ac:dyDescent="0.3">
      <c r="A266" t="s">
        <v>800</v>
      </c>
      <c r="B266">
        <v>888118486</v>
      </c>
      <c r="C266" t="s">
        <v>801</v>
      </c>
      <c r="D266" t="s">
        <v>802</v>
      </c>
      <c r="E266">
        <v>5</v>
      </c>
      <c r="F266" t="s">
        <v>189</v>
      </c>
      <c r="G266">
        <v>1</v>
      </c>
      <c r="H266">
        <v>0</v>
      </c>
      <c r="I266">
        <v>142.13</v>
      </c>
      <c r="J266" t="s">
        <v>28</v>
      </c>
      <c r="K266" t="s">
        <v>29</v>
      </c>
      <c r="L266">
        <v>7.41</v>
      </c>
      <c r="M266" t="s">
        <v>23</v>
      </c>
      <c r="N266" t="str">
        <f t="shared" si="16"/>
        <v>Verstraeten</v>
      </c>
      <c r="O266" t="str">
        <f t="shared" si="17"/>
        <v>Ewelina</v>
      </c>
      <c r="P266" t="e">
        <f t="shared" ca="1" si="18"/>
        <v>#NAME?</v>
      </c>
      <c r="Q266" t="str">
        <f t="shared" si="19"/>
        <v>Tevreden</v>
      </c>
    </row>
    <row r="267" spans="1:17" x14ac:dyDescent="0.3">
      <c r="A267" t="s">
        <v>803</v>
      </c>
      <c r="B267">
        <v>9053916691</v>
      </c>
      <c r="C267" t="s">
        <v>804</v>
      </c>
      <c r="D267" t="s">
        <v>648</v>
      </c>
      <c r="E267">
        <v>16</v>
      </c>
      <c r="F267" t="s">
        <v>354</v>
      </c>
      <c r="G267">
        <v>1</v>
      </c>
      <c r="H267">
        <v>2</v>
      </c>
      <c r="I267">
        <v>125.68</v>
      </c>
      <c r="J267" t="s">
        <v>77</v>
      </c>
      <c r="K267" t="s">
        <v>22</v>
      </c>
      <c r="L267">
        <v>8.3800000000000008</v>
      </c>
      <c r="M267" t="s">
        <v>34</v>
      </c>
      <c r="N267" t="str">
        <f t="shared" si="16"/>
        <v>Poncelet</v>
      </c>
      <c r="O267" t="str">
        <f t="shared" si="17"/>
        <v>Juliette</v>
      </c>
      <c r="P267" t="e">
        <f t="shared" ca="1" si="18"/>
        <v>#NAME?</v>
      </c>
      <c r="Q267" t="str">
        <f t="shared" si="19"/>
        <v>Tevreden</v>
      </c>
    </row>
    <row r="268" spans="1:17" x14ac:dyDescent="0.3">
      <c r="A268" t="s">
        <v>805</v>
      </c>
      <c r="B268">
        <v>2215649330</v>
      </c>
      <c r="C268" t="s">
        <v>806</v>
      </c>
      <c r="D268" t="s">
        <v>807</v>
      </c>
      <c r="E268">
        <v>31</v>
      </c>
      <c r="F268" t="s">
        <v>128</v>
      </c>
      <c r="G268">
        <v>1</v>
      </c>
      <c r="H268">
        <v>2</v>
      </c>
      <c r="I268">
        <v>104.5</v>
      </c>
      <c r="J268" t="s">
        <v>52</v>
      </c>
      <c r="K268" t="s">
        <v>29</v>
      </c>
      <c r="L268">
        <v>7.79</v>
      </c>
      <c r="M268" t="s">
        <v>34</v>
      </c>
      <c r="N268" t="str">
        <f t="shared" si="16"/>
        <v>David</v>
      </c>
      <c r="O268" t="str">
        <f t="shared" si="17"/>
        <v>Monique</v>
      </c>
      <c r="P268" t="e">
        <f t="shared" ca="1" si="18"/>
        <v>#NAME?</v>
      </c>
      <c r="Q268" t="str">
        <f t="shared" si="19"/>
        <v>Tevreden</v>
      </c>
    </row>
    <row r="269" spans="1:17" x14ac:dyDescent="0.3">
      <c r="A269" t="s">
        <v>808</v>
      </c>
      <c r="B269">
        <v>3257273978</v>
      </c>
      <c r="C269" t="s">
        <v>809</v>
      </c>
      <c r="D269" t="s">
        <v>810</v>
      </c>
      <c r="E269">
        <v>4</v>
      </c>
      <c r="F269" t="s">
        <v>82</v>
      </c>
      <c r="G269">
        <v>1</v>
      </c>
      <c r="H269">
        <v>0</v>
      </c>
      <c r="I269">
        <v>161.22</v>
      </c>
      <c r="J269" t="s">
        <v>21</v>
      </c>
      <c r="K269" t="s">
        <v>29</v>
      </c>
      <c r="L269">
        <v>7.29</v>
      </c>
      <c r="M269" t="s">
        <v>23</v>
      </c>
      <c r="N269" t="str">
        <f t="shared" si="16"/>
        <v>Guillaume</v>
      </c>
      <c r="O269" t="str">
        <f t="shared" si="17"/>
        <v>Saskia</v>
      </c>
      <c r="P269" t="e">
        <f t="shared" ca="1" si="18"/>
        <v>#NAME?</v>
      </c>
      <c r="Q269" t="str">
        <f t="shared" si="19"/>
        <v>Tevreden</v>
      </c>
    </row>
    <row r="270" spans="1:17" x14ac:dyDescent="0.3">
      <c r="A270" t="s">
        <v>811</v>
      </c>
      <c r="B270">
        <v>6244457547</v>
      </c>
      <c r="C270" t="s">
        <v>812</v>
      </c>
      <c r="D270" t="s">
        <v>561</v>
      </c>
      <c r="E270">
        <v>10</v>
      </c>
      <c r="F270" t="s">
        <v>115</v>
      </c>
      <c r="G270">
        <v>6</v>
      </c>
      <c r="H270">
        <v>2</v>
      </c>
      <c r="I270">
        <v>134.79</v>
      </c>
      <c r="J270" t="s">
        <v>21</v>
      </c>
      <c r="K270" t="s">
        <v>22</v>
      </c>
      <c r="L270">
        <v>6.72</v>
      </c>
      <c r="M270" t="s">
        <v>23</v>
      </c>
      <c r="N270" t="str">
        <f t="shared" si="16"/>
        <v>De bruyne</v>
      </c>
      <c r="O270" t="str">
        <f t="shared" si="17"/>
        <v>Angela</v>
      </c>
      <c r="P270" t="e">
        <f t="shared" ca="1" si="18"/>
        <v>#NAME?</v>
      </c>
      <c r="Q270" t="str">
        <f t="shared" si="19"/>
        <v>Ontevreden</v>
      </c>
    </row>
    <row r="271" spans="1:17" x14ac:dyDescent="0.3">
      <c r="A271" t="s">
        <v>813</v>
      </c>
      <c r="B271">
        <v>7274345965</v>
      </c>
      <c r="C271" t="s">
        <v>814</v>
      </c>
      <c r="D271" t="s">
        <v>114</v>
      </c>
      <c r="E271">
        <v>33</v>
      </c>
      <c r="F271" t="s">
        <v>189</v>
      </c>
      <c r="G271">
        <v>2</v>
      </c>
      <c r="H271">
        <v>1</v>
      </c>
      <c r="I271">
        <v>102.26</v>
      </c>
      <c r="J271" t="s">
        <v>21</v>
      </c>
      <c r="K271" t="s">
        <v>29</v>
      </c>
      <c r="L271">
        <v>7.38</v>
      </c>
      <c r="M271" t="s">
        <v>23</v>
      </c>
      <c r="N271" t="str">
        <f t="shared" si="16"/>
        <v>Fontaine</v>
      </c>
      <c r="O271" t="str">
        <f t="shared" si="17"/>
        <v>Ingrid</v>
      </c>
      <c r="P271" t="e">
        <f t="shared" ca="1" si="18"/>
        <v>#NAME?</v>
      </c>
      <c r="Q271" t="str">
        <f t="shared" si="19"/>
        <v>Tevreden</v>
      </c>
    </row>
    <row r="272" spans="1:17" x14ac:dyDescent="0.3">
      <c r="A272" t="s">
        <v>815</v>
      </c>
      <c r="B272">
        <v>5735303014</v>
      </c>
      <c r="C272" t="s">
        <v>816</v>
      </c>
      <c r="D272" t="s">
        <v>817</v>
      </c>
      <c r="E272">
        <v>7</v>
      </c>
      <c r="F272" t="s">
        <v>115</v>
      </c>
      <c r="G272">
        <v>2</v>
      </c>
      <c r="H272">
        <v>5</v>
      </c>
      <c r="I272">
        <v>117.05</v>
      </c>
      <c r="J272" t="s">
        <v>77</v>
      </c>
      <c r="K272" t="s">
        <v>22</v>
      </c>
      <c r="L272">
        <v>7.7</v>
      </c>
      <c r="M272" t="s">
        <v>23</v>
      </c>
      <c r="N272" t="str">
        <f t="shared" si="16"/>
        <v>Huysmans</v>
      </c>
      <c r="O272" t="str">
        <f t="shared" si="17"/>
        <v>Tiffany</v>
      </c>
      <c r="P272" t="e">
        <f t="shared" ca="1" si="18"/>
        <v>#NAME?</v>
      </c>
      <c r="Q272" t="str">
        <f t="shared" si="19"/>
        <v>Tevreden</v>
      </c>
    </row>
    <row r="273" spans="1:17" x14ac:dyDescent="0.3">
      <c r="A273" t="s">
        <v>818</v>
      </c>
      <c r="B273">
        <v>6387985366</v>
      </c>
      <c r="C273" t="s">
        <v>819</v>
      </c>
      <c r="D273" t="s">
        <v>820</v>
      </c>
      <c r="E273">
        <v>7</v>
      </c>
      <c r="F273" t="s">
        <v>82</v>
      </c>
      <c r="G273">
        <v>3</v>
      </c>
      <c r="H273">
        <v>0</v>
      </c>
      <c r="I273">
        <v>19.79</v>
      </c>
      <c r="J273" t="s">
        <v>28</v>
      </c>
      <c r="K273" t="s">
        <v>22</v>
      </c>
      <c r="L273">
        <v>7.11</v>
      </c>
      <c r="M273" t="s">
        <v>23</v>
      </c>
      <c r="N273" t="str">
        <f t="shared" si="16"/>
        <v>Bosmans</v>
      </c>
      <c r="O273" t="str">
        <f t="shared" si="17"/>
        <v>Eddy</v>
      </c>
      <c r="P273" t="e">
        <f t="shared" ca="1" si="18"/>
        <v>#NAME?</v>
      </c>
      <c r="Q273" t="str">
        <f t="shared" si="19"/>
        <v>Tevreden</v>
      </c>
    </row>
    <row r="274" spans="1:17" x14ac:dyDescent="0.3">
      <c r="A274" t="s">
        <v>821</v>
      </c>
      <c r="B274">
        <v>6584622051</v>
      </c>
      <c r="C274" t="s">
        <v>822</v>
      </c>
      <c r="D274" t="s">
        <v>324</v>
      </c>
      <c r="E274">
        <v>36</v>
      </c>
      <c r="F274" t="s">
        <v>363</v>
      </c>
      <c r="G274">
        <v>2</v>
      </c>
      <c r="H274">
        <v>2</v>
      </c>
      <c r="I274">
        <v>71.27</v>
      </c>
      <c r="J274" t="s">
        <v>77</v>
      </c>
      <c r="K274" t="s">
        <v>29</v>
      </c>
      <c r="L274">
        <v>7.33</v>
      </c>
      <c r="M274" t="s">
        <v>23</v>
      </c>
      <c r="N274" t="str">
        <f t="shared" si="16"/>
        <v>Bodson</v>
      </c>
      <c r="O274" t="str">
        <f t="shared" si="17"/>
        <v>Stefanie</v>
      </c>
      <c r="P274" t="e">
        <f t="shared" ca="1" si="18"/>
        <v>#NAME?</v>
      </c>
      <c r="Q274" t="str">
        <f t="shared" si="19"/>
        <v>Tevreden</v>
      </c>
    </row>
    <row r="275" spans="1:17" x14ac:dyDescent="0.3">
      <c r="A275" t="s">
        <v>823</v>
      </c>
      <c r="B275">
        <v>4133872165</v>
      </c>
      <c r="C275" t="s">
        <v>824</v>
      </c>
      <c r="D275" t="s">
        <v>575</v>
      </c>
      <c r="E275">
        <v>31</v>
      </c>
      <c r="F275" t="s">
        <v>219</v>
      </c>
      <c r="G275">
        <v>3</v>
      </c>
      <c r="H275">
        <v>1</v>
      </c>
      <c r="I275">
        <v>107.77</v>
      </c>
      <c r="J275" t="s">
        <v>21</v>
      </c>
      <c r="K275" t="s">
        <v>29</v>
      </c>
      <c r="L275">
        <v>7.97</v>
      </c>
      <c r="M275" t="s">
        <v>34</v>
      </c>
      <c r="N275" t="str">
        <f t="shared" si="16"/>
        <v>Bernard</v>
      </c>
      <c r="O275" t="str">
        <f t="shared" si="17"/>
        <v>Rosaria</v>
      </c>
      <c r="P275" t="e">
        <f t="shared" ca="1" si="18"/>
        <v>#NAME?</v>
      </c>
      <c r="Q275" t="str">
        <f t="shared" si="19"/>
        <v>Tevreden</v>
      </c>
    </row>
    <row r="276" spans="1:17" x14ac:dyDescent="0.3">
      <c r="A276" t="s">
        <v>825</v>
      </c>
      <c r="B276">
        <v>6667633614</v>
      </c>
      <c r="C276" t="s">
        <v>826</v>
      </c>
      <c r="D276" t="s">
        <v>68</v>
      </c>
      <c r="E276">
        <v>31</v>
      </c>
      <c r="F276" t="s">
        <v>158</v>
      </c>
      <c r="G276">
        <v>2</v>
      </c>
      <c r="H276">
        <v>2</v>
      </c>
      <c r="I276">
        <v>88.79</v>
      </c>
      <c r="J276" t="s">
        <v>77</v>
      </c>
      <c r="K276" t="s">
        <v>29</v>
      </c>
      <c r="L276">
        <v>7.29</v>
      </c>
      <c r="M276" t="s">
        <v>23</v>
      </c>
      <c r="N276" t="str">
        <f t="shared" si="16"/>
        <v>Gillet</v>
      </c>
      <c r="O276" t="str">
        <f t="shared" si="17"/>
        <v>Ellen</v>
      </c>
      <c r="P276" t="e">
        <f t="shared" ca="1" si="18"/>
        <v>#NAME?</v>
      </c>
      <c r="Q276" t="str">
        <f t="shared" si="19"/>
        <v>Tevreden</v>
      </c>
    </row>
    <row r="277" spans="1:17" x14ac:dyDescent="0.3">
      <c r="A277" t="s">
        <v>827</v>
      </c>
      <c r="B277">
        <v>3332300547</v>
      </c>
      <c r="C277" t="s">
        <v>828</v>
      </c>
      <c r="D277" t="s">
        <v>829</v>
      </c>
      <c r="E277">
        <v>51</v>
      </c>
      <c r="F277" t="s">
        <v>175</v>
      </c>
      <c r="G277">
        <v>2</v>
      </c>
      <c r="H277">
        <v>2</v>
      </c>
      <c r="I277">
        <v>122.46</v>
      </c>
      <c r="J277" t="s">
        <v>28</v>
      </c>
      <c r="K277" t="s">
        <v>29</v>
      </c>
      <c r="L277">
        <v>7.15</v>
      </c>
      <c r="M277" t="s">
        <v>23</v>
      </c>
      <c r="N277" t="str">
        <f t="shared" si="16"/>
        <v>Collard</v>
      </c>
      <c r="O277" t="str">
        <f t="shared" si="17"/>
        <v>Patrick</v>
      </c>
      <c r="P277" t="e">
        <f t="shared" ca="1" si="18"/>
        <v>#NAME?</v>
      </c>
      <c r="Q277" t="str">
        <f t="shared" si="19"/>
        <v>Tevreden</v>
      </c>
    </row>
    <row r="278" spans="1:17" x14ac:dyDescent="0.3">
      <c r="A278" t="s">
        <v>830</v>
      </c>
      <c r="B278">
        <v>8752867917</v>
      </c>
      <c r="C278" t="s">
        <v>831</v>
      </c>
      <c r="D278" t="s">
        <v>764</v>
      </c>
      <c r="E278">
        <v>35</v>
      </c>
      <c r="F278" t="s">
        <v>148</v>
      </c>
      <c r="G278">
        <v>2</v>
      </c>
      <c r="H278">
        <v>2</v>
      </c>
      <c r="I278">
        <v>140.07</v>
      </c>
      <c r="J278" t="s">
        <v>77</v>
      </c>
      <c r="K278" t="s">
        <v>22</v>
      </c>
      <c r="L278">
        <v>7.52</v>
      </c>
      <c r="M278" t="s">
        <v>23</v>
      </c>
      <c r="N278" t="str">
        <f t="shared" si="16"/>
        <v>Willems</v>
      </c>
      <c r="O278" t="str">
        <f t="shared" si="17"/>
        <v>Souad</v>
      </c>
      <c r="P278" t="e">
        <f t="shared" ca="1" si="18"/>
        <v>#NAME?</v>
      </c>
      <c r="Q278" t="str">
        <f t="shared" si="19"/>
        <v>Tevreden</v>
      </c>
    </row>
    <row r="279" spans="1:17" x14ac:dyDescent="0.3">
      <c r="A279" t="s">
        <v>832</v>
      </c>
      <c r="B279">
        <v>8461170376</v>
      </c>
      <c r="C279" t="s">
        <v>833</v>
      </c>
      <c r="D279" t="s">
        <v>834</v>
      </c>
      <c r="E279">
        <v>12</v>
      </c>
      <c r="F279" t="s">
        <v>51</v>
      </c>
      <c r="G279">
        <v>1</v>
      </c>
      <c r="H279">
        <v>0</v>
      </c>
      <c r="I279">
        <v>76.819999999999993</v>
      </c>
      <c r="J279" t="s">
        <v>52</v>
      </c>
      <c r="K279" t="s">
        <v>29</v>
      </c>
      <c r="L279">
        <v>7.04</v>
      </c>
      <c r="M279" t="s">
        <v>23</v>
      </c>
      <c r="N279" t="str">
        <f t="shared" si="16"/>
        <v>Peeters</v>
      </c>
      <c r="O279" t="str">
        <f t="shared" si="17"/>
        <v>Philippe</v>
      </c>
      <c r="P279" t="e">
        <f t="shared" ca="1" si="18"/>
        <v>#NAME?</v>
      </c>
      <c r="Q279" t="str">
        <f t="shared" si="19"/>
        <v>Tevreden</v>
      </c>
    </row>
    <row r="280" spans="1:17" x14ac:dyDescent="0.3">
      <c r="A280" t="s">
        <v>835</v>
      </c>
      <c r="B280">
        <v>1346278519</v>
      </c>
      <c r="C280" t="s">
        <v>836</v>
      </c>
      <c r="D280" t="s">
        <v>761</v>
      </c>
      <c r="E280">
        <v>22</v>
      </c>
      <c r="F280" t="s">
        <v>115</v>
      </c>
      <c r="G280">
        <v>2</v>
      </c>
      <c r="H280">
        <v>0</v>
      </c>
      <c r="I280">
        <v>81.400000000000006</v>
      </c>
      <c r="J280" t="s">
        <v>28</v>
      </c>
      <c r="K280" t="s">
        <v>57</v>
      </c>
      <c r="L280">
        <v>7.36</v>
      </c>
      <c r="M280" t="s">
        <v>23</v>
      </c>
      <c r="N280" t="str">
        <f t="shared" si="16"/>
        <v>Vandeputte</v>
      </c>
      <c r="O280" t="str">
        <f t="shared" si="17"/>
        <v>Chloé</v>
      </c>
      <c r="P280" t="e">
        <f t="shared" ca="1" si="18"/>
        <v>#NAME?</v>
      </c>
      <c r="Q280" t="str">
        <f t="shared" si="19"/>
        <v>Tevreden</v>
      </c>
    </row>
    <row r="281" spans="1:17" x14ac:dyDescent="0.3">
      <c r="A281" t="s">
        <v>837</v>
      </c>
      <c r="B281">
        <v>9305560620</v>
      </c>
      <c r="C281" t="s">
        <v>838</v>
      </c>
      <c r="D281" t="s">
        <v>517</v>
      </c>
      <c r="E281">
        <v>24</v>
      </c>
      <c r="F281" t="s">
        <v>128</v>
      </c>
      <c r="G281">
        <v>5</v>
      </c>
      <c r="H281">
        <v>1</v>
      </c>
      <c r="I281">
        <v>231.85</v>
      </c>
      <c r="J281" t="s">
        <v>28</v>
      </c>
      <c r="K281" t="s">
        <v>22</v>
      </c>
      <c r="L281">
        <v>6.85</v>
      </c>
      <c r="M281" t="s">
        <v>23</v>
      </c>
      <c r="N281" t="str">
        <f t="shared" si="16"/>
        <v>De laet</v>
      </c>
      <c r="O281" t="str">
        <f t="shared" si="17"/>
        <v>Tommy</v>
      </c>
      <c r="P281" t="e">
        <f t="shared" ca="1" si="18"/>
        <v>#NAME?</v>
      </c>
      <c r="Q281" t="str">
        <f t="shared" si="19"/>
        <v>Ontevreden</v>
      </c>
    </row>
    <row r="282" spans="1:17" x14ac:dyDescent="0.3">
      <c r="A282" t="s">
        <v>839</v>
      </c>
      <c r="B282">
        <v>9176363734</v>
      </c>
      <c r="C282" t="s">
        <v>840</v>
      </c>
      <c r="D282" t="s">
        <v>841</v>
      </c>
      <c r="E282">
        <v>64</v>
      </c>
      <c r="F282" t="s">
        <v>27</v>
      </c>
      <c r="G282">
        <v>2</v>
      </c>
      <c r="H282">
        <v>0</v>
      </c>
      <c r="I282">
        <v>79.48</v>
      </c>
      <c r="J282" t="s">
        <v>52</v>
      </c>
      <c r="K282" t="s">
        <v>22</v>
      </c>
      <c r="L282">
        <v>8.24</v>
      </c>
      <c r="M282" t="s">
        <v>34</v>
      </c>
      <c r="N282" t="str">
        <f t="shared" si="16"/>
        <v>Denis</v>
      </c>
      <c r="O282" t="str">
        <f t="shared" si="17"/>
        <v>Priscilla</v>
      </c>
      <c r="P282" t="e">
        <f t="shared" ca="1" si="18"/>
        <v>#NAME?</v>
      </c>
      <c r="Q282" t="str">
        <f t="shared" si="19"/>
        <v>Tevreden</v>
      </c>
    </row>
    <row r="283" spans="1:17" x14ac:dyDescent="0.3">
      <c r="A283" t="s">
        <v>842</v>
      </c>
      <c r="B283">
        <v>9219536915</v>
      </c>
      <c r="C283" t="s">
        <v>843</v>
      </c>
      <c r="D283" t="s">
        <v>844</v>
      </c>
      <c r="E283">
        <v>81</v>
      </c>
      <c r="F283" t="s">
        <v>20</v>
      </c>
      <c r="G283">
        <v>4</v>
      </c>
      <c r="H283">
        <v>2</v>
      </c>
      <c r="I283">
        <v>163.52000000000001</v>
      </c>
      <c r="J283" t="s">
        <v>52</v>
      </c>
      <c r="K283" t="s">
        <v>57</v>
      </c>
      <c r="L283">
        <v>7.14</v>
      </c>
      <c r="M283" t="s">
        <v>23</v>
      </c>
      <c r="N283" t="str">
        <f t="shared" si="16"/>
        <v>Dubois</v>
      </c>
      <c r="O283" t="str">
        <f t="shared" si="17"/>
        <v>Yüksel</v>
      </c>
      <c r="P283" t="e">
        <f t="shared" ca="1" si="18"/>
        <v>#NAME?</v>
      </c>
      <c r="Q283" t="str">
        <f t="shared" si="19"/>
        <v>Tevreden</v>
      </c>
    </row>
    <row r="284" spans="1:17" x14ac:dyDescent="0.3">
      <c r="A284" t="s">
        <v>845</v>
      </c>
      <c r="B284">
        <v>9432042920</v>
      </c>
      <c r="C284" t="s">
        <v>846</v>
      </c>
      <c r="D284" t="s">
        <v>847</v>
      </c>
      <c r="E284">
        <v>1</v>
      </c>
      <c r="F284" t="s">
        <v>229</v>
      </c>
      <c r="G284">
        <v>1</v>
      </c>
      <c r="H284">
        <v>2</v>
      </c>
      <c r="I284">
        <v>157.57</v>
      </c>
      <c r="J284" t="s">
        <v>52</v>
      </c>
      <c r="K284" t="s">
        <v>29</v>
      </c>
      <c r="L284">
        <v>7.5</v>
      </c>
      <c r="M284" t="s">
        <v>23</v>
      </c>
      <c r="N284" t="str">
        <f t="shared" si="16"/>
        <v>De waele</v>
      </c>
      <c r="O284" t="str">
        <f t="shared" si="17"/>
        <v>Kwai</v>
      </c>
      <c r="P284" t="e">
        <f t="shared" ca="1" si="18"/>
        <v>#NAME?</v>
      </c>
      <c r="Q284" t="str">
        <f t="shared" si="19"/>
        <v>Tevreden</v>
      </c>
    </row>
    <row r="285" spans="1:17" x14ac:dyDescent="0.3">
      <c r="A285" t="s">
        <v>848</v>
      </c>
      <c r="B285">
        <v>4276349489</v>
      </c>
      <c r="C285" t="s">
        <v>849</v>
      </c>
      <c r="D285" t="s">
        <v>850</v>
      </c>
      <c r="E285">
        <v>17</v>
      </c>
      <c r="F285" t="s">
        <v>20</v>
      </c>
      <c r="G285">
        <v>2</v>
      </c>
      <c r="H285">
        <v>0</v>
      </c>
      <c r="I285">
        <v>145.53</v>
      </c>
      <c r="J285" t="s">
        <v>77</v>
      </c>
      <c r="K285" t="s">
        <v>22</v>
      </c>
      <c r="L285">
        <v>7.22</v>
      </c>
      <c r="M285" t="s">
        <v>23</v>
      </c>
      <c r="N285" t="str">
        <f t="shared" si="16"/>
        <v>Mertens</v>
      </c>
      <c r="O285" t="str">
        <f t="shared" si="17"/>
        <v>Christiane</v>
      </c>
      <c r="P285" t="e">
        <f t="shared" ca="1" si="18"/>
        <v>#NAME?</v>
      </c>
      <c r="Q285" t="str">
        <f t="shared" si="19"/>
        <v>Tevreden</v>
      </c>
    </row>
    <row r="286" spans="1:17" x14ac:dyDescent="0.3">
      <c r="A286" t="s">
        <v>851</v>
      </c>
      <c r="B286">
        <v>8236463573</v>
      </c>
      <c r="C286" t="s">
        <v>852</v>
      </c>
      <c r="D286" t="s">
        <v>853</v>
      </c>
      <c r="E286">
        <v>12</v>
      </c>
      <c r="F286" t="s">
        <v>27</v>
      </c>
      <c r="G286">
        <v>1</v>
      </c>
      <c r="H286">
        <v>2</v>
      </c>
      <c r="I286">
        <v>134.30000000000001</v>
      </c>
      <c r="J286" t="s">
        <v>28</v>
      </c>
      <c r="K286" t="s">
        <v>29</v>
      </c>
      <c r="L286">
        <v>6.86</v>
      </c>
      <c r="M286" t="s">
        <v>23</v>
      </c>
      <c r="N286" t="str">
        <f t="shared" si="16"/>
        <v>Swinnen</v>
      </c>
      <c r="O286" t="str">
        <f t="shared" si="17"/>
        <v>Jozef</v>
      </c>
      <c r="P286" t="e">
        <f t="shared" ca="1" si="18"/>
        <v>#NAME?</v>
      </c>
      <c r="Q286" t="str">
        <f t="shared" si="19"/>
        <v>Ontevreden</v>
      </c>
    </row>
    <row r="287" spans="1:17" x14ac:dyDescent="0.3">
      <c r="A287" t="s">
        <v>854</v>
      </c>
      <c r="B287">
        <v>1893129228</v>
      </c>
      <c r="C287" t="s">
        <v>855</v>
      </c>
      <c r="D287" t="s">
        <v>405</v>
      </c>
      <c r="E287">
        <v>10</v>
      </c>
      <c r="F287" t="s">
        <v>115</v>
      </c>
      <c r="G287">
        <v>2</v>
      </c>
      <c r="H287">
        <v>2</v>
      </c>
      <c r="I287">
        <v>137.07</v>
      </c>
      <c r="J287" t="s">
        <v>47</v>
      </c>
      <c r="K287" t="s">
        <v>29</v>
      </c>
      <c r="L287">
        <v>7.22</v>
      </c>
      <c r="M287" t="s">
        <v>23</v>
      </c>
      <c r="N287" t="str">
        <f t="shared" si="16"/>
        <v>Dujardin</v>
      </c>
      <c r="O287" t="str">
        <f t="shared" si="17"/>
        <v>Jacqueline</v>
      </c>
      <c r="P287" t="e">
        <f t="shared" ca="1" si="18"/>
        <v>#NAME?</v>
      </c>
      <c r="Q287" t="str">
        <f t="shared" si="19"/>
        <v>Tevreden</v>
      </c>
    </row>
    <row r="288" spans="1:17" x14ac:dyDescent="0.3">
      <c r="A288" t="s">
        <v>856</v>
      </c>
      <c r="B288">
        <v>152739585</v>
      </c>
      <c r="C288" t="s">
        <v>857</v>
      </c>
      <c r="D288" t="s">
        <v>377</v>
      </c>
      <c r="E288">
        <v>18</v>
      </c>
      <c r="F288" t="s">
        <v>858</v>
      </c>
      <c r="G288">
        <v>1</v>
      </c>
      <c r="H288">
        <v>4</v>
      </c>
      <c r="I288">
        <v>113.21</v>
      </c>
      <c r="J288" t="s">
        <v>47</v>
      </c>
      <c r="K288" t="s">
        <v>29</v>
      </c>
      <c r="L288">
        <v>7.1</v>
      </c>
      <c r="M288" t="s">
        <v>23</v>
      </c>
      <c r="N288" t="str">
        <f t="shared" si="16"/>
        <v>Huybrechts</v>
      </c>
      <c r="O288" t="str">
        <f t="shared" si="17"/>
        <v>Françoise</v>
      </c>
      <c r="P288" t="e">
        <f t="shared" ca="1" si="18"/>
        <v>#NAME?</v>
      </c>
      <c r="Q288" t="str">
        <f t="shared" si="19"/>
        <v>Tevreden</v>
      </c>
    </row>
    <row r="289" spans="1:17" x14ac:dyDescent="0.3">
      <c r="A289" t="s">
        <v>859</v>
      </c>
      <c r="B289">
        <v>5373006788</v>
      </c>
      <c r="C289" t="s">
        <v>860</v>
      </c>
      <c r="D289" t="s">
        <v>861</v>
      </c>
      <c r="E289">
        <v>91</v>
      </c>
      <c r="F289" t="s">
        <v>193</v>
      </c>
      <c r="G289">
        <v>1</v>
      </c>
      <c r="H289">
        <v>0</v>
      </c>
      <c r="I289">
        <v>87.02</v>
      </c>
      <c r="J289" t="s">
        <v>28</v>
      </c>
      <c r="K289" t="s">
        <v>29</v>
      </c>
      <c r="L289">
        <v>8.3000000000000007</v>
      </c>
      <c r="M289" t="s">
        <v>34</v>
      </c>
      <c r="N289" t="str">
        <f t="shared" si="16"/>
        <v>Libert</v>
      </c>
      <c r="O289" t="str">
        <f t="shared" si="17"/>
        <v>Godelieve</v>
      </c>
      <c r="P289" t="e">
        <f t="shared" ca="1" si="18"/>
        <v>#NAME?</v>
      </c>
      <c r="Q289" t="str">
        <f t="shared" si="19"/>
        <v>Tevreden</v>
      </c>
    </row>
    <row r="290" spans="1:17" x14ac:dyDescent="0.3">
      <c r="A290" t="s">
        <v>862</v>
      </c>
      <c r="B290">
        <v>7874413450</v>
      </c>
      <c r="C290" t="s">
        <v>863</v>
      </c>
      <c r="D290" t="s">
        <v>324</v>
      </c>
      <c r="E290">
        <v>41</v>
      </c>
      <c r="F290" t="s">
        <v>27</v>
      </c>
      <c r="G290">
        <v>2</v>
      </c>
      <c r="H290">
        <v>0</v>
      </c>
      <c r="I290">
        <v>20.49</v>
      </c>
      <c r="J290" t="s">
        <v>52</v>
      </c>
      <c r="K290" t="s">
        <v>29</v>
      </c>
      <c r="L290">
        <v>6.72</v>
      </c>
      <c r="M290" t="s">
        <v>23</v>
      </c>
      <c r="N290" t="str">
        <f t="shared" si="16"/>
        <v>Vaes</v>
      </c>
      <c r="O290" t="str">
        <f t="shared" si="17"/>
        <v>Dirk</v>
      </c>
      <c r="P290" t="e">
        <f t="shared" ca="1" si="18"/>
        <v>#NAME?</v>
      </c>
      <c r="Q290" t="str">
        <f t="shared" si="19"/>
        <v>Ontevreden</v>
      </c>
    </row>
    <row r="291" spans="1:17" x14ac:dyDescent="0.3">
      <c r="A291" t="s">
        <v>864</v>
      </c>
      <c r="B291">
        <v>2286438618</v>
      </c>
      <c r="C291" t="s">
        <v>865</v>
      </c>
      <c r="D291" t="s">
        <v>866</v>
      </c>
      <c r="E291">
        <v>4</v>
      </c>
      <c r="F291" t="s">
        <v>148</v>
      </c>
      <c r="G291">
        <v>2</v>
      </c>
      <c r="H291">
        <v>0</v>
      </c>
      <c r="I291">
        <v>49.04</v>
      </c>
      <c r="J291" t="s">
        <v>28</v>
      </c>
      <c r="K291" t="s">
        <v>29</v>
      </c>
      <c r="L291">
        <v>7.65</v>
      </c>
      <c r="M291" t="s">
        <v>34</v>
      </c>
      <c r="N291" t="str">
        <f t="shared" si="16"/>
        <v>Van den bosch</v>
      </c>
      <c r="O291" t="str">
        <f t="shared" si="17"/>
        <v>Céline</v>
      </c>
      <c r="P291" t="e">
        <f t="shared" ca="1" si="18"/>
        <v>#NAME?</v>
      </c>
      <c r="Q291" t="str">
        <f t="shared" si="19"/>
        <v>Tevreden</v>
      </c>
    </row>
    <row r="292" spans="1:17" x14ac:dyDescent="0.3">
      <c r="A292" t="s">
        <v>867</v>
      </c>
      <c r="B292">
        <v>1702742417</v>
      </c>
      <c r="C292" t="s">
        <v>868</v>
      </c>
      <c r="D292" t="s">
        <v>869</v>
      </c>
      <c r="E292">
        <v>27</v>
      </c>
      <c r="F292" t="s">
        <v>20</v>
      </c>
      <c r="G292">
        <v>1</v>
      </c>
      <c r="H292">
        <v>0</v>
      </c>
      <c r="I292">
        <v>78.02</v>
      </c>
      <c r="J292" t="s">
        <v>77</v>
      </c>
      <c r="K292" t="s">
        <v>22</v>
      </c>
      <c r="L292">
        <v>7.49</v>
      </c>
      <c r="M292" t="s">
        <v>23</v>
      </c>
      <c r="N292" t="str">
        <f t="shared" si="16"/>
        <v>De ridder</v>
      </c>
      <c r="O292" t="str">
        <f t="shared" si="17"/>
        <v>Mohamed</v>
      </c>
      <c r="P292" t="e">
        <f t="shared" ca="1" si="18"/>
        <v>#NAME?</v>
      </c>
      <c r="Q292" t="str">
        <f t="shared" si="19"/>
        <v>Tevreden</v>
      </c>
    </row>
    <row r="293" spans="1:17" x14ac:dyDescent="0.3">
      <c r="A293" t="s">
        <v>870</v>
      </c>
      <c r="B293">
        <v>5369641475</v>
      </c>
      <c r="C293" t="s">
        <v>871</v>
      </c>
      <c r="D293" t="s">
        <v>872</v>
      </c>
      <c r="E293">
        <v>24</v>
      </c>
      <c r="F293" t="s">
        <v>435</v>
      </c>
      <c r="G293">
        <v>2</v>
      </c>
      <c r="H293">
        <v>2</v>
      </c>
      <c r="I293">
        <v>69.31</v>
      </c>
      <c r="J293" t="s">
        <v>52</v>
      </c>
      <c r="K293" t="s">
        <v>29</v>
      </c>
      <c r="L293">
        <v>7.56</v>
      </c>
      <c r="M293" t="s">
        <v>23</v>
      </c>
      <c r="N293" t="str">
        <f t="shared" si="16"/>
        <v>Dubois</v>
      </c>
      <c r="O293" t="str">
        <f t="shared" si="17"/>
        <v>Joseline</v>
      </c>
      <c r="P293" t="e">
        <f t="shared" ca="1" si="18"/>
        <v>#NAME?</v>
      </c>
      <c r="Q293" t="str">
        <f t="shared" si="19"/>
        <v>Tevreden</v>
      </c>
    </row>
    <row r="294" spans="1:17" x14ac:dyDescent="0.3">
      <c r="A294" t="s">
        <v>873</v>
      </c>
      <c r="B294">
        <v>2577946468</v>
      </c>
      <c r="C294" t="s">
        <v>874</v>
      </c>
      <c r="D294" t="s">
        <v>362</v>
      </c>
      <c r="E294">
        <v>12</v>
      </c>
      <c r="F294" t="s">
        <v>65</v>
      </c>
      <c r="G294">
        <v>2</v>
      </c>
      <c r="H294">
        <v>0</v>
      </c>
      <c r="I294">
        <v>20.68</v>
      </c>
      <c r="J294" t="s">
        <v>21</v>
      </c>
      <c r="K294" t="s">
        <v>22</v>
      </c>
      <c r="L294">
        <v>6.6</v>
      </c>
      <c r="M294" t="s">
        <v>23</v>
      </c>
      <c r="N294" t="str">
        <f t="shared" si="16"/>
        <v>Joris</v>
      </c>
      <c r="O294" t="str">
        <f t="shared" si="17"/>
        <v>Jacqueline</v>
      </c>
      <c r="P294" t="e">
        <f t="shared" ca="1" si="18"/>
        <v>#NAME?</v>
      </c>
      <c r="Q294" t="str">
        <f t="shared" si="19"/>
        <v>Ontevreden</v>
      </c>
    </row>
    <row r="295" spans="1:17" x14ac:dyDescent="0.3">
      <c r="A295" t="s">
        <v>875</v>
      </c>
      <c r="B295">
        <v>8813080040</v>
      </c>
      <c r="C295" t="s">
        <v>876</v>
      </c>
      <c r="D295" t="s">
        <v>877</v>
      </c>
      <c r="E295">
        <v>1</v>
      </c>
      <c r="F295" t="s">
        <v>65</v>
      </c>
      <c r="G295">
        <v>1</v>
      </c>
      <c r="H295">
        <v>5</v>
      </c>
      <c r="I295">
        <v>248.48</v>
      </c>
      <c r="J295" t="s">
        <v>28</v>
      </c>
      <c r="K295" t="s">
        <v>29</v>
      </c>
      <c r="L295">
        <v>7.46</v>
      </c>
      <c r="M295" t="s">
        <v>23</v>
      </c>
      <c r="N295" t="str">
        <f t="shared" si="16"/>
        <v>Coppens</v>
      </c>
      <c r="O295" t="str">
        <f t="shared" si="17"/>
        <v>Rita</v>
      </c>
      <c r="P295" t="e">
        <f t="shared" ca="1" si="18"/>
        <v>#NAME?</v>
      </c>
      <c r="Q295" t="str">
        <f t="shared" si="19"/>
        <v>Tevreden</v>
      </c>
    </row>
    <row r="296" spans="1:17" x14ac:dyDescent="0.3">
      <c r="A296" t="s">
        <v>878</v>
      </c>
      <c r="B296">
        <v>6887960321</v>
      </c>
      <c r="C296" t="s">
        <v>879</v>
      </c>
      <c r="D296" t="s">
        <v>645</v>
      </c>
      <c r="E296">
        <v>48</v>
      </c>
      <c r="F296" t="s">
        <v>82</v>
      </c>
      <c r="G296">
        <v>2</v>
      </c>
      <c r="H296">
        <v>0</v>
      </c>
      <c r="I296">
        <v>62.35</v>
      </c>
      <c r="J296" t="s">
        <v>28</v>
      </c>
      <c r="K296" t="s">
        <v>22</v>
      </c>
      <c r="L296">
        <v>8.61</v>
      </c>
      <c r="M296" t="s">
        <v>34</v>
      </c>
      <c r="N296" t="str">
        <f t="shared" si="16"/>
        <v>Toussaint</v>
      </c>
      <c r="O296" t="str">
        <f t="shared" si="17"/>
        <v>Francine</v>
      </c>
      <c r="P296" t="e">
        <f t="shared" ca="1" si="18"/>
        <v>#NAME?</v>
      </c>
      <c r="Q296" t="str">
        <f t="shared" si="19"/>
        <v>Tevreden</v>
      </c>
    </row>
    <row r="297" spans="1:17" x14ac:dyDescent="0.3">
      <c r="A297" t="s">
        <v>880</v>
      </c>
      <c r="B297">
        <v>7343293465</v>
      </c>
      <c r="C297" t="s">
        <v>881</v>
      </c>
      <c r="D297" t="s">
        <v>882</v>
      </c>
      <c r="E297">
        <v>26</v>
      </c>
      <c r="F297" t="s">
        <v>489</v>
      </c>
      <c r="G297">
        <v>2</v>
      </c>
      <c r="H297">
        <v>1</v>
      </c>
      <c r="I297">
        <v>113.57</v>
      </c>
      <c r="J297" t="s">
        <v>47</v>
      </c>
      <c r="K297" t="s">
        <v>22</v>
      </c>
      <c r="L297">
        <v>8.25</v>
      </c>
      <c r="M297" t="s">
        <v>34</v>
      </c>
      <c r="N297" t="str">
        <f t="shared" si="16"/>
        <v>Gillet</v>
      </c>
      <c r="O297" t="str">
        <f t="shared" si="17"/>
        <v>Eléonore</v>
      </c>
      <c r="P297" t="e">
        <f t="shared" ca="1" si="18"/>
        <v>#NAME?</v>
      </c>
      <c r="Q297" t="str">
        <f t="shared" si="19"/>
        <v>Tevreden</v>
      </c>
    </row>
    <row r="298" spans="1:17" x14ac:dyDescent="0.3">
      <c r="A298" t="s">
        <v>883</v>
      </c>
      <c r="B298">
        <v>9304545389</v>
      </c>
      <c r="C298" t="s">
        <v>884</v>
      </c>
      <c r="D298" t="s">
        <v>143</v>
      </c>
      <c r="E298">
        <v>2</v>
      </c>
      <c r="F298" t="s">
        <v>98</v>
      </c>
      <c r="G298">
        <v>2</v>
      </c>
      <c r="H298">
        <v>0</v>
      </c>
      <c r="I298">
        <v>116.46</v>
      </c>
      <c r="J298" t="s">
        <v>28</v>
      </c>
      <c r="K298" t="s">
        <v>57</v>
      </c>
      <c r="L298">
        <v>7.29</v>
      </c>
      <c r="M298" t="s">
        <v>23</v>
      </c>
      <c r="N298" t="str">
        <f t="shared" si="16"/>
        <v>Hendrickx</v>
      </c>
      <c r="O298" t="str">
        <f t="shared" si="17"/>
        <v>Willy</v>
      </c>
      <c r="P298" t="e">
        <f t="shared" ca="1" si="18"/>
        <v>#NAME?</v>
      </c>
      <c r="Q298" t="str">
        <f t="shared" si="19"/>
        <v>Tevreden</v>
      </c>
    </row>
    <row r="299" spans="1:17" x14ac:dyDescent="0.3">
      <c r="A299" t="s">
        <v>885</v>
      </c>
      <c r="B299">
        <v>2531093490</v>
      </c>
      <c r="C299" t="s">
        <v>886</v>
      </c>
      <c r="D299" t="s">
        <v>212</v>
      </c>
      <c r="E299">
        <v>1</v>
      </c>
      <c r="F299" t="s">
        <v>82</v>
      </c>
      <c r="G299">
        <v>3</v>
      </c>
      <c r="H299">
        <v>0</v>
      </c>
      <c r="I299">
        <v>80.400000000000006</v>
      </c>
      <c r="J299" t="s">
        <v>28</v>
      </c>
      <c r="K299" t="s">
        <v>22</v>
      </c>
      <c r="L299">
        <v>7.43</v>
      </c>
      <c r="M299" t="s">
        <v>23</v>
      </c>
      <c r="N299" t="str">
        <f t="shared" si="16"/>
        <v>Jacques</v>
      </c>
      <c r="O299" t="str">
        <f t="shared" si="17"/>
        <v>Fanny</v>
      </c>
      <c r="P299" t="e">
        <f t="shared" ca="1" si="18"/>
        <v>#NAME?</v>
      </c>
      <c r="Q299" t="str">
        <f t="shared" si="19"/>
        <v>Tevreden</v>
      </c>
    </row>
    <row r="300" spans="1:17" x14ac:dyDescent="0.3">
      <c r="A300" t="s">
        <v>887</v>
      </c>
      <c r="B300">
        <v>3475837431</v>
      </c>
      <c r="C300" t="s">
        <v>888</v>
      </c>
      <c r="D300" t="s">
        <v>889</v>
      </c>
      <c r="E300">
        <v>17</v>
      </c>
      <c r="F300" t="s">
        <v>27</v>
      </c>
      <c r="G300">
        <v>2</v>
      </c>
      <c r="H300">
        <v>4</v>
      </c>
      <c r="I300">
        <v>143.22999999999999</v>
      </c>
      <c r="J300" t="s">
        <v>52</v>
      </c>
      <c r="K300" t="s">
        <v>29</v>
      </c>
      <c r="L300">
        <v>7.47</v>
      </c>
      <c r="M300" t="s">
        <v>23</v>
      </c>
      <c r="N300" t="str">
        <f t="shared" si="16"/>
        <v>Delfosse</v>
      </c>
      <c r="O300" t="str">
        <f t="shared" si="17"/>
        <v>Nancy</v>
      </c>
      <c r="P300" t="e">
        <f t="shared" ca="1" si="18"/>
        <v>#NAME?</v>
      </c>
      <c r="Q300" t="str">
        <f t="shared" si="19"/>
        <v>Tevreden</v>
      </c>
    </row>
    <row r="301" spans="1:17" x14ac:dyDescent="0.3">
      <c r="A301" t="s">
        <v>890</v>
      </c>
      <c r="B301">
        <v>2601158720</v>
      </c>
      <c r="C301" t="s">
        <v>891</v>
      </c>
      <c r="D301" t="s">
        <v>892</v>
      </c>
      <c r="E301">
        <v>18</v>
      </c>
      <c r="F301" t="s">
        <v>128</v>
      </c>
      <c r="G301">
        <v>2</v>
      </c>
      <c r="H301">
        <v>0</v>
      </c>
      <c r="I301">
        <v>111.9</v>
      </c>
      <c r="J301" t="s">
        <v>28</v>
      </c>
      <c r="K301" t="s">
        <v>29</v>
      </c>
      <c r="L301">
        <v>7.16</v>
      </c>
      <c r="M301" t="s">
        <v>23</v>
      </c>
      <c r="N301" t="str">
        <f t="shared" si="16"/>
        <v>Lievens</v>
      </c>
      <c r="O301" t="str">
        <f t="shared" si="17"/>
        <v>Gunther</v>
      </c>
      <c r="P301" t="e">
        <f t="shared" ca="1" si="18"/>
        <v>#NAME?</v>
      </c>
      <c r="Q301" t="str">
        <f t="shared" si="19"/>
        <v>Tevreden</v>
      </c>
    </row>
    <row r="302" spans="1:17" x14ac:dyDescent="0.3">
      <c r="A302" t="s">
        <v>893</v>
      </c>
      <c r="B302">
        <v>1004858537</v>
      </c>
      <c r="C302" t="s">
        <v>894</v>
      </c>
      <c r="D302" t="s">
        <v>895</v>
      </c>
      <c r="E302">
        <v>39</v>
      </c>
      <c r="F302" t="s">
        <v>27</v>
      </c>
      <c r="G302">
        <v>4</v>
      </c>
      <c r="H302">
        <v>1</v>
      </c>
      <c r="I302">
        <v>213.57</v>
      </c>
      <c r="J302" t="s">
        <v>28</v>
      </c>
      <c r="K302" t="s">
        <v>57</v>
      </c>
      <c r="L302">
        <v>7.5</v>
      </c>
      <c r="M302" t="s">
        <v>23</v>
      </c>
      <c r="N302" t="str">
        <f t="shared" si="16"/>
        <v>Stevens</v>
      </c>
      <c r="O302" t="str">
        <f t="shared" si="17"/>
        <v>Sandra</v>
      </c>
      <c r="P302" t="e">
        <f t="shared" ca="1" si="18"/>
        <v>#NAME?</v>
      </c>
      <c r="Q302" t="str">
        <f t="shared" si="19"/>
        <v>Tevreden</v>
      </c>
    </row>
    <row r="303" spans="1:17" x14ac:dyDescent="0.3">
      <c r="A303" t="s">
        <v>896</v>
      </c>
      <c r="B303">
        <v>6797437121</v>
      </c>
      <c r="C303" t="s">
        <v>897</v>
      </c>
      <c r="D303" t="s">
        <v>218</v>
      </c>
      <c r="E303">
        <v>5</v>
      </c>
      <c r="F303" t="s">
        <v>175</v>
      </c>
      <c r="G303">
        <v>1</v>
      </c>
      <c r="H303">
        <v>0</v>
      </c>
      <c r="I303">
        <v>21.4</v>
      </c>
      <c r="J303" t="s">
        <v>52</v>
      </c>
      <c r="K303" t="s">
        <v>22</v>
      </c>
      <c r="L303">
        <v>6.99</v>
      </c>
      <c r="M303" t="s">
        <v>23</v>
      </c>
      <c r="N303" t="str">
        <f t="shared" si="16"/>
        <v>Luyckx</v>
      </c>
      <c r="O303" t="str">
        <f t="shared" si="17"/>
        <v>Arunkumar</v>
      </c>
      <c r="P303" t="e">
        <f t="shared" ca="1" si="18"/>
        <v>#NAME?</v>
      </c>
      <c r="Q303" t="str">
        <f t="shared" si="19"/>
        <v>Ontevreden</v>
      </c>
    </row>
    <row r="304" spans="1:17" x14ac:dyDescent="0.3">
      <c r="A304" t="s">
        <v>898</v>
      </c>
      <c r="B304">
        <v>8838103462</v>
      </c>
      <c r="C304" t="s">
        <v>899</v>
      </c>
      <c r="D304" t="s">
        <v>900</v>
      </c>
      <c r="E304">
        <v>1</v>
      </c>
      <c r="F304" t="s">
        <v>189</v>
      </c>
      <c r="G304">
        <v>1</v>
      </c>
      <c r="H304">
        <v>0</v>
      </c>
      <c r="I304">
        <v>20.54</v>
      </c>
      <c r="J304" t="s">
        <v>21</v>
      </c>
      <c r="K304" t="s">
        <v>22</v>
      </c>
      <c r="L304">
        <v>6.99</v>
      </c>
      <c r="M304" t="s">
        <v>23</v>
      </c>
      <c r="N304" t="str">
        <f t="shared" si="16"/>
        <v>Peeters</v>
      </c>
      <c r="O304" t="str">
        <f t="shared" si="17"/>
        <v>Thierry</v>
      </c>
      <c r="P304" t="e">
        <f t="shared" ca="1" si="18"/>
        <v>#NAME?</v>
      </c>
      <c r="Q304" t="str">
        <f t="shared" si="19"/>
        <v>Ontevreden</v>
      </c>
    </row>
    <row r="305" spans="1:17" x14ac:dyDescent="0.3">
      <c r="A305" t="s">
        <v>901</v>
      </c>
      <c r="B305">
        <v>3741944295</v>
      </c>
      <c r="C305" t="s">
        <v>902</v>
      </c>
      <c r="D305" t="s">
        <v>892</v>
      </c>
      <c r="E305">
        <v>89</v>
      </c>
      <c r="F305" t="s">
        <v>27</v>
      </c>
      <c r="G305">
        <v>1</v>
      </c>
      <c r="H305">
        <v>0</v>
      </c>
      <c r="I305">
        <v>37.159999999999997</v>
      </c>
      <c r="J305" t="s">
        <v>28</v>
      </c>
      <c r="K305" t="s">
        <v>22</v>
      </c>
      <c r="L305">
        <v>8.4</v>
      </c>
      <c r="M305" t="s">
        <v>34</v>
      </c>
      <c r="N305" t="str">
        <f t="shared" si="16"/>
        <v>De bie</v>
      </c>
      <c r="O305" t="str">
        <f t="shared" si="17"/>
        <v>Magalie</v>
      </c>
      <c r="P305" t="e">
        <f t="shared" ca="1" si="18"/>
        <v>#NAME?</v>
      </c>
      <c r="Q305" t="str">
        <f t="shared" si="19"/>
        <v>Tevreden</v>
      </c>
    </row>
    <row r="306" spans="1:17" x14ac:dyDescent="0.3">
      <c r="A306" t="s">
        <v>903</v>
      </c>
      <c r="B306">
        <v>1118094144</v>
      </c>
      <c r="C306" t="s">
        <v>904</v>
      </c>
      <c r="D306" t="s">
        <v>905</v>
      </c>
      <c r="E306">
        <v>53</v>
      </c>
      <c r="F306" t="s">
        <v>27</v>
      </c>
      <c r="G306">
        <v>1</v>
      </c>
      <c r="H306">
        <v>1</v>
      </c>
      <c r="I306">
        <v>76.260000000000005</v>
      </c>
      <c r="J306" t="s">
        <v>28</v>
      </c>
      <c r="K306" t="s">
        <v>29</v>
      </c>
      <c r="L306">
        <v>7.4</v>
      </c>
      <c r="M306" t="s">
        <v>23</v>
      </c>
      <c r="N306" t="str">
        <f t="shared" si="16"/>
        <v>Martin</v>
      </c>
      <c r="O306" t="str">
        <f t="shared" si="17"/>
        <v>Lukman</v>
      </c>
      <c r="P306" t="e">
        <f t="shared" ca="1" si="18"/>
        <v>#NAME?</v>
      </c>
      <c r="Q306" t="str">
        <f t="shared" si="19"/>
        <v>Tevreden</v>
      </c>
    </row>
    <row r="307" spans="1:17" x14ac:dyDescent="0.3">
      <c r="A307" t="s">
        <v>906</v>
      </c>
      <c r="B307">
        <v>3184330448</v>
      </c>
      <c r="C307" t="s">
        <v>907</v>
      </c>
      <c r="D307" t="s">
        <v>908</v>
      </c>
      <c r="E307">
        <v>78</v>
      </c>
      <c r="F307" t="s">
        <v>115</v>
      </c>
      <c r="G307">
        <v>2</v>
      </c>
      <c r="H307">
        <v>2</v>
      </c>
      <c r="I307">
        <v>111.08</v>
      </c>
      <c r="J307" t="s">
        <v>52</v>
      </c>
      <c r="K307" t="s">
        <v>22</v>
      </c>
      <c r="L307">
        <v>6.88</v>
      </c>
      <c r="M307" t="s">
        <v>23</v>
      </c>
      <c r="N307" t="str">
        <f t="shared" si="16"/>
        <v>Vervoort</v>
      </c>
      <c r="O307" t="str">
        <f t="shared" si="17"/>
        <v>Josianne</v>
      </c>
      <c r="P307" t="e">
        <f t="shared" ca="1" si="18"/>
        <v>#NAME?</v>
      </c>
      <c r="Q307" t="str">
        <f t="shared" si="19"/>
        <v>Ontevreden</v>
      </c>
    </row>
    <row r="308" spans="1:17" x14ac:dyDescent="0.3">
      <c r="A308" t="s">
        <v>909</v>
      </c>
      <c r="B308">
        <v>9334125380</v>
      </c>
      <c r="C308" t="s">
        <v>910</v>
      </c>
      <c r="D308" t="s">
        <v>911</v>
      </c>
      <c r="E308">
        <v>17</v>
      </c>
      <c r="F308" t="s">
        <v>219</v>
      </c>
      <c r="G308">
        <v>2</v>
      </c>
      <c r="H308">
        <v>0</v>
      </c>
      <c r="I308">
        <v>76.12</v>
      </c>
      <c r="J308" t="s">
        <v>28</v>
      </c>
      <c r="K308" t="s">
        <v>22</v>
      </c>
      <c r="L308">
        <v>7.66</v>
      </c>
      <c r="M308" t="s">
        <v>23</v>
      </c>
      <c r="N308" t="str">
        <f t="shared" si="16"/>
        <v>Peeters</v>
      </c>
      <c r="O308" t="str">
        <f t="shared" si="17"/>
        <v>Peter</v>
      </c>
      <c r="P308" t="e">
        <f t="shared" ca="1" si="18"/>
        <v>#NAME?</v>
      </c>
      <c r="Q308" t="str">
        <f t="shared" si="19"/>
        <v>Tevreden</v>
      </c>
    </row>
    <row r="309" spans="1:17" x14ac:dyDescent="0.3">
      <c r="A309" t="s">
        <v>912</v>
      </c>
      <c r="B309">
        <v>1102113751</v>
      </c>
      <c r="C309" t="s">
        <v>913</v>
      </c>
      <c r="D309" t="s">
        <v>68</v>
      </c>
      <c r="E309">
        <v>80</v>
      </c>
      <c r="F309" t="s">
        <v>33</v>
      </c>
      <c r="G309">
        <v>1</v>
      </c>
      <c r="H309">
        <v>0</v>
      </c>
      <c r="I309">
        <v>37.880000000000003</v>
      </c>
      <c r="J309" t="s">
        <v>28</v>
      </c>
      <c r="K309" t="s">
        <v>22</v>
      </c>
      <c r="L309">
        <v>7.87</v>
      </c>
      <c r="M309" t="s">
        <v>34</v>
      </c>
      <c r="N309" t="str">
        <f t="shared" si="16"/>
        <v>Daniels</v>
      </c>
      <c r="O309" t="str">
        <f t="shared" si="17"/>
        <v>Asma</v>
      </c>
      <c r="P309" t="e">
        <f t="shared" ca="1" si="18"/>
        <v>#NAME?</v>
      </c>
      <c r="Q309" t="str">
        <f t="shared" si="19"/>
        <v>Tevreden</v>
      </c>
    </row>
    <row r="310" spans="1:17" x14ac:dyDescent="0.3">
      <c r="A310" t="s">
        <v>914</v>
      </c>
      <c r="B310">
        <v>2757937334</v>
      </c>
      <c r="C310" t="s">
        <v>915</v>
      </c>
      <c r="D310" t="s">
        <v>916</v>
      </c>
      <c r="E310">
        <v>7</v>
      </c>
      <c r="F310" t="s">
        <v>158</v>
      </c>
      <c r="G310">
        <v>2</v>
      </c>
      <c r="H310">
        <v>0</v>
      </c>
      <c r="I310">
        <v>123.02</v>
      </c>
      <c r="J310" t="s">
        <v>28</v>
      </c>
      <c r="K310" t="s">
        <v>22</v>
      </c>
      <c r="L310">
        <v>7.52</v>
      </c>
      <c r="M310" t="s">
        <v>23</v>
      </c>
      <c r="N310" t="str">
        <f t="shared" si="16"/>
        <v>Martin</v>
      </c>
      <c r="O310" t="str">
        <f t="shared" si="17"/>
        <v>Luc</v>
      </c>
      <c r="P310" t="e">
        <f t="shared" ca="1" si="18"/>
        <v>#NAME?</v>
      </c>
      <c r="Q310" t="str">
        <f t="shared" si="19"/>
        <v>Tevreden</v>
      </c>
    </row>
    <row r="311" spans="1:17" x14ac:dyDescent="0.3">
      <c r="A311" t="s">
        <v>917</v>
      </c>
      <c r="B311">
        <v>1083789257</v>
      </c>
      <c r="C311" t="s">
        <v>918</v>
      </c>
      <c r="D311" t="s">
        <v>919</v>
      </c>
      <c r="E311">
        <v>23</v>
      </c>
      <c r="F311" t="s">
        <v>20</v>
      </c>
      <c r="G311">
        <v>1</v>
      </c>
      <c r="H311">
        <v>0</v>
      </c>
      <c r="I311">
        <v>19.84</v>
      </c>
      <c r="J311" t="s">
        <v>21</v>
      </c>
      <c r="K311" t="s">
        <v>29</v>
      </c>
      <c r="L311">
        <v>6.38</v>
      </c>
      <c r="M311" t="s">
        <v>78</v>
      </c>
      <c r="N311" t="str">
        <f t="shared" si="16"/>
        <v>Stevens</v>
      </c>
      <c r="O311" t="str">
        <f t="shared" si="17"/>
        <v>Walid</v>
      </c>
      <c r="P311" t="e">
        <f t="shared" ca="1" si="18"/>
        <v>#NAME?</v>
      </c>
      <c r="Q311" t="str">
        <f t="shared" si="19"/>
        <v>Ontevreden</v>
      </c>
    </row>
    <row r="312" spans="1:17" x14ac:dyDescent="0.3">
      <c r="A312" t="s">
        <v>920</v>
      </c>
      <c r="B312">
        <v>4147809555</v>
      </c>
      <c r="C312" t="s">
        <v>921</v>
      </c>
      <c r="D312" t="s">
        <v>922</v>
      </c>
      <c r="E312">
        <v>108</v>
      </c>
      <c r="F312" t="s">
        <v>27</v>
      </c>
      <c r="G312">
        <v>1</v>
      </c>
      <c r="H312">
        <v>1</v>
      </c>
      <c r="I312">
        <v>22.14</v>
      </c>
      <c r="J312" t="s">
        <v>52</v>
      </c>
      <c r="K312" t="s">
        <v>57</v>
      </c>
      <c r="L312">
        <v>6.94</v>
      </c>
      <c r="M312" t="s">
        <v>23</v>
      </c>
      <c r="N312" t="str">
        <f t="shared" si="16"/>
        <v>De bruyne</v>
      </c>
      <c r="O312" t="str">
        <f t="shared" si="17"/>
        <v>Giuseppe</v>
      </c>
      <c r="P312" t="e">
        <f t="shared" ca="1" si="18"/>
        <v>#NAME?</v>
      </c>
      <c r="Q312" t="str">
        <f t="shared" si="19"/>
        <v>Ontevreden</v>
      </c>
    </row>
    <row r="313" spans="1:17" x14ac:dyDescent="0.3">
      <c r="A313" t="s">
        <v>923</v>
      </c>
      <c r="B313">
        <v>8271241890</v>
      </c>
      <c r="C313" t="s">
        <v>924</v>
      </c>
      <c r="D313" t="s">
        <v>925</v>
      </c>
      <c r="E313">
        <v>24</v>
      </c>
      <c r="F313" t="s">
        <v>171</v>
      </c>
      <c r="G313">
        <v>2</v>
      </c>
      <c r="H313">
        <v>3</v>
      </c>
      <c r="I313">
        <v>195.43</v>
      </c>
      <c r="J313" t="s">
        <v>77</v>
      </c>
      <c r="K313" t="s">
        <v>29</v>
      </c>
      <c r="L313">
        <v>7.48</v>
      </c>
      <c r="M313" t="s">
        <v>23</v>
      </c>
      <c r="N313" t="str">
        <f t="shared" si="16"/>
        <v>Huybrechts</v>
      </c>
      <c r="O313" t="str">
        <f t="shared" si="17"/>
        <v>Navdeep</v>
      </c>
      <c r="P313" t="e">
        <f t="shared" ca="1" si="18"/>
        <v>#NAME?</v>
      </c>
      <c r="Q313" t="str">
        <f t="shared" si="19"/>
        <v>Tevreden</v>
      </c>
    </row>
    <row r="314" spans="1:17" x14ac:dyDescent="0.3">
      <c r="A314" t="s">
        <v>926</v>
      </c>
      <c r="B314">
        <v>5616548545</v>
      </c>
      <c r="C314" t="s">
        <v>927</v>
      </c>
      <c r="D314" t="s">
        <v>81</v>
      </c>
      <c r="E314">
        <v>59</v>
      </c>
      <c r="F314" t="s">
        <v>144</v>
      </c>
      <c r="G314">
        <v>4</v>
      </c>
      <c r="H314">
        <v>2</v>
      </c>
      <c r="I314">
        <v>131.81</v>
      </c>
      <c r="J314" t="s">
        <v>47</v>
      </c>
      <c r="K314" t="s">
        <v>22</v>
      </c>
      <c r="L314">
        <v>7.18</v>
      </c>
      <c r="M314" t="s">
        <v>23</v>
      </c>
      <c r="N314" t="str">
        <f t="shared" si="16"/>
        <v>De roeck</v>
      </c>
      <c r="O314" t="str">
        <f t="shared" si="17"/>
        <v>Sophie</v>
      </c>
      <c r="P314" t="e">
        <f t="shared" ca="1" si="18"/>
        <v>#NAME?</v>
      </c>
      <c r="Q314" t="str">
        <f t="shared" si="19"/>
        <v>Tevreden</v>
      </c>
    </row>
    <row r="315" spans="1:17" x14ac:dyDescent="0.3">
      <c r="A315" t="s">
        <v>928</v>
      </c>
      <c r="B315">
        <v>1804423778</v>
      </c>
      <c r="C315" t="s">
        <v>929</v>
      </c>
      <c r="D315" t="s">
        <v>296</v>
      </c>
      <c r="E315">
        <v>1</v>
      </c>
      <c r="F315" t="s">
        <v>42</v>
      </c>
      <c r="G315">
        <v>2</v>
      </c>
      <c r="H315">
        <v>0</v>
      </c>
      <c r="I315">
        <v>22.86</v>
      </c>
      <c r="J315" t="s">
        <v>52</v>
      </c>
      <c r="K315" t="s">
        <v>29</v>
      </c>
      <c r="L315">
        <v>7.07</v>
      </c>
      <c r="M315" t="s">
        <v>23</v>
      </c>
      <c r="N315" t="str">
        <f t="shared" si="16"/>
        <v>Van damme</v>
      </c>
      <c r="O315" t="str">
        <f t="shared" si="17"/>
        <v>Nathanael</v>
      </c>
      <c r="P315" t="e">
        <f t="shared" ca="1" si="18"/>
        <v>#NAME?</v>
      </c>
      <c r="Q315" t="str">
        <f t="shared" si="19"/>
        <v>Tevreden</v>
      </c>
    </row>
    <row r="316" spans="1:17" x14ac:dyDescent="0.3">
      <c r="A316" t="s">
        <v>930</v>
      </c>
      <c r="B316">
        <v>4349327337</v>
      </c>
      <c r="C316" t="s">
        <v>931</v>
      </c>
      <c r="D316" t="s">
        <v>932</v>
      </c>
      <c r="E316">
        <v>53</v>
      </c>
      <c r="F316" t="s">
        <v>98</v>
      </c>
      <c r="G316">
        <v>5</v>
      </c>
      <c r="H316">
        <v>0</v>
      </c>
      <c r="I316">
        <v>129.31</v>
      </c>
      <c r="J316" t="s">
        <v>28</v>
      </c>
      <c r="K316" t="s">
        <v>22</v>
      </c>
      <c r="L316">
        <v>6.82</v>
      </c>
      <c r="M316" t="s">
        <v>23</v>
      </c>
      <c r="N316" t="str">
        <f t="shared" si="16"/>
        <v>Smet</v>
      </c>
      <c r="O316" t="str">
        <f t="shared" si="17"/>
        <v>Arzu</v>
      </c>
      <c r="P316" t="e">
        <f t="shared" ca="1" si="18"/>
        <v>#NAME?</v>
      </c>
      <c r="Q316" t="str">
        <f t="shared" si="19"/>
        <v>Ontevreden</v>
      </c>
    </row>
    <row r="317" spans="1:17" x14ac:dyDescent="0.3">
      <c r="A317" t="s">
        <v>933</v>
      </c>
      <c r="B317">
        <v>4293828116</v>
      </c>
      <c r="C317" t="s">
        <v>934</v>
      </c>
      <c r="D317" t="s">
        <v>575</v>
      </c>
      <c r="E317">
        <v>31</v>
      </c>
      <c r="F317" t="s">
        <v>82</v>
      </c>
      <c r="G317">
        <v>2</v>
      </c>
      <c r="H317">
        <v>5</v>
      </c>
      <c r="I317">
        <v>224.02</v>
      </c>
      <c r="J317" t="s">
        <v>28</v>
      </c>
      <c r="K317" t="s">
        <v>22</v>
      </c>
      <c r="L317">
        <v>7.67</v>
      </c>
      <c r="M317" t="s">
        <v>23</v>
      </c>
      <c r="N317" t="str">
        <f t="shared" si="16"/>
        <v>Thys</v>
      </c>
      <c r="O317" t="str">
        <f t="shared" si="17"/>
        <v>Robert-Marian</v>
      </c>
      <c r="P317" t="e">
        <f t="shared" ca="1" si="18"/>
        <v>#NAME?</v>
      </c>
      <c r="Q317" t="str">
        <f t="shared" si="19"/>
        <v>Tevreden</v>
      </c>
    </row>
    <row r="318" spans="1:17" x14ac:dyDescent="0.3">
      <c r="A318" t="s">
        <v>935</v>
      </c>
      <c r="B318">
        <v>8656733480</v>
      </c>
      <c r="C318" t="s">
        <v>936</v>
      </c>
      <c r="D318" t="s">
        <v>161</v>
      </c>
      <c r="E318">
        <v>50</v>
      </c>
      <c r="F318" t="s">
        <v>27</v>
      </c>
      <c r="G318">
        <v>1</v>
      </c>
      <c r="H318">
        <v>0</v>
      </c>
      <c r="I318">
        <v>63.45</v>
      </c>
      <c r="J318" t="s">
        <v>28</v>
      </c>
      <c r="K318" t="s">
        <v>29</v>
      </c>
      <c r="L318">
        <v>6.97</v>
      </c>
      <c r="M318" t="s">
        <v>23</v>
      </c>
      <c r="N318" t="str">
        <f t="shared" si="16"/>
        <v>Dewulf</v>
      </c>
      <c r="O318" t="str">
        <f t="shared" si="17"/>
        <v>Peggy</v>
      </c>
      <c r="P318" t="e">
        <f t="shared" ca="1" si="18"/>
        <v>#NAME?</v>
      </c>
      <c r="Q318" t="str">
        <f t="shared" si="19"/>
        <v>Ontevreden</v>
      </c>
    </row>
    <row r="319" spans="1:17" x14ac:dyDescent="0.3">
      <c r="A319" t="s">
        <v>937</v>
      </c>
      <c r="B319">
        <v>3153708971</v>
      </c>
      <c r="C319" t="s">
        <v>938</v>
      </c>
      <c r="D319" t="s">
        <v>939</v>
      </c>
      <c r="E319">
        <v>16</v>
      </c>
      <c r="F319" t="s">
        <v>33</v>
      </c>
      <c r="G319">
        <v>1</v>
      </c>
      <c r="H319">
        <v>3</v>
      </c>
      <c r="I319">
        <v>193.28</v>
      </c>
      <c r="J319" t="s">
        <v>28</v>
      </c>
      <c r="K319" t="s">
        <v>57</v>
      </c>
      <c r="L319">
        <v>6.83</v>
      </c>
      <c r="M319" t="s">
        <v>23</v>
      </c>
      <c r="N319" t="str">
        <f t="shared" si="16"/>
        <v>Pauwels</v>
      </c>
      <c r="O319" t="str">
        <f t="shared" si="17"/>
        <v>Fabienne</v>
      </c>
      <c r="P319" t="e">
        <f t="shared" ca="1" si="18"/>
        <v>#NAME?</v>
      </c>
      <c r="Q319" t="str">
        <f t="shared" si="19"/>
        <v>Ontevreden</v>
      </c>
    </row>
    <row r="320" spans="1:17" x14ac:dyDescent="0.3">
      <c r="A320" t="s">
        <v>940</v>
      </c>
      <c r="B320">
        <v>3037960598</v>
      </c>
      <c r="C320" t="s">
        <v>941</v>
      </c>
      <c r="D320" t="s">
        <v>942</v>
      </c>
      <c r="E320">
        <v>11</v>
      </c>
      <c r="F320" t="s">
        <v>51</v>
      </c>
      <c r="G320">
        <v>2</v>
      </c>
      <c r="H320">
        <v>4</v>
      </c>
      <c r="I320">
        <v>142.69</v>
      </c>
      <c r="J320" t="s">
        <v>52</v>
      </c>
      <c r="K320" t="s">
        <v>22</v>
      </c>
      <c r="L320">
        <v>8.49</v>
      </c>
      <c r="M320" t="s">
        <v>34</v>
      </c>
      <c r="N320" t="str">
        <f t="shared" si="16"/>
        <v>Garcia</v>
      </c>
      <c r="O320" t="str">
        <f t="shared" si="17"/>
        <v>Jeanne</v>
      </c>
      <c r="P320" t="e">
        <f t="shared" ca="1" si="18"/>
        <v>#NAME?</v>
      </c>
      <c r="Q320" t="str">
        <f t="shared" si="19"/>
        <v>Tevreden</v>
      </c>
    </row>
    <row r="321" spans="1:17" x14ac:dyDescent="0.3">
      <c r="A321" t="s">
        <v>943</v>
      </c>
      <c r="B321">
        <v>5545359297</v>
      </c>
      <c r="C321" t="s">
        <v>944</v>
      </c>
      <c r="D321" t="s">
        <v>945</v>
      </c>
      <c r="E321">
        <v>3</v>
      </c>
      <c r="F321" t="s">
        <v>115</v>
      </c>
      <c r="G321">
        <v>1</v>
      </c>
      <c r="H321">
        <v>0</v>
      </c>
      <c r="I321">
        <v>49.27</v>
      </c>
      <c r="J321" t="s">
        <v>77</v>
      </c>
      <c r="K321" t="s">
        <v>29</v>
      </c>
      <c r="L321">
        <v>6.89</v>
      </c>
      <c r="M321" t="s">
        <v>23</v>
      </c>
      <c r="N321" t="str">
        <f t="shared" si="16"/>
        <v>Dumont</v>
      </c>
      <c r="O321" t="str">
        <f t="shared" si="17"/>
        <v>Suzie</v>
      </c>
      <c r="P321" t="e">
        <f t="shared" ca="1" si="18"/>
        <v>#NAME?</v>
      </c>
      <c r="Q321" t="str">
        <f t="shared" si="19"/>
        <v>Ontevreden</v>
      </c>
    </row>
    <row r="322" spans="1:17" x14ac:dyDescent="0.3">
      <c r="A322" t="s">
        <v>946</v>
      </c>
      <c r="B322">
        <v>6987175054</v>
      </c>
      <c r="C322" t="s">
        <v>947</v>
      </c>
      <c r="D322" t="s">
        <v>313</v>
      </c>
      <c r="E322">
        <v>78</v>
      </c>
      <c r="F322" t="s">
        <v>33</v>
      </c>
      <c r="G322">
        <v>2</v>
      </c>
      <c r="H322">
        <v>0</v>
      </c>
      <c r="I322">
        <v>24.26</v>
      </c>
      <c r="J322" t="s">
        <v>28</v>
      </c>
      <c r="K322" t="s">
        <v>29</v>
      </c>
      <c r="L322">
        <v>7.13</v>
      </c>
      <c r="M322" t="s">
        <v>23</v>
      </c>
      <c r="N322" t="str">
        <f t="shared" ref="N322:N385" si="20">LEFT(A322, FIND(",", A322)-1)</f>
        <v>Bogaert</v>
      </c>
      <c r="O322" t="str">
        <f t="shared" ref="O322:O385" si="21">MID(A322, FIND(",", A322)+2, LEN(A322))</f>
        <v>Francis</v>
      </c>
      <c r="P322" t="e">
        <f t="shared" ref="P322:P385" ca="1" si="22">SWITCH(J322, "Zelden", 1, "Af en toe", 4, "Regelmatig", 8, "Vaak", 12)</f>
        <v>#NAME?</v>
      </c>
      <c r="Q322" t="str">
        <f t="shared" ref="Q322:Q385" si="23">IF(L322&gt;=7, "Tevreden", "Ontevreden")</f>
        <v>Tevreden</v>
      </c>
    </row>
    <row r="323" spans="1:17" x14ac:dyDescent="0.3">
      <c r="A323" t="s">
        <v>948</v>
      </c>
      <c r="B323">
        <v>9861467630</v>
      </c>
      <c r="C323" t="s">
        <v>949</v>
      </c>
      <c r="D323" t="s">
        <v>950</v>
      </c>
      <c r="E323">
        <v>90</v>
      </c>
      <c r="F323" t="s">
        <v>46</v>
      </c>
      <c r="G323">
        <v>2</v>
      </c>
      <c r="H323">
        <v>1</v>
      </c>
      <c r="I323">
        <v>49.14</v>
      </c>
      <c r="J323" t="s">
        <v>47</v>
      </c>
      <c r="K323" t="s">
        <v>22</v>
      </c>
      <c r="L323">
        <v>5.47</v>
      </c>
      <c r="M323" t="s">
        <v>78</v>
      </c>
      <c r="N323" t="str">
        <f t="shared" si="20"/>
        <v>De bock</v>
      </c>
      <c r="O323" t="str">
        <f t="shared" si="21"/>
        <v>Meindert</v>
      </c>
      <c r="P323" t="e">
        <f t="shared" ca="1" si="22"/>
        <v>#NAME?</v>
      </c>
      <c r="Q323" t="str">
        <f t="shared" si="23"/>
        <v>Ontevreden</v>
      </c>
    </row>
    <row r="324" spans="1:17" x14ac:dyDescent="0.3">
      <c r="A324" t="s">
        <v>951</v>
      </c>
      <c r="B324">
        <v>3263242748</v>
      </c>
      <c r="C324" t="s">
        <v>952</v>
      </c>
      <c r="D324" t="s">
        <v>505</v>
      </c>
      <c r="E324">
        <v>56</v>
      </c>
      <c r="F324" t="s">
        <v>33</v>
      </c>
      <c r="G324">
        <v>2</v>
      </c>
      <c r="H324">
        <v>3</v>
      </c>
      <c r="I324">
        <v>97.54</v>
      </c>
      <c r="J324" t="s">
        <v>77</v>
      </c>
      <c r="K324" t="s">
        <v>29</v>
      </c>
      <c r="L324">
        <v>7.32</v>
      </c>
      <c r="M324" t="s">
        <v>23</v>
      </c>
      <c r="N324" t="str">
        <f t="shared" si="20"/>
        <v>Vermeulen</v>
      </c>
      <c r="O324" t="str">
        <f t="shared" si="21"/>
        <v>Gaetan</v>
      </c>
      <c r="P324" t="e">
        <f t="shared" ca="1" si="22"/>
        <v>#NAME?</v>
      </c>
      <c r="Q324" t="str">
        <f t="shared" si="23"/>
        <v>Tevreden</v>
      </c>
    </row>
    <row r="325" spans="1:17" x14ac:dyDescent="0.3">
      <c r="A325" t="s">
        <v>953</v>
      </c>
      <c r="B325">
        <v>9124372622</v>
      </c>
      <c r="C325" t="s">
        <v>954</v>
      </c>
      <c r="D325" t="s">
        <v>950</v>
      </c>
      <c r="E325">
        <v>20</v>
      </c>
      <c r="F325" t="s">
        <v>33</v>
      </c>
      <c r="G325">
        <v>2</v>
      </c>
      <c r="H325">
        <v>0</v>
      </c>
      <c r="I325">
        <v>32.75</v>
      </c>
      <c r="J325" t="s">
        <v>28</v>
      </c>
      <c r="K325" t="s">
        <v>29</v>
      </c>
      <c r="L325">
        <v>7.5</v>
      </c>
      <c r="M325" t="s">
        <v>23</v>
      </c>
      <c r="N325" t="str">
        <f t="shared" si="20"/>
        <v>David</v>
      </c>
      <c r="O325" t="str">
        <f t="shared" si="21"/>
        <v>Kristel</v>
      </c>
      <c r="P325" t="e">
        <f t="shared" ca="1" si="22"/>
        <v>#NAME?</v>
      </c>
      <c r="Q325" t="str">
        <f t="shared" si="23"/>
        <v>Tevreden</v>
      </c>
    </row>
    <row r="326" spans="1:17" x14ac:dyDescent="0.3">
      <c r="A326" t="s">
        <v>955</v>
      </c>
      <c r="B326">
        <v>4681944714</v>
      </c>
      <c r="C326" t="s">
        <v>956</v>
      </c>
      <c r="D326" t="s">
        <v>810</v>
      </c>
      <c r="E326">
        <v>33</v>
      </c>
      <c r="F326" t="s">
        <v>144</v>
      </c>
      <c r="G326">
        <v>1</v>
      </c>
      <c r="H326">
        <v>3</v>
      </c>
      <c r="I326">
        <v>147.58000000000001</v>
      </c>
      <c r="J326" t="s">
        <v>21</v>
      </c>
      <c r="K326" t="s">
        <v>22</v>
      </c>
      <c r="L326">
        <v>5.86</v>
      </c>
      <c r="M326" t="s">
        <v>78</v>
      </c>
      <c r="N326" t="str">
        <f t="shared" si="20"/>
        <v>Cornelis</v>
      </c>
      <c r="O326" t="str">
        <f t="shared" si="21"/>
        <v>Samuel</v>
      </c>
      <c r="P326" t="e">
        <f t="shared" ca="1" si="22"/>
        <v>#NAME?</v>
      </c>
      <c r="Q326" t="str">
        <f t="shared" si="23"/>
        <v>Ontevreden</v>
      </c>
    </row>
    <row r="327" spans="1:17" x14ac:dyDescent="0.3">
      <c r="A327" t="s">
        <v>957</v>
      </c>
      <c r="B327">
        <v>7053344024</v>
      </c>
      <c r="C327" t="s">
        <v>958</v>
      </c>
      <c r="D327" t="s">
        <v>959</v>
      </c>
      <c r="E327">
        <v>53</v>
      </c>
      <c r="F327" t="s">
        <v>189</v>
      </c>
      <c r="G327">
        <v>2</v>
      </c>
      <c r="H327">
        <v>0</v>
      </c>
      <c r="I327">
        <v>110.57</v>
      </c>
      <c r="J327" t="s">
        <v>77</v>
      </c>
      <c r="K327" t="s">
        <v>57</v>
      </c>
      <c r="L327">
        <v>6.54</v>
      </c>
      <c r="M327" t="s">
        <v>23</v>
      </c>
      <c r="N327" t="str">
        <f t="shared" si="20"/>
        <v>Peeters</v>
      </c>
      <c r="O327" t="str">
        <f t="shared" si="21"/>
        <v>Eva</v>
      </c>
      <c r="P327" t="e">
        <f t="shared" ca="1" si="22"/>
        <v>#NAME?</v>
      </c>
      <c r="Q327" t="str">
        <f t="shared" si="23"/>
        <v>Ontevreden</v>
      </c>
    </row>
    <row r="328" spans="1:17" x14ac:dyDescent="0.3">
      <c r="A328" t="s">
        <v>960</v>
      </c>
      <c r="B328">
        <v>7241671311</v>
      </c>
      <c r="C328" t="s">
        <v>961</v>
      </c>
      <c r="D328" t="s">
        <v>505</v>
      </c>
      <c r="E328">
        <v>7</v>
      </c>
      <c r="F328" t="s">
        <v>27</v>
      </c>
      <c r="G328">
        <v>1</v>
      </c>
      <c r="H328">
        <v>3</v>
      </c>
      <c r="I328">
        <v>99.96</v>
      </c>
      <c r="J328" t="s">
        <v>77</v>
      </c>
      <c r="K328" t="s">
        <v>57</v>
      </c>
      <c r="L328">
        <v>7.45</v>
      </c>
      <c r="M328" t="s">
        <v>34</v>
      </c>
      <c r="N328" t="str">
        <f t="shared" si="20"/>
        <v>Smits</v>
      </c>
      <c r="O328" t="str">
        <f t="shared" si="21"/>
        <v>Erwan</v>
      </c>
      <c r="P328" t="e">
        <f t="shared" ca="1" si="22"/>
        <v>#NAME?</v>
      </c>
      <c r="Q328" t="str">
        <f t="shared" si="23"/>
        <v>Tevreden</v>
      </c>
    </row>
    <row r="329" spans="1:17" x14ac:dyDescent="0.3">
      <c r="A329" t="s">
        <v>962</v>
      </c>
      <c r="B329">
        <v>7343947067</v>
      </c>
      <c r="C329" t="s">
        <v>963</v>
      </c>
      <c r="D329" t="s">
        <v>964</v>
      </c>
      <c r="E329">
        <v>51</v>
      </c>
      <c r="F329" t="s">
        <v>193</v>
      </c>
      <c r="G329">
        <v>1</v>
      </c>
      <c r="H329">
        <v>2</v>
      </c>
      <c r="I329">
        <v>157.1</v>
      </c>
      <c r="J329" t="s">
        <v>77</v>
      </c>
      <c r="K329" t="s">
        <v>29</v>
      </c>
      <c r="L329">
        <v>7.62</v>
      </c>
      <c r="M329" t="s">
        <v>23</v>
      </c>
      <c r="N329" t="str">
        <f t="shared" si="20"/>
        <v>Willems</v>
      </c>
      <c r="O329" t="str">
        <f t="shared" si="21"/>
        <v>Esteban</v>
      </c>
      <c r="P329" t="e">
        <f t="shared" ca="1" si="22"/>
        <v>#NAME?</v>
      </c>
      <c r="Q329" t="str">
        <f t="shared" si="23"/>
        <v>Tevreden</v>
      </c>
    </row>
    <row r="330" spans="1:17" x14ac:dyDescent="0.3">
      <c r="A330" t="s">
        <v>965</v>
      </c>
      <c r="B330">
        <v>3967600120</v>
      </c>
      <c r="C330" t="s">
        <v>966</v>
      </c>
      <c r="D330" t="s">
        <v>807</v>
      </c>
      <c r="E330">
        <v>1</v>
      </c>
      <c r="F330" t="s">
        <v>82</v>
      </c>
      <c r="G330">
        <v>2</v>
      </c>
      <c r="H330">
        <v>1</v>
      </c>
      <c r="I330">
        <v>113.88</v>
      </c>
      <c r="J330" t="s">
        <v>21</v>
      </c>
      <c r="K330" t="s">
        <v>22</v>
      </c>
      <c r="L330">
        <v>7.05</v>
      </c>
      <c r="M330" t="s">
        <v>23</v>
      </c>
      <c r="N330" t="str">
        <f t="shared" si="20"/>
        <v>Van den eynde</v>
      </c>
      <c r="O330" t="str">
        <f t="shared" si="21"/>
        <v>Rita</v>
      </c>
      <c r="P330" t="e">
        <f t="shared" ca="1" si="22"/>
        <v>#NAME?</v>
      </c>
      <c r="Q330" t="str">
        <f t="shared" si="23"/>
        <v>Tevreden</v>
      </c>
    </row>
    <row r="331" spans="1:17" x14ac:dyDescent="0.3">
      <c r="A331" t="s">
        <v>967</v>
      </c>
      <c r="B331">
        <v>6447235564</v>
      </c>
      <c r="C331" t="s">
        <v>968</v>
      </c>
      <c r="D331" t="s">
        <v>212</v>
      </c>
      <c r="E331">
        <v>66</v>
      </c>
      <c r="F331" t="s">
        <v>51</v>
      </c>
      <c r="G331">
        <v>2</v>
      </c>
      <c r="H331">
        <v>1</v>
      </c>
      <c r="I331">
        <v>49.89</v>
      </c>
      <c r="J331" t="s">
        <v>52</v>
      </c>
      <c r="K331" t="s">
        <v>57</v>
      </c>
      <c r="L331">
        <v>6.57</v>
      </c>
      <c r="M331" t="s">
        <v>78</v>
      </c>
      <c r="N331" t="str">
        <f t="shared" si="20"/>
        <v>Van driessche</v>
      </c>
      <c r="O331" t="str">
        <f t="shared" si="21"/>
        <v>Gaspard</v>
      </c>
      <c r="P331" t="e">
        <f t="shared" ca="1" si="22"/>
        <v>#NAME?</v>
      </c>
      <c r="Q331" t="str">
        <f t="shared" si="23"/>
        <v>Ontevreden</v>
      </c>
    </row>
    <row r="332" spans="1:17" x14ac:dyDescent="0.3">
      <c r="A332" t="s">
        <v>969</v>
      </c>
      <c r="B332">
        <v>7037148269</v>
      </c>
      <c r="C332" t="s">
        <v>970</v>
      </c>
      <c r="D332" t="s">
        <v>971</v>
      </c>
      <c r="E332">
        <v>14</v>
      </c>
      <c r="F332" t="s">
        <v>27</v>
      </c>
      <c r="G332">
        <v>2</v>
      </c>
      <c r="H332">
        <v>1</v>
      </c>
      <c r="I332">
        <v>150.32</v>
      </c>
      <c r="J332" t="s">
        <v>28</v>
      </c>
      <c r="K332" t="s">
        <v>22</v>
      </c>
      <c r="L332">
        <v>6.96</v>
      </c>
      <c r="M332" t="s">
        <v>23</v>
      </c>
      <c r="N332" t="str">
        <f t="shared" si="20"/>
        <v>Bastin</v>
      </c>
      <c r="O332" t="str">
        <f t="shared" si="21"/>
        <v>Adrien</v>
      </c>
      <c r="P332" t="e">
        <f t="shared" ca="1" si="22"/>
        <v>#NAME?</v>
      </c>
      <c r="Q332" t="str">
        <f t="shared" si="23"/>
        <v>Ontevreden</v>
      </c>
    </row>
    <row r="333" spans="1:17" x14ac:dyDescent="0.3">
      <c r="A333" t="s">
        <v>972</v>
      </c>
      <c r="B333">
        <v>4858347973</v>
      </c>
      <c r="C333" t="s">
        <v>973</v>
      </c>
      <c r="D333" t="s">
        <v>680</v>
      </c>
      <c r="E333">
        <v>15</v>
      </c>
      <c r="F333" t="s">
        <v>76</v>
      </c>
      <c r="G333">
        <v>1</v>
      </c>
      <c r="H333">
        <v>0</v>
      </c>
      <c r="I333">
        <v>20.21</v>
      </c>
      <c r="J333" t="s">
        <v>77</v>
      </c>
      <c r="K333" t="s">
        <v>22</v>
      </c>
      <c r="L333">
        <v>7.28</v>
      </c>
      <c r="M333" t="s">
        <v>23</v>
      </c>
      <c r="N333" t="str">
        <f t="shared" si="20"/>
        <v>Houben</v>
      </c>
      <c r="O333" t="str">
        <f t="shared" si="21"/>
        <v>Jessica</v>
      </c>
      <c r="P333" t="e">
        <f t="shared" ca="1" si="22"/>
        <v>#NAME?</v>
      </c>
      <c r="Q333" t="str">
        <f t="shared" si="23"/>
        <v>Tevreden</v>
      </c>
    </row>
    <row r="334" spans="1:17" x14ac:dyDescent="0.3">
      <c r="A334" t="s">
        <v>974</v>
      </c>
      <c r="B334">
        <v>1138104991</v>
      </c>
      <c r="C334" t="s">
        <v>975</v>
      </c>
      <c r="D334" t="s">
        <v>976</v>
      </c>
      <c r="E334">
        <v>46</v>
      </c>
      <c r="F334" t="s">
        <v>76</v>
      </c>
      <c r="G334">
        <v>1</v>
      </c>
      <c r="H334">
        <v>5</v>
      </c>
      <c r="I334">
        <v>174.07</v>
      </c>
      <c r="J334" t="s">
        <v>52</v>
      </c>
      <c r="K334" t="s">
        <v>29</v>
      </c>
      <c r="L334">
        <v>6.77</v>
      </c>
      <c r="M334" t="s">
        <v>23</v>
      </c>
      <c r="N334" t="str">
        <f t="shared" si="20"/>
        <v>Baert</v>
      </c>
      <c r="O334" t="str">
        <f t="shared" si="21"/>
        <v>Giuseppina</v>
      </c>
      <c r="P334" t="e">
        <f t="shared" ca="1" si="22"/>
        <v>#NAME?</v>
      </c>
      <c r="Q334" t="str">
        <f t="shared" si="23"/>
        <v>Ontevreden</v>
      </c>
    </row>
    <row r="335" spans="1:17" x14ac:dyDescent="0.3">
      <c r="A335" t="s">
        <v>977</v>
      </c>
      <c r="B335">
        <v>7132824796</v>
      </c>
      <c r="C335" t="s">
        <v>978</v>
      </c>
      <c r="D335" t="s">
        <v>979</v>
      </c>
      <c r="E335">
        <v>54</v>
      </c>
      <c r="F335" t="s">
        <v>82</v>
      </c>
      <c r="G335">
        <v>4</v>
      </c>
      <c r="H335">
        <v>3</v>
      </c>
      <c r="I335">
        <v>170.21</v>
      </c>
      <c r="J335" t="s">
        <v>28</v>
      </c>
      <c r="K335" t="s">
        <v>29</v>
      </c>
      <c r="L335">
        <v>7.52</v>
      </c>
      <c r="M335" t="s">
        <v>23</v>
      </c>
      <c r="N335" t="str">
        <f t="shared" si="20"/>
        <v>Daniels</v>
      </c>
      <c r="O335" t="str">
        <f t="shared" si="21"/>
        <v>Lucrèce</v>
      </c>
      <c r="P335" t="e">
        <f t="shared" ca="1" si="22"/>
        <v>#NAME?</v>
      </c>
      <c r="Q335" t="str">
        <f t="shared" si="23"/>
        <v>Tevreden</v>
      </c>
    </row>
    <row r="336" spans="1:17" x14ac:dyDescent="0.3">
      <c r="A336" t="s">
        <v>980</v>
      </c>
      <c r="B336">
        <v>6566189136</v>
      </c>
      <c r="C336" t="s">
        <v>451</v>
      </c>
      <c r="D336" t="s">
        <v>872</v>
      </c>
      <c r="E336">
        <v>23</v>
      </c>
      <c r="F336" t="s">
        <v>148</v>
      </c>
      <c r="G336">
        <v>2</v>
      </c>
      <c r="H336">
        <v>0</v>
      </c>
      <c r="I336">
        <v>19.64</v>
      </c>
      <c r="J336" t="s">
        <v>28</v>
      </c>
      <c r="K336" t="s">
        <v>57</v>
      </c>
      <c r="L336">
        <v>6.98</v>
      </c>
      <c r="M336" t="s">
        <v>23</v>
      </c>
      <c r="N336" t="str">
        <f t="shared" si="20"/>
        <v>Vervoort</v>
      </c>
      <c r="O336" t="str">
        <f t="shared" si="21"/>
        <v>Florian</v>
      </c>
      <c r="P336" t="e">
        <f t="shared" ca="1" si="22"/>
        <v>#NAME?</v>
      </c>
      <c r="Q336" t="str">
        <f t="shared" si="23"/>
        <v>Ontevreden</v>
      </c>
    </row>
    <row r="337" spans="1:17" x14ac:dyDescent="0.3">
      <c r="A337" t="s">
        <v>981</v>
      </c>
      <c r="B337">
        <v>6279230288</v>
      </c>
      <c r="C337" t="s">
        <v>982</v>
      </c>
      <c r="D337" t="s">
        <v>362</v>
      </c>
      <c r="E337">
        <v>91</v>
      </c>
      <c r="F337" t="s">
        <v>115</v>
      </c>
      <c r="G337">
        <v>3</v>
      </c>
      <c r="H337">
        <v>1</v>
      </c>
      <c r="I337">
        <v>159.29</v>
      </c>
      <c r="J337" t="s">
        <v>28</v>
      </c>
      <c r="K337" t="s">
        <v>22</v>
      </c>
      <c r="L337">
        <v>8.32</v>
      </c>
      <c r="M337" t="s">
        <v>34</v>
      </c>
      <c r="N337" t="str">
        <f t="shared" si="20"/>
        <v>Wouters</v>
      </c>
      <c r="O337" t="str">
        <f t="shared" si="21"/>
        <v>Gisèle</v>
      </c>
      <c r="P337" t="e">
        <f t="shared" ca="1" si="22"/>
        <v>#NAME?</v>
      </c>
      <c r="Q337" t="str">
        <f t="shared" si="23"/>
        <v>Tevreden</v>
      </c>
    </row>
    <row r="338" spans="1:17" x14ac:dyDescent="0.3">
      <c r="A338" t="s">
        <v>983</v>
      </c>
      <c r="B338">
        <v>5774450569</v>
      </c>
      <c r="C338" t="s">
        <v>984</v>
      </c>
      <c r="D338" t="s">
        <v>985</v>
      </c>
      <c r="E338">
        <v>7</v>
      </c>
      <c r="F338" t="s">
        <v>46</v>
      </c>
      <c r="G338">
        <v>2</v>
      </c>
      <c r="H338">
        <v>5</v>
      </c>
      <c r="I338">
        <v>104.17</v>
      </c>
      <c r="J338" t="s">
        <v>28</v>
      </c>
      <c r="K338" t="s">
        <v>22</v>
      </c>
      <c r="L338">
        <v>5.92</v>
      </c>
      <c r="M338" t="s">
        <v>78</v>
      </c>
      <c r="N338" t="str">
        <f t="shared" si="20"/>
        <v>Denis</v>
      </c>
      <c r="O338" t="str">
        <f t="shared" si="21"/>
        <v>Caitlin</v>
      </c>
      <c r="P338" t="e">
        <f t="shared" ca="1" si="22"/>
        <v>#NAME?</v>
      </c>
      <c r="Q338" t="str">
        <f t="shared" si="23"/>
        <v>Ontevreden</v>
      </c>
    </row>
    <row r="339" spans="1:17" x14ac:dyDescent="0.3">
      <c r="A339" t="s">
        <v>986</v>
      </c>
      <c r="B339">
        <v>654974348</v>
      </c>
      <c r="C339" t="s">
        <v>987</v>
      </c>
      <c r="D339" t="s">
        <v>586</v>
      </c>
      <c r="E339">
        <v>2</v>
      </c>
      <c r="F339" t="s">
        <v>158</v>
      </c>
      <c r="G339">
        <v>2</v>
      </c>
      <c r="H339">
        <v>0</v>
      </c>
      <c r="I339">
        <v>60.24</v>
      </c>
      <c r="J339" t="s">
        <v>28</v>
      </c>
      <c r="K339" t="s">
        <v>22</v>
      </c>
      <c r="L339">
        <v>7.11</v>
      </c>
      <c r="M339" t="s">
        <v>23</v>
      </c>
      <c r="N339" t="str">
        <f t="shared" si="20"/>
        <v>Mertens</v>
      </c>
      <c r="O339" t="str">
        <f t="shared" si="21"/>
        <v>Françoise</v>
      </c>
      <c r="P339" t="e">
        <f t="shared" ca="1" si="22"/>
        <v>#NAME?</v>
      </c>
      <c r="Q339" t="str">
        <f t="shared" si="23"/>
        <v>Tevreden</v>
      </c>
    </row>
    <row r="340" spans="1:17" x14ac:dyDescent="0.3">
      <c r="A340" t="s">
        <v>988</v>
      </c>
      <c r="B340">
        <v>1662966716</v>
      </c>
      <c r="C340" t="s">
        <v>361</v>
      </c>
      <c r="D340" t="s">
        <v>989</v>
      </c>
      <c r="E340">
        <v>34</v>
      </c>
      <c r="F340" t="s">
        <v>189</v>
      </c>
      <c r="G340">
        <v>3</v>
      </c>
      <c r="H340">
        <v>0</v>
      </c>
      <c r="I340">
        <v>123.23</v>
      </c>
      <c r="J340" t="s">
        <v>52</v>
      </c>
      <c r="K340" t="s">
        <v>29</v>
      </c>
      <c r="L340">
        <v>7.27</v>
      </c>
      <c r="M340" t="s">
        <v>23</v>
      </c>
      <c r="N340" t="str">
        <f t="shared" si="20"/>
        <v>Dumont</v>
      </c>
      <c r="O340" t="str">
        <f t="shared" si="21"/>
        <v>Maël</v>
      </c>
      <c r="P340" t="e">
        <f t="shared" ca="1" si="22"/>
        <v>#NAME?</v>
      </c>
      <c r="Q340" t="str">
        <f t="shared" si="23"/>
        <v>Tevreden</v>
      </c>
    </row>
    <row r="341" spans="1:17" x14ac:dyDescent="0.3">
      <c r="A341" t="s">
        <v>990</v>
      </c>
      <c r="B341">
        <v>9906811126</v>
      </c>
      <c r="C341" t="s">
        <v>991</v>
      </c>
      <c r="D341" t="s">
        <v>992</v>
      </c>
      <c r="E341">
        <v>48</v>
      </c>
      <c r="F341" t="s">
        <v>144</v>
      </c>
      <c r="G341">
        <v>2</v>
      </c>
      <c r="H341">
        <v>0</v>
      </c>
      <c r="I341">
        <v>65.64</v>
      </c>
      <c r="J341" t="s">
        <v>28</v>
      </c>
      <c r="K341" t="s">
        <v>22</v>
      </c>
      <c r="L341">
        <v>6.95</v>
      </c>
      <c r="M341" t="s">
        <v>23</v>
      </c>
      <c r="N341" t="str">
        <f t="shared" si="20"/>
        <v>De jonghe</v>
      </c>
      <c r="O341" t="str">
        <f t="shared" si="21"/>
        <v>Lena</v>
      </c>
      <c r="P341" t="e">
        <f t="shared" ca="1" si="22"/>
        <v>#NAME?</v>
      </c>
      <c r="Q341" t="str">
        <f t="shared" si="23"/>
        <v>Ontevreden</v>
      </c>
    </row>
    <row r="342" spans="1:17" x14ac:dyDescent="0.3">
      <c r="A342" t="s">
        <v>993</v>
      </c>
      <c r="B342">
        <v>4681951725</v>
      </c>
      <c r="C342" t="s">
        <v>994</v>
      </c>
      <c r="D342" t="s">
        <v>882</v>
      </c>
      <c r="E342">
        <v>7</v>
      </c>
      <c r="F342" t="s">
        <v>51</v>
      </c>
      <c r="G342">
        <v>2</v>
      </c>
      <c r="H342">
        <v>2</v>
      </c>
      <c r="I342">
        <v>130.5</v>
      </c>
      <c r="J342" t="s">
        <v>52</v>
      </c>
      <c r="K342" t="s">
        <v>29</v>
      </c>
      <c r="L342">
        <v>7.51</v>
      </c>
      <c r="M342" t="s">
        <v>23</v>
      </c>
      <c r="N342" t="str">
        <f t="shared" si="20"/>
        <v>Aerts</v>
      </c>
      <c r="O342" t="str">
        <f t="shared" si="21"/>
        <v>Marie-Thérèse</v>
      </c>
      <c r="P342" t="e">
        <f t="shared" ca="1" si="22"/>
        <v>#NAME?</v>
      </c>
      <c r="Q342" t="str">
        <f t="shared" si="23"/>
        <v>Tevreden</v>
      </c>
    </row>
    <row r="343" spans="1:17" x14ac:dyDescent="0.3">
      <c r="A343" t="s">
        <v>995</v>
      </c>
      <c r="B343">
        <v>239392812</v>
      </c>
      <c r="C343" t="s">
        <v>996</v>
      </c>
      <c r="D343" t="s">
        <v>250</v>
      </c>
      <c r="E343">
        <v>56</v>
      </c>
      <c r="F343" t="s">
        <v>128</v>
      </c>
      <c r="G343">
        <v>2</v>
      </c>
      <c r="H343">
        <v>0</v>
      </c>
      <c r="I343">
        <v>42.67</v>
      </c>
      <c r="J343" t="s">
        <v>28</v>
      </c>
      <c r="K343" t="s">
        <v>29</v>
      </c>
      <c r="L343">
        <v>7.07</v>
      </c>
      <c r="M343" t="s">
        <v>23</v>
      </c>
      <c r="N343" t="str">
        <f t="shared" si="20"/>
        <v>Van den brande</v>
      </c>
      <c r="O343" t="str">
        <f t="shared" si="21"/>
        <v>Salwa</v>
      </c>
      <c r="P343" t="e">
        <f t="shared" ca="1" si="22"/>
        <v>#NAME?</v>
      </c>
      <c r="Q343" t="str">
        <f t="shared" si="23"/>
        <v>Tevreden</v>
      </c>
    </row>
    <row r="344" spans="1:17" x14ac:dyDescent="0.3">
      <c r="A344" t="s">
        <v>997</v>
      </c>
      <c r="B344">
        <v>4871969949</v>
      </c>
      <c r="C344" t="s">
        <v>998</v>
      </c>
      <c r="D344" t="s">
        <v>999</v>
      </c>
      <c r="E344">
        <v>4</v>
      </c>
      <c r="F344" t="s">
        <v>164</v>
      </c>
      <c r="G344">
        <v>2</v>
      </c>
      <c r="H344">
        <v>2</v>
      </c>
      <c r="I344">
        <v>104.37</v>
      </c>
      <c r="J344" t="s">
        <v>28</v>
      </c>
      <c r="K344" t="s">
        <v>22</v>
      </c>
      <c r="L344">
        <v>6.93</v>
      </c>
      <c r="M344" t="s">
        <v>23</v>
      </c>
      <c r="N344" t="str">
        <f t="shared" si="20"/>
        <v>De roeck</v>
      </c>
      <c r="O344" t="str">
        <f t="shared" si="21"/>
        <v>Charle</v>
      </c>
      <c r="P344" t="e">
        <f t="shared" ca="1" si="22"/>
        <v>#NAME?</v>
      </c>
      <c r="Q344" t="str">
        <f t="shared" si="23"/>
        <v>Ontevreden</v>
      </c>
    </row>
    <row r="345" spans="1:17" x14ac:dyDescent="0.3">
      <c r="A345" t="s">
        <v>1000</v>
      </c>
      <c r="B345">
        <v>4581257135</v>
      </c>
      <c r="C345" t="s">
        <v>1001</v>
      </c>
      <c r="D345" t="s">
        <v>985</v>
      </c>
      <c r="E345">
        <v>58</v>
      </c>
      <c r="F345" t="s">
        <v>76</v>
      </c>
      <c r="G345">
        <v>1</v>
      </c>
      <c r="H345">
        <v>2</v>
      </c>
      <c r="I345">
        <v>41.55</v>
      </c>
      <c r="J345" t="s">
        <v>52</v>
      </c>
      <c r="K345" t="s">
        <v>22</v>
      </c>
      <c r="L345">
        <v>8.6</v>
      </c>
      <c r="M345" t="s">
        <v>34</v>
      </c>
      <c r="N345" t="str">
        <f t="shared" si="20"/>
        <v>Van de velde</v>
      </c>
      <c r="O345" t="str">
        <f t="shared" si="21"/>
        <v>Tijs</v>
      </c>
      <c r="P345" t="e">
        <f t="shared" ca="1" si="22"/>
        <v>#NAME?</v>
      </c>
      <c r="Q345" t="str">
        <f t="shared" si="23"/>
        <v>Tevreden</v>
      </c>
    </row>
    <row r="346" spans="1:17" x14ac:dyDescent="0.3">
      <c r="A346" t="s">
        <v>1002</v>
      </c>
      <c r="B346">
        <v>1783474847</v>
      </c>
      <c r="C346" t="s">
        <v>1003</v>
      </c>
      <c r="D346" t="s">
        <v>593</v>
      </c>
      <c r="E346">
        <v>26</v>
      </c>
      <c r="F346" t="s">
        <v>115</v>
      </c>
      <c r="G346">
        <v>2</v>
      </c>
      <c r="H346">
        <v>5</v>
      </c>
      <c r="I346">
        <v>255.02</v>
      </c>
      <c r="J346" t="s">
        <v>21</v>
      </c>
      <c r="K346" t="s">
        <v>22</v>
      </c>
      <c r="L346">
        <v>7.3</v>
      </c>
      <c r="M346" t="s">
        <v>23</v>
      </c>
      <c r="N346" t="str">
        <f t="shared" si="20"/>
        <v>Lacroix</v>
      </c>
      <c r="O346" t="str">
        <f t="shared" si="21"/>
        <v>Liliane</v>
      </c>
      <c r="P346" t="e">
        <f t="shared" ca="1" si="22"/>
        <v>#NAME?</v>
      </c>
      <c r="Q346" t="str">
        <f t="shared" si="23"/>
        <v>Tevreden</v>
      </c>
    </row>
    <row r="347" spans="1:17" x14ac:dyDescent="0.3">
      <c r="A347" t="s">
        <v>1004</v>
      </c>
      <c r="B347">
        <v>9409076254</v>
      </c>
      <c r="C347" t="s">
        <v>1005</v>
      </c>
      <c r="D347" t="s">
        <v>1006</v>
      </c>
      <c r="E347">
        <v>32</v>
      </c>
      <c r="F347" t="s">
        <v>219</v>
      </c>
      <c r="G347">
        <v>6</v>
      </c>
      <c r="H347">
        <v>0</v>
      </c>
      <c r="I347">
        <v>174.59</v>
      </c>
      <c r="J347" t="s">
        <v>47</v>
      </c>
      <c r="K347" t="s">
        <v>29</v>
      </c>
      <c r="L347">
        <v>6.94</v>
      </c>
      <c r="M347" t="s">
        <v>23</v>
      </c>
      <c r="N347" t="str">
        <f t="shared" si="20"/>
        <v>Van den broeck</v>
      </c>
      <c r="O347" t="str">
        <f t="shared" si="21"/>
        <v>Anaïs</v>
      </c>
      <c r="P347" t="e">
        <f t="shared" ca="1" si="22"/>
        <v>#NAME?</v>
      </c>
      <c r="Q347" t="str">
        <f t="shared" si="23"/>
        <v>Ontevreden</v>
      </c>
    </row>
    <row r="348" spans="1:17" x14ac:dyDescent="0.3">
      <c r="A348" t="s">
        <v>1007</v>
      </c>
      <c r="B348">
        <v>8629262678</v>
      </c>
      <c r="C348" t="s">
        <v>1008</v>
      </c>
      <c r="D348" t="s">
        <v>1009</v>
      </c>
      <c r="E348">
        <v>2</v>
      </c>
      <c r="F348" t="s">
        <v>33</v>
      </c>
      <c r="G348">
        <v>1</v>
      </c>
      <c r="H348">
        <v>5</v>
      </c>
      <c r="I348">
        <v>100.31</v>
      </c>
      <c r="J348" t="s">
        <v>28</v>
      </c>
      <c r="K348" t="s">
        <v>29</v>
      </c>
      <c r="L348">
        <v>7.1</v>
      </c>
      <c r="M348" t="s">
        <v>23</v>
      </c>
      <c r="N348" t="str">
        <f t="shared" si="20"/>
        <v>Collignon</v>
      </c>
      <c r="O348" t="str">
        <f t="shared" si="21"/>
        <v>Wout</v>
      </c>
      <c r="P348" t="e">
        <f t="shared" ca="1" si="22"/>
        <v>#NAME?</v>
      </c>
      <c r="Q348" t="str">
        <f t="shared" si="23"/>
        <v>Tevreden</v>
      </c>
    </row>
    <row r="349" spans="1:17" x14ac:dyDescent="0.3">
      <c r="A349" t="s">
        <v>1010</v>
      </c>
      <c r="B349">
        <v>5972798971</v>
      </c>
      <c r="C349" t="s">
        <v>1011</v>
      </c>
      <c r="D349" t="s">
        <v>1012</v>
      </c>
      <c r="E349">
        <v>85</v>
      </c>
      <c r="F349" t="s">
        <v>98</v>
      </c>
      <c r="G349">
        <v>2</v>
      </c>
      <c r="H349">
        <v>0</v>
      </c>
      <c r="I349">
        <v>106.2</v>
      </c>
      <c r="J349" t="s">
        <v>21</v>
      </c>
      <c r="K349" t="s">
        <v>29</v>
      </c>
      <c r="L349">
        <v>6.99</v>
      </c>
      <c r="M349" t="s">
        <v>23</v>
      </c>
      <c r="N349" t="str">
        <f t="shared" si="20"/>
        <v>Hendrickx</v>
      </c>
      <c r="O349" t="str">
        <f t="shared" si="21"/>
        <v>Kris</v>
      </c>
      <c r="P349" t="e">
        <f t="shared" ca="1" si="22"/>
        <v>#NAME?</v>
      </c>
      <c r="Q349" t="str">
        <f t="shared" si="23"/>
        <v>Ontevreden</v>
      </c>
    </row>
    <row r="350" spans="1:17" x14ac:dyDescent="0.3">
      <c r="A350" t="s">
        <v>1013</v>
      </c>
      <c r="B350">
        <v>3416787537</v>
      </c>
      <c r="C350" t="s">
        <v>1014</v>
      </c>
      <c r="D350" t="s">
        <v>1015</v>
      </c>
      <c r="E350">
        <v>44</v>
      </c>
      <c r="F350" t="s">
        <v>489</v>
      </c>
      <c r="G350">
        <v>1</v>
      </c>
      <c r="H350">
        <v>1</v>
      </c>
      <c r="I350">
        <v>41.9</v>
      </c>
      <c r="J350" t="s">
        <v>52</v>
      </c>
      <c r="K350" t="s">
        <v>22</v>
      </c>
      <c r="L350">
        <v>7.78</v>
      </c>
      <c r="M350" t="s">
        <v>34</v>
      </c>
      <c r="N350" t="str">
        <f t="shared" si="20"/>
        <v>Van den broeck</v>
      </c>
      <c r="O350" t="str">
        <f t="shared" si="21"/>
        <v>Bianca</v>
      </c>
      <c r="P350" t="e">
        <f t="shared" ca="1" si="22"/>
        <v>#NAME?</v>
      </c>
      <c r="Q350" t="str">
        <f t="shared" si="23"/>
        <v>Tevreden</v>
      </c>
    </row>
    <row r="351" spans="1:17" x14ac:dyDescent="0.3">
      <c r="A351" t="s">
        <v>1016</v>
      </c>
      <c r="B351">
        <v>9603285512</v>
      </c>
      <c r="C351" t="s">
        <v>1017</v>
      </c>
      <c r="D351" t="s">
        <v>1018</v>
      </c>
      <c r="E351">
        <v>63</v>
      </c>
      <c r="F351" t="s">
        <v>61</v>
      </c>
      <c r="G351">
        <v>1</v>
      </c>
      <c r="H351">
        <v>1</v>
      </c>
      <c r="I351">
        <v>52.97</v>
      </c>
      <c r="J351" t="s">
        <v>52</v>
      </c>
      <c r="K351" t="s">
        <v>29</v>
      </c>
      <c r="L351">
        <v>6.97</v>
      </c>
      <c r="M351" t="s">
        <v>23</v>
      </c>
      <c r="N351" t="str">
        <f t="shared" si="20"/>
        <v>Antoine</v>
      </c>
      <c r="O351" t="str">
        <f t="shared" si="21"/>
        <v>Safia</v>
      </c>
      <c r="P351" t="e">
        <f t="shared" ca="1" si="22"/>
        <v>#NAME?</v>
      </c>
      <c r="Q351" t="str">
        <f t="shared" si="23"/>
        <v>Ontevreden</v>
      </c>
    </row>
    <row r="352" spans="1:17" x14ac:dyDescent="0.3">
      <c r="A352" t="s">
        <v>1019</v>
      </c>
      <c r="B352">
        <v>3392074978</v>
      </c>
      <c r="C352" t="s">
        <v>1020</v>
      </c>
      <c r="D352" t="s">
        <v>81</v>
      </c>
      <c r="E352">
        <v>48</v>
      </c>
      <c r="F352" t="s">
        <v>115</v>
      </c>
      <c r="G352">
        <v>2</v>
      </c>
      <c r="H352">
        <v>1</v>
      </c>
      <c r="I352">
        <v>104.28</v>
      </c>
      <c r="J352" t="s">
        <v>21</v>
      </c>
      <c r="K352" t="s">
        <v>29</v>
      </c>
      <c r="L352">
        <v>8.4499999999999993</v>
      </c>
      <c r="M352" t="s">
        <v>34</v>
      </c>
      <c r="N352" t="str">
        <f t="shared" si="20"/>
        <v>Brasseur</v>
      </c>
      <c r="O352" t="str">
        <f t="shared" si="21"/>
        <v>Carine</v>
      </c>
      <c r="P352" t="e">
        <f t="shared" ca="1" si="22"/>
        <v>#NAME?</v>
      </c>
      <c r="Q352" t="str">
        <f t="shared" si="23"/>
        <v>Tevreden</v>
      </c>
    </row>
    <row r="353" spans="1:17" x14ac:dyDescent="0.3">
      <c r="A353" t="s">
        <v>1021</v>
      </c>
      <c r="B353">
        <v>7884201231</v>
      </c>
      <c r="C353" t="s">
        <v>1022</v>
      </c>
      <c r="D353" t="s">
        <v>1023</v>
      </c>
      <c r="E353">
        <v>33</v>
      </c>
      <c r="F353" t="s">
        <v>20</v>
      </c>
      <c r="G353">
        <v>1</v>
      </c>
      <c r="H353">
        <v>0</v>
      </c>
      <c r="I353">
        <v>19.79</v>
      </c>
      <c r="J353" t="s">
        <v>28</v>
      </c>
      <c r="K353" t="s">
        <v>22</v>
      </c>
      <c r="L353">
        <v>6.85</v>
      </c>
      <c r="M353" t="s">
        <v>23</v>
      </c>
      <c r="N353" t="str">
        <f t="shared" si="20"/>
        <v>Verbist</v>
      </c>
      <c r="O353" t="str">
        <f t="shared" si="21"/>
        <v>Virginie</v>
      </c>
      <c r="P353" t="e">
        <f t="shared" ca="1" si="22"/>
        <v>#NAME?</v>
      </c>
      <c r="Q353" t="str">
        <f t="shared" si="23"/>
        <v>Ontevreden</v>
      </c>
    </row>
    <row r="354" spans="1:17" x14ac:dyDescent="0.3">
      <c r="A354" t="s">
        <v>1024</v>
      </c>
      <c r="B354">
        <v>8237156581</v>
      </c>
      <c r="C354" t="s">
        <v>1025</v>
      </c>
      <c r="D354" t="s">
        <v>131</v>
      </c>
      <c r="E354">
        <v>20</v>
      </c>
      <c r="F354" t="s">
        <v>128</v>
      </c>
      <c r="G354">
        <v>2</v>
      </c>
      <c r="H354">
        <v>0</v>
      </c>
      <c r="I354">
        <v>95.9</v>
      </c>
      <c r="J354" t="s">
        <v>52</v>
      </c>
      <c r="K354" t="s">
        <v>22</v>
      </c>
      <c r="L354">
        <v>7.59</v>
      </c>
      <c r="M354" t="s">
        <v>23</v>
      </c>
      <c r="N354" t="str">
        <f t="shared" si="20"/>
        <v>Laurent</v>
      </c>
      <c r="O354" t="str">
        <f t="shared" si="21"/>
        <v>Saskia</v>
      </c>
      <c r="P354" t="e">
        <f t="shared" ca="1" si="22"/>
        <v>#NAME?</v>
      </c>
      <c r="Q354" t="str">
        <f t="shared" si="23"/>
        <v>Tevreden</v>
      </c>
    </row>
    <row r="355" spans="1:17" x14ac:dyDescent="0.3">
      <c r="A355" t="s">
        <v>1026</v>
      </c>
      <c r="B355">
        <v>3621585256</v>
      </c>
      <c r="C355" t="s">
        <v>1027</v>
      </c>
      <c r="D355" t="s">
        <v>1028</v>
      </c>
      <c r="E355">
        <v>31</v>
      </c>
      <c r="F355" t="s">
        <v>175</v>
      </c>
      <c r="G355">
        <v>2</v>
      </c>
      <c r="H355">
        <v>1</v>
      </c>
      <c r="I355">
        <v>121.36</v>
      </c>
      <c r="J355" t="s">
        <v>47</v>
      </c>
      <c r="K355" t="s">
        <v>57</v>
      </c>
      <c r="L355">
        <v>7.29</v>
      </c>
      <c r="M355" t="s">
        <v>23</v>
      </c>
      <c r="N355" t="str">
        <f t="shared" si="20"/>
        <v>Colson</v>
      </c>
      <c r="O355" t="str">
        <f t="shared" si="21"/>
        <v>Henk</v>
      </c>
      <c r="P355" t="e">
        <f t="shared" ca="1" si="22"/>
        <v>#NAME?</v>
      </c>
      <c r="Q355" t="str">
        <f t="shared" si="23"/>
        <v>Tevreden</v>
      </c>
    </row>
    <row r="356" spans="1:17" x14ac:dyDescent="0.3">
      <c r="A356" t="s">
        <v>1029</v>
      </c>
      <c r="B356">
        <v>9717332689</v>
      </c>
      <c r="C356" t="s">
        <v>1030</v>
      </c>
      <c r="D356" t="s">
        <v>1031</v>
      </c>
      <c r="E356">
        <v>20</v>
      </c>
      <c r="F356" t="s">
        <v>27</v>
      </c>
      <c r="G356">
        <v>1</v>
      </c>
      <c r="H356">
        <v>0</v>
      </c>
      <c r="I356">
        <v>88.34</v>
      </c>
      <c r="J356" t="s">
        <v>28</v>
      </c>
      <c r="K356" t="s">
        <v>22</v>
      </c>
      <c r="L356">
        <v>7.28</v>
      </c>
      <c r="M356" t="s">
        <v>23</v>
      </c>
      <c r="N356" t="str">
        <f t="shared" si="20"/>
        <v>De boeck</v>
      </c>
      <c r="O356" t="str">
        <f t="shared" si="21"/>
        <v>André</v>
      </c>
      <c r="P356" t="e">
        <f t="shared" ca="1" si="22"/>
        <v>#NAME?</v>
      </c>
      <c r="Q356" t="str">
        <f t="shared" si="23"/>
        <v>Tevreden</v>
      </c>
    </row>
    <row r="357" spans="1:17" x14ac:dyDescent="0.3">
      <c r="A357" t="s">
        <v>1032</v>
      </c>
      <c r="B357">
        <v>8303490316</v>
      </c>
      <c r="C357" t="s">
        <v>1033</v>
      </c>
      <c r="D357" t="s">
        <v>94</v>
      </c>
      <c r="E357">
        <v>21</v>
      </c>
      <c r="F357" t="s">
        <v>27</v>
      </c>
      <c r="G357">
        <v>2</v>
      </c>
      <c r="H357">
        <v>2</v>
      </c>
      <c r="I357">
        <v>40.130000000000003</v>
      </c>
      <c r="J357" t="s">
        <v>52</v>
      </c>
      <c r="K357" t="s">
        <v>29</v>
      </c>
      <c r="L357">
        <v>6.98</v>
      </c>
      <c r="M357" t="s">
        <v>23</v>
      </c>
      <c r="N357" t="str">
        <f t="shared" si="20"/>
        <v>Temmerman</v>
      </c>
      <c r="O357" t="str">
        <f t="shared" si="21"/>
        <v>Jaro</v>
      </c>
      <c r="P357" t="e">
        <f t="shared" ca="1" si="22"/>
        <v>#NAME?</v>
      </c>
      <c r="Q357" t="str">
        <f t="shared" si="23"/>
        <v>Ontevreden</v>
      </c>
    </row>
    <row r="358" spans="1:17" x14ac:dyDescent="0.3">
      <c r="A358" t="s">
        <v>1034</v>
      </c>
      <c r="B358">
        <v>6157664954</v>
      </c>
      <c r="C358" t="s">
        <v>1035</v>
      </c>
      <c r="D358" t="s">
        <v>1036</v>
      </c>
      <c r="E358">
        <v>61</v>
      </c>
      <c r="F358" t="s">
        <v>115</v>
      </c>
      <c r="G358">
        <v>1</v>
      </c>
      <c r="H358">
        <v>2</v>
      </c>
      <c r="I358">
        <v>33.32</v>
      </c>
      <c r="J358" t="s">
        <v>21</v>
      </c>
      <c r="K358" t="s">
        <v>29</v>
      </c>
      <c r="L358">
        <v>6.58</v>
      </c>
      <c r="M358" t="s">
        <v>23</v>
      </c>
      <c r="N358" t="str">
        <f t="shared" si="20"/>
        <v>Nijs</v>
      </c>
      <c r="O358" t="str">
        <f t="shared" si="21"/>
        <v>Roxana</v>
      </c>
      <c r="P358" t="e">
        <f t="shared" ca="1" si="22"/>
        <v>#NAME?</v>
      </c>
      <c r="Q358" t="str">
        <f t="shared" si="23"/>
        <v>Ontevreden</v>
      </c>
    </row>
    <row r="359" spans="1:17" x14ac:dyDescent="0.3">
      <c r="A359" t="s">
        <v>1037</v>
      </c>
      <c r="B359">
        <v>1735738720</v>
      </c>
      <c r="C359" t="s">
        <v>1038</v>
      </c>
      <c r="D359" t="s">
        <v>1039</v>
      </c>
      <c r="E359">
        <v>18</v>
      </c>
      <c r="F359" t="s">
        <v>148</v>
      </c>
      <c r="G359">
        <v>2</v>
      </c>
      <c r="H359">
        <v>2</v>
      </c>
      <c r="I359">
        <v>149.66999999999999</v>
      </c>
      <c r="J359" t="s">
        <v>52</v>
      </c>
      <c r="K359" t="s">
        <v>57</v>
      </c>
      <c r="L359">
        <v>7.35</v>
      </c>
      <c r="M359" t="s">
        <v>23</v>
      </c>
      <c r="N359" t="str">
        <f t="shared" si="20"/>
        <v>Thomas</v>
      </c>
      <c r="O359" t="str">
        <f t="shared" si="21"/>
        <v>Pascal</v>
      </c>
      <c r="P359" t="e">
        <f t="shared" ca="1" si="22"/>
        <v>#NAME?</v>
      </c>
      <c r="Q359" t="str">
        <f t="shared" si="23"/>
        <v>Tevreden</v>
      </c>
    </row>
    <row r="360" spans="1:17" x14ac:dyDescent="0.3">
      <c r="A360" t="s">
        <v>1040</v>
      </c>
      <c r="B360">
        <v>2169782014</v>
      </c>
      <c r="C360" t="s">
        <v>1041</v>
      </c>
      <c r="D360" t="s">
        <v>426</v>
      </c>
      <c r="E360">
        <v>3</v>
      </c>
      <c r="F360" t="s">
        <v>175</v>
      </c>
      <c r="G360">
        <v>1</v>
      </c>
      <c r="H360">
        <v>0</v>
      </c>
      <c r="I360">
        <v>60.88</v>
      </c>
      <c r="J360" t="s">
        <v>52</v>
      </c>
      <c r="K360" t="s">
        <v>22</v>
      </c>
      <c r="L360">
        <v>6.97</v>
      </c>
      <c r="M360" t="s">
        <v>23</v>
      </c>
      <c r="N360" t="str">
        <f t="shared" si="20"/>
        <v>Noel</v>
      </c>
      <c r="O360" t="str">
        <f t="shared" si="21"/>
        <v>Isabelle</v>
      </c>
      <c r="P360" t="e">
        <f t="shared" ca="1" si="22"/>
        <v>#NAME?</v>
      </c>
      <c r="Q360" t="str">
        <f t="shared" si="23"/>
        <v>Ontevreden</v>
      </c>
    </row>
    <row r="361" spans="1:17" x14ac:dyDescent="0.3">
      <c r="A361" t="s">
        <v>1042</v>
      </c>
      <c r="B361">
        <v>6559907145</v>
      </c>
      <c r="C361" t="s">
        <v>1043</v>
      </c>
      <c r="D361" t="s">
        <v>1044</v>
      </c>
      <c r="E361">
        <v>2</v>
      </c>
      <c r="F361" t="s">
        <v>61</v>
      </c>
      <c r="G361">
        <v>2</v>
      </c>
      <c r="H361">
        <v>2</v>
      </c>
      <c r="I361">
        <v>205.16</v>
      </c>
      <c r="J361" t="s">
        <v>52</v>
      </c>
      <c r="K361" t="s">
        <v>29</v>
      </c>
      <c r="L361">
        <v>7.48</v>
      </c>
      <c r="M361" t="s">
        <v>23</v>
      </c>
      <c r="N361" t="str">
        <f t="shared" si="20"/>
        <v>Simon</v>
      </c>
      <c r="O361" t="str">
        <f t="shared" si="21"/>
        <v>Louisa</v>
      </c>
      <c r="P361" t="e">
        <f t="shared" ca="1" si="22"/>
        <v>#NAME?</v>
      </c>
      <c r="Q361" t="str">
        <f t="shared" si="23"/>
        <v>Tevreden</v>
      </c>
    </row>
    <row r="362" spans="1:17" x14ac:dyDescent="0.3">
      <c r="A362" t="s">
        <v>1045</v>
      </c>
      <c r="B362">
        <v>1143343232</v>
      </c>
      <c r="C362" t="s">
        <v>1046</v>
      </c>
      <c r="D362" t="s">
        <v>992</v>
      </c>
      <c r="E362">
        <v>24</v>
      </c>
      <c r="F362" t="s">
        <v>42</v>
      </c>
      <c r="G362">
        <v>4</v>
      </c>
      <c r="H362">
        <v>3</v>
      </c>
      <c r="I362">
        <v>164.32</v>
      </c>
      <c r="J362" t="s">
        <v>47</v>
      </c>
      <c r="K362" t="s">
        <v>22</v>
      </c>
      <c r="L362">
        <v>6.93</v>
      </c>
      <c r="M362" t="s">
        <v>23</v>
      </c>
      <c r="N362" t="str">
        <f t="shared" si="20"/>
        <v>Vandamme</v>
      </c>
      <c r="O362" t="str">
        <f t="shared" si="21"/>
        <v>Jordan</v>
      </c>
      <c r="P362" t="e">
        <f t="shared" ca="1" si="22"/>
        <v>#NAME?</v>
      </c>
      <c r="Q362" t="str">
        <f t="shared" si="23"/>
        <v>Ontevreden</v>
      </c>
    </row>
    <row r="363" spans="1:17" x14ac:dyDescent="0.3">
      <c r="A363" t="s">
        <v>1047</v>
      </c>
      <c r="B363">
        <v>656710896</v>
      </c>
      <c r="C363" t="s">
        <v>1048</v>
      </c>
      <c r="D363" t="s">
        <v>101</v>
      </c>
      <c r="E363">
        <v>17</v>
      </c>
      <c r="F363" t="s">
        <v>65</v>
      </c>
      <c r="G363">
        <v>2</v>
      </c>
      <c r="H363">
        <v>0</v>
      </c>
      <c r="I363">
        <v>53.81</v>
      </c>
      <c r="J363" t="s">
        <v>28</v>
      </c>
      <c r="K363" t="s">
        <v>102</v>
      </c>
      <c r="L363">
        <v>8.4600000000000009</v>
      </c>
      <c r="M363" t="s">
        <v>34</v>
      </c>
      <c r="N363" t="str">
        <f t="shared" si="20"/>
        <v>Timmermans</v>
      </c>
      <c r="O363" t="str">
        <f t="shared" si="21"/>
        <v>Hüseyin</v>
      </c>
      <c r="P363" t="e">
        <f t="shared" ca="1" si="22"/>
        <v>#NAME?</v>
      </c>
      <c r="Q363" t="str">
        <f t="shared" si="23"/>
        <v>Tevreden</v>
      </c>
    </row>
    <row r="364" spans="1:17" x14ac:dyDescent="0.3">
      <c r="A364" t="s">
        <v>1049</v>
      </c>
      <c r="B364">
        <v>9882152156</v>
      </c>
      <c r="C364" t="s">
        <v>1050</v>
      </c>
      <c r="D364" t="s">
        <v>959</v>
      </c>
      <c r="E364">
        <v>1</v>
      </c>
      <c r="F364" t="s">
        <v>148</v>
      </c>
      <c r="G364">
        <v>2</v>
      </c>
      <c r="H364">
        <v>2</v>
      </c>
      <c r="I364">
        <v>118.3</v>
      </c>
      <c r="J364" t="s">
        <v>28</v>
      </c>
      <c r="K364" t="s">
        <v>22</v>
      </c>
      <c r="L364">
        <v>6.98</v>
      </c>
      <c r="M364" t="s">
        <v>23</v>
      </c>
      <c r="N364" t="str">
        <f t="shared" si="20"/>
        <v>Verbist</v>
      </c>
      <c r="O364" t="str">
        <f t="shared" si="21"/>
        <v>Hicham</v>
      </c>
      <c r="P364" t="e">
        <f t="shared" ca="1" si="22"/>
        <v>#NAME?</v>
      </c>
      <c r="Q364" t="str">
        <f t="shared" si="23"/>
        <v>Ontevreden</v>
      </c>
    </row>
    <row r="365" spans="1:17" x14ac:dyDescent="0.3">
      <c r="A365" t="s">
        <v>1051</v>
      </c>
      <c r="B365">
        <v>7773040332</v>
      </c>
      <c r="C365" t="s">
        <v>1052</v>
      </c>
      <c r="D365" t="s">
        <v>383</v>
      </c>
      <c r="E365">
        <v>72</v>
      </c>
      <c r="F365" t="s">
        <v>82</v>
      </c>
      <c r="G365">
        <v>2</v>
      </c>
      <c r="H365">
        <v>0</v>
      </c>
      <c r="I365">
        <v>39.950000000000003</v>
      </c>
      <c r="J365" t="s">
        <v>28</v>
      </c>
      <c r="K365" t="s">
        <v>22</v>
      </c>
      <c r="L365">
        <v>7.27</v>
      </c>
      <c r="M365" t="s">
        <v>23</v>
      </c>
      <c r="N365" t="str">
        <f t="shared" si="20"/>
        <v>Lacroix</v>
      </c>
      <c r="O365" t="str">
        <f t="shared" si="21"/>
        <v>Nyendak</v>
      </c>
      <c r="P365" t="e">
        <f t="shared" ca="1" si="22"/>
        <v>#NAME?</v>
      </c>
      <c r="Q365" t="str">
        <f t="shared" si="23"/>
        <v>Tevreden</v>
      </c>
    </row>
    <row r="366" spans="1:17" x14ac:dyDescent="0.3">
      <c r="A366" t="s">
        <v>1053</v>
      </c>
      <c r="B366">
        <v>7784008811</v>
      </c>
      <c r="C366" t="s">
        <v>1054</v>
      </c>
      <c r="D366" t="s">
        <v>1009</v>
      </c>
      <c r="E366">
        <v>96</v>
      </c>
      <c r="F366" t="s">
        <v>164</v>
      </c>
      <c r="G366">
        <v>1</v>
      </c>
      <c r="H366">
        <v>0</v>
      </c>
      <c r="I366">
        <v>59.22</v>
      </c>
      <c r="J366" t="s">
        <v>52</v>
      </c>
      <c r="K366" t="s">
        <v>57</v>
      </c>
      <c r="L366">
        <v>7.06</v>
      </c>
      <c r="M366" t="s">
        <v>23</v>
      </c>
      <c r="N366" t="str">
        <f t="shared" si="20"/>
        <v>De vos</v>
      </c>
      <c r="O366" t="str">
        <f t="shared" si="21"/>
        <v>Abou</v>
      </c>
      <c r="P366" t="e">
        <f t="shared" ca="1" si="22"/>
        <v>#NAME?</v>
      </c>
      <c r="Q366" t="str">
        <f t="shared" si="23"/>
        <v>Tevreden</v>
      </c>
    </row>
    <row r="367" spans="1:17" x14ac:dyDescent="0.3">
      <c r="A367" t="s">
        <v>1055</v>
      </c>
      <c r="B367">
        <v>1584188495</v>
      </c>
      <c r="C367" t="s">
        <v>1056</v>
      </c>
      <c r="D367" t="s">
        <v>623</v>
      </c>
      <c r="E367">
        <v>34</v>
      </c>
      <c r="F367" t="s">
        <v>42</v>
      </c>
      <c r="G367">
        <v>2</v>
      </c>
      <c r="H367">
        <v>2</v>
      </c>
      <c r="I367">
        <v>148.04</v>
      </c>
      <c r="J367" t="s">
        <v>52</v>
      </c>
      <c r="K367" t="s">
        <v>29</v>
      </c>
      <c r="L367">
        <v>7.22</v>
      </c>
      <c r="M367" t="s">
        <v>23</v>
      </c>
      <c r="N367" t="str">
        <f t="shared" si="20"/>
        <v>Leroy</v>
      </c>
      <c r="O367" t="str">
        <f t="shared" si="21"/>
        <v>Nicky</v>
      </c>
      <c r="P367" t="e">
        <f t="shared" ca="1" si="22"/>
        <v>#NAME?</v>
      </c>
      <c r="Q367" t="str">
        <f t="shared" si="23"/>
        <v>Tevreden</v>
      </c>
    </row>
    <row r="368" spans="1:17" x14ac:dyDescent="0.3">
      <c r="A368" t="s">
        <v>1057</v>
      </c>
      <c r="B368">
        <v>3833908047</v>
      </c>
      <c r="C368" t="s">
        <v>1058</v>
      </c>
      <c r="D368" t="s">
        <v>755</v>
      </c>
      <c r="E368">
        <v>20</v>
      </c>
      <c r="F368" t="s">
        <v>27</v>
      </c>
      <c r="G368">
        <v>1</v>
      </c>
      <c r="H368">
        <v>2</v>
      </c>
      <c r="I368">
        <v>118.82</v>
      </c>
      <c r="J368" t="s">
        <v>47</v>
      </c>
      <c r="K368" t="s">
        <v>29</v>
      </c>
      <c r="L368">
        <v>7.11</v>
      </c>
      <c r="M368" t="s">
        <v>23</v>
      </c>
      <c r="N368" t="str">
        <f t="shared" si="20"/>
        <v>Herman</v>
      </c>
      <c r="O368" t="str">
        <f t="shared" si="21"/>
        <v>Emi</v>
      </c>
      <c r="P368" t="e">
        <f t="shared" ca="1" si="22"/>
        <v>#NAME?</v>
      </c>
      <c r="Q368" t="str">
        <f t="shared" si="23"/>
        <v>Tevreden</v>
      </c>
    </row>
    <row r="369" spans="1:17" x14ac:dyDescent="0.3">
      <c r="A369" t="s">
        <v>1059</v>
      </c>
      <c r="B369">
        <v>4724463580</v>
      </c>
      <c r="C369" t="s">
        <v>1060</v>
      </c>
      <c r="D369" t="s">
        <v>1061</v>
      </c>
      <c r="E369">
        <v>13</v>
      </c>
      <c r="F369" t="s">
        <v>51</v>
      </c>
      <c r="G369">
        <v>2</v>
      </c>
      <c r="H369">
        <v>0</v>
      </c>
      <c r="I369">
        <v>41.14</v>
      </c>
      <c r="J369" t="s">
        <v>52</v>
      </c>
      <c r="K369" t="s">
        <v>22</v>
      </c>
      <c r="L369">
        <v>7.26</v>
      </c>
      <c r="M369" t="s">
        <v>23</v>
      </c>
      <c r="N369" t="str">
        <f t="shared" si="20"/>
        <v>Ooms</v>
      </c>
      <c r="O369" t="str">
        <f t="shared" si="21"/>
        <v>Aouatif</v>
      </c>
      <c r="P369" t="e">
        <f t="shared" ca="1" si="22"/>
        <v>#NAME?</v>
      </c>
      <c r="Q369" t="str">
        <f t="shared" si="23"/>
        <v>Tevreden</v>
      </c>
    </row>
    <row r="370" spans="1:17" x14ac:dyDescent="0.3">
      <c r="A370" t="s">
        <v>1062</v>
      </c>
      <c r="B370">
        <v>1151800820</v>
      </c>
      <c r="C370" t="s">
        <v>1063</v>
      </c>
      <c r="D370" t="s">
        <v>508</v>
      </c>
      <c r="E370">
        <v>40</v>
      </c>
      <c r="F370" t="s">
        <v>82</v>
      </c>
      <c r="G370">
        <v>2</v>
      </c>
      <c r="H370">
        <v>2</v>
      </c>
      <c r="I370">
        <v>190.48</v>
      </c>
      <c r="J370" t="s">
        <v>28</v>
      </c>
      <c r="K370" t="s">
        <v>22</v>
      </c>
      <c r="L370">
        <v>7.19</v>
      </c>
      <c r="M370" t="s">
        <v>23</v>
      </c>
      <c r="N370" t="str">
        <f t="shared" si="20"/>
        <v>De meyer</v>
      </c>
      <c r="O370" t="str">
        <f t="shared" si="21"/>
        <v>Lise</v>
      </c>
      <c r="P370" t="e">
        <f t="shared" ca="1" si="22"/>
        <v>#NAME?</v>
      </c>
      <c r="Q370" t="str">
        <f t="shared" si="23"/>
        <v>Tevreden</v>
      </c>
    </row>
    <row r="371" spans="1:17" x14ac:dyDescent="0.3">
      <c r="A371" t="s">
        <v>1064</v>
      </c>
      <c r="B371">
        <v>9079603675</v>
      </c>
      <c r="C371" t="s">
        <v>1065</v>
      </c>
      <c r="D371" t="s">
        <v>478</v>
      </c>
      <c r="E371">
        <v>44</v>
      </c>
      <c r="F371" t="s">
        <v>115</v>
      </c>
      <c r="G371">
        <v>1</v>
      </c>
      <c r="H371">
        <v>0</v>
      </c>
      <c r="I371">
        <v>104.92</v>
      </c>
      <c r="J371" t="s">
        <v>52</v>
      </c>
      <c r="K371" t="s">
        <v>29</v>
      </c>
      <c r="L371">
        <v>7.52</v>
      </c>
      <c r="M371" t="s">
        <v>23</v>
      </c>
      <c r="N371" t="str">
        <f t="shared" si="20"/>
        <v>Janssens</v>
      </c>
      <c r="O371" t="str">
        <f t="shared" si="21"/>
        <v>Remi</v>
      </c>
      <c r="P371" t="e">
        <f t="shared" ca="1" si="22"/>
        <v>#NAME?</v>
      </c>
      <c r="Q371" t="str">
        <f t="shared" si="23"/>
        <v>Tevreden</v>
      </c>
    </row>
    <row r="372" spans="1:17" x14ac:dyDescent="0.3">
      <c r="A372" t="s">
        <v>1066</v>
      </c>
      <c r="B372">
        <v>5863973958</v>
      </c>
      <c r="C372" t="s">
        <v>1067</v>
      </c>
      <c r="D372" t="s">
        <v>1068</v>
      </c>
      <c r="E372">
        <v>81</v>
      </c>
      <c r="F372" t="s">
        <v>115</v>
      </c>
      <c r="G372">
        <v>2</v>
      </c>
      <c r="H372">
        <v>4</v>
      </c>
      <c r="I372">
        <v>133.13</v>
      </c>
      <c r="J372" t="s">
        <v>28</v>
      </c>
      <c r="K372" t="s">
        <v>22</v>
      </c>
      <c r="L372">
        <v>7.15</v>
      </c>
      <c r="M372" t="s">
        <v>23</v>
      </c>
      <c r="N372" t="str">
        <f t="shared" si="20"/>
        <v>Robert</v>
      </c>
      <c r="O372" t="str">
        <f t="shared" si="21"/>
        <v>Sebastien</v>
      </c>
      <c r="P372" t="e">
        <f t="shared" ca="1" si="22"/>
        <v>#NAME?</v>
      </c>
      <c r="Q372" t="str">
        <f t="shared" si="23"/>
        <v>Tevreden</v>
      </c>
    </row>
    <row r="373" spans="1:17" x14ac:dyDescent="0.3">
      <c r="A373" t="s">
        <v>1069</v>
      </c>
      <c r="B373">
        <v>9536879263</v>
      </c>
      <c r="C373" t="s">
        <v>1070</v>
      </c>
      <c r="D373" t="s">
        <v>1071</v>
      </c>
      <c r="E373">
        <v>53</v>
      </c>
      <c r="F373" t="s">
        <v>65</v>
      </c>
      <c r="G373">
        <v>2</v>
      </c>
      <c r="H373">
        <v>0</v>
      </c>
      <c r="I373">
        <v>41.7</v>
      </c>
      <c r="J373" t="s">
        <v>21</v>
      </c>
      <c r="K373" t="s">
        <v>29</v>
      </c>
      <c r="L373">
        <v>8.98</v>
      </c>
      <c r="M373" t="s">
        <v>34</v>
      </c>
      <c r="N373" t="str">
        <f t="shared" si="20"/>
        <v>Moons</v>
      </c>
      <c r="O373" t="str">
        <f t="shared" si="21"/>
        <v>Luc</v>
      </c>
      <c r="P373" t="e">
        <f t="shared" ca="1" si="22"/>
        <v>#NAME?</v>
      </c>
      <c r="Q373" t="str">
        <f t="shared" si="23"/>
        <v>Tevreden</v>
      </c>
    </row>
    <row r="374" spans="1:17" x14ac:dyDescent="0.3">
      <c r="A374" t="s">
        <v>1072</v>
      </c>
      <c r="B374">
        <v>721863034</v>
      </c>
      <c r="C374" t="s">
        <v>1073</v>
      </c>
      <c r="D374" t="s">
        <v>1074</v>
      </c>
      <c r="E374">
        <v>52</v>
      </c>
      <c r="F374" t="s">
        <v>219</v>
      </c>
      <c r="G374">
        <v>2</v>
      </c>
      <c r="H374">
        <v>0</v>
      </c>
      <c r="I374">
        <v>43.81</v>
      </c>
      <c r="J374" t="s">
        <v>28</v>
      </c>
      <c r="K374" t="s">
        <v>22</v>
      </c>
      <c r="L374">
        <v>7.46</v>
      </c>
      <c r="M374" t="s">
        <v>23</v>
      </c>
      <c r="N374" t="str">
        <f t="shared" si="20"/>
        <v>De meyer</v>
      </c>
      <c r="O374" t="str">
        <f t="shared" si="21"/>
        <v>Marine</v>
      </c>
      <c r="P374" t="e">
        <f t="shared" ca="1" si="22"/>
        <v>#NAME?</v>
      </c>
      <c r="Q374" t="str">
        <f t="shared" si="23"/>
        <v>Tevreden</v>
      </c>
    </row>
    <row r="375" spans="1:17" x14ac:dyDescent="0.3">
      <c r="A375" t="s">
        <v>1075</v>
      </c>
      <c r="B375">
        <v>8761469540</v>
      </c>
      <c r="C375" t="s">
        <v>1076</v>
      </c>
      <c r="D375" t="s">
        <v>618</v>
      </c>
      <c r="E375">
        <v>59</v>
      </c>
      <c r="F375" t="s">
        <v>148</v>
      </c>
      <c r="G375">
        <v>2</v>
      </c>
      <c r="H375">
        <v>2</v>
      </c>
      <c r="I375">
        <v>150.78</v>
      </c>
      <c r="J375" t="s">
        <v>21</v>
      </c>
      <c r="K375" t="s">
        <v>22</v>
      </c>
      <c r="L375">
        <v>6.36</v>
      </c>
      <c r="M375" t="s">
        <v>78</v>
      </c>
      <c r="N375" t="str">
        <f t="shared" si="20"/>
        <v>Vandeputte</v>
      </c>
      <c r="O375" t="str">
        <f t="shared" si="21"/>
        <v>Sebastiano</v>
      </c>
      <c r="P375" t="e">
        <f t="shared" ca="1" si="22"/>
        <v>#NAME?</v>
      </c>
      <c r="Q375" t="str">
        <f t="shared" si="23"/>
        <v>Ontevreden</v>
      </c>
    </row>
    <row r="376" spans="1:17" x14ac:dyDescent="0.3">
      <c r="A376" t="s">
        <v>1077</v>
      </c>
      <c r="B376">
        <v>7173824355</v>
      </c>
      <c r="C376" t="s">
        <v>1078</v>
      </c>
      <c r="D376" t="s">
        <v>420</v>
      </c>
      <c r="E376">
        <v>1</v>
      </c>
      <c r="F376" t="s">
        <v>115</v>
      </c>
      <c r="G376">
        <v>5</v>
      </c>
      <c r="H376">
        <v>2</v>
      </c>
      <c r="I376">
        <v>202.93</v>
      </c>
      <c r="J376" t="s">
        <v>28</v>
      </c>
      <c r="K376" t="s">
        <v>22</v>
      </c>
      <c r="L376">
        <v>6.67</v>
      </c>
      <c r="M376" t="s">
        <v>23</v>
      </c>
      <c r="N376" t="str">
        <f t="shared" si="20"/>
        <v>Lemaire</v>
      </c>
      <c r="O376" t="str">
        <f t="shared" si="21"/>
        <v>Jérémy</v>
      </c>
      <c r="P376" t="e">
        <f t="shared" ca="1" si="22"/>
        <v>#NAME?</v>
      </c>
      <c r="Q376" t="str">
        <f t="shared" si="23"/>
        <v>Ontevreden</v>
      </c>
    </row>
    <row r="377" spans="1:17" x14ac:dyDescent="0.3">
      <c r="A377" t="s">
        <v>1079</v>
      </c>
      <c r="B377">
        <v>959718019</v>
      </c>
      <c r="C377" t="s">
        <v>1080</v>
      </c>
      <c r="D377" t="s">
        <v>1081</v>
      </c>
      <c r="E377">
        <v>55</v>
      </c>
      <c r="F377" t="s">
        <v>42</v>
      </c>
      <c r="G377">
        <v>2</v>
      </c>
      <c r="H377">
        <v>0</v>
      </c>
      <c r="I377">
        <v>83.35</v>
      </c>
      <c r="J377" t="s">
        <v>28</v>
      </c>
      <c r="K377" t="s">
        <v>22</v>
      </c>
      <c r="L377">
        <v>7.61</v>
      </c>
      <c r="M377" t="s">
        <v>34</v>
      </c>
      <c r="N377" t="str">
        <f t="shared" si="20"/>
        <v>Vervoort</v>
      </c>
      <c r="O377" t="str">
        <f t="shared" si="21"/>
        <v>Dave</v>
      </c>
      <c r="P377" t="e">
        <f t="shared" ca="1" si="22"/>
        <v>#NAME?</v>
      </c>
      <c r="Q377" t="str">
        <f t="shared" si="23"/>
        <v>Tevreden</v>
      </c>
    </row>
    <row r="378" spans="1:17" x14ac:dyDescent="0.3">
      <c r="A378" t="s">
        <v>1082</v>
      </c>
      <c r="B378">
        <v>6631840837</v>
      </c>
      <c r="C378" t="s">
        <v>1083</v>
      </c>
      <c r="D378" t="s">
        <v>1084</v>
      </c>
      <c r="E378">
        <v>9</v>
      </c>
      <c r="F378" t="s">
        <v>82</v>
      </c>
      <c r="G378">
        <v>2</v>
      </c>
      <c r="H378">
        <v>0</v>
      </c>
      <c r="I378">
        <v>74.599999999999994</v>
      </c>
      <c r="J378" t="s">
        <v>21</v>
      </c>
      <c r="K378" t="s">
        <v>29</v>
      </c>
      <c r="L378">
        <v>7</v>
      </c>
      <c r="M378" t="s">
        <v>23</v>
      </c>
      <c r="N378" t="str">
        <f t="shared" si="20"/>
        <v>Van dyck</v>
      </c>
      <c r="O378" t="str">
        <f t="shared" si="21"/>
        <v>Marc</v>
      </c>
      <c r="P378" t="e">
        <f t="shared" ca="1" si="22"/>
        <v>#NAME?</v>
      </c>
      <c r="Q378" t="str">
        <f t="shared" si="23"/>
        <v>Tevreden</v>
      </c>
    </row>
    <row r="379" spans="1:17" x14ac:dyDescent="0.3">
      <c r="A379" t="s">
        <v>1085</v>
      </c>
      <c r="B379">
        <v>3635818395</v>
      </c>
      <c r="C379" t="s">
        <v>1086</v>
      </c>
      <c r="D379" t="s">
        <v>1087</v>
      </c>
      <c r="E379">
        <v>28</v>
      </c>
      <c r="F379" t="s">
        <v>38</v>
      </c>
      <c r="G379">
        <v>1</v>
      </c>
      <c r="H379">
        <v>1</v>
      </c>
      <c r="I379">
        <v>118.99</v>
      </c>
      <c r="J379" t="s">
        <v>52</v>
      </c>
      <c r="K379" t="s">
        <v>57</v>
      </c>
      <c r="L379">
        <v>6.66</v>
      </c>
      <c r="M379" t="s">
        <v>23</v>
      </c>
      <c r="N379" t="str">
        <f t="shared" si="20"/>
        <v>Lemaire</v>
      </c>
      <c r="O379" t="str">
        <f t="shared" si="21"/>
        <v>Yana</v>
      </c>
      <c r="P379" t="e">
        <f t="shared" ca="1" si="22"/>
        <v>#NAME?</v>
      </c>
      <c r="Q379" t="str">
        <f t="shared" si="23"/>
        <v>Ontevreden</v>
      </c>
    </row>
    <row r="380" spans="1:17" x14ac:dyDescent="0.3">
      <c r="A380" t="s">
        <v>1088</v>
      </c>
      <c r="B380">
        <v>1903100233</v>
      </c>
      <c r="C380" t="s">
        <v>1089</v>
      </c>
      <c r="D380" t="s">
        <v>1090</v>
      </c>
      <c r="E380">
        <v>83</v>
      </c>
      <c r="F380" t="s">
        <v>115</v>
      </c>
      <c r="G380">
        <v>1</v>
      </c>
      <c r="H380">
        <v>2</v>
      </c>
      <c r="I380">
        <v>46.5</v>
      </c>
      <c r="J380" t="s">
        <v>28</v>
      </c>
      <c r="K380" t="s">
        <v>29</v>
      </c>
      <c r="L380">
        <v>7.81</v>
      </c>
      <c r="M380" t="s">
        <v>23</v>
      </c>
      <c r="N380" t="str">
        <f t="shared" si="20"/>
        <v>Goris</v>
      </c>
      <c r="O380" t="str">
        <f t="shared" si="21"/>
        <v>Patrick</v>
      </c>
      <c r="P380" t="e">
        <f t="shared" ca="1" si="22"/>
        <v>#NAME?</v>
      </c>
      <c r="Q380" t="str">
        <f t="shared" si="23"/>
        <v>Tevreden</v>
      </c>
    </row>
    <row r="381" spans="1:17" x14ac:dyDescent="0.3">
      <c r="A381" t="s">
        <v>1091</v>
      </c>
      <c r="B381">
        <v>4428102053</v>
      </c>
      <c r="C381" t="s">
        <v>1092</v>
      </c>
      <c r="D381" t="s">
        <v>1093</v>
      </c>
      <c r="E381">
        <v>35</v>
      </c>
      <c r="F381" t="s">
        <v>51</v>
      </c>
      <c r="G381">
        <v>1</v>
      </c>
      <c r="H381">
        <v>5</v>
      </c>
      <c r="I381">
        <v>153.21</v>
      </c>
      <c r="J381" t="s">
        <v>52</v>
      </c>
      <c r="K381" t="s">
        <v>29</v>
      </c>
      <c r="L381">
        <v>7.1</v>
      </c>
      <c r="M381" t="s">
        <v>23</v>
      </c>
      <c r="N381" t="str">
        <f t="shared" si="20"/>
        <v>Lemaire</v>
      </c>
      <c r="O381" t="str">
        <f t="shared" si="21"/>
        <v>Isabelle</v>
      </c>
      <c r="P381" t="e">
        <f t="shared" ca="1" si="22"/>
        <v>#NAME?</v>
      </c>
      <c r="Q381" t="str">
        <f t="shared" si="23"/>
        <v>Tevreden</v>
      </c>
    </row>
    <row r="382" spans="1:17" x14ac:dyDescent="0.3">
      <c r="A382" t="s">
        <v>1094</v>
      </c>
      <c r="B382">
        <v>3762702384</v>
      </c>
      <c r="C382" t="s">
        <v>1095</v>
      </c>
      <c r="D382" t="s">
        <v>786</v>
      </c>
      <c r="E382">
        <v>3</v>
      </c>
      <c r="F382" t="s">
        <v>65</v>
      </c>
      <c r="G382">
        <v>1</v>
      </c>
      <c r="H382">
        <v>1</v>
      </c>
      <c r="I382">
        <v>18</v>
      </c>
      <c r="J382" t="s">
        <v>21</v>
      </c>
      <c r="K382" t="s">
        <v>57</v>
      </c>
      <c r="L382">
        <v>6.86</v>
      </c>
      <c r="M382" t="s">
        <v>23</v>
      </c>
      <c r="N382" t="str">
        <f t="shared" si="20"/>
        <v>De boeck</v>
      </c>
      <c r="O382" t="str">
        <f t="shared" si="21"/>
        <v>Hedwig</v>
      </c>
      <c r="P382" t="e">
        <f t="shared" ca="1" si="22"/>
        <v>#NAME?</v>
      </c>
      <c r="Q382" t="str">
        <f t="shared" si="23"/>
        <v>Ontevreden</v>
      </c>
    </row>
    <row r="383" spans="1:17" x14ac:dyDescent="0.3">
      <c r="A383" t="s">
        <v>1096</v>
      </c>
      <c r="B383">
        <v>4527111854</v>
      </c>
      <c r="C383" t="s">
        <v>1097</v>
      </c>
      <c r="D383" t="s">
        <v>1098</v>
      </c>
      <c r="E383">
        <v>21</v>
      </c>
      <c r="F383" t="s">
        <v>148</v>
      </c>
      <c r="G383">
        <v>2</v>
      </c>
      <c r="H383">
        <v>2</v>
      </c>
      <c r="I383">
        <v>200.22</v>
      </c>
      <c r="J383" t="s">
        <v>28</v>
      </c>
      <c r="K383" t="s">
        <v>22</v>
      </c>
      <c r="L383">
        <v>7</v>
      </c>
      <c r="M383" t="s">
        <v>23</v>
      </c>
      <c r="N383" t="str">
        <f t="shared" si="20"/>
        <v>Dubois</v>
      </c>
      <c r="O383" t="str">
        <f t="shared" si="21"/>
        <v>Gibril</v>
      </c>
      <c r="P383" t="e">
        <f t="shared" ca="1" si="22"/>
        <v>#NAME?</v>
      </c>
      <c r="Q383" t="str">
        <f t="shared" si="23"/>
        <v>Tevreden</v>
      </c>
    </row>
    <row r="384" spans="1:17" x14ac:dyDescent="0.3">
      <c r="A384" t="s">
        <v>1099</v>
      </c>
      <c r="B384">
        <v>9429084161</v>
      </c>
      <c r="C384" t="s">
        <v>1100</v>
      </c>
      <c r="D384" t="s">
        <v>1101</v>
      </c>
      <c r="E384">
        <v>49</v>
      </c>
      <c r="F384" t="s">
        <v>164</v>
      </c>
      <c r="G384">
        <v>2</v>
      </c>
      <c r="H384">
        <v>1</v>
      </c>
      <c r="I384">
        <v>95.13</v>
      </c>
      <c r="J384" t="s">
        <v>47</v>
      </c>
      <c r="K384" t="s">
        <v>29</v>
      </c>
      <c r="L384">
        <v>6.95</v>
      </c>
      <c r="M384" t="s">
        <v>23</v>
      </c>
      <c r="N384" t="str">
        <f t="shared" si="20"/>
        <v>Mertens</v>
      </c>
      <c r="O384" t="str">
        <f t="shared" si="21"/>
        <v>Oussama</v>
      </c>
      <c r="P384" t="e">
        <f t="shared" ca="1" si="22"/>
        <v>#NAME?</v>
      </c>
      <c r="Q384" t="str">
        <f t="shared" si="23"/>
        <v>Ontevreden</v>
      </c>
    </row>
    <row r="385" spans="1:17" x14ac:dyDescent="0.3">
      <c r="A385" t="s">
        <v>1102</v>
      </c>
      <c r="B385">
        <v>232112587</v>
      </c>
      <c r="C385" t="s">
        <v>1103</v>
      </c>
      <c r="D385" t="s">
        <v>1104</v>
      </c>
      <c r="E385">
        <v>68</v>
      </c>
      <c r="F385" t="s">
        <v>148</v>
      </c>
      <c r="G385">
        <v>2</v>
      </c>
      <c r="H385">
        <v>1</v>
      </c>
      <c r="I385">
        <v>122.19</v>
      </c>
      <c r="J385" t="s">
        <v>77</v>
      </c>
      <c r="K385" t="s">
        <v>29</v>
      </c>
      <c r="L385">
        <v>7.17</v>
      </c>
      <c r="M385" t="s">
        <v>23</v>
      </c>
      <c r="N385" t="str">
        <f t="shared" si="20"/>
        <v>Maes</v>
      </c>
      <c r="O385" t="str">
        <f t="shared" si="21"/>
        <v>Aleksandr</v>
      </c>
      <c r="P385" t="e">
        <f t="shared" ca="1" si="22"/>
        <v>#NAME?</v>
      </c>
      <c r="Q385" t="str">
        <f t="shared" si="23"/>
        <v>Tevreden</v>
      </c>
    </row>
    <row r="386" spans="1:17" x14ac:dyDescent="0.3">
      <c r="A386" t="s">
        <v>1105</v>
      </c>
      <c r="B386">
        <v>3279476296</v>
      </c>
      <c r="C386" t="s">
        <v>261</v>
      </c>
      <c r="D386" t="s">
        <v>330</v>
      </c>
      <c r="E386">
        <v>25</v>
      </c>
      <c r="F386" t="s">
        <v>144</v>
      </c>
      <c r="G386">
        <v>2</v>
      </c>
      <c r="H386">
        <v>0</v>
      </c>
      <c r="I386">
        <v>36.700000000000003</v>
      </c>
      <c r="J386" t="s">
        <v>52</v>
      </c>
      <c r="K386" t="s">
        <v>29</v>
      </c>
      <c r="L386">
        <v>6.95</v>
      </c>
      <c r="M386" t="s">
        <v>23</v>
      </c>
      <c r="N386" t="str">
        <f t="shared" ref="N386:N449" si="24">LEFT(A386, FIND(",", A386)-1)</f>
        <v>Bernard</v>
      </c>
      <c r="O386" t="str">
        <f t="shared" ref="O386:O449" si="25">MID(A386, FIND(",", A386)+2, LEN(A386))</f>
        <v>Hans</v>
      </c>
      <c r="P386" t="e">
        <f t="shared" ref="P386:P449" ca="1" si="26">SWITCH(J386, "Zelden", 1, "Af en toe", 4, "Regelmatig", 8, "Vaak", 12)</f>
        <v>#NAME?</v>
      </c>
      <c r="Q386" t="str">
        <f t="shared" ref="Q386:Q449" si="27">IF(L386&gt;=7, "Tevreden", "Ontevreden")</f>
        <v>Ontevreden</v>
      </c>
    </row>
    <row r="387" spans="1:17" x14ac:dyDescent="0.3">
      <c r="A387" t="s">
        <v>1106</v>
      </c>
      <c r="B387">
        <v>7552893375</v>
      </c>
      <c r="C387" t="s">
        <v>1107</v>
      </c>
      <c r="D387" t="s">
        <v>1084</v>
      </c>
      <c r="E387">
        <v>15</v>
      </c>
      <c r="F387" t="s">
        <v>27</v>
      </c>
      <c r="G387">
        <v>1</v>
      </c>
      <c r="H387">
        <v>1</v>
      </c>
      <c r="I387">
        <v>55.43</v>
      </c>
      <c r="J387" t="s">
        <v>28</v>
      </c>
      <c r="K387" t="s">
        <v>29</v>
      </c>
      <c r="L387">
        <v>8.19</v>
      </c>
      <c r="M387" t="s">
        <v>34</v>
      </c>
      <c r="N387" t="str">
        <f t="shared" si="24"/>
        <v>Vandamme</v>
      </c>
      <c r="O387" t="str">
        <f t="shared" si="25"/>
        <v>Katleen</v>
      </c>
      <c r="P387" t="e">
        <f t="shared" ca="1" si="26"/>
        <v>#NAME?</v>
      </c>
      <c r="Q387" t="str">
        <f t="shared" si="27"/>
        <v>Tevreden</v>
      </c>
    </row>
    <row r="388" spans="1:17" x14ac:dyDescent="0.3">
      <c r="A388" t="s">
        <v>1108</v>
      </c>
      <c r="B388">
        <v>9755631937</v>
      </c>
      <c r="C388" t="s">
        <v>1109</v>
      </c>
      <c r="D388" t="s">
        <v>1110</v>
      </c>
      <c r="E388">
        <v>49</v>
      </c>
      <c r="F388" t="s">
        <v>189</v>
      </c>
      <c r="G388">
        <v>2</v>
      </c>
      <c r="H388">
        <v>2</v>
      </c>
      <c r="I388">
        <v>103.83</v>
      </c>
      <c r="J388" t="s">
        <v>47</v>
      </c>
      <c r="K388" t="s">
        <v>22</v>
      </c>
      <c r="L388">
        <v>7.3</v>
      </c>
      <c r="M388" t="s">
        <v>23</v>
      </c>
      <c r="N388" t="str">
        <f t="shared" si="24"/>
        <v>Evrard</v>
      </c>
      <c r="O388" t="str">
        <f t="shared" si="25"/>
        <v>Margaux</v>
      </c>
      <c r="P388" t="e">
        <f t="shared" ca="1" si="26"/>
        <v>#NAME?</v>
      </c>
      <c r="Q388" t="str">
        <f t="shared" si="27"/>
        <v>Tevreden</v>
      </c>
    </row>
    <row r="389" spans="1:17" x14ac:dyDescent="0.3">
      <c r="A389" t="s">
        <v>1111</v>
      </c>
      <c r="B389">
        <v>2258836764</v>
      </c>
      <c r="C389" t="s">
        <v>1112</v>
      </c>
      <c r="D389" t="s">
        <v>1113</v>
      </c>
      <c r="E389">
        <v>59</v>
      </c>
      <c r="F389" t="s">
        <v>158</v>
      </c>
      <c r="G389">
        <v>1</v>
      </c>
      <c r="H389">
        <v>1</v>
      </c>
      <c r="I389">
        <v>168.53</v>
      </c>
      <c r="J389" t="s">
        <v>28</v>
      </c>
      <c r="K389" t="s">
        <v>22</v>
      </c>
      <c r="L389">
        <v>7.44</v>
      </c>
      <c r="M389" t="s">
        <v>23</v>
      </c>
      <c r="N389" t="str">
        <f t="shared" si="24"/>
        <v>Masson</v>
      </c>
      <c r="O389" t="str">
        <f t="shared" si="25"/>
        <v>Maha</v>
      </c>
      <c r="P389" t="e">
        <f t="shared" ca="1" si="26"/>
        <v>#NAME?</v>
      </c>
      <c r="Q389" t="str">
        <f t="shared" si="27"/>
        <v>Tevreden</v>
      </c>
    </row>
    <row r="390" spans="1:17" x14ac:dyDescent="0.3">
      <c r="A390" t="s">
        <v>1114</v>
      </c>
      <c r="B390">
        <v>6522250874</v>
      </c>
      <c r="C390" t="s">
        <v>1115</v>
      </c>
      <c r="D390" t="s">
        <v>458</v>
      </c>
      <c r="E390">
        <v>1</v>
      </c>
      <c r="F390" t="s">
        <v>46</v>
      </c>
      <c r="G390">
        <v>1</v>
      </c>
      <c r="H390">
        <v>0</v>
      </c>
      <c r="I390">
        <v>36.340000000000003</v>
      </c>
      <c r="J390" t="s">
        <v>21</v>
      </c>
      <c r="K390" t="s">
        <v>57</v>
      </c>
      <c r="L390">
        <v>8.09</v>
      </c>
      <c r="M390" t="s">
        <v>34</v>
      </c>
      <c r="N390" t="str">
        <f t="shared" si="24"/>
        <v>Petit</v>
      </c>
      <c r="O390" t="str">
        <f t="shared" si="25"/>
        <v>Camille</v>
      </c>
      <c r="P390" t="e">
        <f t="shared" ca="1" si="26"/>
        <v>#NAME?</v>
      </c>
      <c r="Q390" t="str">
        <f t="shared" si="27"/>
        <v>Tevreden</v>
      </c>
    </row>
    <row r="391" spans="1:17" x14ac:dyDescent="0.3">
      <c r="A391" t="s">
        <v>1116</v>
      </c>
      <c r="B391">
        <v>7845210597</v>
      </c>
      <c r="C391" t="s">
        <v>1117</v>
      </c>
      <c r="D391" t="s">
        <v>108</v>
      </c>
      <c r="E391">
        <v>87</v>
      </c>
      <c r="F391" t="s">
        <v>706</v>
      </c>
      <c r="G391">
        <v>1</v>
      </c>
      <c r="H391">
        <v>2</v>
      </c>
      <c r="I391">
        <v>95.06</v>
      </c>
      <c r="J391" t="s">
        <v>52</v>
      </c>
      <c r="K391" t="s">
        <v>22</v>
      </c>
      <c r="L391">
        <v>7.41</v>
      </c>
      <c r="M391" t="s">
        <v>23</v>
      </c>
      <c r="N391" t="str">
        <f t="shared" si="24"/>
        <v>Jans</v>
      </c>
      <c r="O391" t="str">
        <f t="shared" si="25"/>
        <v>Filip</v>
      </c>
      <c r="P391" t="e">
        <f t="shared" ca="1" si="26"/>
        <v>#NAME?</v>
      </c>
      <c r="Q391" t="str">
        <f t="shared" si="27"/>
        <v>Tevreden</v>
      </c>
    </row>
    <row r="392" spans="1:17" x14ac:dyDescent="0.3">
      <c r="A392" t="s">
        <v>1118</v>
      </c>
      <c r="B392">
        <v>9942377691</v>
      </c>
      <c r="C392" t="s">
        <v>1119</v>
      </c>
      <c r="D392" t="s">
        <v>1120</v>
      </c>
      <c r="E392">
        <v>62</v>
      </c>
      <c r="F392" t="s">
        <v>219</v>
      </c>
      <c r="G392">
        <v>2</v>
      </c>
      <c r="H392">
        <v>3</v>
      </c>
      <c r="I392">
        <v>174.13</v>
      </c>
      <c r="J392" t="s">
        <v>28</v>
      </c>
      <c r="K392" t="s">
        <v>22</v>
      </c>
      <c r="L392">
        <v>7.12</v>
      </c>
      <c r="M392" t="s">
        <v>23</v>
      </c>
      <c r="N392" t="str">
        <f t="shared" si="24"/>
        <v>Desmet</v>
      </c>
      <c r="O392" t="str">
        <f t="shared" si="25"/>
        <v>Danielle</v>
      </c>
      <c r="P392" t="e">
        <f t="shared" ca="1" si="26"/>
        <v>#NAME?</v>
      </c>
      <c r="Q392" t="str">
        <f t="shared" si="27"/>
        <v>Tevreden</v>
      </c>
    </row>
    <row r="393" spans="1:17" x14ac:dyDescent="0.3">
      <c r="A393" t="s">
        <v>1121</v>
      </c>
      <c r="B393">
        <v>1692632024</v>
      </c>
      <c r="C393" t="s">
        <v>1122</v>
      </c>
      <c r="D393" t="s">
        <v>1123</v>
      </c>
      <c r="E393">
        <v>60</v>
      </c>
      <c r="F393" t="s">
        <v>115</v>
      </c>
      <c r="G393">
        <v>2</v>
      </c>
      <c r="H393">
        <v>0</v>
      </c>
      <c r="I393">
        <v>139.05000000000001</v>
      </c>
      <c r="J393" t="s">
        <v>52</v>
      </c>
      <c r="K393" t="s">
        <v>29</v>
      </c>
      <c r="L393">
        <v>6.79</v>
      </c>
      <c r="M393" t="s">
        <v>23</v>
      </c>
      <c r="N393" t="str">
        <f t="shared" si="24"/>
        <v>Delvaux</v>
      </c>
      <c r="O393" t="str">
        <f t="shared" si="25"/>
        <v>Elvire</v>
      </c>
      <c r="P393" t="e">
        <f t="shared" ca="1" si="26"/>
        <v>#NAME?</v>
      </c>
      <c r="Q393" t="str">
        <f t="shared" si="27"/>
        <v>Ontevreden</v>
      </c>
    </row>
    <row r="394" spans="1:17" x14ac:dyDescent="0.3">
      <c r="A394" t="s">
        <v>1124</v>
      </c>
      <c r="B394">
        <v>7502710721</v>
      </c>
      <c r="C394" t="s">
        <v>1125</v>
      </c>
      <c r="D394" t="s">
        <v>1126</v>
      </c>
      <c r="E394">
        <v>35</v>
      </c>
      <c r="F394" t="s">
        <v>51</v>
      </c>
      <c r="G394">
        <v>2</v>
      </c>
      <c r="H394">
        <v>0</v>
      </c>
      <c r="I394">
        <v>86.83</v>
      </c>
      <c r="J394" t="s">
        <v>28</v>
      </c>
      <c r="K394" t="s">
        <v>57</v>
      </c>
      <c r="L394">
        <v>7.26</v>
      </c>
      <c r="M394" t="s">
        <v>23</v>
      </c>
      <c r="N394" t="str">
        <f t="shared" si="24"/>
        <v>Meeus</v>
      </c>
      <c r="O394" t="str">
        <f t="shared" si="25"/>
        <v>Karolien</v>
      </c>
      <c r="P394" t="e">
        <f t="shared" ca="1" si="26"/>
        <v>#NAME?</v>
      </c>
      <c r="Q394" t="str">
        <f t="shared" si="27"/>
        <v>Tevreden</v>
      </c>
    </row>
    <row r="395" spans="1:17" x14ac:dyDescent="0.3">
      <c r="A395" t="s">
        <v>1127</v>
      </c>
      <c r="B395">
        <v>3607928419</v>
      </c>
      <c r="C395" t="s">
        <v>1128</v>
      </c>
      <c r="D395" t="s">
        <v>316</v>
      </c>
      <c r="E395">
        <v>4</v>
      </c>
      <c r="F395" t="s">
        <v>33</v>
      </c>
      <c r="G395">
        <v>1</v>
      </c>
      <c r="H395">
        <v>0</v>
      </c>
      <c r="I395">
        <v>117.45</v>
      </c>
      <c r="J395" t="s">
        <v>47</v>
      </c>
      <c r="K395" t="s">
        <v>57</v>
      </c>
      <c r="L395">
        <v>6.93</v>
      </c>
      <c r="M395" t="s">
        <v>23</v>
      </c>
      <c r="N395" t="str">
        <f t="shared" si="24"/>
        <v>Vanderstraeten</v>
      </c>
      <c r="O395" t="str">
        <f t="shared" si="25"/>
        <v>Sacha</v>
      </c>
      <c r="P395" t="e">
        <f t="shared" ca="1" si="26"/>
        <v>#NAME?</v>
      </c>
      <c r="Q395" t="str">
        <f t="shared" si="27"/>
        <v>Ontevreden</v>
      </c>
    </row>
    <row r="396" spans="1:17" x14ac:dyDescent="0.3">
      <c r="A396" t="s">
        <v>1129</v>
      </c>
      <c r="B396">
        <v>1195291965</v>
      </c>
      <c r="C396" t="s">
        <v>1130</v>
      </c>
      <c r="D396" t="s">
        <v>1131</v>
      </c>
      <c r="E396">
        <v>69</v>
      </c>
      <c r="F396" t="s">
        <v>189</v>
      </c>
      <c r="G396">
        <v>4</v>
      </c>
      <c r="H396">
        <v>2</v>
      </c>
      <c r="I396">
        <v>240.77</v>
      </c>
      <c r="J396" t="s">
        <v>21</v>
      </c>
      <c r="K396" t="s">
        <v>102</v>
      </c>
      <c r="L396">
        <v>6.48</v>
      </c>
      <c r="M396" t="s">
        <v>23</v>
      </c>
      <c r="N396" t="str">
        <f t="shared" si="24"/>
        <v>Michiels</v>
      </c>
      <c r="O396" t="str">
        <f t="shared" si="25"/>
        <v>Filippa</v>
      </c>
      <c r="P396" t="e">
        <f t="shared" ca="1" si="26"/>
        <v>#NAME?</v>
      </c>
      <c r="Q396" t="str">
        <f t="shared" si="27"/>
        <v>Ontevreden</v>
      </c>
    </row>
    <row r="397" spans="1:17" x14ac:dyDescent="0.3">
      <c r="A397" t="s">
        <v>1132</v>
      </c>
      <c r="B397">
        <v>469144135</v>
      </c>
      <c r="C397" t="s">
        <v>1133</v>
      </c>
      <c r="D397" t="s">
        <v>1134</v>
      </c>
      <c r="E397">
        <v>18</v>
      </c>
      <c r="F397" t="s">
        <v>219</v>
      </c>
      <c r="G397">
        <v>2</v>
      </c>
      <c r="H397">
        <v>0</v>
      </c>
      <c r="I397">
        <v>142.94</v>
      </c>
      <c r="J397" t="s">
        <v>77</v>
      </c>
      <c r="K397" t="s">
        <v>22</v>
      </c>
      <c r="L397">
        <v>6.9</v>
      </c>
      <c r="M397" t="s">
        <v>23</v>
      </c>
      <c r="N397" t="str">
        <f t="shared" si="24"/>
        <v>Jacobs</v>
      </c>
      <c r="O397" t="str">
        <f t="shared" si="25"/>
        <v>Tibo</v>
      </c>
      <c r="P397" t="e">
        <f t="shared" ca="1" si="26"/>
        <v>#NAME?</v>
      </c>
      <c r="Q397" t="str">
        <f t="shared" si="27"/>
        <v>Ontevreden</v>
      </c>
    </row>
    <row r="398" spans="1:17" x14ac:dyDescent="0.3">
      <c r="A398" t="s">
        <v>1135</v>
      </c>
      <c r="B398">
        <v>6491989048</v>
      </c>
      <c r="C398" t="s">
        <v>1136</v>
      </c>
      <c r="D398" t="s">
        <v>369</v>
      </c>
      <c r="E398">
        <v>85</v>
      </c>
      <c r="F398" t="s">
        <v>128</v>
      </c>
      <c r="G398">
        <v>1</v>
      </c>
      <c r="H398">
        <v>2</v>
      </c>
      <c r="I398">
        <v>124.08</v>
      </c>
      <c r="J398" t="s">
        <v>28</v>
      </c>
      <c r="K398" t="s">
        <v>29</v>
      </c>
      <c r="L398">
        <v>7.33</v>
      </c>
      <c r="M398" t="s">
        <v>23</v>
      </c>
      <c r="N398" t="str">
        <f t="shared" si="24"/>
        <v>Claes</v>
      </c>
      <c r="O398" t="str">
        <f t="shared" si="25"/>
        <v>Manu</v>
      </c>
      <c r="P398" t="e">
        <f t="shared" ca="1" si="26"/>
        <v>#NAME?</v>
      </c>
      <c r="Q398" t="str">
        <f t="shared" si="27"/>
        <v>Tevreden</v>
      </c>
    </row>
    <row r="399" spans="1:17" x14ac:dyDescent="0.3">
      <c r="A399" t="s">
        <v>1137</v>
      </c>
      <c r="B399">
        <v>341893876</v>
      </c>
      <c r="C399" t="s">
        <v>1138</v>
      </c>
      <c r="D399" t="s">
        <v>215</v>
      </c>
      <c r="E399">
        <v>28</v>
      </c>
      <c r="F399" t="s">
        <v>33</v>
      </c>
      <c r="G399">
        <v>2</v>
      </c>
      <c r="H399">
        <v>0</v>
      </c>
      <c r="I399">
        <v>134.4</v>
      </c>
      <c r="J399" t="s">
        <v>28</v>
      </c>
      <c r="K399" t="s">
        <v>29</v>
      </c>
      <c r="L399">
        <v>7.22</v>
      </c>
      <c r="M399" t="s">
        <v>23</v>
      </c>
      <c r="N399" t="str">
        <f t="shared" si="24"/>
        <v>Gerard</v>
      </c>
      <c r="O399" t="str">
        <f t="shared" si="25"/>
        <v>Bruno</v>
      </c>
      <c r="P399" t="e">
        <f t="shared" ca="1" si="26"/>
        <v>#NAME?</v>
      </c>
      <c r="Q399" t="str">
        <f t="shared" si="27"/>
        <v>Tevreden</v>
      </c>
    </row>
    <row r="400" spans="1:17" x14ac:dyDescent="0.3">
      <c r="A400" t="s">
        <v>1139</v>
      </c>
      <c r="B400">
        <v>7739598567</v>
      </c>
      <c r="C400" t="s">
        <v>998</v>
      </c>
      <c r="D400" t="s">
        <v>1140</v>
      </c>
      <c r="E400">
        <v>59</v>
      </c>
      <c r="F400" t="s">
        <v>175</v>
      </c>
      <c r="G400">
        <v>2</v>
      </c>
      <c r="H400">
        <v>3</v>
      </c>
      <c r="I400">
        <v>114.06</v>
      </c>
      <c r="J400" t="s">
        <v>77</v>
      </c>
      <c r="K400" t="s">
        <v>22</v>
      </c>
      <c r="L400">
        <v>7.32</v>
      </c>
      <c r="M400" t="s">
        <v>23</v>
      </c>
      <c r="N400" t="str">
        <f t="shared" si="24"/>
        <v>Verheyen</v>
      </c>
      <c r="O400" t="str">
        <f t="shared" si="25"/>
        <v>Pascale</v>
      </c>
      <c r="P400" t="e">
        <f t="shared" ca="1" si="26"/>
        <v>#NAME?</v>
      </c>
      <c r="Q400" t="str">
        <f t="shared" si="27"/>
        <v>Tevreden</v>
      </c>
    </row>
    <row r="401" spans="1:17" x14ac:dyDescent="0.3">
      <c r="A401" t="s">
        <v>1141</v>
      </c>
      <c r="B401">
        <v>4501470165</v>
      </c>
      <c r="C401" t="s">
        <v>1142</v>
      </c>
      <c r="D401" t="s">
        <v>531</v>
      </c>
      <c r="E401">
        <v>28</v>
      </c>
      <c r="F401" t="s">
        <v>51</v>
      </c>
      <c r="G401">
        <v>2</v>
      </c>
      <c r="H401">
        <v>3</v>
      </c>
      <c r="I401">
        <v>108.28</v>
      </c>
      <c r="J401" t="s">
        <v>28</v>
      </c>
      <c r="K401" t="s">
        <v>22</v>
      </c>
      <c r="L401">
        <v>7.27</v>
      </c>
      <c r="M401" t="s">
        <v>23</v>
      </c>
      <c r="N401" t="str">
        <f t="shared" si="24"/>
        <v>Cornelis</v>
      </c>
      <c r="O401" t="str">
        <f t="shared" si="25"/>
        <v>Anne-Marie</v>
      </c>
      <c r="P401" t="e">
        <f t="shared" ca="1" si="26"/>
        <v>#NAME?</v>
      </c>
      <c r="Q401" t="str">
        <f t="shared" si="27"/>
        <v>Tevreden</v>
      </c>
    </row>
    <row r="402" spans="1:17" x14ac:dyDescent="0.3">
      <c r="A402" t="s">
        <v>1143</v>
      </c>
      <c r="B402">
        <v>4361652258</v>
      </c>
      <c r="C402" t="s">
        <v>1144</v>
      </c>
      <c r="D402" t="s">
        <v>218</v>
      </c>
      <c r="E402">
        <v>45</v>
      </c>
      <c r="F402" t="s">
        <v>489</v>
      </c>
      <c r="G402">
        <v>1</v>
      </c>
      <c r="H402">
        <v>0</v>
      </c>
      <c r="I402">
        <v>43.07</v>
      </c>
      <c r="J402" t="s">
        <v>28</v>
      </c>
      <c r="K402" t="s">
        <v>29</v>
      </c>
      <c r="L402">
        <v>7.23</v>
      </c>
      <c r="M402" t="s">
        <v>23</v>
      </c>
      <c r="N402" t="str">
        <f t="shared" si="24"/>
        <v>Van den bergh</v>
      </c>
      <c r="O402" t="str">
        <f t="shared" si="25"/>
        <v>Sunay</v>
      </c>
      <c r="P402" t="e">
        <f t="shared" ca="1" si="26"/>
        <v>#NAME?</v>
      </c>
      <c r="Q402" t="str">
        <f t="shared" si="27"/>
        <v>Tevreden</v>
      </c>
    </row>
    <row r="403" spans="1:17" x14ac:dyDescent="0.3">
      <c r="A403" t="s">
        <v>1145</v>
      </c>
      <c r="B403">
        <v>2915615817</v>
      </c>
      <c r="C403" t="s">
        <v>1146</v>
      </c>
      <c r="D403" t="s">
        <v>1147</v>
      </c>
      <c r="E403">
        <v>103</v>
      </c>
      <c r="F403" t="s">
        <v>189</v>
      </c>
      <c r="G403">
        <v>1</v>
      </c>
      <c r="H403">
        <v>3</v>
      </c>
      <c r="I403">
        <v>109.55</v>
      </c>
      <c r="J403" t="s">
        <v>47</v>
      </c>
      <c r="K403" t="s">
        <v>22</v>
      </c>
      <c r="L403">
        <v>6.08</v>
      </c>
      <c r="M403" t="s">
        <v>78</v>
      </c>
      <c r="N403" t="str">
        <f t="shared" si="24"/>
        <v>Moreau</v>
      </c>
      <c r="O403" t="str">
        <f t="shared" si="25"/>
        <v>Steven</v>
      </c>
      <c r="P403" t="e">
        <f t="shared" ca="1" si="26"/>
        <v>#NAME?</v>
      </c>
      <c r="Q403" t="str">
        <f t="shared" si="27"/>
        <v>Ontevreden</v>
      </c>
    </row>
    <row r="404" spans="1:17" x14ac:dyDescent="0.3">
      <c r="A404" t="s">
        <v>1148</v>
      </c>
      <c r="B404">
        <v>328284670</v>
      </c>
      <c r="C404" t="s">
        <v>1149</v>
      </c>
      <c r="D404" t="s">
        <v>1150</v>
      </c>
      <c r="E404">
        <v>13</v>
      </c>
      <c r="F404" t="s">
        <v>128</v>
      </c>
      <c r="G404">
        <v>2</v>
      </c>
      <c r="H404">
        <v>2</v>
      </c>
      <c r="I404">
        <v>119.58</v>
      </c>
      <c r="J404" t="s">
        <v>28</v>
      </c>
      <c r="K404" t="s">
        <v>22</v>
      </c>
      <c r="L404">
        <v>8.01</v>
      </c>
      <c r="M404" t="s">
        <v>34</v>
      </c>
      <c r="N404" t="str">
        <f t="shared" si="24"/>
        <v>Bernard</v>
      </c>
      <c r="O404" t="str">
        <f t="shared" si="25"/>
        <v>Viviane</v>
      </c>
      <c r="P404" t="e">
        <f t="shared" ca="1" si="26"/>
        <v>#NAME?</v>
      </c>
      <c r="Q404" t="str">
        <f t="shared" si="27"/>
        <v>Tevreden</v>
      </c>
    </row>
    <row r="405" spans="1:17" x14ac:dyDescent="0.3">
      <c r="A405" t="s">
        <v>1151</v>
      </c>
      <c r="B405">
        <v>8268269326</v>
      </c>
      <c r="C405" t="s">
        <v>1152</v>
      </c>
      <c r="D405" t="s">
        <v>1153</v>
      </c>
      <c r="E405">
        <v>69</v>
      </c>
      <c r="F405" t="s">
        <v>706</v>
      </c>
      <c r="G405">
        <v>1</v>
      </c>
      <c r="H405">
        <v>0</v>
      </c>
      <c r="I405">
        <v>20.420000000000002</v>
      </c>
      <c r="J405" t="s">
        <v>52</v>
      </c>
      <c r="K405" t="s">
        <v>22</v>
      </c>
      <c r="L405">
        <v>7.2</v>
      </c>
      <c r="M405" t="s">
        <v>23</v>
      </c>
      <c r="N405" t="str">
        <f t="shared" si="24"/>
        <v>Ceulemans</v>
      </c>
      <c r="O405" t="str">
        <f t="shared" si="25"/>
        <v>Nicole</v>
      </c>
      <c r="P405" t="e">
        <f t="shared" ca="1" si="26"/>
        <v>#NAME?</v>
      </c>
      <c r="Q405" t="str">
        <f t="shared" si="27"/>
        <v>Tevreden</v>
      </c>
    </row>
    <row r="406" spans="1:17" x14ac:dyDescent="0.3">
      <c r="A406" t="s">
        <v>1154</v>
      </c>
      <c r="B406">
        <v>9671192035</v>
      </c>
      <c r="C406" t="s">
        <v>1155</v>
      </c>
      <c r="D406" t="s">
        <v>847</v>
      </c>
      <c r="E406">
        <v>126</v>
      </c>
      <c r="F406" t="s">
        <v>148</v>
      </c>
      <c r="G406">
        <v>3</v>
      </c>
      <c r="H406">
        <v>4</v>
      </c>
      <c r="I406">
        <v>218</v>
      </c>
      <c r="J406" t="s">
        <v>28</v>
      </c>
      <c r="K406" t="s">
        <v>29</v>
      </c>
      <c r="L406">
        <v>8.8699999999999992</v>
      </c>
      <c r="M406" t="s">
        <v>34</v>
      </c>
      <c r="N406" t="str">
        <f t="shared" si="24"/>
        <v>Thomas</v>
      </c>
      <c r="O406" t="str">
        <f t="shared" si="25"/>
        <v>Gaston</v>
      </c>
      <c r="P406" t="e">
        <f t="shared" ca="1" si="26"/>
        <v>#NAME?</v>
      </c>
      <c r="Q406" t="str">
        <f t="shared" si="27"/>
        <v>Tevreden</v>
      </c>
    </row>
    <row r="407" spans="1:17" x14ac:dyDescent="0.3">
      <c r="A407" t="s">
        <v>1156</v>
      </c>
      <c r="B407">
        <v>6274949828</v>
      </c>
      <c r="C407" t="s">
        <v>1157</v>
      </c>
      <c r="D407" t="s">
        <v>1158</v>
      </c>
      <c r="E407">
        <v>12</v>
      </c>
      <c r="F407" t="s">
        <v>435</v>
      </c>
      <c r="G407">
        <v>2</v>
      </c>
      <c r="H407">
        <v>2</v>
      </c>
      <c r="I407">
        <v>98.68</v>
      </c>
      <c r="J407" t="s">
        <v>52</v>
      </c>
      <c r="K407" t="s">
        <v>29</v>
      </c>
      <c r="L407">
        <v>6.91</v>
      </c>
      <c r="M407" t="s">
        <v>23</v>
      </c>
      <c r="N407" t="str">
        <f t="shared" si="24"/>
        <v>De cock</v>
      </c>
      <c r="O407" t="str">
        <f t="shared" si="25"/>
        <v>Daniel</v>
      </c>
      <c r="P407" t="e">
        <f t="shared" ca="1" si="26"/>
        <v>#NAME?</v>
      </c>
      <c r="Q407" t="str">
        <f t="shared" si="27"/>
        <v>Ontevreden</v>
      </c>
    </row>
    <row r="408" spans="1:17" x14ac:dyDescent="0.3">
      <c r="A408" t="s">
        <v>1159</v>
      </c>
      <c r="B408">
        <v>1145282547</v>
      </c>
      <c r="C408" t="s">
        <v>1160</v>
      </c>
      <c r="D408" t="s">
        <v>1131</v>
      </c>
      <c r="E408">
        <v>43</v>
      </c>
      <c r="F408" t="s">
        <v>42</v>
      </c>
      <c r="G408">
        <v>2</v>
      </c>
      <c r="H408">
        <v>2</v>
      </c>
      <c r="I408">
        <v>160.35</v>
      </c>
      <c r="J408" t="s">
        <v>47</v>
      </c>
      <c r="K408" t="s">
        <v>57</v>
      </c>
      <c r="L408">
        <v>7.38</v>
      </c>
      <c r="M408" t="s">
        <v>23</v>
      </c>
      <c r="N408" t="str">
        <f t="shared" si="24"/>
        <v>Lemaire</v>
      </c>
      <c r="O408" t="str">
        <f t="shared" si="25"/>
        <v>Sarah</v>
      </c>
      <c r="P408" t="e">
        <f t="shared" ca="1" si="26"/>
        <v>#NAME?</v>
      </c>
      <c r="Q408" t="str">
        <f t="shared" si="27"/>
        <v>Tevreden</v>
      </c>
    </row>
    <row r="409" spans="1:17" x14ac:dyDescent="0.3">
      <c r="A409" t="s">
        <v>1161</v>
      </c>
      <c r="B409">
        <v>3621212836</v>
      </c>
      <c r="C409" t="s">
        <v>1162</v>
      </c>
      <c r="D409" t="s">
        <v>1163</v>
      </c>
      <c r="E409">
        <v>78</v>
      </c>
      <c r="F409" t="s">
        <v>115</v>
      </c>
      <c r="G409">
        <v>1</v>
      </c>
      <c r="H409">
        <v>0</v>
      </c>
      <c r="I409">
        <v>57.35</v>
      </c>
      <c r="J409" t="s">
        <v>52</v>
      </c>
      <c r="K409" t="s">
        <v>29</v>
      </c>
      <c r="L409">
        <v>6.88</v>
      </c>
      <c r="M409" t="s">
        <v>23</v>
      </c>
      <c r="N409" t="str">
        <f t="shared" si="24"/>
        <v>Jacques</v>
      </c>
      <c r="O409" t="str">
        <f t="shared" si="25"/>
        <v>Rudolf</v>
      </c>
      <c r="P409" t="e">
        <f t="shared" ca="1" si="26"/>
        <v>#NAME?</v>
      </c>
      <c r="Q409" t="str">
        <f t="shared" si="27"/>
        <v>Ontevreden</v>
      </c>
    </row>
    <row r="410" spans="1:17" x14ac:dyDescent="0.3">
      <c r="A410" t="s">
        <v>1164</v>
      </c>
      <c r="B410">
        <v>3926370227</v>
      </c>
      <c r="C410" t="s">
        <v>1165</v>
      </c>
      <c r="D410" t="s">
        <v>1153</v>
      </c>
      <c r="E410">
        <v>35</v>
      </c>
      <c r="F410" t="s">
        <v>51</v>
      </c>
      <c r="G410">
        <v>2</v>
      </c>
      <c r="H410">
        <v>0</v>
      </c>
      <c r="I410">
        <v>141.91</v>
      </c>
      <c r="J410" t="s">
        <v>28</v>
      </c>
      <c r="K410" t="s">
        <v>22</v>
      </c>
      <c r="L410">
        <v>6.09</v>
      </c>
      <c r="M410" t="s">
        <v>78</v>
      </c>
      <c r="N410" t="str">
        <f t="shared" si="24"/>
        <v>Aerts</v>
      </c>
      <c r="O410" t="str">
        <f t="shared" si="25"/>
        <v>Maddalena</v>
      </c>
      <c r="P410" t="e">
        <f t="shared" ca="1" si="26"/>
        <v>#NAME?</v>
      </c>
      <c r="Q410" t="str">
        <f t="shared" si="27"/>
        <v>Ontevreden</v>
      </c>
    </row>
    <row r="411" spans="1:17" x14ac:dyDescent="0.3">
      <c r="A411" t="s">
        <v>1166</v>
      </c>
      <c r="B411">
        <v>1326224575</v>
      </c>
      <c r="C411" t="s">
        <v>1167</v>
      </c>
      <c r="D411" t="s">
        <v>1168</v>
      </c>
      <c r="E411">
        <v>31</v>
      </c>
      <c r="F411" t="s">
        <v>354</v>
      </c>
      <c r="G411">
        <v>1</v>
      </c>
      <c r="H411">
        <v>1</v>
      </c>
      <c r="I411">
        <v>20.149999999999999</v>
      </c>
      <c r="J411" t="s">
        <v>52</v>
      </c>
      <c r="K411" t="s">
        <v>57</v>
      </c>
      <c r="L411">
        <v>6.57</v>
      </c>
      <c r="M411" t="s">
        <v>23</v>
      </c>
      <c r="N411" t="str">
        <f t="shared" si="24"/>
        <v>Verbeke</v>
      </c>
      <c r="O411" t="str">
        <f t="shared" si="25"/>
        <v>Mariam</v>
      </c>
      <c r="P411" t="e">
        <f t="shared" ca="1" si="26"/>
        <v>#NAME?</v>
      </c>
      <c r="Q411" t="str">
        <f t="shared" si="27"/>
        <v>Ontevreden</v>
      </c>
    </row>
    <row r="412" spans="1:17" x14ac:dyDescent="0.3">
      <c r="A412" t="s">
        <v>1169</v>
      </c>
      <c r="B412">
        <v>3744315443</v>
      </c>
      <c r="C412" t="s">
        <v>1170</v>
      </c>
      <c r="D412" t="s">
        <v>999</v>
      </c>
      <c r="E412">
        <v>41</v>
      </c>
      <c r="F412" t="s">
        <v>858</v>
      </c>
      <c r="G412">
        <v>2</v>
      </c>
      <c r="H412">
        <v>2</v>
      </c>
      <c r="I412">
        <v>210.32</v>
      </c>
      <c r="J412" t="s">
        <v>28</v>
      </c>
      <c r="K412" t="s">
        <v>22</v>
      </c>
      <c r="L412">
        <v>6.96</v>
      </c>
      <c r="M412" t="s">
        <v>23</v>
      </c>
      <c r="N412" t="str">
        <f t="shared" si="24"/>
        <v>Verheyen</v>
      </c>
      <c r="O412" t="str">
        <f t="shared" si="25"/>
        <v>Daan</v>
      </c>
      <c r="P412" t="e">
        <f t="shared" ca="1" si="26"/>
        <v>#NAME?</v>
      </c>
      <c r="Q412" t="str">
        <f t="shared" si="27"/>
        <v>Ontevreden</v>
      </c>
    </row>
    <row r="413" spans="1:17" x14ac:dyDescent="0.3">
      <c r="A413" t="s">
        <v>1171</v>
      </c>
      <c r="B413">
        <v>1315868427</v>
      </c>
      <c r="C413" t="s">
        <v>1172</v>
      </c>
      <c r="D413" t="s">
        <v>1039</v>
      </c>
      <c r="E413">
        <v>111</v>
      </c>
      <c r="F413" t="s">
        <v>115</v>
      </c>
      <c r="G413">
        <v>2</v>
      </c>
      <c r="H413">
        <v>0</v>
      </c>
      <c r="I413">
        <v>47.23</v>
      </c>
      <c r="J413" t="s">
        <v>52</v>
      </c>
      <c r="K413" t="s">
        <v>22</v>
      </c>
      <c r="L413">
        <v>5.68</v>
      </c>
      <c r="M413" t="s">
        <v>78</v>
      </c>
      <c r="N413" t="str">
        <f t="shared" si="24"/>
        <v>De cock</v>
      </c>
      <c r="O413" t="str">
        <f t="shared" si="25"/>
        <v>Kadiatou</v>
      </c>
      <c r="P413" t="e">
        <f t="shared" ca="1" si="26"/>
        <v>#NAME?</v>
      </c>
      <c r="Q413" t="str">
        <f t="shared" si="27"/>
        <v>Ontevreden</v>
      </c>
    </row>
    <row r="414" spans="1:17" x14ac:dyDescent="0.3">
      <c r="A414" t="s">
        <v>1173</v>
      </c>
      <c r="B414">
        <v>9341104678</v>
      </c>
      <c r="C414" t="s">
        <v>1174</v>
      </c>
      <c r="D414" t="s">
        <v>1175</v>
      </c>
      <c r="E414">
        <v>16</v>
      </c>
      <c r="F414" t="s">
        <v>144</v>
      </c>
      <c r="G414">
        <v>1</v>
      </c>
      <c r="H414">
        <v>1</v>
      </c>
      <c r="I414">
        <v>91.45</v>
      </c>
      <c r="J414" t="s">
        <v>28</v>
      </c>
      <c r="K414" t="s">
        <v>57</v>
      </c>
      <c r="L414">
        <v>7.09</v>
      </c>
      <c r="M414" t="s">
        <v>23</v>
      </c>
      <c r="N414" t="str">
        <f t="shared" si="24"/>
        <v>Petit</v>
      </c>
      <c r="O414" t="str">
        <f t="shared" si="25"/>
        <v>Myrthe</v>
      </c>
      <c r="P414" t="e">
        <f t="shared" ca="1" si="26"/>
        <v>#NAME?</v>
      </c>
      <c r="Q414" t="str">
        <f t="shared" si="27"/>
        <v>Tevreden</v>
      </c>
    </row>
    <row r="415" spans="1:17" x14ac:dyDescent="0.3">
      <c r="A415" t="s">
        <v>1176</v>
      </c>
      <c r="B415">
        <v>4546217573</v>
      </c>
      <c r="C415" t="s">
        <v>1177</v>
      </c>
      <c r="D415" t="s">
        <v>1178</v>
      </c>
      <c r="E415">
        <v>13</v>
      </c>
      <c r="F415" t="s">
        <v>27</v>
      </c>
      <c r="G415">
        <v>2</v>
      </c>
      <c r="H415">
        <v>2</v>
      </c>
      <c r="I415">
        <v>143.5</v>
      </c>
      <c r="J415" t="s">
        <v>52</v>
      </c>
      <c r="K415" t="s">
        <v>29</v>
      </c>
      <c r="L415">
        <v>8.1300000000000008</v>
      </c>
      <c r="M415" t="s">
        <v>34</v>
      </c>
      <c r="N415" t="str">
        <f t="shared" si="24"/>
        <v>Renard</v>
      </c>
      <c r="O415" t="str">
        <f t="shared" si="25"/>
        <v>Yannick</v>
      </c>
      <c r="P415" t="e">
        <f t="shared" ca="1" si="26"/>
        <v>#NAME?</v>
      </c>
      <c r="Q415" t="str">
        <f t="shared" si="27"/>
        <v>Tevreden</v>
      </c>
    </row>
    <row r="416" spans="1:17" x14ac:dyDescent="0.3">
      <c r="A416" t="s">
        <v>1179</v>
      </c>
      <c r="B416">
        <v>3995334746</v>
      </c>
      <c r="C416" t="s">
        <v>1180</v>
      </c>
      <c r="D416" t="s">
        <v>1181</v>
      </c>
      <c r="E416">
        <v>8</v>
      </c>
      <c r="F416" t="s">
        <v>82</v>
      </c>
      <c r="G416">
        <v>2</v>
      </c>
      <c r="H416">
        <v>3</v>
      </c>
      <c r="I416">
        <v>163.22</v>
      </c>
      <c r="J416" t="s">
        <v>47</v>
      </c>
      <c r="K416" t="s">
        <v>57</v>
      </c>
      <c r="L416">
        <v>7.45</v>
      </c>
      <c r="M416" t="s">
        <v>23</v>
      </c>
      <c r="N416" t="str">
        <f t="shared" si="24"/>
        <v>De moor</v>
      </c>
      <c r="O416" t="str">
        <f t="shared" si="25"/>
        <v>Pierre</v>
      </c>
      <c r="P416" t="e">
        <f t="shared" ca="1" si="26"/>
        <v>#NAME?</v>
      </c>
      <c r="Q416" t="str">
        <f t="shared" si="27"/>
        <v>Tevreden</v>
      </c>
    </row>
    <row r="417" spans="1:17" x14ac:dyDescent="0.3">
      <c r="A417" t="s">
        <v>1182</v>
      </c>
      <c r="B417">
        <v>3335477462</v>
      </c>
      <c r="C417" t="s">
        <v>1183</v>
      </c>
      <c r="D417" t="s">
        <v>287</v>
      </c>
      <c r="E417">
        <v>51</v>
      </c>
      <c r="F417" t="s">
        <v>51</v>
      </c>
      <c r="G417">
        <v>2</v>
      </c>
      <c r="H417">
        <v>0</v>
      </c>
      <c r="I417">
        <v>105.42</v>
      </c>
      <c r="J417" t="s">
        <v>52</v>
      </c>
      <c r="K417" t="s">
        <v>22</v>
      </c>
      <c r="L417">
        <v>8.58</v>
      </c>
      <c r="M417" t="s">
        <v>34</v>
      </c>
      <c r="N417" t="str">
        <f t="shared" si="24"/>
        <v>Vanneste</v>
      </c>
      <c r="O417" t="str">
        <f t="shared" si="25"/>
        <v>Ary</v>
      </c>
      <c r="P417" t="e">
        <f t="shared" ca="1" si="26"/>
        <v>#NAME?</v>
      </c>
      <c r="Q417" t="str">
        <f t="shared" si="27"/>
        <v>Tevreden</v>
      </c>
    </row>
    <row r="418" spans="1:17" x14ac:dyDescent="0.3">
      <c r="A418" t="s">
        <v>1184</v>
      </c>
      <c r="B418">
        <v>492878365</v>
      </c>
      <c r="C418" t="s">
        <v>1185</v>
      </c>
      <c r="D418" t="s">
        <v>1186</v>
      </c>
      <c r="E418">
        <v>55</v>
      </c>
      <c r="F418" t="s">
        <v>489</v>
      </c>
      <c r="G418">
        <v>2</v>
      </c>
      <c r="H418">
        <v>2</v>
      </c>
      <c r="I418">
        <v>95.14</v>
      </c>
      <c r="J418" t="s">
        <v>28</v>
      </c>
      <c r="K418" t="s">
        <v>22</v>
      </c>
      <c r="L418">
        <v>7.85</v>
      </c>
      <c r="M418" t="s">
        <v>34</v>
      </c>
      <c r="N418" t="str">
        <f t="shared" si="24"/>
        <v>De clerck</v>
      </c>
      <c r="O418" t="str">
        <f t="shared" si="25"/>
        <v>Vienna</v>
      </c>
      <c r="P418" t="e">
        <f t="shared" ca="1" si="26"/>
        <v>#NAME?</v>
      </c>
      <c r="Q418" t="str">
        <f t="shared" si="27"/>
        <v>Tevreden</v>
      </c>
    </row>
    <row r="419" spans="1:17" x14ac:dyDescent="0.3">
      <c r="A419" t="s">
        <v>1187</v>
      </c>
      <c r="B419">
        <v>6389962818</v>
      </c>
      <c r="C419" t="s">
        <v>1188</v>
      </c>
      <c r="D419" t="s">
        <v>1163</v>
      </c>
      <c r="E419">
        <v>9</v>
      </c>
      <c r="F419" t="s">
        <v>128</v>
      </c>
      <c r="G419">
        <v>4</v>
      </c>
      <c r="H419">
        <v>0</v>
      </c>
      <c r="I419">
        <v>103.3</v>
      </c>
      <c r="J419" t="s">
        <v>21</v>
      </c>
      <c r="K419" t="s">
        <v>22</v>
      </c>
      <c r="L419">
        <v>8.52</v>
      </c>
      <c r="M419" t="s">
        <v>34</v>
      </c>
      <c r="N419" t="str">
        <f t="shared" si="24"/>
        <v>Vervoort</v>
      </c>
      <c r="O419" t="str">
        <f t="shared" si="25"/>
        <v>Barbara</v>
      </c>
      <c r="P419" t="e">
        <f t="shared" ca="1" si="26"/>
        <v>#NAME?</v>
      </c>
      <c r="Q419" t="str">
        <f t="shared" si="27"/>
        <v>Tevreden</v>
      </c>
    </row>
    <row r="420" spans="1:17" x14ac:dyDescent="0.3">
      <c r="A420" t="s">
        <v>1189</v>
      </c>
      <c r="B420">
        <v>5036380063</v>
      </c>
      <c r="C420" t="s">
        <v>1190</v>
      </c>
      <c r="D420" t="s">
        <v>976</v>
      </c>
      <c r="E420">
        <v>26</v>
      </c>
      <c r="F420" t="s">
        <v>76</v>
      </c>
      <c r="G420">
        <v>1</v>
      </c>
      <c r="H420">
        <v>0</v>
      </c>
      <c r="I420">
        <v>90.48</v>
      </c>
      <c r="J420" t="s">
        <v>28</v>
      </c>
      <c r="K420" t="s">
        <v>22</v>
      </c>
      <c r="L420">
        <v>7.1</v>
      </c>
      <c r="M420" t="s">
        <v>23</v>
      </c>
      <c r="N420" t="str">
        <f t="shared" si="24"/>
        <v>Dubois</v>
      </c>
      <c r="O420" t="str">
        <f t="shared" si="25"/>
        <v>Garyfalia</v>
      </c>
      <c r="P420" t="e">
        <f t="shared" ca="1" si="26"/>
        <v>#NAME?</v>
      </c>
      <c r="Q420" t="str">
        <f t="shared" si="27"/>
        <v>Tevreden</v>
      </c>
    </row>
    <row r="421" spans="1:17" x14ac:dyDescent="0.3">
      <c r="A421" t="s">
        <v>1191</v>
      </c>
      <c r="B421">
        <v>9444383046</v>
      </c>
      <c r="C421" t="s">
        <v>1192</v>
      </c>
      <c r="D421" t="s">
        <v>1193</v>
      </c>
      <c r="E421">
        <v>19</v>
      </c>
      <c r="F421" t="s">
        <v>175</v>
      </c>
      <c r="G421">
        <v>1</v>
      </c>
      <c r="H421">
        <v>2</v>
      </c>
      <c r="I421">
        <v>94.26</v>
      </c>
      <c r="J421" t="s">
        <v>52</v>
      </c>
      <c r="K421" t="s">
        <v>29</v>
      </c>
      <c r="L421">
        <v>7.8</v>
      </c>
      <c r="M421" t="s">
        <v>34</v>
      </c>
      <c r="N421" t="str">
        <f t="shared" si="24"/>
        <v>Dewulf</v>
      </c>
      <c r="O421" t="str">
        <f t="shared" si="25"/>
        <v>Frank</v>
      </c>
      <c r="P421" t="e">
        <f t="shared" ca="1" si="26"/>
        <v>#NAME?</v>
      </c>
      <c r="Q421" t="str">
        <f t="shared" si="27"/>
        <v>Tevreden</v>
      </c>
    </row>
    <row r="422" spans="1:17" x14ac:dyDescent="0.3">
      <c r="A422" t="s">
        <v>1194</v>
      </c>
      <c r="B422">
        <v>1002264419</v>
      </c>
      <c r="C422" t="s">
        <v>1195</v>
      </c>
      <c r="D422" t="s">
        <v>347</v>
      </c>
      <c r="E422">
        <v>29</v>
      </c>
      <c r="F422" t="s">
        <v>219</v>
      </c>
      <c r="G422">
        <v>2</v>
      </c>
      <c r="H422">
        <v>2</v>
      </c>
      <c r="I422">
        <v>186.37</v>
      </c>
      <c r="J422" t="s">
        <v>21</v>
      </c>
      <c r="K422" t="s">
        <v>29</v>
      </c>
      <c r="L422">
        <v>6.85</v>
      </c>
      <c r="M422" t="s">
        <v>23</v>
      </c>
      <c r="N422" t="str">
        <f t="shared" si="24"/>
        <v>Vandenbroucke</v>
      </c>
      <c r="O422" t="str">
        <f t="shared" si="25"/>
        <v>Emeline</v>
      </c>
      <c r="P422" t="e">
        <f t="shared" ca="1" si="26"/>
        <v>#NAME?</v>
      </c>
      <c r="Q422" t="str">
        <f t="shared" si="27"/>
        <v>Ontevreden</v>
      </c>
    </row>
    <row r="423" spans="1:17" x14ac:dyDescent="0.3">
      <c r="A423" t="s">
        <v>1196</v>
      </c>
      <c r="B423">
        <v>7304767254</v>
      </c>
      <c r="C423" t="s">
        <v>1197</v>
      </c>
      <c r="D423" t="s">
        <v>1198</v>
      </c>
      <c r="E423">
        <v>1</v>
      </c>
      <c r="F423" t="s">
        <v>46</v>
      </c>
      <c r="G423">
        <v>2</v>
      </c>
      <c r="H423">
        <v>0</v>
      </c>
      <c r="I423">
        <v>21.72</v>
      </c>
      <c r="J423" t="s">
        <v>52</v>
      </c>
      <c r="K423" t="s">
        <v>29</v>
      </c>
      <c r="L423">
        <v>6.78</v>
      </c>
      <c r="M423" t="s">
        <v>23</v>
      </c>
      <c r="N423" t="str">
        <f t="shared" si="24"/>
        <v>Lemmens</v>
      </c>
      <c r="O423" t="str">
        <f t="shared" si="25"/>
        <v>Audrey</v>
      </c>
      <c r="P423" t="e">
        <f t="shared" ca="1" si="26"/>
        <v>#NAME?</v>
      </c>
      <c r="Q423" t="str">
        <f t="shared" si="27"/>
        <v>Ontevreden</v>
      </c>
    </row>
    <row r="424" spans="1:17" x14ac:dyDescent="0.3">
      <c r="A424" t="s">
        <v>1199</v>
      </c>
      <c r="B424">
        <v>2199332573</v>
      </c>
      <c r="C424" t="s">
        <v>1200</v>
      </c>
      <c r="D424" t="s">
        <v>1201</v>
      </c>
      <c r="E424">
        <v>9</v>
      </c>
      <c r="F424" t="s">
        <v>148</v>
      </c>
      <c r="G424">
        <v>1</v>
      </c>
      <c r="H424">
        <v>0</v>
      </c>
      <c r="I424">
        <v>83.74</v>
      </c>
      <c r="J424" t="s">
        <v>52</v>
      </c>
      <c r="K424" t="s">
        <v>57</v>
      </c>
      <c r="L424">
        <v>6.86</v>
      </c>
      <c r="M424" t="s">
        <v>23</v>
      </c>
      <c r="N424" t="str">
        <f t="shared" si="24"/>
        <v>Vandenberghe</v>
      </c>
      <c r="O424" t="str">
        <f t="shared" si="25"/>
        <v>Sam</v>
      </c>
      <c r="P424" t="e">
        <f t="shared" ca="1" si="26"/>
        <v>#NAME?</v>
      </c>
      <c r="Q424" t="str">
        <f t="shared" si="27"/>
        <v>Ontevreden</v>
      </c>
    </row>
    <row r="425" spans="1:17" x14ac:dyDescent="0.3">
      <c r="A425" t="s">
        <v>1202</v>
      </c>
      <c r="B425">
        <v>5557050710</v>
      </c>
      <c r="C425" t="s">
        <v>1203</v>
      </c>
      <c r="D425" t="s">
        <v>1204</v>
      </c>
      <c r="E425">
        <v>67</v>
      </c>
      <c r="F425" t="s">
        <v>61</v>
      </c>
      <c r="G425">
        <v>1</v>
      </c>
      <c r="H425">
        <v>2</v>
      </c>
      <c r="I425">
        <v>73.13</v>
      </c>
      <c r="J425" t="s">
        <v>28</v>
      </c>
      <c r="K425" t="s">
        <v>22</v>
      </c>
      <c r="L425">
        <v>7.45</v>
      </c>
      <c r="M425" t="s">
        <v>23</v>
      </c>
      <c r="N425" t="str">
        <f t="shared" si="24"/>
        <v>Dethier</v>
      </c>
      <c r="O425" t="str">
        <f t="shared" si="25"/>
        <v>Etienne</v>
      </c>
      <c r="P425" t="e">
        <f t="shared" ca="1" si="26"/>
        <v>#NAME?</v>
      </c>
      <c r="Q425" t="str">
        <f t="shared" si="27"/>
        <v>Tevreden</v>
      </c>
    </row>
    <row r="426" spans="1:17" x14ac:dyDescent="0.3">
      <c r="A426" t="s">
        <v>1205</v>
      </c>
      <c r="B426">
        <v>3704279966</v>
      </c>
      <c r="C426" t="s">
        <v>1206</v>
      </c>
      <c r="D426" t="s">
        <v>330</v>
      </c>
      <c r="E426">
        <v>1</v>
      </c>
      <c r="F426" t="s">
        <v>38</v>
      </c>
      <c r="G426">
        <v>2</v>
      </c>
      <c r="H426">
        <v>3</v>
      </c>
      <c r="I426">
        <v>106.16</v>
      </c>
      <c r="J426" t="s">
        <v>28</v>
      </c>
      <c r="K426" t="s">
        <v>22</v>
      </c>
      <c r="L426">
        <v>7.26</v>
      </c>
      <c r="M426" t="s">
        <v>23</v>
      </c>
      <c r="N426" t="str">
        <f t="shared" si="24"/>
        <v>Bosmans</v>
      </c>
      <c r="O426" t="str">
        <f t="shared" si="25"/>
        <v>Florian</v>
      </c>
      <c r="P426" t="e">
        <f t="shared" ca="1" si="26"/>
        <v>#NAME?</v>
      </c>
      <c r="Q426" t="str">
        <f t="shared" si="27"/>
        <v>Tevreden</v>
      </c>
    </row>
    <row r="427" spans="1:17" x14ac:dyDescent="0.3">
      <c r="A427" t="s">
        <v>1207</v>
      </c>
      <c r="B427">
        <v>5194894395</v>
      </c>
      <c r="C427" t="s">
        <v>1208</v>
      </c>
      <c r="D427" t="s">
        <v>1090</v>
      </c>
      <c r="E427">
        <v>1</v>
      </c>
      <c r="F427" t="s">
        <v>148</v>
      </c>
      <c r="G427">
        <v>1</v>
      </c>
      <c r="H427">
        <v>5</v>
      </c>
      <c r="I427">
        <v>128.66999999999999</v>
      </c>
      <c r="J427" t="s">
        <v>21</v>
      </c>
      <c r="K427" t="s">
        <v>22</v>
      </c>
      <c r="L427">
        <v>6.83</v>
      </c>
      <c r="M427" t="s">
        <v>23</v>
      </c>
      <c r="N427" t="str">
        <f t="shared" si="24"/>
        <v>Dethier</v>
      </c>
      <c r="O427" t="str">
        <f t="shared" si="25"/>
        <v>Martin</v>
      </c>
      <c r="P427" t="e">
        <f t="shared" ca="1" si="26"/>
        <v>#NAME?</v>
      </c>
      <c r="Q427" t="str">
        <f t="shared" si="27"/>
        <v>Ontevreden</v>
      </c>
    </row>
    <row r="428" spans="1:17" x14ac:dyDescent="0.3">
      <c r="A428" t="s">
        <v>1209</v>
      </c>
      <c r="B428">
        <v>4136914165</v>
      </c>
      <c r="C428" t="s">
        <v>1210</v>
      </c>
      <c r="D428" t="s">
        <v>380</v>
      </c>
      <c r="E428">
        <v>98</v>
      </c>
      <c r="F428" t="s">
        <v>115</v>
      </c>
      <c r="G428">
        <v>1</v>
      </c>
      <c r="H428">
        <v>1</v>
      </c>
      <c r="I428">
        <v>73.52</v>
      </c>
      <c r="J428" t="s">
        <v>28</v>
      </c>
      <c r="K428" t="s">
        <v>22</v>
      </c>
      <c r="L428">
        <v>7.65</v>
      </c>
      <c r="M428" t="s">
        <v>23</v>
      </c>
      <c r="N428" t="str">
        <f t="shared" si="24"/>
        <v>Heylen</v>
      </c>
      <c r="O428" t="str">
        <f t="shared" si="25"/>
        <v>Mia</v>
      </c>
      <c r="P428" t="e">
        <f t="shared" ca="1" si="26"/>
        <v>#NAME?</v>
      </c>
      <c r="Q428" t="str">
        <f t="shared" si="27"/>
        <v>Tevreden</v>
      </c>
    </row>
    <row r="429" spans="1:17" x14ac:dyDescent="0.3">
      <c r="A429" t="s">
        <v>1211</v>
      </c>
      <c r="B429">
        <v>882198792</v>
      </c>
      <c r="C429" t="s">
        <v>1212</v>
      </c>
      <c r="D429" t="s">
        <v>1213</v>
      </c>
      <c r="E429">
        <v>38</v>
      </c>
      <c r="F429" t="s">
        <v>46</v>
      </c>
      <c r="G429">
        <v>2</v>
      </c>
      <c r="H429">
        <v>0</v>
      </c>
      <c r="I429">
        <v>112.89</v>
      </c>
      <c r="J429" t="s">
        <v>47</v>
      </c>
      <c r="K429" t="s">
        <v>57</v>
      </c>
      <c r="L429">
        <v>7.11</v>
      </c>
      <c r="M429" t="s">
        <v>23</v>
      </c>
      <c r="N429" t="str">
        <f t="shared" si="24"/>
        <v>Leys</v>
      </c>
      <c r="O429" t="str">
        <f t="shared" si="25"/>
        <v>Georges</v>
      </c>
      <c r="P429" t="e">
        <f t="shared" ca="1" si="26"/>
        <v>#NAME?</v>
      </c>
      <c r="Q429" t="str">
        <f t="shared" si="27"/>
        <v>Tevreden</v>
      </c>
    </row>
    <row r="430" spans="1:17" x14ac:dyDescent="0.3">
      <c r="A430" t="s">
        <v>1214</v>
      </c>
      <c r="B430">
        <v>2041005827</v>
      </c>
      <c r="C430" t="s">
        <v>1215</v>
      </c>
      <c r="D430" t="s">
        <v>1193</v>
      </c>
      <c r="E430">
        <v>42</v>
      </c>
      <c r="F430" t="s">
        <v>65</v>
      </c>
      <c r="G430">
        <v>1</v>
      </c>
      <c r="H430">
        <v>0</v>
      </c>
      <c r="I430">
        <v>22.49</v>
      </c>
      <c r="J430" t="s">
        <v>28</v>
      </c>
      <c r="K430" t="s">
        <v>22</v>
      </c>
      <c r="L430">
        <v>8.4700000000000006</v>
      </c>
      <c r="M430" t="s">
        <v>34</v>
      </c>
      <c r="N430" t="str">
        <f t="shared" si="24"/>
        <v>Bogaert</v>
      </c>
      <c r="O430" t="str">
        <f t="shared" si="25"/>
        <v>Laura</v>
      </c>
      <c r="P430" t="e">
        <f t="shared" ca="1" si="26"/>
        <v>#NAME?</v>
      </c>
      <c r="Q430" t="str">
        <f t="shared" si="27"/>
        <v>Tevreden</v>
      </c>
    </row>
    <row r="431" spans="1:17" x14ac:dyDescent="0.3">
      <c r="A431" t="s">
        <v>1216</v>
      </c>
      <c r="B431">
        <v>3405008328</v>
      </c>
      <c r="C431" t="s">
        <v>1217</v>
      </c>
      <c r="D431" t="s">
        <v>1218</v>
      </c>
      <c r="E431">
        <v>1</v>
      </c>
      <c r="F431" t="s">
        <v>27</v>
      </c>
      <c r="G431">
        <v>2</v>
      </c>
      <c r="H431">
        <v>2</v>
      </c>
      <c r="I431">
        <v>166.51</v>
      </c>
      <c r="J431" t="s">
        <v>77</v>
      </c>
      <c r="K431" t="s">
        <v>22</v>
      </c>
      <c r="L431">
        <v>7.01</v>
      </c>
      <c r="M431" t="s">
        <v>23</v>
      </c>
      <c r="N431" t="str">
        <f t="shared" si="24"/>
        <v>Wauters</v>
      </c>
      <c r="O431" t="str">
        <f t="shared" si="25"/>
        <v>Jules</v>
      </c>
      <c r="P431" t="e">
        <f t="shared" ca="1" si="26"/>
        <v>#NAME?</v>
      </c>
      <c r="Q431" t="str">
        <f t="shared" si="27"/>
        <v>Tevreden</v>
      </c>
    </row>
    <row r="432" spans="1:17" x14ac:dyDescent="0.3">
      <c r="A432" t="s">
        <v>1219</v>
      </c>
      <c r="B432">
        <v>3207120728</v>
      </c>
      <c r="C432" t="s">
        <v>1220</v>
      </c>
      <c r="D432" t="s">
        <v>606</v>
      </c>
      <c r="E432">
        <v>28</v>
      </c>
      <c r="F432" t="s">
        <v>363</v>
      </c>
      <c r="G432">
        <v>1</v>
      </c>
      <c r="H432">
        <v>0</v>
      </c>
      <c r="I432">
        <v>63.65</v>
      </c>
      <c r="J432" t="s">
        <v>52</v>
      </c>
      <c r="K432" t="s">
        <v>22</v>
      </c>
      <c r="L432">
        <v>7.32</v>
      </c>
      <c r="M432" t="s">
        <v>23</v>
      </c>
      <c r="N432" t="str">
        <f t="shared" si="24"/>
        <v>Buelens</v>
      </c>
      <c r="O432" t="str">
        <f t="shared" si="25"/>
        <v>Simon</v>
      </c>
      <c r="P432" t="e">
        <f t="shared" ca="1" si="26"/>
        <v>#NAME?</v>
      </c>
      <c r="Q432" t="str">
        <f t="shared" si="27"/>
        <v>Tevreden</v>
      </c>
    </row>
    <row r="433" spans="1:17" x14ac:dyDescent="0.3">
      <c r="A433" t="s">
        <v>1221</v>
      </c>
      <c r="B433">
        <v>7744074935</v>
      </c>
      <c r="C433" t="s">
        <v>1222</v>
      </c>
      <c r="D433" t="s">
        <v>1223</v>
      </c>
      <c r="E433">
        <v>83</v>
      </c>
      <c r="F433" t="s">
        <v>27</v>
      </c>
      <c r="G433">
        <v>2</v>
      </c>
      <c r="H433">
        <v>0</v>
      </c>
      <c r="I433">
        <v>25.88</v>
      </c>
      <c r="J433" t="s">
        <v>21</v>
      </c>
      <c r="K433" t="s">
        <v>29</v>
      </c>
      <c r="L433">
        <v>8.4700000000000006</v>
      </c>
      <c r="M433" t="s">
        <v>34</v>
      </c>
      <c r="N433" t="str">
        <f t="shared" si="24"/>
        <v>Aerts</v>
      </c>
      <c r="O433" t="str">
        <f t="shared" si="25"/>
        <v>Aydin</v>
      </c>
      <c r="P433" t="e">
        <f t="shared" ca="1" si="26"/>
        <v>#NAME?</v>
      </c>
      <c r="Q433" t="str">
        <f t="shared" si="27"/>
        <v>Tevreden</v>
      </c>
    </row>
    <row r="434" spans="1:17" x14ac:dyDescent="0.3">
      <c r="A434" t="s">
        <v>1224</v>
      </c>
      <c r="B434">
        <v>8885636072</v>
      </c>
      <c r="C434" t="s">
        <v>1225</v>
      </c>
      <c r="D434" t="s">
        <v>287</v>
      </c>
      <c r="E434">
        <v>20</v>
      </c>
      <c r="F434" t="s">
        <v>305</v>
      </c>
      <c r="G434">
        <v>1</v>
      </c>
      <c r="H434">
        <v>0</v>
      </c>
      <c r="I434">
        <v>56.98</v>
      </c>
      <c r="J434" t="s">
        <v>77</v>
      </c>
      <c r="K434" t="s">
        <v>29</v>
      </c>
      <c r="L434">
        <v>7.09</v>
      </c>
      <c r="M434" t="s">
        <v>23</v>
      </c>
      <c r="N434" t="str">
        <f t="shared" si="24"/>
        <v>Maertens</v>
      </c>
      <c r="O434" t="str">
        <f t="shared" si="25"/>
        <v>Maria</v>
      </c>
      <c r="P434" t="e">
        <f t="shared" ca="1" si="26"/>
        <v>#NAME?</v>
      </c>
      <c r="Q434" t="str">
        <f t="shared" si="27"/>
        <v>Tevreden</v>
      </c>
    </row>
    <row r="435" spans="1:17" x14ac:dyDescent="0.3">
      <c r="A435" t="s">
        <v>1226</v>
      </c>
      <c r="B435">
        <v>8923346939</v>
      </c>
      <c r="C435" t="s">
        <v>1227</v>
      </c>
      <c r="D435" t="s">
        <v>1228</v>
      </c>
      <c r="E435">
        <v>80</v>
      </c>
      <c r="F435" t="s">
        <v>76</v>
      </c>
      <c r="G435">
        <v>1</v>
      </c>
      <c r="H435">
        <v>0</v>
      </c>
      <c r="I435">
        <v>78.31</v>
      </c>
      <c r="J435" t="s">
        <v>28</v>
      </c>
      <c r="K435" t="s">
        <v>22</v>
      </c>
      <c r="L435">
        <v>7.99</v>
      </c>
      <c r="M435" t="s">
        <v>34</v>
      </c>
      <c r="N435" t="str">
        <f t="shared" si="24"/>
        <v>Michiels</v>
      </c>
      <c r="O435" t="str">
        <f t="shared" si="25"/>
        <v>Bertrande</v>
      </c>
      <c r="P435" t="e">
        <f t="shared" ca="1" si="26"/>
        <v>#NAME?</v>
      </c>
      <c r="Q435" t="str">
        <f t="shared" si="27"/>
        <v>Tevreden</v>
      </c>
    </row>
    <row r="436" spans="1:17" x14ac:dyDescent="0.3">
      <c r="A436" t="s">
        <v>1229</v>
      </c>
      <c r="B436">
        <v>4174238126</v>
      </c>
      <c r="C436" t="s">
        <v>1230</v>
      </c>
      <c r="D436" t="s">
        <v>1123</v>
      </c>
      <c r="E436">
        <v>24</v>
      </c>
      <c r="F436" t="s">
        <v>76</v>
      </c>
      <c r="G436">
        <v>2</v>
      </c>
      <c r="H436">
        <v>0</v>
      </c>
      <c r="I436">
        <v>66.78</v>
      </c>
      <c r="J436" t="s">
        <v>28</v>
      </c>
      <c r="K436" t="s">
        <v>22</v>
      </c>
      <c r="L436">
        <v>5.9</v>
      </c>
      <c r="M436" t="s">
        <v>78</v>
      </c>
      <c r="N436" t="str">
        <f t="shared" si="24"/>
        <v>Verhaeghe</v>
      </c>
      <c r="O436" t="str">
        <f t="shared" si="25"/>
        <v>Myriam</v>
      </c>
      <c r="P436" t="e">
        <f t="shared" ca="1" si="26"/>
        <v>#NAME?</v>
      </c>
      <c r="Q436" t="str">
        <f t="shared" si="27"/>
        <v>Ontevreden</v>
      </c>
    </row>
    <row r="437" spans="1:17" x14ac:dyDescent="0.3">
      <c r="A437" t="s">
        <v>1231</v>
      </c>
      <c r="B437">
        <v>2054247993</v>
      </c>
      <c r="C437" t="s">
        <v>1232</v>
      </c>
      <c r="D437" t="s">
        <v>1233</v>
      </c>
      <c r="E437">
        <v>10</v>
      </c>
      <c r="F437" t="s">
        <v>51</v>
      </c>
      <c r="G437">
        <v>2</v>
      </c>
      <c r="H437">
        <v>4</v>
      </c>
      <c r="I437">
        <v>143.51</v>
      </c>
      <c r="J437" t="s">
        <v>21</v>
      </c>
      <c r="K437" t="s">
        <v>22</v>
      </c>
      <c r="L437">
        <v>6.56</v>
      </c>
      <c r="M437" t="s">
        <v>23</v>
      </c>
      <c r="N437" t="str">
        <f t="shared" si="24"/>
        <v>Van damme</v>
      </c>
      <c r="O437" t="str">
        <f t="shared" si="25"/>
        <v>Serge</v>
      </c>
      <c r="P437" t="e">
        <f t="shared" ca="1" si="26"/>
        <v>#NAME?</v>
      </c>
      <c r="Q437" t="str">
        <f t="shared" si="27"/>
        <v>Ontevreden</v>
      </c>
    </row>
    <row r="438" spans="1:17" x14ac:dyDescent="0.3">
      <c r="A438" t="s">
        <v>1234</v>
      </c>
      <c r="B438">
        <v>1035260332</v>
      </c>
      <c r="C438" t="s">
        <v>1235</v>
      </c>
      <c r="D438" t="s">
        <v>290</v>
      </c>
      <c r="E438">
        <v>86</v>
      </c>
      <c r="F438" t="s">
        <v>175</v>
      </c>
      <c r="G438">
        <v>2</v>
      </c>
      <c r="H438">
        <v>1</v>
      </c>
      <c r="I438">
        <v>99.19</v>
      </c>
      <c r="J438" t="s">
        <v>52</v>
      </c>
      <c r="K438" t="s">
        <v>57</v>
      </c>
      <c r="L438">
        <v>7.89</v>
      </c>
      <c r="M438" t="s">
        <v>34</v>
      </c>
      <c r="N438" t="str">
        <f t="shared" si="24"/>
        <v>Piron</v>
      </c>
      <c r="O438" t="str">
        <f t="shared" si="25"/>
        <v>Monique</v>
      </c>
      <c r="P438" t="e">
        <f t="shared" ca="1" si="26"/>
        <v>#NAME?</v>
      </c>
      <c r="Q438" t="str">
        <f t="shared" si="27"/>
        <v>Tevreden</v>
      </c>
    </row>
    <row r="439" spans="1:17" x14ac:dyDescent="0.3">
      <c r="A439" t="s">
        <v>1236</v>
      </c>
      <c r="B439">
        <v>2775109610</v>
      </c>
      <c r="C439" t="s">
        <v>1237</v>
      </c>
      <c r="D439" t="s">
        <v>1238</v>
      </c>
      <c r="E439">
        <v>40</v>
      </c>
      <c r="F439" t="s">
        <v>1239</v>
      </c>
      <c r="G439">
        <v>1</v>
      </c>
      <c r="H439">
        <v>1</v>
      </c>
      <c r="I439">
        <v>88.83</v>
      </c>
      <c r="J439" t="s">
        <v>47</v>
      </c>
      <c r="K439" t="s">
        <v>22</v>
      </c>
      <c r="L439">
        <v>5.28</v>
      </c>
      <c r="M439" t="s">
        <v>78</v>
      </c>
      <c r="N439" t="str">
        <f t="shared" si="24"/>
        <v>Claes</v>
      </c>
      <c r="O439" t="str">
        <f t="shared" si="25"/>
        <v>Claude</v>
      </c>
      <c r="P439" t="e">
        <f t="shared" ca="1" si="26"/>
        <v>#NAME?</v>
      </c>
      <c r="Q439" t="str">
        <f t="shared" si="27"/>
        <v>Ontevreden</v>
      </c>
    </row>
    <row r="440" spans="1:17" x14ac:dyDescent="0.3">
      <c r="A440" t="s">
        <v>1240</v>
      </c>
      <c r="B440">
        <v>845509945</v>
      </c>
      <c r="C440" t="s">
        <v>1241</v>
      </c>
      <c r="D440" t="s">
        <v>350</v>
      </c>
      <c r="E440">
        <v>4</v>
      </c>
      <c r="F440" t="s">
        <v>42</v>
      </c>
      <c r="G440">
        <v>2</v>
      </c>
      <c r="H440">
        <v>0</v>
      </c>
      <c r="I440">
        <v>55.84</v>
      </c>
      <c r="J440" t="s">
        <v>21</v>
      </c>
      <c r="K440" t="s">
        <v>29</v>
      </c>
      <c r="L440">
        <v>7.03</v>
      </c>
      <c r="M440" t="s">
        <v>23</v>
      </c>
      <c r="N440" t="str">
        <f t="shared" si="24"/>
        <v>Houben</v>
      </c>
      <c r="O440" t="str">
        <f t="shared" si="25"/>
        <v>Grazia</v>
      </c>
      <c r="P440" t="e">
        <f t="shared" ca="1" si="26"/>
        <v>#NAME?</v>
      </c>
      <c r="Q440" t="str">
        <f t="shared" si="27"/>
        <v>Tevreden</v>
      </c>
    </row>
    <row r="441" spans="1:17" x14ac:dyDescent="0.3">
      <c r="A441" t="s">
        <v>1242</v>
      </c>
      <c r="B441">
        <v>1112498333</v>
      </c>
      <c r="C441" t="s">
        <v>1243</v>
      </c>
      <c r="D441" t="s">
        <v>786</v>
      </c>
      <c r="E441">
        <v>37</v>
      </c>
      <c r="F441" t="s">
        <v>33</v>
      </c>
      <c r="G441">
        <v>1</v>
      </c>
      <c r="H441">
        <v>2</v>
      </c>
      <c r="I441">
        <v>145.25</v>
      </c>
      <c r="J441" t="s">
        <v>28</v>
      </c>
      <c r="K441" t="s">
        <v>29</v>
      </c>
      <c r="L441">
        <v>7.65</v>
      </c>
      <c r="M441" t="s">
        <v>23</v>
      </c>
      <c r="N441" t="str">
        <f t="shared" si="24"/>
        <v>Mortier</v>
      </c>
      <c r="O441" t="str">
        <f t="shared" si="25"/>
        <v>Antoine</v>
      </c>
      <c r="P441" t="e">
        <f t="shared" ca="1" si="26"/>
        <v>#NAME?</v>
      </c>
      <c r="Q441" t="str">
        <f t="shared" si="27"/>
        <v>Tevreden</v>
      </c>
    </row>
    <row r="442" spans="1:17" x14ac:dyDescent="0.3">
      <c r="A442" t="s">
        <v>1244</v>
      </c>
      <c r="B442">
        <v>9235029633</v>
      </c>
      <c r="C442" t="s">
        <v>1245</v>
      </c>
      <c r="D442" t="s">
        <v>1246</v>
      </c>
      <c r="E442">
        <v>41</v>
      </c>
      <c r="F442" t="s">
        <v>20</v>
      </c>
      <c r="G442">
        <v>3</v>
      </c>
      <c r="H442">
        <v>0</v>
      </c>
      <c r="I442">
        <v>105.77</v>
      </c>
      <c r="J442" t="s">
        <v>77</v>
      </c>
      <c r="K442" t="s">
        <v>29</v>
      </c>
      <c r="L442">
        <v>6.82</v>
      </c>
      <c r="M442" t="s">
        <v>23</v>
      </c>
      <c r="N442" t="str">
        <f t="shared" si="24"/>
        <v>Wouters</v>
      </c>
      <c r="O442" t="str">
        <f t="shared" si="25"/>
        <v>Marcel</v>
      </c>
      <c r="P442" t="e">
        <f t="shared" ca="1" si="26"/>
        <v>#NAME?</v>
      </c>
      <c r="Q442" t="str">
        <f t="shared" si="27"/>
        <v>Ontevreden</v>
      </c>
    </row>
    <row r="443" spans="1:17" x14ac:dyDescent="0.3">
      <c r="A443" t="s">
        <v>1247</v>
      </c>
      <c r="B443">
        <v>2463884529</v>
      </c>
      <c r="C443" t="s">
        <v>1248</v>
      </c>
      <c r="D443" t="s">
        <v>244</v>
      </c>
      <c r="E443">
        <v>101</v>
      </c>
      <c r="F443" t="s">
        <v>27</v>
      </c>
      <c r="G443">
        <v>3</v>
      </c>
      <c r="H443">
        <v>2</v>
      </c>
      <c r="I443">
        <v>178.55</v>
      </c>
      <c r="J443" t="s">
        <v>21</v>
      </c>
      <c r="K443" t="s">
        <v>22</v>
      </c>
      <c r="L443">
        <v>7.02</v>
      </c>
      <c r="M443" t="s">
        <v>23</v>
      </c>
      <c r="N443" t="str">
        <f t="shared" si="24"/>
        <v>Vandaele</v>
      </c>
      <c r="O443" t="str">
        <f t="shared" si="25"/>
        <v>Jolanda</v>
      </c>
      <c r="P443" t="e">
        <f t="shared" ca="1" si="26"/>
        <v>#NAME?</v>
      </c>
      <c r="Q443" t="str">
        <f t="shared" si="27"/>
        <v>Tevreden</v>
      </c>
    </row>
    <row r="444" spans="1:17" x14ac:dyDescent="0.3">
      <c r="A444" t="s">
        <v>1249</v>
      </c>
      <c r="B444">
        <v>6752400133</v>
      </c>
      <c r="C444" t="s">
        <v>1250</v>
      </c>
      <c r="D444" t="s">
        <v>37</v>
      </c>
      <c r="E444">
        <v>10</v>
      </c>
      <c r="F444" t="s">
        <v>115</v>
      </c>
      <c r="G444">
        <v>1</v>
      </c>
      <c r="H444">
        <v>0</v>
      </c>
      <c r="I444">
        <v>64.86</v>
      </c>
      <c r="J444" t="s">
        <v>77</v>
      </c>
      <c r="K444" t="s">
        <v>57</v>
      </c>
      <c r="L444">
        <v>6.75</v>
      </c>
      <c r="M444" t="s">
        <v>23</v>
      </c>
      <c r="N444" t="str">
        <f t="shared" si="24"/>
        <v>Gilles</v>
      </c>
      <c r="O444" t="str">
        <f t="shared" si="25"/>
        <v>Isabelle</v>
      </c>
      <c r="P444" t="e">
        <f t="shared" ca="1" si="26"/>
        <v>#NAME?</v>
      </c>
      <c r="Q444" t="str">
        <f t="shared" si="27"/>
        <v>Ontevreden</v>
      </c>
    </row>
    <row r="445" spans="1:17" x14ac:dyDescent="0.3">
      <c r="A445" t="s">
        <v>1251</v>
      </c>
      <c r="B445">
        <v>3363200988</v>
      </c>
      <c r="C445" t="s">
        <v>1252</v>
      </c>
      <c r="D445" t="s">
        <v>241</v>
      </c>
      <c r="E445">
        <v>5</v>
      </c>
      <c r="F445" t="s">
        <v>27</v>
      </c>
      <c r="G445">
        <v>2</v>
      </c>
      <c r="H445">
        <v>0</v>
      </c>
      <c r="I445">
        <v>57.07</v>
      </c>
      <c r="J445" t="s">
        <v>21</v>
      </c>
      <c r="K445" t="s">
        <v>22</v>
      </c>
      <c r="L445">
        <v>8.4499999999999993</v>
      </c>
      <c r="M445" t="s">
        <v>34</v>
      </c>
      <c r="N445" t="str">
        <f t="shared" si="24"/>
        <v>Dufour</v>
      </c>
      <c r="O445" t="str">
        <f t="shared" si="25"/>
        <v>Stivan</v>
      </c>
      <c r="P445" t="e">
        <f t="shared" ca="1" si="26"/>
        <v>#NAME?</v>
      </c>
      <c r="Q445" t="str">
        <f t="shared" si="27"/>
        <v>Tevreden</v>
      </c>
    </row>
    <row r="446" spans="1:17" x14ac:dyDescent="0.3">
      <c r="A446" t="s">
        <v>1253</v>
      </c>
      <c r="B446">
        <v>802088759</v>
      </c>
      <c r="C446" t="s">
        <v>1254</v>
      </c>
      <c r="D446" t="s">
        <v>1255</v>
      </c>
      <c r="E446">
        <v>18</v>
      </c>
      <c r="F446" t="s">
        <v>115</v>
      </c>
      <c r="G446">
        <v>2</v>
      </c>
      <c r="H446">
        <v>4</v>
      </c>
      <c r="I446">
        <v>141.71</v>
      </c>
      <c r="J446" t="s">
        <v>52</v>
      </c>
      <c r="K446" t="s">
        <v>22</v>
      </c>
      <c r="L446">
        <v>8.1</v>
      </c>
      <c r="M446" t="s">
        <v>34</v>
      </c>
      <c r="N446" t="str">
        <f t="shared" si="24"/>
        <v>Noel</v>
      </c>
      <c r="O446" t="str">
        <f t="shared" si="25"/>
        <v>Sven</v>
      </c>
      <c r="P446" t="e">
        <f t="shared" ca="1" si="26"/>
        <v>#NAME?</v>
      </c>
      <c r="Q446" t="str">
        <f t="shared" si="27"/>
        <v>Tevreden</v>
      </c>
    </row>
    <row r="447" spans="1:17" x14ac:dyDescent="0.3">
      <c r="A447" t="s">
        <v>1256</v>
      </c>
      <c r="B447">
        <v>5912575957</v>
      </c>
      <c r="C447" t="s">
        <v>1257</v>
      </c>
      <c r="D447" t="s">
        <v>1258</v>
      </c>
      <c r="E447">
        <v>62</v>
      </c>
      <c r="F447" t="s">
        <v>51</v>
      </c>
      <c r="G447">
        <v>3</v>
      </c>
      <c r="H447">
        <v>0</v>
      </c>
      <c r="I447">
        <v>128.72</v>
      </c>
      <c r="J447" t="s">
        <v>52</v>
      </c>
      <c r="K447" t="s">
        <v>102</v>
      </c>
      <c r="L447">
        <v>6.69</v>
      </c>
      <c r="M447" t="s">
        <v>23</v>
      </c>
      <c r="N447" t="str">
        <f t="shared" si="24"/>
        <v>Pauwels</v>
      </c>
      <c r="O447" t="str">
        <f t="shared" si="25"/>
        <v>Silvère</v>
      </c>
      <c r="P447" t="e">
        <f t="shared" ca="1" si="26"/>
        <v>#NAME?</v>
      </c>
      <c r="Q447" t="str">
        <f t="shared" si="27"/>
        <v>Ontevreden</v>
      </c>
    </row>
    <row r="448" spans="1:17" x14ac:dyDescent="0.3">
      <c r="A448" t="s">
        <v>1259</v>
      </c>
      <c r="B448">
        <v>5533056892</v>
      </c>
      <c r="C448" t="s">
        <v>1260</v>
      </c>
      <c r="D448" t="s">
        <v>1261</v>
      </c>
      <c r="E448">
        <v>40</v>
      </c>
      <c r="F448" t="s">
        <v>115</v>
      </c>
      <c r="G448">
        <v>2</v>
      </c>
      <c r="H448">
        <v>2</v>
      </c>
      <c r="I448">
        <v>81.709999999999994</v>
      </c>
      <c r="J448" t="s">
        <v>28</v>
      </c>
      <c r="K448" t="s">
        <v>29</v>
      </c>
      <c r="L448">
        <v>7.39</v>
      </c>
      <c r="M448" t="s">
        <v>23</v>
      </c>
      <c r="N448" t="str">
        <f t="shared" si="24"/>
        <v>Bauwens</v>
      </c>
      <c r="O448" t="str">
        <f t="shared" si="25"/>
        <v>Andrée</v>
      </c>
      <c r="P448" t="e">
        <f t="shared" ca="1" si="26"/>
        <v>#NAME?</v>
      </c>
      <c r="Q448" t="str">
        <f t="shared" si="27"/>
        <v>Tevreden</v>
      </c>
    </row>
    <row r="449" spans="1:17" x14ac:dyDescent="0.3">
      <c r="A449" t="s">
        <v>1262</v>
      </c>
      <c r="B449">
        <v>9787234258</v>
      </c>
      <c r="C449" t="s">
        <v>1263</v>
      </c>
      <c r="D449" t="s">
        <v>1264</v>
      </c>
      <c r="E449">
        <v>11</v>
      </c>
      <c r="F449" t="s">
        <v>65</v>
      </c>
      <c r="G449">
        <v>1</v>
      </c>
      <c r="H449">
        <v>0</v>
      </c>
      <c r="I449">
        <v>49.45</v>
      </c>
      <c r="J449" t="s">
        <v>28</v>
      </c>
      <c r="K449" t="s">
        <v>29</v>
      </c>
      <c r="L449">
        <v>6.94</v>
      </c>
      <c r="M449" t="s">
        <v>23</v>
      </c>
      <c r="N449" t="str">
        <f t="shared" si="24"/>
        <v>Maes</v>
      </c>
      <c r="O449" t="str">
        <f t="shared" si="25"/>
        <v>Anthony</v>
      </c>
      <c r="P449" t="e">
        <f t="shared" ca="1" si="26"/>
        <v>#NAME?</v>
      </c>
      <c r="Q449" t="str">
        <f t="shared" si="27"/>
        <v>Ontevreden</v>
      </c>
    </row>
    <row r="450" spans="1:17" x14ac:dyDescent="0.3">
      <c r="A450" t="s">
        <v>1265</v>
      </c>
      <c r="B450">
        <v>2741074420</v>
      </c>
      <c r="C450" t="s">
        <v>1266</v>
      </c>
      <c r="D450" t="s">
        <v>1267</v>
      </c>
      <c r="E450">
        <v>47</v>
      </c>
      <c r="F450" t="s">
        <v>219</v>
      </c>
      <c r="G450">
        <v>2</v>
      </c>
      <c r="H450">
        <v>3</v>
      </c>
      <c r="I450">
        <v>151.54</v>
      </c>
      <c r="J450" t="s">
        <v>28</v>
      </c>
      <c r="K450" t="s">
        <v>22</v>
      </c>
      <c r="L450">
        <v>8.2200000000000006</v>
      </c>
      <c r="M450" t="s">
        <v>34</v>
      </c>
      <c r="N450" t="str">
        <f t="shared" ref="N450:N513" si="28">LEFT(A450, FIND(",", A450)-1)</f>
        <v>Verbeke</v>
      </c>
      <c r="O450" t="str">
        <f t="shared" ref="O450:O513" si="29">MID(A450, FIND(",", A450)+2, LEN(A450))</f>
        <v>Birgit</v>
      </c>
      <c r="P450" t="e">
        <f t="shared" ref="P450:P513" ca="1" si="30">SWITCH(J450, "Zelden", 1, "Af en toe", 4, "Regelmatig", 8, "Vaak", 12)</f>
        <v>#NAME?</v>
      </c>
      <c r="Q450" t="str">
        <f t="shared" ref="Q450:Q513" si="31">IF(L450&gt;=7, "Tevreden", "Ontevreden")</f>
        <v>Tevreden</v>
      </c>
    </row>
    <row r="451" spans="1:17" x14ac:dyDescent="0.3">
      <c r="A451" t="s">
        <v>1268</v>
      </c>
      <c r="B451">
        <v>5341454855</v>
      </c>
      <c r="C451" t="s">
        <v>1269</v>
      </c>
      <c r="D451" t="s">
        <v>520</v>
      </c>
      <c r="E451">
        <v>103</v>
      </c>
      <c r="F451" t="s">
        <v>189</v>
      </c>
      <c r="G451">
        <v>2</v>
      </c>
      <c r="H451">
        <v>2</v>
      </c>
      <c r="I451">
        <v>202.91</v>
      </c>
      <c r="J451" t="s">
        <v>21</v>
      </c>
      <c r="K451" t="s">
        <v>22</v>
      </c>
      <c r="L451">
        <v>6.13</v>
      </c>
      <c r="M451" t="s">
        <v>78</v>
      </c>
      <c r="N451" t="str">
        <f t="shared" si="28"/>
        <v>Descamps</v>
      </c>
      <c r="O451" t="str">
        <f t="shared" si="29"/>
        <v>Valerie</v>
      </c>
      <c r="P451" t="e">
        <f t="shared" ca="1" si="30"/>
        <v>#NAME?</v>
      </c>
      <c r="Q451" t="str">
        <f t="shared" si="31"/>
        <v>Ontevreden</v>
      </c>
    </row>
    <row r="452" spans="1:17" x14ac:dyDescent="0.3">
      <c r="A452" t="s">
        <v>1270</v>
      </c>
      <c r="B452">
        <v>2692336636</v>
      </c>
      <c r="C452" t="s">
        <v>1271</v>
      </c>
      <c r="D452" t="s">
        <v>1272</v>
      </c>
      <c r="E452">
        <v>114</v>
      </c>
      <c r="F452" t="s">
        <v>219</v>
      </c>
      <c r="G452">
        <v>1</v>
      </c>
      <c r="H452">
        <v>0</v>
      </c>
      <c r="I452">
        <v>46.88</v>
      </c>
      <c r="J452" t="s">
        <v>47</v>
      </c>
      <c r="K452" t="s">
        <v>22</v>
      </c>
      <c r="L452">
        <v>7.36</v>
      </c>
      <c r="M452" t="s">
        <v>23</v>
      </c>
      <c r="N452" t="str">
        <f t="shared" si="28"/>
        <v>Dupont</v>
      </c>
      <c r="O452" t="str">
        <f t="shared" si="29"/>
        <v>Elza</v>
      </c>
      <c r="P452" t="e">
        <f t="shared" ca="1" si="30"/>
        <v>#NAME?</v>
      </c>
      <c r="Q452" t="str">
        <f t="shared" si="31"/>
        <v>Tevreden</v>
      </c>
    </row>
    <row r="453" spans="1:17" x14ac:dyDescent="0.3">
      <c r="A453" t="s">
        <v>1273</v>
      </c>
      <c r="B453">
        <v>373659541</v>
      </c>
      <c r="C453" t="s">
        <v>1257</v>
      </c>
      <c r="D453" t="s">
        <v>1098</v>
      </c>
      <c r="E453">
        <v>9</v>
      </c>
      <c r="F453" t="s">
        <v>46</v>
      </c>
      <c r="G453">
        <v>1</v>
      </c>
      <c r="H453">
        <v>0</v>
      </c>
      <c r="I453">
        <v>35.96</v>
      </c>
      <c r="J453" t="s">
        <v>47</v>
      </c>
      <c r="K453" t="s">
        <v>29</v>
      </c>
      <c r="L453">
        <v>8.42</v>
      </c>
      <c r="M453" t="s">
        <v>34</v>
      </c>
      <c r="N453" t="str">
        <f t="shared" si="28"/>
        <v>Vandevelde</v>
      </c>
      <c r="O453" t="str">
        <f t="shared" si="29"/>
        <v>Asif</v>
      </c>
      <c r="P453" t="e">
        <f t="shared" ca="1" si="30"/>
        <v>#NAME?</v>
      </c>
      <c r="Q453" t="str">
        <f t="shared" si="31"/>
        <v>Tevreden</v>
      </c>
    </row>
    <row r="454" spans="1:17" x14ac:dyDescent="0.3">
      <c r="A454" t="s">
        <v>1274</v>
      </c>
      <c r="B454">
        <v>7087494821</v>
      </c>
      <c r="C454" t="s">
        <v>1275</v>
      </c>
      <c r="D454" t="s">
        <v>841</v>
      </c>
      <c r="E454">
        <v>14</v>
      </c>
      <c r="F454" t="s">
        <v>1239</v>
      </c>
      <c r="G454">
        <v>1</v>
      </c>
      <c r="H454">
        <v>2</v>
      </c>
      <c r="I454">
        <v>61.81</v>
      </c>
      <c r="J454" t="s">
        <v>77</v>
      </c>
      <c r="K454" t="s">
        <v>29</v>
      </c>
      <c r="L454">
        <v>7.29</v>
      </c>
      <c r="M454" t="s">
        <v>23</v>
      </c>
      <c r="N454" t="str">
        <f t="shared" si="28"/>
        <v>Dubois</v>
      </c>
      <c r="O454" t="str">
        <f t="shared" si="29"/>
        <v>Dany</v>
      </c>
      <c r="P454" t="e">
        <f t="shared" ca="1" si="30"/>
        <v>#NAME?</v>
      </c>
      <c r="Q454" t="str">
        <f t="shared" si="31"/>
        <v>Tevreden</v>
      </c>
    </row>
    <row r="455" spans="1:17" x14ac:dyDescent="0.3">
      <c r="A455" t="s">
        <v>1276</v>
      </c>
      <c r="B455">
        <v>6753697211</v>
      </c>
      <c r="C455" t="s">
        <v>1277</v>
      </c>
      <c r="D455" t="s">
        <v>1039</v>
      </c>
      <c r="E455">
        <v>24</v>
      </c>
      <c r="F455" t="s">
        <v>98</v>
      </c>
      <c r="G455">
        <v>2</v>
      </c>
      <c r="H455">
        <v>0</v>
      </c>
      <c r="I455">
        <v>42.17</v>
      </c>
      <c r="J455" t="s">
        <v>21</v>
      </c>
      <c r="K455" t="s">
        <v>29</v>
      </c>
      <c r="L455">
        <v>7.24</v>
      </c>
      <c r="M455" t="s">
        <v>23</v>
      </c>
      <c r="N455" t="str">
        <f t="shared" si="28"/>
        <v>Evrard</v>
      </c>
      <c r="O455" t="str">
        <f t="shared" si="29"/>
        <v>Cezar</v>
      </c>
      <c r="P455" t="e">
        <f t="shared" ca="1" si="30"/>
        <v>#NAME?</v>
      </c>
      <c r="Q455" t="str">
        <f t="shared" si="31"/>
        <v>Tevreden</v>
      </c>
    </row>
    <row r="456" spans="1:17" x14ac:dyDescent="0.3">
      <c r="A456" t="s">
        <v>1278</v>
      </c>
      <c r="B456">
        <v>3484040952</v>
      </c>
      <c r="C456" t="s">
        <v>1279</v>
      </c>
      <c r="D456" t="s">
        <v>615</v>
      </c>
      <c r="E456">
        <v>58</v>
      </c>
      <c r="F456" t="s">
        <v>858</v>
      </c>
      <c r="G456">
        <v>2</v>
      </c>
      <c r="H456">
        <v>0</v>
      </c>
      <c r="I456">
        <v>84.67</v>
      </c>
      <c r="J456" t="s">
        <v>52</v>
      </c>
      <c r="K456" t="s">
        <v>29</v>
      </c>
      <c r="L456">
        <v>7.06</v>
      </c>
      <c r="M456" t="s">
        <v>23</v>
      </c>
      <c r="N456" t="str">
        <f t="shared" si="28"/>
        <v>Aerts</v>
      </c>
      <c r="O456" t="str">
        <f t="shared" si="29"/>
        <v>Wilfried</v>
      </c>
      <c r="P456" t="e">
        <f t="shared" ca="1" si="30"/>
        <v>#NAME?</v>
      </c>
      <c r="Q456" t="str">
        <f t="shared" si="31"/>
        <v>Tevreden</v>
      </c>
    </row>
    <row r="457" spans="1:17" x14ac:dyDescent="0.3">
      <c r="A457" t="s">
        <v>1280</v>
      </c>
      <c r="B457">
        <v>5127473420</v>
      </c>
      <c r="C457" t="s">
        <v>1281</v>
      </c>
      <c r="D457" t="s">
        <v>1282</v>
      </c>
      <c r="E457">
        <v>69</v>
      </c>
      <c r="F457" t="s">
        <v>33</v>
      </c>
      <c r="G457">
        <v>2</v>
      </c>
      <c r="H457">
        <v>2</v>
      </c>
      <c r="I457">
        <v>134.11000000000001</v>
      </c>
      <c r="J457" t="s">
        <v>47</v>
      </c>
      <c r="K457" t="s">
        <v>29</v>
      </c>
      <c r="L457">
        <v>7.12</v>
      </c>
      <c r="M457" t="s">
        <v>23</v>
      </c>
      <c r="N457" t="str">
        <f t="shared" si="28"/>
        <v>De schepper</v>
      </c>
      <c r="O457" t="str">
        <f t="shared" si="29"/>
        <v>Thierry</v>
      </c>
      <c r="P457" t="e">
        <f t="shared" ca="1" si="30"/>
        <v>#NAME?</v>
      </c>
      <c r="Q457" t="str">
        <f t="shared" si="31"/>
        <v>Tevreden</v>
      </c>
    </row>
    <row r="458" spans="1:17" x14ac:dyDescent="0.3">
      <c r="A458" t="s">
        <v>1283</v>
      </c>
      <c r="B458">
        <v>6454188188</v>
      </c>
      <c r="C458" t="s">
        <v>1284</v>
      </c>
      <c r="D458" t="s">
        <v>408</v>
      </c>
      <c r="E458">
        <v>9</v>
      </c>
      <c r="F458" t="s">
        <v>858</v>
      </c>
      <c r="G458">
        <v>1</v>
      </c>
      <c r="H458">
        <v>0</v>
      </c>
      <c r="I458">
        <v>16.68</v>
      </c>
      <c r="J458" t="s">
        <v>77</v>
      </c>
      <c r="K458" t="s">
        <v>29</v>
      </c>
      <c r="L458">
        <v>7.78</v>
      </c>
      <c r="M458" t="s">
        <v>23</v>
      </c>
      <c r="N458" t="str">
        <f t="shared" si="28"/>
        <v>Verschueren</v>
      </c>
      <c r="O458" t="str">
        <f t="shared" si="29"/>
        <v>Linda</v>
      </c>
      <c r="P458" t="e">
        <f t="shared" ca="1" si="30"/>
        <v>#NAME?</v>
      </c>
      <c r="Q458" t="str">
        <f t="shared" si="31"/>
        <v>Tevreden</v>
      </c>
    </row>
    <row r="459" spans="1:17" x14ac:dyDescent="0.3">
      <c r="A459" t="s">
        <v>1285</v>
      </c>
      <c r="B459">
        <v>7038234443</v>
      </c>
      <c r="C459" t="s">
        <v>1286</v>
      </c>
      <c r="D459" t="s">
        <v>1287</v>
      </c>
      <c r="E459">
        <v>28</v>
      </c>
      <c r="F459" t="s">
        <v>65</v>
      </c>
      <c r="G459">
        <v>1</v>
      </c>
      <c r="H459">
        <v>0</v>
      </c>
      <c r="I459">
        <v>28.96</v>
      </c>
      <c r="J459" t="s">
        <v>52</v>
      </c>
      <c r="K459" t="s">
        <v>29</v>
      </c>
      <c r="L459">
        <v>6.98</v>
      </c>
      <c r="M459" t="s">
        <v>23</v>
      </c>
      <c r="N459" t="str">
        <f t="shared" si="28"/>
        <v>Delvaux</v>
      </c>
      <c r="O459" t="str">
        <f t="shared" si="29"/>
        <v>Danaé</v>
      </c>
      <c r="P459" t="e">
        <f t="shared" ca="1" si="30"/>
        <v>#NAME?</v>
      </c>
      <c r="Q459" t="str">
        <f t="shared" si="31"/>
        <v>Ontevreden</v>
      </c>
    </row>
    <row r="460" spans="1:17" x14ac:dyDescent="0.3">
      <c r="A460" t="s">
        <v>1288</v>
      </c>
      <c r="B460">
        <v>3424096615</v>
      </c>
      <c r="C460" t="s">
        <v>1289</v>
      </c>
      <c r="D460" t="s">
        <v>394</v>
      </c>
      <c r="E460">
        <v>3</v>
      </c>
      <c r="F460" t="s">
        <v>33</v>
      </c>
      <c r="G460">
        <v>2</v>
      </c>
      <c r="H460">
        <v>0</v>
      </c>
      <c r="I460">
        <v>79.98</v>
      </c>
      <c r="J460" t="s">
        <v>77</v>
      </c>
      <c r="K460" t="s">
        <v>22</v>
      </c>
      <c r="L460">
        <v>6.94</v>
      </c>
      <c r="M460" t="s">
        <v>23</v>
      </c>
      <c r="N460" t="str">
        <f t="shared" si="28"/>
        <v>De moor</v>
      </c>
      <c r="O460" t="str">
        <f t="shared" si="29"/>
        <v>Bilal</v>
      </c>
      <c r="P460" t="e">
        <f t="shared" ca="1" si="30"/>
        <v>#NAME?</v>
      </c>
      <c r="Q460" t="str">
        <f t="shared" si="31"/>
        <v>Ontevreden</v>
      </c>
    </row>
    <row r="461" spans="1:17" x14ac:dyDescent="0.3">
      <c r="A461" t="s">
        <v>1290</v>
      </c>
      <c r="B461">
        <v>3453791455</v>
      </c>
      <c r="C461" t="s">
        <v>1291</v>
      </c>
      <c r="D461" t="s">
        <v>1292</v>
      </c>
      <c r="E461">
        <v>26</v>
      </c>
      <c r="F461" t="s">
        <v>219</v>
      </c>
      <c r="G461">
        <v>1</v>
      </c>
      <c r="H461">
        <v>0</v>
      </c>
      <c r="I461">
        <v>81.17</v>
      </c>
      <c r="J461" t="s">
        <v>28</v>
      </c>
      <c r="K461" t="s">
        <v>22</v>
      </c>
      <c r="L461">
        <v>7.16</v>
      </c>
      <c r="M461" t="s">
        <v>23</v>
      </c>
      <c r="N461" t="str">
        <f t="shared" si="28"/>
        <v>Poppe</v>
      </c>
      <c r="O461" t="str">
        <f t="shared" si="29"/>
        <v>Lyliane</v>
      </c>
      <c r="P461" t="e">
        <f t="shared" ca="1" si="30"/>
        <v>#NAME?</v>
      </c>
      <c r="Q461" t="str">
        <f t="shared" si="31"/>
        <v>Tevreden</v>
      </c>
    </row>
    <row r="462" spans="1:17" x14ac:dyDescent="0.3">
      <c r="A462" t="s">
        <v>1293</v>
      </c>
      <c r="B462">
        <v>9892776463</v>
      </c>
      <c r="C462" t="s">
        <v>611</v>
      </c>
      <c r="D462" t="s">
        <v>1126</v>
      </c>
      <c r="E462">
        <v>16</v>
      </c>
      <c r="F462" t="s">
        <v>189</v>
      </c>
      <c r="G462">
        <v>2</v>
      </c>
      <c r="H462">
        <v>1</v>
      </c>
      <c r="I462">
        <v>113.45</v>
      </c>
      <c r="J462" t="s">
        <v>28</v>
      </c>
      <c r="K462" t="s">
        <v>22</v>
      </c>
      <c r="L462">
        <v>6.73</v>
      </c>
      <c r="M462" t="s">
        <v>23</v>
      </c>
      <c r="N462" t="str">
        <f t="shared" si="28"/>
        <v>Goffin</v>
      </c>
      <c r="O462" t="str">
        <f t="shared" si="29"/>
        <v>Abdelali</v>
      </c>
      <c r="P462" t="e">
        <f t="shared" ca="1" si="30"/>
        <v>#NAME?</v>
      </c>
      <c r="Q462" t="str">
        <f t="shared" si="31"/>
        <v>Ontevreden</v>
      </c>
    </row>
    <row r="463" spans="1:17" x14ac:dyDescent="0.3">
      <c r="A463" t="s">
        <v>1294</v>
      </c>
      <c r="B463">
        <v>4555142820</v>
      </c>
      <c r="C463" t="s">
        <v>1295</v>
      </c>
      <c r="D463" t="s">
        <v>1296</v>
      </c>
      <c r="E463">
        <v>3</v>
      </c>
      <c r="F463" t="s">
        <v>33</v>
      </c>
      <c r="G463">
        <v>1</v>
      </c>
      <c r="H463">
        <v>0</v>
      </c>
      <c r="I463">
        <v>41.29</v>
      </c>
      <c r="J463" t="s">
        <v>77</v>
      </c>
      <c r="K463" t="s">
        <v>57</v>
      </c>
      <c r="L463">
        <v>7.13</v>
      </c>
      <c r="M463" t="s">
        <v>23</v>
      </c>
      <c r="N463" t="str">
        <f t="shared" si="28"/>
        <v>Masson</v>
      </c>
      <c r="O463" t="str">
        <f t="shared" si="29"/>
        <v>Abdelhak</v>
      </c>
      <c r="P463" t="e">
        <f t="shared" ca="1" si="30"/>
        <v>#NAME?</v>
      </c>
      <c r="Q463" t="str">
        <f t="shared" si="31"/>
        <v>Tevreden</v>
      </c>
    </row>
    <row r="464" spans="1:17" x14ac:dyDescent="0.3">
      <c r="A464" t="s">
        <v>1297</v>
      </c>
      <c r="B464">
        <v>4587047647</v>
      </c>
      <c r="C464" t="s">
        <v>1298</v>
      </c>
      <c r="D464" t="s">
        <v>1299</v>
      </c>
      <c r="E464">
        <v>41</v>
      </c>
      <c r="F464" t="s">
        <v>27</v>
      </c>
      <c r="G464">
        <v>2</v>
      </c>
      <c r="H464">
        <v>5</v>
      </c>
      <c r="I464">
        <v>120.71</v>
      </c>
      <c r="J464" t="s">
        <v>52</v>
      </c>
      <c r="K464" t="s">
        <v>22</v>
      </c>
      <c r="L464">
        <v>7.28</v>
      </c>
      <c r="M464" t="s">
        <v>23</v>
      </c>
      <c r="N464" t="str">
        <f t="shared" si="28"/>
        <v>Dewaele</v>
      </c>
      <c r="O464" t="str">
        <f t="shared" si="29"/>
        <v>Mehdy</v>
      </c>
      <c r="P464" t="e">
        <f t="shared" ca="1" si="30"/>
        <v>#NAME?</v>
      </c>
      <c r="Q464" t="str">
        <f t="shared" si="31"/>
        <v>Tevreden</v>
      </c>
    </row>
    <row r="465" spans="1:17" x14ac:dyDescent="0.3">
      <c r="A465" t="s">
        <v>1300</v>
      </c>
      <c r="B465">
        <v>3529400873</v>
      </c>
      <c r="C465" t="s">
        <v>1301</v>
      </c>
      <c r="D465" t="s">
        <v>1267</v>
      </c>
      <c r="E465">
        <v>1</v>
      </c>
      <c r="F465" t="s">
        <v>171</v>
      </c>
      <c r="G465">
        <v>1</v>
      </c>
      <c r="H465">
        <v>0</v>
      </c>
      <c r="I465">
        <v>40.28</v>
      </c>
      <c r="J465" t="s">
        <v>28</v>
      </c>
      <c r="K465" t="s">
        <v>22</v>
      </c>
      <c r="L465">
        <v>7.34</v>
      </c>
      <c r="M465" t="s">
        <v>23</v>
      </c>
      <c r="N465" t="str">
        <f t="shared" si="28"/>
        <v>Collard</v>
      </c>
      <c r="O465" t="str">
        <f t="shared" si="29"/>
        <v>Leontien</v>
      </c>
      <c r="P465" t="e">
        <f t="shared" ca="1" si="30"/>
        <v>#NAME?</v>
      </c>
      <c r="Q465" t="str">
        <f t="shared" si="31"/>
        <v>Tevreden</v>
      </c>
    </row>
    <row r="466" spans="1:17" x14ac:dyDescent="0.3">
      <c r="A466" t="s">
        <v>1302</v>
      </c>
      <c r="B466">
        <v>6499200452</v>
      </c>
      <c r="C466" t="s">
        <v>1303</v>
      </c>
      <c r="D466" t="s">
        <v>1228</v>
      </c>
      <c r="E466">
        <v>85</v>
      </c>
      <c r="F466" t="s">
        <v>229</v>
      </c>
      <c r="G466">
        <v>2</v>
      </c>
      <c r="H466">
        <v>4</v>
      </c>
      <c r="I466">
        <v>196.82</v>
      </c>
      <c r="J466" t="s">
        <v>28</v>
      </c>
      <c r="K466" t="s">
        <v>102</v>
      </c>
      <c r="L466">
        <v>7.05</v>
      </c>
      <c r="M466" t="s">
        <v>23</v>
      </c>
      <c r="N466" t="str">
        <f t="shared" si="28"/>
        <v>Marchal</v>
      </c>
      <c r="O466" t="str">
        <f t="shared" si="29"/>
        <v>Marie</v>
      </c>
      <c r="P466" t="e">
        <f t="shared" ca="1" si="30"/>
        <v>#NAME?</v>
      </c>
      <c r="Q466" t="str">
        <f t="shared" si="31"/>
        <v>Tevreden</v>
      </c>
    </row>
    <row r="467" spans="1:17" x14ac:dyDescent="0.3">
      <c r="A467" t="s">
        <v>1304</v>
      </c>
      <c r="B467">
        <v>6521364854</v>
      </c>
      <c r="C467" t="s">
        <v>1305</v>
      </c>
      <c r="D467" t="s">
        <v>209</v>
      </c>
      <c r="E467">
        <v>98</v>
      </c>
      <c r="F467" t="s">
        <v>61</v>
      </c>
      <c r="G467">
        <v>4</v>
      </c>
      <c r="H467">
        <v>0</v>
      </c>
      <c r="I467">
        <v>146.75</v>
      </c>
      <c r="J467" t="s">
        <v>77</v>
      </c>
      <c r="K467" t="s">
        <v>57</v>
      </c>
      <c r="L467">
        <v>7.31</v>
      </c>
      <c r="M467" t="s">
        <v>23</v>
      </c>
      <c r="N467" t="str">
        <f t="shared" si="28"/>
        <v>Laurent</v>
      </c>
      <c r="O467" t="str">
        <f t="shared" si="29"/>
        <v>Romain</v>
      </c>
      <c r="P467" t="e">
        <f t="shared" ca="1" si="30"/>
        <v>#NAME?</v>
      </c>
      <c r="Q467" t="str">
        <f t="shared" si="31"/>
        <v>Tevreden</v>
      </c>
    </row>
    <row r="468" spans="1:17" x14ac:dyDescent="0.3">
      <c r="A468" t="s">
        <v>1306</v>
      </c>
      <c r="B468">
        <v>8482312336</v>
      </c>
      <c r="C468" t="s">
        <v>1307</v>
      </c>
      <c r="D468" t="s">
        <v>1308</v>
      </c>
      <c r="E468">
        <v>41</v>
      </c>
      <c r="F468" t="s">
        <v>65</v>
      </c>
      <c r="G468">
        <v>1</v>
      </c>
      <c r="H468">
        <v>0</v>
      </c>
      <c r="I468">
        <v>84.08</v>
      </c>
      <c r="J468" t="s">
        <v>77</v>
      </c>
      <c r="K468" t="s">
        <v>57</v>
      </c>
      <c r="L468">
        <v>7.18</v>
      </c>
      <c r="M468" t="s">
        <v>23</v>
      </c>
      <c r="N468" t="str">
        <f t="shared" si="28"/>
        <v>Claes</v>
      </c>
      <c r="O468" t="str">
        <f t="shared" si="29"/>
        <v>Elif</v>
      </c>
      <c r="P468" t="e">
        <f t="shared" ca="1" si="30"/>
        <v>#NAME?</v>
      </c>
      <c r="Q468" t="str">
        <f t="shared" si="31"/>
        <v>Tevreden</v>
      </c>
    </row>
    <row r="469" spans="1:17" x14ac:dyDescent="0.3">
      <c r="A469" t="s">
        <v>1309</v>
      </c>
      <c r="B469">
        <v>6366684067</v>
      </c>
      <c r="C469" t="s">
        <v>1310</v>
      </c>
      <c r="D469" t="s">
        <v>1311</v>
      </c>
      <c r="E469">
        <v>71</v>
      </c>
      <c r="F469" t="s">
        <v>363</v>
      </c>
      <c r="G469">
        <v>2</v>
      </c>
      <c r="H469">
        <v>0</v>
      </c>
      <c r="I469">
        <v>92.11</v>
      </c>
      <c r="J469" t="s">
        <v>28</v>
      </c>
      <c r="K469" t="s">
        <v>29</v>
      </c>
      <c r="L469">
        <v>7.1</v>
      </c>
      <c r="M469" t="s">
        <v>23</v>
      </c>
      <c r="N469" t="str">
        <f t="shared" si="28"/>
        <v>Thys</v>
      </c>
      <c r="O469" t="str">
        <f t="shared" si="29"/>
        <v>Francis</v>
      </c>
      <c r="P469" t="e">
        <f t="shared" ca="1" si="30"/>
        <v>#NAME?</v>
      </c>
      <c r="Q469" t="str">
        <f t="shared" si="31"/>
        <v>Tevreden</v>
      </c>
    </row>
    <row r="470" spans="1:17" x14ac:dyDescent="0.3">
      <c r="A470" t="s">
        <v>1312</v>
      </c>
      <c r="B470">
        <v>1025065372</v>
      </c>
      <c r="C470" t="s">
        <v>1313</v>
      </c>
      <c r="D470" t="s">
        <v>1314</v>
      </c>
      <c r="E470">
        <v>55</v>
      </c>
      <c r="F470" t="s">
        <v>148</v>
      </c>
      <c r="G470">
        <v>1</v>
      </c>
      <c r="H470">
        <v>1</v>
      </c>
      <c r="I470">
        <v>100.53</v>
      </c>
      <c r="J470" t="s">
        <v>52</v>
      </c>
      <c r="K470" t="s">
        <v>29</v>
      </c>
      <c r="L470">
        <v>8.23</v>
      </c>
      <c r="M470" t="s">
        <v>34</v>
      </c>
      <c r="N470" t="str">
        <f t="shared" si="28"/>
        <v>Verhaeghe</v>
      </c>
      <c r="O470" t="str">
        <f t="shared" si="29"/>
        <v>Rudy</v>
      </c>
      <c r="P470" t="e">
        <f t="shared" ca="1" si="30"/>
        <v>#NAME?</v>
      </c>
      <c r="Q470" t="str">
        <f t="shared" si="31"/>
        <v>Tevreden</v>
      </c>
    </row>
    <row r="471" spans="1:17" x14ac:dyDescent="0.3">
      <c r="A471" t="s">
        <v>1315</v>
      </c>
      <c r="B471">
        <v>1877269813</v>
      </c>
      <c r="C471" t="s">
        <v>1316</v>
      </c>
      <c r="D471" t="s">
        <v>1081</v>
      </c>
      <c r="E471">
        <v>45</v>
      </c>
      <c r="F471" t="s">
        <v>115</v>
      </c>
      <c r="G471">
        <v>2</v>
      </c>
      <c r="H471">
        <v>0</v>
      </c>
      <c r="I471">
        <v>37.1</v>
      </c>
      <c r="J471" t="s">
        <v>47</v>
      </c>
      <c r="K471" t="s">
        <v>29</v>
      </c>
      <c r="L471">
        <v>6.93</v>
      </c>
      <c r="M471" t="s">
        <v>23</v>
      </c>
      <c r="N471" t="str">
        <f t="shared" si="28"/>
        <v>Bernard</v>
      </c>
      <c r="O471" t="str">
        <f t="shared" si="29"/>
        <v>Cathérine</v>
      </c>
      <c r="P471" t="e">
        <f t="shared" ca="1" si="30"/>
        <v>#NAME?</v>
      </c>
      <c r="Q471" t="str">
        <f t="shared" si="31"/>
        <v>Ontevreden</v>
      </c>
    </row>
    <row r="472" spans="1:17" x14ac:dyDescent="0.3">
      <c r="A472" t="s">
        <v>1317</v>
      </c>
      <c r="B472">
        <v>6799732191</v>
      </c>
      <c r="C472" t="s">
        <v>1318</v>
      </c>
      <c r="D472" t="s">
        <v>1319</v>
      </c>
      <c r="E472">
        <v>90</v>
      </c>
      <c r="F472" t="s">
        <v>144</v>
      </c>
      <c r="G472">
        <v>4</v>
      </c>
      <c r="H472">
        <v>2</v>
      </c>
      <c r="I472">
        <v>136.94999999999999</v>
      </c>
      <c r="J472" t="s">
        <v>77</v>
      </c>
      <c r="K472" t="s">
        <v>29</v>
      </c>
      <c r="L472">
        <v>7.1</v>
      </c>
      <c r="M472" t="s">
        <v>23</v>
      </c>
      <c r="N472" t="str">
        <f t="shared" si="28"/>
        <v>Bekaert</v>
      </c>
      <c r="O472" t="str">
        <f t="shared" si="29"/>
        <v>Célia</v>
      </c>
      <c r="P472" t="e">
        <f t="shared" ca="1" si="30"/>
        <v>#NAME?</v>
      </c>
      <c r="Q472" t="str">
        <f t="shared" si="31"/>
        <v>Tevreden</v>
      </c>
    </row>
    <row r="473" spans="1:17" x14ac:dyDescent="0.3">
      <c r="A473" t="s">
        <v>1320</v>
      </c>
      <c r="B473">
        <v>5352861959</v>
      </c>
      <c r="C473" t="s">
        <v>1321</v>
      </c>
      <c r="D473" t="s">
        <v>775</v>
      </c>
      <c r="E473">
        <v>9</v>
      </c>
      <c r="F473" t="s">
        <v>115</v>
      </c>
      <c r="G473">
        <v>3</v>
      </c>
      <c r="H473">
        <v>0</v>
      </c>
      <c r="I473">
        <v>144.65</v>
      </c>
      <c r="J473" t="s">
        <v>77</v>
      </c>
      <c r="K473" t="s">
        <v>22</v>
      </c>
      <c r="L473">
        <v>7.42</v>
      </c>
      <c r="M473" t="s">
        <v>23</v>
      </c>
      <c r="N473" t="str">
        <f t="shared" si="28"/>
        <v>Hendrickx</v>
      </c>
      <c r="O473" t="str">
        <f t="shared" si="29"/>
        <v>Solayman</v>
      </c>
      <c r="P473" t="e">
        <f t="shared" ca="1" si="30"/>
        <v>#NAME?</v>
      </c>
      <c r="Q473" t="str">
        <f t="shared" si="31"/>
        <v>Tevreden</v>
      </c>
    </row>
    <row r="474" spans="1:17" x14ac:dyDescent="0.3">
      <c r="A474" t="s">
        <v>1322</v>
      </c>
      <c r="B474">
        <v>9813947743</v>
      </c>
      <c r="C474" t="s">
        <v>1323</v>
      </c>
      <c r="D474" t="s">
        <v>1324</v>
      </c>
      <c r="E474">
        <v>10</v>
      </c>
      <c r="F474" t="s">
        <v>76</v>
      </c>
      <c r="G474">
        <v>1</v>
      </c>
      <c r="H474">
        <v>0</v>
      </c>
      <c r="I474">
        <v>91.96</v>
      </c>
      <c r="J474" t="s">
        <v>47</v>
      </c>
      <c r="K474" t="s">
        <v>57</v>
      </c>
      <c r="L474">
        <v>7.1</v>
      </c>
      <c r="M474" t="s">
        <v>23</v>
      </c>
      <c r="N474" t="str">
        <f t="shared" si="28"/>
        <v>Segers</v>
      </c>
      <c r="O474" t="str">
        <f t="shared" si="29"/>
        <v>Arnaldo</v>
      </c>
      <c r="P474" t="e">
        <f t="shared" ca="1" si="30"/>
        <v>#NAME?</v>
      </c>
      <c r="Q474" t="str">
        <f t="shared" si="31"/>
        <v>Tevreden</v>
      </c>
    </row>
    <row r="475" spans="1:17" x14ac:dyDescent="0.3">
      <c r="A475" t="s">
        <v>1325</v>
      </c>
      <c r="B475">
        <v>6872782549</v>
      </c>
      <c r="C475" t="s">
        <v>1326</v>
      </c>
      <c r="D475" t="s">
        <v>561</v>
      </c>
      <c r="E475">
        <v>26</v>
      </c>
      <c r="F475" t="s">
        <v>98</v>
      </c>
      <c r="G475">
        <v>2</v>
      </c>
      <c r="H475">
        <v>0</v>
      </c>
      <c r="I475">
        <v>117.79</v>
      </c>
      <c r="J475" t="s">
        <v>52</v>
      </c>
      <c r="K475" t="s">
        <v>22</v>
      </c>
      <c r="L475">
        <v>7.08</v>
      </c>
      <c r="M475" t="s">
        <v>23</v>
      </c>
      <c r="N475" t="str">
        <f t="shared" si="28"/>
        <v>De witte</v>
      </c>
      <c r="O475" t="str">
        <f t="shared" si="29"/>
        <v>Aurélien</v>
      </c>
      <c r="P475" t="e">
        <f t="shared" ca="1" si="30"/>
        <v>#NAME?</v>
      </c>
      <c r="Q475" t="str">
        <f t="shared" si="31"/>
        <v>Tevreden</v>
      </c>
    </row>
    <row r="476" spans="1:17" x14ac:dyDescent="0.3">
      <c r="A476" t="s">
        <v>1327</v>
      </c>
      <c r="B476">
        <v>7927827827</v>
      </c>
      <c r="C476" t="s">
        <v>1328</v>
      </c>
      <c r="D476" t="s">
        <v>192</v>
      </c>
      <c r="E476">
        <v>31</v>
      </c>
      <c r="F476" t="s">
        <v>175</v>
      </c>
      <c r="G476">
        <v>2</v>
      </c>
      <c r="H476">
        <v>0</v>
      </c>
      <c r="I476">
        <v>35.549999999999997</v>
      </c>
      <c r="J476" t="s">
        <v>21</v>
      </c>
      <c r="K476" t="s">
        <v>22</v>
      </c>
      <c r="L476">
        <v>7.26</v>
      </c>
      <c r="M476" t="s">
        <v>23</v>
      </c>
      <c r="N476" t="str">
        <f t="shared" si="28"/>
        <v>Francois</v>
      </c>
      <c r="O476" t="str">
        <f t="shared" si="29"/>
        <v>Conny</v>
      </c>
      <c r="P476" t="e">
        <f t="shared" ca="1" si="30"/>
        <v>#NAME?</v>
      </c>
      <c r="Q476" t="str">
        <f t="shared" si="31"/>
        <v>Tevreden</v>
      </c>
    </row>
    <row r="477" spans="1:17" x14ac:dyDescent="0.3">
      <c r="A477" t="s">
        <v>1329</v>
      </c>
      <c r="B477">
        <v>2343588834</v>
      </c>
      <c r="C477" t="s">
        <v>1330</v>
      </c>
      <c r="D477" t="s">
        <v>366</v>
      </c>
      <c r="E477">
        <v>70</v>
      </c>
      <c r="F477" t="s">
        <v>42</v>
      </c>
      <c r="G477">
        <v>2</v>
      </c>
      <c r="H477">
        <v>0</v>
      </c>
      <c r="I477">
        <v>80.03</v>
      </c>
      <c r="J477" t="s">
        <v>52</v>
      </c>
      <c r="K477" t="s">
        <v>29</v>
      </c>
      <c r="L477">
        <v>6.51</v>
      </c>
      <c r="M477" t="s">
        <v>78</v>
      </c>
      <c r="N477" t="str">
        <f t="shared" si="28"/>
        <v>De cock</v>
      </c>
      <c r="O477" t="str">
        <f t="shared" si="29"/>
        <v>Edward</v>
      </c>
      <c r="P477" t="e">
        <f t="shared" ca="1" si="30"/>
        <v>#NAME?</v>
      </c>
      <c r="Q477" t="str">
        <f t="shared" si="31"/>
        <v>Ontevreden</v>
      </c>
    </row>
    <row r="478" spans="1:17" x14ac:dyDescent="0.3">
      <c r="A478" t="s">
        <v>1331</v>
      </c>
      <c r="B478">
        <v>7675480255</v>
      </c>
      <c r="C478" t="s">
        <v>1332</v>
      </c>
      <c r="D478" t="s">
        <v>1333</v>
      </c>
      <c r="E478">
        <v>70</v>
      </c>
      <c r="F478" t="s">
        <v>46</v>
      </c>
      <c r="G478">
        <v>1</v>
      </c>
      <c r="H478">
        <v>0</v>
      </c>
      <c r="I478">
        <v>63.87</v>
      </c>
      <c r="J478" t="s">
        <v>77</v>
      </c>
      <c r="K478" t="s">
        <v>29</v>
      </c>
      <c r="L478">
        <v>7.43</v>
      </c>
      <c r="M478" t="s">
        <v>23</v>
      </c>
      <c r="N478" t="str">
        <f t="shared" si="28"/>
        <v>Vandendriessche</v>
      </c>
      <c r="O478" t="str">
        <f t="shared" si="29"/>
        <v>Lisanne</v>
      </c>
      <c r="P478" t="e">
        <f t="shared" ca="1" si="30"/>
        <v>#NAME?</v>
      </c>
      <c r="Q478" t="str">
        <f t="shared" si="31"/>
        <v>Tevreden</v>
      </c>
    </row>
    <row r="479" spans="1:17" x14ac:dyDescent="0.3">
      <c r="A479" t="s">
        <v>1334</v>
      </c>
      <c r="B479">
        <v>3466431477</v>
      </c>
      <c r="C479" t="s">
        <v>1335</v>
      </c>
      <c r="D479" t="s">
        <v>1336</v>
      </c>
      <c r="E479">
        <v>25</v>
      </c>
      <c r="F479" t="s">
        <v>82</v>
      </c>
      <c r="G479">
        <v>2</v>
      </c>
      <c r="H479">
        <v>1</v>
      </c>
      <c r="I479">
        <v>86.03</v>
      </c>
      <c r="J479" t="s">
        <v>28</v>
      </c>
      <c r="K479" t="s">
        <v>22</v>
      </c>
      <c r="L479">
        <v>8.5</v>
      </c>
      <c r="M479" t="s">
        <v>34</v>
      </c>
      <c r="N479" t="str">
        <f t="shared" si="28"/>
        <v>Mortier</v>
      </c>
      <c r="O479" t="str">
        <f t="shared" si="29"/>
        <v>Romain</v>
      </c>
      <c r="P479" t="e">
        <f t="shared" ca="1" si="30"/>
        <v>#NAME?</v>
      </c>
      <c r="Q479" t="str">
        <f t="shared" si="31"/>
        <v>Tevreden</v>
      </c>
    </row>
    <row r="480" spans="1:17" x14ac:dyDescent="0.3">
      <c r="A480" t="s">
        <v>1337</v>
      </c>
      <c r="B480">
        <v>3499712596</v>
      </c>
      <c r="C480" t="s">
        <v>1338</v>
      </c>
      <c r="D480" t="s">
        <v>1339</v>
      </c>
      <c r="E480">
        <v>23</v>
      </c>
      <c r="F480" t="s">
        <v>46</v>
      </c>
      <c r="G480">
        <v>1</v>
      </c>
      <c r="H480">
        <v>2</v>
      </c>
      <c r="I480">
        <v>137.25</v>
      </c>
      <c r="J480" t="s">
        <v>52</v>
      </c>
      <c r="K480" t="s">
        <v>57</v>
      </c>
      <c r="L480">
        <v>6.86</v>
      </c>
      <c r="M480" t="s">
        <v>23</v>
      </c>
      <c r="N480" t="str">
        <f t="shared" si="28"/>
        <v>Devos</v>
      </c>
      <c r="O480" t="str">
        <f t="shared" si="29"/>
        <v>Jelle</v>
      </c>
      <c r="P480" t="e">
        <f t="shared" ca="1" si="30"/>
        <v>#NAME?</v>
      </c>
      <c r="Q480" t="str">
        <f t="shared" si="31"/>
        <v>Ontevreden</v>
      </c>
    </row>
    <row r="481" spans="1:17" x14ac:dyDescent="0.3">
      <c r="A481" t="s">
        <v>1340</v>
      </c>
      <c r="B481">
        <v>8277147917</v>
      </c>
      <c r="C481" t="s">
        <v>1341</v>
      </c>
      <c r="D481" t="s">
        <v>333</v>
      </c>
      <c r="E481">
        <v>27</v>
      </c>
      <c r="F481" t="s">
        <v>115</v>
      </c>
      <c r="G481">
        <v>2</v>
      </c>
      <c r="H481">
        <v>0</v>
      </c>
      <c r="I481">
        <v>63.87</v>
      </c>
      <c r="J481" t="s">
        <v>47</v>
      </c>
      <c r="K481" t="s">
        <v>29</v>
      </c>
      <c r="L481">
        <v>7.22</v>
      </c>
      <c r="M481" t="s">
        <v>23</v>
      </c>
      <c r="N481" t="str">
        <f t="shared" si="28"/>
        <v>Leclercq</v>
      </c>
      <c r="O481" t="str">
        <f t="shared" si="29"/>
        <v>Carine</v>
      </c>
      <c r="P481" t="e">
        <f t="shared" ca="1" si="30"/>
        <v>#NAME?</v>
      </c>
      <c r="Q481" t="str">
        <f t="shared" si="31"/>
        <v>Tevreden</v>
      </c>
    </row>
    <row r="482" spans="1:17" x14ac:dyDescent="0.3">
      <c r="A482" t="s">
        <v>1342</v>
      </c>
      <c r="B482">
        <v>8604361725</v>
      </c>
      <c r="C482" t="s">
        <v>1343</v>
      </c>
      <c r="D482" t="s">
        <v>1344</v>
      </c>
      <c r="E482">
        <v>25</v>
      </c>
      <c r="F482" t="s">
        <v>115</v>
      </c>
      <c r="G482">
        <v>1</v>
      </c>
      <c r="H482">
        <v>0</v>
      </c>
      <c r="I482">
        <v>59.68</v>
      </c>
      <c r="J482" t="s">
        <v>77</v>
      </c>
      <c r="K482" t="s">
        <v>22</v>
      </c>
      <c r="L482">
        <v>7</v>
      </c>
      <c r="M482" t="s">
        <v>23</v>
      </c>
      <c r="N482" t="str">
        <f t="shared" si="28"/>
        <v>Michiels</v>
      </c>
      <c r="O482" t="str">
        <f t="shared" si="29"/>
        <v>Jenny</v>
      </c>
      <c r="P482" t="e">
        <f t="shared" ca="1" si="30"/>
        <v>#NAME?</v>
      </c>
      <c r="Q482" t="str">
        <f t="shared" si="31"/>
        <v>Tevreden</v>
      </c>
    </row>
    <row r="483" spans="1:17" x14ac:dyDescent="0.3">
      <c r="A483" t="s">
        <v>1345</v>
      </c>
      <c r="B483">
        <v>8386206919</v>
      </c>
      <c r="C483" t="s">
        <v>1346</v>
      </c>
      <c r="D483" t="s">
        <v>137</v>
      </c>
      <c r="E483">
        <v>82</v>
      </c>
      <c r="F483" t="s">
        <v>65</v>
      </c>
      <c r="G483">
        <v>1</v>
      </c>
      <c r="H483">
        <v>0</v>
      </c>
      <c r="I483">
        <v>92.56</v>
      </c>
      <c r="J483" t="s">
        <v>21</v>
      </c>
      <c r="K483" t="s">
        <v>29</v>
      </c>
      <c r="L483">
        <v>6.6</v>
      </c>
      <c r="M483" t="s">
        <v>23</v>
      </c>
      <c r="N483" t="str">
        <f t="shared" si="28"/>
        <v>Van hoof</v>
      </c>
      <c r="O483" t="str">
        <f t="shared" si="29"/>
        <v>Maurice</v>
      </c>
      <c r="P483" t="e">
        <f t="shared" ca="1" si="30"/>
        <v>#NAME?</v>
      </c>
      <c r="Q483" t="str">
        <f t="shared" si="31"/>
        <v>Ontevreden</v>
      </c>
    </row>
    <row r="484" spans="1:17" x14ac:dyDescent="0.3">
      <c r="A484" t="s">
        <v>1347</v>
      </c>
      <c r="B484">
        <v>7763495936</v>
      </c>
      <c r="C484" t="s">
        <v>1348</v>
      </c>
      <c r="D484" t="s">
        <v>1349</v>
      </c>
      <c r="E484">
        <v>52</v>
      </c>
      <c r="F484" t="s">
        <v>65</v>
      </c>
      <c r="G484">
        <v>2</v>
      </c>
      <c r="H484">
        <v>0</v>
      </c>
      <c r="I484">
        <v>106.76</v>
      </c>
      <c r="J484" t="s">
        <v>47</v>
      </c>
      <c r="K484" t="s">
        <v>29</v>
      </c>
      <c r="L484">
        <v>6.98</v>
      </c>
      <c r="M484" t="s">
        <v>23</v>
      </c>
      <c r="N484" t="str">
        <f t="shared" si="28"/>
        <v>Denis</v>
      </c>
      <c r="O484" t="str">
        <f t="shared" si="29"/>
        <v>Alessandro</v>
      </c>
      <c r="P484" t="e">
        <f t="shared" ca="1" si="30"/>
        <v>#NAME?</v>
      </c>
      <c r="Q484" t="str">
        <f t="shared" si="31"/>
        <v>Ontevreden</v>
      </c>
    </row>
    <row r="485" spans="1:17" x14ac:dyDescent="0.3">
      <c r="A485" t="s">
        <v>1350</v>
      </c>
      <c r="B485">
        <v>9963629759</v>
      </c>
      <c r="C485" t="s">
        <v>1351</v>
      </c>
      <c r="D485" t="s">
        <v>1352</v>
      </c>
      <c r="E485">
        <v>63</v>
      </c>
      <c r="F485" t="s">
        <v>27</v>
      </c>
      <c r="G485">
        <v>5</v>
      </c>
      <c r="H485">
        <v>3</v>
      </c>
      <c r="I485">
        <v>206.92</v>
      </c>
      <c r="J485" t="s">
        <v>52</v>
      </c>
      <c r="K485" t="s">
        <v>22</v>
      </c>
      <c r="L485">
        <v>6.65</v>
      </c>
      <c r="M485" t="s">
        <v>23</v>
      </c>
      <c r="N485" t="str">
        <f t="shared" si="28"/>
        <v>Noel</v>
      </c>
      <c r="O485" t="str">
        <f t="shared" si="29"/>
        <v>Marc</v>
      </c>
      <c r="P485" t="e">
        <f t="shared" ca="1" si="30"/>
        <v>#NAME?</v>
      </c>
      <c r="Q485" t="str">
        <f t="shared" si="31"/>
        <v>Ontevreden</v>
      </c>
    </row>
    <row r="486" spans="1:17" x14ac:dyDescent="0.3">
      <c r="A486" t="s">
        <v>1353</v>
      </c>
      <c r="B486">
        <v>1909394257</v>
      </c>
      <c r="C486" t="s">
        <v>1354</v>
      </c>
      <c r="D486" t="s">
        <v>1355</v>
      </c>
      <c r="E486">
        <v>6</v>
      </c>
      <c r="F486" t="s">
        <v>354</v>
      </c>
      <c r="G486">
        <v>2</v>
      </c>
      <c r="H486">
        <v>4</v>
      </c>
      <c r="I486">
        <v>189.8</v>
      </c>
      <c r="J486" t="s">
        <v>77</v>
      </c>
      <c r="K486" t="s">
        <v>22</v>
      </c>
      <c r="L486">
        <v>6.05</v>
      </c>
      <c r="M486" t="s">
        <v>78</v>
      </c>
      <c r="N486" t="str">
        <f t="shared" si="28"/>
        <v>Verhoeven</v>
      </c>
      <c r="O486" t="str">
        <f t="shared" si="29"/>
        <v>Hans</v>
      </c>
      <c r="P486" t="e">
        <f t="shared" ca="1" si="30"/>
        <v>#NAME?</v>
      </c>
      <c r="Q486" t="str">
        <f t="shared" si="31"/>
        <v>Ontevreden</v>
      </c>
    </row>
    <row r="487" spans="1:17" x14ac:dyDescent="0.3">
      <c r="A487" t="s">
        <v>1356</v>
      </c>
      <c r="B487">
        <v>9099152829</v>
      </c>
      <c r="C487" t="s">
        <v>1357</v>
      </c>
      <c r="D487" t="s">
        <v>1358</v>
      </c>
      <c r="E487">
        <v>72</v>
      </c>
      <c r="F487" t="s">
        <v>65</v>
      </c>
      <c r="G487">
        <v>2</v>
      </c>
      <c r="H487">
        <v>0</v>
      </c>
      <c r="I487">
        <v>64.510000000000005</v>
      </c>
      <c r="J487" t="s">
        <v>77</v>
      </c>
      <c r="K487" t="s">
        <v>22</v>
      </c>
      <c r="L487">
        <v>7.23</v>
      </c>
      <c r="M487" t="s">
        <v>23</v>
      </c>
      <c r="N487" t="str">
        <f t="shared" si="28"/>
        <v>Jans</v>
      </c>
      <c r="O487" t="str">
        <f t="shared" si="29"/>
        <v>Karim</v>
      </c>
      <c r="P487" t="e">
        <f t="shared" ca="1" si="30"/>
        <v>#NAME?</v>
      </c>
      <c r="Q487" t="str">
        <f t="shared" si="31"/>
        <v>Tevreden</v>
      </c>
    </row>
    <row r="488" spans="1:17" x14ac:dyDescent="0.3">
      <c r="A488" t="s">
        <v>1359</v>
      </c>
      <c r="B488">
        <v>5986251165</v>
      </c>
      <c r="C488" t="s">
        <v>1360</v>
      </c>
      <c r="D488" t="s">
        <v>834</v>
      </c>
      <c r="E488">
        <v>8</v>
      </c>
      <c r="F488" t="s">
        <v>33</v>
      </c>
      <c r="G488">
        <v>1</v>
      </c>
      <c r="H488">
        <v>1</v>
      </c>
      <c r="I488">
        <v>109.39</v>
      </c>
      <c r="J488" t="s">
        <v>47</v>
      </c>
      <c r="K488" t="s">
        <v>29</v>
      </c>
      <c r="L488">
        <v>7.11</v>
      </c>
      <c r="M488" t="s">
        <v>23</v>
      </c>
      <c r="N488" t="str">
        <f t="shared" si="28"/>
        <v>Daems</v>
      </c>
      <c r="O488" t="str">
        <f t="shared" si="29"/>
        <v>Victoria</v>
      </c>
      <c r="P488" t="e">
        <f t="shared" ca="1" si="30"/>
        <v>#NAME?</v>
      </c>
      <c r="Q488" t="str">
        <f t="shared" si="31"/>
        <v>Tevreden</v>
      </c>
    </row>
    <row r="489" spans="1:17" x14ac:dyDescent="0.3">
      <c r="A489" t="s">
        <v>1361</v>
      </c>
      <c r="B489">
        <v>7808224957</v>
      </c>
      <c r="C489" t="s">
        <v>1362</v>
      </c>
      <c r="D489" t="s">
        <v>1296</v>
      </c>
      <c r="E489">
        <v>19</v>
      </c>
      <c r="F489" t="s">
        <v>65</v>
      </c>
      <c r="G489">
        <v>2</v>
      </c>
      <c r="H489">
        <v>2</v>
      </c>
      <c r="I489">
        <v>128.83000000000001</v>
      </c>
      <c r="J489" t="s">
        <v>77</v>
      </c>
      <c r="K489" t="s">
        <v>29</v>
      </c>
      <c r="L489">
        <v>7.67</v>
      </c>
      <c r="M489" t="s">
        <v>23</v>
      </c>
      <c r="N489" t="str">
        <f t="shared" si="28"/>
        <v>Stevens</v>
      </c>
      <c r="O489" t="str">
        <f t="shared" si="29"/>
        <v>Lya</v>
      </c>
      <c r="P489" t="e">
        <f t="shared" ca="1" si="30"/>
        <v>#NAME?</v>
      </c>
      <c r="Q489" t="str">
        <f t="shared" si="31"/>
        <v>Tevreden</v>
      </c>
    </row>
    <row r="490" spans="1:17" x14ac:dyDescent="0.3">
      <c r="A490" t="s">
        <v>1363</v>
      </c>
      <c r="B490">
        <v>6566813679</v>
      </c>
      <c r="C490" t="s">
        <v>1364</v>
      </c>
      <c r="D490" t="s">
        <v>1365</v>
      </c>
      <c r="E490">
        <v>12</v>
      </c>
      <c r="F490" t="s">
        <v>46</v>
      </c>
      <c r="G490">
        <v>1</v>
      </c>
      <c r="H490">
        <v>2</v>
      </c>
      <c r="I490">
        <v>39.93</v>
      </c>
      <c r="J490" t="s">
        <v>77</v>
      </c>
      <c r="K490" t="s">
        <v>57</v>
      </c>
      <c r="L490">
        <v>6.86</v>
      </c>
      <c r="M490" t="s">
        <v>23</v>
      </c>
      <c r="N490" t="str">
        <f t="shared" si="28"/>
        <v>Francois</v>
      </c>
      <c r="O490" t="str">
        <f t="shared" si="29"/>
        <v>Angélique</v>
      </c>
      <c r="P490" t="e">
        <f t="shared" ca="1" si="30"/>
        <v>#NAME?</v>
      </c>
      <c r="Q490" t="str">
        <f t="shared" si="31"/>
        <v>Ontevreden</v>
      </c>
    </row>
    <row r="491" spans="1:17" x14ac:dyDescent="0.3">
      <c r="A491" t="s">
        <v>1366</v>
      </c>
      <c r="B491">
        <v>9195481554</v>
      </c>
      <c r="C491" t="s">
        <v>1367</v>
      </c>
      <c r="D491" t="s">
        <v>1368</v>
      </c>
      <c r="E491">
        <v>35</v>
      </c>
      <c r="F491" t="s">
        <v>115</v>
      </c>
      <c r="G491">
        <v>2</v>
      </c>
      <c r="H491">
        <v>2</v>
      </c>
      <c r="I491">
        <v>24.33</v>
      </c>
      <c r="J491" t="s">
        <v>77</v>
      </c>
      <c r="K491" t="s">
        <v>29</v>
      </c>
      <c r="L491">
        <v>8.2100000000000009</v>
      </c>
      <c r="M491" t="s">
        <v>34</v>
      </c>
      <c r="N491" t="str">
        <f t="shared" si="28"/>
        <v>Verstraete</v>
      </c>
      <c r="O491" t="str">
        <f t="shared" si="29"/>
        <v>Eddy</v>
      </c>
      <c r="P491" t="e">
        <f t="shared" ca="1" si="30"/>
        <v>#NAME?</v>
      </c>
      <c r="Q491" t="str">
        <f t="shared" si="31"/>
        <v>Tevreden</v>
      </c>
    </row>
    <row r="492" spans="1:17" x14ac:dyDescent="0.3">
      <c r="A492" t="s">
        <v>1369</v>
      </c>
      <c r="B492">
        <v>1078113775</v>
      </c>
      <c r="C492" t="s">
        <v>1370</v>
      </c>
      <c r="D492" t="s">
        <v>88</v>
      </c>
      <c r="E492">
        <v>66</v>
      </c>
      <c r="F492" t="s">
        <v>128</v>
      </c>
      <c r="G492">
        <v>1</v>
      </c>
      <c r="H492">
        <v>0</v>
      </c>
      <c r="I492">
        <v>39.51</v>
      </c>
      <c r="J492" t="s">
        <v>52</v>
      </c>
      <c r="K492" t="s">
        <v>57</v>
      </c>
      <c r="L492">
        <v>6.88</v>
      </c>
      <c r="M492" t="s">
        <v>23</v>
      </c>
      <c r="N492" t="str">
        <f t="shared" si="28"/>
        <v>Mahieu</v>
      </c>
      <c r="O492" t="str">
        <f t="shared" si="29"/>
        <v>Yassine</v>
      </c>
      <c r="P492" t="e">
        <f t="shared" ca="1" si="30"/>
        <v>#NAME?</v>
      </c>
      <c r="Q492" t="str">
        <f t="shared" si="31"/>
        <v>Ontevreden</v>
      </c>
    </row>
    <row r="493" spans="1:17" x14ac:dyDescent="0.3">
      <c r="A493" t="s">
        <v>1371</v>
      </c>
      <c r="B493">
        <v>7552979513</v>
      </c>
      <c r="C493" t="s">
        <v>1372</v>
      </c>
      <c r="D493" t="s">
        <v>844</v>
      </c>
      <c r="E493">
        <v>29</v>
      </c>
      <c r="F493" t="s">
        <v>27</v>
      </c>
      <c r="G493">
        <v>2</v>
      </c>
      <c r="H493">
        <v>0</v>
      </c>
      <c r="I493">
        <v>114.18</v>
      </c>
      <c r="J493" t="s">
        <v>28</v>
      </c>
      <c r="K493" t="s">
        <v>29</v>
      </c>
      <c r="L493">
        <v>6.92</v>
      </c>
      <c r="M493" t="s">
        <v>23</v>
      </c>
      <c r="N493" t="str">
        <f t="shared" si="28"/>
        <v>Maes</v>
      </c>
      <c r="O493" t="str">
        <f t="shared" si="29"/>
        <v>Sarah</v>
      </c>
      <c r="P493" t="e">
        <f t="shared" ca="1" si="30"/>
        <v>#NAME?</v>
      </c>
      <c r="Q493" t="str">
        <f t="shared" si="31"/>
        <v>Ontevreden</v>
      </c>
    </row>
    <row r="494" spans="1:17" x14ac:dyDescent="0.3">
      <c r="A494" t="s">
        <v>1373</v>
      </c>
      <c r="B494">
        <v>3476662327</v>
      </c>
      <c r="C494" t="s">
        <v>1374</v>
      </c>
      <c r="D494" t="s">
        <v>807</v>
      </c>
      <c r="E494">
        <v>26</v>
      </c>
      <c r="F494" t="s">
        <v>229</v>
      </c>
      <c r="G494">
        <v>3</v>
      </c>
      <c r="H494">
        <v>3</v>
      </c>
      <c r="I494">
        <v>174.07</v>
      </c>
      <c r="J494" t="s">
        <v>28</v>
      </c>
      <c r="K494" t="s">
        <v>29</v>
      </c>
      <c r="L494">
        <v>7.64</v>
      </c>
      <c r="M494" t="s">
        <v>23</v>
      </c>
      <c r="N494" t="str">
        <f t="shared" si="28"/>
        <v>Beckers</v>
      </c>
      <c r="O494" t="str">
        <f t="shared" si="29"/>
        <v>Carole</v>
      </c>
      <c r="P494" t="e">
        <f t="shared" ca="1" si="30"/>
        <v>#NAME?</v>
      </c>
      <c r="Q494" t="str">
        <f t="shared" si="31"/>
        <v>Tevreden</v>
      </c>
    </row>
    <row r="495" spans="1:17" x14ac:dyDescent="0.3">
      <c r="A495" t="s">
        <v>1375</v>
      </c>
      <c r="B495">
        <v>4422814566</v>
      </c>
      <c r="C495" t="s">
        <v>1376</v>
      </c>
      <c r="D495" t="s">
        <v>446</v>
      </c>
      <c r="E495">
        <v>30</v>
      </c>
      <c r="F495" t="s">
        <v>354</v>
      </c>
      <c r="G495">
        <v>2</v>
      </c>
      <c r="H495">
        <v>0</v>
      </c>
      <c r="I495">
        <v>133.83000000000001</v>
      </c>
      <c r="J495" t="s">
        <v>28</v>
      </c>
      <c r="K495" t="s">
        <v>29</v>
      </c>
      <c r="L495">
        <v>7.31</v>
      </c>
      <c r="M495" t="s">
        <v>23</v>
      </c>
      <c r="N495" t="str">
        <f t="shared" si="28"/>
        <v>De bock</v>
      </c>
      <c r="O495" t="str">
        <f t="shared" si="29"/>
        <v>Priscillia</v>
      </c>
      <c r="P495" t="e">
        <f t="shared" ca="1" si="30"/>
        <v>#NAME?</v>
      </c>
      <c r="Q495" t="str">
        <f t="shared" si="31"/>
        <v>Tevreden</v>
      </c>
    </row>
    <row r="496" spans="1:17" x14ac:dyDescent="0.3">
      <c r="A496" t="s">
        <v>1377</v>
      </c>
      <c r="B496">
        <v>3147401017</v>
      </c>
      <c r="C496" t="s">
        <v>1378</v>
      </c>
      <c r="D496" t="s">
        <v>1379</v>
      </c>
      <c r="E496">
        <v>34</v>
      </c>
      <c r="F496" t="s">
        <v>61</v>
      </c>
      <c r="G496">
        <v>2</v>
      </c>
      <c r="H496">
        <v>0</v>
      </c>
      <c r="I496">
        <v>144.74</v>
      </c>
      <c r="J496" t="s">
        <v>77</v>
      </c>
      <c r="K496" t="s">
        <v>29</v>
      </c>
      <c r="L496">
        <v>6.8</v>
      </c>
      <c r="M496" t="s">
        <v>23</v>
      </c>
      <c r="N496" t="str">
        <f t="shared" si="28"/>
        <v>Lebrun</v>
      </c>
      <c r="O496" t="str">
        <f t="shared" si="29"/>
        <v>Gunther</v>
      </c>
      <c r="P496" t="e">
        <f t="shared" ca="1" si="30"/>
        <v>#NAME?</v>
      </c>
      <c r="Q496" t="str">
        <f t="shared" si="31"/>
        <v>Ontevreden</v>
      </c>
    </row>
    <row r="497" spans="1:17" x14ac:dyDescent="0.3">
      <c r="A497" t="s">
        <v>1380</v>
      </c>
      <c r="B497">
        <v>4404002160</v>
      </c>
      <c r="C497" t="s">
        <v>1381</v>
      </c>
      <c r="D497" t="s">
        <v>1382</v>
      </c>
      <c r="E497">
        <v>8</v>
      </c>
      <c r="F497" t="s">
        <v>65</v>
      </c>
      <c r="G497">
        <v>5</v>
      </c>
      <c r="H497">
        <v>2</v>
      </c>
      <c r="I497">
        <v>208.54</v>
      </c>
      <c r="J497" t="s">
        <v>28</v>
      </c>
      <c r="K497" t="s">
        <v>29</v>
      </c>
      <c r="L497">
        <v>8.1199999999999992</v>
      </c>
      <c r="M497" t="s">
        <v>34</v>
      </c>
      <c r="N497" t="str">
        <f t="shared" si="28"/>
        <v>Rousseau</v>
      </c>
      <c r="O497" t="str">
        <f t="shared" si="29"/>
        <v>Sayed</v>
      </c>
      <c r="P497" t="e">
        <f t="shared" ca="1" si="30"/>
        <v>#NAME?</v>
      </c>
      <c r="Q497" t="str">
        <f t="shared" si="31"/>
        <v>Tevreden</v>
      </c>
    </row>
    <row r="498" spans="1:17" x14ac:dyDescent="0.3">
      <c r="A498" t="s">
        <v>1383</v>
      </c>
      <c r="B498">
        <v>8689156435</v>
      </c>
      <c r="C498" t="s">
        <v>1384</v>
      </c>
      <c r="D498" t="s">
        <v>696</v>
      </c>
      <c r="E498">
        <v>56</v>
      </c>
      <c r="F498" t="s">
        <v>115</v>
      </c>
      <c r="G498">
        <v>6</v>
      </c>
      <c r="H498">
        <v>2</v>
      </c>
      <c r="I498">
        <v>185.69</v>
      </c>
      <c r="J498" t="s">
        <v>52</v>
      </c>
      <c r="K498" t="s">
        <v>22</v>
      </c>
      <c r="L498">
        <v>7.18</v>
      </c>
      <c r="M498" t="s">
        <v>23</v>
      </c>
      <c r="N498" t="str">
        <f t="shared" si="28"/>
        <v>Verlinden</v>
      </c>
      <c r="O498" t="str">
        <f t="shared" si="29"/>
        <v>Jean</v>
      </c>
      <c r="P498" t="e">
        <f t="shared" ca="1" si="30"/>
        <v>#NAME?</v>
      </c>
      <c r="Q498" t="str">
        <f t="shared" si="31"/>
        <v>Tevreden</v>
      </c>
    </row>
    <row r="499" spans="1:17" x14ac:dyDescent="0.3">
      <c r="A499" t="s">
        <v>1385</v>
      </c>
      <c r="B499">
        <v>6101372565</v>
      </c>
      <c r="C499" t="s">
        <v>1386</v>
      </c>
      <c r="D499" t="s">
        <v>675</v>
      </c>
      <c r="E499">
        <v>37</v>
      </c>
      <c r="F499" t="s">
        <v>182</v>
      </c>
      <c r="G499">
        <v>2</v>
      </c>
      <c r="H499">
        <v>3</v>
      </c>
      <c r="I499">
        <v>146.85</v>
      </c>
      <c r="J499" t="s">
        <v>28</v>
      </c>
      <c r="K499" t="s">
        <v>29</v>
      </c>
      <c r="L499">
        <v>8.49</v>
      </c>
      <c r="M499" t="s">
        <v>34</v>
      </c>
      <c r="N499" t="str">
        <f t="shared" si="28"/>
        <v>Stas</v>
      </c>
      <c r="O499" t="str">
        <f t="shared" si="29"/>
        <v>Shannon</v>
      </c>
      <c r="P499" t="e">
        <f t="shared" ca="1" si="30"/>
        <v>#NAME?</v>
      </c>
      <c r="Q499" t="str">
        <f t="shared" si="31"/>
        <v>Tevreden</v>
      </c>
    </row>
    <row r="500" spans="1:17" x14ac:dyDescent="0.3">
      <c r="A500" t="s">
        <v>1387</v>
      </c>
      <c r="B500">
        <v>5218677245</v>
      </c>
      <c r="C500" t="s">
        <v>1388</v>
      </c>
      <c r="D500" t="s">
        <v>400</v>
      </c>
      <c r="E500">
        <v>5</v>
      </c>
      <c r="F500" t="s">
        <v>164</v>
      </c>
      <c r="G500">
        <v>1</v>
      </c>
      <c r="H500">
        <v>5</v>
      </c>
      <c r="I500">
        <v>181.51</v>
      </c>
      <c r="J500" t="s">
        <v>52</v>
      </c>
      <c r="K500" t="s">
        <v>22</v>
      </c>
      <c r="L500">
        <v>7.02</v>
      </c>
      <c r="M500" t="s">
        <v>23</v>
      </c>
      <c r="N500" t="str">
        <f t="shared" si="28"/>
        <v>Bosmans</v>
      </c>
      <c r="O500" t="str">
        <f t="shared" si="29"/>
        <v>David</v>
      </c>
      <c r="P500" t="e">
        <f t="shared" ca="1" si="30"/>
        <v>#NAME?</v>
      </c>
      <c r="Q500" t="str">
        <f t="shared" si="31"/>
        <v>Tevreden</v>
      </c>
    </row>
    <row r="501" spans="1:17" x14ac:dyDescent="0.3">
      <c r="A501" t="s">
        <v>1389</v>
      </c>
      <c r="B501">
        <v>4248220411</v>
      </c>
      <c r="C501" t="s">
        <v>1390</v>
      </c>
      <c r="D501" t="s">
        <v>1391</v>
      </c>
      <c r="E501">
        <v>21</v>
      </c>
      <c r="F501" t="s">
        <v>175</v>
      </c>
      <c r="G501">
        <v>1</v>
      </c>
      <c r="H501">
        <v>1</v>
      </c>
      <c r="I501">
        <v>127.82</v>
      </c>
      <c r="J501" t="s">
        <v>28</v>
      </c>
      <c r="K501" t="s">
        <v>22</v>
      </c>
      <c r="L501">
        <v>8.2100000000000009</v>
      </c>
      <c r="M501" t="s">
        <v>34</v>
      </c>
      <c r="N501" t="str">
        <f t="shared" si="28"/>
        <v>Raes</v>
      </c>
      <c r="O501" t="str">
        <f t="shared" si="29"/>
        <v>Loïc</v>
      </c>
      <c r="P501" t="e">
        <f t="shared" ca="1" si="30"/>
        <v>#NAME?</v>
      </c>
      <c r="Q501" t="str">
        <f t="shared" si="31"/>
        <v>Tevreden</v>
      </c>
    </row>
    <row r="502" spans="1:17" x14ac:dyDescent="0.3">
      <c r="A502" t="s">
        <v>1392</v>
      </c>
      <c r="B502">
        <v>8133952048</v>
      </c>
      <c r="C502" t="s">
        <v>1393</v>
      </c>
      <c r="D502" t="s">
        <v>764</v>
      </c>
      <c r="E502">
        <v>56</v>
      </c>
      <c r="F502" t="s">
        <v>229</v>
      </c>
      <c r="G502">
        <v>2</v>
      </c>
      <c r="H502">
        <v>2</v>
      </c>
      <c r="I502">
        <v>91.9</v>
      </c>
      <c r="J502" t="s">
        <v>21</v>
      </c>
      <c r="K502" t="s">
        <v>22</v>
      </c>
      <c r="L502">
        <v>7.14</v>
      </c>
      <c r="M502" t="s">
        <v>23</v>
      </c>
      <c r="N502" t="str">
        <f t="shared" si="28"/>
        <v>Heymans</v>
      </c>
      <c r="O502" t="str">
        <f t="shared" si="29"/>
        <v>Mohamed</v>
      </c>
      <c r="P502" t="e">
        <f t="shared" ca="1" si="30"/>
        <v>#NAME?</v>
      </c>
      <c r="Q502" t="str">
        <f t="shared" si="31"/>
        <v>Tevreden</v>
      </c>
    </row>
    <row r="503" spans="1:17" x14ac:dyDescent="0.3">
      <c r="A503" t="s">
        <v>1394</v>
      </c>
      <c r="B503">
        <v>5682150478</v>
      </c>
      <c r="C503" t="s">
        <v>1395</v>
      </c>
      <c r="D503" t="s">
        <v>250</v>
      </c>
      <c r="E503">
        <v>106</v>
      </c>
      <c r="F503" t="s">
        <v>42</v>
      </c>
      <c r="G503">
        <v>2</v>
      </c>
      <c r="H503">
        <v>3</v>
      </c>
      <c r="I503">
        <v>92.1</v>
      </c>
      <c r="J503" t="s">
        <v>77</v>
      </c>
      <c r="K503" t="s">
        <v>29</v>
      </c>
      <c r="L503">
        <v>7.06</v>
      </c>
      <c r="M503" t="s">
        <v>23</v>
      </c>
      <c r="N503" t="str">
        <f t="shared" si="28"/>
        <v>Houben</v>
      </c>
      <c r="O503" t="str">
        <f t="shared" si="29"/>
        <v>Isra</v>
      </c>
      <c r="P503" t="e">
        <f t="shared" ca="1" si="30"/>
        <v>#NAME?</v>
      </c>
      <c r="Q503" t="str">
        <f t="shared" si="31"/>
        <v>Tevreden</v>
      </c>
    </row>
    <row r="504" spans="1:17" x14ac:dyDescent="0.3">
      <c r="A504" t="s">
        <v>1396</v>
      </c>
      <c r="B504">
        <v>5604629157</v>
      </c>
      <c r="C504" t="s">
        <v>1397</v>
      </c>
      <c r="D504" t="s">
        <v>817</v>
      </c>
      <c r="E504">
        <v>36</v>
      </c>
      <c r="F504" t="s">
        <v>51</v>
      </c>
      <c r="G504">
        <v>1</v>
      </c>
      <c r="H504">
        <v>1</v>
      </c>
      <c r="I504">
        <v>43.35</v>
      </c>
      <c r="J504" t="s">
        <v>21</v>
      </c>
      <c r="K504" t="s">
        <v>57</v>
      </c>
      <c r="L504">
        <v>7.54</v>
      </c>
      <c r="M504" t="s">
        <v>23</v>
      </c>
      <c r="N504" t="str">
        <f t="shared" si="28"/>
        <v>Matthys</v>
      </c>
      <c r="O504" t="str">
        <f t="shared" si="29"/>
        <v>Camille</v>
      </c>
      <c r="P504" t="e">
        <f t="shared" ca="1" si="30"/>
        <v>#NAME?</v>
      </c>
      <c r="Q504" t="str">
        <f t="shared" si="31"/>
        <v>Tevreden</v>
      </c>
    </row>
    <row r="505" spans="1:17" x14ac:dyDescent="0.3">
      <c r="A505" t="s">
        <v>1398</v>
      </c>
      <c r="B505">
        <v>3192333429</v>
      </c>
      <c r="C505" t="s">
        <v>1399</v>
      </c>
      <c r="D505" t="s">
        <v>81</v>
      </c>
      <c r="E505">
        <v>52</v>
      </c>
      <c r="F505" t="s">
        <v>82</v>
      </c>
      <c r="G505">
        <v>1</v>
      </c>
      <c r="H505">
        <v>5</v>
      </c>
      <c r="I505">
        <v>239.11</v>
      </c>
      <c r="J505" t="s">
        <v>28</v>
      </c>
      <c r="K505" t="s">
        <v>29</v>
      </c>
      <c r="L505">
        <v>7.12</v>
      </c>
      <c r="M505" t="s">
        <v>23</v>
      </c>
      <c r="N505" t="str">
        <f t="shared" si="28"/>
        <v>Verheyen</v>
      </c>
      <c r="O505" t="str">
        <f t="shared" si="29"/>
        <v>Jarne</v>
      </c>
      <c r="P505" t="e">
        <f t="shared" ca="1" si="30"/>
        <v>#NAME?</v>
      </c>
      <c r="Q505" t="str">
        <f t="shared" si="31"/>
        <v>Tevreden</v>
      </c>
    </row>
    <row r="506" spans="1:17" x14ac:dyDescent="0.3">
      <c r="A506" t="s">
        <v>1400</v>
      </c>
      <c r="B506">
        <v>1643723732</v>
      </c>
      <c r="C506" t="s">
        <v>1401</v>
      </c>
      <c r="D506" t="s">
        <v>429</v>
      </c>
      <c r="E506">
        <v>19</v>
      </c>
      <c r="F506" t="s">
        <v>33</v>
      </c>
      <c r="G506">
        <v>3</v>
      </c>
      <c r="H506">
        <v>4</v>
      </c>
      <c r="I506">
        <v>221.57</v>
      </c>
      <c r="J506" t="s">
        <v>28</v>
      </c>
      <c r="K506" t="s">
        <v>22</v>
      </c>
      <c r="L506">
        <v>6.91</v>
      </c>
      <c r="M506" t="s">
        <v>23</v>
      </c>
      <c r="N506" t="str">
        <f t="shared" si="28"/>
        <v>Hermans</v>
      </c>
      <c r="O506" t="str">
        <f t="shared" si="29"/>
        <v>Hans</v>
      </c>
      <c r="P506" t="e">
        <f t="shared" ca="1" si="30"/>
        <v>#NAME?</v>
      </c>
      <c r="Q506" t="str">
        <f t="shared" si="31"/>
        <v>Ontevreden</v>
      </c>
    </row>
    <row r="507" spans="1:17" x14ac:dyDescent="0.3">
      <c r="A507" t="s">
        <v>1402</v>
      </c>
      <c r="B507">
        <v>9552783364</v>
      </c>
      <c r="C507" t="s">
        <v>1403</v>
      </c>
      <c r="D507" t="s">
        <v>1404</v>
      </c>
      <c r="E507">
        <v>10</v>
      </c>
      <c r="F507" t="s">
        <v>115</v>
      </c>
      <c r="G507">
        <v>1</v>
      </c>
      <c r="H507">
        <v>0</v>
      </c>
      <c r="I507">
        <v>92.92</v>
      </c>
      <c r="J507" t="s">
        <v>52</v>
      </c>
      <c r="K507" t="s">
        <v>29</v>
      </c>
      <c r="L507">
        <v>7.42</v>
      </c>
      <c r="M507" t="s">
        <v>23</v>
      </c>
      <c r="N507" t="str">
        <f t="shared" si="28"/>
        <v>Goris</v>
      </c>
      <c r="O507" t="str">
        <f t="shared" si="29"/>
        <v>Jihad</v>
      </c>
      <c r="P507" t="e">
        <f t="shared" ca="1" si="30"/>
        <v>#NAME?</v>
      </c>
      <c r="Q507" t="str">
        <f t="shared" si="31"/>
        <v>Tevreden</v>
      </c>
    </row>
    <row r="508" spans="1:17" x14ac:dyDescent="0.3">
      <c r="A508" t="s">
        <v>1405</v>
      </c>
      <c r="B508">
        <v>4187456555</v>
      </c>
      <c r="C508" t="s">
        <v>1406</v>
      </c>
      <c r="D508" t="s">
        <v>1407</v>
      </c>
      <c r="E508">
        <v>1</v>
      </c>
      <c r="F508" t="s">
        <v>115</v>
      </c>
      <c r="G508">
        <v>2</v>
      </c>
      <c r="H508">
        <v>2</v>
      </c>
      <c r="I508">
        <v>144.5</v>
      </c>
      <c r="J508" t="s">
        <v>21</v>
      </c>
      <c r="K508" t="s">
        <v>22</v>
      </c>
      <c r="L508">
        <v>7.45</v>
      </c>
      <c r="M508" t="s">
        <v>23</v>
      </c>
      <c r="N508" t="str">
        <f t="shared" si="28"/>
        <v>Vermeulen</v>
      </c>
      <c r="O508" t="str">
        <f t="shared" si="29"/>
        <v>Virginie</v>
      </c>
      <c r="P508" t="e">
        <f t="shared" ca="1" si="30"/>
        <v>#NAME?</v>
      </c>
      <c r="Q508" t="str">
        <f t="shared" si="31"/>
        <v>Tevreden</v>
      </c>
    </row>
    <row r="509" spans="1:17" x14ac:dyDescent="0.3">
      <c r="A509" t="s">
        <v>1408</v>
      </c>
      <c r="B509">
        <v>1199891769</v>
      </c>
      <c r="C509" t="s">
        <v>1409</v>
      </c>
      <c r="D509" t="s">
        <v>1410</v>
      </c>
      <c r="E509">
        <v>27</v>
      </c>
      <c r="F509" t="s">
        <v>33</v>
      </c>
      <c r="G509">
        <v>2</v>
      </c>
      <c r="H509">
        <v>2</v>
      </c>
      <c r="I509">
        <v>177.12</v>
      </c>
      <c r="J509" t="s">
        <v>28</v>
      </c>
      <c r="K509" t="s">
        <v>102</v>
      </c>
      <c r="L509">
        <v>7.28</v>
      </c>
      <c r="M509" t="s">
        <v>23</v>
      </c>
      <c r="N509" t="str">
        <f t="shared" si="28"/>
        <v>Devos</v>
      </c>
      <c r="O509" t="str">
        <f t="shared" si="29"/>
        <v>Henri</v>
      </c>
      <c r="P509" t="e">
        <f t="shared" ca="1" si="30"/>
        <v>#NAME?</v>
      </c>
      <c r="Q509" t="str">
        <f t="shared" si="31"/>
        <v>Tevreden</v>
      </c>
    </row>
    <row r="510" spans="1:17" x14ac:dyDescent="0.3">
      <c r="A510" t="s">
        <v>1411</v>
      </c>
      <c r="B510">
        <v>4059242332</v>
      </c>
      <c r="C510" t="s">
        <v>1412</v>
      </c>
      <c r="D510" t="s">
        <v>1413</v>
      </c>
      <c r="E510">
        <v>26</v>
      </c>
      <c r="F510" t="s">
        <v>65</v>
      </c>
      <c r="G510">
        <v>2</v>
      </c>
      <c r="H510">
        <v>5</v>
      </c>
      <c r="I510">
        <v>193.59</v>
      </c>
      <c r="J510" t="s">
        <v>52</v>
      </c>
      <c r="K510" t="s">
        <v>57</v>
      </c>
      <c r="L510">
        <v>7.05</v>
      </c>
      <c r="M510" t="s">
        <v>23</v>
      </c>
      <c r="N510" t="str">
        <f t="shared" si="28"/>
        <v>Willems</v>
      </c>
      <c r="O510" t="str">
        <f t="shared" si="29"/>
        <v>Francine</v>
      </c>
      <c r="P510" t="e">
        <f t="shared" ca="1" si="30"/>
        <v>#NAME?</v>
      </c>
      <c r="Q510" t="str">
        <f t="shared" si="31"/>
        <v>Tevreden</v>
      </c>
    </row>
    <row r="511" spans="1:17" x14ac:dyDescent="0.3">
      <c r="A511" t="s">
        <v>1414</v>
      </c>
      <c r="B511">
        <v>4738806256</v>
      </c>
      <c r="C511" t="s">
        <v>1415</v>
      </c>
      <c r="D511" t="s">
        <v>267</v>
      </c>
      <c r="E511">
        <v>30</v>
      </c>
      <c r="F511" t="s">
        <v>158</v>
      </c>
      <c r="G511">
        <v>2</v>
      </c>
      <c r="H511">
        <v>0</v>
      </c>
      <c r="I511">
        <v>161.38999999999999</v>
      </c>
      <c r="J511" t="s">
        <v>28</v>
      </c>
      <c r="K511" t="s">
        <v>22</v>
      </c>
      <c r="L511">
        <v>7.28</v>
      </c>
      <c r="M511" t="s">
        <v>23</v>
      </c>
      <c r="N511" t="str">
        <f t="shared" si="28"/>
        <v>Decoster</v>
      </c>
      <c r="O511" t="str">
        <f t="shared" si="29"/>
        <v>Tjardo</v>
      </c>
      <c r="P511" t="e">
        <f t="shared" ca="1" si="30"/>
        <v>#NAME?</v>
      </c>
      <c r="Q511" t="str">
        <f t="shared" si="31"/>
        <v>Tevreden</v>
      </c>
    </row>
    <row r="512" spans="1:17" x14ac:dyDescent="0.3">
      <c r="A512" t="s">
        <v>1416</v>
      </c>
      <c r="B512">
        <v>9334555893</v>
      </c>
      <c r="C512" t="s">
        <v>1417</v>
      </c>
      <c r="D512" t="s">
        <v>1418</v>
      </c>
      <c r="E512">
        <v>15</v>
      </c>
      <c r="F512" t="s">
        <v>148</v>
      </c>
      <c r="G512">
        <v>2</v>
      </c>
      <c r="H512">
        <v>0</v>
      </c>
      <c r="I512">
        <v>71.650000000000006</v>
      </c>
      <c r="J512" t="s">
        <v>52</v>
      </c>
      <c r="K512" t="s">
        <v>22</v>
      </c>
      <c r="L512">
        <v>5.87</v>
      </c>
      <c r="M512" t="s">
        <v>78</v>
      </c>
      <c r="N512" t="str">
        <f t="shared" si="28"/>
        <v>André</v>
      </c>
      <c r="O512" t="str">
        <f t="shared" si="29"/>
        <v>Nassim</v>
      </c>
      <c r="P512" t="e">
        <f t="shared" ca="1" si="30"/>
        <v>#NAME?</v>
      </c>
      <c r="Q512" t="str">
        <f t="shared" si="31"/>
        <v>Ontevreden</v>
      </c>
    </row>
    <row r="513" spans="1:17" x14ac:dyDescent="0.3">
      <c r="A513" t="s">
        <v>1419</v>
      </c>
      <c r="B513">
        <v>7062706078</v>
      </c>
      <c r="C513" t="s">
        <v>1420</v>
      </c>
      <c r="D513" t="s">
        <v>1421</v>
      </c>
      <c r="E513">
        <v>14</v>
      </c>
      <c r="F513" t="s">
        <v>706</v>
      </c>
      <c r="G513">
        <v>2</v>
      </c>
      <c r="H513">
        <v>1</v>
      </c>
      <c r="I513">
        <v>69.42</v>
      </c>
      <c r="J513" t="s">
        <v>52</v>
      </c>
      <c r="K513" t="s">
        <v>29</v>
      </c>
      <c r="L513">
        <v>7.15</v>
      </c>
      <c r="M513" t="s">
        <v>23</v>
      </c>
      <c r="N513" t="str">
        <f t="shared" si="28"/>
        <v>Vaes</v>
      </c>
      <c r="O513" t="str">
        <f t="shared" si="29"/>
        <v>Stéphan</v>
      </c>
      <c r="P513" t="e">
        <f t="shared" ca="1" si="30"/>
        <v>#NAME?</v>
      </c>
      <c r="Q513" t="str">
        <f t="shared" si="31"/>
        <v>Tevreden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9"/>
  <sheetViews>
    <sheetView tabSelected="1" workbookViewId="0">
      <selection activeCell="R1" sqref="R1:R1048576"/>
    </sheetView>
  </sheetViews>
  <sheetFormatPr defaultRowHeight="14.4" x14ac:dyDescent="0.3"/>
  <sheetData>
    <row r="1" spans="1:20" x14ac:dyDescent="0.3">
      <c r="A1" s="1" t="s">
        <v>14</v>
      </c>
      <c r="B1" s="1" t="s">
        <v>1422</v>
      </c>
      <c r="C1" s="1" t="s">
        <v>1</v>
      </c>
      <c r="D1" s="1" t="s">
        <v>2</v>
      </c>
      <c r="E1" s="1" t="s">
        <v>1423</v>
      </c>
      <c r="F1" s="1" t="s">
        <v>1424</v>
      </c>
      <c r="G1" s="1" t="s">
        <v>8</v>
      </c>
      <c r="H1" s="1" t="s">
        <v>1425</v>
      </c>
      <c r="I1" s="1" t="s">
        <v>10</v>
      </c>
      <c r="J1" s="1" t="s">
        <v>1426</v>
      </c>
      <c r="K1" s="1" t="s">
        <v>1427</v>
      </c>
      <c r="L1" s="1" t="s">
        <v>1428</v>
      </c>
      <c r="M1" s="1" t="s">
        <v>1429</v>
      </c>
      <c r="N1" s="1" t="s">
        <v>1430</v>
      </c>
      <c r="O1" s="1" t="s">
        <v>12</v>
      </c>
      <c r="Q1" t="s">
        <v>1431</v>
      </c>
      <c r="R1" t="s">
        <v>15</v>
      </c>
      <c r="S1" t="s">
        <v>1432</v>
      </c>
      <c r="T1" t="s">
        <v>16</v>
      </c>
    </row>
    <row r="2" spans="1:20" x14ac:dyDescent="0.3">
      <c r="A2" t="s">
        <v>1433</v>
      </c>
      <c r="B2" t="s">
        <v>1434</v>
      </c>
      <c r="C2" t="s">
        <v>1435</v>
      </c>
      <c r="D2" t="s">
        <v>1436</v>
      </c>
      <c r="E2" t="s">
        <v>1437</v>
      </c>
      <c r="F2" t="s">
        <v>1438</v>
      </c>
      <c r="G2">
        <v>163.5</v>
      </c>
      <c r="H2">
        <v>4</v>
      </c>
      <c r="I2" t="s">
        <v>102</v>
      </c>
      <c r="J2" t="s">
        <v>1439</v>
      </c>
      <c r="K2" t="s">
        <v>1439</v>
      </c>
      <c r="L2" t="s">
        <v>1439</v>
      </c>
      <c r="M2" t="s">
        <v>1440</v>
      </c>
      <c r="N2" t="s">
        <v>1440</v>
      </c>
      <c r="O2" t="s">
        <v>23</v>
      </c>
      <c r="Q2">
        <f t="shared" ref="Q2:Q65" si="0">LEN(G2)-LEN(SUBSTITUTE(G2,",",""))+1</f>
        <v>1</v>
      </c>
      <c r="R2" t="e">
        <f t="shared" ref="R2:R65" ca="1" si="1">SWITCH(I2, "Zelden", 1, "Af en toe", 4, "Regelmatig", 8, "Vaak", 12)</f>
        <v>#NAME?</v>
      </c>
      <c r="S2">
        <f t="shared" ref="S2:S65" si="2">AVERAGE(--(K2="ja"), --(L2="ja"), --(M2="ja"), --(N2="ja"), --(O2="ja"))*10</f>
        <v>4</v>
      </c>
      <c r="T2" t="str">
        <f t="shared" ref="T2:T65" si="3">IF(S2&gt;=7, "Tevreden", "Ontevreden")</f>
        <v>Ontevreden</v>
      </c>
    </row>
    <row r="3" spans="1:20" x14ac:dyDescent="0.3">
      <c r="A3" t="s">
        <v>1441</v>
      </c>
      <c r="B3" t="s">
        <v>1442</v>
      </c>
      <c r="C3" t="s">
        <v>1443</v>
      </c>
      <c r="D3" t="s">
        <v>1444</v>
      </c>
      <c r="E3" t="s">
        <v>1445</v>
      </c>
      <c r="F3" t="s">
        <v>1446</v>
      </c>
      <c r="G3">
        <v>156.51</v>
      </c>
      <c r="H3">
        <v>7</v>
      </c>
      <c r="I3" t="s">
        <v>57</v>
      </c>
      <c r="J3" t="s">
        <v>1440</v>
      </c>
      <c r="K3" t="s">
        <v>1440</v>
      </c>
      <c r="L3" t="s">
        <v>1440</v>
      </c>
      <c r="M3" t="s">
        <v>1440</v>
      </c>
      <c r="N3" t="s">
        <v>1440</v>
      </c>
      <c r="O3" t="s">
        <v>23</v>
      </c>
      <c r="Q3">
        <f t="shared" si="0"/>
        <v>1</v>
      </c>
      <c r="R3" t="e">
        <f t="shared" ca="1" si="1"/>
        <v>#NAME?</v>
      </c>
      <c r="S3">
        <f t="shared" si="2"/>
        <v>8</v>
      </c>
      <c r="T3" t="str">
        <f t="shared" si="3"/>
        <v>Tevreden</v>
      </c>
    </row>
    <row r="4" spans="1:20" x14ac:dyDescent="0.3">
      <c r="A4" t="s">
        <v>1447</v>
      </c>
      <c r="B4" t="s">
        <v>1448</v>
      </c>
      <c r="C4" t="s">
        <v>1449</v>
      </c>
      <c r="D4" t="s">
        <v>1450</v>
      </c>
      <c r="E4" t="s">
        <v>1451</v>
      </c>
      <c r="F4" t="s">
        <v>1452</v>
      </c>
      <c r="G4">
        <v>190.86</v>
      </c>
      <c r="H4">
        <v>17</v>
      </c>
      <c r="I4" t="s">
        <v>29</v>
      </c>
      <c r="J4" t="s">
        <v>1440</v>
      </c>
      <c r="K4" t="s">
        <v>1440</v>
      </c>
      <c r="L4" t="s">
        <v>1440</v>
      </c>
      <c r="M4" t="s">
        <v>1440</v>
      </c>
      <c r="N4" t="s">
        <v>1440</v>
      </c>
      <c r="O4" t="s">
        <v>23</v>
      </c>
      <c r="Q4">
        <f t="shared" si="0"/>
        <v>1</v>
      </c>
      <c r="R4" t="e">
        <f t="shared" ca="1" si="1"/>
        <v>#NAME?</v>
      </c>
      <c r="S4">
        <f t="shared" si="2"/>
        <v>8</v>
      </c>
      <c r="T4" t="str">
        <f t="shared" si="3"/>
        <v>Tevreden</v>
      </c>
    </row>
    <row r="5" spans="1:20" x14ac:dyDescent="0.3">
      <c r="A5" t="s">
        <v>1453</v>
      </c>
      <c r="B5" t="s">
        <v>1454</v>
      </c>
      <c r="C5" t="s">
        <v>1455</v>
      </c>
      <c r="D5" t="s">
        <v>1456</v>
      </c>
      <c r="E5" t="s">
        <v>1457</v>
      </c>
      <c r="F5" t="s">
        <v>1458</v>
      </c>
      <c r="G5">
        <v>53.51</v>
      </c>
      <c r="H5">
        <v>12</v>
      </c>
      <c r="I5" t="s">
        <v>57</v>
      </c>
      <c r="J5" t="s">
        <v>1440</v>
      </c>
      <c r="K5" t="s">
        <v>1440</v>
      </c>
      <c r="L5" t="s">
        <v>1440</v>
      </c>
      <c r="M5" t="s">
        <v>1440</v>
      </c>
      <c r="N5" t="s">
        <v>1440</v>
      </c>
      <c r="O5" t="s">
        <v>23</v>
      </c>
      <c r="Q5">
        <f t="shared" si="0"/>
        <v>1</v>
      </c>
      <c r="R5" t="e">
        <f t="shared" ca="1" si="1"/>
        <v>#NAME?</v>
      </c>
      <c r="S5">
        <f t="shared" si="2"/>
        <v>8</v>
      </c>
      <c r="T5" t="str">
        <f t="shared" si="3"/>
        <v>Tevreden</v>
      </c>
    </row>
    <row r="6" spans="1:20" x14ac:dyDescent="0.3">
      <c r="A6" t="s">
        <v>1459</v>
      </c>
      <c r="B6" t="s">
        <v>1460</v>
      </c>
      <c r="C6" t="s">
        <v>1461</v>
      </c>
      <c r="D6" t="s">
        <v>1462</v>
      </c>
      <c r="E6" t="s">
        <v>1463</v>
      </c>
      <c r="F6" t="s">
        <v>1464</v>
      </c>
      <c r="G6">
        <v>36.89</v>
      </c>
      <c r="H6">
        <v>5</v>
      </c>
      <c r="I6" t="s">
        <v>22</v>
      </c>
      <c r="J6" t="s">
        <v>1440</v>
      </c>
      <c r="K6" t="s">
        <v>1440</v>
      </c>
      <c r="L6" t="s">
        <v>1440</v>
      </c>
      <c r="M6" t="s">
        <v>1440</v>
      </c>
      <c r="N6" t="s">
        <v>1440</v>
      </c>
      <c r="O6" t="s">
        <v>23</v>
      </c>
      <c r="Q6">
        <f t="shared" si="0"/>
        <v>1</v>
      </c>
      <c r="R6" t="e">
        <f t="shared" ca="1" si="1"/>
        <v>#NAME?</v>
      </c>
      <c r="S6">
        <f t="shared" si="2"/>
        <v>8</v>
      </c>
      <c r="T6" t="str">
        <f t="shared" si="3"/>
        <v>Tevreden</v>
      </c>
    </row>
    <row r="7" spans="1:20" x14ac:dyDescent="0.3">
      <c r="A7" t="s">
        <v>1465</v>
      </c>
      <c r="B7" t="s">
        <v>1466</v>
      </c>
      <c r="C7" t="s">
        <v>1467</v>
      </c>
      <c r="D7" t="s">
        <v>1468</v>
      </c>
      <c r="E7" t="s">
        <v>1469</v>
      </c>
      <c r="F7" t="s">
        <v>1470</v>
      </c>
      <c r="G7">
        <v>128.06</v>
      </c>
      <c r="H7">
        <v>7</v>
      </c>
      <c r="I7" t="s">
        <v>22</v>
      </c>
      <c r="J7" t="s">
        <v>1439</v>
      </c>
      <c r="K7" t="s">
        <v>1440</v>
      </c>
      <c r="L7" t="s">
        <v>1440</v>
      </c>
      <c r="M7" t="s">
        <v>1440</v>
      </c>
      <c r="N7" t="s">
        <v>1439</v>
      </c>
      <c r="O7" t="s">
        <v>23</v>
      </c>
      <c r="Q7">
        <f t="shared" si="0"/>
        <v>1</v>
      </c>
      <c r="R7" t="e">
        <f t="shared" ca="1" si="1"/>
        <v>#NAME?</v>
      </c>
      <c r="S7">
        <f t="shared" si="2"/>
        <v>6</v>
      </c>
      <c r="T7" t="str">
        <f t="shared" si="3"/>
        <v>Ontevreden</v>
      </c>
    </row>
    <row r="8" spans="1:20" x14ac:dyDescent="0.3">
      <c r="A8" t="s">
        <v>1471</v>
      </c>
      <c r="B8" t="s">
        <v>1472</v>
      </c>
      <c r="C8" t="s">
        <v>1473</v>
      </c>
      <c r="D8" t="s">
        <v>1474</v>
      </c>
      <c r="E8" t="s">
        <v>1475</v>
      </c>
      <c r="F8" t="s">
        <v>1476</v>
      </c>
      <c r="G8">
        <v>169.77</v>
      </c>
      <c r="H8">
        <v>15</v>
      </c>
      <c r="I8" t="s">
        <v>22</v>
      </c>
      <c r="J8" t="s">
        <v>1440</v>
      </c>
      <c r="K8" t="s">
        <v>1440</v>
      </c>
      <c r="L8" t="s">
        <v>1440</v>
      </c>
      <c r="M8" t="s">
        <v>1439</v>
      </c>
      <c r="N8" t="s">
        <v>1440</v>
      </c>
      <c r="O8" t="s">
        <v>23</v>
      </c>
      <c r="Q8">
        <f t="shared" si="0"/>
        <v>1</v>
      </c>
      <c r="R8" t="e">
        <f t="shared" ca="1" si="1"/>
        <v>#NAME?</v>
      </c>
      <c r="S8">
        <f t="shared" si="2"/>
        <v>6</v>
      </c>
      <c r="T8" t="str">
        <f t="shared" si="3"/>
        <v>Ontevreden</v>
      </c>
    </row>
    <row r="9" spans="1:20" x14ac:dyDescent="0.3">
      <c r="A9" t="s">
        <v>1477</v>
      </c>
      <c r="B9" t="s">
        <v>1478</v>
      </c>
      <c r="C9" t="s">
        <v>1479</v>
      </c>
      <c r="D9" t="s">
        <v>1480</v>
      </c>
      <c r="E9" t="s">
        <v>1481</v>
      </c>
      <c r="F9" t="s">
        <v>1482</v>
      </c>
      <c r="G9">
        <v>140.41999999999999</v>
      </c>
      <c r="H9">
        <v>6</v>
      </c>
      <c r="I9" t="s">
        <v>57</v>
      </c>
      <c r="J9" t="s">
        <v>1439</v>
      </c>
      <c r="K9" t="s">
        <v>1440</v>
      </c>
      <c r="L9" t="s">
        <v>1439</v>
      </c>
      <c r="M9" t="s">
        <v>1439</v>
      </c>
      <c r="N9" t="s">
        <v>1439</v>
      </c>
      <c r="O9" t="s">
        <v>23</v>
      </c>
      <c r="Q9">
        <f t="shared" si="0"/>
        <v>1</v>
      </c>
      <c r="R9" t="e">
        <f t="shared" ca="1" si="1"/>
        <v>#NAME?</v>
      </c>
      <c r="S9">
        <f t="shared" si="2"/>
        <v>2</v>
      </c>
      <c r="T9" t="str">
        <f t="shared" si="3"/>
        <v>Ontevreden</v>
      </c>
    </row>
    <row r="10" spans="1:20" x14ac:dyDescent="0.3">
      <c r="A10" t="s">
        <v>1483</v>
      </c>
      <c r="B10" t="s">
        <v>1484</v>
      </c>
      <c r="C10" t="s">
        <v>1485</v>
      </c>
      <c r="D10" t="s">
        <v>1486</v>
      </c>
      <c r="E10" t="s">
        <v>1487</v>
      </c>
      <c r="F10" t="s">
        <v>1488</v>
      </c>
      <c r="G10">
        <v>113.21</v>
      </c>
      <c r="H10">
        <v>11</v>
      </c>
      <c r="I10" t="s">
        <v>22</v>
      </c>
      <c r="J10" t="s">
        <v>1440</v>
      </c>
      <c r="K10" t="s">
        <v>1439</v>
      </c>
      <c r="L10" t="s">
        <v>1440</v>
      </c>
      <c r="M10" t="s">
        <v>1440</v>
      </c>
      <c r="N10" t="s">
        <v>1440</v>
      </c>
      <c r="O10" t="s">
        <v>23</v>
      </c>
      <c r="Q10">
        <f t="shared" si="0"/>
        <v>1</v>
      </c>
      <c r="R10" t="e">
        <f t="shared" ca="1" si="1"/>
        <v>#NAME?</v>
      </c>
      <c r="S10">
        <f t="shared" si="2"/>
        <v>6</v>
      </c>
      <c r="T10" t="str">
        <f t="shared" si="3"/>
        <v>Ontevreden</v>
      </c>
    </row>
    <row r="11" spans="1:20" x14ac:dyDescent="0.3">
      <c r="A11" t="s">
        <v>1489</v>
      </c>
      <c r="B11" t="s">
        <v>1490</v>
      </c>
      <c r="C11" t="s">
        <v>1491</v>
      </c>
      <c r="D11" t="s">
        <v>1492</v>
      </c>
      <c r="E11" t="s">
        <v>1493</v>
      </c>
      <c r="F11" t="s">
        <v>1494</v>
      </c>
      <c r="G11">
        <v>199.74</v>
      </c>
      <c r="H11">
        <v>16</v>
      </c>
      <c r="I11" t="s">
        <v>29</v>
      </c>
      <c r="J11" t="s">
        <v>1440</v>
      </c>
      <c r="K11" t="s">
        <v>1440</v>
      </c>
      <c r="L11" t="s">
        <v>1440</v>
      </c>
      <c r="M11" t="s">
        <v>1440</v>
      </c>
      <c r="N11" t="s">
        <v>1440</v>
      </c>
      <c r="O11" t="s">
        <v>23</v>
      </c>
      <c r="Q11">
        <f t="shared" si="0"/>
        <v>1</v>
      </c>
      <c r="R11" t="e">
        <f t="shared" ca="1" si="1"/>
        <v>#NAME?</v>
      </c>
      <c r="S11">
        <f t="shared" si="2"/>
        <v>8</v>
      </c>
      <c r="T11" t="str">
        <f t="shared" si="3"/>
        <v>Tevreden</v>
      </c>
    </row>
    <row r="12" spans="1:20" x14ac:dyDescent="0.3">
      <c r="A12" t="s">
        <v>1495</v>
      </c>
      <c r="B12" t="s">
        <v>1496</v>
      </c>
      <c r="C12" t="s">
        <v>1497</v>
      </c>
      <c r="D12" t="s">
        <v>1498</v>
      </c>
      <c r="E12" t="s">
        <v>1499</v>
      </c>
      <c r="F12" t="s">
        <v>1500</v>
      </c>
      <c r="G12">
        <v>49.87</v>
      </c>
      <c r="H12">
        <v>11</v>
      </c>
      <c r="I12" t="s">
        <v>22</v>
      </c>
      <c r="J12" t="s">
        <v>1440</v>
      </c>
      <c r="K12" t="s">
        <v>1440</v>
      </c>
      <c r="L12" t="s">
        <v>1440</v>
      </c>
      <c r="M12" t="s">
        <v>1440</v>
      </c>
      <c r="N12" t="s">
        <v>1439</v>
      </c>
      <c r="O12" t="s">
        <v>23</v>
      </c>
      <c r="Q12">
        <f t="shared" si="0"/>
        <v>1</v>
      </c>
      <c r="R12" t="e">
        <f t="shared" ca="1" si="1"/>
        <v>#NAME?</v>
      </c>
      <c r="S12">
        <f t="shared" si="2"/>
        <v>6</v>
      </c>
      <c r="T12" t="str">
        <f t="shared" si="3"/>
        <v>Ontevreden</v>
      </c>
    </row>
    <row r="13" spans="1:20" x14ac:dyDescent="0.3">
      <c r="A13" t="s">
        <v>1501</v>
      </c>
      <c r="B13" t="s">
        <v>1502</v>
      </c>
      <c r="C13" t="s">
        <v>1503</v>
      </c>
      <c r="D13" t="s">
        <v>1504</v>
      </c>
      <c r="E13" t="s">
        <v>1505</v>
      </c>
      <c r="F13" t="s">
        <v>1506</v>
      </c>
      <c r="G13">
        <v>128.28</v>
      </c>
      <c r="H13">
        <v>6</v>
      </c>
      <c r="I13" t="s">
        <v>29</v>
      </c>
      <c r="J13" t="s">
        <v>1439</v>
      </c>
      <c r="K13" t="s">
        <v>1439</v>
      </c>
      <c r="L13" t="s">
        <v>1440</v>
      </c>
      <c r="M13" t="s">
        <v>1439</v>
      </c>
      <c r="N13" t="s">
        <v>1440</v>
      </c>
      <c r="O13" t="s">
        <v>34</v>
      </c>
      <c r="Q13">
        <f t="shared" si="0"/>
        <v>1</v>
      </c>
      <c r="R13" t="e">
        <f t="shared" ca="1" si="1"/>
        <v>#NAME?</v>
      </c>
      <c r="S13">
        <f t="shared" si="2"/>
        <v>4</v>
      </c>
      <c r="T13" t="str">
        <f t="shared" si="3"/>
        <v>Ontevreden</v>
      </c>
    </row>
    <row r="14" spans="1:20" x14ac:dyDescent="0.3">
      <c r="A14" t="s">
        <v>1507</v>
      </c>
      <c r="B14" t="s">
        <v>1508</v>
      </c>
      <c r="C14" t="s">
        <v>1509</v>
      </c>
      <c r="D14" t="s">
        <v>1510</v>
      </c>
      <c r="E14" t="s">
        <v>1511</v>
      </c>
      <c r="F14" t="s">
        <v>1512</v>
      </c>
      <c r="G14">
        <v>40.51</v>
      </c>
      <c r="H14">
        <v>12</v>
      </c>
      <c r="I14" t="s">
        <v>22</v>
      </c>
      <c r="J14" t="s">
        <v>1440</v>
      </c>
      <c r="K14" t="s">
        <v>1440</v>
      </c>
      <c r="L14" t="s">
        <v>1440</v>
      </c>
      <c r="M14" t="s">
        <v>1440</v>
      </c>
      <c r="N14" t="s">
        <v>1440</v>
      </c>
      <c r="O14" t="s">
        <v>23</v>
      </c>
      <c r="Q14">
        <f t="shared" si="0"/>
        <v>1</v>
      </c>
      <c r="R14" t="e">
        <f t="shared" ca="1" si="1"/>
        <v>#NAME?</v>
      </c>
      <c r="S14">
        <f t="shared" si="2"/>
        <v>8</v>
      </c>
      <c r="T14" t="str">
        <f t="shared" si="3"/>
        <v>Tevreden</v>
      </c>
    </row>
    <row r="15" spans="1:20" x14ac:dyDescent="0.3">
      <c r="A15" t="s">
        <v>1513</v>
      </c>
      <c r="B15" t="s">
        <v>1514</v>
      </c>
      <c r="C15" t="s">
        <v>1515</v>
      </c>
      <c r="D15" t="s">
        <v>1516</v>
      </c>
      <c r="E15" t="s">
        <v>1517</v>
      </c>
      <c r="F15" t="s">
        <v>1518</v>
      </c>
      <c r="G15">
        <v>144.63999999999999</v>
      </c>
      <c r="H15">
        <v>8</v>
      </c>
      <c r="I15" t="s">
        <v>22</v>
      </c>
      <c r="J15" t="s">
        <v>1440</v>
      </c>
      <c r="K15" t="s">
        <v>1439</v>
      </c>
      <c r="L15" t="s">
        <v>1439</v>
      </c>
      <c r="M15" t="s">
        <v>1440</v>
      </c>
      <c r="N15" t="s">
        <v>1440</v>
      </c>
      <c r="O15" t="s">
        <v>23</v>
      </c>
      <c r="Q15">
        <f t="shared" si="0"/>
        <v>1</v>
      </c>
      <c r="R15" t="e">
        <f t="shared" ca="1" si="1"/>
        <v>#NAME?</v>
      </c>
      <c r="S15">
        <f t="shared" si="2"/>
        <v>4</v>
      </c>
      <c r="T15" t="str">
        <f t="shared" si="3"/>
        <v>Ontevreden</v>
      </c>
    </row>
    <row r="16" spans="1:20" x14ac:dyDescent="0.3">
      <c r="A16" t="s">
        <v>1519</v>
      </c>
      <c r="B16" t="s">
        <v>1520</v>
      </c>
      <c r="C16" t="s">
        <v>1521</v>
      </c>
      <c r="D16" t="s">
        <v>1522</v>
      </c>
      <c r="E16" t="s">
        <v>1523</v>
      </c>
      <c r="F16" t="s">
        <v>1524</v>
      </c>
      <c r="G16">
        <v>86.75</v>
      </c>
      <c r="H16">
        <v>2</v>
      </c>
      <c r="I16" t="s">
        <v>22</v>
      </c>
      <c r="J16" t="s">
        <v>1440</v>
      </c>
      <c r="K16" t="s">
        <v>1440</v>
      </c>
      <c r="L16" t="s">
        <v>1440</v>
      </c>
      <c r="M16" t="s">
        <v>1440</v>
      </c>
      <c r="N16" t="s">
        <v>1440</v>
      </c>
      <c r="O16" t="s">
        <v>23</v>
      </c>
      <c r="Q16">
        <f t="shared" si="0"/>
        <v>1</v>
      </c>
      <c r="R16" t="e">
        <f t="shared" ca="1" si="1"/>
        <v>#NAME?</v>
      </c>
      <c r="S16">
        <f t="shared" si="2"/>
        <v>8</v>
      </c>
      <c r="T16" t="str">
        <f t="shared" si="3"/>
        <v>Tevreden</v>
      </c>
    </row>
    <row r="17" spans="1:20" x14ac:dyDescent="0.3">
      <c r="A17" t="s">
        <v>1525</v>
      </c>
      <c r="B17" t="s">
        <v>1526</v>
      </c>
      <c r="C17" t="s">
        <v>1527</v>
      </c>
      <c r="D17" t="s">
        <v>1528</v>
      </c>
      <c r="E17" t="s">
        <v>1529</v>
      </c>
      <c r="F17" t="s">
        <v>1530</v>
      </c>
      <c r="G17">
        <v>61.43</v>
      </c>
      <c r="H17">
        <v>8</v>
      </c>
      <c r="I17" t="s">
        <v>22</v>
      </c>
      <c r="J17" t="s">
        <v>1439</v>
      </c>
      <c r="K17" t="s">
        <v>1440</v>
      </c>
      <c r="L17" t="s">
        <v>1440</v>
      </c>
      <c r="M17" t="s">
        <v>1440</v>
      </c>
      <c r="N17" t="s">
        <v>1440</v>
      </c>
      <c r="O17" t="s">
        <v>23</v>
      </c>
      <c r="Q17">
        <f t="shared" si="0"/>
        <v>1</v>
      </c>
      <c r="R17" t="e">
        <f t="shared" ca="1" si="1"/>
        <v>#NAME?</v>
      </c>
      <c r="S17">
        <f t="shared" si="2"/>
        <v>8</v>
      </c>
      <c r="T17" t="str">
        <f t="shared" si="3"/>
        <v>Tevreden</v>
      </c>
    </row>
    <row r="18" spans="1:20" x14ac:dyDescent="0.3">
      <c r="A18" t="s">
        <v>1531</v>
      </c>
      <c r="B18" t="s">
        <v>1532</v>
      </c>
      <c r="C18" t="s">
        <v>1533</v>
      </c>
      <c r="D18" t="s">
        <v>1534</v>
      </c>
      <c r="E18" t="s">
        <v>1535</v>
      </c>
      <c r="F18" t="s">
        <v>1536</v>
      </c>
      <c r="G18">
        <v>70.459999999999994</v>
      </c>
      <c r="H18">
        <v>1</v>
      </c>
      <c r="I18" t="s">
        <v>29</v>
      </c>
      <c r="J18" t="s">
        <v>1439</v>
      </c>
      <c r="K18" t="s">
        <v>1440</v>
      </c>
      <c r="L18" t="s">
        <v>1440</v>
      </c>
      <c r="M18" t="s">
        <v>1440</v>
      </c>
      <c r="N18" t="s">
        <v>1439</v>
      </c>
      <c r="O18" t="s">
        <v>34</v>
      </c>
      <c r="Q18">
        <f t="shared" si="0"/>
        <v>1</v>
      </c>
      <c r="R18" t="e">
        <f t="shared" ca="1" si="1"/>
        <v>#NAME?</v>
      </c>
      <c r="S18">
        <f t="shared" si="2"/>
        <v>6</v>
      </c>
      <c r="T18" t="str">
        <f t="shared" si="3"/>
        <v>Ontevreden</v>
      </c>
    </row>
    <row r="19" spans="1:20" x14ac:dyDescent="0.3">
      <c r="A19" t="s">
        <v>1537</v>
      </c>
      <c r="B19" t="s">
        <v>1538</v>
      </c>
      <c r="C19" t="s">
        <v>1539</v>
      </c>
      <c r="D19" t="s">
        <v>1540</v>
      </c>
      <c r="E19" t="s">
        <v>1541</v>
      </c>
      <c r="F19" t="s">
        <v>1542</v>
      </c>
      <c r="G19">
        <v>64.22</v>
      </c>
      <c r="H19">
        <v>11</v>
      </c>
      <c r="I19" t="s">
        <v>29</v>
      </c>
      <c r="J19" t="s">
        <v>1440</v>
      </c>
      <c r="K19" t="s">
        <v>1440</v>
      </c>
      <c r="L19" t="s">
        <v>1440</v>
      </c>
      <c r="M19" t="s">
        <v>1440</v>
      </c>
      <c r="N19" t="s">
        <v>1440</v>
      </c>
      <c r="O19" t="s">
        <v>23</v>
      </c>
      <c r="Q19">
        <f t="shared" si="0"/>
        <v>1</v>
      </c>
      <c r="R19" t="e">
        <f t="shared" ca="1" si="1"/>
        <v>#NAME?</v>
      </c>
      <c r="S19">
        <f t="shared" si="2"/>
        <v>8</v>
      </c>
      <c r="T19" t="str">
        <f t="shared" si="3"/>
        <v>Tevreden</v>
      </c>
    </row>
    <row r="20" spans="1:20" x14ac:dyDescent="0.3">
      <c r="A20" t="s">
        <v>1543</v>
      </c>
      <c r="B20" t="s">
        <v>1544</v>
      </c>
      <c r="C20" t="s">
        <v>1545</v>
      </c>
      <c r="D20" t="s">
        <v>1546</v>
      </c>
      <c r="E20" t="s">
        <v>1547</v>
      </c>
      <c r="F20" t="s">
        <v>1548</v>
      </c>
      <c r="G20">
        <v>112.34</v>
      </c>
      <c r="H20">
        <v>19</v>
      </c>
      <c r="I20" t="s">
        <v>29</v>
      </c>
      <c r="J20" t="s">
        <v>1440</v>
      </c>
      <c r="K20" t="s">
        <v>1440</v>
      </c>
      <c r="L20" t="s">
        <v>1439</v>
      </c>
      <c r="M20" t="s">
        <v>1439</v>
      </c>
      <c r="N20" t="s">
        <v>1440</v>
      </c>
      <c r="O20" t="s">
        <v>23</v>
      </c>
      <c r="Q20">
        <f t="shared" si="0"/>
        <v>1</v>
      </c>
      <c r="R20" t="e">
        <f t="shared" ca="1" si="1"/>
        <v>#NAME?</v>
      </c>
      <c r="S20">
        <f t="shared" si="2"/>
        <v>4</v>
      </c>
      <c r="T20" t="str">
        <f t="shared" si="3"/>
        <v>Ontevreden</v>
      </c>
    </row>
    <row r="21" spans="1:20" x14ac:dyDescent="0.3">
      <c r="A21" t="s">
        <v>1549</v>
      </c>
      <c r="B21" t="s">
        <v>1550</v>
      </c>
      <c r="C21" t="s">
        <v>1551</v>
      </c>
      <c r="D21" t="s">
        <v>1552</v>
      </c>
      <c r="E21" t="s">
        <v>1553</v>
      </c>
      <c r="F21" t="s">
        <v>1554</v>
      </c>
      <c r="G21">
        <v>212.66</v>
      </c>
      <c r="H21">
        <v>14</v>
      </c>
      <c r="I21" t="s">
        <v>22</v>
      </c>
      <c r="J21" t="s">
        <v>1440</v>
      </c>
      <c r="K21" t="s">
        <v>1440</v>
      </c>
      <c r="L21" t="s">
        <v>1440</v>
      </c>
      <c r="M21" t="s">
        <v>1440</v>
      </c>
      <c r="N21" t="s">
        <v>1440</v>
      </c>
      <c r="O21" t="s">
        <v>23</v>
      </c>
      <c r="Q21">
        <f t="shared" si="0"/>
        <v>1</v>
      </c>
      <c r="R21" t="e">
        <f t="shared" ca="1" si="1"/>
        <v>#NAME?</v>
      </c>
      <c r="S21">
        <f t="shared" si="2"/>
        <v>8</v>
      </c>
      <c r="T21" t="str">
        <f t="shared" si="3"/>
        <v>Tevreden</v>
      </c>
    </row>
    <row r="22" spans="1:20" x14ac:dyDescent="0.3">
      <c r="A22" t="s">
        <v>1555</v>
      </c>
      <c r="B22" t="s">
        <v>1556</v>
      </c>
      <c r="C22" t="s">
        <v>1557</v>
      </c>
      <c r="D22" t="s">
        <v>1558</v>
      </c>
      <c r="E22" t="s">
        <v>1559</v>
      </c>
      <c r="F22" t="s">
        <v>1560</v>
      </c>
      <c r="G22">
        <v>110.65</v>
      </c>
      <c r="H22">
        <v>12</v>
      </c>
      <c r="I22" t="s">
        <v>29</v>
      </c>
      <c r="J22" t="s">
        <v>1440</v>
      </c>
      <c r="K22" t="s">
        <v>1440</v>
      </c>
      <c r="L22" t="s">
        <v>1439</v>
      </c>
      <c r="M22" t="s">
        <v>1440</v>
      </c>
      <c r="N22" t="s">
        <v>1440</v>
      </c>
      <c r="O22" t="s">
        <v>23</v>
      </c>
      <c r="Q22">
        <f t="shared" si="0"/>
        <v>1</v>
      </c>
      <c r="R22" t="e">
        <f t="shared" ca="1" si="1"/>
        <v>#NAME?</v>
      </c>
      <c r="S22">
        <f t="shared" si="2"/>
        <v>6</v>
      </c>
      <c r="T22" t="str">
        <f t="shared" si="3"/>
        <v>Ontevreden</v>
      </c>
    </row>
    <row r="23" spans="1:20" x14ac:dyDescent="0.3">
      <c r="A23" t="s">
        <v>1561</v>
      </c>
      <c r="B23" t="s">
        <v>1562</v>
      </c>
      <c r="C23" t="s">
        <v>1563</v>
      </c>
      <c r="D23" t="s">
        <v>1564</v>
      </c>
      <c r="E23" t="s">
        <v>1565</v>
      </c>
      <c r="F23" t="s">
        <v>1566</v>
      </c>
      <c r="G23">
        <v>266.45999999999998</v>
      </c>
      <c r="H23">
        <v>8</v>
      </c>
      <c r="I23" t="s">
        <v>102</v>
      </c>
      <c r="J23" t="s">
        <v>1440</v>
      </c>
      <c r="K23" t="s">
        <v>1439</v>
      </c>
      <c r="L23" t="s">
        <v>1439</v>
      </c>
      <c r="M23" t="s">
        <v>1440</v>
      </c>
      <c r="N23" t="s">
        <v>1440</v>
      </c>
      <c r="O23" t="s">
        <v>23</v>
      </c>
      <c r="Q23">
        <f t="shared" si="0"/>
        <v>1</v>
      </c>
      <c r="R23" t="e">
        <f t="shared" ca="1" si="1"/>
        <v>#NAME?</v>
      </c>
      <c r="S23">
        <f t="shared" si="2"/>
        <v>4</v>
      </c>
      <c r="T23" t="str">
        <f t="shared" si="3"/>
        <v>Ontevreden</v>
      </c>
    </row>
    <row r="24" spans="1:20" x14ac:dyDescent="0.3">
      <c r="A24" t="s">
        <v>1567</v>
      </c>
      <c r="B24" t="s">
        <v>1568</v>
      </c>
      <c r="C24" t="s">
        <v>1569</v>
      </c>
      <c r="D24" t="s">
        <v>1570</v>
      </c>
      <c r="E24" t="s">
        <v>1571</v>
      </c>
      <c r="F24" t="s">
        <v>1572</v>
      </c>
      <c r="G24">
        <v>142.5</v>
      </c>
      <c r="H24">
        <v>13</v>
      </c>
      <c r="I24" t="s">
        <v>29</v>
      </c>
      <c r="J24" t="s">
        <v>1439</v>
      </c>
      <c r="K24" t="s">
        <v>1440</v>
      </c>
      <c r="L24" t="s">
        <v>1440</v>
      </c>
      <c r="M24" t="s">
        <v>1440</v>
      </c>
      <c r="N24" t="s">
        <v>1440</v>
      </c>
      <c r="O24" t="s">
        <v>23</v>
      </c>
      <c r="Q24">
        <f t="shared" si="0"/>
        <v>1</v>
      </c>
      <c r="R24" t="e">
        <f t="shared" ca="1" si="1"/>
        <v>#NAME?</v>
      </c>
      <c r="S24">
        <f t="shared" si="2"/>
        <v>8</v>
      </c>
      <c r="T24" t="str">
        <f t="shared" si="3"/>
        <v>Tevreden</v>
      </c>
    </row>
    <row r="25" spans="1:20" x14ac:dyDescent="0.3">
      <c r="A25" t="s">
        <v>1573</v>
      </c>
      <c r="B25" t="s">
        <v>1574</v>
      </c>
      <c r="C25" t="s">
        <v>1575</v>
      </c>
      <c r="D25" t="s">
        <v>1576</v>
      </c>
      <c r="E25" t="s">
        <v>1577</v>
      </c>
      <c r="F25" t="s">
        <v>1578</v>
      </c>
      <c r="G25">
        <v>156.93</v>
      </c>
      <c r="H25">
        <v>5</v>
      </c>
      <c r="I25" t="s">
        <v>22</v>
      </c>
      <c r="J25" t="s">
        <v>1439</v>
      </c>
      <c r="K25" t="s">
        <v>1440</v>
      </c>
      <c r="L25" t="s">
        <v>1440</v>
      </c>
      <c r="M25" t="s">
        <v>1439</v>
      </c>
      <c r="N25" t="s">
        <v>1440</v>
      </c>
      <c r="O25" t="s">
        <v>23</v>
      </c>
      <c r="Q25">
        <f t="shared" si="0"/>
        <v>1</v>
      </c>
      <c r="R25" t="e">
        <f t="shared" ca="1" si="1"/>
        <v>#NAME?</v>
      </c>
      <c r="S25">
        <f t="shared" si="2"/>
        <v>6</v>
      </c>
      <c r="T25" t="str">
        <f t="shared" si="3"/>
        <v>Ontevreden</v>
      </c>
    </row>
    <row r="26" spans="1:20" x14ac:dyDescent="0.3">
      <c r="A26" t="s">
        <v>1579</v>
      </c>
      <c r="B26" t="s">
        <v>1580</v>
      </c>
      <c r="C26" t="s">
        <v>1581</v>
      </c>
      <c r="D26" t="s">
        <v>513</v>
      </c>
      <c r="E26" t="s">
        <v>1582</v>
      </c>
      <c r="F26" t="s">
        <v>1583</v>
      </c>
      <c r="G26">
        <v>31.97</v>
      </c>
      <c r="H26">
        <v>8</v>
      </c>
      <c r="I26" t="s">
        <v>29</v>
      </c>
      <c r="J26" t="s">
        <v>1439</v>
      </c>
      <c r="K26" t="s">
        <v>1439</v>
      </c>
      <c r="L26" t="s">
        <v>1440</v>
      </c>
      <c r="M26" t="s">
        <v>1440</v>
      </c>
      <c r="N26" t="s">
        <v>1440</v>
      </c>
      <c r="O26" t="s">
        <v>23</v>
      </c>
      <c r="Q26">
        <f t="shared" si="0"/>
        <v>1</v>
      </c>
      <c r="R26" t="e">
        <f t="shared" ca="1" si="1"/>
        <v>#NAME?</v>
      </c>
      <c r="S26">
        <f t="shared" si="2"/>
        <v>6</v>
      </c>
      <c r="T26" t="str">
        <f t="shared" si="3"/>
        <v>Ontevreden</v>
      </c>
    </row>
    <row r="27" spans="1:20" x14ac:dyDescent="0.3">
      <c r="A27" t="s">
        <v>1584</v>
      </c>
      <c r="B27" t="s">
        <v>1568</v>
      </c>
      <c r="C27" t="s">
        <v>1585</v>
      </c>
      <c r="D27" t="s">
        <v>1586</v>
      </c>
      <c r="E27" t="s">
        <v>1587</v>
      </c>
      <c r="F27" t="s">
        <v>1588</v>
      </c>
      <c r="G27">
        <v>96.23</v>
      </c>
      <c r="H27">
        <v>1</v>
      </c>
      <c r="I27" t="s">
        <v>29</v>
      </c>
      <c r="J27" t="s">
        <v>1440</v>
      </c>
      <c r="K27" t="s">
        <v>1440</v>
      </c>
      <c r="L27" t="s">
        <v>1440</v>
      </c>
      <c r="M27" t="s">
        <v>1439</v>
      </c>
      <c r="N27" t="s">
        <v>1439</v>
      </c>
      <c r="O27" t="s">
        <v>23</v>
      </c>
      <c r="Q27">
        <f t="shared" si="0"/>
        <v>1</v>
      </c>
      <c r="R27" t="e">
        <f t="shared" ca="1" si="1"/>
        <v>#NAME?</v>
      </c>
      <c r="S27">
        <f t="shared" si="2"/>
        <v>4</v>
      </c>
      <c r="T27" t="str">
        <f t="shared" si="3"/>
        <v>Ontevreden</v>
      </c>
    </row>
    <row r="28" spans="1:20" x14ac:dyDescent="0.3">
      <c r="A28" t="s">
        <v>1589</v>
      </c>
      <c r="B28" t="s">
        <v>1590</v>
      </c>
      <c r="C28" t="s">
        <v>1591</v>
      </c>
      <c r="D28" t="s">
        <v>1592</v>
      </c>
      <c r="E28" t="s">
        <v>1593</v>
      </c>
      <c r="F28" t="s">
        <v>1594</v>
      </c>
      <c r="G28">
        <v>48.24</v>
      </c>
      <c r="H28">
        <v>10</v>
      </c>
      <c r="I28" t="s">
        <v>57</v>
      </c>
      <c r="J28" t="s">
        <v>1440</v>
      </c>
      <c r="K28" t="s">
        <v>1439</v>
      </c>
      <c r="L28" t="s">
        <v>1440</v>
      </c>
      <c r="M28" t="s">
        <v>1440</v>
      </c>
      <c r="N28" t="s">
        <v>1440</v>
      </c>
      <c r="O28" t="s">
        <v>23</v>
      </c>
      <c r="Q28">
        <f t="shared" si="0"/>
        <v>1</v>
      </c>
      <c r="R28" t="e">
        <f t="shared" ca="1" si="1"/>
        <v>#NAME?</v>
      </c>
      <c r="S28">
        <f t="shared" si="2"/>
        <v>6</v>
      </c>
      <c r="T28" t="str">
        <f t="shared" si="3"/>
        <v>Ontevreden</v>
      </c>
    </row>
    <row r="29" spans="1:20" x14ac:dyDescent="0.3">
      <c r="A29" t="s">
        <v>1595</v>
      </c>
      <c r="B29" t="s">
        <v>1596</v>
      </c>
      <c r="C29" t="s">
        <v>1597</v>
      </c>
      <c r="D29" t="s">
        <v>1598</v>
      </c>
      <c r="E29" t="s">
        <v>1599</v>
      </c>
      <c r="F29" t="s">
        <v>1600</v>
      </c>
      <c r="G29">
        <v>133.68</v>
      </c>
      <c r="H29">
        <v>2</v>
      </c>
      <c r="I29" t="s">
        <v>29</v>
      </c>
      <c r="J29" t="s">
        <v>1440</v>
      </c>
      <c r="K29" t="s">
        <v>1440</v>
      </c>
      <c r="L29" t="s">
        <v>1440</v>
      </c>
      <c r="M29" t="s">
        <v>1439</v>
      </c>
      <c r="N29" t="s">
        <v>1440</v>
      </c>
      <c r="O29" t="s">
        <v>23</v>
      </c>
      <c r="Q29">
        <f t="shared" si="0"/>
        <v>1</v>
      </c>
      <c r="R29" t="e">
        <f t="shared" ca="1" si="1"/>
        <v>#NAME?</v>
      </c>
      <c r="S29">
        <f t="shared" si="2"/>
        <v>6</v>
      </c>
      <c r="T29" t="str">
        <f t="shared" si="3"/>
        <v>Ontevreden</v>
      </c>
    </row>
    <row r="30" spans="1:20" x14ac:dyDescent="0.3">
      <c r="A30" t="s">
        <v>1601</v>
      </c>
      <c r="B30" t="s">
        <v>1602</v>
      </c>
      <c r="C30" t="s">
        <v>1603</v>
      </c>
      <c r="D30" t="s">
        <v>1604</v>
      </c>
      <c r="E30" t="s">
        <v>1605</v>
      </c>
      <c r="F30" t="s">
        <v>1606</v>
      </c>
      <c r="G30">
        <v>122.74</v>
      </c>
      <c r="H30">
        <v>12</v>
      </c>
      <c r="I30" t="s">
        <v>29</v>
      </c>
      <c r="J30" t="s">
        <v>1440</v>
      </c>
      <c r="K30" t="s">
        <v>1440</v>
      </c>
      <c r="L30" t="s">
        <v>1440</v>
      </c>
      <c r="M30" t="s">
        <v>1440</v>
      </c>
      <c r="N30" t="s">
        <v>1440</v>
      </c>
      <c r="O30" t="s">
        <v>34</v>
      </c>
      <c r="Q30">
        <f t="shared" si="0"/>
        <v>1</v>
      </c>
      <c r="R30" t="e">
        <f t="shared" ca="1" si="1"/>
        <v>#NAME?</v>
      </c>
      <c r="S30">
        <f t="shared" si="2"/>
        <v>8</v>
      </c>
      <c r="T30" t="str">
        <f t="shared" si="3"/>
        <v>Tevreden</v>
      </c>
    </row>
    <row r="31" spans="1:20" x14ac:dyDescent="0.3">
      <c r="A31" t="s">
        <v>1607</v>
      </c>
      <c r="B31" t="s">
        <v>1608</v>
      </c>
      <c r="C31" t="s">
        <v>1609</v>
      </c>
      <c r="D31" t="s">
        <v>1610</v>
      </c>
      <c r="E31" t="s">
        <v>1611</v>
      </c>
      <c r="F31" t="s">
        <v>1612</v>
      </c>
      <c r="G31">
        <v>97.11</v>
      </c>
      <c r="H31">
        <v>1</v>
      </c>
      <c r="I31" t="s">
        <v>29</v>
      </c>
      <c r="J31" t="s">
        <v>1440</v>
      </c>
      <c r="K31" t="s">
        <v>1439</v>
      </c>
      <c r="L31" t="s">
        <v>1440</v>
      </c>
      <c r="M31" t="s">
        <v>1439</v>
      </c>
      <c r="N31" t="s">
        <v>1440</v>
      </c>
      <c r="O31" t="s">
        <v>23</v>
      </c>
      <c r="Q31">
        <f t="shared" si="0"/>
        <v>1</v>
      </c>
      <c r="R31" t="e">
        <f t="shared" ca="1" si="1"/>
        <v>#NAME?</v>
      </c>
      <c r="S31">
        <f t="shared" si="2"/>
        <v>4</v>
      </c>
      <c r="T31" t="str">
        <f t="shared" si="3"/>
        <v>Ontevreden</v>
      </c>
    </row>
    <row r="32" spans="1:20" x14ac:dyDescent="0.3">
      <c r="A32" t="s">
        <v>1613</v>
      </c>
      <c r="B32" t="s">
        <v>1614</v>
      </c>
      <c r="C32" t="s">
        <v>1615</v>
      </c>
      <c r="D32" t="s">
        <v>1616</v>
      </c>
      <c r="E32" t="s">
        <v>1617</v>
      </c>
      <c r="F32" t="s">
        <v>1618</v>
      </c>
      <c r="G32">
        <v>157.52000000000001</v>
      </c>
      <c r="H32">
        <v>23</v>
      </c>
      <c r="I32" t="s">
        <v>22</v>
      </c>
      <c r="J32" t="s">
        <v>1440</v>
      </c>
      <c r="K32" t="s">
        <v>1439</v>
      </c>
      <c r="L32" t="s">
        <v>1440</v>
      </c>
      <c r="M32" t="s">
        <v>1440</v>
      </c>
      <c r="N32" t="s">
        <v>1440</v>
      </c>
      <c r="O32" t="s">
        <v>23</v>
      </c>
      <c r="Q32">
        <f t="shared" si="0"/>
        <v>1</v>
      </c>
      <c r="R32" t="e">
        <f t="shared" ca="1" si="1"/>
        <v>#NAME?</v>
      </c>
      <c r="S32">
        <f t="shared" si="2"/>
        <v>6</v>
      </c>
      <c r="T32" t="str">
        <f t="shared" si="3"/>
        <v>Ontevreden</v>
      </c>
    </row>
    <row r="33" spans="1:20" x14ac:dyDescent="0.3">
      <c r="A33" t="s">
        <v>1619</v>
      </c>
      <c r="B33" t="s">
        <v>1620</v>
      </c>
      <c r="C33" t="s">
        <v>1621</v>
      </c>
      <c r="D33" t="s">
        <v>1622</v>
      </c>
      <c r="E33" t="s">
        <v>1623</v>
      </c>
      <c r="F33" t="s">
        <v>1624</v>
      </c>
      <c r="G33">
        <v>228.67</v>
      </c>
      <c r="H33">
        <v>6</v>
      </c>
      <c r="I33" t="s">
        <v>22</v>
      </c>
      <c r="J33" t="s">
        <v>1440</v>
      </c>
      <c r="K33" t="s">
        <v>1439</v>
      </c>
      <c r="L33" t="s">
        <v>1440</v>
      </c>
      <c r="M33" t="s">
        <v>1440</v>
      </c>
      <c r="N33" t="s">
        <v>1440</v>
      </c>
      <c r="O33" t="s">
        <v>23</v>
      </c>
      <c r="Q33">
        <f t="shared" si="0"/>
        <v>1</v>
      </c>
      <c r="R33" t="e">
        <f t="shared" ca="1" si="1"/>
        <v>#NAME?</v>
      </c>
      <c r="S33">
        <f t="shared" si="2"/>
        <v>6</v>
      </c>
      <c r="T33" t="str">
        <f t="shared" si="3"/>
        <v>Ontevreden</v>
      </c>
    </row>
    <row r="34" spans="1:20" x14ac:dyDescent="0.3">
      <c r="A34" t="s">
        <v>1625</v>
      </c>
      <c r="B34" t="s">
        <v>1626</v>
      </c>
      <c r="C34" t="s">
        <v>1627</v>
      </c>
      <c r="D34" t="s">
        <v>1628</v>
      </c>
      <c r="E34" t="s">
        <v>1629</v>
      </c>
      <c r="F34" t="s">
        <v>1630</v>
      </c>
      <c r="G34">
        <v>131.61000000000001</v>
      </c>
      <c r="H34">
        <v>15</v>
      </c>
      <c r="I34" t="s">
        <v>22</v>
      </c>
      <c r="J34" t="s">
        <v>1440</v>
      </c>
      <c r="K34" t="s">
        <v>1439</v>
      </c>
      <c r="L34" t="s">
        <v>1439</v>
      </c>
      <c r="M34" t="s">
        <v>1439</v>
      </c>
      <c r="N34" t="s">
        <v>1440</v>
      </c>
      <c r="O34" t="s">
        <v>78</v>
      </c>
      <c r="Q34">
        <f t="shared" si="0"/>
        <v>1</v>
      </c>
      <c r="R34" t="e">
        <f t="shared" ca="1" si="1"/>
        <v>#NAME?</v>
      </c>
      <c r="S34">
        <f t="shared" si="2"/>
        <v>2</v>
      </c>
      <c r="T34" t="str">
        <f t="shared" si="3"/>
        <v>Ontevreden</v>
      </c>
    </row>
    <row r="35" spans="1:20" x14ac:dyDescent="0.3">
      <c r="A35" t="s">
        <v>1631</v>
      </c>
      <c r="B35" t="s">
        <v>1632</v>
      </c>
      <c r="C35" t="s">
        <v>1633</v>
      </c>
      <c r="D35" t="s">
        <v>1634</v>
      </c>
      <c r="E35" t="s">
        <v>1635</v>
      </c>
      <c r="F35" t="s">
        <v>1636</v>
      </c>
      <c r="G35">
        <v>195.99</v>
      </c>
      <c r="H35">
        <v>26</v>
      </c>
      <c r="I35" t="s">
        <v>29</v>
      </c>
      <c r="J35" t="s">
        <v>1440</v>
      </c>
      <c r="K35" t="s">
        <v>1440</v>
      </c>
      <c r="L35" t="s">
        <v>1440</v>
      </c>
      <c r="M35" t="s">
        <v>1440</v>
      </c>
      <c r="N35" t="s">
        <v>1440</v>
      </c>
      <c r="O35" t="s">
        <v>34</v>
      </c>
      <c r="Q35">
        <f t="shared" si="0"/>
        <v>1</v>
      </c>
      <c r="R35" t="e">
        <f t="shared" ca="1" si="1"/>
        <v>#NAME?</v>
      </c>
      <c r="S35">
        <f t="shared" si="2"/>
        <v>8</v>
      </c>
      <c r="T35" t="str">
        <f t="shared" si="3"/>
        <v>Tevreden</v>
      </c>
    </row>
    <row r="36" spans="1:20" x14ac:dyDescent="0.3">
      <c r="A36" t="s">
        <v>1637</v>
      </c>
      <c r="B36" t="s">
        <v>1638</v>
      </c>
      <c r="C36" t="s">
        <v>1639</v>
      </c>
      <c r="D36" t="s">
        <v>1640</v>
      </c>
      <c r="E36" t="s">
        <v>1641</v>
      </c>
      <c r="F36" t="s">
        <v>1642</v>
      </c>
      <c r="G36">
        <v>35.83</v>
      </c>
      <c r="H36">
        <v>11</v>
      </c>
      <c r="I36" t="s">
        <v>57</v>
      </c>
      <c r="J36" t="s">
        <v>1440</v>
      </c>
      <c r="K36" t="s">
        <v>1440</v>
      </c>
      <c r="L36" t="s">
        <v>1440</v>
      </c>
      <c r="M36" t="s">
        <v>1439</v>
      </c>
      <c r="N36" t="s">
        <v>1439</v>
      </c>
      <c r="O36" t="s">
        <v>23</v>
      </c>
      <c r="Q36">
        <f t="shared" si="0"/>
        <v>1</v>
      </c>
      <c r="R36" t="e">
        <f t="shared" ca="1" si="1"/>
        <v>#NAME?</v>
      </c>
      <c r="S36">
        <f t="shared" si="2"/>
        <v>4</v>
      </c>
      <c r="T36" t="str">
        <f t="shared" si="3"/>
        <v>Ontevreden</v>
      </c>
    </row>
    <row r="37" spans="1:20" x14ac:dyDescent="0.3">
      <c r="A37" t="s">
        <v>1643</v>
      </c>
      <c r="B37" t="s">
        <v>1434</v>
      </c>
      <c r="C37" t="s">
        <v>1644</v>
      </c>
      <c r="D37" t="s">
        <v>1645</v>
      </c>
      <c r="E37" t="s">
        <v>1646</v>
      </c>
      <c r="F37" t="s">
        <v>1647</v>
      </c>
      <c r="G37">
        <v>187.81</v>
      </c>
      <c r="H37">
        <v>10</v>
      </c>
      <c r="I37" t="s">
        <v>29</v>
      </c>
      <c r="J37" t="s">
        <v>1440</v>
      </c>
      <c r="K37" t="s">
        <v>1440</v>
      </c>
      <c r="L37" t="s">
        <v>1440</v>
      </c>
      <c r="M37" t="s">
        <v>1440</v>
      </c>
      <c r="N37" t="s">
        <v>1440</v>
      </c>
      <c r="O37" t="s">
        <v>23</v>
      </c>
      <c r="Q37">
        <f t="shared" si="0"/>
        <v>1</v>
      </c>
      <c r="R37" t="e">
        <f t="shared" ca="1" si="1"/>
        <v>#NAME?</v>
      </c>
      <c r="S37">
        <f t="shared" si="2"/>
        <v>8</v>
      </c>
      <c r="T37" t="str">
        <f t="shared" si="3"/>
        <v>Tevreden</v>
      </c>
    </row>
    <row r="38" spans="1:20" x14ac:dyDescent="0.3">
      <c r="A38" t="s">
        <v>1648</v>
      </c>
      <c r="B38" t="s">
        <v>1649</v>
      </c>
      <c r="C38" t="s">
        <v>1650</v>
      </c>
      <c r="D38" t="s">
        <v>1651</v>
      </c>
      <c r="E38" t="s">
        <v>1652</v>
      </c>
      <c r="F38" t="s">
        <v>1653</v>
      </c>
      <c r="G38">
        <v>165.65</v>
      </c>
      <c r="H38">
        <v>1</v>
      </c>
      <c r="I38" t="s">
        <v>29</v>
      </c>
      <c r="J38" t="s">
        <v>1440</v>
      </c>
      <c r="K38" t="s">
        <v>1440</v>
      </c>
      <c r="L38" t="s">
        <v>1440</v>
      </c>
      <c r="M38" t="s">
        <v>1440</v>
      </c>
      <c r="N38" t="s">
        <v>1440</v>
      </c>
      <c r="O38" t="s">
        <v>23</v>
      </c>
      <c r="Q38">
        <f t="shared" si="0"/>
        <v>1</v>
      </c>
      <c r="R38" t="e">
        <f t="shared" ca="1" si="1"/>
        <v>#NAME?</v>
      </c>
      <c r="S38">
        <f t="shared" si="2"/>
        <v>8</v>
      </c>
      <c r="T38" t="str">
        <f t="shared" si="3"/>
        <v>Tevreden</v>
      </c>
    </row>
    <row r="39" spans="1:20" x14ac:dyDescent="0.3">
      <c r="A39" t="s">
        <v>1654</v>
      </c>
      <c r="B39" t="s">
        <v>1655</v>
      </c>
      <c r="C39" t="s">
        <v>1656</v>
      </c>
      <c r="D39" t="s">
        <v>1657</v>
      </c>
      <c r="E39" t="s">
        <v>1658</v>
      </c>
      <c r="F39" t="s">
        <v>1659</v>
      </c>
      <c r="G39">
        <v>169.31</v>
      </c>
      <c r="H39">
        <v>5</v>
      </c>
      <c r="I39" t="s">
        <v>57</v>
      </c>
      <c r="J39" t="s">
        <v>1440</v>
      </c>
      <c r="K39" t="s">
        <v>1440</v>
      </c>
      <c r="L39" t="s">
        <v>1440</v>
      </c>
      <c r="M39" t="s">
        <v>1440</v>
      </c>
      <c r="N39" t="s">
        <v>1440</v>
      </c>
      <c r="O39" t="s">
        <v>23</v>
      </c>
      <c r="Q39">
        <f t="shared" si="0"/>
        <v>1</v>
      </c>
      <c r="R39" t="e">
        <f t="shared" ca="1" si="1"/>
        <v>#NAME?</v>
      </c>
      <c r="S39">
        <f t="shared" si="2"/>
        <v>8</v>
      </c>
      <c r="T39" t="str">
        <f t="shared" si="3"/>
        <v>Tevreden</v>
      </c>
    </row>
    <row r="40" spans="1:20" x14ac:dyDescent="0.3">
      <c r="A40" t="s">
        <v>1660</v>
      </c>
      <c r="B40" t="s">
        <v>1661</v>
      </c>
      <c r="C40" t="s">
        <v>1662</v>
      </c>
      <c r="D40" t="s">
        <v>1663</v>
      </c>
      <c r="E40" t="s">
        <v>1664</v>
      </c>
      <c r="F40" t="s">
        <v>1665</v>
      </c>
      <c r="G40">
        <v>133.4</v>
      </c>
      <c r="H40">
        <v>3</v>
      </c>
      <c r="I40" t="s">
        <v>22</v>
      </c>
      <c r="J40" t="s">
        <v>1440</v>
      </c>
      <c r="K40" t="s">
        <v>1439</v>
      </c>
      <c r="L40" t="s">
        <v>1439</v>
      </c>
      <c r="M40" t="s">
        <v>1439</v>
      </c>
      <c r="N40" t="s">
        <v>1440</v>
      </c>
      <c r="O40" t="s">
        <v>78</v>
      </c>
      <c r="Q40">
        <f t="shared" si="0"/>
        <v>1</v>
      </c>
      <c r="R40" t="e">
        <f t="shared" ca="1" si="1"/>
        <v>#NAME?</v>
      </c>
      <c r="S40">
        <f t="shared" si="2"/>
        <v>2</v>
      </c>
      <c r="T40" t="str">
        <f t="shared" si="3"/>
        <v>Ontevreden</v>
      </c>
    </row>
    <row r="41" spans="1:20" x14ac:dyDescent="0.3">
      <c r="A41" t="s">
        <v>1666</v>
      </c>
      <c r="B41" t="s">
        <v>1667</v>
      </c>
      <c r="C41" t="s">
        <v>1668</v>
      </c>
      <c r="D41" t="s">
        <v>1669</v>
      </c>
      <c r="E41" t="s">
        <v>1670</v>
      </c>
      <c r="F41" t="s">
        <v>1671</v>
      </c>
      <c r="G41">
        <v>75.28</v>
      </c>
      <c r="H41">
        <v>8</v>
      </c>
      <c r="I41" t="s">
        <v>22</v>
      </c>
      <c r="J41" t="s">
        <v>1440</v>
      </c>
      <c r="K41" t="s">
        <v>1440</v>
      </c>
      <c r="L41" t="s">
        <v>1440</v>
      </c>
      <c r="M41" t="s">
        <v>1440</v>
      </c>
      <c r="N41" t="s">
        <v>1439</v>
      </c>
      <c r="O41" t="s">
        <v>34</v>
      </c>
      <c r="Q41">
        <f t="shared" si="0"/>
        <v>1</v>
      </c>
      <c r="R41" t="e">
        <f t="shared" ca="1" si="1"/>
        <v>#NAME?</v>
      </c>
      <c r="S41">
        <f t="shared" si="2"/>
        <v>6</v>
      </c>
      <c r="T41" t="str">
        <f t="shared" si="3"/>
        <v>Ontevreden</v>
      </c>
    </row>
    <row r="42" spans="1:20" x14ac:dyDescent="0.3">
      <c r="A42" t="s">
        <v>1672</v>
      </c>
      <c r="B42" t="s">
        <v>1673</v>
      </c>
      <c r="C42" t="s">
        <v>1674</v>
      </c>
      <c r="D42" t="s">
        <v>1675</v>
      </c>
      <c r="E42" t="s">
        <v>1676</v>
      </c>
      <c r="F42" t="s">
        <v>1677</v>
      </c>
      <c r="G42">
        <v>158.52000000000001</v>
      </c>
      <c r="H42">
        <v>2</v>
      </c>
      <c r="I42" t="s">
        <v>29</v>
      </c>
      <c r="J42" t="s">
        <v>1439</v>
      </c>
      <c r="K42" t="s">
        <v>1440</v>
      </c>
      <c r="L42" t="s">
        <v>1440</v>
      </c>
      <c r="M42" t="s">
        <v>1440</v>
      </c>
      <c r="N42" t="s">
        <v>1440</v>
      </c>
      <c r="O42" t="s">
        <v>34</v>
      </c>
      <c r="Q42">
        <f t="shared" si="0"/>
        <v>1</v>
      </c>
      <c r="R42" t="e">
        <f t="shared" ca="1" si="1"/>
        <v>#NAME?</v>
      </c>
      <c r="S42">
        <f t="shared" si="2"/>
        <v>8</v>
      </c>
      <c r="T42" t="str">
        <f t="shared" si="3"/>
        <v>Tevreden</v>
      </c>
    </row>
    <row r="43" spans="1:20" x14ac:dyDescent="0.3">
      <c r="A43" t="s">
        <v>1465</v>
      </c>
      <c r="B43" t="s">
        <v>1678</v>
      </c>
      <c r="C43" t="s">
        <v>1679</v>
      </c>
      <c r="D43" t="s">
        <v>1680</v>
      </c>
      <c r="E43" t="s">
        <v>1681</v>
      </c>
      <c r="F43" t="s">
        <v>1682</v>
      </c>
      <c r="G43">
        <v>115.1</v>
      </c>
      <c r="H43">
        <v>7</v>
      </c>
      <c r="I43" t="s">
        <v>29</v>
      </c>
      <c r="J43" t="s">
        <v>1440</v>
      </c>
      <c r="K43" t="s">
        <v>1440</v>
      </c>
      <c r="L43" t="s">
        <v>1440</v>
      </c>
      <c r="M43" t="s">
        <v>1440</v>
      </c>
      <c r="N43" t="s">
        <v>1439</v>
      </c>
      <c r="O43" t="s">
        <v>23</v>
      </c>
      <c r="Q43">
        <f t="shared" si="0"/>
        <v>1</v>
      </c>
      <c r="R43" t="e">
        <f t="shared" ca="1" si="1"/>
        <v>#NAME?</v>
      </c>
      <c r="S43">
        <f t="shared" si="2"/>
        <v>6</v>
      </c>
      <c r="T43" t="str">
        <f t="shared" si="3"/>
        <v>Ontevreden</v>
      </c>
    </row>
    <row r="44" spans="1:20" x14ac:dyDescent="0.3">
      <c r="A44" t="s">
        <v>1683</v>
      </c>
      <c r="B44" t="s">
        <v>1684</v>
      </c>
      <c r="C44" t="s">
        <v>1685</v>
      </c>
      <c r="D44" t="s">
        <v>1686</v>
      </c>
      <c r="E44" t="s">
        <v>1687</v>
      </c>
      <c r="F44" t="s">
        <v>1688</v>
      </c>
      <c r="G44">
        <v>105.16</v>
      </c>
      <c r="H44">
        <v>6</v>
      </c>
      <c r="I44" t="s">
        <v>22</v>
      </c>
      <c r="J44" t="s">
        <v>1439</v>
      </c>
      <c r="K44" t="s">
        <v>1440</v>
      </c>
      <c r="L44" t="s">
        <v>1440</v>
      </c>
      <c r="M44" t="s">
        <v>1440</v>
      </c>
      <c r="N44" t="s">
        <v>1440</v>
      </c>
      <c r="O44" t="s">
        <v>34</v>
      </c>
      <c r="Q44">
        <f t="shared" si="0"/>
        <v>1</v>
      </c>
      <c r="R44" t="e">
        <f t="shared" ca="1" si="1"/>
        <v>#NAME?</v>
      </c>
      <c r="S44">
        <f t="shared" si="2"/>
        <v>8</v>
      </c>
      <c r="T44" t="str">
        <f t="shared" si="3"/>
        <v>Tevreden</v>
      </c>
    </row>
    <row r="45" spans="1:20" x14ac:dyDescent="0.3">
      <c r="A45" t="s">
        <v>1689</v>
      </c>
      <c r="B45" t="s">
        <v>1690</v>
      </c>
      <c r="C45" t="s">
        <v>1691</v>
      </c>
      <c r="D45" t="s">
        <v>1692</v>
      </c>
      <c r="E45" t="s">
        <v>1693</v>
      </c>
      <c r="F45" t="s">
        <v>1689</v>
      </c>
      <c r="G45">
        <v>68.56</v>
      </c>
      <c r="H45">
        <v>7</v>
      </c>
      <c r="I45" t="s">
        <v>22</v>
      </c>
      <c r="J45" t="s">
        <v>1439</v>
      </c>
      <c r="K45" t="s">
        <v>1439</v>
      </c>
      <c r="L45" t="s">
        <v>1439</v>
      </c>
      <c r="M45" t="s">
        <v>1439</v>
      </c>
      <c r="N45" t="s">
        <v>1440</v>
      </c>
      <c r="O45" t="s">
        <v>78</v>
      </c>
      <c r="Q45">
        <f t="shared" si="0"/>
        <v>1</v>
      </c>
      <c r="R45" t="e">
        <f t="shared" ca="1" si="1"/>
        <v>#NAME?</v>
      </c>
      <c r="S45">
        <f t="shared" si="2"/>
        <v>2</v>
      </c>
      <c r="T45" t="str">
        <f t="shared" si="3"/>
        <v>Ontevreden</v>
      </c>
    </row>
    <row r="46" spans="1:20" x14ac:dyDescent="0.3">
      <c r="A46" t="s">
        <v>1694</v>
      </c>
      <c r="B46" t="s">
        <v>1695</v>
      </c>
      <c r="C46" t="s">
        <v>1696</v>
      </c>
      <c r="D46" t="s">
        <v>1697</v>
      </c>
      <c r="E46" t="s">
        <v>1698</v>
      </c>
      <c r="F46" t="s">
        <v>1699</v>
      </c>
      <c r="G46">
        <v>67.38</v>
      </c>
      <c r="H46">
        <v>14</v>
      </c>
      <c r="I46" t="s">
        <v>29</v>
      </c>
      <c r="J46" t="s">
        <v>1440</v>
      </c>
      <c r="K46" t="s">
        <v>1440</v>
      </c>
      <c r="L46" t="s">
        <v>1440</v>
      </c>
      <c r="M46" t="s">
        <v>1440</v>
      </c>
      <c r="N46" t="s">
        <v>1439</v>
      </c>
      <c r="O46" t="s">
        <v>23</v>
      </c>
      <c r="Q46">
        <f t="shared" si="0"/>
        <v>1</v>
      </c>
      <c r="R46" t="e">
        <f t="shared" ca="1" si="1"/>
        <v>#NAME?</v>
      </c>
      <c r="S46">
        <f t="shared" si="2"/>
        <v>6</v>
      </c>
      <c r="T46" t="str">
        <f t="shared" si="3"/>
        <v>Ontevreden</v>
      </c>
    </row>
    <row r="47" spans="1:20" x14ac:dyDescent="0.3">
      <c r="A47" t="s">
        <v>1700</v>
      </c>
      <c r="B47" t="s">
        <v>1701</v>
      </c>
      <c r="C47" t="s">
        <v>1702</v>
      </c>
      <c r="D47" t="s">
        <v>1703</v>
      </c>
      <c r="E47" t="s">
        <v>1704</v>
      </c>
      <c r="F47" t="s">
        <v>1705</v>
      </c>
      <c r="G47">
        <v>86.65</v>
      </c>
      <c r="H47">
        <v>1</v>
      </c>
      <c r="I47" t="s">
        <v>57</v>
      </c>
      <c r="J47" t="s">
        <v>1439</v>
      </c>
      <c r="K47" t="s">
        <v>1440</v>
      </c>
      <c r="L47" t="s">
        <v>1439</v>
      </c>
      <c r="M47" t="s">
        <v>1439</v>
      </c>
      <c r="N47" t="s">
        <v>1440</v>
      </c>
      <c r="O47" t="s">
        <v>23</v>
      </c>
      <c r="Q47">
        <f t="shared" si="0"/>
        <v>1</v>
      </c>
      <c r="R47" t="e">
        <f t="shared" ca="1" si="1"/>
        <v>#NAME?</v>
      </c>
      <c r="S47">
        <f t="shared" si="2"/>
        <v>4</v>
      </c>
      <c r="T47" t="str">
        <f t="shared" si="3"/>
        <v>Ontevreden</v>
      </c>
    </row>
    <row r="48" spans="1:20" x14ac:dyDescent="0.3">
      <c r="A48" t="s">
        <v>1706</v>
      </c>
      <c r="B48" t="s">
        <v>1707</v>
      </c>
      <c r="C48" t="s">
        <v>1708</v>
      </c>
      <c r="D48" t="s">
        <v>1709</v>
      </c>
      <c r="E48" t="s">
        <v>1710</v>
      </c>
      <c r="F48" t="s">
        <v>1711</v>
      </c>
      <c r="G48">
        <v>131.32</v>
      </c>
      <c r="H48">
        <v>12</v>
      </c>
      <c r="I48" t="s">
        <v>22</v>
      </c>
      <c r="J48" t="s">
        <v>1439</v>
      </c>
      <c r="K48" t="s">
        <v>1439</v>
      </c>
      <c r="L48" t="s">
        <v>1439</v>
      </c>
      <c r="M48" t="s">
        <v>1440</v>
      </c>
      <c r="N48" t="s">
        <v>1440</v>
      </c>
      <c r="O48" t="s">
        <v>23</v>
      </c>
      <c r="Q48">
        <f t="shared" si="0"/>
        <v>1</v>
      </c>
      <c r="R48" t="e">
        <f t="shared" ca="1" si="1"/>
        <v>#NAME?</v>
      </c>
      <c r="S48">
        <f t="shared" si="2"/>
        <v>4</v>
      </c>
      <c r="T48" t="str">
        <f t="shared" si="3"/>
        <v>Ontevreden</v>
      </c>
    </row>
    <row r="49" spans="1:20" x14ac:dyDescent="0.3">
      <c r="A49" t="s">
        <v>1712</v>
      </c>
      <c r="B49" t="s">
        <v>1713</v>
      </c>
      <c r="C49" t="s">
        <v>1714</v>
      </c>
      <c r="D49" t="s">
        <v>1715</v>
      </c>
      <c r="E49" t="s">
        <v>1716</v>
      </c>
      <c r="F49" t="s">
        <v>1717</v>
      </c>
      <c r="G49">
        <v>89.62</v>
      </c>
      <c r="H49">
        <v>1</v>
      </c>
      <c r="I49" t="s">
        <v>57</v>
      </c>
      <c r="J49" t="s">
        <v>1440</v>
      </c>
      <c r="K49" t="s">
        <v>1440</v>
      </c>
      <c r="L49" t="s">
        <v>1440</v>
      </c>
      <c r="M49" t="s">
        <v>1440</v>
      </c>
      <c r="N49" t="s">
        <v>1440</v>
      </c>
      <c r="O49" t="s">
        <v>34</v>
      </c>
      <c r="Q49">
        <f t="shared" si="0"/>
        <v>1</v>
      </c>
      <c r="R49" t="e">
        <f t="shared" ca="1" si="1"/>
        <v>#NAME?</v>
      </c>
      <c r="S49">
        <f t="shared" si="2"/>
        <v>8</v>
      </c>
      <c r="T49" t="str">
        <f t="shared" si="3"/>
        <v>Tevreden</v>
      </c>
    </row>
    <row r="50" spans="1:20" x14ac:dyDescent="0.3">
      <c r="A50" t="s">
        <v>1718</v>
      </c>
      <c r="B50" t="s">
        <v>1719</v>
      </c>
      <c r="C50" t="s">
        <v>1720</v>
      </c>
      <c r="D50" t="s">
        <v>1721</v>
      </c>
      <c r="E50" t="s">
        <v>1722</v>
      </c>
      <c r="F50" t="s">
        <v>1723</v>
      </c>
      <c r="G50">
        <v>18.37</v>
      </c>
      <c r="H50">
        <v>15</v>
      </c>
      <c r="I50" t="s">
        <v>22</v>
      </c>
      <c r="J50" t="s">
        <v>1440</v>
      </c>
      <c r="K50" t="s">
        <v>1439</v>
      </c>
      <c r="L50" t="s">
        <v>1440</v>
      </c>
      <c r="M50" t="s">
        <v>1440</v>
      </c>
      <c r="N50" t="s">
        <v>1439</v>
      </c>
      <c r="O50" t="s">
        <v>23</v>
      </c>
      <c r="Q50">
        <f t="shared" si="0"/>
        <v>1</v>
      </c>
      <c r="R50" t="e">
        <f t="shared" ca="1" si="1"/>
        <v>#NAME?</v>
      </c>
      <c r="S50">
        <f t="shared" si="2"/>
        <v>4</v>
      </c>
      <c r="T50" t="str">
        <f t="shared" si="3"/>
        <v>Ontevreden</v>
      </c>
    </row>
    <row r="51" spans="1:20" x14ac:dyDescent="0.3">
      <c r="A51" t="s">
        <v>1724</v>
      </c>
      <c r="B51" t="s">
        <v>1725</v>
      </c>
      <c r="C51" t="s">
        <v>1726</v>
      </c>
      <c r="D51" t="s">
        <v>1727</v>
      </c>
      <c r="E51" t="s">
        <v>1728</v>
      </c>
      <c r="F51" t="s">
        <v>1729</v>
      </c>
      <c r="G51">
        <v>176.39</v>
      </c>
      <c r="H51">
        <v>13</v>
      </c>
      <c r="I51" t="s">
        <v>22</v>
      </c>
      <c r="J51" t="s">
        <v>1440</v>
      </c>
      <c r="K51" t="s">
        <v>1440</v>
      </c>
      <c r="L51" t="s">
        <v>1439</v>
      </c>
      <c r="M51" t="s">
        <v>1439</v>
      </c>
      <c r="N51" t="s">
        <v>1440</v>
      </c>
      <c r="O51" t="s">
        <v>78</v>
      </c>
      <c r="Q51">
        <f t="shared" si="0"/>
        <v>1</v>
      </c>
      <c r="R51" t="e">
        <f t="shared" ca="1" si="1"/>
        <v>#NAME?</v>
      </c>
      <c r="S51">
        <f t="shared" si="2"/>
        <v>4</v>
      </c>
      <c r="T51" t="str">
        <f t="shared" si="3"/>
        <v>Ontevreden</v>
      </c>
    </row>
    <row r="52" spans="1:20" x14ac:dyDescent="0.3">
      <c r="A52" t="s">
        <v>1730</v>
      </c>
      <c r="B52" t="s">
        <v>1731</v>
      </c>
      <c r="C52" t="s">
        <v>1732</v>
      </c>
      <c r="D52" t="s">
        <v>1733</v>
      </c>
      <c r="E52" t="s">
        <v>1734</v>
      </c>
      <c r="F52" t="s">
        <v>1735</v>
      </c>
      <c r="G52">
        <v>176.27</v>
      </c>
      <c r="H52">
        <v>10</v>
      </c>
      <c r="I52" t="s">
        <v>22</v>
      </c>
      <c r="J52" t="s">
        <v>1440</v>
      </c>
      <c r="K52" t="s">
        <v>1439</v>
      </c>
      <c r="L52" t="s">
        <v>1440</v>
      </c>
      <c r="M52" t="s">
        <v>1439</v>
      </c>
      <c r="N52" t="s">
        <v>1440</v>
      </c>
      <c r="O52" t="s">
        <v>23</v>
      </c>
      <c r="Q52">
        <f t="shared" si="0"/>
        <v>1</v>
      </c>
      <c r="R52" t="e">
        <f t="shared" ca="1" si="1"/>
        <v>#NAME?</v>
      </c>
      <c r="S52">
        <f t="shared" si="2"/>
        <v>4</v>
      </c>
      <c r="T52" t="str">
        <f t="shared" si="3"/>
        <v>Ontevreden</v>
      </c>
    </row>
    <row r="53" spans="1:20" x14ac:dyDescent="0.3">
      <c r="A53" t="s">
        <v>1736</v>
      </c>
      <c r="B53" t="s">
        <v>1737</v>
      </c>
      <c r="C53" t="s">
        <v>1738</v>
      </c>
      <c r="D53" t="s">
        <v>1739</v>
      </c>
      <c r="E53" t="s">
        <v>1740</v>
      </c>
      <c r="F53" t="s">
        <v>1741</v>
      </c>
      <c r="G53">
        <v>70.61</v>
      </c>
      <c r="H53">
        <v>6</v>
      </c>
      <c r="I53" t="s">
        <v>57</v>
      </c>
      <c r="J53" t="s">
        <v>1440</v>
      </c>
      <c r="K53" t="s">
        <v>1440</v>
      </c>
      <c r="L53" t="s">
        <v>1440</v>
      </c>
      <c r="M53" t="s">
        <v>1439</v>
      </c>
      <c r="N53" t="s">
        <v>1440</v>
      </c>
      <c r="O53" t="s">
        <v>23</v>
      </c>
      <c r="Q53">
        <f t="shared" si="0"/>
        <v>1</v>
      </c>
      <c r="R53" t="e">
        <f t="shared" ca="1" si="1"/>
        <v>#NAME?</v>
      </c>
      <c r="S53">
        <f t="shared" si="2"/>
        <v>6</v>
      </c>
      <c r="T53" t="str">
        <f t="shared" si="3"/>
        <v>Ontevreden</v>
      </c>
    </row>
    <row r="54" spans="1:20" x14ac:dyDescent="0.3">
      <c r="A54" t="s">
        <v>1742</v>
      </c>
      <c r="B54" t="s">
        <v>1638</v>
      </c>
      <c r="C54" t="s">
        <v>1743</v>
      </c>
      <c r="D54" t="s">
        <v>1744</v>
      </c>
      <c r="E54" t="s">
        <v>1745</v>
      </c>
      <c r="F54" t="s">
        <v>1742</v>
      </c>
      <c r="G54">
        <v>108.41</v>
      </c>
      <c r="H54">
        <v>15</v>
      </c>
      <c r="I54" t="s">
        <v>57</v>
      </c>
      <c r="J54" t="s">
        <v>1439</v>
      </c>
      <c r="K54" t="s">
        <v>1440</v>
      </c>
      <c r="L54" t="s">
        <v>1440</v>
      </c>
      <c r="M54" t="s">
        <v>1440</v>
      </c>
      <c r="N54" t="s">
        <v>1440</v>
      </c>
      <c r="O54" t="s">
        <v>78</v>
      </c>
      <c r="Q54">
        <f t="shared" si="0"/>
        <v>1</v>
      </c>
      <c r="R54" t="e">
        <f t="shared" ca="1" si="1"/>
        <v>#NAME?</v>
      </c>
      <c r="S54">
        <f t="shared" si="2"/>
        <v>8</v>
      </c>
      <c r="T54" t="str">
        <f t="shared" si="3"/>
        <v>Tevreden</v>
      </c>
    </row>
    <row r="55" spans="1:20" x14ac:dyDescent="0.3">
      <c r="A55" t="s">
        <v>1746</v>
      </c>
      <c r="B55" t="s">
        <v>1520</v>
      </c>
      <c r="C55" t="s">
        <v>1747</v>
      </c>
      <c r="D55" t="s">
        <v>1748</v>
      </c>
      <c r="E55" t="s">
        <v>1749</v>
      </c>
      <c r="F55" t="s">
        <v>1750</v>
      </c>
      <c r="G55">
        <v>165.38</v>
      </c>
      <c r="H55">
        <v>6</v>
      </c>
      <c r="I55" t="s">
        <v>29</v>
      </c>
      <c r="J55" t="s">
        <v>1440</v>
      </c>
      <c r="K55" t="s">
        <v>1439</v>
      </c>
      <c r="L55" t="s">
        <v>1440</v>
      </c>
      <c r="M55" t="s">
        <v>1440</v>
      </c>
      <c r="N55" t="s">
        <v>1439</v>
      </c>
      <c r="O55" t="s">
        <v>23</v>
      </c>
      <c r="Q55">
        <f t="shared" si="0"/>
        <v>1</v>
      </c>
      <c r="R55" t="e">
        <f t="shared" ca="1" si="1"/>
        <v>#NAME?</v>
      </c>
      <c r="S55">
        <f t="shared" si="2"/>
        <v>4</v>
      </c>
      <c r="T55" t="str">
        <f t="shared" si="3"/>
        <v>Ontevreden</v>
      </c>
    </row>
    <row r="56" spans="1:20" x14ac:dyDescent="0.3">
      <c r="A56" t="s">
        <v>1477</v>
      </c>
      <c r="B56" t="s">
        <v>1751</v>
      </c>
      <c r="C56" t="s">
        <v>1752</v>
      </c>
      <c r="D56" t="s">
        <v>1753</v>
      </c>
      <c r="E56" t="s">
        <v>1754</v>
      </c>
      <c r="F56" t="s">
        <v>1477</v>
      </c>
      <c r="G56">
        <v>58.77</v>
      </c>
      <c r="H56">
        <v>7</v>
      </c>
      <c r="I56" t="s">
        <v>22</v>
      </c>
      <c r="J56" t="s">
        <v>1440</v>
      </c>
      <c r="K56" t="s">
        <v>1440</v>
      </c>
      <c r="L56" t="s">
        <v>1440</v>
      </c>
      <c r="M56" t="s">
        <v>1440</v>
      </c>
      <c r="N56" t="s">
        <v>1440</v>
      </c>
      <c r="O56" t="s">
        <v>34</v>
      </c>
      <c r="Q56">
        <f t="shared" si="0"/>
        <v>1</v>
      </c>
      <c r="R56" t="e">
        <f t="shared" ca="1" si="1"/>
        <v>#NAME?</v>
      </c>
      <c r="S56">
        <f t="shared" si="2"/>
        <v>8</v>
      </c>
      <c r="T56" t="str">
        <f t="shared" si="3"/>
        <v>Tevreden</v>
      </c>
    </row>
    <row r="57" spans="1:20" x14ac:dyDescent="0.3">
      <c r="A57" t="s">
        <v>1465</v>
      </c>
      <c r="B57" t="s">
        <v>1755</v>
      </c>
      <c r="C57" t="s">
        <v>1756</v>
      </c>
      <c r="D57" t="s">
        <v>1757</v>
      </c>
      <c r="E57" t="s">
        <v>1758</v>
      </c>
      <c r="F57" t="s">
        <v>1465</v>
      </c>
      <c r="G57">
        <v>132.15</v>
      </c>
      <c r="H57">
        <v>10</v>
      </c>
      <c r="I57" t="s">
        <v>22</v>
      </c>
      <c r="J57" t="s">
        <v>1440</v>
      </c>
      <c r="K57" t="s">
        <v>1440</v>
      </c>
      <c r="L57" t="s">
        <v>1440</v>
      </c>
      <c r="M57" t="s">
        <v>1440</v>
      </c>
      <c r="N57" t="s">
        <v>1440</v>
      </c>
      <c r="O57" t="s">
        <v>34</v>
      </c>
      <c r="Q57">
        <f t="shared" si="0"/>
        <v>1</v>
      </c>
      <c r="R57" t="e">
        <f t="shared" ca="1" si="1"/>
        <v>#NAME?</v>
      </c>
      <c r="S57">
        <f t="shared" si="2"/>
        <v>8</v>
      </c>
      <c r="T57" t="str">
        <f t="shared" si="3"/>
        <v>Tevreden</v>
      </c>
    </row>
    <row r="58" spans="1:20" x14ac:dyDescent="0.3">
      <c r="A58" t="s">
        <v>1759</v>
      </c>
      <c r="B58" t="s">
        <v>1760</v>
      </c>
      <c r="C58" t="s">
        <v>1761</v>
      </c>
      <c r="D58" t="s">
        <v>1762</v>
      </c>
      <c r="E58" t="s">
        <v>1763</v>
      </c>
      <c r="F58" t="s">
        <v>1759</v>
      </c>
      <c r="G58">
        <v>78.05</v>
      </c>
      <c r="H58">
        <v>1</v>
      </c>
      <c r="I58" t="s">
        <v>22</v>
      </c>
      <c r="J58" t="s">
        <v>1440</v>
      </c>
      <c r="K58" t="s">
        <v>1439</v>
      </c>
      <c r="L58" t="s">
        <v>1440</v>
      </c>
      <c r="M58" t="s">
        <v>1440</v>
      </c>
      <c r="N58" t="s">
        <v>1440</v>
      </c>
      <c r="O58" t="s">
        <v>23</v>
      </c>
      <c r="Q58">
        <f t="shared" si="0"/>
        <v>1</v>
      </c>
      <c r="R58" t="e">
        <f t="shared" ca="1" si="1"/>
        <v>#NAME?</v>
      </c>
      <c r="S58">
        <f t="shared" si="2"/>
        <v>6</v>
      </c>
      <c r="T58" t="str">
        <f t="shared" si="3"/>
        <v>Ontevreden</v>
      </c>
    </row>
    <row r="59" spans="1:20" x14ac:dyDescent="0.3">
      <c r="A59" t="s">
        <v>1764</v>
      </c>
      <c r="B59" t="s">
        <v>1695</v>
      </c>
      <c r="C59" t="s">
        <v>1765</v>
      </c>
      <c r="D59" t="s">
        <v>1766</v>
      </c>
      <c r="E59" t="s">
        <v>1767</v>
      </c>
      <c r="F59" t="s">
        <v>1768</v>
      </c>
      <c r="G59">
        <v>47.41</v>
      </c>
      <c r="H59">
        <v>12</v>
      </c>
      <c r="I59" t="s">
        <v>29</v>
      </c>
      <c r="J59" t="s">
        <v>1439</v>
      </c>
      <c r="K59" t="s">
        <v>1439</v>
      </c>
      <c r="L59" t="s">
        <v>1440</v>
      </c>
      <c r="M59" t="s">
        <v>1439</v>
      </c>
      <c r="N59" t="s">
        <v>1439</v>
      </c>
      <c r="O59" t="s">
        <v>34</v>
      </c>
      <c r="Q59">
        <f t="shared" si="0"/>
        <v>1</v>
      </c>
      <c r="R59" t="e">
        <f t="shared" ca="1" si="1"/>
        <v>#NAME?</v>
      </c>
      <c r="S59">
        <f t="shared" si="2"/>
        <v>2</v>
      </c>
      <c r="T59" t="str">
        <f t="shared" si="3"/>
        <v>Ontevreden</v>
      </c>
    </row>
    <row r="60" spans="1:20" x14ac:dyDescent="0.3">
      <c r="A60" t="s">
        <v>1447</v>
      </c>
      <c r="B60" t="s">
        <v>1769</v>
      </c>
      <c r="C60" t="s">
        <v>1770</v>
      </c>
      <c r="D60" t="s">
        <v>1771</v>
      </c>
      <c r="E60" t="s">
        <v>1772</v>
      </c>
      <c r="F60" t="s">
        <v>1773</v>
      </c>
      <c r="G60">
        <v>67.400000000000006</v>
      </c>
      <c r="H60">
        <v>18</v>
      </c>
      <c r="I60" t="s">
        <v>57</v>
      </c>
      <c r="J60" t="s">
        <v>1439</v>
      </c>
      <c r="K60" t="s">
        <v>1440</v>
      </c>
      <c r="L60" t="s">
        <v>1440</v>
      </c>
      <c r="M60" t="s">
        <v>1439</v>
      </c>
      <c r="N60" t="s">
        <v>1440</v>
      </c>
      <c r="O60" t="s">
        <v>23</v>
      </c>
      <c r="Q60">
        <f t="shared" si="0"/>
        <v>1</v>
      </c>
      <c r="R60" t="e">
        <f t="shared" ca="1" si="1"/>
        <v>#NAME?</v>
      </c>
      <c r="S60">
        <f t="shared" si="2"/>
        <v>6</v>
      </c>
      <c r="T60" t="str">
        <f t="shared" si="3"/>
        <v>Ontevreden</v>
      </c>
    </row>
    <row r="61" spans="1:20" x14ac:dyDescent="0.3">
      <c r="A61" t="s">
        <v>1774</v>
      </c>
      <c r="B61" t="s">
        <v>1769</v>
      </c>
      <c r="C61" t="s">
        <v>1775</v>
      </c>
      <c r="D61" t="s">
        <v>1776</v>
      </c>
      <c r="E61" t="s">
        <v>1777</v>
      </c>
      <c r="F61" t="s">
        <v>1778</v>
      </c>
      <c r="G61">
        <v>86.65</v>
      </c>
      <c r="H61">
        <v>16</v>
      </c>
      <c r="I61" t="s">
        <v>22</v>
      </c>
      <c r="J61" t="s">
        <v>1440</v>
      </c>
      <c r="K61" t="s">
        <v>1440</v>
      </c>
      <c r="L61" t="s">
        <v>1440</v>
      </c>
      <c r="M61" t="s">
        <v>1440</v>
      </c>
      <c r="N61" t="s">
        <v>1439</v>
      </c>
      <c r="O61" t="s">
        <v>34</v>
      </c>
      <c r="Q61">
        <f t="shared" si="0"/>
        <v>1</v>
      </c>
      <c r="R61" t="e">
        <f t="shared" ca="1" si="1"/>
        <v>#NAME?</v>
      </c>
      <c r="S61">
        <f t="shared" si="2"/>
        <v>6</v>
      </c>
      <c r="T61" t="str">
        <f t="shared" si="3"/>
        <v>Ontevreden</v>
      </c>
    </row>
    <row r="62" spans="1:20" x14ac:dyDescent="0.3">
      <c r="A62" t="s">
        <v>1779</v>
      </c>
      <c r="B62" t="s">
        <v>1780</v>
      </c>
      <c r="C62" t="s">
        <v>1781</v>
      </c>
      <c r="D62" t="s">
        <v>1782</v>
      </c>
      <c r="E62" t="s">
        <v>1783</v>
      </c>
      <c r="F62" t="s">
        <v>1779</v>
      </c>
      <c r="G62">
        <v>18.37</v>
      </c>
      <c r="H62">
        <v>1</v>
      </c>
      <c r="I62" t="s">
        <v>29</v>
      </c>
      <c r="J62" t="s">
        <v>1439</v>
      </c>
      <c r="K62" t="s">
        <v>1440</v>
      </c>
      <c r="L62" t="s">
        <v>1439</v>
      </c>
      <c r="M62" t="s">
        <v>1440</v>
      </c>
      <c r="N62" t="s">
        <v>1440</v>
      </c>
      <c r="O62" t="s">
        <v>23</v>
      </c>
      <c r="Q62">
        <f t="shared" si="0"/>
        <v>1</v>
      </c>
      <c r="R62" t="e">
        <f t="shared" ca="1" si="1"/>
        <v>#NAME?</v>
      </c>
      <c r="S62">
        <f t="shared" si="2"/>
        <v>6</v>
      </c>
      <c r="T62" t="str">
        <f t="shared" si="3"/>
        <v>Ontevreden</v>
      </c>
    </row>
    <row r="63" spans="1:20" x14ac:dyDescent="0.3">
      <c r="A63" t="s">
        <v>1784</v>
      </c>
      <c r="B63" t="s">
        <v>1785</v>
      </c>
      <c r="C63" t="s">
        <v>1786</v>
      </c>
      <c r="D63" t="s">
        <v>1787</v>
      </c>
      <c r="E63" t="s">
        <v>1788</v>
      </c>
      <c r="F63" t="s">
        <v>1789</v>
      </c>
      <c r="G63">
        <v>108.53</v>
      </c>
      <c r="H63">
        <v>5</v>
      </c>
      <c r="I63" t="s">
        <v>22</v>
      </c>
      <c r="J63" t="s">
        <v>1439</v>
      </c>
      <c r="K63" t="s">
        <v>1440</v>
      </c>
      <c r="L63" t="s">
        <v>1439</v>
      </c>
      <c r="M63" t="s">
        <v>1440</v>
      </c>
      <c r="N63" t="s">
        <v>1440</v>
      </c>
      <c r="O63" t="s">
        <v>34</v>
      </c>
      <c r="Q63">
        <f t="shared" si="0"/>
        <v>1</v>
      </c>
      <c r="R63" t="e">
        <f t="shared" ca="1" si="1"/>
        <v>#NAME?</v>
      </c>
      <c r="S63">
        <f t="shared" si="2"/>
        <v>6</v>
      </c>
      <c r="T63" t="str">
        <f t="shared" si="3"/>
        <v>Ontevreden</v>
      </c>
    </row>
    <row r="64" spans="1:20" x14ac:dyDescent="0.3">
      <c r="A64" t="s">
        <v>1790</v>
      </c>
      <c r="B64" t="s">
        <v>1791</v>
      </c>
      <c r="C64" t="s">
        <v>1792</v>
      </c>
      <c r="D64" t="s">
        <v>1793</v>
      </c>
      <c r="E64" t="s">
        <v>1794</v>
      </c>
      <c r="F64" t="s">
        <v>1795</v>
      </c>
      <c r="G64">
        <v>169.41</v>
      </c>
      <c r="H64">
        <v>12</v>
      </c>
      <c r="I64" t="s">
        <v>22</v>
      </c>
      <c r="J64" t="s">
        <v>1440</v>
      </c>
      <c r="K64" t="s">
        <v>1440</v>
      </c>
      <c r="L64" t="s">
        <v>1440</v>
      </c>
      <c r="M64" t="s">
        <v>1440</v>
      </c>
      <c r="N64" t="s">
        <v>1440</v>
      </c>
      <c r="O64" t="s">
        <v>23</v>
      </c>
      <c r="Q64">
        <f t="shared" si="0"/>
        <v>1</v>
      </c>
      <c r="R64" t="e">
        <f t="shared" ca="1" si="1"/>
        <v>#NAME?</v>
      </c>
      <c r="S64">
        <f t="shared" si="2"/>
        <v>8</v>
      </c>
      <c r="T64" t="str">
        <f t="shared" si="3"/>
        <v>Tevreden</v>
      </c>
    </row>
    <row r="65" spans="1:20" x14ac:dyDescent="0.3">
      <c r="A65" t="s">
        <v>1796</v>
      </c>
      <c r="B65" t="s">
        <v>1797</v>
      </c>
      <c r="C65" t="s">
        <v>1798</v>
      </c>
      <c r="D65" t="s">
        <v>1799</v>
      </c>
      <c r="E65" t="s">
        <v>1800</v>
      </c>
      <c r="F65" t="s">
        <v>1801</v>
      </c>
      <c r="G65">
        <v>200.41</v>
      </c>
      <c r="H65">
        <v>4</v>
      </c>
      <c r="I65" t="s">
        <v>57</v>
      </c>
      <c r="J65" t="s">
        <v>1439</v>
      </c>
      <c r="K65" t="s">
        <v>1440</v>
      </c>
      <c r="L65" t="s">
        <v>1440</v>
      </c>
      <c r="M65" t="s">
        <v>1440</v>
      </c>
      <c r="N65" t="s">
        <v>1440</v>
      </c>
      <c r="O65" t="s">
        <v>23</v>
      </c>
      <c r="Q65">
        <f t="shared" si="0"/>
        <v>1</v>
      </c>
      <c r="R65" t="e">
        <f t="shared" ca="1" si="1"/>
        <v>#NAME?</v>
      </c>
      <c r="S65">
        <f t="shared" si="2"/>
        <v>8</v>
      </c>
      <c r="T65" t="str">
        <f t="shared" si="3"/>
        <v>Tevreden</v>
      </c>
    </row>
    <row r="66" spans="1:20" x14ac:dyDescent="0.3">
      <c r="A66" t="s">
        <v>1802</v>
      </c>
      <c r="B66" t="s">
        <v>1520</v>
      </c>
      <c r="C66" t="s">
        <v>1803</v>
      </c>
      <c r="D66" t="s">
        <v>1804</v>
      </c>
      <c r="E66" t="s">
        <v>1805</v>
      </c>
      <c r="F66" t="s">
        <v>1806</v>
      </c>
      <c r="G66">
        <v>161.44999999999999</v>
      </c>
      <c r="H66">
        <v>15</v>
      </c>
      <c r="I66" t="s">
        <v>29</v>
      </c>
      <c r="J66" t="s">
        <v>1439</v>
      </c>
      <c r="K66" t="s">
        <v>1440</v>
      </c>
      <c r="L66" t="s">
        <v>1440</v>
      </c>
      <c r="M66" t="s">
        <v>1439</v>
      </c>
      <c r="N66" t="s">
        <v>1440</v>
      </c>
      <c r="O66" t="s">
        <v>23</v>
      </c>
      <c r="Q66">
        <f t="shared" ref="Q66:Q129" si="4">LEN(G66)-LEN(SUBSTITUTE(G66,",",""))+1</f>
        <v>1</v>
      </c>
      <c r="R66" t="e">
        <f t="shared" ref="R66:R129" ca="1" si="5">SWITCH(I66, "Zelden", 1, "Af en toe", 4, "Regelmatig", 8, "Vaak", 12)</f>
        <v>#NAME?</v>
      </c>
      <c r="S66">
        <f t="shared" ref="S66:S129" si="6">AVERAGE(--(K66="ja"), --(L66="ja"), --(M66="ja"), --(N66="ja"), --(O66="ja"))*10</f>
        <v>6</v>
      </c>
      <c r="T66" t="str">
        <f t="shared" ref="T66:T129" si="7">IF(S66&gt;=7, "Tevreden", "Ontevreden")</f>
        <v>Ontevreden</v>
      </c>
    </row>
    <row r="67" spans="1:20" x14ac:dyDescent="0.3">
      <c r="A67" t="s">
        <v>1807</v>
      </c>
      <c r="B67" t="s">
        <v>1808</v>
      </c>
      <c r="C67" t="s">
        <v>1809</v>
      </c>
      <c r="D67" t="s">
        <v>1810</v>
      </c>
      <c r="E67" t="s">
        <v>1811</v>
      </c>
      <c r="F67" t="s">
        <v>1812</v>
      </c>
      <c r="G67">
        <v>80.13</v>
      </c>
      <c r="H67">
        <v>4</v>
      </c>
      <c r="I67" t="s">
        <v>57</v>
      </c>
      <c r="J67" t="s">
        <v>1439</v>
      </c>
      <c r="K67" t="s">
        <v>1440</v>
      </c>
      <c r="L67" t="s">
        <v>1439</v>
      </c>
      <c r="M67" t="s">
        <v>1440</v>
      </c>
      <c r="N67" t="s">
        <v>1439</v>
      </c>
      <c r="O67" t="s">
        <v>23</v>
      </c>
      <c r="Q67">
        <f t="shared" si="4"/>
        <v>1</v>
      </c>
      <c r="R67" t="e">
        <f t="shared" ca="1" si="5"/>
        <v>#NAME?</v>
      </c>
      <c r="S67">
        <f t="shared" si="6"/>
        <v>4</v>
      </c>
      <c r="T67" t="str">
        <f t="shared" si="7"/>
        <v>Ontevreden</v>
      </c>
    </row>
    <row r="68" spans="1:20" x14ac:dyDescent="0.3">
      <c r="A68" t="s">
        <v>1813</v>
      </c>
      <c r="B68" t="s">
        <v>1814</v>
      </c>
      <c r="C68" t="s">
        <v>1815</v>
      </c>
      <c r="D68" t="s">
        <v>1816</v>
      </c>
      <c r="E68" t="s">
        <v>1817</v>
      </c>
      <c r="F68" t="s">
        <v>1818</v>
      </c>
      <c r="G68">
        <v>92.63</v>
      </c>
      <c r="H68">
        <v>1</v>
      </c>
      <c r="I68" t="s">
        <v>57</v>
      </c>
      <c r="J68" t="s">
        <v>1439</v>
      </c>
      <c r="K68" t="s">
        <v>1439</v>
      </c>
      <c r="L68" t="s">
        <v>1439</v>
      </c>
      <c r="M68" t="s">
        <v>1439</v>
      </c>
      <c r="N68" t="s">
        <v>1439</v>
      </c>
      <c r="O68" t="s">
        <v>78</v>
      </c>
      <c r="Q68">
        <f t="shared" si="4"/>
        <v>1</v>
      </c>
      <c r="R68" t="e">
        <f t="shared" ca="1" si="5"/>
        <v>#NAME?</v>
      </c>
      <c r="S68">
        <f t="shared" si="6"/>
        <v>0</v>
      </c>
      <c r="T68" t="str">
        <f t="shared" si="7"/>
        <v>Ontevreden</v>
      </c>
    </row>
    <row r="69" spans="1:20" x14ac:dyDescent="0.3">
      <c r="A69" t="s">
        <v>1819</v>
      </c>
      <c r="B69" t="s">
        <v>1820</v>
      </c>
      <c r="C69" t="s">
        <v>1821</v>
      </c>
      <c r="D69" t="s">
        <v>1822</v>
      </c>
      <c r="E69" t="s">
        <v>1823</v>
      </c>
      <c r="F69" t="s">
        <v>1824</v>
      </c>
      <c r="G69">
        <v>122.3</v>
      </c>
      <c r="H69">
        <v>2</v>
      </c>
      <c r="I69" t="s">
        <v>57</v>
      </c>
      <c r="J69" t="s">
        <v>1440</v>
      </c>
      <c r="K69" t="s">
        <v>1440</v>
      </c>
      <c r="L69" t="s">
        <v>1440</v>
      </c>
      <c r="M69" t="s">
        <v>1440</v>
      </c>
      <c r="N69" t="s">
        <v>1440</v>
      </c>
      <c r="O69" t="s">
        <v>34</v>
      </c>
      <c r="Q69">
        <f t="shared" si="4"/>
        <v>1</v>
      </c>
      <c r="R69" t="e">
        <f t="shared" ca="1" si="5"/>
        <v>#NAME?</v>
      </c>
      <c r="S69">
        <f t="shared" si="6"/>
        <v>8</v>
      </c>
      <c r="T69" t="str">
        <f t="shared" si="7"/>
        <v>Tevreden</v>
      </c>
    </row>
    <row r="70" spans="1:20" x14ac:dyDescent="0.3">
      <c r="A70" t="s">
        <v>1825</v>
      </c>
      <c r="B70" t="s">
        <v>1826</v>
      </c>
      <c r="C70" t="s">
        <v>1827</v>
      </c>
      <c r="D70" t="s">
        <v>1828</v>
      </c>
      <c r="E70" t="s">
        <v>1829</v>
      </c>
      <c r="F70" t="s">
        <v>1825</v>
      </c>
      <c r="G70">
        <v>100.34</v>
      </c>
      <c r="H70">
        <v>5</v>
      </c>
      <c r="I70" t="s">
        <v>22</v>
      </c>
      <c r="J70" t="s">
        <v>1439</v>
      </c>
      <c r="K70" t="s">
        <v>1440</v>
      </c>
      <c r="L70" t="s">
        <v>1440</v>
      </c>
      <c r="M70" t="s">
        <v>1440</v>
      </c>
      <c r="N70" t="s">
        <v>1440</v>
      </c>
      <c r="O70" t="s">
        <v>23</v>
      </c>
      <c r="Q70">
        <f t="shared" si="4"/>
        <v>1</v>
      </c>
      <c r="R70" t="e">
        <f t="shared" ca="1" si="5"/>
        <v>#NAME?</v>
      </c>
      <c r="S70">
        <f t="shared" si="6"/>
        <v>8</v>
      </c>
      <c r="T70" t="str">
        <f t="shared" si="7"/>
        <v>Tevreden</v>
      </c>
    </row>
    <row r="71" spans="1:20" x14ac:dyDescent="0.3">
      <c r="A71" t="s">
        <v>1453</v>
      </c>
      <c r="B71" t="s">
        <v>1830</v>
      </c>
      <c r="C71" t="s">
        <v>1831</v>
      </c>
      <c r="D71" t="s">
        <v>1832</v>
      </c>
      <c r="E71" t="s">
        <v>1833</v>
      </c>
      <c r="F71" t="s">
        <v>1834</v>
      </c>
      <c r="G71">
        <v>163.69</v>
      </c>
      <c r="H71">
        <v>9</v>
      </c>
      <c r="I71" t="s">
        <v>22</v>
      </c>
      <c r="J71" t="s">
        <v>1440</v>
      </c>
      <c r="K71" t="s">
        <v>1439</v>
      </c>
      <c r="L71" t="s">
        <v>1440</v>
      </c>
      <c r="M71" t="s">
        <v>1440</v>
      </c>
      <c r="N71" t="s">
        <v>1440</v>
      </c>
      <c r="O71" t="s">
        <v>23</v>
      </c>
      <c r="Q71">
        <f t="shared" si="4"/>
        <v>1</v>
      </c>
      <c r="R71" t="e">
        <f t="shared" ca="1" si="5"/>
        <v>#NAME?</v>
      </c>
      <c r="S71">
        <f t="shared" si="6"/>
        <v>6</v>
      </c>
      <c r="T71" t="str">
        <f t="shared" si="7"/>
        <v>Ontevreden</v>
      </c>
    </row>
    <row r="72" spans="1:20" x14ac:dyDescent="0.3">
      <c r="A72" t="s">
        <v>1835</v>
      </c>
      <c r="B72" t="s">
        <v>1836</v>
      </c>
      <c r="C72" t="s">
        <v>1837</v>
      </c>
      <c r="D72" t="s">
        <v>1838</v>
      </c>
      <c r="E72" t="s">
        <v>1839</v>
      </c>
      <c r="F72" t="s">
        <v>1840</v>
      </c>
      <c r="G72">
        <v>175.01</v>
      </c>
      <c r="H72">
        <v>7</v>
      </c>
      <c r="I72" t="s">
        <v>29</v>
      </c>
      <c r="J72" t="s">
        <v>1440</v>
      </c>
      <c r="K72" t="s">
        <v>1440</v>
      </c>
      <c r="L72" t="s">
        <v>1440</v>
      </c>
      <c r="M72" t="s">
        <v>1440</v>
      </c>
      <c r="N72" t="s">
        <v>1440</v>
      </c>
      <c r="O72" t="s">
        <v>34</v>
      </c>
      <c r="Q72">
        <f t="shared" si="4"/>
        <v>1</v>
      </c>
      <c r="R72" t="e">
        <f t="shared" ca="1" si="5"/>
        <v>#NAME?</v>
      </c>
      <c r="S72">
        <f t="shared" si="6"/>
        <v>8</v>
      </c>
      <c r="T72" t="str">
        <f t="shared" si="7"/>
        <v>Tevreden</v>
      </c>
    </row>
    <row r="73" spans="1:20" x14ac:dyDescent="0.3">
      <c r="A73" t="s">
        <v>1841</v>
      </c>
      <c r="B73" t="s">
        <v>1842</v>
      </c>
      <c r="C73" t="s">
        <v>1843</v>
      </c>
      <c r="D73" t="s">
        <v>1844</v>
      </c>
      <c r="E73" t="s">
        <v>1845</v>
      </c>
      <c r="F73" t="s">
        <v>1846</v>
      </c>
      <c r="G73">
        <v>81.19</v>
      </c>
      <c r="H73">
        <v>9</v>
      </c>
      <c r="I73" t="s">
        <v>22</v>
      </c>
      <c r="J73" t="s">
        <v>1440</v>
      </c>
      <c r="K73" t="s">
        <v>1440</v>
      </c>
      <c r="L73" t="s">
        <v>1439</v>
      </c>
      <c r="M73" t="s">
        <v>1440</v>
      </c>
      <c r="N73" t="s">
        <v>1440</v>
      </c>
      <c r="O73" t="s">
        <v>23</v>
      </c>
      <c r="Q73">
        <f t="shared" si="4"/>
        <v>1</v>
      </c>
      <c r="R73" t="e">
        <f t="shared" ca="1" si="5"/>
        <v>#NAME?</v>
      </c>
      <c r="S73">
        <f t="shared" si="6"/>
        <v>6</v>
      </c>
      <c r="T73" t="str">
        <f t="shared" si="7"/>
        <v>Ontevreden</v>
      </c>
    </row>
    <row r="74" spans="1:20" x14ac:dyDescent="0.3">
      <c r="A74" t="s">
        <v>1847</v>
      </c>
      <c r="B74" t="s">
        <v>1848</v>
      </c>
      <c r="C74" t="s">
        <v>1849</v>
      </c>
      <c r="D74" t="s">
        <v>1850</v>
      </c>
      <c r="E74" t="s">
        <v>1851</v>
      </c>
      <c r="F74" t="s">
        <v>1852</v>
      </c>
      <c r="G74">
        <v>46.98</v>
      </c>
      <c r="H74">
        <v>3</v>
      </c>
      <c r="I74" t="s">
        <v>29</v>
      </c>
      <c r="J74" t="s">
        <v>1440</v>
      </c>
      <c r="K74" t="s">
        <v>1440</v>
      </c>
      <c r="L74" t="s">
        <v>1440</v>
      </c>
      <c r="M74" t="s">
        <v>1440</v>
      </c>
      <c r="N74" t="s">
        <v>1440</v>
      </c>
      <c r="O74" t="s">
        <v>23</v>
      </c>
      <c r="Q74">
        <f t="shared" si="4"/>
        <v>1</v>
      </c>
      <c r="R74" t="e">
        <f t="shared" ca="1" si="5"/>
        <v>#NAME?</v>
      </c>
      <c r="S74">
        <f t="shared" si="6"/>
        <v>8</v>
      </c>
      <c r="T74" t="str">
        <f t="shared" si="7"/>
        <v>Tevreden</v>
      </c>
    </row>
    <row r="75" spans="1:20" x14ac:dyDescent="0.3">
      <c r="A75" t="s">
        <v>1853</v>
      </c>
      <c r="B75" t="s">
        <v>1854</v>
      </c>
      <c r="C75" t="s">
        <v>1855</v>
      </c>
      <c r="D75" t="s">
        <v>1856</v>
      </c>
      <c r="E75" t="s">
        <v>1857</v>
      </c>
      <c r="F75" t="s">
        <v>1858</v>
      </c>
      <c r="G75">
        <v>141.31</v>
      </c>
      <c r="H75">
        <v>14</v>
      </c>
      <c r="I75" t="s">
        <v>22</v>
      </c>
      <c r="J75" t="s">
        <v>1439</v>
      </c>
      <c r="K75" t="s">
        <v>1440</v>
      </c>
      <c r="L75" t="s">
        <v>1439</v>
      </c>
      <c r="M75" t="s">
        <v>1440</v>
      </c>
      <c r="N75" t="s">
        <v>1439</v>
      </c>
      <c r="O75" t="s">
        <v>23</v>
      </c>
      <c r="Q75">
        <f t="shared" si="4"/>
        <v>1</v>
      </c>
      <c r="R75" t="e">
        <f t="shared" ca="1" si="5"/>
        <v>#NAME?</v>
      </c>
      <c r="S75">
        <f t="shared" si="6"/>
        <v>4</v>
      </c>
      <c r="T75" t="str">
        <f t="shared" si="7"/>
        <v>Ontevreden</v>
      </c>
    </row>
    <row r="76" spans="1:20" x14ac:dyDescent="0.3">
      <c r="A76" t="s">
        <v>1859</v>
      </c>
      <c r="B76" t="s">
        <v>1860</v>
      </c>
      <c r="C76" t="s">
        <v>1861</v>
      </c>
      <c r="D76" t="s">
        <v>1862</v>
      </c>
      <c r="E76" t="s">
        <v>1863</v>
      </c>
      <c r="F76" t="s">
        <v>1864</v>
      </c>
      <c r="G76">
        <v>170.12</v>
      </c>
      <c r="H76">
        <v>6</v>
      </c>
      <c r="I76" t="s">
        <v>57</v>
      </c>
      <c r="J76" t="s">
        <v>1439</v>
      </c>
      <c r="K76" t="s">
        <v>1440</v>
      </c>
      <c r="L76" t="s">
        <v>1440</v>
      </c>
      <c r="M76" t="s">
        <v>1440</v>
      </c>
      <c r="N76" t="s">
        <v>1440</v>
      </c>
      <c r="O76" t="s">
        <v>23</v>
      </c>
      <c r="Q76">
        <f t="shared" si="4"/>
        <v>1</v>
      </c>
      <c r="R76" t="e">
        <f t="shared" ca="1" si="5"/>
        <v>#NAME?</v>
      </c>
      <c r="S76">
        <f t="shared" si="6"/>
        <v>8</v>
      </c>
      <c r="T76" t="str">
        <f t="shared" si="7"/>
        <v>Tevreden</v>
      </c>
    </row>
    <row r="77" spans="1:20" x14ac:dyDescent="0.3">
      <c r="A77" t="s">
        <v>1796</v>
      </c>
      <c r="B77" t="s">
        <v>1434</v>
      </c>
      <c r="C77" t="s">
        <v>1865</v>
      </c>
      <c r="D77" t="s">
        <v>1866</v>
      </c>
      <c r="E77" t="s">
        <v>1867</v>
      </c>
      <c r="F77" t="s">
        <v>1868</v>
      </c>
      <c r="G77">
        <v>68.150000000000006</v>
      </c>
      <c r="H77">
        <v>4</v>
      </c>
      <c r="I77" t="s">
        <v>22</v>
      </c>
      <c r="J77" t="s">
        <v>1440</v>
      </c>
      <c r="K77" t="s">
        <v>1440</v>
      </c>
      <c r="L77" t="s">
        <v>1440</v>
      </c>
      <c r="M77" t="s">
        <v>1440</v>
      </c>
      <c r="N77" t="s">
        <v>1440</v>
      </c>
      <c r="O77" t="s">
        <v>34</v>
      </c>
      <c r="Q77">
        <f t="shared" si="4"/>
        <v>1</v>
      </c>
      <c r="R77" t="e">
        <f t="shared" ca="1" si="5"/>
        <v>#NAME?</v>
      </c>
      <c r="S77">
        <f t="shared" si="6"/>
        <v>8</v>
      </c>
      <c r="T77" t="str">
        <f t="shared" si="7"/>
        <v>Tevreden</v>
      </c>
    </row>
    <row r="78" spans="1:20" x14ac:dyDescent="0.3">
      <c r="A78" t="s">
        <v>1869</v>
      </c>
      <c r="B78" t="s">
        <v>1870</v>
      </c>
      <c r="C78" t="s">
        <v>1871</v>
      </c>
      <c r="D78" t="s">
        <v>1872</v>
      </c>
      <c r="E78" t="s">
        <v>1873</v>
      </c>
      <c r="F78" t="s">
        <v>1874</v>
      </c>
      <c r="G78">
        <v>77.849999999999994</v>
      </c>
      <c r="H78">
        <v>9</v>
      </c>
      <c r="I78" t="s">
        <v>57</v>
      </c>
      <c r="J78" t="s">
        <v>1440</v>
      </c>
      <c r="K78" t="s">
        <v>1440</v>
      </c>
      <c r="L78" t="s">
        <v>1439</v>
      </c>
      <c r="M78" t="s">
        <v>1439</v>
      </c>
      <c r="N78" t="s">
        <v>1440</v>
      </c>
      <c r="O78" t="s">
        <v>34</v>
      </c>
      <c r="Q78">
        <f t="shared" si="4"/>
        <v>1</v>
      </c>
      <c r="R78" t="e">
        <f t="shared" ca="1" si="5"/>
        <v>#NAME?</v>
      </c>
      <c r="S78">
        <f t="shared" si="6"/>
        <v>4</v>
      </c>
      <c r="T78" t="str">
        <f t="shared" si="7"/>
        <v>Ontevreden</v>
      </c>
    </row>
    <row r="79" spans="1:20" x14ac:dyDescent="0.3">
      <c r="A79" t="s">
        <v>1875</v>
      </c>
      <c r="B79" t="s">
        <v>1876</v>
      </c>
      <c r="C79" t="s">
        <v>1877</v>
      </c>
      <c r="D79" t="s">
        <v>1878</v>
      </c>
      <c r="E79" t="s">
        <v>1879</v>
      </c>
      <c r="F79" t="s">
        <v>1875</v>
      </c>
      <c r="G79">
        <v>94.68</v>
      </c>
      <c r="H79">
        <v>3</v>
      </c>
      <c r="I79" t="s">
        <v>29</v>
      </c>
      <c r="J79" t="s">
        <v>1440</v>
      </c>
      <c r="K79" t="s">
        <v>1440</v>
      </c>
      <c r="L79" t="s">
        <v>1440</v>
      </c>
      <c r="M79" t="s">
        <v>1439</v>
      </c>
      <c r="N79" t="s">
        <v>1440</v>
      </c>
      <c r="O79" t="s">
        <v>23</v>
      </c>
      <c r="Q79">
        <f t="shared" si="4"/>
        <v>1</v>
      </c>
      <c r="R79" t="e">
        <f t="shared" ca="1" si="5"/>
        <v>#NAME?</v>
      </c>
      <c r="S79">
        <f t="shared" si="6"/>
        <v>6</v>
      </c>
      <c r="T79" t="str">
        <f t="shared" si="7"/>
        <v>Ontevreden</v>
      </c>
    </row>
    <row r="80" spans="1:20" x14ac:dyDescent="0.3">
      <c r="A80" t="s">
        <v>1880</v>
      </c>
      <c r="B80" t="s">
        <v>1881</v>
      </c>
      <c r="C80" t="s">
        <v>1882</v>
      </c>
      <c r="D80" t="s">
        <v>1883</v>
      </c>
      <c r="E80" t="s">
        <v>1884</v>
      </c>
      <c r="F80" t="s">
        <v>1885</v>
      </c>
      <c r="G80">
        <v>88.08</v>
      </c>
      <c r="H80">
        <v>2</v>
      </c>
      <c r="I80" t="s">
        <v>29</v>
      </c>
      <c r="J80" t="s">
        <v>1440</v>
      </c>
      <c r="K80" t="s">
        <v>1439</v>
      </c>
      <c r="L80" t="s">
        <v>1440</v>
      </c>
      <c r="M80" t="s">
        <v>1440</v>
      </c>
      <c r="N80" t="s">
        <v>1440</v>
      </c>
      <c r="O80" t="s">
        <v>23</v>
      </c>
      <c r="Q80">
        <f t="shared" si="4"/>
        <v>1</v>
      </c>
      <c r="R80" t="e">
        <f t="shared" ca="1" si="5"/>
        <v>#NAME?</v>
      </c>
      <c r="S80">
        <f t="shared" si="6"/>
        <v>6</v>
      </c>
      <c r="T80" t="str">
        <f t="shared" si="7"/>
        <v>Ontevreden</v>
      </c>
    </row>
    <row r="81" spans="1:20" x14ac:dyDescent="0.3">
      <c r="A81" t="s">
        <v>1886</v>
      </c>
      <c r="B81" t="s">
        <v>1887</v>
      </c>
      <c r="C81" t="s">
        <v>1888</v>
      </c>
      <c r="D81" t="s">
        <v>1889</v>
      </c>
      <c r="E81" t="s">
        <v>1890</v>
      </c>
      <c r="F81" t="s">
        <v>1891</v>
      </c>
      <c r="G81">
        <v>178.04</v>
      </c>
      <c r="H81">
        <v>16</v>
      </c>
      <c r="I81" t="s">
        <v>22</v>
      </c>
      <c r="J81" t="s">
        <v>1440</v>
      </c>
      <c r="K81" t="s">
        <v>1439</v>
      </c>
      <c r="L81" t="s">
        <v>1439</v>
      </c>
      <c r="M81" t="s">
        <v>1440</v>
      </c>
      <c r="N81" t="s">
        <v>1439</v>
      </c>
      <c r="O81" t="s">
        <v>23</v>
      </c>
      <c r="Q81">
        <f t="shared" si="4"/>
        <v>1</v>
      </c>
      <c r="R81" t="e">
        <f t="shared" ca="1" si="5"/>
        <v>#NAME?</v>
      </c>
      <c r="S81">
        <f t="shared" si="6"/>
        <v>2</v>
      </c>
      <c r="T81" t="str">
        <f t="shared" si="7"/>
        <v>Ontevreden</v>
      </c>
    </row>
    <row r="82" spans="1:20" x14ac:dyDescent="0.3">
      <c r="A82" t="s">
        <v>1892</v>
      </c>
      <c r="B82" t="s">
        <v>1538</v>
      </c>
      <c r="C82" t="s">
        <v>1893</v>
      </c>
      <c r="D82" t="s">
        <v>1894</v>
      </c>
      <c r="E82" t="s">
        <v>1895</v>
      </c>
      <c r="F82" t="s">
        <v>1896</v>
      </c>
      <c r="G82">
        <v>97.84</v>
      </c>
      <c r="H82">
        <v>18</v>
      </c>
      <c r="I82" t="s">
        <v>29</v>
      </c>
      <c r="J82" t="s">
        <v>1440</v>
      </c>
      <c r="K82" t="s">
        <v>1440</v>
      </c>
      <c r="L82" t="s">
        <v>1440</v>
      </c>
      <c r="M82" t="s">
        <v>1439</v>
      </c>
      <c r="N82" t="s">
        <v>1440</v>
      </c>
      <c r="O82" t="s">
        <v>23</v>
      </c>
      <c r="Q82">
        <f t="shared" si="4"/>
        <v>1</v>
      </c>
      <c r="R82" t="e">
        <f t="shared" ca="1" si="5"/>
        <v>#NAME?</v>
      </c>
      <c r="S82">
        <f t="shared" si="6"/>
        <v>6</v>
      </c>
      <c r="T82" t="str">
        <f t="shared" si="7"/>
        <v>Ontevreden</v>
      </c>
    </row>
    <row r="83" spans="1:20" x14ac:dyDescent="0.3">
      <c r="A83" t="s">
        <v>1465</v>
      </c>
      <c r="B83" t="s">
        <v>1673</v>
      </c>
      <c r="C83" t="s">
        <v>1897</v>
      </c>
      <c r="D83" t="s">
        <v>1898</v>
      </c>
      <c r="E83" t="s">
        <v>1899</v>
      </c>
      <c r="F83" t="s">
        <v>1900</v>
      </c>
      <c r="G83">
        <v>201.42</v>
      </c>
      <c r="H83">
        <v>1</v>
      </c>
      <c r="I83" t="s">
        <v>22</v>
      </c>
      <c r="J83" t="s">
        <v>1440</v>
      </c>
      <c r="K83" t="s">
        <v>1440</v>
      </c>
      <c r="L83" t="s">
        <v>1440</v>
      </c>
      <c r="M83" t="s">
        <v>1440</v>
      </c>
      <c r="N83" t="s">
        <v>1440</v>
      </c>
      <c r="O83" t="s">
        <v>23</v>
      </c>
      <c r="Q83">
        <f t="shared" si="4"/>
        <v>1</v>
      </c>
      <c r="R83" t="e">
        <f t="shared" ca="1" si="5"/>
        <v>#NAME?</v>
      </c>
      <c r="S83">
        <f t="shared" si="6"/>
        <v>8</v>
      </c>
      <c r="T83" t="str">
        <f t="shared" si="7"/>
        <v>Tevreden</v>
      </c>
    </row>
    <row r="84" spans="1:20" x14ac:dyDescent="0.3">
      <c r="A84" t="s">
        <v>1901</v>
      </c>
      <c r="B84" t="s">
        <v>1902</v>
      </c>
      <c r="C84" t="s">
        <v>1903</v>
      </c>
      <c r="D84" t="s">
        <v>1904</v>
      </c>
      <c r="E84" t="s">
        <v>1905</v>
      </c>
      <c r="F84" t="s">
        <v>1906</v>
      </c>
      <c r="G84">
        <v>80.540000000000006</v>
      </c>
      <c r="H84">
        <v>4</v>
      </c>
      <c r="I84" t="s">
        <v>22</v>
      </c>
      <c r="J84" t="s">
        <v>1440</v>
      </c>
      <c r="K84" t="s">
        <v>1440</v>
      </c>
      <c r="L84" t="s">
        <v>1440</v>
      </c>
      <c r="M84" t="s">
        <v>1440</v>
      </c>
      <c r="N84" t="s">
        <v>1440</v>
      </c>
      <c r="O84" t="s">
        <v>23</v>
      </c>
      <c r="Q84">
        <f t="shared" si="4"/>
        <v>1</v>
      </c>
      <c r="R84" t="e">
        <f t="shared" ca="1" si="5"/>
        <v>#NAME?</v>
      </c>
      <c r="S84">
        <f t="shared" si="6"/>
        <v>8</v>
      </c>
      <c r="T84" t="str">
        <f t="shared" si="7"/>
        <v>Tevreden</v>
      </c>
    </row>
    <row r="85" spans="1:20" x14ac:dyDescent="0.3">
      <c r="A85" t="s">
        <v>1907</v>
      </c>
      <c r="B85" t="s">
        <v>1908</v>
      </c>
      <c r="C85" t="s">
        <v>1909</v>
      </c>
      <c r="D85" t="s">
        <v>1910</v>
      </c>
      <c r="E85" t="s">
        <v>1911</v>
      </c>
      <c r="F85" t="s">
        <v>1912</v>
      </c>
      <c r="G85">
        <v>163.13999999999999</v>
      </c>
      <c r="H85">
        <v>22</v>
      </c>
      <c r="I85" t="s">
        <v>22</v>
      </c>
      <c r="J85" t="s">
        <v>1439</v>
      </c>
      <c r="K85" t="s">
        <v>1440</v>
      </c>
      <c r="L85" t="s">
        <v>1440</v>
      </c>
      <c r="M85" t="s">
        <v>1440</v>
      </c>
      <c r="N85" t="s">
        <v>1440</v>
      </c>
      <c r="O85" t="s">
        <v>34</v>
      </c>
      <c r="Q85">
        <f t="shared" si="4"/>
        <v>1</v>
      </c>
      <c r="R85" t="e">
        <f t="shared" ca="1" si="5"/>
        <v>#NAME?</v>
      </c>
      <c r="S85">
        <f t="shared" si="6"/>
        <v>8</v>
      </c>
      <c r="T85" t="str">
        <f t="shared" si="7"/>
        <v>Tevreden</v>
      </c>
    </row>
    <row r="86" spans="1:20" x14ac:dyDescent="0.3">
      <c r="A86" t="s">
        <v>1913</v>
      </c>
      <c r="B86" t="s">
        <v>1695</v>
      </c>
      <c r="C86" t="s">
        <v>1914</v>
      </c>
      <c r="D86" t="s">
        <v>1915</v>
      </c>
      <c r="E86" t="s">
        <v>1916</v>
      </c>
      <c r="F86" t="s">
        <v>1917</v>
      </c>
      <c r="G86">
        <v>115.12</v>
      </c>
      <c r="H86">
        <v>13</v>
      </c>
      <c r="I86" t="s">
        <v>29</v>
      </c>
      <c r="J86" t="s">
        <v>1439</v>
      </c>
      <c r="K86" t="s">
        <v>1440</v>
      </c>
      <c r="L86" t="s">
        <v>1440</v>
      </c>
      <c r="M86" t="s">
        <v>1440</v>
      </c>
      <c r="N86" t="s">
        <v>1440</v>
      </c>
      <c r="O86" t="s">
        <v>23</v>
      </c>
      <c r="Q86">
        <f t="shared" si="4"/>
        <v>1</v>
      </c>
      <c r="R86" t="e">
        <f t="shared" ca="1" si="5"/>
        <v>#NAME?</v>
      </c>
      <c r="S86">
        <f t="shared" si="6"/>
        <v>8</v>
      </c>
      <c r="T86" t="str">
        <f t="shared" si="7"/>
        <v>Tevreden</v>
      </c>
    </row>
    <row r="87" spans="1:20" x14ac:dyDescent="0.3">
      <c r="A87" t="s">
        <v>1918</v>
      </c>
      <c r="B87" t="s">
        <v>1919</v>
      </c>
      <c r="C87" t="s">
        <v>1920</v>
      </c>
      <c r="D87" t="s">
        <v>1921</v>
      </c>
      <c r="E87" t="s">
        <v>1922</v>
      </c>
      <c r="F87" t="s">
        <v>1923</v>
      </c>
      <c r="G87">
        <v>152.25</v>
      </c>
      <c r="H87">
        <v>13</v>
      </c>
      <c r="I87" t="s">
        <v>22</v>
      </c>
      <c r="J87" t="s">
        <v>1440</v>
      </c>
      <c r="K87" t="s">
        <v>1440</v>
      </c>
      <c r="L87" t="s">
        <v>1440</v>
      </c>
      <c r="M87" t="s">
        <v>1440</v>
      </c>
      <c r="N87" t="s">
        <v>1440</v>
      </c>
      <c r="O87" t="s">
        <v>23</v>
      </c>
      <c r="Q87">
        <f t="shared" si="4"/>
        <v>1</v>
      </c>
      <c r="R87" t="e">
        <f t="shared" ca="1" si="5"/>
        <v>#NAME?</v>
      </c>
      <c r="S87">
        <f t="shared" si="6"/>
        <v>8</v>
      </c>
      <c r="T87" t="str">
        <f t="shared" si="7"/>
        <v>Tevreden</v>
      </c>
    </row>
    <row r="88" spans="1:20" x14ac:dyDescent="0.3">
      <c r="A88" t="s">
        <v>1924</v>
      </c>
      <c r="B88" t="s">
        <v>1580</v>
      </c>
      <c r="C88" t="s">
        <v>1925</v>
      </c>
      <c r="D88" t="s">
        <v>1926</v>
      </c>
      <c r="E88" t="s">
        <v>1927</v>
      </c>
      <c r="F88" t="s">
        <v>1928</v>
      </c>
      <c r="G88">
        <v>116.06</v>
      </c>
      <c r="H88">
        <v>12</v>
      </c>
      <c r="I88" t="s">
        <v>22</v>
      </c>
      <c r="J88" t="s">
        <v>1440</v>
      </c>
      <c r="K88" t="s">
        <v>1440</v>
      </c>
      <c r="L88" t="s">
        <v>1440</v>
      </c>
      <c r="M88" t="s">
        <v>1440</v>
      </c>
      <c r="N88" t="s">
        <v>1439</v>
      </c>
      <c r="O88" t="s">
        <v>23</v>
      </c>
      <c r="Q88">
        <f t="shared" si="4"/>
        <v>1</v>
      </c>
      <c r="R88" t="e">
        <f t="shared" ca="1" si="5"/>
        <v>#NAME?</v>
      </c>
      <c r="S88">
        <f t="shared" si="6"/>
        <v>6</v>
      </c>
      <c r="T88" t="str">
        <f t="shared" si="7"/>
        <v>Ontevreden</v>
      </c>
    </row>
    <row r="89" spans="1:20" x14ac:dyDescent="0.3">
      <c r="A89" t="s">
        <v>1929</v>
      </c>
      <c r="B89" t="s">
        <v>1930</v>
      </c>
      <c r="C89" t="s">
        <v>1931</v>
      </c>
      <c r="D89" t="s">
        <v>1932</v>
      </c>
      <c r="E89" t="s">
        <v>1933</v>
      </c>
      <c r="F89" t="s">
        <v>1934</v>
      </c>
      <c r="G89">
        <v>140.32</v>
      </c>
      <c r="H89">
        <v>16</v>
      </c>
      <c r="I89" t="s">
        <v>22</v>
      </c>
      <c r="J89" t="s">
        <v>1440</v>
      </c>
      <c r="K89" t="s">
        <v>1440</v>
      </c>
      <c r="L89" t="s">
        <v>1440</v>
      </c>
      <c r="M89" t="s">
        <v>1440</v>
      </c>
      <c r="N89" t="s">
        <v>1440</v>
      </c>
      <c r="O89" t="s">
        <v>23</v>
      </c>
      <c r="Q89">
        <f t="shared" si="4"/>
        <v>1</v>
      </c>
      <c r="R89" t="e">
        <f t="shared" ca="1" si="5"/>
        <v>#NAME?</v>
      </c>
      <c r="S89">
        <f t="shared" si="6"/>
        <v>8</v>
      </c>
      <c r="T89" t="str">
        <f t="shared" si="7"/>
        <v>Tevreden</v>
      </c>
    </row>
    <row r="90" spans="1:20" x14ac:dyDescent="0.3">
      <c r="A90" t="s">
        <v>1935</v>
      </c>
      <c r="B90" t="s">
        <v>1936</v>
      </c>
      <c r="C90" t="s">
        <v>1937</v>
      </c>
      <c r="D90" t="s">
        <v>1938</v>
      </c>
      <c r="E90" t="s">
        <v>1939</v>
      </c>
      <c r="F90" t="s">
        <v>1940</v>
      </c>
      <c r="G90">
        <v>96.25</v>
      </c>
      <c r="H90">
        <v>3</v>
      </c>
      <c r="I90" t="s">
        <v>29</v>
      </c>
      <c r="J90" t="s">
        <v>1440</v>
      </c>
      <c r="K90" t="s">
        <v>1440</v>
      </c>
      <c r="L90" t="s">
        <v>1440</v>
      </c>
      <c r="M90" t="s">
        <v>1440</v>
      </c>
      <c r="N90" t="s">
        <v>1440</v>
      </c>
      <c r="O90" t="s">
        <v>78</v>
      </c>
      <c r="Q90">
        <f t="shared" si="4"/>
        <v>1</v>
      </c>
      <c r="R90" t="e">
        <f t="shared" ca="1" si="5"/>
        <v>#NAME?</v>
      </c>
      <c r="S90">
        <f t="shared" si="6"/>
        <v>8</v>
      </c>
      <c r="T90" t="str">
        <f t="shared" si="7"/>
        <v>Tevreden</v>
      </c>
    </row>
    <row r="91" spans="1:20" x14ac:dyDescent="0.3">
      <c r="A91" t="s">
        <v>1941</v>
      </c>
      <c r="B91" t="s">
        <v>1602</v>
      </c>
      <c r="C91" t="s">
        <v>1942</v>
      </c>
      <c r="D91" t="s">
        <v>274</v>
      </c>
      <c r="E91" t="s">
        <v>1943</v>
      </c>
      <c r="F91" t="s">
        <v>1941</v>
      </c>
      <c r="G91">
        <v>104.7</v>
      </c>
      <c r="H91">
        <v>16</v>
      </c>
      <c r="I91" t="s">
        <v>29</v>
      </c>
      <c r="J91" t="s">
        <v>1440</v>
      </c>
      <c r="K91" t="s">
        <v>1440</v>
      </c>
      <c r="L91" t="s">
        <v>1440</v>
      </c>
      <c r="M91" t="s">
        <v>1439</v>
      </c>
      <c r="N91" t="s">
        <v>1439</v>
      </c>
      <c r="O91" t="s">
        <v>23</v>
      </c>
      <c r="Q91">
        <f t="shared" si="4"/>
        <v>1</v>
      </c>
      <c r="R91" t="e">
        <f t="shared" ca="1" si="5"/>
        <v>#NAME?</v>
      </c>
      <c r="S91">
        <f t="shared" si="6"/>
        <v>4</v>
      </c>
      <c r="T91" t="str">
        <f t="shared" si="7"/>
        <v>Ontevreden</v>
      </c>
    </row>
    <row r="92" spans="1:20" x14ac:dyDescent="0.3">
      <c r="A92" t="s">
        <v>1944</v>
      </c>
      <c r="B92" t="s">
        <v>1945</v>
      </c>
      <c r="C92" t="s">
        <v>1946</v>
      </c>
      <c r="D92" t="s">
        <v>1947</v>
      </c>
      <c r="E92" t="s">
        <v>1948</v>
      </c>
      <c r="F92" t="s">
        <v>1949</v>
      </c>
      <c r="G92">
        <v>75.09</v>
      </c>
      <c r="H92">
        <v>9</v>
      </c>
      <c r="I92" t="s">
        <v>22</v>
      </c>
      <c r="J92" t="s">
        <v>1440</v>
      </c>
      <c r="K92" t="s">
        <v>1440</v>
      </c>
      <c r="L92" t="s">
        <v>1440</v>
      </c>
      <c r="M92" t="s">
        <v>1440</v>
      </c>
      <c r="N92" t="s">
        <v>1440</v>
      </c>
      <c r="O92" t="s">
        <v>23</v>
      </c>
      <c r="Q92">
        <f t="shared" si="4"/>
        <v>1</v>
      </c>
      <c r="R92" t="e">
        <f t="shared" ca="1" si="5"/>
        <v>#NAME?</v>
      </c>
      <c r="S92">
        <f t="shared" si="6"/>
        <v>8</v>
      </c>
      <c r="T92" t="str">
        <f t="shared" si="7"/>
        <v>Tevreden</v>
      </c>
    </row>
    <row r="93" spans="1:20" x14ac:dyDescent="0.3">
      <c r="A93" t="s">
        <v>1950</v>
      </c>
      <c r="B93" t="s">
        <v>1951</v>
      </c>
      <c r="C93" t="s">
        <v>1952</v>
      </c>
      <c r="D93" t="s">
        <v>1953</v>
      </c>
      <c r="E93" t="s">
        <v>1954</v>
      </c>
      <c r="F93" t="s">
        <v>1955</v>
      </c>
      <c r="G93">
        <v>131.33000000000001</v>
      </c>
      <c r="H93">
        <v>3</v>
      </c>
      <c r="I93" t="s">
        <v>29</v>
      </c>
      <c r="J93" t="s">
        <v>1439</v>
      </c>
      <c r="K93" t="s">
        <v>1440</v>
      </c>
      <c r="L93" t="s">
        <v>1440</v>
      </c>
      <c r="M93" t="s">
        <v>1440</v>
      </c>
      <c r="N93" t="s">
        <v>1440</v>
      </c>
      <c r="O93" t="s">
        <v>23</v>
      </c>
      <c r="Q93">
        <f t="shared" si="4"/>
        <v>1</v>
      </c>
      <c r="R93" t="e">
        <f t="shared" ca="1" si="5"/>
        <v>#NAME?</v>
      </c>
      <c r="S93">
        <f t="shared" si="6"/>
        <v>8</v>
      </c>
      <c r="T93" t="str">
        <f t="shared" si="7"/>
        <v>Tevreden</v>
      </c>
    </row>
    <row r="94" spans="1:20" x14ac:dyDescent="0.3">
      <c r="A94" t="s">
        <v>1956</v>
      </c>
      <c r="B94" t="s">
        <v>1908</v>
      </c>
      <c r="C94" t="s">
        <v>1957</v>
      </c>
      <c r="D94" t="s">
        <v>1958</v>
      </c>
      <c r="E94" t="s">
        <v>1959</v>
      </c>
      <c r="F94" t="s">
        <v>1960</v>
      </c>
      <c r="G94">
        <v>201.56</v>
      </c>
      <c r="H94">
        <v>12</v>
      </c>
      <c r="I94" t="s">
        <v>22</v>
      </c>
      <c r="J94" t="s">
        <v>1440</v>
      </c>
      <c r="K94" t="s">
        <v>1440</v>
      </c>
      <c r="L94" t="s">
        <v>1440</v>
      </c>
      <c r="M94" t="s">
        <v>1439</v>
      </c>
      <c r="N94" t="s">
        <v>1440</v>
      </c>
      <c r="O94" t="s">
        <v>23</v>
      </c>
      <c r="Q94">
        <f t="shared" si="4"/>
        <v>1</v>
      </c>
      <c r="R94" t="e">
        <f t="shared" ca="1" si="5"/>
        <v>#NAME?</v>
      </c>
      <c r="S94">
        <f t="shared" si="6"/>
        <v>6</v>
      </c>
      <c r="T94" t="str">
        <f t="shared" si="7"/>
        <v>Ontevreden</v>
      </c>
    </row>
    <row r="95" spans="1:20" x14ac:dyDescent="0.3">
      <c r="A95" t="s">
        <v>1961</v>
      </c>
      <c r="B95" t="s">
        <v>1596</v>
      </c>
      <c r="C95" t="s">
        <v>1962</v>
      </c>
      <c r="D95" t="s">
        <v>1963</v>
      </c>
      <c r="E95" t="s">
        <v>1964</v>
      </c>
      <c r="F95" t="s">
        <v>1965</v>
      </c>
      <c r="G95">
        <v>129.97</v>
      </c>
      <c r="H95">
        <v>12</v>
      </c>
      <c r="I95" t="s">
        <v>29</v>
      </c>
      <c r="J95" t="s">
        <v>1440</v>
      </c>
      <c r="K95" t="s">
        <v>1440</v>
      </c>
      <c r="L95" t="s">
        <v>1440</v>
      </c>
      <c r="M95" t="s">
        <v>1439</v>
      </c>
      <c r="N95" t="s">
        <v>1440</v>
      </c>
      <c r="O95" t="s">
        <v>23</v>
      </c>
      <c r="Q95">
        <f t="shared" si="4"/>
        <v>1</v>
      </c>
      <c r="R95" t="e">
        <f t="shared" ca="1" si="5"/>
        <v>#NAME?</v>
      </c>
      <c r="S95">
        <f t="shared" si="6"/>
        <v>6</v>
      </c>
      <c r="T95" t="str">
        <f t="shared" si="7"/>
        <v>Ontevreden</v>
      </c>
    </row>
    <row r="96" spans="1:20" x14ac:dyDescent="0.3">
      <c r="A96" t="s">
        <v>1966</v>
      </c>
      <c r="B96" t="s">
        <v>1967</v>
      </c>
      <c r="C96" t="s">
        <v>1968</v>
      </c>
      <c r="D96" t="s">
        <v>1969</v>
      </c>
      <c r="E96" t="s">
        <v>1970</v>
      </c>
      <c r="F96" t="s">
        <v>1971</v>
      </c>
      <c r="G96">
        <v>120.91</v>
      </c>
      <c r="H96">
        <v>12</v>
      </c>
      <c r="I96" t="s">
        <v>29</v>
      </c>
      <c r="J96" t="s">
        <v>1440</v>
      </c>
      <c r="K96" t="s">
        <v>1440</v>
      </c>
      <c r="L96" t="s">
        <v>1440</v>
      </c>
      <c r="M96" t="s">
        <v>1439</v>
      </c>
      <c r="N96" t="s">
        <v>1440</v>
      </c>
      <c r="O96" t="s">
        <v>23</v>
      </c>
      <c r="Q96">
        <f t="shared" si="4"/>
        <v>1</v>
      </c>
      <c r="R96" t="e">
        <f t="shared" ca="1" si="5"/>
        <v>#NAME?</v>
      </c>
      <c r="S96">
        <f t="shared" si="6"/>
        <v>6</v>
      </c>
      <c r="T96" t="str">
        <f t="shared" si="7"/>
        <v>Ontevreden</v>
      </c>
    </row>
    <row r="97" spans="1:20" x14ac:dyDescent="0.3">
      <c r="A97" t="s">
        <v>1972</v>
      </c>
      <c r="B97" t="s">
        <v>1973</v>
      </c>
      <c r="C97" t="s">
        <v>1974</v>
      </c>
      <c r="D97" t="s">
        <v>1372</v>
      </c>
      <c r="E97" t="s">
        <v>1975</v>
      </c>
      <c r="F97" t="s">
        <v>1972</v>
      </c>
      <c r="G97">
        <v>61.45</v>
      </c>
      <c r="H97">
        <v>10</v>
      </c>
      <c r="I97" t="s">
        <v>22</v>
      </c>
      <c r="J97" t="s">
        <v>1439</v>
      </c>
      <c r="K97" t="s">
        <v>1439</v>
      </c>
      <c r="L97" t="s">
        <v>1440</v>
      </c>
      <c r="M97" t="s">
        <v>1439</v>
      </c>
      <c r="N97" t="s">
        <v>1440</v>
      </c>
      <c r="O97" t="s">
        <v>23</v>
      </c>
      <c r="Q97">
        <f t="shared" si="4"/>
        <v>1</v>
      </c>
      <c r="R97" t="e">
        <f t="shared" ca="1" si="5"/>
        <v>#NAME?</v>
      </c>
      <c r="S97">
        <f t="shared" si="6"/>
        <v>4</v>
      </c>
      <c r="T97" t="str">
        <f t="shared" si="7"/>
        <v>Ontevreden</v>
      </c>
    </row>
    <row r="98" spans="1:20" x14ac:dyDescent="0.3">
      <c r="A98" t="s">
        <v>1976</v>
      </c>
      <c r="B98" t="s">
        <v>1977</v>
      </c>
      <c r="C98" t="s">
        <v>1978</v>
      </c>
      <c r="D98" t="s">
        <v>1979</v>
      </c>
      <c r="E98" t="s">
        <v>1980</v>
      </c>
      <c r="F98" t="s">
        <v>1981</v>
      </c>
      <c r="G98">
        <v>105.64</v>
      </c>
      <c r="H98">
        <v>11</v>
      </c>
      <c r="I98" t="s">
        <v>29</v>
      </c>
      <c r="J98" t="s">
        <v>1440</v>
      </c>
      <c r="K98" t="s">
        <v>1440</v>
      </c>
      <c r="L98" t="s">
        <v>1440</v>
      </c>
      <c r="M98" t="s">
        <v>1439</v>
      </c>
      <c r="N98" t="s">
        <v>1440</v>
      </c>
      <c r="O98" t="s">
        <v>23</v>
      </c>
      <c r="Q98">
        <f t="shared" si="4"/>
        <v>1</v>
      </c>
      <c r="R98" t="e">
        <f t="shared" ca="1" si="5"/>
        <v>#NAME?</v>
      </c>
      <c r="S98">
        <f t="shared" si="6"/>
        <v>6</v>
      </c>
      <c r="T98" t="str">
        <f t="shared" si="7"/>
        <v>Ontevreden</v>
      </c>
    </row>
    <row r="99" spans="1:20" x14ac:dyDescent="0.3">
      <c r="A99" t="s">
        <v>1982</v>
      </c>
      <c r="B99" t="s">
        <v>1508</v>
      </c>
      <c r="C99" t="s">
        <v>1983</v>
      </c>
      <c r="D99" t="s">
        <v>1984</v>
      </c>
      <c r="E99" t="s">
        <v>1985</v>
      </c>
      <c r="F99" t="s">
        <v>1982</v>
      </c>
      <c r="G99">
        <v>34.200000000000003</v>
      </c>
      <c r="H99">
        <v>4</v>
      </c>
      <c r="I99" t="s">
        <v>57</v>
      </c>
      <c r="J99" t="s">
        <v>1439</v>
      </c>
      <c r="K99" t="s">
        <v>1439</v>
      </c>
      <c r="L99" t="s">
        <v>1440</v>
      </c>
      <c r="M99" t="s">
        <v>1439</v>
      </c>
      <c r="N99" t="s">
        <v>1440</v>
      </c>
      <c r="O99" t="s">
        <v>23</v>
      </c>
      <c r="Q99">
        <f t="shared" si="4"/>
        <v>1</v>
      </c>
      <c r="R99" t="e">
        <f t="shared" ca="1" si="5"/>
        <v>#NAME?</v>
      </c>
      <c r="S99">
        <f t="shared" si="6"/>
        <v>4</v>
      </c>
      <c r="T99" t="str">
        <f t="shared" si="7"/>
        <v>Ontevreden</v>
      </c>
    </row>
    <row r="100" spans="1:20" x14ac:dyDescent="0.3">
      <c r="A100" t="s">
        <v>1986</v>
      </c>
      <c r="B100" t="s">
        <v>1987</v>
      </c>
      <c r="C100" t="s">
        <v>1988</v>
      </c>
      <c r="D100" t="s">
        <v>1989</v>
      </c>
      <c r="E100" t="s">
        <v>1990</v>
      </c>
      <c r="F100" t="s">
        <v>1986</v>
      </c>
      <c r="G100">
        <v>97.47</v>
      </c>
      <c r="H100">
        <v>9</v>
      </c>
      <c r="I100" t="s">
        <v>22</v>
      </c>
      <c r="J100" t="s">
        <v>1440</v>
      </c>
      <c r="K100" t="s">
        <v>1440</v>
      </c>
      <c r="L100" t="s">
        <v>1439</v>
      </c>
      <c r="M100" t="s">
        <v>1440</v>
      </c>
      <c r="N100" t="s">
        <v>1440</v>
      </c>
      <c r="O100" t="s">
        <v>34</v>
      </c>
      <c r="Q100">
        <f t="shared" si="4"/>
        <v>1</v>
      </c>
      <c r="R100" t="e">
        <f t="shared" ca="1" si="5"/>
        <v>#NAME?</v>
      </c>
      <c r="S100">
        <f t="shared" si="6"/>
        <v>6</v>
      </c>
      <c r="T100" t="str">
        <f t="shared" si="7"/>
        <v>Ontevreden</v>
      </c>
    </row>
    <row r="101" spans="1:20" x14ac:dyDescent="0.3">
      <c r="A101" t="s">
        <v>1660</v>
      </c>
      <c r="B101" t="s">
        <v>1991</v>
      </c>
      <c r="C101" t="s">
        <v>1992</v>
      </c>
      <c r="D101" t="s">
        <v>1993</v>
      </c>
      <c r="E101" t="s">
        <v>1994</v>
      </c>
      <c r="F101" t="s">
        <v>1660</v>
      </c>
      <c r="G101">
        <v>64.78</v>
      </c>
      <c r="H101">
        <v>5</v>
      </c>
      <c r="I101" t="s">
        <v>22</v>
      </c>
      <c r="J101" t="s">
        <v>1439</v>
      </c>
      <c r="K101" t="s">
        <v>1440</v>
      </c>
      <c r="L101" t="s">
        <v>1440</v>
      </c>
      <c r="M101" t="s">
        <v>1440</v>
      </c>
      <c r="N101" t="s">
        <v>1440</v>
      </c>
      <c r="O101" t="s">
        <v>23</v>
      </c>
      <c r="Q101">
        <f t="shared" si="4"/>
        <v>1</v>
      </c>
      <c r="R101" t="e">
        <f t="shared" ca="1" si="5"/>
        <v>#NAME?</v>
      </c>
      <c r="S101">
        <f t="shared" si="6"/>
        <v>8</v>
      </c>
      <c r="T101" t="str">
        <f t="shared" si="7"/>
        <v>Tevreden</v>
      </c>
    </row>
    <row r="102" spans="1:20" x14ac:dyDescent="0.3">
      <c r="A102" t="s">
        <v>1995</v>
      </c>
      <c r="B102" t="s">
        <v>1996</v>
      </c>
      <c r="C102" t="s">
        <v>1997</v>
      </c>
      <c r="D102" t="s">
        <v>1998</v>
      </c>
      <c r="E102" t="s">
        <v>1999</v>
      </c>
      <c r="F102" t="s">
        <v>2000</v>
      </c>
      <c r="G102">
        <v>119.16</v>
      </c>
      <c r="H102">
        <v>10</v>
      </c>
      <c r="I102" t="s">
        <v>22</v>
      </c>
      <c r="J102" t="s">
        <v>1440</v>
      </c>
      <c r="K102" t="s">
        <v>1439</v>
      </c>
      <c r="L102" t="s">
        <v>1440</v>
      </c>
      <c r="M102" t="s">
        <v>1439</v>
      </c>
      <c r="N102" t="s">
        <v>1440</v>
      </c>
      <c r="O102" t="s">
        <v>23</v>
      </c>
      <c r="Q102">
        <f t="shared" si="4"/>
        <v>1</v>
      </c>
      <c r="R102" t="e">
        <f t="shared" ca="1" si="5"/>
        <v>#NAME?</v>
      </c>
      <c r="S102">
        <f t="shared" si="6"/>
        <v>4</v>
      </c>
      <c r="T102" t="str">
        <f t="shared" si="7"/>
        <v>Ontevreden</v>
      </c>
    </row>
    <row r="103" spans="1:20" x14ac:dyDescent="0.3">
      <c r="A103" t="s">
        <v>2001</v>
      </c>
      <c r="B103" t="s">
        <v>2002</v>
      </c>
      <c r="C103" t="s">
        <v>2003</v>
      </c>
      <c r="D103" t="s">
        <v>2004</v>
      </c>
      <c r="E103" t="s">
        <v>2005</v>
      </c>
      <c r="F103" t="s">
        <v>2006</v>
      </c>
      <c r="G103">
        <v>59.93</v>
      </c>
      <c r="H103">
        <v>6</v>
      </c>
      <c r="I103" t="s">
        <v>22</v>
      </c>
      <c r="J103" t="s">
        <v>1440</v>
      </c>
      <c r="K103" t="s">
        <v>1440</v>
      </c>
      <c r="L103" t="s">
        <v>1440</v>
      </c>
      <c r="M103" t="s">
        <v>1440</v>
      </c>
      <c r="N103" t="s">
        <v>1440</v>
      </c>
      <c r="O103" t="s">
        <v>34</v>
      </c>
      <c r="Q103">
        <f t="shared" si="4"/>
        <v>1</v>
      </c>
      <c r="R103" t="e">
        <f t="shared" ca="1" si="5"/>
        <v>#NAME?</v>
      </c>
      <c r="S103">
        <f t="shared" si="6"/>
        <v>8</v>
      </c>
      <c r="T103" t="str">
        <f t="shared" si="7"/>
        <v>Tevreden</v>
      </c>
    </row>
    <row r="104" spans="1:20" x14ac:dyDescent="0.3">
      <c r="A104" t="s">
        <v>2007</v>
      </c>
      <c r="B104" t="s">
        <v>1580</v>
      </c>
      <c r="C104" t="s">
        <v>2008</v>
      </c>
      <c r="D104" t="s">
        <v>2009</v>
      </c>
      <c r="E104" t="s">
        <v>2010</v>
      </c>
      <c r="F104" t="s">
        <v>2011</v>
      </c>
      <c r="G104">
        <v>145.79</v>
      </c>
      <c r="H104">
        <v>17</v>
      </c>
      <c r="I104" t="s">
        <v>29</v>
      </c>
      <c r="J104" t="s">
        <v>1440</v>
      </c>
      <c r="K104" t="s">
        <v>1440</v>
      </c>
      <c r="L104" t="s">
        <v>1440</v>
      </c>
      <c r="M104" t="s">
        <v>1439</v>
      </c>
      <c r="N104" t="s">
        <v>1440</v>
      </c>
      <c r="O104" t="s">
        <v>23</v>
      </c>
      <c r="Q104">
        <f t="shared" si="4"/>
        <v>1</v>
      </c>
      <c r="R104" t="e">
        <f t="shared" ca="1" si="5"/>
        <v>#NAME?</v>
      </c>
      <c r="S104">
        <f t="shared" si="6"/>
        <v>6</v>
      </c>
      <c r="T104" t="str">
        <f t="shared" si="7"/>
        <v>Ontevreden</v>
      </c>
    </row>
    <row r="105" spans="1:20" x14ac:dyDescent="0.3">
      <c r="A105" t="s">
        <v>2012</v>
      </c>
      <c r="B105" t="s">
        <v>1707</v>
      </c>
      <c r="C105" t="s">
        <v>2013</v>
      </c>
      <c r="D105" t="s">
        <v>2014</v>
      </c>
      <c r="E105" t="s">
        <v>2015</v>
      </c>
      <c r="F105" t="s">
        <v>2016</v>
      </c>
      <c r="G105">
        <v>122.43</v>
      </c>
      <c r="H105">
        <v>1</v>
      </c>
      <c r="I105" t="s">
        <v>29</v>
      </c>
      <c r="J105" t="s">
        <v>1440</v>
      </c>
      <c r="K105" t="s">
        <v>1440</v>
      </c>
      <c r="L105" t="s">
        <v>1439</v>
      </c>
      <c r="M105" t="s">
        <v>1440</v>
      </c>
      <c r="N105" t="s">
        <v>1439</v>
      </c>
      <c r="O105" t="s">
        <v>23</v>
      </c>
      <c r="Q105">
        <f t="shared" si="4"/>
        <v>1</v>
      </c>
      <c r="R105" t="e">
        <f t="shared" ca="1" si="5"/>
        <v>#NAME?</v>
      </c>
      <c r="S105">
        <f t="shared" si="6"/>
        <v>4</v>
      </c>
      <c r="T105" t="str">
        <f t="shared" si="7"/>
        <v>Ontevreden</v>
      </c>
    </row>
    <row r="106" spans="1:20" x14ac:dyDescent="0.3">
      <c r="A106" t="s">
        <v>2017</v>
      </c>
      <c r="B106" t="s">
        <v>2018</v>
      </c>
      <c r="C106" t="s">
        <v>2019</v>
      </c>
      <c r="D106" t="s">
        <v>2020</v>
      </c>
      <c r="E106" t="s">
        <v>2021</v>
      </c>
      <c r="F106" t="s">
        <v>2022</v>
      </c>
      <c r="G106">
        <v>136.28</v>
      </c>
      <c r="H106">
        <v>2</v>
      </c>
      <c r="I106" t="s">
        <v>22</v>
      </c>
      <c r="J106" t="s">
        <v>1440</v>
      </c>
      <c r="K106" t="s">
        <v>1439</v>
      </c>
      <c r="L106" t="s">
        <v>1440</v>
      </c>
      <c r="M106" t="s">
        <v>1440</v>
      </c>
      <c r="N106" t="s">
        <v>1440</v>
      </c>
      <c r="O106" t="s">
        <v>23</v>
      </c>
      <c r="Q106">
        <f t="shared" si="4"/>
        <v>1</v>
      </c>
      <c r="R106" t="e">
        <f t="shared" ca="1" si="5"/>
        <v>#NAME?</v>
      </c>
      <c r="S106">
        <f t="shared" si="6"/>
        <v>6</v>
      </c>
      <c r="T106" t="str">
        <f t="shared" si="7"/>
        <v>Ontevreden</v>
      </c>
    </row>
    <row r="107" spans="1:20" x14ac:dyDescent="0.3">
      <c r="A107" t="s">
        <v>2023</v>
      </c>
      <c r="B107" t="s">
        <v>2024</v>
      </c>
      <c r="C107" t="s">
        <v>2025</v>
      </c>
      <c r="D107" t="s">
        <v>2026</v>
      </c>
      <c r="E107" t="s">
        <v>2027</v>
      </c>
      <c r="F107" t="s">
        <v>2023</v>
      </c>
      <c r="G107">
        <v>56.79</v>
      </c>
      <c r="H107">
        <v>4</v>
      </c>
      <c r="I107" t="s">
        <v>29</v>
      </c>
      <c r="J107" t="s">
        <v>1439</v>
      </c>
      <c r="K107" t="s">
        <v>1440</v>
      </c>
      <c r="L107" t="s">
        <v>1439</v>
      </c>
      <c r="M107" t="s">
        <v>1440</v>
      </c>
      <c r="N107" t="s">
        <v>1439</v>
      </c>
      <c r="O107" t="s">
        <v>23</v>
      </c>
      <c r="Q107">
        <f t="shared" si="4"/>
        <v>1</v>
      </c>
      <c r="R107" t="e">
        <f t="shared" ca="1" si="5"/>
        <v>#NAME?</v>
      </c>
      <c r="S107">
        <f t="shared" si="6"/>
        <v>4</v>
      </c>
      <c r="T107" t="str">
        <f t="shared" si="7"/>
        <v>Ontevreden</v>
      </c>
    </row>
    <row r="108" spans="1:20" x14ac:dyDescent="0.3">
      <c r="A108" t="s">
        <v>2028</v>
      </c>
      <c r="B108" t="s">
        <v>2029</v>
      </c>
      <c r="C108" t="s">
        <v>2030</v>
      </c>
      <c r="D108" t="s">
        <v>2031</v>
      </c>
      <c r="E108" t="s">
        <v>2032</v>
      </c>
      <c r="F108" t="s">
        <v>2028</v>
      </c>
      <c r="G108">
        <v>78</v>
      </c>
      <c r="H108">
        <v>17</v>
      </c>
      <c r="I108" t="s">
        <v>22</v>
      </c>
      <c r="J108" t="s">
        <v>1439</v>
      </c>
      <c r="K108" t="s">
        <v>1440</v>
      </c>
      <c r="L108" t="s">
        <v>1439</v>
      </c>
      <c r="M108" t="s">
        <v>1440</v>
      </c>
      <c r="N108" t="s">
        <v>1439</v>
      </c>
      <c r="O108" t="s">
        <v>23</v>
      </c>
      <c r="Q108">
        <f t="shared" si="4"/>
        <v>1</v>
      </c>
      <c r="R108" t="e">
        <f t="shared" ca="1" si="5"/>
        <v>#NAME?</v>
      </c>
      <c r="S108">
        <f t="shared" si="6"/>
        <v>4</v>
      </c>
      <c r="T108" t="str">
        <f t="shared" si="7"/>
        <v>Ontevreden</v>
      </c>
    </row>
    <row r="109" spans="1:20" x14ac:dyDescent="0.3">
      <c r="A109" t="s">
        <v>2033</v>
      </c>
      <c r="B109" t="s">
        <v>2034</v>
      </c>
      <c r="C109" t="s">
        <v>2035</v>
      </c>
      <c r="D109" t="s">
        <v>2036</v>
      </c>
      <c r="E109" t="s">
        <v>2037</v>
      </c>
      <c r="F109" t="s">
        <v>2038</v>
      </c>
      <c r="G109">
        <v>84.86</v>
      </c>
      <c r="H109">
        <v>17</v>
      </c>
      <c r="I109" t="s">
        <v>57</v>
      </c>
      <c r="J109" t="s">
        <v>1440</v>
      </c>
      <c r="K109" t="s">
        <v>1439</v>
      </c>
      <c r="L109" t="s">
        <v>1440</v>
      </c>
      <c r="M109" t="s">
        <v>1440</v>
      </c>
      <c r="N109" t="s">
        <v>1440</v>
      </c>
      <c r="O109" t="s">
        <v>23</v>
      </c>
      <c r="Q109">
        <f t="shared" si="4"/>
        <v>1</v>
      </c>
      <c r="R109" t="e">
        <f t="shared" ca="1" si="5"/>
        <v>#NAME?</v>
      </c>
      <c r="S109">
        <f t="shared" si="6"/>
        <v>6</v>
      </c>
      <c r="T109" t="str">
        <f t="shared" si="7"/>
        <v>Ontevreden</v>
      </c>
    </row>
    <row r="110" spans="1:20" x14ac:dyDescent="0.3">
      <c r="A110" t="s">
        <v>2039</v>
      </c>
      <c r="B110" t="s">
        <v>2040</v>
      </c>
      <c r="C110" t="s">
        <v>2041</v>
      </c>
      <c r="D110" t="s">
        <v>2042</v>
      </c>
      <c r="E110" t="s">
        <v>2043</v>
      </c>
      <c r="F110" t="s">
        <v>2044</v>
      </c>
      <c r="G110">
        <v>185.26</v>
      </c>
      <c r="H110">
        <v>13</v>
      </c>
      <c r="I110" t="s">
        <v>57</v>
      </c>
      <c r="J110" t="s">
        <v>1440</v>
      </c>
      <c r="K110" t="s">
        <v>1440</v>
      </c>
      <c r="L110" t="s">
        <v>1440</v>
      </c>
      <c r="M110" t="s">
        <v>1440</v>
      </c>
      <c r="N110" t="s">
        <v>1440</v>
      </c>
      <c r="O110" t="s">
        <v>34</v>
      </c>
      <c r="Q110">
        <f t="shared" si="4"/>
        <v>1</v>
      </c>
      <c r="R110" t="e">
        <f t="shared" ca="1" si="5"/>
        <v>#NAME?</v>
      </c>
      <c r="S110">
        <f t="shared" si="6"/>
        <v>8</v>
      </c>
      <c r="T110" t="str">
        <f t="shared" si="7"/>
        <v>Tevreden</v>
      </c>
    </row>
    <row r="111" spans="1:20" x14ac:dyDescent="0.3">
      <c r="A111" t="s">
        <v>2045</v>
      </c>
      <c r="B111" t="s">
        <v>2046</v>
      </c>
      <c r="C111" t="s">
        <v>2047</v>
      </c>
      <c r="D111" t="s">
        <v>2048</v>
      </c>
      <c r="E111" t="s">
        <v>2049</v>
      </c>
      <c r="F111" t="s">
        <v>2050</v>
      </c>
      <c r="G111">
        <v>186.37</v>
      </c>
      <c r="H111">
        <v>7</v>
      </c>
      <c r="I111" t="s">
        <v>29</v>
      </c>
      <c r="J111" t="s">
        <v>1440</v>
      </c>
      <c r="K111" t="s">
        <v>1439</v>
      </c>
      <c r="L111" t="s">
        <v>1439</v>
      </c>
      <c r="M111" t="s">
        <v>1440</v>
      </c>
      <c r="N111" t="s">
        <v>1440</v>
      </c>
      <c r="O111" t="s">
        <v>78</v>
      </c>
      <c r="Q111">
        <f t="shared" si="4"/>
        <v>1</v>
      </c>
      <c r="R111" t="e">
        <f t="shared" ca="1" si="5"/>
        <v>#NAME?</v>
      </c>
      <c r="S111">
        <f t="shared" si="6"/>
        <v>4</v>
      </c>
      <c r="T111" t="str">
        <f t="shared" si="7"/>
        <v>Ontevreden</v>
      </c>
    </row>
    <row r="112" spans="1:20" x14ac:dyDescent="0.3">
      <c r="A112" t="s">
        <v>2051</v>
      </c>
      <c r="B112" t="s">
        <v>1538</v>
      </c>
      <c r="C112" t="s">
        <v>2052</v>
      </c>
      <c r="D112" t="s">
        <v>2053</v>
      </c>
      <c r="E112" t="s">
        <v>2054</v>
      </c>
      <c r="F112" t="s">
        <v>2055</v>
      </c>
      <c r="G112">
        <v>150.19999999999999</v>
      </c>
      <c r="H112">
        <v>13</v>
      </c>
      <c r="I112" t="s">
        <v>29</v>
      </c>
      <c r="J112" t="s">
        <v>1439</v>
      </c>
      <c r="K112" t="s">
        <v>1440</v>
      </c>
      <c r="L112" t="s">
        <v>1440</v>
      </c>
      <c r="M112" t="s">
        <v>1440</v>
      </c>
      <c r="N112" t="s">
        <v>1439</v>
      </c>
      <c r="O112" t="s">
        <v>78</v>
      </c>
      <c r="Q112">
        <f t="shared" si="4"/>
        <v>1</v>
      </c>
      <c r="R112" t="e">
        <f t="shared" ca="1" si="5"/>
        <v>#NAME?</v>
      </c>
      <c r="S112">
        <f t="shared" si="6"/>
        <v>6</v>
      </c>
      <c r="T112" t="str">
        <f t="shared" si="7"/>
        <v>Ontevreden</v>
      </c>
    </row>
    <row r="113" spans="1:20" x14ac:dyDescent="0.3">
      <c r="A113" t="s">
        <v>2056</v>
      </c>
      <c r="B113" t="s">
        <v>2057</v>
      </c>
      <c r="C113" t="s">
        <v>2058</v>
      </c>
      <c r="D113" t="s">
        <v>2059</v>
      </c>
      <c r="E113" t="s">
        <v>2060</v>
      </c>
      <c r="F113" t="s">
        <v>2061</v>
      </c>
      <c r="G113">
        <v>96.06</v>
      </c>
      <c r="H113">
        <v>1</v>
      </c>
      <c r="I113" t="s">
        <v>22</v>
      </c>
      <c r="J113" t="s">
        <v>1439</v>
      </c>
      <c r="K113" t="s">
        <v>1439</v>
      </c>
      <c r="L113" t="s">
        <v>1439</v>
      </c>
      <c r="M113" t="s">
        <v>1440</v>
      </c>
      <c r="N113" t="s">
        <v>1439</v>
      </c>
      <c r="O113" t="s">
        <v>23</v>
      </c>
      <c r="Q113">
        <f t="shared" si="4"/>
        <v>1</v>
      </c>
      <c r="R113" t="e">
        <f t="shared" ca="1" si="5"/>
        <v>#NAME?</v>
      </c>
      <c r="S113">
        <f t="shared" si="6"/>
        <v>2</v>
      </c>
      <c r="T113" t="str">
        <f t="shared" si="7"/>
        <v>Ontevreden</v>
      </c>
    </row>
    <row r="114" spans="1:20" x14ac:dyDescent="0.3">
      <c r="A114" t="s">
        <v>2062</v>
      </c>
      <c r="B114" t="s">
        <v>2063</v>
      </c>
      <c r="C114" t="s">
        <v>2064</v>
      </c>
      <c r="D114" t="s">
        <v>2065</v>
      </c>
      <c r="E114" t="s">
        <v>2066</v>
      </c>
      <c r="F114" t="s">
        <v>2067</v>
      </c>
      <c r="G114">
        <v>181.45</v>
      </c>
      <c r="H114">
        <v>2</v>
      </c>
      <c r="I114" t="s">
        <v>57</v>
      </c>
      <c r="J114" t="s">
        <v>1439</v>
      </c>
      <c r="K114" t="s">
        <v>1439</v>
      </c>
      <c r="L114" t="s">
        <v>1440</v>
      </c>
      <c r="M114" t="s">
        <v>1440</v>
      </c>
      <c r="N114" t="s">
        <v>1440</v>
      </c>
      <c r="O114" t="s">
        <v>23</v>
      </c>
      <c r="Q114">
        <f t="shared" si="4"/>
        <v>1</v>
      </c>
      <c r="R114" t="e">
        <f t="shared" ca="1" si="5"/>
        <v>#NAME?</v>
      </c>
      <c r="S114">
        <f t="shared" si="6"/>
        <v>6</v>
      </c>
      <c r="T114" t="str">
        <f t="shared" si="7"/>
        <v>Ontevreden</v>
      </c>
    </row>
    <row r="115" spans="1:20" x14ac:dyDescent="0.3">
      <c r="A115" t="s">
        <v>1880</v>
      </c>
      <c r="B115" t="s">
        <v>2068</v>
      </c>
      <c r="C115" t="s">
        <v>2069</v>
      </c>
      <c r="D115" t="s">
        <v>2070</v>
      </c>
      <c r="E115" t="s">
        <v>2071</v>
      </c>
      <c r="F115" t="s">
        <v>2072</v>
      </c>
      <c r="G115">
        <v>207.07</v>
      </c>
      <c r="H115">
        <v>3</v>
      </c>
      <c r="I115" t="s">
        <v>29</v>
      </c>
      <c r="J115" t="s">
        <v>1439</v>
      </c>
      <c r="K115" t="s">
        <v>1440</v>
      </c>
      <c r="L115" t="s">
        <v>1440</v>
      </c>
      <c r="M115" t="s">
        <v>1439</v>
      </c>
      <c r="N115" t="s">
        <v>1440</v>
      </c>
      <c r="O115" t="s">
        <v>23</v>
      </c>
      <c r="Q115">
        <f t="shared" si="4"/>
        <v>1</v>
      </c>
      <c r="R115" t="e">
        <f t="shared" ca="1" si="5"/>
        <v>#NAME?</v>
      </c>
      <c r="S115">
        <f t="shared" si="6"/>
        <v>6</v>
      </c>
      <c r="T115" t="str">
        <f t="shared" si="7"/>
        <v>Ontevreden</v>
      </c>
    </row>
    <row r="116" spans="1:20" x14ac:dyDescent="0.3">
      <c r="A116" t="s">
        <v>2073</v>
      </c>
      <c r="B116" t="s">
        <v>2074</v>
      </c>
      <c r="C116" t="s">
        <v>2075</v>
      </c>
      <c r="D116" t="s">
        <v>998</v>
      </c>
      <c r="E116" t="s">
        <v>2076</v>
      </c>
      <c r="F116" t="s">
        <v>2077</v>
      </c>
      <c r="G116">
        <v>159.5</v>
      </c>
      <c r="H116">
        <v>6</v>
      </c>
      <c r="I116" t="s">
        <v>29</v>
      </c>
      <c r="J116" t="s">
        <v>1440</v>
      </c>
      <c r="K116" t="s">
        <v>1439</v>
      </c>
      <c r="L116" t="s">
        <v>1440</v>
      </c>
      <c r="M116" t="s">
        <v>1440</v>
      </c>
      <c r="N116" t="s">
        <v>1440</v>
      </c>
      <c r="O116" t="s">
        <v>34</v>
      </c>
      <c r="Q116">
        <f t="shared" si="4"/>
        <v>1</v>
      </c>
      <c r="R116" t="e">
        <f t="shared" ca="1" si="5"/>
        <v>#NAME?</v>
      </c>
      <c r="S116">
        <f t="shared" si="6"/>
        <v>6</v>
      </c>
      <c r="T116" t="str">
        <f t="shared" si="7"/>
        <v>Ontevreden</v>
      </c>
    </row>
    <row r="117" spans="1:20" x14ac:dyDescent="0.3">
      <c r="A117" t="s">
        <v>2078</v>
      </c>
      <c r="B117" t="s">
        <v>2079</v>
      </c>
      <c r="C117" t="s">
        <v>2080</v>
      </c>
      <c r="D117" t="s">
        <v>2081</v>
      </c>
      <c r="E117" t="s">
        <v>2082</v>
      </c>
      <c r="F117" t="s">
        <v>2083</v>
      </c>
      <c r="G117">
        <v>68.33</v>
      </c>
      <c r="H117">
        <v>4</v>
      </c>
      <c r="I117" t="s">
        <v>22</v>
      </c>
      <c r="J117" t="s">
        <v>1440</v>
      </c>
      <c r="K117" t="s">
        <v>1440</v>
      </c>
      <c r="L117" t="s">
        <v>1439</v>
      </c>
      <c r="M117" t="s">
        <v>1440</v>
      </c>
      <c r="N117" t="s">
        <v>1440</v>
      </c>
      <c r="O117" t="s">
        <v>23</v>
      </c>
      <c r="Q117">
        <f t="shared" si="4"/>
        <v>1</v>
      </c>
      <c r="R117" t="e">
        <f t="shared" ca="1" si="5"/>
        <v>#NAME?</v>
      </c>
      <c r="S117">
        <f t="shared" si="6"/>
        <v>6</v>
      </c>
      <c r="T117" t="str">
        <f t="shared" si="7"/>
        <v>Ontevreden</v>
      </c>
    </row>
    <row r="118" spans="1:20" x14ac:dyDescent="0.3">
      <c r="A118" t="s">
        <v>2084</v>
      </c>
      <c r="B118" t="s">
        <v>2085</v>
      </c>
      <c r="C118" t="s">
        <v>2086</v>
      </c>
      <c r="D118" t="s">
        <v>2087</v>
      </c>
      <c r="E118" t="s">
        <v>2088</v>
      </c>
      <c r="F118" t="s">
        <v>2089</v>
      </c>
      <c r="G118">
        <v>109</v>
      </c>
      <c r="H118">
        <v>11</v>
      </c>
      <c r="I118" t="s">
        <v>29</v>
      </c>
      <c r="J118" t="s">
        <v>1440</v>
      </c>
      <c r="K118" t="s">
        <v>1440</v>
      </c>
      <c r="L118" t="s">
        <v>1439</v>
      </c>
      <c r="M118" t="s">
        <v>1439</v>
      </c>
      <c r="N118" t="s">
        <v>1440</v>
      </c>
      <c r="O118" t="s">
        <v>23</v>
      </c>
      <c r="Q118">
        <f t="shared" si="4"/>
        <v>1</v>
      </c>
      <c r="R118" t="e">
        <f t="shared" ca="1" si="5"/>
        <v>#NAME?</v>
      </c>
      <c r="S118">
        <f t="shared" si="6"/>
        <v>4</v>
      </c>
      <c r="T118" t="str">
        <f t="shared" si="7"/>
        <v>Ontevreden</v>
      </c>
    </row>
    <row r="119" spans="1:20" x14ac:dyDescent="0.3">
      <c r="A119" t="s">
        <v>2090</v>
      </c>
      <c r="B119" t="s">
        <v>2091</v>
      </c>
      <c r="C119" t="s">
        <v>2092</v>
      </c>
      <c r="D119" t="s">
        <v>2093</v>
      </c>
      <c r="E119" t="s">
        <v>2094</v>
      </c>
      <c r="F119" t="s">
        <v>2090</v>
      </c>
      <c r="G119">
        <v>105.93</v>
      </c>
      <c r="H119">
        <v>18</v>
      </c>
      <c r="I119" t="s">
        <v>57</v>
      </c>
      <c r="J119" t="s">
        <v>1440</v>
      </c>
      <c r="K119" t="s">
        <v>1440</v>
      </c>
      <c r="L119" t="s">
        <v>1440</v>
      </c>
      <c r="M119" t="s">
        <v>1440</v>
      </c>
      <c r="N119" t="s">
        <v>1440</v>
      </c>
      <c r="O119" t="s">
        <v>23</v>
      </c>
      <c r="Q119">
        <f t="shared" si="4"/>
        <v>1</v>
      </c>
      <c r="R119" t="e">
        <f t="shared" ca="1" si="5"/>
        <v>#NAME?</v>
      </c>
      <c r="S119">
        <f t="shared" si="6"/>
        <v>8</v>
      </c>
      <c r="T119" t="str">
        <f t="shared" si="7"/>
        <v>Tevreden</v>
      </c>
    </row>
    <row r="120" spans="1:20" x14ac:dyDescent="0.3">
      <c r="A120" t="s">
        <v>2095</v>
      </c>
      <c r="B120" t="s">
        <v>2096</v>
      </c>
      <c r="C120" t="s">
        <v>2097</v>
      </c>
      <c r="D120" t="s">
        <v>2098</v>
      </c>
      <c r="E120" t="s">
        <v>2099</v>
      </c>
      <c r="F120" t="s">
        <v>2100</v>
      </c>
      <c r="G120">
        <v>131.04</v>
      </c>
      <c r="H120">
        <v>16</v>
      </c>
      <c r="I120" t="s">
        <v>22</v>
      </c>
      <c r="J120" t="s">
        <v>1440</v>
      </c>
      <c r="K120" t="s">
        <v>1440</v>
      </c>
      <c r="L120" t="s">
        <v>1440</v>
      </c>
      <c r="M120" t="s">
        <v>1440</v>
      </c>
      <c r="N120" t="s">
        <v>1440</v>
      </c>
      <c r="O120" t="s">
        <v>23</v>
      </c>
      <c r="Q120">
        <f t="shared" si="4"/>
        <v>1</v>
      </c>
      <c r="R120" t="e">
        <f t="shared" ca="1" si="5"/>
        <v>#NAME?</v>
      </c>
      <c r="S120">
        <f t="shared" si="6"/>
        <v>8</v>
      </c>
      <c r="T120" t="str">
        <f t="shared" si="7"/>
        <v>Tevreden</v>
      </c>
    </row>
    <row r="121" spans="1:20" x14ac:dyDescent="0.3">
      <c r="A121" t="s">
        <v>2101</v>
      </c>
      <c r="B121" t="s">
        <v>1649</v>
      </c>
      <c r="C121" t="s">
        <v>2102</v>
      </c>
      <c r="D121" t="s">
        <v>2103</v>
      </c>
      <c r="E121" t="s">
        <v>2104</v>
      </c>
      <c r="F121" t="s">
        <v>2105</v>
      </c>
      <c r="G121">
        <v>171.84</v>
      </c>
      <c r="H121">
        <v>8</v>
      </c>
      <c r="I121" t="s">
        <v>29</v>
      </c>
      <c r="J121" t="s">
        <v>1440</v>
      </c>
      <c r="K121" t="s">
        <v>1440</v>
      </c>
      <c r="L121" t="s">
        <v>1440</v>
      </c>
      <c r="M121" t="s">
        <v>1440</v>
      </c>
      <c r="N121" t="s">
        <v>1440</v>
      </c>
      <c r="O121" t="s">
        <v>23</v>
      </c>
      <c r="Q121">
        <f t="shared" si="4"/>
        <v>1</v>
      </c>
      <c r="R121" t="e">
        <f t="shared" ca="1" si="5"/>
        <v>#NAME?</v>
      </c>
      <c r="S121">
        <f t="shared" si="6"/>
        <v>8</v>
      </c>
      <c r="T121" t="str">
        <f t="shared" si="7"/>
        <v>Tevreden</v>
      </c>
    </row>
    <row r="122" spans="1:20" x14ac:dyDescent="0.3">
      <c r="A122" t="s">
        <v>1465</v>
      </c>
      <c r="B122" t="s">
        <v>1655</v>
      </c>
      <c r="C122" t="s">
        <v>2106</v>
      </c>
      <c r="D122" t="s">
        <v>2107</v>
      </c>
      <c r="E122" t="s">
        <v>2108</v>
      </c>
      <c r="F122" t="s">
        <v>1465</v>
      </c>
      <c r="G122">
        <v>21.3</v>
      </c>
      <c r="H122">
        <v>3</v>
      </c>
      <c r="I122" t="s">
        <v>29</v>
      </c>
      <c r="J122" t="s">
        <v>1440</v>
      </c>
      <c r="K122" t="s">
        <v>1440</v>
      </c>
      <c r="L122" t="s">
        <v>1439</v>
      </c>
      <c r="M122" t="s">
        <v>1440</v>
      </c>
      <c r="N122" t="s">
        <v>1440</v>
      </c>
      <c r="O122" t="s">
        <v>78</v>
      </c>
      <c r="Q122">
        <f t="shared" si="4"/>
        <v>1</v>
      </c>
      <c r="R122" t="e">
        <f t="shared" ca="1" si="5"/>
        <v>#NAME?</v>
      </c>
      <c r="S122">
        <f t="shared" si="6"/>
        <v>6</v>
      </c>
      <c r="T122" t="str">
        <f t="shared" si="7"/>
        <v>Ontevreden</v>
      </c>
    </row>
    <row r="123" spans="1:20" x14ac:dyDescent="0.3">
      <c r="A123" t="s">
        <v>2109</v>
      </c>
      <c r="B123" t="s">
        <v>2110</v>
      </c>
      <c r="C123" t="s">
        <v>2111</v>
      </c>
      <c r="D123" t="s">
        <v>2112</v>
      </c>
      <c r="E123" t="s">
        <v>2113</v>
      </c>
      <c r="F123" t="s">
        <v>2114</v>
      </c>
      <c r="G123">
        <v>121.49</v>
      </c>
      <c r="H123">
        <v>8</v>
      </c>
      <c r="I123" t="s">
        <v>102</v>
      </c>
      <c r="J123" t="s">
        <v>1440</v>
      </c>
      <c r="K123" t="s">
        <v>1439</v>
      </c>
      <c r="L123" t="s">
        <v>1440</v>
      </c>
      <c r="M123" t="s">
        <v>1440</v>
      </c>
      <c r="N123" t="s">
        <v>1439</v>
      </c>
      <c r="O123" t="s">
        <v>23</v>
      </c>
      <c r="Q123">
        <f t="shared" si="4"/>
        <v>1</v>
      </c>
      <c r="R123" t="e">
        <f t="shared" ca="1" si="5"/>
        <v>#NAME?</v>
      </c>
      <c r="S123">
        <f t="shared" si="6"/>
        <v>4</v>
      </c>
      <c r="T123" t="str">
        <f t="shared" si="7"/>
        <v>Ontevreden</v>
      </c>
    </row>
    <row r="124" spans="1:20" x14ac:dyDescent="0.3">
      <c r="A124" t="s">
        <v>2115</v>
      </c>
      <c r="B124" t="s">
        <v>2116</v>
      </c>
      <c r="C124" t="s">
        <v>2117</v>
      </c>
      <c r="D124" t="s">
        <v>2118</v>
      </c>
      <c r="E124" t="s">
        <v>2119</v>
      </c>
      <c r="F124" t="s">
        <v>2120</v>
      </c>
      <c r="G124">
        <v>146.72999999999999</v>
      </c>
      <c r="H124">
        <v>4</v>
      </c>
      <c r="I124" t="s">
        <v>22</v>
      </c>
      <c r="J124" t="s">
        <v>1440</v>
      </c>
      <c r="K124" t="s">
        <v>1440</v>
      </c>
      <c r="L124" t="s">
        <v>1440</v>
      </c>
      <c r="M124" t="s">
        <v>1440</v>
      </c>
      <c r="N124" t="s">
        <v>1440</v>
      </c>
      <c r="O124" t="s">
        <v>23</v>
      </c>
      <c r="Q124">
        <f t="shared" si="4"/>
        <v>1</v>
      </c>
      <c r="R124" t="e">
        <f t="shared" ca="1" si="5"/>
        <v>#NAME?</v>
      </c>
      <c r="S124">
        <f t="shared" si="6"/>
        <v>8</v>
      </c>
      <c r="T124" t="str">
        <f t="shared" si="7"/>
        <v>Tevreden</v>
      </c>
    </row>
    <row r="125" spans="1:20" x14ac:dyDescent="0.3">
      <c r="A125" t="s">
        <v>2121</v>
      </c>
      <c r="B125" t="s">
        <v>1780</v>
      </c>
      <c r="C125" t="s">
        <v>2122</v>
      </c>
      <c r="D125" t="s">
        <v>2123</v>
      </c>
      <c r="E125" t="s">
        <v>2124</v>
      </c>
      <c r="F125" t="s">
        <v>2121</v>
      </c>
      <c r="G125">
        <v>89.82</v>
      </c>
      <c r="H125">
        <v>9</v>
      </c>
      <c r="I125" t="s">
        <v>22</v>
      </c>
      <c r="J125" t="s">
        <v>1439</v>
      </c>
      <c r="K125" t="s">
        <v>1439</v>
      </c>
      <c r="L125" t="s">
        <v>1440</v>
      </c>
      <c r="M125" t="s">
        <v>1440</v>
      </c>
      <c r="N125" t="s">
        <v>1439</v>
      </c>
      <c r="O125" t="s">
        <v>23</v>
      </c>
      <c r="Q125">
        <f t="shared" si="4"/>
        <v>1</v>
      </c>
      <c r="R125" t="e">
        <f t="shared" ca="1" si="5"/>
        <v>#NAME?</v>
      </c>
      <c r="S125">
        <f t="shared" si="6"/>
        <v>4</v>
      </c>
      <c r="T125" t="str">
        <f t="shared" si="7"/>
        <v>Ontevreden</v>
      </c>
    </row>
    <row r="126" spans="1:20" x14ac:dyDescent="0.3">
      <c r="A126" t="s">
        <v>2125</v>
      </c>
      <c r="B126" t="s">
        <v>2126</v>
      </c>
      <c r="C126" t="s">
        <v>2127</v>
      </c>
      <c r="D126" t="s">
        <v>2128</v>
      </c>
      <c r="E126" t="s">
        <v>2129</v>
      </c>
      <c r="F126" t="s">
        <v>2130</v>
      </c>
      <c r="G126">
        <v>158.13999999999999</v>
      </c>
      <c r="H126">
        <v>12</v>
      </c>
      <c r="I126" t="s">
        <v>29</v>
      </c>
      <c r="J126" t="s">
        <v>1440</v>
      </c>
      <c r="K126" t="s">
        <v>1439</v>
      </c>
      <c r="L126" t="s">
        <v>1439</v>
      </c>
      <c r="M126" t="s">
        <v>1440</v>
      </c>
      <c r="N126" t="s">
        <v>1440</v>
      </c>
      <c r="O126" t="s">
        <v>23</v>
      </c>
      <c r="Q126">
        <f t="shared" si="4"/>
        <v>1</v>
      </c>
      <c r="R126" t="e">
        <f t="shared" ca="1" si="5"/>
        <v>#NAME?</v>
      </c>
      <c r="S126">
        <f t="shared" si="6"/>
        <v>4</v>
      </c>
      <c r="T126" t="str">
        <f t="shared" si="7"/>
        <v>Ontevreden</v>
      </c>
    </row>
    <row r="127" spans="1:20" x14ac:dyDescent="0.3">
      <c r="A127" t="s">
        <v>2131</v>
      </c>
      <c r="B127" t="s">
        <v>2132</v>
      </c>
      <c r="C127" t="s">
        <v>2133</v>
      </c>
      <c r="D127" t="s">
        <v>2134</v>
      </c>
      <c r="E127" t="s">
        <v>2135</v>
      </c>
      <c r="F127" t="s">
        <v>2131</v>
      </c>
      <c r="G127">
        <v>107.11</v>
      </c>
      <c r="H127">
        <v>23</v>
      </c>
      <c r="I127" t="s">
        <v>29</v>
      </c>
      <c r="J127" t="s">
        <v>1440</v>
      </c>
      <c r="K127" t="s">
        <v>1440</v>
      </c>
      <c r="L127" t="s">
        <v>1440</v>
      </c>
      <c r="M127" t="s">
        <v>1440</v>
      </c>
      <c r="N127" t="s">
        <v>1440</v>
      </c>
      <c r="O127" t="s">
        <v>34</v>
      </c>
      <c r="Q127">
        <f t="shared" si="4"/>
        <v>1</v>
      </c>
      <c r="R127" t="e">
        <f t="shared" ca="1" si="5"/>
        <v>#NAME?</v>
      </c>
      <c r="S127">
        <f t="shared" si="6"/>
        <v>8</v>
      </c>
      <c r="T127" t="str">
        <f t="shared" si="7"/>
        <v>Tevreden</v>
      </c>
    </row>
    <row r="128" spans="1:20" x14ac:dyDescent="0.3">
      <c r="A128" t="s">
        <v>2136</v>
      </c>
      <c r="B128" t="s">
        <v>2137</v>
      </c>
      <c r="C128" t="s">
        <v>2138</v>
      </c>
      <c r="D128" t="s">
        <v>2139</v>
      </c>
      <c r="E128" t="s">
        <v>2140</v>
      </c>
      <c r="F128" t="s">
        <v>2141</v>
      </c>
      <c r="G128">
        <v>19.28</v>
      </c>
      <c r="H128">
        <v>2</v>
      </c>
      <c r="I128" t="s">
        <v>29</v>
      </c>
      <c r="J128" t="s">
        <v>1439</v>
      </c>
      <c r="K128" t="s">
        <v>1440</v>
      </c>
      <c r="L128" t="s">
        <v>1440</v>
      </c>
      <c r="M128" t="s">
        <v>1440</v>
      </c>
      <c r="N128" t="s">
        <v>1439</v>
      </c>
      <c r="O128" t="s">
        <v>23</v>
      </c>
      <c r="Q128">
        <f t="shared" si="4"/>
        <v>1</v>
      </c>
      <c r="R128" t="e">
        <f t="shared" ca="1" si="5"/>
        <v>#NAME?</v>
      </c>
      <c r="S128">
        <f t="shared" si="6"/>
        <v>6</v>
      </c>
      <c r="T128" t="str">
        <f t="shared" si="7"/>
        <v>Ontevreden</v>
      </c>
    </row>
    <row r="129" spans="1:20" x14ac:dyDescent="0.3">
      <c r="A129" t="s">
        <v>2142</v>
      </c>
      <c r="B129" t="s">
        <v>1769</v>
      </c>
      <c r="C129" t="s">
        <v>2143</v>
      </c>
      <c r="D129" t="s">
        <v>2144</v>
      </c>
      <c r="E129" t="s">
        <v>2145</v>
      </c>
      <c r="F129" t="s">
        <v>2146</v>
      </c>
      <c r="G129">
        <v>62.12</v>
      </c>
      <c r="H129">
        <v>21</v>
      </c>
      <c r="I129" t="s">
        <v>22</v>
      </c>
      <c r="J129" t="s">
        <v>1440</v>
      </c>
      <c r="K129" t="s">
        <v>1440</v>
      </c>
      <c r="L129" t="s">
        <v>1440</v>
      </c>
      <c r="M129" t="s">
        <v>1439</v>
      </c>
      <c r="N129" t="s">
        <v>1440</v>
      </c>
      <c r="O129" t="s">
        <v>23</v>
      </c>
      <c r="Q129">
        <f t="shared" si="4"/>
        <v>1</v>
      </c>
      <c r="R129" t="e">
        <f t="shared" ca="1" si="5"/>
        <v>#NAME?</v>
      </c>
      <c r="S129">
        <f t="shared" si="6"/>
        <v>6</v>
      </c>
      <c r="T129" t="str">
        <f t="shared" si="7"/>
        <v>Ontevreden</v>
      </c>
    </row>
    <row r="130" spans="1:20" x14ac:dyDescent="0.3">
      <c r="A130" t="s">
        <v>2147</v>
      </c>
      <c r="B130" t="s">
        <v>1695</v>
      </c>
      <c r="C130" t="s">
        <v>2148</v>
      </c>
      <c r="D130" t="s">
        <v>2149</v>
      </c>
      <c r="E130" t="s">
        <v>2150</v>
      </c>
      <c r="F130" t="s">
        <v>2151</v>
      </c>
      <c r="G130">
        <v>57.41</v>
      </c>
      <c r="H130">
        <v>9</v>
      </c>
      <c r="I130" t="s">
        <v>57</v>
      </c>
      <c r="J130" t="s">
        <v>1440</v>
      </c>
      <c r="K130" t="s">
        <v>1440</v>
      </c>
      <c r="L130" t="s">
        <v>1439</v>
      </c>
      <c r="M130" t="s">
        <v>1440</v>
      </c>
      <c r="N130" t="s">
        <v>1440</v>
      </c>
      <c r="O130" t="s">
        <v>23</v>
      </c>
      <c r="Q130">
        <f t="shared" ref="Q130:Q193" si="8">LEN(G130)-LEN(SUBSTITUTE(G130,",",""))+1</f>
        <v>1</v>
      </c>
      <c r="R130" t="e">
        <f t="shared" ref="R130:R193" ca="1" si="9">SWITCH(I130, "Zelden", 1, "Af en toe", 4, "Regelmatig", 8, "Vaak", 12)</f>
        <v>#NAME?</v>
      </c>
      <c r="S130">
        <f t="shared" ref="S130:S193" si="10">AVERAGE(--(K130="ja"), --(L130="ja"), --(M130="ja"), --(N130="ja"), --(O130="ja"))*10</f>
        <v>6</v>
      </c>
      <c r="T130" t="str">
        <f t="shared" ref="T130:T193" si="11">IF(S130&gt;=7, "Tevreden", "Ontevreden")</f>
        <v>Ontevreden</v>
      </c>
    </row>
    <row r="131" spans="1:20" x14ac:dyDescent="0.3">
      <c r="A131" t="s">
        <v>2152</v>
      </c>
      <c r="B131" t="s">
        <v>2153</v>
      </c>
      <c r="C131" t="s">
        <v>2154</v>
      </c>
      <c r="D131" t="s">
        <v>2155</v>
      </c>
      <c r="E131" t="s">
        <v>2156</v>
      </c>
      <c r="F131" t="s">
        <v>2157</v>
      </c>
      <c r="G131">
        <v>165.3</v>
      </c>
      <c r="H131">
        <v>7</v>
      </c>
      <c r="I131" t="s">
        <v>29</v>
      </c>
      <c r="J131" t="s">
        <v>1439</v>
      </c>
      <c r="K131" t="s">
        <v>1439</v>
      </c>
      <c r="L131" t="s">
        <v>1440</v>
      </c>
      <c r="M131" t="s">
        <v>1440</v>
      </c>
      <c r="N131" t="s">
        <v>1439</v>
      </c>
      <c r="O131" t="s">
        <v>23</v>
      </c>
      <c r="Q131">
        <f t="shared" si="8"/>
        <v>1</v>
      </c>
      <c r="R131" t="e">
        <f t="shared" ca="1" si="9"/>
        <v>#NAME?</v>
      </c>
      <c r="S131">
        <f t="shared" si="10"/>
        <v>4</v>
      </c>
      <c r="T131" t="str">
        <f t="shared" si="11"/>
        <v>Ontevreden</v>
      </c>
    </row>
    <row r="132" spans="1:20" x14ac:dyDescent="0.3">
      <c r="A132" t="s">
        <v>2033</v>
      </c>
      <c r="B132" t="s">
        <v>2024</v>
      </c>
      <c r="C132" t="s">
        <v>2158</v>
      </c>
      <c r="D132" t="s">
        <v>2159</v>
      </c>
      <c r="E132" t="s">
        <v>2160</v>
      </c>
      <c r="F132" t="s">
        <v>2161</v>
      </c>
      <c r="G132">
        <v>157.28</v>
      </c>
      <c r="H132">
        <v>6</v>
      </c>
      <c r="I132" t="s">
        <v>57</v>
      </c>
      <c r="J132" t="s">
        <v>1440</v>
      </c>
      <c r="K132" t="s">
        <v>1440</v>
      </c>
      <c r="L132" t="s">
        <v>1440</v>
      </c>
      <c r="M132" t="s">
        <v>1440</v>
      </c>
      <c r="N132" t="s">
        <v>1439</v>
      </c>
      <c r="O132" t="s">
        <v>23</v>
      </c>
      <c r="Q132">
        <f t="shared" si="8"/>
        <v>1</v>
      </c>
      <c r="R132" t="e">
        <f t="shared" ca="1" si="9"/>
        <v>#NAME?</v>
      </c>
      <c r="S132">
        <f t="shared" si="10"/>
        <v>6</v>
      </c>
      <c r="T132" t="str">
        <f t="shared" si="11"/>
        <v>Ontevreden</v>
      </c>
    </row>
    <row r="133" spans="1:20" x14ac:dyDescent="0.3">
      <c r="A133" t="s">
        <v>2162</v>
      </c>
      <c r="B133" t="s">
        <v>2163</v>
      </c>
      <c r="C133" t="s">
        <v>2164</v>
      </c>
      <c r="D133" t="s">
        <v>2165</v>
      </c>
      <c r="E133" t="s">
        <v>2166</v>
      </c>
      <c r="F133" t="s">
        <v>2167</v>
      </c>
      <c r="G133">
        <v>168.38</v>
      </c>
      <c r="H133">
        <v>7</v>
      </c>
      <c r="I133" t="s">
        <v>29</v>
      </c>
      <c r="J133" t="s">
        <v>1439</v>
      </c>
      <c r="K133" t="s">
        <v>1440</v>
      </c>
      <c r="L133" t="s">
        <v>1440</v>
      </c>
      <c r="M133" t="s">
        <v>1440</v>
      </c>
      <c r="N133" t="s">
        <v>1440</v>
      </c>
      <c r="O133" t="s">
        <v>23</v>
      </c>
      <c r="Q133">
        <f t="shared" si="8"/>
        <v>1</v>
      </c>
      <c r="R133" t="e">
        <f t="shared" ca="1" si="9"/>
        <v>#NAME?</v>
      </c>
      <c r="S133">
        <f t="shared" si="10"/>
        <v>8</v>
      </c>
      <c r="T133" t="str">
        <f t="shared" si="11"/>
        <v>Tevreden</v>
      </c>
    </row>
    <row r="134" spans="1:20" x14ac:dyDescent="0.3">
      <c r="A134" t="s">
        <v>1465</v>
      </c>
      <c r="B134" t="s">
        <v>2168</v>
      </c>
      <c r="C134" t="s">
        <v>2169</v>
      </c>
      <c r="D134" t="s">
        <v>2170</v>
      </c>
      <c r="E134" t="s">
        <v>2171</v>
      </c>
      <c r="F134" t="s">
        <v>2172</v>
      </c>
      <c r="G134">
        <v>102.48</v>
      </c>
      <c r="H134">
        <v>12</v>
      </c>
      <c r="I134" t="s">
        <v>22</v>
      </c>
      <c r="J134" t="s">
        <v>1440</v>
      </c>
      <c r="K134" t="s">
        <v>1439</v>
      </c>
      <c r="L134" t="s">
        <v>1440</v>
      </c>
      <c r="M134" t="s">
        <v>1440</v>
      </c>
      <c r="N134" t="s">
        <v>1439</v>
      </c>
      <c r="O134" t="s">
        <v>23</v>
      </c>
      <c r="Q134">
        <f t="shared" si="8"/>
        <v>1</v>
      </c>
      <c r="R134" t="e">
        <f t="shared" ca="1" si="9"/>
        <v>#NAME?</v>
      </c>
      <c r="S134">
        <f t="shared" si="10"/>
        <v>4</v>
      </c>
      <c r="T134" t="str">
        <f t="shared" si="11"/>
        <v>Ontevreden</v>
      </c>
    </row>
    <row r="135" spans="1:20" x14ac:dyDescent="0.3">
      <c r="A135" t="s">
        <v>2173</v>
      </c>
      <c r="B135" t="s">
        <v>2174</v>
      </c>
      <c r="C135" t="s">
        <v>2175</v>
      </c>
      <c r="D135" t="s">
        <v>2176</v>
      </c>
      <c r="E135" t="s">
        <v>2177</v>
      </c>
      <c r="F135" t="s">
        <v>2178</v>
      </c>
      <c r="G135">
        <v>100.27</v>
      </c>
      <c r="H135">
        <v>14</v>
      </c>
      <c r="I135" t="s">
        <v>57</v>
      </c>
      <c r="J135" t="s">
        <v>1440</v>
      </c>
      <c r="K135" t="s">
        <v>1439</v>
      </c>
      <c r="L135" t="s">
        <v>1439</v>
      </c>
      <c r="M135" t="s">
        <v>1440</v>
      </c>
      <c r="N135" t="s">
        <v>1439</v>
      </c>
      <c r="O135" t="s">
        <v>23</v>
      </c>
      <c r="Q135">
        <f t="shared" si="8"/>
        <v>1</v>
      </c>
      <c r="R135" t="e">
        <f t="shared" ca="1" si="9"/>
        <v>#NAME?</v>
      </c>
      <c r="S135">
        <f t="shared" si="10"/>
        <v>2</v>
      </c>
      <c r="T135" t="str">
        <f t="shared" si="11"/>
        <v>Ontevreden</v>
      </c>
    </row>
    <row r="136" spans="1:20" x14ac:dyDescent="0.3">
      <c r="A136" t="s">
        <v>1543</v>
      </c>
      <c r="B136" t="s">
        <v>2179</v>
      </c>
      <c r="C136" t="s">
        <v>2180</v>
      </c>
      <c r="D136" t="s">
        <v>2181</v>
      </c>
      <c r="E136" t="s">
        <v>2182</v>
      </c>
      <c r="F136" t="s">
        <v>2183</v>
      </c>
      <c r="G136">
        <v>169.27</v>
      </c>
      <c r="H136">
        <v>5</v>
      </c>
      <c r="I136" t="s">
        <v>29</v>
      </c>
      <c r="J136" t="s">
        <v>1439</v>
      </c>
      <c r="K136" t="s">
        <v>1440</v>
      </c>
      <c r="L136" t="s">
        <v>1440</v>
      </c>
      <c r="M136" t="s">
        <v>1439</v>
      </c>
      <c r="N136" t="s">
        <v>1440</v>
      </c>
      <c r="O136" t="s">
        <v>34</v>
      </c>
      <c r="Q136">
        <f t="shared" si="8"/>
        <v>1</v>
      </c>
      <c r="R136" t="e">
        <f t="shared" ca="1" si="9"/>
        <v>#NAME?</v>
      </c>
      <c r="S136">
        <f t="shared" si="10"/>
        <v>6</v>
      </c>
      <c r="T136" t="str">
        <f t="shared" si="11"/>
        <v>Ontevreden</v>
      </c>
    </row>
    <row r="137" spans="1:20" x14ac:dyDescent="0.3">
      <c r="A137" t="s">
        <v>2184</v>
      </c>
      <c r="B137" t="s">
        <v>2185</v>
      </c>
      <c r="C137" t="s">
        <v>2186</v>
      </c>
      <c r="D137" t="s">
        <v>2187</v>
      </c>
      <c r="E137" t="s">
        <v>2188</v>
      </c>
      <c r="F137" t="s">
        <v>2184</v>
      </c>
      <c r="G137">
        <v>107.41</v>
      </c>
      <c r="H137">
        <v>11</v>
      </c>
      <c r="I137" t="s">
        <v>29</v>
      </c>
      <c r="J137" t="s">
        <v>1440</v>
      </c>
      <c r="K137" t="s">
        <v>1440</v>
      </c>
      <c r="L137" t="s">
        <v>1440</v>
      </c>
      <c r="M137" t="s">
        <v>1440</v>
      </c>
      <c r="N137" t="s">
        <v>1439</v>
      </c>
      <c r="O137" t="s">
        <v>23</v>
      </c>
      <c r="Q137">
        <f t="shared" si="8"/>
        <v>1</v>
      </c>
      <c r="R137" t="e">
        <f t="shared" ca="1" si="9"/>
        <v>#NAME?</v>
      </c>
      <c r="S137">
        <f t="shared" si="10"/>
        <v>6</v>
      </c>
      <c r="T137" t="str">
        <f t="shared" si="11"/>
        <v>Ontevreden</v>
      </c>
    </row>
    <row r="138" spans="1:20" x14ac:dyDescent="0.3">
      <c r="A138" t="s">
        <v>2189</v>
      </c>
      <c r="B138" t="s">
        <v>1667</v>
      </c>
      <c r="C138" t="s">
        <v>2190</v>
      </c>
      <c r="D138" t="s">
        <v>2191</v>
      </c>
      <c r="E138" t="s">
        <v>2192</v>
      </c>
      <c r="F138" t="s">
        <v>2193</v>
      </c>
      <c r="G138">
        <v>223.53</v>
      </c>
      <c r="H138">
        <v>10</v>
      </c>
      <c r="I138" t="s">
        <v>22</v>
      </c>
      <c r="J138" t="s">
        <v>1440</v>
      </c>
      <c r="K138" t="s">
        <v>1440</v>
      </c>
      <c r="L138" t="s">
        <v>1440</v>
      </c>
      <c r="M138" t="s">
        <v>1440</v>
      </c>
      <c r="N138" t="s">
        <v>1439</v>
      </c>
      <c r="O138" t="s">
        <v>23</v>
      </c>
      <c r="Q138">
        <f t="shared" si="8"/>
        <v>1</v>
      </c>
      <c r="R138" t="e">
        <f t="shared" ca="1" si="9"/>
        <v>#NAME?</v>
      </c>
      <c r="S138">
        <f t="shared" si="10"/>
        <v>6</v>
      </c>
      <c r="T138" t="str">
        <f t="shared" si="11"/>
        <v>Ontevreden</v>
      </c>
    </row>
    <row r="139" spans="1:20" x14ac:dyDescent="0.3">
      <c r="A139" t="s">
        <v>2194</v>
      </c>
      <c r="B139" t="s">
        <v>1544</v>
      </c>
      <c r="C139" t="s">
        <v>2195</v>
      </c>
      <c r="D139" t="s">
        <v>2196</v>
      </c>
      <c r="E139" t="s">
        <v>2197</v>
      </c>
      <c r="F139" t="s">
        <v>2198</v>
      </c>
      <c r="G139">
        <v>41.38</v>
      </c>
      <c r="H139">
        <v>5</v>
      </c>
      <c r="I139" t="s">
        <v>29</v>
      </c>
      <c r="J139" t="s">
        <v>1440</v>
      </c>
      <c r="K139" t="s">
        <v>1440</v>
      </c>
      <c r="L139" t="s">
        <v>1440</v>
      </c>
      <c r="M139" t="s">
        <v>1440</v>
      </c>
      <c r="N139" t="s">
        <v>1440</v>
      </c>
      <c r="O139" t="s">
        <v>23</v>
      </c>
      <c r="Q139">
        <f t="shared" si="8"/>
        <v>1</v>
      </c>
      <c r="R139" t="e">
        <f t="shared" ca="1" si="9"/>
        <v>#NAME?</v>
      </c>
      <c r="S139">
        <f t="shared" si="10"/>
        <v>8</v>
      </c>
      <c r="T139" t="str">
        <f t="shared" si="11"/>
        <v>Tevreden</v>
      </c>
    </row>
    <row r="140" spans="1:20" x14ac:dyDescent="0.3">
      <c r="A140" t="s">
        <v>2199</v>
      </c>
      <c r="B140" t="s">
        <v>2200</v>
      </c>
      <c r="C140" t="s">
        <v>2201</v>
      </c>
      <c r="D140" t="s">
        <v>2202</v>
      </c>
      <c r="E140" t="s">
        <v>2203</v>
      </c>
      <c r="F140" t="s">
        <v>2204</v>
      </c>
      <c r="G140">
        <v>146.04</v>
      </c>
      <c r="H140">
        <v>16</v>
      </c>
      <c r="I140" t="s">
        <v>29</v>
      </c>
      <c r="J140" t="s">
        <v>1440</v>
      </c>
      <c r="K140" t="s">
        <v>1440</v>
      </c>
      <c r="L140" t="s">
        <v>1440</v>
      </c>
      <c r="M140" t="s">
        <v>1439</v>
      </c>
      <c r="N140" t="s">
        <v>1440</v>
      </c>
      <c r="O140" t="s">
        <v>23</v>
      </c>
      <c r="Q140">
        <f t="shared" si="8"/>
        <v>1</v>
      </c>
      <c r="R140" t="e">
        <f t="shared" ca="1" si="9"/>
        <v>#NAME?</v>
      </c>
      <c r="S140">
        <f t="shared" si="10"/>
        <v>6</v>
      </c>
      <c r="T140" t="str">
        <f t="shared" si="11"/>
        <v>Ontevreden</v>
      </c>
    </row>
    <row r="141" spans="1:20" x14ac:dyDescent="0.3">
      <c r="A141" t="s">
        <v>2205</v>
      </c>
      <c r="B141" t="s">
        <v>2206</v>
      </c>
      <c r="C141" t="s">
        <v>2207</v>
      </c>
      <c r="D141" t="s">
        <v>2208</v>
      </c>
      <c r="E141" t="s">
        <v>2209</v>
      </c>
      <c r="F141" t="s">
        <v>2210</v>
      </c>
      <c r="G141">
        <v>103.74</v>
      </c>
      <c r="H141">
        <v>8</v>
      </c>
      <c r="I141" t="s">
        <v>22</v>
      </c>
      <c r="J141" t="s">
        <v>1440</v>
      </c>
      <c r="K141" t="s">
        <v>1440</v>
      </c>
      <c r="L141" t="s">
        <v>1439</v>
      </c>
      <c r="M141" t="s">
        <v>1440</v>
      </c>
      <c r="N141" t="s">
        <v>1439</v>
      </c>
      <c r="O141" t="s">
        <v>34</v>
      </c>
      <c r="Q141">
        <f t="shared" si="8"/>
        <v>1</v>
      </c>
      <c r="R141" t="e">
        <f t="shared" ca="1" si="9"/>
        <v>#NAME?</v>
      </c>
      <c r="S141">
        <f t="shared" si="10"/>
        <v>4</v>
      </c>
      <c r="T141" t="str">
        <f t="shared" si="11"/>
        <v>Ontevreden</v>
      </c>
    </row>
    <row r="142" spans="1:20" x14ac:dyDescent="0.3">
      <c r="A142" t="s">
        <v>2211</v>
      </c>
      <c r="B142" t="s">
        <v>2212</v>
      </c>
      <c r="C142" t="s">
        <v>2213</v>
      </c>
      <c r="D142" t="s">
        <v>2214</v>
      </c>
      <c r="E142" t="s">
        <v>2215</v>
      </c>
      <c r="F142" t="s">
        <v>2216</v>
      </c>
      <c r="G142">
        <v>195.18</v>
      </c>
      <c r="H142">
        <v>18</v>
      </c>
      <c r="I142" t="s">
        <v>57</v>
      </c>
      <c r="J142" t="s">
        <v>1440</v>
      </c>
      <c r="K142" t="s">
        <v>1440</v>
      </c>
      <c r="L142" t="s">
        <v>1440</v>
      </c>
      <c r="M142" t="s">
        <v>1440</v>
      </c>
      <c r="N142" t="s">
        <v>1439</v>
      </c>
      <c r="O142" t="s">
        <v>34</v>
      </c>
      <c r="Q142">
        <f t="shared" si="8"/>
        <v>1</v>
      </c>
      <c r="R142" t="e">
        <f t="shared" ca="1" si="9"/>
        <v>#NAME?</v>
      </c>
      <c r="S142">
        <f t="shared" si="10"/>
        <v>6</v>
      </c>
      <c r="T142" t="str">
        <f t="shared" si="11"/>
        <v>Ontevreden</v>
      </c>
    </row>
    <row r="143" spans="1:20" x14ac:dyDescent="0.3">
      <c r="A143" t="s">
        <v>2217</v>
      </c>
      <c r="B143" t="s">
        <v>1562</v>
      </c>
      <c r="C143" t="s">
        <v>2218</v>
      </c>
      <c r="D143" t="s">
        <v>2219</v>
      </c>
      <c r="E143" t="s">
        <v>2220</v>
      </c>
      <c r="F143" t="s">
        <v>2221</v>
      </c>
      <c r="G143">
        <v>116.19</v>
      </c>
      <c r="H143">
        <v>7</v>
      </c>
      <c r="I143" t="s">
        <v>29</v>
      </c>
      <c r="J143" t="s">
        <v>1440</v>
      </c>
      <c r="K143" t="s">
        <v>1440</v>
      </c>
      <c r="L143" t="s">
        <v>1440</v>
      </c>
      <c r="M143" t="s">
        <v>1440</v>
      </c>
      <c r="N143" t="s">
        <v>1439</v>
      </c>
      <c r="O143" t="s">
        <v>23</v>
      </c>
      <c r="Q143">
        <f t="shared" si="8"/>
        <v>1</v>
      </c>
      <c r="R143" t="e">
        <f t="shared" ca="1" si="9"/>
        <v>#NAME?</v>
      </c>
      <c r="S143">
        <f t="shared" si="10"/>
        <v>6</v>
      </c>
      <c r="T143" t="str">
        <f t="shared" si="11"/>
        <v>Ontevreden</v>
      </c>
    </row>
    <row r="144" spans="1:20" x14ac:dyDescent="0.3">
      <c r="A144" t="s">
        <v>2222</v>
      </c>
      <c r="B144" t="s">
        <v>2223</v>
      </c>
      <c r="C144" t="s">
        <v>2224</v>
      </c>
      <c r="D144" t="s">
        <v>2225</v>
      </c>
      <c r="E144" t="s">
        <v>2226</v>
      </c>
      <c r="F144" t="s">
        <v>2227</v>
      </c>
      <c r="G144">
        <v>170.98</v>
      </c>
      <c r="H144">
        <v>11</v>
      </c>
      <c r="I144" t="s">
        <v>57</v>
      </c>
      <c r="J144" t="s">
        <v>1439</v>
      </c>
      <c r="K144" t="s">
        <v>1440</v>
      </c>
      <c r="L144" t="s">
        <v>1440</v>
      </c>
      <c r="M144" t="s">
        <v>1440</v>
      </c>
      <c r="N144" t="s">
        <v>1440</v>
      </c>
      <c r="O144" t="s">
        <v>23</v>
      </c>
      <c r="Q144">
        <f t="shared" si="8"/>
        <v>1</v>
      </c>
      <c r="R144" t="e">
        <f t="shared" ca="1" si="9"/>
        <v>#NAME?</v>
      </c>
      <c r="S144">
        <f t="shared" si="10"/>
        <v>8</v>
      </c>
      <c r="T144" t="str">
        <f t="shared" si="11"/>
        <v>Tevreden</v>
      </c>
    </row>
    <row r="145" spans="1:20" x14ac:dyDescent="0.3">
      <c r="A145" t="s">
        <v>2228</v>
      </c>
      <c r="B145" t="s">
        <v>2229</v>
      </c>
      <c r="C145" t="s">
        <v>2230</v>
      </c>
      <c r="D145" t="s">
        <v>2231</v>
      </c>
      <c r="E145" t="s">
        <v>2232</v>
      </c>
      <c r="F145" t="s">
        <v>2233</v>
      </c>
      <c r="G145">
        <v>88.11</v>
      </c>
      <c r="H145">
        <v>2</v>
      </c>
      <c r="I145" t="s">
        <v>22</v>
      </c>
      <c r="J145" t="s">
        <v>1440</v>
      </c>
      <c r="K145" t="s">
        <v>1440</v>
      </c>
      <c r="L145" t="s">
        <v>1439</v>
      </c>
      <c r="M145" t="s">
        <v>1439</v>
      </c>
      <c r="N145" t="s">
        <v>1440</v>
      </c>
      <c r="O145" t="s">
        <v>23</v>
      </c>
      <c r="Q145">
        <f t="shared" si="8"/>
        <v>1</v>
      </c>
      <c r="R145" t="e">
        <f t="shared" ca="1" si="9"/>
        <v>#NAME?</v>
      </c>
      <c r="S145">
        <f t="shared" si="10"/>
        <v>4</v>
      </c>
      <c r="T145" t="str">
        <f t="shared" si="11"/>
        <v>Ontevreden</v>
      </c>
    </row>
    <row r="146" spans="1:20" x14ac:dyDescent="0.3">
      <c r="A146" t="s">
        <v>2234</v>
      </c>
      <c r="B146" t="s">
        <v>2235</v>
      </c>
      <c r="C146" t="s">
        <v>2236</v>
      </c>
      <c r="D146" t="s">
        <v>2237</v>
      </c>
      <c r="E146" t="s">
        <v>2238</v>
      </c>
      <c r="F146" t="s">
        <v>2239</v>
      </c>
      <c r="G146">
        <v>115.22</v>
      </c>
      <c r="H146">
        <v>7</v>
      </c>
      <c r="I146" t="s">
        <v>29</v>
      </c>
      <c r="J146" t="s">
        <v>1440</v>
      </c>
      <c r="K146" t="s">
        <v>1439</v>
      </c>
      <c r="L146" t="s">
        <v>1440</v>
      </c>
      <c r="M146" t="s">
        <v>1440</v>
      </c>
      <c r="N146" t="s">
        <v>1440</v>
      </c>
      <c r="O146" t="s">
        <v>23</v>
      </c>
      <c r="Q146">
        <f t="shared" si="8"/>
        <v>1</v>
      </c>
      <c r="R146" t="e">
        <f t="shared" ca="1" si="9"/>
        <v>#NAME?</v>
      </c>
      <c r="S146">
        <f t="shared" si="10"/>
        <v>6</v>
      </c>
      <c r="T146" t="str">
        <f t="shared" si="11"/>
        <v>Ontevreden</v>
      </c>
    </row>
    <row r="147" spans="1:20" x14ac:dyDescent="0.3">
      <c r="A147" t="s">
        <v>2240</v>
      </c>
      <c r="B147" t="s">
        <v>2185</v>
      </c>
      <c r="C147" t="s">
        <v>2241</v>
      </c>
      <c r="D147" t="s">
        <v>2242</v>
      </c>
      <c r="E147" t="s">
        <v>2243</v>
      </c>
      <c r="F147" t="s">
        <v>2244</v>
      </c>
      <c r="G147">
        <v>39.770000000000003</v>
      </c>
      <c r="H147">
        <v>3</v>
      </c>
      <c r="I147" t="s">
        <v>29</v>
      </c>
      <c r="J147" t="s">
        <v>1440</v>
      </c>
      <c r="K147" t="s">
        <v>1440</v>
      </c>
      <c r="L147" t="s">
        <v>1440</v>
      </c>
      <c r="M147" t="s">
        <v>1440</v>
      </c>
      <c r="N147" t="s">
        <v>1440</v>
      </c>
      <c r="O147" t="s">
        <v>23</v>
      </c>
      <c r="Q147">
        <f t="shared" si="8"/>
        <v>1</v>
      </c>
      <c r="R147" t="e">
        <f t="shared" ca="1" si="9"/>
        <v>#NAME?</v>
      </c>
      <c r="S147">
        <f t="shared" si="10"/>
        <v>8</v>
      </c>
      <c r="T147" t="str">
        <f t="shared" si="11"/>
        <v>Tevreden</v>
      </c>
    </row>
    <row r="148" spans="1:20" x14ac:dyDescent="0.3">
      <c r="A148" t="s">
        <v>2245</v>
      </c>
      <c r="B148" t="s">
        <v>1797</v>
      </c>
      <c r="C148" t="s">
        <v>2246</v>
      </c>
      <c r="D148" t="s">
        <v>2247</v>
      </c>
      <c r="E148" t="s">
        <v>2248</v>
      </c>
      <c r="F148" t="s">
        <v>2249</v>
      </c>
      <c r="G148">
        <v>99.91</v>
      </c>
      <c r="H148">
        <v>5</v>
      </c>
      <c r="I148" t="s">
        <v>29</v>
      </c>
      <c r="J148" t="s">
        <v>1439</v>
      </c>
      <c r="K148" t="s">
        <v>1439</v>
      </c>
      <c r="L148" t="s">
        <v>1440</v>
      </c>
      <c r="M148" t="s">
        <v>1440</v>
      </c>
      <c r="N148" t="s">
        <v>1440</v>
      </c>
      <c r="O148" t="s">
        <v>23</v>
      </c>
      <c r="Q148">
        <f t="shared" si="8"/>
        <v>1</v>
      </c>
      <c r="R148" t="e">
        <f t="shared" ca="1" si="9"/>
        <v>#NAME?</v>
      </c>
      <c r="S148">
        <f t="shared" si="10"/>
        <v>6</v>
      </c>
      <c r="T148" t="str">
        <f t="shared" si="11"/>
        <v>Ontevreden</v>
      </c>
    </row>
    <row r="149" spans="1:20" x14ac:dyDescent="0.3">
      <c r="A149" t="s">
        <v>2250</v>
      </c>
      <c r="B149" t="s">
        <v>2251</v>
      </c>
      <c r="C149" t="s">
        <v>2252</v>
      </c>
      <c r="D149" t="s">
        <v>2253</v>
      </c>
      <c r="E149" t="s">
        <v>2254</v>
      </c>
      <c r="F149" t="s">
        <v>2255</v>
      </c>
      <c r="G149">
        <v>143.52000000000001</v>
      </c>
      <c r="H149">
        <v>18</v>
      </c>
      <c r="I149" t="s">
        <v>22</v>
      </c>
      <c r="J149" t="s">
        <v>1439</v>
      </c>
      <c r="K149" t="s">
        <v>1440</v>
      </c>
      <c r="L149" t="s">
        <v>1440</v>
      </c>
      <c r="M149" t="s">
        <v>1440</v>
      </c>
      <c r="N149" t="s">
        <v>1440</v>
      </c>
      <c r="O149" t="s">
        <v>23</v>
      </c>
      <c r="Q149">
        <f t="shared" si="8"/>
        <v>1</v>
      </c>
      <c r="R149" t="e">
        <f t="shared" ca="1" si="9"/>
        <v>#NAME?</v>
      </c>
      <c r="S149">
        <f t="shared" si="10"/>
        <v>8</v>
      </c>
      <c r="T149" t="str">
        <f t="shared" si="11"/>
        <v>Tevreden</v>
      </c>
    </row>
    <row r="150" spans="1:20" x14ac:dyDescent="0.3">
      <c r="A150" t="s">
        <v>2256</v>
      </c>
      <c r="B150" t="s">
        <v>2229</v>
      </c>
      <c r="C150" t="s">
        <v>2257</v>
      </c>
      <c r="D150" t="s">
        <v>2258</v>
      </c>
      <c r="E150" t="s">
        <v>2259</v>
      </c>
      <c r="F150" t="s">
        <v>2256</v>
      </c>
      <c r="G150">
        <v>77.099999999999994</v>
      </c>
      <c r="H150">
        <v>5</v>
      </c>
      <c r="I150" t="s">
        <v>29</v>
      </c>
      <c r="J150" t="s">
        <v>1440</v>
      </c>
      <c r="K150" t="s">
        <v>1439</v>
      </c>
      <c r="L150" t="s">
        <v>1440</v>
      </c>
      <c r="M150" t="s">
        <v>1440</v>
      </c>
      <c r="N150" t="s">
        <v>1440</v>
      </c>
      <c r="O150" t="s">
        <v>23</v>
      </c>
      <c r="Q150">
        <f t="shared" si="8"/>
        <v>1</v>
      </c>
      <c r="R150" t="e">
        <f t="shared" ca="1" si="9"/>
        <v>#NAME?</v>
      </c>
      <c r="S150">
        <f t="shared" si="10"/>
        <v>6</v>
      </c>
      <c r="T150" t="str">
        <f t="shared" si="11"/>
        <v>Ontevreden</v>
      </c>
    </row>
    <row r="151" spans="1:20" x14ac:dyDescent="0.3">
      <c r="A151" t="s">
        <v>2260</v>
      </c>
      <c r="B151" t="s">
        <v>2206</v>
      </c>
      <c r="C151" t="s">
        <v>2261</v>
      </c>
      <c r="D151" t="s">
        <v>2262</v>
      </c>
      <c r="E151" t="s">
        <v>2263</v>
      </c>
      <c r="F151" t="s">
        <v>2264</v>
      </c>
      <c r="G151">
        <v>58.31</v>
      </c>
      <c r="H151">
        <v>12</v>
      </c>
      <c r="I151" t="s">
        <v>22</v>
      </c>
      <c r="J151" t="s">
        <v>1439</v>
      </c>
      <c r="K151" t="s">
        <v>1440</v>
      </c>
      <c r="L151" t="s">
        <v>1439</v>
      </c>
      <c r="M151" t="s">
        <v>1440</v>
      </c>
      <c r="N151" t="s">
        <v>1440</v>
      </c>
      <c r="O151" t="s">
        <v>34</v>
      </c>
      <c r="Q151">
        <f t="shared" si="8"/>
        <v>1</v>
      </c>
      <c r="R151" t="e">
        <f t="shared" ca="1" si="9"/>
        <v>#NAME?</v>
      </c>
      <c r="S151">
        <f t="shared" si="10"/>
        <v>6</v>
      </c>
      <c r="T151" t="str">
        <f t="shared" si="11"/>
        <v>Ontevreden</v>
      </c>
    </row>
    <row r="152" spans="1:20" x14ac:dyDescent="0.3">
      <c r="A152" t="s">
        <v>2265</v>
      </c>
      <c r="B152" t="s">
        <v>2266</v>
      </c>
      <c r="C152" t="s">
        <v>2267</v>
      </c>
      <c r="D152" t="s">
        <v>2268</v>
      </c>
      <c r="E152" t="s">
        <v>2269</v>
      </c>
      <c r="F152" t="s">
        <v>2270</v>
      </c>
      <c r="G152">
        <v>157.82</v>
      </c>
      <c r="H152">
        <v>8</v>
      </c>
      <c r="I152" t="s">
        <v>29</v>
      </c>
      <c r="J152" t="s">
        <v>1439</v>
      </c>
      <c r="K152" t="s">
        <v>1440</v>
      </c>
      <c r="L152" t="s">
        <v>1440</v>
      </c>
      <c r="M152" t="s">
        <v>1440</v>
      </c>
      <c r="N152" t="s">
        <v>1440</v>
      </c>
      <c r="O152" t="s">
        <v>23</v>
      </c>
      <c r="Q152">
        <f t="shared" si="8"/>
        <v>1</v>
      </c>
      <c r="R152" t="e">
        <f t="shared" ca="1" si="9"/>
        <v>#NAME?</v>
      </c>
      <c r="S152">
        <f t="shared" si="10"/>
        <v>8</v>
      </c>
      <c r="T152" t="str">
        <f t="shared" si="11"/>
        <v>Tevreden</v>
      </c>
    </row>
    <row r="153" spans="1:20" x14ac:dyDescent="0.3">
      <c r="A153" t="s">
        <v>2271</v>
      </c>
      <c r="B153" t="s">
        <v>1614</v>
      </c>
      <c r="C153" t="s">
        <v>2272</v>
      </c>
      <c r="D153" t="s">
        <v>2273</v>
      </c>
      <c r="E153" t="s">
        <v>2274</v>
      </c>
      <c r="F153" t="s">
        <v>2271</v>
      </c>
      <c r="G153">
        <v>20.94</v>
      </c>
      <c r="H153">
        <v>20</v>
      </c>
      <c r="I153" t="s">
        <v>57</v>
      </c>
      <c r="J153" t="s">
        <v>1439</v>
      </c>
      <c r="K153" t="s">
        <v>1439</v>
      </c>
      <c r="L153" t="s">
        <v>1439</v>
      </c>
      <c r="M153" t="s">
        <v>1440</v>
      </c>
      <c r="N153" t="s">
        <v>1440</v>
      </c>
      <c r="O153" t="s">
        <v>23</v>
      </c>
      <c r="Q153">
        <f t="shared" si="8"/>
        <v>1</v>
      </c>
      <c r="R153" t="e">
        <f t="shared" ca="1" si="9"/>
        <v>#NAME?</v>
      </c>
      <c r="S153">
        <f t="shared" si="10"/>
        <v>4</v>
      </c>
      <c r="T153" t="str">
        <f t="shared" si="11"/>
        <v>Ontevreden</v>
      </c>
    </row>
    <row r="154" spans="1:20" x14ac:dyDescent="0.3">
      <c r="A154" t="s">
        <v>2275</v>
      </c>
      <c r="B154" t="s">
        <v>1673</v>
      </c>
      <c r="C154" t="s">
        <v>2276</v>
      </c>
      <c r="D154" t="s">
        <v>2277</v>
      </c>
      <c r="E154" t="s">
        <v>2278</v>
      </c>
      <c r="F154" t="s">
        <v>2279</v>
      </c>
      <c r="G154">
        <v>97.89</v>
      </c>
      <c r="H154">
        <v>14</v>
      </c>
      <c r="I154" t="s">
        <v>29</v>
      </c>
      <c r="J154" t="s">
        <v>1440</v>
      </c>
      <c r="K154" t="s">
        <v>1439</v>
      </c>
      <c r="L154" t="s">
        <v>1440</v>
      </c>
      <c r="M154" t="s">
        <v>1440</v>
      </c>
      <c r="N154" t="s">
        <v>1440</v>
      </c>
      <c r="O154" t="s">
        <v>23</v>
      </c>
      <c r="Q154">
        <f t="shared" si="8"/>
        <v>1</v>
      </c>
      <c r="R154" t="e">
        <f t="shared" ca="1" si="9"/>
        <v>#NAME?</v>
      </c>
      <c r="S154">
        <f t="shared" si="10"/>
        <v>6</v>
      </c>
      <c r="T154" t="str">
        <f t="shared" si="11"/>
        <v>Ontevreden</v>
      </c>
    </row>
    <row r="155" spans="1:20" x14ac:dyDescent="0.3">
      <c r="A155" t="s">
        <v>2280</v>
      </c>
      <c r="B155" t="s">
        <v>2281</v>
      </c>
      <c r="C155" t="s">
        <v>2282</v>
      </c>
      <c r="D155" t="s">
        <v>2283</v>
      </c>
      <c r="E155" t="s">
        <v>2284</v>
      </c>
      <c r="F155" t="s">
        <v>2285</v>
      </c>
      <c r="G155">
        <v>62.01</v>
      </c>
      <c r="H155">
        <v>4</v>
      </c>
      <c r="I155" t="s">
        <v>29</v>
      </c>
      <c r="J155" t="s">
        <v>1440</v>
      </c>
      <c r="K155" t="s">
        <v>1440</v>
      </c>
      <c r="L155" t="s">
        <v>1439</v>
      </c>
      <c r="M155" t="s">
        <v>1439</v>
      </c>
      <c r="N155" t="s">
        <v>1439</v>
      </c>
      <c r="O155" t="s">
        <v>23</v>
      </c>
      <c r="Q155">
        <f t="shared" si="8"/>
        <v>1</v>
      </c>
      <c r="R155" t="e">
        <f t="shared" ca="1" si="9"/>
        <v>#NAME?</v>
      </c>
      <c r="S155">
        <f t="shared" si="10"/>
        <v>2</v>
      </c>
      <c r="T155" t="str">
        <f t="shared" si="11"/>
        <v>Ontevreden</v>
      </c>
    </row>
    <row r="156" spans="1:20" x14ac:dyDescent="0.3">
      <c r="A156" t="s">
        <v>2286</v>
      </c>
      <c r="B156" t="s">
        <v>1707</v>
      </c>
      <c r="C156" t="s">
        <v>2287</v>
      </c>
      <c r="D156" t="s">
        <v>2288</v>
      </c>
      <c r="E156" t="s">
        <v>2289</v>
      </c>
      <c r="F156" t="s">
        <v>2286</v>
      </c>
      <c r="G156">
        <v>84.01</v>
      </c>
      <c r="H156">
        <v>13</v>
      </c>
      <c r="I156" t="s">
        <v>29</v>
      </c>
      <c r="J156" t="s">
        <v>1440</v>
      </c>
      <c r="K156" t="s">
        <v>1440</v>
      </c>
      <c r="L156" t="s">
        <v>1440</v>
      </c>
      <c r="M156" t="s">
        <v>1440</v>
      </c>
      <c r="N156" t="s">
        <v>1439</v>
      </c>
      <c r="O156" t="s">
        <v>23</v>
      </c>
      <c r="Q156">
        <f t="shared" si="8"/>
        <v>1</v>
      </c>
      <c r="R156" t="e">
        <f t="shared" ca="1" si="9"/>
        <v>#NAME?</v>
      </c>
      <c r="S156">
        <f t="shared" si="10"/>
        <v>6</v>
      </c>
      <c r="T156" t="str">
        <f t="shared" si="11"/>
        <v>Ontevreden</v>
      </c>
    </row>
    <row r="157" spans="1:20" x14ac:dyDescent="0.3">
      <c r="A157" t="s">
        <v>2290</v>
      </c>
      <c r="B157" t="s">
        <v>2291</v>
      </c>
      <c r="C157" t="s">
        <v>2292</v>
      </c>
      <c r="D157" t="s">
        <v>2293</v>
      </c>
      <c r="E157" t="s">
        <v>2294</v>
      </c>
      <c r="F157" t="s">
        <v>2295</v>
      </c>
      <c r="G157">
        <v>160.07</v>
      </c>
      <c r="H157">
        <v>13</v>
      </c>
      <c r="I157" t="s">
        <v>29</v>
      </c>
      <c r="J157" t="s">
        <v>1440</v>
      </c>
      <c r="K157" t="s">
        <v>1440</v>
      </c>
      <c r="L157" t="s">
        <v>1440</v>
      </c>
      <c r="M157" t="s">
        <v>1439</v>
      </c>
      <c r="N157" t="s">
        <v>1440</v>
      </c>
      <c r="O157" t="s">
        <v>23</v>
      </c>
      <c r="Q157">
        <f t="shared" si="8"/>
        <v>1</v>
      </c>
      <c r="R157" t="e">
        <f t="shared" ca="1" si="9"/>
        <v>#NAME?</v>
      </c>
      <c r="S157">
        <f t="shared" si="10"/>
        <v>6</v>
      </c>
      <c r="T157" t="str">
        <f t="shared" si="11"/>
        <v>Ontevreden</v>
      </c>
    </row>
    <row r="158" spans="1:20" x14ac:dyDescent="0.3">
      <c r="A158" t="s">
        <v>1848</v>
      </c>
      <c r="B158" t="s">
        <v>2296</v>
      </c>
      <c r="C158" t="s">
        <v>2297</v>
      </c>
      <c r="D158" t="s">
        <v>2298</v>
      </c>
      <c r="E158" t="s">
        <v>2299</v>
      </c>
      <c r="F158" t="s">
        <v>2300</v>
      </c>
      <c r="G158">
        <v>217.63</v>
      </c>
      <c r="H158">
        <v>6</v>
      </c>
      <c r="I158" t="s">
        <v>29</v>
      </c>
      <c r="J158" t="s">
        <v>1440</v>
      </c>
      <c r="K158" t="s">
        <v>1439</v>
      </c>
      <c r="L158" t="s">
        <v>1439</v>
      </c>
      <c r="M158" t="s">
        <v>1440</v>
      </c>
      <c r="N158" t="s">
        <v>1440</v>
      </c>
      <c r="O158" t="s">
        <v>23</v>
      </c>
      <c r="Q158">
        <f t="shared" si="8"/>
        <v>1</v>
      </c>
      <c r="R158" t="e">
        <f t="shared" ca="1" si="9"/>
        <v>#NAME?</v>
      </c>
      <c r="S158">
        <f t="shared" si="10"/>
        <v>4</v>
      </c>
      <c r="T158" t="str">
        <f t="shared" si="11"/>
        <v>Ontevreden</v>
      </c>
    </row>
    <row r="159" spans="1:20" x14ac:dyDescent="0.3">
      <c r="A159" t="s">
        <v>2301</v>
      </c>
      <c r="B159" t="s">
        <v>2302</v>
      </c>
      <c r="C159" t="s">
        <v>2303</v>
      </c>
      <c r="D159" t="s">
        <v>2304</v>
      </c>
      <c r="E159" t="s">
        <v>2305</v>
      </c>
      <c r="F159" t="s">
        <v>2306</v>
      </c>
      <c r="G159">
        <v>150.66</v>
      </c>
      <c r="H159">
        <v>6</v>
      </c>
      <c r="I159" t="s">
        <v>29</v>
      </c>
      <c r="J159" t="s">
        <v>1440</v>
      </c>
      <c r="K159" t="s">
        <v>1440</v>
      </c>
      <c r="L159" t="s">
        <v>1439</v>
      </c>
      <c r="M159" t="s">
        <v>1440</v>
      </c>
      <c r="N159" t="s">
        <v>1440</v>
      </c>
      <c r="O159" t="s">
        <v>23</v>
      </c>
      <c r="Q159">
        <f t="shared" si="8"/>
        <v>1</v>
      </c>
      <c r="R159" t="e">
        <f t="shared" ca="1" si="9"/>
        <v>#NAME?</v>
      </c>
      <c r="S159">
        <f t="shared" si="10"/>
        <v>6</v>
      </c>
      <c r="T159" t="str">
        <f t="shared" si="11"/>
        <v>Ontevreden</v>
      </c>
    </row>
    <row r="160" spans="1:20" x14ac:dyDescent="0.3">
      <c r="A160" t="s">
        <v>2307</v>
      </c>
      <c r="B160" t="s">
        <v>2132</v>
      </c>
      <c r="C160" t="s">
        <v>2308</v>
      </c>
      <c r="D160" t="s">
        <v>2309</v>
      </c>
      <c r="E160" t="s">
        <v>2310</v>
      </c>
      <c r="F160" t="s">
        <v>2311</v>
      </c>
      <c r="G160">
        <v>69.819999999999993</v>
      </c>
      <c r="H160">
        <v>16</v>
      </c>
      <c r="I160" t="s">
        <v>29</v>
      </c>
      <c r="J160" t="s">
        <v>1439</v>
      </c>
      <c r="K160" t="s">
        <v>1440</v>
      </c>
      <c r="L160" t="s">
        <v>1439</v>
      </c>
      <c r="M160" t="s">
        <v>1440</v>
      </c>
      <c r="N160" t="s">
        <v>1440</v>
      </c>
      <c r="O160" t="s">
        <v>23</v>
      </c>
      <c r="Q160">
        <f t="shared" si="8"/>
        <v>1</v>
      </c>
      <c r="R160" t="e">
        <f t="shared" ca="1" si="9"/>
        <v>#NAME?</v>
      </c>
      <c r="S160">
        <f t="shared" si="10"/>
        <v>6</v>
      </c>
      <c r="T160" t="str">
        <f t="shared" si="11"/>
        <v>Ontevreden</v>
      </c>
    </row>
    <row r="161" spans="1:20" x14ac:dyDescent="0.3">
      <c r="A161" t="s">
        <v>2312</v>
      </c>
      <c r="B161" t="s">
        <v>2313</v>
      </c>
      <c r="C161" t="s">
        <v>2314</v>
      </c>
      <c r="D161" t="s">
        <v>2315</v>
      </c>
      <c r="E161" t="s">
        <v>2316</v>
      </c>
      <c r="F161" t="s">
        <v>2317</v>
      </c>
      <c r="G161">
        <v>47.02</v>
      </c>
      <c r="H161">
        <v>17</v>
      </c>
      <c r="I161" t="s">
        <v>102</v>
      </c>
      <c r="J161" t="s">
        <v>1440</v>
      </c>
      <c r="K161" t="s">
        <v>1440</v>
      </c>
      <c r="L161" t="s">
        <v>1440</v>
      </c>
      <c r="M161" t="s">
        <v>1440</v>
      </c>
      <c r="N161" t="s">
        <v>1440</v>
      </c>
      <c r="O161" t="s">
        <v>34</v>
      </c>
      <c r="Q161">
        <f t="shared" si="8"/>
        <v>1</v>
      </c>
      <c r="R161" t="e">
        <f t="shared" ca="1" si="9"/>
        <v>#NAME?</v>
      </c>
      <c r="S161">
        <f t="shared" si="10"/>
        <v>8</v>
      </c>
      <c r="T161" t="str">
        <f t="shared" si="11"/>
        <v>Tevreden</v>
      </c>
    </row>
    <row r="162" spans="1:20" x14ac:dyDescent="0.3">
      <c r="A162" t="s">
        <v>2318</v>
      </c>
      <c r="B162" t="s">
        <v>2319</v>
      </c>
      <c r="C162" t="s">
        <v>2320</v>
      </c>
      <c r="D162" t="s">
        <v>2321</v>
      </c>
      <c r="E162" t="s">
        <v>2322</v>
      </c>
      <c r="F162" t="s">
        <v>2323</v>
      </c>
      <c r="G162">
        <v>222.53</v>
      </c>
      <c r="H162">
        <v>8</v>
      </c>
      <c r="I162" t="s">
        <v>22</v>
      </c>
      <c r="J162" t="s">
        <v>1440</v>
      </c>
      <c r="K162" t="s">
        <v>1440</v>
      </c>
      <c r="L162" t="s">
        <v>1439</v>
      </c>
      <c r="M162" t="s">
        <v>1440</v>
      </c>
      <c r="N162" t="s">
        <v>1440</v>
      </c>
      <c r="O162" t="s">
        <v>23</v>
      </c>
      <c r="Q162">
        <f t="shared" si="8"/>
        <v>1</v>
      </c>
      <c r="R162" t="e">
        <f t="shared" ca="1" si="9"/>
        <v>#NAME?</v>
      </c>
      <c r="S162">
        <f t="shared" si="10"/>
        <v>6</v>
      </c>
      <c r="T162" t="str">
        <f t="shared" si="11"/>
        <v>Ontevreden</v>
      </c>
    </row>
    <row r="163" spans="1:20" x14ac:dyDescent="0.3">
      <c r="A163" t="s">
        <v>2324</v>
      </c>
      <c r="B163" t="s">
        <v>2325</v>
      </c>
      <c r="C163" t="s">
        <v>2326</v>
      </c>
      <c r="D163" t="s">
        <v>2327</v>
      </c>
      <c r="E163" t="s">
        <v>2328</v>
      </c>
      <c r="F163" t="s">
        <v>2329</v>
      </c>
      <c r="G163">
        <v>65.91</v>
      </c>
      <c r="H163">
        <v>1</v>
      </c>
      <c r="I163" t="s">
        <v>102</v>
      </c>
      <c r="J163" t="s">
        <v>1440</v>
      </c>
      <c r="K163" t="s">
        <v>1439</v>
      </c>
      <c r="L163" t="s">
        <v>1439</v>
      </c>
      <c r="M163" t="s">
        <v>1439</v>
      </c>
      <c r="N163" t="s">
        <v>1440</v>
      </c>
      <c r="O163" t="s">
        <v>23</v>
      </c>
      <c r="Q163">
        <f t="shared" si="8"/>
        <v>1</v>
      </c>
      <c r="R163" t="e">
        <f t="shared" ca="1" si="9"/>
        <v>#NAME?</v>
      </c>
      <c r="S163">
        <f t="shared" si="10"/>
        <v>2</v>
      </c>
      <c r="T163" t="str">
        <f t="shared" si="11"/>
        <v>Ontevreden</v>
      </c>
    </row>
    <row r="164" spans="1:20" x14ac:dyDescent="0.3">
      <c r="A164" t="s">
        <v>2330</v>
      </c>
      <c r="B164" t="s">
        <v>2331</v>
      </c>
      <c r="C164" t="s">
        <v>2332</v>
      </c>
      <c r="D164" t="s">
        <v>1208</v>
      </c>
      <c r="E164" t="s">
        <v>2333</v>
      </c>
      <c r="F164" t="s">
        <v>2334</v>
      </c>
      <c r="G164">
        <v>91.12</v>
      </c>
      <c r="H164">
        <v>3</v>
      </c>
      <c r="I164" t="s">
        <v>22</v>
      </c>
      <c r="J164" t="s">
        <v>1440</v>
      </c>
      <c r="K164" t="s">
        <v>1440</v>
      </c>
      <c r="L164" t="s">
        <v>1439</v>
      </c>
      <c r="M164" t="s">
        <v>1439</v>
      </c>
      <c r="N164" t="s">
        <v>1440</v>
      </c>
      <c r="O164" t="s">
        <v>23</v>
      </c>
      <c r="Q164">
        <f t="shared" si="8"/>
        <v>1</v>
      </c>
      <c r="R164" t="e">
        <f t="shared" ca="1" si="9"/>
        <v>#NAME?</v>
      </c>
      <c r="S164">
        <f t="shared" si="10"/>
        <v>4</v>
      </c>
      <c r="T164" t="str">
        <f t="shared" si="11"/>
        <v>Ontevreden</v>
      </c>
    </row>
    <row r="165" spans="1:20" x14ac:dyDescent="0.3">
      <c r="A165" t="s">
        <v>2335</v>
      </c>
      <c r="B165" t="s">
        <v>1562</v>
      </c>
      <c r="C165" t="s">
        <v>2336</v>
      </c>
      <c r="D165" t="s">
        <v>2337</v>
      </c>
      <c r="E165" t="s">
        <v>2338</v>
      </c>
      <c r="F165" t="s">
        <v>2339</v>
      </c>
      <c r="G165">
        <v>145.30000000000001</v>
      </c>
      <c r="H165">
        <v>3</v>
      </c>
      <c r="I165" t="s">
        <v>22</v>
      </c>
      <c r="J165" t="s">
        <v>1440</v>
      </c>
      <c r="K165" t="s">
        <v>1440</v>
      </c>
      <c r="L165" t="s">
        <v>1440</v>
      </c>
      <c r="M165" t="s">
        <v>1440</v>
      </c>
      <c r="N165" t="s">
        <v>1440</v>
      </c>
      <c r="O165" t="s">
        <v>78</v>
      </c>
      <c r="Q165">
        <f t="shared" si="8"/>
        <v>1</v>
      </c>
      <c r="R165" t="e">
        <f t="shared" ca="1" si="9"/>
        <v>#NAME?</v>
      </c>
      <c r="S165">
        <f t="shared" si="10"/>
        <v>8</v>
      </c>
      <c r="T165" t="str">
        <f t="shared" si="11"/>
        <v>Tevreden</v>
      </c>
    </row>
    <row r="166" spans="1:20" x14ac:dyDescent="0.3">
      <c r="A166" t="s">
        <v>2340</v>
      </c>
      <c r="B166" t="s">
        <v>1930</v>
      </c>
      <c r="C166" t="s">
        <v>2341</v>
      </c>
      <c r="D166" t="s">
        <v>2342</v>
      </c>
      <c r="E166" t="s">
        <v>2343</v>
      </c>
      <c r="F166" t="s">
        <v>2344</v>
      </c>
      <c r="G166">
        <v>217.79</v>
      </c>
      <c r="H166">
        <v>24</v>
      </c>
      <c r="I166" t="s">
        <v>29</v>
      </c>
      <c r="J166" t="s">
        <v>1440</v>
      </c>
      <c r="K166" t="s">
        <v>1439</v>
      </c>
      <c r="L166" t="s">
        <v>1440</v>
      </c>
      <c r="M166" t="s">
        <v>1439</v>
      </c>
      <c r="N166" t="s">
        <v>1439</v>
      </c>
      <c r="O166" t="s">
        <v>23</v>
      </c>
      <c r="Q166">
        <f t="shared" si="8"/>
        <v>1</v>
      </c>
      <c r="R166" t="e">
        <f t="shared" ca="1" si="9"/>
        <v>#NAME?</v>
      </c>
      <c r="S166">
        <f t="shared" si="10"/>
        <v>2</v>
      </c>
      <c r="T166" t="str">
        <f t="shared" si="11"/>
        <v>Ontevreden</v>
      </c>
    </row>
    <row r="167" spans="1:20" x14ac:dyDescent="0.3">
      <c r="A167" t="s">
        <v>2345</v>
      </c>
      <c r="B167" t="s">
        <v>1519</v>
      </c>
      <c r="C167" t="s">
        <v>2346</v>
      </c>
      <c r="D167" t="s">
        <v>2347</v>
      </c>
      <c r="E167" t="s">
        <v>2348</v>
      </c>
      <c r="F167" t="s">
        <v>2345</v>
      </c>
      <c r="G167">
        <v>111.4</v>
      </c>
      <c r="H167">
        <v>2</v>
      </c>
      <c r="I167" t="s">
        <v>29</v>
      </c>
      <c r="J167" t="s">
        <v>1440</v>
      </c>
      <c r="K167" t="s">
        <v>1440</v>
      </c>
      <c r="L167" t="s">
        <v>1440</v>
      </c>
      <c r="M167" t="s">
        <v>1440</v>
      </c>
      <c r="N167" t="s">
        <v>1439</v>
      </c>
      <c r="O167" t="s">
        <v>23</v>
      </c>
      <c r="Q167">
        <f t="shared" si="8"/>
        <v>1</v>
      </c>
      <c r="R167" t="e">
        <f t="shared" ca="1" si="9"/>
        <v>#NAME?</v>
      </c>
      <c r="S167">
        <f t="shared" si="10"/>
        <v>6</v>
      </c>
      <c r="T167" t="str">
        <f t="shared" si="11"/>
        <v>Ontevreden</v>
      </c>
    </row>
    <row r="168" spans="1:20" x14ac:dyDescent="0.3">
      <c r="A168" t="s">
        <v>2349</v>
      </c>
      <c r="B168" t="s">
        <v>2350</v>
      </c>
      <c r="C168" t="s">
        <v>2351</v>
      </c>
      <c r="D168" t="s">
        <v>2352</v>
      </c>
      <c r="E168" t="s">
        <v>2353</v>
      </c>
      <c r="F168" t="s">
        <v>2354</v>
      </c>
      <c r="G168">
        <v>157.02000000000001</v>
      </c>
      <c r="H168">
        <v>13</v>
      </c>
      <c r="I168" t="s">
        <v>22</v>
      </c>
      <c r="J168" t="s">
        <v>1439</v>
      </c>
      <c r="K168" t="s">
        <v>1440</v>
      </c>
      <c r="L168" t="s">
        <v>1440</v>
      </c>
      <c r="M168" t="s">
        <v>1440</v>
      </c>
      <c r="N168" t="s">
        <v>1440</v>
      </c>
      <c r="O168" t="s">
        <v>23</v>
      </c>
      <c r="Q168">
        <f t="shared" si="8"/>
        <v>1</v>
      </c>
      <c r="R168" t="e">
        <f t="shared" ca="1" si="9"/>
        <v>#NAME?</v>
      </c>
      <c r="S168">
        <f t="shared" si="10"/>
        <v>8</v>
      </c>
      <c r="T168" t="str">
        <f t="shared" si="11"/>
        <v>Tevreden</v>
      </c>
    </row>
    <row r="169" spans="1:20" x14ac:dyDescent="0.3">
      <c r="A169" t="s">
        <v>2355</v>
      </c>
      <c r="B169" t="s">
        <v>2356</v>
      </c>
      <c r="C169" t="s">
        <v>2357</v>
      </c>
      <c r="D169" t="s">
        <v>2358</v>
      </c>
      <c r="E169" t="s">
        <v>2359</v>
      </c>
      <c r="F169" t="s">
        <v>2360</v>
      </c>
      <c r="G169">
        <v>86.7</v>
      </c>
      <c r="H169">
        <v>9</v>
      </c>
      <c r="I169" t="s">
        <v>22</v>
      </c>
      <c r="J169" t="s">
        <v>1440</v>
      </c>
      <c r="K169" t="s">
        <v>1440</v>
      </c>
      <c r="L169" t="s">
        <v>1440</v>
      </c>
      <c r="M169" t="s">
        <v>1439</v>
      </c>
      <c r="N169" t="s">
        <v>1440</v>
      </c>
      <c r="O169" t="s">
        <v>23</v>
      </c>
      <c r="Q169">
        <f t="shared" si="8"/>
        <v>1</v>
      </c>
      <c r="R169" t="e">
        <f t="shared" ca="1" si="9"/>
        <v>#NAME?</v>
      </c>
      <c r="S169">
        <f t="shared" si="10"/>
        <v>6</v>
      </c>
      <c r="T169" t="str">
        <f t="shared" si="11"/>
        <v>Ontevreden</v>
      </c>
    </row>
    <row r="170" spans="1:20" x14ac:dyDescent="0.3">
      <c r="A170" t="s">
        <v>2361</v>
      </c>
      <c r="B170" t="s">
        <v>2137</v>
      </c>
      <c r="C170" t="s">
        <v>2362</v>
      </c>
      <c r="D170" t="s">
        <v>2363</v>
      </c>
      <c r="E170" t="s">
        <v>2364</v>
      </c>
      <c r="F170" t="s">
        <v>2365</v>
      </c>
      <c r="G170">
        <v>153.05000000000001</v>
      </c>
      <c r="H170">
        <v>10</v>
      </c>
      <c r="I170" t="s">
        <v>22</v>
      </c>
      <c r="J170" t="s">
        <v>1440</v>
      </c>
      <c r="K170" t="s">
        <v>1440</v>
      </c>
      <c r="L170" t="s">
        <v>1439</v>
      </c>
      <c r="M170" t="s">
        <v>1440</v>
      </c>
      <c r="N170" t="s">
        <v>1439</v>
      </c>
      <c r="O170" t="s">
        <v>23</v>
      </c>
      <c r="Q170">
        <f t="shared" si="8"/>
        <v>1</v>
      </c>
      <c r="R170" t="e">
        <f t="shared" ca="1" si="9"/>
        <v>#NAME?</v>
      </c>
      <c r="S170">
        <f t="shared" si="10"/>
        <v>4</v>
      </c>
      <c r="T170" t="str">
        <f t="shared" si="11"/>
        <v>Ontevreden</v>
      </c>
    </row>
    <row r="171" spans="1:20" x14ac:dyDescent="0.3">
      <c r="A171" t="s">
        <v>2366</v>
      </c>
      <c r="B171" t="s">
        <v>2367</v>
      </c>
      <c r="C171" t="s">
        <v>2368</v>
      </c>
      <c r="D171" t="s">
        <v>2369</v>
      </c>
      <c r="E171" t="s">
        <v>2370</v>
      </c>
      <c r="F171" t="s">
        <v>2371</v>
      </c>
      <c r="G171">
        <v>97.08</v>
      </c>
      <c r="H171">
        <v>22</v>
      </c>
      <c r="I171" t="s">
        <v>29</v>
      </c>
      <c r="J171" t="s">
        <v>1439</v>
      </c>
      <c r="K171" t="s">
        <v>1440</v>
      </c>
      <c r="L171" t="s">
        <v>1440</v>
      </c>
      <c r="M171" t="s">
        <v>1439</v>
      </c>
      <c r="N171" t="s">
        <v>1440</v>
      </c>
      <c r="O171" t="s">
        <v>23</v>
      </c>
      <c r="Q171">
        <f t="shared" si="8"/>
        <v>1</v>
      </c>
      <c r="R171" t="e">
        <f t="shared" ca="1" si="9"/>
        <v>#NAME?</v>
      </c>
      <c r="S171">
        <f t="shared" si="10"/>
        <v>6</v>
      </c>
      <c r="T171" t="str">
        <f t="shared" si="11"/>
        <v>Ontevreden</v>
      </c>
    </row>
    <row r="172" spans="1:20" x14ac:dyDescent="0.3">
      <c r="A172" t="s">
        <v>2199</v>
      </c>
      <c r="B172" t="s">
        <v>1731</v>
      </c>
      <c r="C172" t="s">
        <v>2372</v>
      </c>
      <c r="D172" t="s">
        <v>2373</v>
      </c>
      <c r="E172" t="s">
        <v>2374</v>
      </c>
      <c r="F172" t="s">
        <v>2375</v>
      </c>
      <c r="G172">
        <v>74.680000000000007</v>
      </c>
      <c r="H172">
        <v>6</v>
      </c>
      <c r="I172" t="s">
        <v>29</v>
      </c>
      <c r="J172" t="s">
        <v>1440</v>
      </c>
      <c r="K172" t="s">
        <v>1440</v>
      </c>
      <c r="L172" t="s">
        <v>1440</v>
      </c>
      <c r="M172" t="s">
        <v>1440</v>
      </c>
      <c r="N172" t="s">
        <v>1440</v>
      </c>
      <c r="O172" t="s">
        <v>34</v>
      </c>
      <c r="Q172">
        <f t="shared" si="8"/>
        <v>1</v>
      </c>
      <c r="R172" t="e">
        <f t="shared" ca="1" si="9"/>
        <v>#NAME?</v>
      </c>
      <c r="S172">
        <f t="shared" si="10"/>
        <v>8</v>
      </c>
      <c r="T172" t="str">
        <f t="shared" si="11"/>
        <v>Tevreden</v>
      </c>
    </row>
    <row r="173" spans="1:20" x14ac:dyDescent="0.3">
      <c r="A173" t="s">
        <v>2376</v>
      </c>
      <c r="B173" t="s">
        <v>2110</v>
      </c>
      <c r="C173" t="s">
        <v>2377</v>
      </c>
      <c r="D173" t="s">
        <v>2378</v>
      </c>
      <c r="E173" t="s">
        <v>2379</v>
      </c>
      <c r="F173" t="s">
        <v>2380</v>
      </c>
      <c r="G173">
        <v>149.62</v>
      </c>
      <c r="H173">
        <v>2</v>
      </c>
      <c r="I173" t="s">
        <v>29</v>
      </c>
      <c r="J173" t="s">
        <v>1440</v>
      </c>
      <c r="K173" t="s">
        <v>1440</v>
      </c>
      <c r="L173" t="s">
        <v>1440</v>
      </c>
      <c r="M173" t="s">
        <v>1440</v>
      </c>
      <c r="N173" t="s">
        <v>1440</v>
      </c>
      <c r="O173" t="s">
        <v>23</v>
      </c>
      <c r="Q173">
        <f t="shared" si="8"/>
        <v>1</v>
      </c>
      <c r="R173" t="e">
        <f t="shared" ca="1" si="9"/>
        <v>#NAME?</v>
      </c>
      <c r="S173">
        <f t="shared" si="10"/>
        <v>8</v>
      </c>
      <c r="T173" t="str">
        <f t="shared" si="11"/>
        <v>Tevreden</v>
      </c>
    </row>
    <row r="174" spans="1:20" x14ac:dyDescent="0.3">
      <c r="A174" t="s">
        <v>2381</v>
      </c>
      <c r="B174" t="s">
        <v>1502</v>
      </c>
      <c r="C174" t="s">
        <v>2382</v>
      </c>
      <c r="D174" t="s">
        <v>2383</v>
      </c>
      <c r="E174" t="s">
        <v>2384</v>
      </c>
      <c r="F174" t="s">
        <v>2385</v>
      </c>
      <c r="G174">
        <v>130.88</v>
      </c>
      <c r="H174">
        <v>10</v>
      </c>
      <c r="I174" t="s">
        <v>22</v>
      </c>
      <c r="J174" t="s">
        <v>1440</v>
      </c>
      <c r="K174" t="s">
        <v>1439</v>
      </c>
      <c r="L174" t="s">
        <v>1440</v>
      </c>
      <c r="M174" t="s">
        <v>1440</v>
      </c>
      <c r="N174" t="s">
        <v>1439</v>
      </c>
      <c r="O174" t="s">
        <v>23</v>
      </c>
      <c r="Q174">
        <f t="shared" si="8"/>
        <v>1</v>
      </c>
      <c r="R174" t="e">
        <f t="shared" ca="1" si="9"/>
        <v>#NAME?</v>
      </c>
      <c r="S174">
        <f t="shared" si="10"/>
        <v>4</v>
      </c>
      <c r="T174" t="str">
        <f t="shared" si="11"/>
        <v>Ontevreden</v>
      </c>
    </row>
    <row r="175" spans="1:20" x14ac:dyDescent="0.3">
      <c r="A175" t="s">
        <v>2386</v>
      </c>
      <c r="B175" t="s">
        <v>1466</v>
      </c>
      <c r="C175" t="s">
        <v>2387</v>
      </c>
      <c r="D175" t="s">
        <v>2388</v>
      </c>
      <c r="E175" t="s">
        <v>2389</v>
      </c>
      <c r="F175" t="s">
        <v>2390</v>
      </c>
      <c r="G175">
        <v>69.260000000000005</v>
      </c>
      <c r="H175">
        <v>10</v>
      </c>
      <c r="I175" t="s">
        <v>57</v>
      </c>
      <c r="J175" t="s">
        <v>1440</v>
      </c>
      <c r="K175" t="s">
        <v>1440</v>
      </c>
      <c r="L175" t="s">
        <v>1440</v>
      </c>
      <c r="M175" t="s">
        <v>1440</v>
      </c>
      <c r="N175" t="s">
        <v>1440</v>
      </c>
      <c r="O175" t="s">
        <v>23</v>
      </c>
      <c r="Q175">
        <f t="shared" si="8"/>
        <v>1</v>
      </c>
      <c r="R175" t="e">
        <f t="shared" ca="1" si="9"/>
        <v>#NAME?</v>
      </c>
      <c r="S175">
        <f t="shared" si="10"/>
        <v>8</v>
      </c>
      <c r="T175" t="str">
        <f t="shared" si="11"/>
        <v>Tevreden</v>
      </c>
    </row>
    <row r="176" spans="1:20" x14ac:dyDescent="0.3">
      <c r="A176" t="s">
        <v>2391</v>
      </c>
      <c r="B176" t="s">
        <v>2392</v>
      </c>
      <c r="C176" t="s">
        <v>2393</v>
      </c>
      <c r="D176" t="s">
        <v>2394</v>
      </c>
      <c r="E176" t="s">
        <v>2395</v>
      </c>
      <c r="F176" t="s">
        <v>2396</v>
      </c>
      <c r="G176">
        <v>92.15</v>
      </c>
      <c r="H176">
        <v>13</v>
      </c>
      <c r="I176" t="s">
        <v>29</v>
      </c>
      <c r="J176" t="s">
        <v>1439</v>
      </c>
      <c r="K176" t="s">
        <v>1439</v>
      </c>
      <c r="L176" t="s">
        <v>1439</v>
      </c>
      <c r="M176" t="s">
        <v>1439</v>
      </c>
      <c r="N176" t="s">
        <v>1440</v>
      </c>
      <c r="O176" t="s">
        <v>78</v>
      </c>
      <c r="Q176">
        <f t="shared" si="8"/>
        <v>1</v>
      </c>
      <c r="R176" t="e">
        <f t="shared" ca="1" si="9"/>
        <v>#NAME?</v>
      </c>
      <c r="S176">
        <f t="shared" si="10"/>
        <v>2</v>
      </c>
      <c r="T176" t="str">
        <f t="shared" si="11"/>
        <v>Ontevreden</v>
      </c>
    </row>
    <row r="177" spans="1:20" x14ac:dyDescent="0.3">
      <c r="A177" t="s">
        <v>2147</v>
      </c>
      <c r="B177" t="s">
        <v>2397</v>
      </c>
      <c r="C177" t="s">
        <v>2398</v>
      </c>
      <c r="D177" t="s">
        <v>2399</v>
      </c>
      <c r="E177" t="s">
        <v>2400</v>
      </c>
      <c r="F177" t="s">
        <v>2401</v>
      </c>
      <c r="G177">
        <v>149.35</v>
      </c>
      <c r="H177">
        <v>8</v>
      </c>
      <c r="I177" t="s">
        <v>22</v>
      </c>
      <c r="J177" t="s">
        <v>1440</v>
      </c>
      <c r="K177" t="s">
        <v>1440</v>
      </c>
      <c r="L177" t="s">
        <v>1440</v>
      </c>
      <c r="M177" t="s">
        <v>1440</v>
      </c>
      <c r="N177" t="s">
        <v>1439</v>
      </c>
      <c r="O177" t="s">
        <v>34</v>
      </c>
      <c r="Q177">
        <f t="shared" si="8"/>
        <v>1</v>
      </c>
      <c r="R177" t="e">
        <f t="shared" ca="1" si="9"/>
        <v>#NAME?</v>
      </c>
      <c r="S177">
        <f t="shared" si="10"/>
        <v>6</v>
      </c>
      <c r="T177" t="str">
        <f t="shared" si="11"/>
        <v>Ontevreden</v>
      </c>
    </row>
    <row r="178" spans="1:20" x14ac:dyDescent="0.3">
      <c r="A178" t="s">
        <v>2402</v>
      </c>
      <c r="B178" t="s">
        <v>2403</v>
      </c>
      <c r="C178" t="s">
        <v>2404</v>
      </c>
      <c r="D178" t="s">
        <v>2405</v>
      </c>
      <c r="E178" t="s">
        <v>2406</v>
      </c>
      <c r="F178" t="s">
        <v>2407</v>
      </c>
      <c r="G178">
        <v>203.4</v>
      </c>
      <c r="H178">
        <v>31</v>
      </c>
      <c r="I178" t="s">
        <v>22</v>
      </c>
      <c r="J178" t="s">
        <v>1440</v>
      </c>
      <c r="K178" t="s">
        <v>1440</v>
      </c>
      <c r="L178" t="s">
        <v>1439</v>
      </c>
      <c r="M178" t="s">
        <v>1440</v>
      </c>
      <c r="N178" t="s">
        <v>1440</v>
      </c>
      <c r="O178" t="s">
        <v>23</v>
      </c>
      <c r="Q178">
        <f t="shared" si="8"/>
        <v>1</v>
      </c>
      <c r="R178" t="e">
        <f t="shared" ca="1" si="9"/>
        <v>#NAME?</v>
      </c>
      <c r="S178">
        <f t="shared" si="10"/>
        <v>6</v>
      </c>
      <c r="T178" t="str">
        <f t="shared" si="11"/>
        <v>Ontevreden</v>
      </c>
    </row>
    <row r="179" spans="1:20" x14ac:dyDescent="0.3">
      <c r="A179" t="s">
        <v>2408</v>
      </c>
      <c r="B179" t="s">
        <v>2024</v>
      </c>
      <c r="C179" t="s">
        <v>2409</v>
      </c>
      <c r="D179" t="s">
        <v>2410</v>
      </c>
      <c r="E179" t="s">
        <v>2411</v>
      </c>
      <c r="F179" t="s">
        <v>2412</v>
      </c>
      <c r="G179">
        <v>174.84</v>
      </c>
      <c r="H179">
        <v>20</v>
      </c>
      <c r="I179" t="s">
        <v>29</v>
      </c>
      <c r="J179" t="s">
        <v>1440</v>
      </c>
      <c r="K179" t="s">
        <v>1439</v>
      </c>
      <c r="L179" t="s">
        <v>1440</v>
      </c>
      <c r="M179" t="s">
        <v>1440</v>
      </c>
      <c r="N179" t="s">
        <v>1439</v>
      </c>
      <c r="O179" t="s">
        <v>23</v>
      </c>
      <c r="Q179">
        <f t="shared" si="8"/>
        <v>1</v>
      </c>
      <c r="R179" t="e">
        <f t="shared" ca="1" si="9"/>
        <v>#NAME?</v>
      </c>
      <c r="S179">
        <f t="shared" si="10"/>
        <v>4</v>
      </c>
      <c r="T179" t="str">
        <f t="shared" si="11"/>
        <v>Ontevreden</v>
      </c>
    </row>
    <row r="180" spans="1:20" x14ac:dyDescent="0.3">
      <c r="A180" t="s">
        <v>2413</v>
      </c>
      <c r="B180" t="s">
        <v>2414</v>
      </c>
      <c r="C180" t="s">
        <v>2415</v>
      </c>
      <c r="D180" t="s">
        <v>2416</v>
      </c>
      <c r="E180" t="s">
        <v>2417</v>
      </c>
      <c r="F180" t="s">
        <v>2418</v>
      </c>
      <c r="G180">
        <v>142.11000000000001</v>
      </c>
      <c r="H180">
        <v>18</v>
      </c>
      <c r="I180" t="s">
        <v>22</v>
      </c>
      <c r="J180" t="s">
        <v>1440</v>
      </c>
      <c r="K180" t="s">
        <v>1439</v>
      </c>
      <c r="L180" t="s">
        <v>1439</v>
      </c>
      <c r="M180" t="s">
        <v>1440</v>
      </c>
      <c r="N180" t="s">
        <v>1439</v>
      </c>
      <c r="O180" t="s">
        <v>78</v>
      </c>
      <c r="Q180">
        <f t="shared" si="8"/>
        <v>1</v>
      </c>
      <c r="R180" t="e">
        <f t="shared" ca="1" si="9"/>
        <v>#NAME?</v>
      </c>
      <c r="S180">
        <f t="shared" si="10"/>
        <v>2</v>
      </c>
      <c r="T180" t="str">
        <f t="shared" si="11"/>
        <v>Ontevreden</v>
      </c>
    </row>
    <row r="181" spans="1:20" x14ac:dyDescent="0.3">
      <c r="A181" t="s">
        <v>1483</v>
      </c>
      <c r="B181" t="s">
        <v>1908</v>
      </c>
      <c r="C181" t="s">
        <v>2419</v>
      </c>
      <c r="D181" t="s">
        <v>2420</v>
      </c>
      <c r="E181" t="s">
        <v>2421</v>
      </c>
      <c r="F181" t="s">
        <v>2422</v>
      </c>
      <c r="G181">
        <v>144.26</v>
      </c>
      <c r="H181">
        <v>13</v>
      </c>
      <c r="I181" t="s">
        <v>29</v>
      </c>
      <c r="J181" t="s">
        <v>1440</v>
      </c>
      <c r="K181" t="s">
        <v>1440</v>
      </c>
      <c r="L181" t="s">
        <v>1440</v>
      </c>
      <c r="M181" t="s">
        <v>1440</v>
      </c>
      <c r="N181" t="s">
        <v>1440</v>
      </c>
      <c r="O181" t="s">
        <v>23</v>
      </c>
      <c r="Q181">
        <f t="shared" si="8"/>
        <v>1</v>
      </c>
      <c r="R181" t="e">
        <f t="shared" ca="1" si="9"/>
        <v>#NAME?</v>
      </c>
      <c r="S181">
        <f t="shared" si="10"/>
        <v>8</v>
      </c>
      <c r="T181" t="str">
        <f t="shared" si="11"/>
        <v>Tevreden</v>
      </c>
    </row>
    <row r="182" spans="1:20" x14ac:dyDescent="0.3">
      <c r="A182" t="s">
        <v>2423</v>
      </c>
      <c r="B182" t="s">
        <v>2424</v>
      </c>
      <c r="C182" t="s">
        <v>2425</v>
      </c>
      <c r="D182" t="s">
        <v>2426</v>
      </c>
      <c r="E182" t="s">
        <v>2427</v>
      </c>
      <c r="F182" t="s">
        <v>2428</v>
      </c>
      <c r="G182">
        <v>167.07</v>
      </c>
      <c r="H182">
        <v>1</v>
      </c>
      <c r="I182" t="s">
        <v>29</v>
      </c>
      <c r="J182" t="s">
        <v>1440</v>
      </c>
      <c r="K182" t="s">
        <v>1440</v>
      </c>
      <c r="L182" t="s">
        <v>1439</v>
      </c>
      <c r="M182" t="s">
        <v>1440</v>
      </c>
      <c r="N182" t="s">
        <v>1440</v>
      </c>
      <c r="O182" t="s">
        <v>34</v>
      </c>
      <c r="Q182">
        <f t="shared" si="8"/>
        <v>1</v>
      </c>
      <c r="R182" t="e">
        <f t="shared" ca="1" si="9"/>
        <v>#NAME?</v>
      </c>
      <c r="S182">
        <f t="shared" si="10"/>
        <v>6</v>
      </c>
      <c r="T182" t="str">
        <f t="shared" si="11"/>
        <v>Ontevreden</v>
      </c>
    </row>
    <row r="183" spans="1:20" x14ac:dyDescent="0.3">
      <c r="A183" t="s">
        <v>2429</v>
      </c>
      <c r="B183" t="s">
        <v>1973</v>
      </c>
      <c r="C183" t="s">
        <v>2430</v>
      </c>
      <c r="D183" t="s">
        <v>2431</v>
      </c>
      <c r="E183" t="s">
        <v>2432</v>
      </c>
      <c r="F183" t="s">
        <v>2433</v>
      </c>
      <c r="G183">
        <v>178.7</v>
      </c>
      <c r="H183">
        <v>14</v>
      </c>
      <c r="I183" t="s">
        <v>22</v>
      </c>
      <c r="J183" t="s">
        <v>1440</v>
      </c>
      <c r="K183" t="s">
        <v>1439</v>
      </c>
      <c r="L183" t="s">
        <v>1439</v>
      </c>
      <c r="M183" t="s">
        <v>1440</v>
      </c>
      <c r="N183" t="s">
        <v>1440</v>
      </c>
      <c r="O183" t="s">
        <v>23</v>
      </c>
      <c r="Q183">
        <f t="shared" si="8"/>
        <v>1</v>
      </c>
      <c r="R183" t="e">
        <f t="shared" ca="1" si="9"/>
        <v>#NAME?</v>
      </c>
      <c r="S183">
        <f t="shared" si="10"/>
        <v>4</v>
      </c>
      <c r="T183" t="str">
        <f t="shared" si="11"/>
        <v>Ontevreden</v>
      </c>
    </row>
    <row r="184" spans="1:20" x14ac:dyDescent="0.3">
      <c r="A184" t="s">
        <v>2434</v>
      </c>
      <c r="B184" t="s">
        <v>2435</v>
      </c>
      <c r="C184" t="s">
        <v>2436</v>
      </c>
      <c r="D184" t="s">
        <v>2437</v>
      </c>
      <c r="E184" t="s">
        <v>2438</v>
      </c>
      <c r="F184" t="s">
        <v>2439</v>
      </c>
      <c r="G184">
        <v>70.819999999999993</v>
      </c>
      <c r="H184">
        <v>8</v>
      </c>
      <c r="I184" t="s">
        <v>29</v>
      </c>
      <c r="J184" t="s">
        <v>1440</v>
      </c>
      <c r="K184" t="s">
        <v>1440</v>
      </c>
      <c r="L184" t="s">
        <v>1440</v>
      </c>
      <c r="M184" t="s">
        <v>1439</v>
      </c>
      <c r="N184" t="s">
        <v>1440</v>
      </c>
      <c r="O184" t="s">
        <v>34</v>
      </c>
      <c r="Q184">
        <f t="shared" si="8"/>
        <v>1</v>
      </c>
      <c r="R184" t="e">
        <f t="shared" ca="1" si="9"/>
        <v>#NAME?</v>
      </c>
      <c r="S184">
        <f t="shared" si="10"/>
        <v>6</v>
      </c>
      <c r="T184" t="str">
        <f t="shared" si="11"/>
        <v>Ontevreden</v>
      </c>
    </row>
    <row r="185" spans="1:20" x14ac:dyDescent="0.3">
      <c r="A185" t="s">
        <v>2440</v>
      </c>
      <c r="B185" t="s">
        <v>1908</v>
      </c>
      <c r="C185" t="s">
        <v>2441</v>
      </c>
      <c r="D185" t="s">
        <v>2442</v>
      </c>
      <c r="E185" t="s">
        <v>2443</v>
      </c>
      <c r="F185" t="s">
        <v>2444</v>
      </c>
      <c r="G185">
        <v>122.99</v>
      </c>
      <c r="H185">
        <v>14</v>
      </c>
      <c r="I185" t="s">
        <v>22</v>
      </c>
      <c r="J185" t="s">
        <v>1440</v>
      </c>
      <c r="K185" t="s">
        <v>1440</v>
      </c>
      <c r="L185" t="s">
        <v>1440</v>
      </c>
      <c r="M185" t="s">
        <v>1440</v>
      </c>
      <c r="N185" t="s">
        <v>1440</v>
      </c>
      <c r="O185" t="s">
        <v>34</v>
      </c>
      <c r="Q185">
        <f t="shared" si="8"/>
        <v>1</v>
      </c>
      <c r="R185" t="e">
        <f t="shared" ca="1" si="9"/>
        <v>#NAME?</v>
      </c>
      <c r="S185">
        <f t="shared" si="10"/>
        <v>8</v>
      </c>
      <c r="T185" t="str">
        <f t="shared" si="11"/>
        <v>Tevreden</v>
      </c>
    </row>
    <row r="186" spans="1:20" x14ac:dyDescent="0.3">
      <c r="A186" t="s">
        <v>2445</v>
      </c>
      <c r="B186" t="s">
        <v>1690</v>
      </c>
      <c r="C186" t="s">
        <v>2446</v>
      </c>
      <c r="D186" t="s">
        <v>2447</v>
      </c>
      <c r="E186" t="s">
        <v>2448</v>
      </c>
      <c r="F186" t="s">
        <v>2445</v>
      </c>
      <c r="G186">
        <v>70.27</v>
      </c>
      <c r="H186">
        <v>17</v>
      </c>
      <c r="I186" t="s">
        <v>57</v>
      </c>
      <c r="J186" t="s">
        <v>1439</v>
      </c>
      <c r="K186" t="s">
        <v>1439</v>
      </c>
      <c r="L186" t="s">
        <v>1439</v>
      </c>
      <c r="M186" t="s">
        <v>1440</v>
      </c>
      <c r="N186" t="s">
        <v>1440</v>
      </c>
      <c r="O186" t="s">
        <v>23</v>
      </c>
      <c r="Q186">
        <f t="shared" si="8"/>
        <v>1</v>
      </c>
      <c r="R186" t="e">
        <f t="shared" ca="1" si="9"/>
        <v>#NAME?</v>
      </c>
      <c r="S186">
        <f t="shared" si="10"/>
        <v>4</v>
      </c>
      <c r="T186" t="str">
        <f t="shared" si="11"/>
        <v>Ontevreden</v>
      </c>
    </row>
    <row r="187" spans="1:20" x14ac:dyDescent="0.3">
      <c r="A187" t="s">
        <v>2449</v>
      </c>
      <c r="B187" t="s">
        <v>1951</v>
      </c>
      <c r="C187" t="s">
        <v>2450</v>
      </c>
      <c r="D187" t="s">
        <v>2451</v>
      </c>
      <c r="E187" t="s">
        <v>2452</v>
      </c>
      <c r="F187" t="s">
        <v>2453</v>
      </c>
      <c r="G187">
        <v>210.98</v>
      </c>
      <c r="H187">
        <v>25</v>
      </c>
      <c r="I187" t="s">
        <v>22</v>
      </c>
      <c r="J187" t="s">
        <v>1440</v>
      </c>
      <c r="K187" t="s">
        <v>1440</v>
      </c>
      <c r="L187" t="s">
        <v>1440</v>
      </c>
      <c r="M187" t="s">
        <v>1440</v>
      </c>
      <c r="N187" t="s">
        <v>1440</v>
      </c>
      <c r="O187" t="s">
        <v>34</v>
      </c>
      <c r="Q187">
        <f t="shared" si="8"/>
        <v>1</v>
      </c>
      <c r="R187" t="e">
        <f t="shared" ca="1" si="9"/>
        <v>#NAME?</v>
      </c>
      <c r="S187">
        <f t="shared" si="10"/>
        <v>8</v>
      </c>
      <c r="T187" t="str">
        <f t="shared" si="11"/>
        <v>Tevreden</v>
      </c>
    </row>
    <row r="188" spans="1:20" x14ac:dyDescent="0.3">
      <c r="A188" t="s">
        <v>2454</v>
      </c>
      <c r="B188" t="s">
        <v>1695</v>
      </c>
      <c r="C188" t="s">
        <v>2455</v>
      </c>
      <c r="D188" t="s">
        <v>2456</v>
      </c>
      <c r="E188" t="s">
        <v>2457</v>
      </c>
      <c r="F188" t="s">
        <v>2458</v>
      </c>
      <c r="G188">
        <v>195.01</v>
      </c>
      <c r="H188">
        <v>1</v>
      </c>
      <c r="I188" t="s">
        <v>22</v>
      </c>
      <c r="J188" t="s">
        <v>1439</v>
      </c>
      <c r="K188" t="s">
        <v>1440</v>
      </c>
      <c r="L188" t="s">
        <v>1440</v>
      </c>
      <c r="M188" t="s">
        <v>1440</v>
      </c>
      <c r="N188" t="s">
        <v>1440</v>
      </c>
      <c r="O188" t="s">
        <v>23</v>
      </c>
      <c r="Q188">
        <f t="shared" si="8"/>
        <v>1</v>
      </c>
      <c r="R188" t="e">
        <f t="shared" ca="1" si="9"/>
        <v>#NAME?</v>
      </c>
      <c r="S188">
        <f t="shared" si="10"/>
        <v>8</v>
      </c>
      <c r="T188" t="str">
        <f t="shared" si="11"/>
        <v>Tevreden</v>
      </c>
    </row>
    <row r="189" spans="1:20" x14ac:dyDescent="0.3">
      <c r="A189" t="s">
        <v>2459</v>
      </c>
      <c r="B189" t="s">
        <v>1556</v>
      </c>
      <c r="C189" t="s">
        <v>2460</v>
      </c>
      <c r="D189" t="s">
        <v>2461</v>
      </c>
      <c r="E189" t="s">
        <v>2462</v>
      </c>
      <c r="F189" t="s">
        <v>2463</v>
      </c>
      <c r="G189">
        <v>257.49</v>
      </c>
      <c r="H189">
        <v>1</v>
      </c>
      <c r="I189" t="s">
        <v>22</v>
      </c>
      <c r="J189" t="s">
        <v>1439</v>
      </c>
      <c r="K189" t="s">
        <v>1439</v>
      </c>
      <c r="L189" t="s">
        <v>1440</v>
      </c>
      <c r="M189" t="s">
        <v>1440</v>
      </c>
      <c r="N189" t="s">
        <v>1440</v>
      </c>
      <c r="O189" t="s">
        <v>34</v>
      </c>
      <c r="Q189">
        <f t="shared" si="8"/>
        <v>1</v>
      </c>
      <c r="R189" t="e">
        <f t="shared" ca="1" si="9"/>
        <v>#NAME?</v>
      </c>
      <c r="S189">
        <f t="shared" si="10"/>
        <v>6</v>
      </c>
      <c r="T189" t="str">
        <f t="shared" si="11"/>
        <v>Ontevreden</v>
      </c>
    </row>
    <row r="190" spans="1:20" x14ac:dyDescent="0.3">
      <c r="A190" t="s">
        <v>2464</v>
      </c>
      <c r="B190" t="s">
        <v>1908</v>
      </c>
      <c r="C190" t="s">
        <v>2465</v>
      </c>
      <c r="D190" t="s">
        <v>2466</v>
      </c>
      <c r="E190" t="s">
        <v>2467</v>
      </c>
      <c r="F190" t="s">
        <v>2468</v>
      </c>
      <c r="G190">
        <v>109.57</v>
      </c>
      <c r="H190">
        <v>24</v>
      </c>
      <c r="I190" t="s">
        <v>22</v>
      </c>
      <c r="J190" t="s">
        <v>1439</v>
      </c>
      <c r="K190" t="s">
        <v>1440</v>
      </c>
      <c r="L190" t="s">
        <v>1440</v>
      </c>
      <c r="M190" t="s">
        <v>1440</v>
      </c>
      <c r="N190" t="s">
        <v>1440</v>
      </c>
      <c r="O190" t="s">
        <v>23</v>
      </c>
      <c r="Q190">
        <f t="shared" si="8"/>
        <v>1</v>
      </c>
      <c r="R190" t="e">
        <f t="shared" ca="1" si="9"/>
        <v>#NAME?</v>
      </c>
      <c r="S190">
        <f t="shared" si="10"/>
        <v>8</v>
      </c>
      <c r="T190" t="str">
        <f t="shared" si="11"/>
        <v>Tevreden</v>
      </c>
    </row>
    <row r="191" spans="1:20" x14ac:dyDescent="0.3">
      <c r="A191" t="s">
        <v>2469</v>
      </c>
      <c r="B191" t="s">
        <v>1936</v>
      </c>
      <c r="C191" t="s">
        <v>2470</v>
      </c>
      <c r="D191" t="s">
        <v>2471</v>
      </c>
      <c r="E191" t="s">
        <v>2472</v>
      </c>
      <c r="F191" t="s">
        <v>2473</v>
      </c>
      <c r="G191">
        <v>76.239999999999995</v>
      </c>
      <c r="H191">
        <v>7</v>
      </c>
      <c r="I191" t="s">
        <v>57</v>
      </c>
      <c r="J191" t="s">
        <v>1440</v>
      </c>
      <c r="K191" t="s">
        <v>1440</v>
      </c>
      <c r="L191" t="s">
        <v>1440</v>
      </c>
      <c r="M191" t="s">
        <v>1440</v>
      </c>
      <c r="N191" t="s">
        <v>1440</v>
      </c>
      <c r="O191" t="s">
        <v>23</v>
      </c>
      <c r="Q191">
        <f t="shared" si="8"/>
        <v>1</v>
      </c>
      <c r="R191" t="e">
        <f t="shared" ca="1" si="9"/>
        <v>#NAME?</v>
      </c>
      <c r="S191">
        <f t="shared" si="10"/>
        <v>8</v>
      </c>
      <c r="T191" t="str">
        <f t="shared" si="11"/>
        <v>Tevreden</v>
      </c>
    </row>
    <row r="192" spans="1:20" x14ac:dyDescent="0.3">
      <c r="A192" t="s">
        <v>2474</v>
      </c>
      <c r="B192" t="s">
        <v>1881</v>
      </c>
      <c r="C192" t="s">
        <v>2475</v>
      </c>
      <c r="D192" t="s">
        <v>2476</v>
      </c>
      <c r="E192" t="s">
        <v>2477</v>
      </c>
      <c r="F192" t="s">
        <v>2474</v>
      </c>
      <c r="G192">
        <v>95.43</v>
      </c>
      <c r="H192">
        <v>6</v>
      </c>
      <c r="I192" t="s">
        <v>22</v>
      </c>
      <c r="J192" t="s">
        <v>1440</v>
      </c>
      <c r="K192" t="s">
        <v>1439</v>
      </c>
      <c r="L192" t="s">
        <v>1439</v>
      </c>
      <c r="M192" t="s">
        <v>1440</v>
      </c>
      <c r="N192" t="s">
        <v>1439</v>
      </c>
      <c r="O192" t="s">
        <v>34</v>
      </c>
      <c r="Q192">
        <f t="shared" si="8"/>
        <v>1</v>
      </c>
      <c r="R192" t="e">
        <f t="shared" ca="1" si="9"/>
        <v>#NAME?</v>
      </c>
      <c r="S192">
        <f t="shared" si="10"/>
        <v>2</v>
      </c>
      <c r="T192" t="str">
        <f t="shared" si="11"/>
        <v>Ontevreden</v>
      </c>
    </row>
    <row r="193" spans="1:20" x14ac:dyDescent="0.3">
      <c r="A193" t="s">
        <v>2478</v>
      </c>
      <c r="B193" t="s">
        <v>2034</v>
      </c>
      <c r="C193" t="s">
        <v>2479</v>
      </c>
      <c r="D193" t="s">
        <v>2480</v>
      </c>
      <c r="E193" t="s">
        <v>2481</v>
      </c>
      <c r="F193" t="s">
        <v>2482</v>
      </c>
      <c r="G193">
        <v>87.87</v>
      </c>
      <c r="H193">
        <v>3</v>
      </c>
      <c r="I193" t="s">
        <v>29</v>
      </c>
      <c r="J193" t="s">
        <v>1440</v>
      </c>
      <c r="K193" t="s">
        <v>1440</v>
      </c>
      <c r="L193" t="s">
        <v>1440</v>
      </c>
      <c r="M193" t="s">
        <v>1440</v>
      </c>
      <c r="N193" t="s">
        <v>1440</v>
      </c>
      <c r="O193" t="s">
        <v>34</v>
      </c>
      <c r="Q193">
        <f t="shared" si="8"/>
        <v>1</v>
      </c>
      <c r="R193" t="e">
        <f t="shared" ca="1" si="9"/>
        <v>#NAME?</v>
      </c>
      <c r="S193">
        <f t="shared" si="10"/>
        <v>8</v>
      </c>
      <c r="T193" t="str">
        <f t="shared" si="11"/>
        <v>Tevreden</v>
      </c>
    </row>
    <row r="194" spans="1:20" x14ac:dyDescent="0.3">
      <c r="A194" t="s">
        <v>2483</v>
      </c>
      <c r="B194" t="s">
        <v>1737</v>
      </c>
      <c r="C194" t="s">
        <v>2484</v>
      </c>
      <c r="D194" t="s">
        <v>2485</v>
      </c>
      <c r="E194" t="s">
        <v>2486</v>
      </c>
      <c r="F194" t="s">
        <v>2487</v>
      </c>
      <c r="G194">
        <v>174.99</v>
      </c>
      <c r="H194">
        <v>12</v>
      </c>
      <c r="I194" t="s">
        <v>29</v>
      </c>
      <c r="J194" t="s">
        <v>1440</v>
      </c>
      <c r="K194" t="s">
        <v>1440</v>
      </c>
      <c r="L194" t="s">
        <v>1440</v>
      </c>
      <c r="M194" t="s">
        <v>1439</v>
      </c>
      <c r="N194" t="s">
        <v>1440</v>
      </c>
      <c r="O194" t="s">
        <v>23</v>
      </c>
      <c r="Q194">
        <f t="shared" ref="Q194:Q257" si="12">LEN(G194)-LEN(SUBSTITUTE(G194,",",""))+1</f>
        <v>1</v>
      </c>
      <c r="R194" t="e">
        <f t="shared" ref="R194:R257" ca="1" si="13">SWITCH(I194, "Zelden", 1, "Af en toe", 4, "Regelmatig", 8, "Vaak", 12)</f>
        <v>#NAME?</v>
      </c>
      <c r="S194">
        <f t="shared" ref="S194:S257" si="14">AVERAGE(--(K194="ja"), --(L194="ja"), --(M194="ja"), --(N194="ja"), --(O194="ja"))*10</f>
        <v>6</v>
      </c>
      <c r="T194" t="str">
        <f t="shared" ref="T194:T257" si="15">IF(S194&gt;=7, "Tevreden", "Ontevreden")</f>
        <v>Ontevreden</v>
      </c>
    </row>
    <row r="195" spans="1:20" x14ac:dyDescent="0.3">
      <c r="A195" t="s">
        <v>2488</v>
      </c>
      <c r="B195" t="s">
        <v>1596</v>
      </c>
      <c r="C195" t="s">
        <v>2489</v>
      </c>
      <c r="D195" t="s">
        <v>2490</v>
      </c>
      <c r="E195" t="s">
        <v>2491</v>
      </c>
      <c r="F195" t="s">
        <v>2492</v>
      </c>
      <c r="G195">
        <v>86.4</v>
      </c>
      <c r="H195">
        <v>13</v>
      </c>
      <c r="I195" t="s">
        <v>29</v>
      </c>
      <c r="J195" t="s">
        <v>1440</v>
      </c>
      <c r="K195" t="s">
        <v>1440</v>
      </c>
      <c r="L195" t="s">
        <v>1440</v>
      </c>
      <c r="M195" t="s">
        <v>1440</v>
      </c>
      <c r="N195" t="s">
        <v>1440</v>
      </c>
      <c r="O195" t="s">
        <v>23</v>
      </c>
      <c r="Q195">
        <f t="shared" si="12"/>
        <v>1</v>
      </c>
      <c r="R195" t="e">
        <f t="shared" ca="1" si="13"/>
        <v>#NAME?</v>
      </c>
      <c r="S195">
        <f t="shared" si="14"/>
        <v>8</v>
      </c>
      <c r="T195" t="str">
        <f t="shared" si="15"/>
        <v>Tevreden</v>
      </c>
    </row>
    <row r="196" spans="1:20" x14ac:dyDescent="0.3">
      <c r="A196" t="s">
        <v>2493</v>
      </c>
      <c r="B196" t="s">
        <v>2494</v>
      </c>
      <c r="C196" t="s">
        <v>2495</v>
      </c>
      <c r="D196" t="s">
        <v>2496</v>
      </c>
      <c r="E196" t="s">
        <v>2497</v>
      </c>
      <c r="F196" t="s">
        <v>2498</v>
      </c>
      <c r="G196">
        <v>21.78</v>
      </c>
      <c r="H196">
        <v>9</v>
      </c>
      <c r="I196" t="s">
        <v>29</v>
      </c>
      <c r="J196" t="s">
        <v>1440</v>
      </c>
      <c r="K196" t="s">
        <v>1440</v>
      </c>
      <c r="L196" t="s">
        <v>1440</v>
      </c>
      <c r="M196" t="s">
        <v>1440</v>
      </c>
      <c r="N196" t="s">
        <v>1440</v>
      </c>
      <c r="O196" t="s">
        <v>23</v>
      </c>
      <c r="Q196">
        <f t="shared" si="12"/>
        <v>1</v>
      </c>
      <c r="R196" t="e">
        <f t="shared" ca="1" si="13"/>
        <v>#NAME?</v>
      </c>
      <c r="S196">
        <f t="shared" si="14"/>
        <v>8</v>
      </c>
      <c r="T196" t="str">
        <f t="shared" si="15"/>
        <v>Tevreden</v>
      </c>
    </row>
    <row r="197" spans="1:20" x14ac:dyDescent="0.3">
      <c r="A197" t="s">
        <v>2499</v>
      </c>
      <c r="B197" t="s">
        <v>2500</v>
      </c>
      <c r="C197" t="s">
        <v>2501</v>
      </c>
      <c r="D197" t="s">
        <v>1149</v>
      </c>
      <c r="E197" t="s">
        <v>2502</v>
      </c>
      <c r="F197" t="s">
        <v>2503</v>
      </c>
      <c r="G197">
        <v>94.36</v>
      </c>
      <c r="H197">
        <v>7</v>
      </c>
      <c r="I197" t="s">
        <v>29</v>
      </c>
      <c r="J197" t="s">
        <v>1440</v>
      </c>
      <c r="K197" t="s">
        <v>1439</v>
      </c>
      <c r="L197" t="s">
        <v>1440</v>
      </c>
      <c r="M197" t="s">
        <v>1440</v>
      </c>
      <c r="N197" t="s">
        <v>1439</v>
      </c>
      <c r="O197" t="s">
        <v>23</v>
      </c>
      <c r="Q197">
        <f t="shared" si="12"/>
        <v>1</v>
      </c>
      <c r="R197" t="e">
        <f t="shared" ca="1" si="13"/>
        <v>#NAME?</v>
      </c>
      <c r="S197">
        <f t="shared" si="14"/>
        <v>4</v>
      </c>
      <c r="T197" t="str">
        <f t="shared" si="15"/>
        <v>Ontevreden</v>
      </c>
    </row>
    <row r="198" spans="1:20" x14ac:dyDescent="0.3">
      <c r="A198" t="s">
        <v>2504</v>
      </c>
      <c r="B198" t="s">
        <v>1484</v>
      </c>
      <c r="C198" t="s">
        <v>2505</v>
      </c>
      <c r="D198" t="s">
        <v>2506</v>
      </c>
      <c r="E198" t="s">
        <v>2507</v>
      </c>
      <c r="F198" t="s">
        <v>2508</v>
      </c>
      <c r="G198">
        <v>185.54</v>
      </c>
      <c r="H198">
        <v>6</v>
      </c>
      <c r="I198" t="s">
        <v>22</v>
      </c>
      <c r="J198" t="s">
        <v>1440</v>
      </c>
      <c r="K198" t="s">
        <v>1440</v>
      </c>
      <c r="L198" t="s">
        <v>1440</v>
      </c>
      <c r="M198" t="s">
        <v>1439</v>
      </c>
      <c r="N198" t="s">
        <v>1439</v>
      </c>
      <c r="O198" t="s">
        <v>23</v>
      </c>
      <c r="Q198">
        <f t="shared" si="12"/>
        <v>1</v>
      </c>
      <c r="R198" t="e">
        <f t="shared" ca="1" si="13"/>
        <v>#NAME?</v>
      </c>
      <c r="S198">
        <f t="shared" si="14"/>
        <v>4</v>
      </c>
      <c r="T198" t="str">
        <f t="shared" si="15"/>
        <v>Ontevreden</v>
      </c>
    </row>
    <row r="199" spans="1:20" x14ac:dyDescent="0.3">
      <c r="A199" t="s">
        <v>2509</v>
      </c>
      <c r="B199" t="s">
        <v>2185</v>
      </c>
      <c r="C199" t="s">
        <v>2510</v>
      </c>
      <c r="D199" t="s">
        <v>558</v>
      </c>
      <c r="E199" t="s">
        <v>2511</v>
      </c>
      <c r="F199" t="s">
        <v>2512</v>
      </c>
      <c r="G199">
        <v>115.27</v>
      </c>
      <c r="H199">
        <v>13</v>
      </c>
      <c r="I199" t="s">
        <v>22</v>
      </c>
      <c r="J199" t="s">
        <v>1440</v>
      </c>
      <c r="K199" t="s">
        <v>1440</v>
      </c>
      <c r="L199" t="s">
        <v>1440</v>
      </c>
      <c r="M199" t="s">
        <v>1440</v>
      </c>
      <c r="N199" t="s">
        <v>1440</v>
      </c>
      <c r="O199" t="s">
        <v>34</v>
      </c>
      <c r="Q199">
        <f t="shared" si="12"/>
        <v>1</v>
      </c>
      <c r="R199" t="e">
        <f t="shared" ca="1" si="13"/>
        <v>#NAME?</v>
      </c>
      <c r="S199">
        <f t="shared" si="14"/>
        <v>8</v>
      </c>
      <c r="T199" t="str">
        <f t="shared" si="15"/>
        <v>Tevreden</v>
      </c>
    </row>
    <row r="200" spans="1:20" x14ac:dyDescent="0.3">
      <c r="A200" t="s">
        <v>2513</v>
      </c>
      <c r="B200" t="s">
        <v>2514</v>
      </c>
      <c r="C200" t="s">
        <v>2515</v>
      </c>
      <c r="D200" t="s">
        <v>2516</v>
      </c>
      <c r="E200" t="s">
        <v>2517</v>
      </c>
      <c r="F200" t="s">
        <v>2518</v>
      </c>
      <c r="G200">
        <v>164.84</v>
      </c>
      <c r="H200">
        <v>7</v>
      </c>
      <c r="I200" t="s">
        <v>29</v>
      </c>
      <c r="J200" t="s">
        <v>1440</v>
      </c>
      <c r="K200" t="s">
        <v>1440</v>
      </c>
      <c r="L200" t="s">
        <v>1439</v>
      </c>
      <c r="M200" t="s">
        <v>1440</v>
      </c>
      <c r="N200" t="s">
        <v>1440</v>
      </c>
      <c r="O200" t="s">
        <v>23</v>
      </c>
      <c r="Q200">
        <f t="shared" si="12"/>
        <v>1</v>
      </c>
      <c r="R200" t="e">
        <f t="shared" ca="1" si="13"/>
        <v>#NAME?</v>
      </c>
      <c r="S200">
        <f t="shared" si="14"/>
        <v>6</v>
      </c>
      <c r="T200" t="str">
        <f t="shared" si="15"/>
        <v>Ontevreden</v>
      </c>
    </row>
    <row r="201" spans="1:20" x14ac:dyDescent="0.3">
      <c r="A201" t="s">
        <v>2519</v>
      </c>
      <c r="B201" t="s">
        <v>2520</v>
      </c>
      <c r="C201" t="s">
        <v>2521</v>
      </c>
      <c r="D201" t="s">
        <v>2522</v>
      </c>
      <c r="E201" t="s">
        <v>2523</v>
      </c>
      <c r="F201" t="s">
        <v>2519</v>
      </c>
      <c r="G201">
        <v>72.23</v>
      </c>
      <c r="H201">
        <v>10</v>
      </c>
      <c r="I201" t="s">
        <v>29</v>
      </c>
      <c r="J201" t="s">
        <v>1440</v>
      </c>
      <c r="K201" t="s">
        <v>1439</v>
      </c>
      <c r="L201" t="s">
        <v>1439</v>
      </c>
      <c r="M201" t="s">
        <v>1440</v>
      </c>
      <c r="N201" t="s">
        <v>1440</v>
      </c>
      <c r="O201" t="s">
        <v>23</v>
      </c>
      <c r="Q201">
        <f t="shared" si="12"/>
        <v>1</v>
      </c>
      <c r="R201" t="e">
        <f t="shared" ca="1" si="13"/>
        <v>#NAME?</v>
      </c>
      <c r="S201">
        <f t="shared" si="14"/>
        <v>4</v>
      </c>
      <c r="T201" t="str">
        <f t="shared" si="15"/>
        <v>Ontevreden</v>
      </c>
    </row>
    <row r="202" spans="1:20" x14ac:dyDescent="0.3">
      <c r="A202" t="s">
        <v>2524</v>
      </c>
      <c r="B202" t="s">
        <v>2525</v>
      </c>
      <c r="C202" t="s">
        <v>2526</v>
      </c>
      <c r="D202" t="s">
        <v>2527</v>
      </c>
      <c r="E202" t="s">
        <v>2528</v>
      </c>
      <c r="F202" t="s">
        <v>2529</v>
      </c>
      <c r="G202">
        <v>218.86</v>
      </c>
      <c r="H202">
        <v>1</v>
      </c>
      <c r="I202" t="s">
        <v>57</v>
      </c>
      <c r="J202" t="s">
        <v>1440</v>
      </c>
      <c r="K202" t="s">
        <v>1439</v>
      </c>
      <c r="L202" t="s">
        <v>1439</v>
      </c>
      <c r="M202" t="s">
        <v>1439</v>
      </c>
      <c r="N202" t="s">
        <v>1440</v>
      </c>
      <c r="O202" t="s">
        <v>23</v>
      </c>
      <c r="Q202">
        <f t="shared" si="12"/>
        <v>1</v>
      </c>
      <c r="R202" t="e">
        <f t="shared" ca="1" si="13"/>
        <v>#NAME?</v>
      </c>
      <c r="S202">
        <f t="shared" si="14"/>
        <v>2</v>
      </c>
      <c r="T202" t="str">
        <f t="shared" si="15"/>
        <v>Ontevreden</v>
      </c>
    </row>
    <row r="203" spans="1:20" x14ac:dyDescent="0.3">
      <c r="A203" t="s">
        <v>2530</v>
      </c>
      <c r="B203" t="s">
        <v>2531</v>
      </c>
      <c r="C203" t="s">
        <v>2532</v>
      </c>
      <c r="D203" t="s">
        <v>2533</v>
      </c>
      <c r="E203" t="s">
        <v>2534</v>
      </c>
      <c r="F203" t="s">
        <v>2535</v>
      </c>
      <c r="G203">
        <v>72.7</v>
      </c>
      <c r="H203">
        <v>7</v>
      </c>
      <c r="I203" t="s">
        <v>22</v>
      </c>
      <c r="J203" t="s">
        <v>1439</v>
      </c>
      <c r="K203" t="s">
        <v>1439</v>
      </c>
      <c r="L203" t="s">
        <v>1440</v>
      </c>
      <c r="M203" t="s">
        <v>1440</v>
      </c>
      <c r="N203" t="s">
        <v>1440</v>
      </c>
      <c r="O203" t="s">
        <v>23</v>
      </c>
      <c r="Q203">
        <f t="shared" si="12"/>
        <v>1</v>
      </c>
      <c r="R203" t="e">
        <f t="shared" ca="1" si="13"/>
        <v>#NAME?</v>
      </c>
      <c r="S203">
        <f t="shared" si="14"/>
        <v>6</v>
      </c>
      <c r="T203" t="str">
        <f t="shared" si="15"/>
        <v>Ontevreden</v>
      </c>
    </row>
    <row r="204" spans="1:20" x14ac:dyDescent="0.3">
      <c r="A204" t="s">
        <v>2536</v>
      </c>
      <c r="B204" t="s">
        <v>2537</v>
      </c>
      <c r="C204" t="s">
        <v>2538</v>
      </c>
      <c r="D204" t="s">
        <v>2539</v>
      </c>
      <c r="E204" t="s">
        <v>2540</v>
      </c>
      <c r="F204" t="s">
        <v>2541</v>
      </c>
      <c r="G204">
        <v>63.26</v>
      </c>
      <c r="H204">
        <v>6</v>
      </c>
      <c r="I204" t="s">
        <v>22</v>
      </c>
      <c r="J204" t="s">
        <v>1440</v>
      </c>
      <c r="K204" t="s">
        <v>1439</v>
      </c>
      <c r="L204" t="s">
        <v>1440</v>
      </c>
      <c r="M204" t="s">
        <v>1439</v>
      </c>
      <c r="N204" t="s">
        <v>1440</v>
      </c>
      <c r="O204" t="s">
        <v>34</v>
      </c>
      <c r="Q204">
        <f t="shared" si="12"/>
        <v>1</v>
      </c>
      <c r="R204" t="e">
        <f t="shared" ca="1" si="13"/>
        <v>#NAME?</v>
      </c>
      <c r="S204">
        <f t="shared" si="14"/>
        <v>4</v>
      </c>
      <c r="T204" t="str">
        <f t="shared" si="15"/>
        <v>Ontevreden</v>
      </c>
    </row>
    <row r="205" spans="1:20" x14ac:dyDescent="0.3">
      <c r="A205" t="s">
        <v>2542</v>
      </c>
      <c r="B205" t="s">
        <v>2543</v>
      </c>
      <c r="C205" t="s">
        <v>2544</v>
      </c>
      <c r="D205" t="s">
        <v>2545</v>
      </c>
      <c r="E205" t="s">
        <v>2546</v>
      </c>
      <c r="F205" t="s">
        <v>2542</v>
      </c>
      <c r="G205">
        <v>70.52</v>
      </c>
      <c r="H205">
        <v>8</v>
      </c>
      <c r="I205" t="s">
        <v>29</v>
      </c>
      <c r="J205" t="s">
        <v>1440</v>
      </c>
      <c r="K205" t="s">
        <v>1440</v>
      </c>
      <c r="L205" t="s">
        <v>1439</v>
      </c>
      <c r="M205" t="s">
        <v>1440</v>
      </c>
      <c r="N205" t="s">
        <v>1439</v>
      </c>
      <c r="O205" t="s">
        <v>34</v>
      </c>
      <c r="Q205">
        <f t="shared" si="12"/>
        <v>1</v>
      </c>
      <c r="R205" t="e">
        <f t="shared" ca="1" si="13"/>
        <v>#NAME?</v>
      </c>
      <c r="S205">
        <f t="shared" si="14"/>
        <v>4</v>
      </c>
      <c r="T205" t="str">
        <f t="shared" si="15"/>
        <v>Ontevreden</v>
      </c>
    </row>
    <row r="206" spans="1:20" x14ac:dyDescent="0.3">
      <c r="A206" t="s">
        <v>2547</v>
      </c>
      <c r="B206" t="s">
        <v>1854</v>
      </c>
      <c r="C206" t="s">
        <v>2548</v>
      </c>
      <c r="D206" t="s">
        <v>2549</v>
      </c>
      <c r="E206" t="s">
        <v>2550</v>
      </c>
      <c r="F206" t="s">
        <v>2551</v>
      </c>
      <c r="G206">
        <v>107.98</v>
      </c>
      <c r="H206">
        <v>5</v>
      </c>
      <c r="I206" t="s">
        <v>22</v>
      </c>
      <c r="J206" t="s">
        <v>1440</v>
      </c>
      <c r="K206" t="s">
        <v>1440</v>
      </c>
      <c r="L206" t="s">
        <v>1440</v>
      </c>
      <c r="M206" t="s">
        <v>1440</v>
      </c>
      <c r="N206" t="s">
        <v>1440</v>
      </c>
      <c r="O206" t="s">
        <v>23</v>
      </c>
      <c r="Q206">
        <f t="shared" si="12"/>
        <v>1</v>
      </c>
      <c r="R206" t="e">
        <f t="shared" ca="1" si="13"/>
        <v>#NAME?</v>
      </c>
      <c r="S206">
        <f t="shared" si="14"/>
        <v>8</v>
      </c>
      <c r="T206" t="str">
        <f t="shared" si="15"/>
        <v>Tevreden</v>
      </c>
    </row>
    <row r="207" spans="1:20" x14ac:dyDescent="0.3">
      <c r="A207" t="s">
        <v>2552</v>
      </c>
      <c r="B207" t="s">
        <v>1830</v>
      </c>
      <c r="C207" t="s">
        <v>2553</v>
      </c>
      <c r="D207" t="s">
        <v>2554</v>
      </c>
      <c r="E207" t="s">
        <v>2555</v>
      </c>
      <c r="F207" t="s">
        <v>2556</v>
      </c>
      <c r="G207">
        <v>210.52</v>
      </c>
      <c r="H207">
        <v>9</v>
      </c>
      <c r="I207" t="s">
        <v>102</v>
      </c>
      <c r="J207" t="s">
        <v>1440</v>
      </c>
      <c r="K207" t="s">
        <v>1439</v>
      </c>
      <c r="L207" t="s">
        <v>1440</v>
      </c>
      <c r="M207" t="s">
        <v>1440</v>
      </c>
      <c r="N207" t="s">
        <v>1440</v>
      </c>
      <c r="O207" t="s">
        <v>34</v>
      </c>
      <c r="Q207">
        <f t="shared" si="12"/>
        <v>1</v>
      </c>
      <c r="R207" t="e">
        <f t="shared" ca="1" si="13"/>
        <v>#NAME?</v>
      </c>
      <c r="S207">
        <f t="shared" si="14"/>
        <v>6</v>
      </c>
      <c r="T207" t="str">
        <f t="shared" si="15"/>
        <v>Ontevreden</v>
      </c>
    </row>
    <row r="208" spans="1:20" x14ac:dyDescent="0.3">
      <c r="A208" t="s">
        <v>1489</v>
      </c>
      <c r="B208" t="s">
        <v>2057</v>
      </c>
      <c r="C208" t="s">
        <v>2557</v>
      </c>
      <c r="D208" t="s">
        <v>2558</v>
      </c>
      <c r="E208" t="s">
        <v>2559</v>
      </c>
      <c r="F208" t="s">
        <v>1489</v>
      </c>
      <c r="G208">
        <v>127.99</v>
      </c>
      <c r="H208">
        <v>1</v>
      </c>
      <c r="I208" t="s">
        <v>29</v>
      </c>
      <c r="J208" t="s">
        <v>1439</v>
      </c>
      <c r="K208" t="s">
        <v>1440</v>
      </c>
      <c r="L208" t="s">
        <v>1439</v>
      </c>
      <c r="M208" t="s">
        <v>1440</v>
      </c>
      <c r="N208" t="s">
        <v>1440</v>
      </c>
      <c r="O208" t="s">
        <v>23</v>
      </c>
      <c r="Q208">
        <f t="shared" si="12"/>
        <v>1</v>
      </c>
      <c r="R208" t="e">
        <f t="shared" ca="1" si="13"/>
        <v>#NAME?</v>
      </c>
      <c r="S208">
        <f t="shared" si="14"/>
        <v>6</v>
      </c>
      <c r="T208" t="str">
        <f t="shared" si="15"/>
        <v>Ontevreden</v>
      </c>
    </row>
    <row r="209" spans="1:20" x14ac:dyDescent="0.3">
      <c r="A209" t="s">
        <v>2560</v>
      </c>
      <c r="B209" t="s">
        <v>2110</v>
      </c>
      <c r="C209" t="s">
        <v>2561</v>
      </c>
      <c r="D209" t="s">
        <v>2562</v>
      </c>
      <c r="E209" t="s">
        <v>2563</v>
      </c>
      <c r="F209" t="s">
        <v>2564</v>
      </c>
      <c r="G209">
        <v>118.63</v>
      </c>
      <c r="H209">
        <v>5</v>
      </c>
      <c r="I209" t="s">
        <v>29</v>
      </c>
      <c r="J209" t="s">
        <v>1440</v>
      </c>
      <c r="K209" t="s">
        <v>1440</v>
      </c>
      <c r="L209" t="s">
        <v>1440</v>
      </c>
      <c r="M209" t="s">
        <v>1440</v>
      </c>
      <c r="N209" t="s">
        <v>1440</v>
      </c>
      <c r="O209" t="s">
        <v>23</v>
      </c>
      <c r="Q209">
        <f t="shared" si="12"/>
        <v>1</v>
      </c>
      <c r="R209" t="e">
        <f t="shared" ca="1" si="13"/>
        <v>#NAME?</v>
      </c>
      <c r="S209">
        <f t="shared" si="14"/>
        <v>8</v>
      </c>
      <c r="T209" t="str">
        <f t="shared" si="15"/>
        <v>Tevreden</v>
      </c>
    </row>
    <row r="210" spans="1:20" x14ac:dyDescent="0.3">
      <c r="A210" t="s">
        <v>2565</v>
      </c>
      <c r="B210" t="s">
        <v>2566</v>
      </c>
      <c r="C210" t="s">
        <v>2567</v>
      </c>
      <c r="D210" t="s">
        <v>2568</v>
      </c>
      <c r="E210" t="s">
        <v>2569</v>
      </c>
      <c r="F210" t="s">
        <v>2570</v>
      </c>
      <c r="G210">
        <v>196.22</v>
      </c>
      <c r="H210">
        <v>12</v>
      </c>
      <c r="I210" t="s">
        <v>29</v>
      </c>
      <c r="J210" t="s">
        <v>1440</v>
      </c>
      <c r="K210" t="s">
        <v>1440</v>
      </c>
      <c r="L210" t="s">
        <v>1440</v>
      </c>
      <c r="M210" t="s">
        <v>1439</v>
      </c>
      <c r="N210" t="s">
        <v>1440</v>
      </c>
      <c r="O210" t="s">
        <v>23</v>
      </c>
      <c r="Q210">
        <f t="shared" si="12"/>
        <v>1</v>
      </c>
      <c r="R210" t="e">
        <f t="shared" ca="1" si="13"/>
        <v>#NAME?</v>
      </c>
      <c r="S210">
        <f t="shared" si="14"/>
        <v>6</v>
      </c>
      <c r="T210" t="str">
        <f t="shared" si="15"/>
        <v>Ontevreden</v>
      </c>
    </row>
    <row r="211" spans="1:20" x14ac:dyDescent="0.3">
      <c r="A211" t="s">
        <v>2571</v>
      </c>
      <c r="B211" t="s">
        <v>1808</v>
      </c>
      <c r="C211" t="s">
        <v>2572</v>
      </c>
      <c r="D211" t="s">
        <v>804</v>
      </c>
      <c r="E211" t="s">
        <v>2573</v>
      </c>
      <c r="F211" t="s">
        <v>2574</v>
      </c>
      <c r="G211">
        <v>92.82</v>
      </c>
      <c r="H211">
        <v>16</v>
      </c>
      <c r="I211" t="s">
        <v>22</v>
      </c>
      <c r="J211" t="s">
        <v>1440</v>
      </c>
      <c r="K211" t="s">
        <v>1440</v>
      </c>
      <c r="L211" t="s">
        <v>1440</v>
      </c>
      <c r="M211" t="s">
        <v>1440</v>
      </c>
      <c r="N211" t="s">
        <v>1440</v>
      </c>
      <c r="O211" t="s">
        <v>23</v>
      </c>
      <c r="Q211">
        <f t="shared" si="12"/>
        <v>1</v>
      </c>
      <c r="R211" t="e">
        <f t="shared" ca="1" si="13"/>
        <v>#NAME?</v>
      </c>
      <c r="S211">
        <f t="shared" si="14"/>
        <v>8</v>
      </c>
      <c r="T211" t="str">
        <f t="shared" si="15"/>
        <v>Tevreden</v>
      </c>
    </row>
    <row r="212" spans="1:20" x14ac:dyDescent="0.3">
      <c r="A212" t="s">
        <v>2575</v>
      </c>
      <c r="B212" t="s">
        <v>1808</v>
      </c>
      <c r="C212" t="s">
        <v>2576</v>
      </c>
      <c r="D212" t="s">
        <v>2577</v>
      </c>
      <c r="E212" t="s">
        <v>2578</v>
      </c>
      <c r="F212" t="s">
        <v>2579</v>
      </c>
      <c r="G212">
        <v>114.24</v>
      </c>
      <c r="H212">
        <v>24</v>
      </c>
      <c r="I212" t="s">
        <v>29</v>
      </c>
      <c r="J212" t="s">
        <v>1440</v>
      </c>
      <c r="K212" t="s">
        <v>1440</v>
      </c>
      <c r="L212" t="s">
        <v>1440</v>
      </c>
      <c r="M212" t="s">
        <v>1440</v>
      </c>
      <c r="N212" t="s">
        <v>1440</v>
      </c>
      <c r="O212" t="s">
        <v>23</v>
      </c>
      <c r="Q212">
        <f t="shared" si="12"/>
        <v>1</v>
      </c>
      <c r="R212" t="e">
        <f t="shared" ca="1" si="13"/>
        <v>#NAME?</v>
      </c>
      <c r="S212">
        <f t="shared" si="14"/>
        <v>8</v>
      </c>
      <c r="T212" t="str">
        <f t="shared" si="15"/>
        <v>Tevreden</v>
      </c>
    </row>
    <row r="213" spans="1:20" x14ac:dyDescent="0.3">
      <c r="A213" t="s">
        <v>2580</v>
      </c>
      <c r="B213" t="s">
        <v>2581</v>
      </c>
      <c r="C213" t="s">
        <v>2582</v>
      </c>
      <c r="D213" t="s">
        <v>2583</v>
      </c>
      <c r="E213" t="s">
        <v>2584</v>
      </c>
      <c r="F213" t="s">
        <v>2580</v>
      </c>
      <c r="G213">
        <v>22.11</v>
      </c>
      <c r="H213">
        <v>5</v>
      </c>
      <c r="I213" t="s">
        <v>29</v>
      </c>
      <c r="J213" t="s">
        <v>1440</v>
      </c>
      <c r="K213" t="s">
        <v>1440</v>
      </c>
      <c r="L213" t="s">
        <v>1439</v>
      </c>
      <c r="M213" t="s">
        <v>1440</v>
      </c>
      <c r="N213" t="s">
        <v>1440</v>
      </c>
      <c r="O213" t="s">
        <v>23</v>
      </c>
      <c r="Q213">
        <f t="shared" si="12"/>
        <v>1</v>
      </c>
      <c r="R213" t="e">
        <f t="shared" ca="1" si="13"/>
        <v>#NAME?</v>
      </c>
      <c r="S213">
        <f t="shared" si="14"/>
        <v>6</v>
      </c>
      <c r="T213" t="str">
        <f t="shared" si="15"/>
        <v>Ontevreden</v>
      </c>
    </row>
    <row r="214" spans="1:20" x14ac:dyDescent="0.3">
      <c r="A214" t="s">
        <v>2585</v>
      </c>
      <c r="B214" t="s">
        <v>1555</v>
      </c>
      <c r="C214" t="s">
        <v>2586</v>
      </c>
      <c r="D214" t="s">
        <v>2587</v>
      </c>
      <c r="E214" t="s">
        <v>2588</v>
      </c>
      <c r="F214" t="s">
        <v>2589</v>
      </c>
      <c r="G214">
        <v>88.75</v>
      </c>
      <c r="H214">
        <v>9</v>
      </c>
      <c r="I214" t="s">
        <v>22</v>
      </c>
      <c r="J214" t="s">
        <v>1440</v>
      </c>
      <c r="K214" t="s">
        <v>1440</v>
      </c>
      <c r="L214" t="s">
        <v>1440</v>
      </c>
      <c r="M214" t="s">
        <v>1440</v>
      </c>
      <c r="N214" t="s">
        <v>1439</v>
      </c>
      <c r="O214" t="s">
        <v>23</v>
      </c>
      <c r="Q214">
        <f t="shared" si="12"/>
        <v>1</v>
      </c>
      <c r="R214" t="e">
        <f t="shared" ca="1" si="13"/>
        <v>#NAME?</v>
      </c>
      <c r="S214">
        <f t="shared" si="14"/>
        <v>6</v>
      </c>
      <c r="T214" t="str">
        <f t="shared" si="15"/>
        <v>Ontevreden</v>
      </c>
    </row>
    <row r="215" spans="1:20" x14ac:dyDescent="0.3">
      <c r="A215" t="s">
        <v>1613</v>
      </c>
      <c r="B215" t="s">
        <v>2590</v>
      </c>
      <c r="C215" t="s">
        <v>2591</v>
      </c>
      <c r="D215" t="s">
        <v>2592</v>
      </c>
      <c r="E215" t="s">
        <v>2593</v>
      </c>
      <c r="F215" t="s">
        <v>2594</v>
      </c>
      <c r="G215">
        <v>42.62</v>
      </c>
      <c r="H215">
        <v>1</v>
      </c>
      <c r="I215" t="s">
        <v>22</v>
      </c>
      <c r="J215" t="s">
        <v>1439</v>
      </c>
      <c r="K215" t="s">
        <v>1440</v>
      </c>
      <c r="L215" t="s">
        <v>1440</v>
      </c>
      <c r="M215" t="s">
        <v>1440</v>
      </c>
      <c r="N215" t="s">
        <v>1440</v>
      </c>
      <c r="O215" t="s">
        <v>23</v>
      </c>
      <c r="Q215">
        <f t="shared" si="12"/>
        <v>1</v>
      </c>
      <c r="R215" t="e">
        <f t="shared" ca="1" si="13"/>
        <v>#NAME?</v>
      </c>
      <c r="S215">
        <f t="shared" si="14"/>
        <v>8</v>
      </c>
      <c r="T215" t="str">
        <f t="shared" si="15"/>
        <v>Tevreden</v>
      </c>
    </row>
    <row r="216" spans="1:20" x14ac:dyDescent="0.3">
      <c r="A216" t="s">
        <v>2595</v>
      </c>
      <c r="B216" t="s">
        <v>2596</v>
      </c>
      <c r="C216" t="s">
        <v>2597</v>
      </c>
      <c r="D216" t="s">
        <v>2598</v>
      </c>
      <c r="E216" t="s">
        <v>2599</v>
      </c>
      <c r="F216" t="s">
        <v>2600</v>
      </c>
      <c r="G216">
        <v>124.87</v>
      </c>
      <c r="H216">
        <v>1</v>
      </c>
      <c r="I216" t="s">
        <v>22</v>
      </c>
      <c r="J216" t="s">
        <v>1439</v>
      </c>
      <c r="K216" t="s">
        <v>1440</v>
      </c>
      <c r="L216" t="s">
        <v>1439</v>
      </c>
      <c r="M216" t="s">
        <v>1440</v>
      </c>
      <c r="N216" t="s">
        <v>1440</v>
      </c>
      <c r="O216" t="s">
        <v>23</v>
      </c>
      <c r="Q216">
        <f t="shared" si="12"/>
        <v>1</v>
      </c>
      <c r="R216" t="e">
        <f t="shared" ca="1" si="13"/>
        <v>#NAME?</v>
      </c>
      <c r="S216">
        <f t="shared" si="14"/>
        <v>6</v>
      </c>
      <c r="T216" t="str">
        <f t="shared" si="15"/>
        <v>Ontevreden</v>
      </c>
    </row>
    <row r="217" spans="1:20" x14ac:dyDescent="0.3">
      <c r="A217" t="s">
        <v>2601</v>
      </c>
      <c r="B217" t="s">
        <v>2602</v>
      </c>
      <c r="C217" t="s">
        <v>2603</v>
      </c>
      <c r="D217" t="s">
        <v>2604</v>
      </c>
      <c r="E217" t="s">
        <v>2605</v>
      </c>
      <c r="F217" t="s">
        <v>2606</v>
      </c>
      <c r="G217">
        <v>136.07</v>
      </c>
      <c r="H217">
        <v>11</v>
      </c>
      <c r="I217" t="s">
        <v>22</v>
      </c>
      <c r="J217" t="s">
        <v>1440</v>
      </c>
      <c r="K217" t="s">
        <v>1440</v>
      </c>
      <c r="L217" t="s">
        <v>1440</v>
      </c>
      <c r="M217" t="s">
        <v>1439</v>
      </c>
      <c r="N217" t="s">
        <v>1440</v>
      </c>
      <c r="O217" t="s">
        <v>23</v>
      </c>
      <c r="Q217">
        <f t="shared" si="12"/>
        <v>1</v>
      </c>
      <c r="R217" t="e">
        <f t="shared" ca="1" si="13"/>
        <v>#NAME?</v>
      </c>
      <c r="S217">
        <f t="shared" si="14"/>
        <v>6</v>
      </c>
      <c r="T217" t="str">
        <f t="shared" si="15"/>
        <v>Ontevreden</v>
      </c>
    </row>
    <row r="218" spans="1:20" x14ac:dyDescent="0.3">
      <c r="A218" t="s">
        <v>2607</v>
      </c>
      <c r="B218" t="s">
        <v>2608</v>
      </c>
      <c r="C218" t="s">
        <v>2609</v>
      </c>
      <c r="D218" t="s">
        <v>2610</v>
      </c>
      <c r="E218" t="s">
        <v>2611</v>
      </c>
      <c r="F218" t="s">
        <v>2612</v>
      </c>
      <c r="G218">
        <v>136.58000000000001</v>
      </c>
      <c r="H218">
        <v>3</v>
      </c>
      <c r="I218" t="s">
        <v>22</v>
      </c>
      <c r="J218" t="s">
        <v>1440</v>
      </c>
      <c r="K218" t="s">
        <v>1440</v>
      </c>
      <c r="L218" t="s">
        <v>1440</v>
      </c>
      <c r="M218" t="s">
        <v>1440</v>
      </c>
      <c r="N218" t="s">
        <v>1440</v>
      </c>
      <c r="O218" t="s">
        <v>34</v>
      </c>
      <c r="Q218">
        <f t="shared" si="12"/>
        <v>1</v>
      </c>
      <c r="R218" t="e">
        <f t="shared" ca="1" si="13"/>
        <v>#NAME?</v>
      </c>
      <c r="S218">
        <f t="shared" si="14"/>
        <v>8</v>
      </c>
      <c r="T218" t="str">
        <f t="shared" si="15"/>
        <v>Tevreden</v>
      </c>
    </row>
    <row r="219" spans="1:20" x14ac:dyDescent="0.3">
      <c r="A219" t="s">
        <v>2613</v>
      </c>
      <c r="B219" t="s">
        <v>2046</v>
      </c>
      <c r="C219" t="s">
        <v>2614</v>
      </c>
      <c r="D219" t="s">
        <v>2615</v>
      </c>
      <c r="E219" t="s">
        <v>2616</v>
      </c>
      <c r="F219" t="s">
        <v>2617</v>
      </c>
      <c r="G219">
        <v>118.72</v>
      </c>
      <c r="H219">
        <v>14</v>
      </c>
      <c r="I219" t="s">
        <v>22</v>
      </c>
      <c r="J219" t="s">
        <v>1439</v>
      </c>
      <c r="K219" t="s">
        <v>1440</v>
      </c>
      <c r="L219" t="s">
        <v>1440</v>
      </c>
      <c r="M219" t="s">
        <v>1440</v>
      </c>
      <c r="N219" t="s">
        <v>1439</v>
      </c>
      <c r="O219" t="s">
        <v>23</v>
      </c>
      <c r="Q219">
        <f t="shared" si="12"/>
        <v>1</v>
      </c>
      <c r="R219" t="e">
        <f t="shared" ca="1" si="13"/>
        <v>#NAME?</v>
      </c>
      <c r="S219">
        <f t="shared" si="14"/>
        <v>6</v>
      </c>
      <c r="T219" t="str">
        <f t="shared" si="15"/>
        <v>Ontevreden</v>
      </c>
    </row>
    <row r="220" spans="1:20" x14ac:dyDescent="0.3">
      <c r="A220" t="s">
        <v>2618</v>
      </c>
      <c r="B220" t="s">
        <v>2619</v>
      </c>
      <c r="C220" t="s">
        <v>2620</v>
      </c>
      <c r="D220" t="s">
        <v>2621</v>
      </c>
      <c r="E220" t="s">
        <v>2622</v>
      </c>
      <c r="F220" t="s">
        <v>2623</v>
      </c>
      <c r="G220">
        <v>156.19</v>
      </c>
      <c r="H220">
        <v>6</v>
      </c>
      <c r="I220" t="s">
        <v>22</v>
      </c>
      <c r="J220" t="s">
        <v>1439</v>
      </c>
      <c r="K220" t="s">
        <v>1440</v>
      </c>
      <c r="L220" t="s">
        <v>1439</v>
      </c>
      <c r="M220" t="s">
        <v>1440</v>
      </c>
      <c r="N220" t="s">
        <v>1439</v>
      </c>
      <c r="O220" t="s">
        <v>23</v>
      </c>
      <c r="Q220">
        <f t="shared" si="12"/>
        <v>1</v>
      </c>
      <c r="R220" t="e">
        <f t="shared" ca="1" si="13"/>
        <v>#NAME?</v>
      </c>
      <c r="S220">
        <f t="shared" si="14"/>
        <v>4</v>
      </c>
      <c r="T220" t="str">
        <f t="shared" si="15"/>
        <v>Ontevreden</v>
      </c>
    </row>
    <row r="221" spans="1:20" x14ac:dyDescent="0.3">
      <c r="A221" t="s">
        <v>2624</v>
      </c>
      <c r="B221" t="s">
        <v>2625</v>
      </c>
      <c r="C221" t="s">
        <v>2626</v>
      </c>
      <c r="D221" t="s">
        <v>2627</v>
      </c>
      <c r="E221" t="s">
        <v>2628</v>
      </c>
      <c r="F221" t="s">
        <v>2629</v>
      </c>
      <c r="G221">
        <v>164.22</v>
      </c>
      <c r="H221">
        <v>6</v>
      </c>
      <c r="I221" t="s">
        <v>29</v>
      </c>
      <c r="J221" t="s">
        <v>1440</v>
      </c>
      <c r="K221" t="s">
        <v>1440</v>
      </c>
      <c r="L221" t="s">
        <v>1439</v>
      </c>
      <c r="M221" t="s">
        <v>1440</v>
      </c>
      <c r="N221" t="s">
        <v>1440</v>
      </c>
      <c r="O221" t="s">
        <v>23</v>
      </c>
      <c r="Q221">
        <f t="shared" si="12"/>
        <v>1</v>
      </c>
      <c r="R221" t="e">
        <f t="shared" ca="1" si="13"/>
        <v>#NAME?</v>
      </c>
      <c r="S221">
        <f t="shared" si="14"/>
        <v>6</v>
      </c>
      <c r="T221" t="str">
        <f t="shared" si="15"/>
        <v>Ontevreden</v>
      </c>
    </row>
    <row r="222" spans="1:20" x14ac:dyDescent="0.3">
      <c r="A222" t="s">
        <v>2630</v>
      </c>
      <c r="B222" t="s">
        <v>1519</v>
      </c>
      <c r="C222" t="s">
        <v>2631</v>
      </c>
      <c r="D222" t="s">
        <v>2632</v>
      </c>
      <c r="E222" t="s">
        <v>2633</v>
      </c>
      <c r="F222" t="s">
        <v>2634</v>
      </c>
      <c r="G222">
        <v>221.25</v>
      </c>
      <c r="H222">
        <v>3</v>
      </c>
      <c r="I222" t="s">
        <v>29</v>
      </c>
      <c r="J222" t="s">
        <v>1440</v>
      </c>
      <c r="K222" t="s">
        <v>1439</v>
      </c>
      <c r="L222" t="s">
        <v>1440</v>
      </c>
      <c r="M222" t="s">
        <v>1439</v>
      </c>
      <c r="N222" t="s">
        <v>1440</v>
      </c>
      <c r="O222" t="s">
        <v>23</v>
      </c>
      <c r="Q222">
        <f t="shared" si="12"/>
        <v>1</v>
      </c>
      <c r="R222" t="e">
        <f t="shared" ca="1" si="13"/>
        <v>#NAME?</v>
      </c>
      <c r="S222">
        <f t="shared" si="14"/>
        <v>4</v>
      </c>
      <c r="T222" t="str">
        <f t="shared" si="15"/>
        <v>Ontevreden</v>
      </c>
    </row>
    <row r="223" spans="1:20" x14ac:dyDescent="0.3">
      <c r="A223" t="s">
        <v>2256</v>
      </c>
      <c r="B223" t="s">
        <v>2635</v>
      </c>
      <c r="C223" t="s">
        <v>2636</v>
      </c>
      <c r="D223" t="s">
        <v>2637</v>
      </c>
      <c r="E223" t="s">
        <v>2638</v>
      </c>
      <c r="F223" t="s">
        <v>2639</v>
      </c>
      <c r="G223">
        <v>101</v>
      </c>
      <c r="H223">
        <v>16</v>
      </c>
      <c r="I223" t="s">
        <v>29</v>
      </c>
      <c r="J223" t="s">
        <v>1440</v>
      </c>
      <c r="K223" t="s">
        <v>1440</v>
      </c>
      <c r="L223" t="s">
        <v>1439</v>
      </c>
      <c r="M223" t="s">
        <v>1440</v>
      </c>
      <c r="N223" t="s">
        <v>1440</v>
      </c>
      <c r="O223" t="s">
        <v>23</v>
      </c>
      <c r="Q223">
        <f t="shared" si="12"/>
        <v>1</v>
      </c>
      <c r="R223" t="e">
        <f t="shared" ca="1" si="13"/>
        <v>#NAME?</v>
      </c>
      <c r="S223">
        <f t="shared" si="14"/>
        <v>6</v>
      </c>
      <c r="T223" t="str">
        <f t="shared" si="15"/>
        <v>Ontevreden</v>
      </c>
    </row>
    <row r="224" spans="1:20" x14ac:dyDescent="0.3">
      <c r="A224" t="s">
        <v>2640</v>
      </c>
      <c r="B224" t="s">
        <v>1731</v>
      </c>
      <c r="C224" t="s">
        <v>2641</v>
      </c>
      <c r="D224" t="s">
        <v>2642</v>
      </c>
      <c r="E224" t="s">
        <v>2643</v>
      </c>
      <c r="F224" t="s">
        <v>2644</v>
      </c>
      <c r="G224">
        <v>159.75</v>
      </c>
      <c r="H224">
        <v>8</v>
      </c>
      <c r="I224" t="s">
        <v>29</v>
      </c>
      <c r="J224" t="s">
        <v>1440</v>
      </c>
      <c r="K224" t="s">
        <v>1439</v>
      </c>
      <c r="L224" t="s">
        <v>1440</v>
      </c>
      <c r="M224" t="s">
        <v>1440</v>
      </c>
      <c r="N224" t="s">
        <v>1440</v>
      </c>
      <c r="O224" t="s">
        <v>23</v>
      </c>
      <c r="Q224">
        <f t="shared" si="12"/>
        <v>1</v>
      </c>
      <c r="R224" t="e">
        <f t="shared" ca="1" si="13"/>
        <v>#NAME?</v>
      </c>
      <c r="S224">
        <f t="shared" si="14"/>
        <v>6</v>
      </c>
      <c r="T224" t="str">
        <f t="shared" si="15"/>
        <v>Ontevreden</v>
      </c>
    </row>
    <row r="225" spans="1:20" x14ac:dyDescent="0.3">
      <c r="A225" t="s">
        <v>2645</v>
      </c>
      <c r="B225" t="s">
        <v>1538</v>
      </c>
      <c r="C225" t="s">
        <v>2646</v>
      </c>
      <c r="D225" t="s">
        <v>2647</v>
      </c>
      <c r="E225" t="s">
        <v>2648</v>
      </c>
      <c r="F225" t="s">
        <v>2649</v>
      </c>
      <c r="G225">
        <v>147.02000000000001</v>
      </c>
      <c r="H225">
        <v>16</v>
      </c>
      <c r="I225" t="s">
        <v>29</v>
      </c>
      <c r="J225" t="s">
        <v>1440</v>
      </c>
      <c r="K225" t="s">
        <v>1440</v>
      </c>
      <c r="L225" t="s">
        <v>1439</v>
      </c>
      <c r="M225" t="s">
        <v>1440</v>
      </c>
      <c r="N225" t="s">
        <v>1440</v>
      </c>
      <c r="O225" t="s">
        <v>23</v>
      </c>
      <c r="Q225">
        <f t="shared" si="12"/>
        <v>1</v>
      </c>
      <c r="R225" t="e">
        <f t="shared" ca="1" si="13"/>
        <v>#NAME?</v>
      </c>
      <c r="S225">
        <f t="shared" si="14"/>
        <v>6</v>
      </c>
      <c r="T225" t="str">
        <f t="shared" si="15"/>
        <v>Ontevreden</v>
      </c>
    </row>
    <row r="226" spans="1:20" x14ac:dyDescent="0.3">
      <c r="A226" t="s">
        <v>2650</v>
      </c>
      <c r="B226" t="s">
        <v>2392</v>
      </c>
      <c r="C226" t="s">
        <v>2651</v>
      </c>
      <c r="D226" t="s">
        <v>2652</v>
      </c>
      <c r="E226" t="s">
        <v>2653</v>
      </c>
      <c r="F226" t="s">
        <v>2654</v>
      </c>
      <c r="G226">
        <v>50.89</v>
      </c>
      <c r="H226">
        <v>22</v>
      </c>
      <c r="I226" t="s">
        <v>57</v>
      </c>
      <c r="J226" t="s">
        <v>1439</v>
      </c>
      <c r="K226" t="s">
        <v>1439</v>
      </c>
      <c r="L226" t="s">
        <v>1440</v>
      </c>
      <c r="M226" t="s">
        <v>1440</v>
      </c>
      <c r="N226" t="s">
        <v>1440</v>
      </c>
      <c r="O226" t="s">
        <v>34</v>
      </c>
      <c r="Q226">
        <f t="shared" si="12"/>
        <v>1</v>
      </c>
      <c r="R226" t="e">
        <f t="shared" ca="1" si="13"/>
        <v>#NAME?</v>
      </c>
      <c r="S226">
        <f t="shared" si="14"/>
        <v>6</v>
      </c>
      <c r="T226" t="str">
        <f t="shared" si="15"/>
        <v>Ontevreden</v>
      </c>
    </row>
    <row r="227" spans="1:20" x14ac:dyDescent="0.3">
      <c r="A227" t="s">
        <v>2655</v>
      </c>
      <c r="B227" t="s">
        <v>2656</v>
      </c>
      <c r="C227" t="s">
        <v>2657</v>
      </c>
      <c r="D227" t="s">
        <v>2658</v>
      </c>
      <c r="E227" t="s">
        <v>2659</v>
      </c>
      <c r="F227" t="s">
        <v>2660</v>
      </c>
      <c r="G227">
        <v>97.34</v>
      </c>
      <c r="H227">
        <v>15</v>
      </c>
      <c r="I227" t="s">
        <v>22</v>
      </c>
      <c r="J227" t="s">
        <v>1439</v>
      </c>
      <c r="K227" t="s">
        <v>1440</v>
      </c>
      <c r="L227" t="s">
        <v>1440</v>
      </c>
      <c r="M227" t="s">
        <v>1440</v>
      </c>
      <c r="N227" t="s">
        <v>1440</v>
      </c>
      <c r="O227" t="s">
        <v>23</v>
      </c>
      <c r="Q227">
        <f t="shared" si="12"/>
        <v>1</v>
      </c>
      <c r="R227" t="e">
        <f t="shared" ca="1" si="13"/>
        <v>#NAME?</v>
      </c>
      <c r="S227">
        <f t="shared" si="14"/>
        <v>8</v>
      </c>
      <c r="T227" t="str">
        <f t="shared" si="15"/>
        <v>Tevreden</v>
      </c>
    </row>
    <row r="228" spans="1:20" x14ac:dyDescent="0.3">
      <c r="A228" t="s">
        <v>2661</v>
      </c>
      <c r="B228" t="s">
        <v>2662</v>
      </c>
      <c r="C228" t="s">
        <v>2663</v>
      </c>
      <c r="D228" t="s">
        <v>2664</v>
      </c>
      <c r="E228" t="s">
        <v>2665</v>
      </c>
      <c r="F228" t="s">
        <v>2666</v>
      </c>
      <c r="G228">
        <v>152.71</v>
      </c>
      <c r="H228">
        <v>10</v>
      </c>
      <c r="I228" t="s">
        <v>29</v>
      </c>
      <c r="J228" t="s">
        <v>1440</v>
      </c>
      <c r="K228" t="s">
        <v>1440</v>
      </c>
      <c r="L228" t="s">
        <v>1440</v>
      </c>
      <c r="M228" t="s">
        <v>1440</v>
      </c>
      <c r="N228" t="s">
        <v>1440</v>
      </c>
      <c r="O228" t="s">
        <v>23</v>
      </c>
      <c r="Q228">
        <f t="shared" si="12"/>
        <v>1</v>
      </c>
      <c r="R228" t="e">
        <f t="shared" ca="1" si="13"/>
        <v>#NAME?</v>
      </c>
      <c r="S228">
        <f t="shared" si="14"/>
        <v>8</v>
      </c>
      <c r="T228" t="str">
        <f t="shared" si="15"/>
        <v>Tevreden</v>
      </c>
    </row>
    <row r="229" spans="1:20" x14ac:dyDescent="0.3">
      <c r="A229" t="s">
        <v>2667</v>
      </c>
      <c r="B229" t="s">
        <v>2356</v>
      </c>
      <c r="C229" t="s">
        <v>2668</v>
      </c>
      <c r="D229" t="s">
        <v>2669</v>
      </c>
      <c r="E229" t="s">
        <v>2670</v>
      </c>
      <c r="F229" t="s">
        <v>2671</v>
      </c>
      <c r="G229">
        <v>274.52</v>
      </c>
      <c r="H229">
        <v>19</v>
      </c>
      <c r="I229" t="s">
        <v>29</v>
      </c>
      <c r="J229" t="s">
        <v>1439</v>
      </c>
      <c r="K229" t="s">
        <v>1440</v>
      </c>
      <c r="L229" t="s">
        <v>1440</v>
      </c>
      <c r="M229" t="s">
        <v>1440</v>
      </c>
      <c r="N229" t="s">
        <v>1440</v>
      </c>
      <c r="O229" t="s">
        <v>23</v>
      </c>
      <c r="Q229">
        <f t="shared" si="12"/>
        <v>1</v>
      </c>
      <c r="R229" t="e">
        <f t="shared" ca="1" si="13"/>
        <v>#NAME?</v>
      </c>
      <c r="S229">
        <f t="shared" si="14"/>
        <v>8</v>
      </c>
      <c r="T229" t="str">
        <f t="shared" si="15"/>
        <v>Tevreden</v>
      </c>
    </row>
    <row r="230" spans="1:20" x14ac:dyDescent="0.3">
      <c r="A230" t="s">
        <v>2672</v>
      </c>
      <c r="B230" t="s">
        <v>1520</v>
      </c>
      <c r="C230" t="s">
        <v>2673</v>
      </c>
      <c r="D230" t="s">
        <v>2674</v>
      </c>
      <c r="E230" t="s">
        <v>2675</v>
      </c>
      <c r="F230" t="s">
        <v>2676</v>
      </c>
      <c r="G230">
        <v>86.43</v>
      </c>
      <c r="H230">
        <v>27</v>
      </c>
      <c r="I230" t="s">
        <v>22</v>
      </c>
      <c r="J230" t="s">
        <v>1439</v>
      </c>
      <c r="K230" t="s">
        <v>1440</v>
      </c>
      <c r="L230" t="s">
        <v>1439</v>
      </c>
      <c r="M230" t="s">
        <v>1439</v>
      </c>
      <c r="N230" t="s">
        <v>1440</v>
      </c>
      <c r="O230" t="s">
        <v>78</v>
      </c>
      <c r="Q230">
        <f t="shared" si="12"/>
        <v>1</v>
      </c>
      <c r="R230" t="e">
        <f t="shared" ca="1" si="13"/>
        <v>#NAME?</v>
      </c>
      <c r="S230">
        <f t="shared" si="14"/>
        <v>4</v>
      </c>
      <c r="T230" t="str">
        <f t="shared" si="15"/>
        <v>Ontevreden</v>
      </c>
    </row>
    <row r="231" spans="1:20" x14ac:dyDescent="0.3">
      <c r="A231" t="s">
        <v>2677</v>
      </c>
      <c r="B231" t="s">
        <v>2678</v>
      </c>
      <c r="C231" t="s">
        <v>2679</v>
      </c>
      <c r="D231" t="s">
        <v>2680</v>
      </c>
      <c r="E231" t="s">
        <v>2681</v>
      </c>
      <c r="F231" t="s">
        <v>2682</v>
      </c>
      <c r="G231">
        <v>131.66999999999999</v>
      </c>
      <c r="H231">
        <v>4</v>
      </c>
      <c r="I231" t="s">
        <v>29</v>
      </c>
      <c r="J231" t="s">
        <v>1440</v>
      </c>
      <c r="K231" t="s">
        <v>1439</v>
      </c>
      <c r="L231" t="s">
        <v>1440</v>
      </c>
      <c r="M231" t="s">
        <v>1440</v>
      </c>
      <c r="N231" t="s">
        <v>1440</v>
      </c>
      <c r="O231" t="s">
        <v>23</v>
      </c>
      <c r="Q231">
        <f t="shared" si="12"/>
        <v>1</v>
      </c>
      <c r="R231" t="e">
        <f t="shared" ca="1" si="13"/>
        <v>#NAME?</v>
      </c>
      <c r="S231">
        <f t="shared" si="14"/>
        <v>6</v>
      </c>
      <c r="T231" t="str">
        <f t="shared" si="15"/>
        <v>Ontevreden</v>
      </c>
    </row>
    <row r="232" spans="1:20" x14ac:dyDescent="0.3">
      <c r="A232" t="s">
        <v>2683</v>
      </c>
      <c r="B232" t="s">
        <v>1808</v>
      </c>
      <c r="C232" t="s">
        <v>2684</v>
      </c>
      <c r="D232" t="s">
        <v>2685</v>
      </c>
      <c r="E232" t="s">
        <v>2686</v>
      </c>
      <c r="F232" t="s">
        <v>2687</v>
      </c>
      <c r="G232">
        <v>180.59</v>
      </c>
      <c r="H232">
        <v>8</v>
      </c>
      <c r="I232" t="s">
        <v>22</v>
      </c>
      <c r="J232" t="s">
        <v>1440</v>
      </c>
      <c r="K232" t="s">
        <v>1440</v>
      </c>
      <c r="L232" t="s">
        <v>1440</v>
      </c>
      <c r="M232" t="s">
        <v>1440</v>
      </c>
      <c r="N232" t="s">
        <v>1439</v>
      </c>
      <c r="O232" t="s">
        <v>34</v>
      </c>
      <c r="Q232">
        <f t="shared" si="12"/>
        <v>1</v>
      </c>
      <c r="R232" t="e">
        <f t="shared" ca="1" si="13"/>
        <v>#NAME?</v>
      </c>
      <c r="S232">
        <f t="shared" si="14"/>
        <v>6</v>
      </c>
      <c r="T232" t="str">
        <f t="shared" si="15"/>
        <v>Ontevreden</v>
      </c>
    </row>
    <row r="233" spans="1:20" x14ac:dyDescent="0.3">
      <c r="A233" t="s">
        <v>2688</v>
      </c>
      <c r="B233" t="s">
        <v>1695</v>
      </c>
      <c r="C233" t="s">
        <v>2689</v>
      </c>
      <c r="D233" t="s">
        <v>2690</v>
      </c>
      <c r="E233" t="s">
        <v>2691</v>
      </c>
      <c r="F233" t="s">
        <v>2692</v>
      </c>
      <c r="G233">
        <v>134.19</v>
      </c>
      <c r="H233">
        <v>27</v>
      </c>
      <c r="I233" t="s">
        <v>29</v>
      </c>
      <c r="J233" t="s">
        <v>1439</v>
      </c>
      <c r="K233" t="s">
        <v>1440</v>
      </c>
      <c r="L233" t="s">
        <v>1439</v>
      </c>
      <c r="M233" t="s">
        <v>1439</v>
      </c>
      <c r="N233" t="s">
        <v>1439</v>
      </c>
      <c r="O233" t="s">
        <v>78</v>
      </c>
      <c r="Q233">
        <f t="shared" si="12"/>
        <v>1</v>
      </c>
      <c r="R233" t="e">
        <f t="shared" ca="1" si="13"/>
        <v>#NAME?</v>
      </c>
      <c r="S233">
        <f t="shared" si="14"/>
        <v>2</v>
      </c>
      <c r="T233" t="str">
        <f t="shared" si="15"/>
        <v>Ontevreden</v>
      </c>
    </row>
    <row r="234" spans="1:20" x14ac:dyDescent="0.3">
      <c r="A234" t="s">
        <v>2478</v>
      </c>
      <c r="B234" t="s">
        <v>1977</v>
      </c>
      <c r="C234" t="s">
        <v>2693</v>
      </c>
      <c r="D234" t="s">
        <v>2694</v>
      </c>
      <c r="E234" t="s">
        <v>2695</v>
      </c>
      <c r="F234" t="s">
        <v>2696</v>
      </c>
      <c r="G234">
        <v>82.12</v>
      </c>
      <c r="H234">
        <v>17</v>
      </c>
      <c r="I234" t="s">
        <v>29</v>
      </c>
      <c r="J234" t="s">
        <v>1439</v>
      </c>
      <c r="K234" t="s">
        <v>1440</v>
      </c>
      <c r="L234" t="s">
        <v>1440</v>
      </c>
      <c r="M234" t="s">
        <v>1440</v>
      </c>
      <c r="N234" t="s">
        <v>1440</v>
      </c>
      <c r="O234" t="s">
        <v>23</v>
      </c>
      <c r="Q234">
        <f t="shared" si="12"/>
        <v>1</v>
      </c>
      <c r="R234" t="e">
        <f t="shared" ca="1" si="13"/>
        <v>#NAME?</v>
      </c>
      <c r="S234">
        <f t="shared" si="14"/>
        <v>8</v>
      </c>
      <c r="T234" t="str">
        <f t="shared" si="15"/>
        <v>Tevreden</v>
      </c>
    </row>
    <row r="235" spans="1:20" x14ac:dyDescent="0.3">
      <c r="A235" t="s">
        <v>2697</v>
      </c>
      <c r="B235" t="s">
        <v>2698</v>
      </c>
      <c r="C235" t="s">
        <v>2699</v>
      </c>
      <c r="D235" t="s">
        <v>2700</v>
      </c>
      <c r="E235" t="s">
        <v>2701</v>
      </c>
      <c r="F235" t="s">
        <v>2702</v>
      </c>
      <c r="G235">
        <v>87.61</v>
      </c>
      <c r="H235">
        <v>10</v>
      </c>
      <c r="I235" t="s">
        <v>57</v>
      </c>
      <c r="J235" t="s">
        <v>1439</v>
      </c>
      <c r="K235" t="s">
        <v>1439</v>
      </c>
      <c r="L235" t="s">
        <v>1440</v>
      </c>
      <c r="M235" t="s">
        <v>1440</v>
      </c>
      <c r="N235" t="s">
        <v>1439</v>
      </c>
      <c r="O235" t="s">
        <v>78</v>
      </c>
      <c r="Q235">
        <f t="shared" si="12"/>
        <v>1</v>
      </c>
      <c r="R235" t="e">
        <f t="shared" ca="1" si="13"/>
        <v>#NAME?</v>
      </c>
      <c r="S235">
        <f t="shared" si="14"/>
        <v>4</v>
      </c>
      <c r="T235" t="str">
        <f t="shared" si="15"/>
        <v>Ontevreden</v>
      </c>
    </row>
    <row r="236" spans="1:20" x14ac:dyDescent="0.3">
      <c r="A236" t="s">
        <v>1507</v>
      </c>
      <c r="B236" t="s">
        <v>2703</v>
      </c>
      <c r="C236" t="s">
        <v>2704</v>
      </c>
      <c r="D236" t="s">
        <v>2705</v>
      </c>
      <c r="E236" t="s">
        <v>2706</v>
      </c>
      <c r="F236" t="s">
        <v>2707</v>
      </c>
      <c r="G236">
        <v>82.3</v>
      </c>
      <c r="H236">
        <v>10</v>
      </c>
      <c r="I236" t="s">
        <v>29</v>
      </c>
      <c r="J236" t="s">
        <v>1440</v>
      </c>
      <c r="K236" t="s">
        <v>1439</v>
      </c>
      <c r="L236" t="s">
        <v>1439</v>
      </c>
      <c r="M236" t="s">
        <v>1440</v>
      </c>
      <c r="N236" t="s">
        <v>1440</v>
      </c>
      <c r="O236" t="s">
        <v>23</v>
      </c>
      <c r="Q236">
        <f t="shared" si="12"/>
        <v>1</v>
      </c>
      <c r="R236" t="e">
        <f t="shared" ca="1" si="13"/>
        <v>#NAME?</v>
      </c>
      <c r="S236">
        <f t="shared" si="14"/>
        <v>4</v>
      </c>
      <c r="T236" t="str">
        <f t="shared" si="15"/>
        <v>Ontevreden</v>
      </c>
    </row>
    <row r="237" spans="1:20" x14ac:dyDescent="0.3">
      <c r="A237" t="s">
        <v>2708</v>
      </c>
      <c r="B237" t="s">
        <v>2223</v>
      </c>
      <c r="C237" t="s">
        <v>2709</v>
      </c>
      <c r="D237" t="s">
        <v>2710</v>
      </c>
      <c r="E237" t="s">
        <v>2711</v>
      </c>
      <c r="F237" t="s">
        <v>2712</v>
      </c>
      <c r="G237">
        <v>120.17</v>
      </c>
      <c r="H237">
        <v>1</v>
      </c>
      <c r="I237" t="s">
        <v>22</v>
      </c>
      <c r="J237" t="s">
        <v>1439</v>
      </c>
      <c r="K237" t="s">
        <v>1440</v>
      </c>
      <c r="L237" t="s">
        <v>1440</v>
      </c>
      <c r="M237" t="s">
        <v>1440</v>
      </c>
      <c r="N237" t="s">
        <v>1440</v>
      </c>
      <c r="O237" t="s">
        <v>23</v>
      </c>
      <c r="Q237">
        <f t="shared" si="12"/>
        <v>1</v>
      </c>
      <c r="R237" t="e">
        <f t="shared" ca="1" si="13"/>
        <v>#NAME?</v>
      </c>
      <c r="S237">
        <f t="shared" si="14"/>
        <v>8</v>
      </c>
      <c r="T237" t="str">
        <f t="shared" si="15"/>
        <v>Tevreden</v>
      </c>
    </row>
    <row r="238" spans="1:20" x14ac:dyDescent="0.3">
      <c r="A238" t="s">
        <v>2713</v>
      </c>
      <c r="B238" t="s">
        <v>2063</v>
      </c>
      <c r="C238" t="s">
        <v>2714</v>
      </c>
      <c r="D238" t="s">
        <v>2715</v>
      </c>
      <c r="E238" t="s">
        <v>2716</v>
      </c>
      <c r="F238" t="s">
        <v>2717</v>
      </c>
      <c r="G238">
        <v>152.43</v>
      </c>
      <c r="H238">
        <v>14</v>
      </c>
      <c r="I238" t="s">
        <v>22</v>
      </c>
      <c r="J238" t="s">
        <v>1440</v>
      </c>
      <c r="K238" t="s">
        <v>1439</v>
      </c>
      <c r="L238" t="s">
        <v>1440</v>
      </c>
      <c r="M238" t="s">
        <v>1440</v>
      </c>
      <c r="N238" t="s">
        <v>1439</v>
      </c>
      <c r="O238" t="s">
        <v>23</v>
      </c>
      <c r="Q238">
        <f t="shared" si="12"/>
        <v>1</v>
      </c>
      <c r="R238" t="e">
        <f t="shared" ca="1" si="13"/>
        <v>#NAME?</v>
      </c>
      <c r="S238">
        <f t="shared" si="14"/>
        <v>4</v>
      </c>
      <c r="T238" t="str">
        <f t="shared" si="15"/>
        <v>Ontevreden</v>
      </c>
    </row>
    <row r="239" spans="1:20" x14ac:dyDescent="0.3">
      <c r="A239" t="s">
        <v>2718</v>
      </c>
      <c r="B239" t="s">
        <v>1673</v>
      </c>
      <c r="C239" t="s">
        <v>2719</v>
      </c>
      <c r="D239" t="s">
        <v>2720</v>
      </c>
      <c r="E239" t="s">
        <v>2721</v>
      </c>
      <c r="F239" t="s">
        <v>2722</v>
      </c>
      <c r="G239">
        <v>173.72</v>
      </c>
      <c r="H239">
        <v>15</v>
      </c>
      <c r="I239" t="s">
        <v>22</v>
      </c>
      <c r="J239" t="s">
        <v>1440</v>
      </c>
      <c r="K239" t="s">
        <v>1439</v>
      </c>
      <c r="L239" t="s">
        <v>1440</v>
      </c>
      <c r="M239" t="s">
        <v>1440</v>
      </c>
      <c r="N239" t="s">
        <v>1440</v>
      </c>
      <c r="O239" t="s">
        <v>23</v>
      </c>
      <c r="Q239">
        <f t="shared" si="12"/>
        <v>1</v>
      </c>
      <c r="R239" t="e">
        <f t="shared" ca="1" si="13"/>
        <v>#NAME?</v>
      </c>
      <c r="S239">
        <f t="shared" si="14"/>
        <v>6</v>
      </c>
      <c r="T239" t="str">
        <f t="shared" si="15"/>
        <v>Ontevreden</v>
      </c>
    </row>
    <row r="240" spans="1:20" x14ac:dyDescent="0.3">
      <c r="A240" t="s">
        <v>2723</v>
      </c>
      <c r="B240" t="s">
        <v>1755</v>
      </c>
      <c r="C240" t="s">
        <v>2724</v>
      </c>
      <c r="D240" t="s">
        <v>2725</v>
      </c>
      <c r="E240" t="s">
        <v>2726</v>
      </c>
      <c r="F240" t="s">
        <v>2723</v>
      </c>
      <c r="G240">
        <v>86.44</v>
      </c>
      <c r="H240">
        <v>16</v>
      </c>
      <c r="I240" t="s">
        <v>29</v>
      </c>
      <c r="J240" t="s">
        <v>1440</v>
      </c>
      <c r="K240" t="s">
        <v>1439</v>
      </c>
      <c r="L240" t="s">
        <v>1440</v>
      </c>
      <c r="M240" t="s">
        <v>1440</v>
      </c>
      <c r="N240" t="s">
        <v>1440</v>
      </c>
      <c r="O240" t="s">
        <v>23</v>
      </c>
      <c r="Q240">
        <f t="shared" si="12"/>
        <v>1</v>
      </c>
      <c r="R240" t="e">
        <f t="shared" ca="1" si="13"/>
        <v>#NAME?</v>
      </c>
      <c r="S240">
        <f t="shared" si="14"/>
        <v>6</v>
      </c>
      <c r="T240" t="str">
        <f t="shared" si="15"/>
        <v>Ontevreden</v>
      </c>
    </row>
    <row r="241" spans="1:20" x14ac:dyDescent="0.3">
      <c r="A241" t="s">
        <v>2727</v>
      </c>
      <c r="B241" t="s">
        <v>2728</v>
      </c>
      <c r="C241" t="s">
        <v>2729</v>
      </c>
      <c r="D241" t="s">
        <v>2730</v>
      </c>
      <c r="E241" t="s">
        <v>2731</v>
      </c>
      <c r="F241" t="s">
        <v>2732</v>
      </c>
      <c r="G241">
        <v>149.16</v>
      </c>
      <c r="H241">
        <v>5</v>
      </c>
      <c r="I241" t="s">
        <v>22</v>
      </c>
      <c r="J241" t="s">
        <v>1440</v>
      </c>
      <c r="K241" t="s">
        <v>1440</v>
      </c>
      <c r="L241" t="s">
        <v>1440</v>
      </c>
      <c r="M241" t="s">
        <v>1440</v>
      </c>
      <c r="N241" t="s">
        <v>1439</v>
      </c>
      <c r="O241" t="s">
        <v>78</v>
      </c>
      <c r="Q241">
        <f t="shared" si="12"/>
        <v>1</v>
      </c>
      <c r="R241" t="e">
        <f t="shared" ca="1" si="13"/>
        <v>#NAME?</v>
      </c>
      <c r="S241">
        <f t="shared" si="14"/>
        <v>6</v>
      </c>
      <c r="T241" t="str">
        <f t="shared" si="15"/>
        <v>Ontevreden</v>
      </c>
    </row>
    <row r="242" spans="1:20" x14ac:dyDescent="0.3">
      <c r="A242" t="s">
        <v>2733</v>
      </c>
      <c r="B242" t="s">
        <v>2734</v>
      </c>
      <c r="C242" t="s">
        <v>2735</v>
      </c>
      <c r="D242" t="s">
        <v>2736</v>
      </c>
      <c r="E242" t="s">
        <v>2737</v>
      </c>
      <c r="F242" t="s">
        <v>2738</v>
      </c>
      <c r="G242">
        <v>161.85</v>
      </c>
      <c r="H242">
        <v>8</v>
      </c>
      <c r="I242" t="s">
        <v>22</v>
      </c>
      <c r="J242" t="s">
        <v>1440</v>
      </c>
      <c r="K242" t="s">
        <v>1439</v>
      </c>
      <c r="L242" t="s">
        <v>1440</v>
      </c>
      <c r="M242" t="s">
        <v>1440</v>
      </c>
      <c r="N242" t="s">
        <v>1440</v>
      </c>
      <c r="O242" t="s">
        <v>23</v>
      </c>
      <c r="Q242">
        <f t="shared" si="12"/>
        <v>1</v>
      </c>
      <c r="R242" t="e">
        <f t="shared" ca="1" si="13"/>
        <v>#NAME?</v>
      </c>
      <c r="S242">
        <f t="shared" si="14"/>
        <v>6</v>
      </c>
      <c r="T242" t="str">
        <f t="shared" si="15"/>
        <v>Ontevreden</v>
      </c>
    </row>
    <row r="243" spans="1:20" x14ac:dyDescent="0.3">
      <c r="A243" t="s">
        <v>2739</v>
      </c>
      <c r="B243" t="s">
        <v>1854</v>
      </c>
      <c r="C243" t="s">
        <v>2740</v>
      </c>
      <c r="D243" t="s">
        <v>2741</v>
      </c>
      <c r="E243" t="s">
        <v>2742</v>
      </c>
      <c r="F243" t="s">
        <v>2743</v>
      </c>
      <c r="G243">
        <v>101.89</v>
      </c>
      <c r="H243">
        <v>5</v>
      </c>
      <c r="I243" t="s">
        <v>57</v>
      </c>
      <c r="J243" t="s">
        <v>1439</v>
      </c>
      <c r="K243" t="s">
        <v>1440</v>
      </c>
      <c r="L243" t="s">
        <v>1440</v>
      </c>
      <c r="M243" t="s">
        <v>1440</v>
      </c>
      <c r="N243" t="s">
        <v>1440</v>
      </c>
      <c r="O243" t="s">
        <v>34</v>
      </c>
      <c r="Q243">
        <f t="shared" si="12"/>
        <v>1</v>
      </c>
      <c r="R243" t="e">
        <f t="shared" ca="1" si="13"/>
        <v>#NAME?</v>
      </c>
      <c r="S243">
        <f t="shared" si="14"/>
        <v>8</v>
      </c>
      <c r="T243" t="str">
        <f t="shared" si="15"/>
        <v>Tevreden</v>
      </c>
    </row>
    <row r="244" spans="1:20" x14ac:dyDescent="0.3">
      <c r="A244" t="s">
        <v>2744</v>
      </c>
      <c r="B244" t="s">
        <v>2281</v>
      </c>
      <c r="C244" t="s">
        <v>2745</v>
      </c>
      <c r="D244" t="s">
        <v>2746</v>
      </c>
      <c r="E244" t="s">
        <v>2747</v>
      </c>
      <c r="F244" t="s">
        <v>2744</v>
      </c>
      <c r="G244">
        <v>35.9</v>
      </c>
      <c r="H244">
        <v>7</v>
      </c>
      <c r="I244" t="s">
        <v>22</v>
      </c>
      <c r="J244" t="s">
        <v>1440</v>
      </c>
      <c r="K244" t="s">
        <v>1440</v>
      </c>
      <c r="L244" t="s">
        <v>1440</v>
      </c>
      <c r="M244" t="s">
        <v>1440</v>
      </c>
      <c r="N244" t="s">
        <v>1439</v>
      </c>
      <c r="O244" t="s">
        <v>23</v>
      </c>
      <c r="Q244">
        <f t="shared" si="12"/>
        <v>1</v>
      </c>
      <c r="R244" t="e">
        <f t="shared" ca="1" si="13"/>
        <v>#NAME?</v>
      </c>
      <c r="S244">
        <f t="shared" si="14"/>
        <v>6</v>
      </c>
      <c r="T244" t="str">
        <f t="shared" si="15"/>
        <v>Ontevreden</v>
      </c>
    </row>
    <row r="245" spans="1:20" x14ac:dyDescent="0.3">
      <c r="A245" t="s">
        <v>2748</v>
      </c>
      <c r="B245" t="s">
        <v>1785</v>
      </c>
      <c r="C245" t="s">
        <v>2749</v>
      </c>
      <c r="D245" t="s">
        <v>2750</v>
      </c>
      <c r="E245" t="s">
        <v>2751</v>
      </c>
      <c r="F245" t="s">
        <v>2752</v>
      </c>
      <c r="G245">
        <v>144.94999999999999</v>
      </c>
      <c r="H245">
        <v>19</v>
      </c>
      <c r="I245" t="s">
        <v>102</v>
      </c>
      <c r="J245" t="s">
        <v>1440</v>
      </c>
      <c r="K245" t="s">
        <v>1440</v>
      </c>
      <c r="L245" t="s">
        <v>1440</v>
      </c>
      <c r="M245" t="s">
        <v>1440</v>
      </c>
      <c r="N245" t="s">
        <v>1440</v>
      </c>
      <c r="O245" t="s">
        <v>23</v>
      </c>
      <c r="Q245">
        <f t="shared" si="12"/>
        <v>1</v>
      </c>
      <c r="R245" t="e">
        <f t="shared" ca="1" si="13"/>
        <v>#NAME?</v>
      </c>
      <c r="S245">
        <f t="shared" si="14"/>
        <v>8</v>
      </c>
      <c r="T245" t="str">
        <f t="shared" si="15"/>
        <v>Tevreden</v>
      </c>
    </row>
    <row r="246" spans="1:20" x14ac:dyDescent="0.3">
      <c r="A246" t="s">
        <v>2753</v>
      </c>
      <c r="B246" t="s">
        <v>1661</v>
      </c>
      <c r="C246" t="s">
        <v>2754</v>
      </c>
      <c r="D246" t="s">
        <v>2755</v>
      </c>
      <c r="E246" t="s">
        <v>2756</v>
      </c>
      <c r="F246" t="s">
        <v>2753</v>
      </c>
      <c r="G246">
        <v>32.06</v>
      </c>
      <c r="H246">
        <v>7</v>
      </c>
      <c r="I246" t="s">
        <v>22</v>
      </c>
      <c r="J246" t="s">
        <v>1440</v>
      </c>
      <c r="K246" t="s">
        <v>1440</v>
      </c>
      <c r="L246" t="s">
        <v>1440</v>
      </c>
      <c r="M246" t="s">
        <v>1439</v>
      </c>
      <c r="N246" t="s">
        <v>1440</v>
      </c>
      <c r="O246" t="s">
        <v>23</v>
      </c>
      <c r="Q246">
        <f t="shared" si="12"/>
        <v>1</v>
      </c>
      <c r="R246" t="e">
        <f t="shared" ca="1" si="13"/>
        <v>#NAME?</v>
      </c>
      <c r="S246">
        <f t="shared" si="14"/>
        <v>6</v>
      </c>
      <c r="T246" t="str">
        <f t="shared" si="15"/>
        <v>Ontevreden</v>
      </c>
    </row>
    <row r="247" spans="1:20" x14ac:dyDescent="0.3">
      <c r="A247" t="s">
        <v>1589</v>
      </c>
      <c r="B247" t="s">
        <v>1580</v>
      </c>
      <c r="C247" t="s">
        <v>2757</v>
      </c>
      <c r="D247" t="s">
        <v>2758</v>
      </c>
      <c r="E247" t="s">
        <v>2759</v>
      </c>
      <c r="F247" t="s">
        <v>2760</v>
      </c>
      <c r="G247">
        <v>103.05</v>
      </c>
      <c r="H247">
        <v>1</v>
      </c>
      <c r="I247" t="s">
        <v>29</v>
      </c>
      <c r="J247" t="s">
        <v>1440</v>
      </c>
      <c r="K247" t="s">
        <v>1440</v>
      </c>
      <c r="L247" t="s">
        <v>1440</v>
      </c>
      <c r="M247" t="s">
        <v>1440</v>
      </c>
      <c r="N247" t="s">
        <v>1440</v>
      </c>
      <c r="O247" t="s">
        <v>23</v>
      </c>
      <c r="Q247">
        <f t="shared" si="12"/>
        <v>1</v>
      </c>
      <c r="R247" t="e">
        <f t="shared" ca="1" si="13"/>
        <v>#NAME?</v>
      </c>
      <c r="S247">
        <f t="shared" si="14"/>
        <v>8</v>
      </c>
      <c r="T247" t="str">
        <f t="shared" si="15"/>
        <v>Tevreden</v>
      </c>
    </row>
    <row r="248" spans="1:20" x14ac:dyDescent="0.3">
      <c r="A248" t="s">
        <v>2761</v>
      </c>
      <c r="B248" t="s">
        <v>2762</v>
      </c>
      <c r="C248" t="s">
        <v>2763</v>
      </c>
      <c r="D248" t="s">
        <v>2764</v>
      </c>
      <c r="E248" t="s">
        <v>2765</v>
      </c>
      <c r="F248" t="s">
        <v>2766</v>
      </c>
      <c r="G248">
        <v>65.44</v>
      </c>
      <c r="H248">
        <v>1</v>
      </c>
      <c r="I248" t="s">
        <v>29</v>
      </c>
      <c r="J248" t="s">
        <v>1440</v>
      </c>
      <c r="K248" t="s">
        <v>1439</v>
      </c>
      <c r="L248" t="s">
        <v>1440</v>
      </c>
      <c r="M248" t="s">
        <v>1440</v>
      </c>
      <c r="N248" t="s">
        <v>1440</v>
      </c>
      <c r="O248" t="s">
        <v>34</v>
      </c>
      <c r="Q248">
        <f t="shared" si="12"/>
        <v>1</v>
      </c>
      <c r="R248" t="e">
        <f t="shared" ca="1" si="13"/>
        <v>#NAME?</v>
      </c>
      <c r="S248">
        <f t="shared" si="14"/>
        <v>6</v>
      </c>
      <c r="T248" t="str">
        <f t="shared" si="15"/>
        <v>Ontevreden</v>
      </c>
    </row>
    <row r="249" spans="1:20" x14ac:dyDescent="0.3">
      <c r="A249" t="s">
        <v>2767</v>
      </c>
      <c r="B249" t="s">
        <v>2768</v>
      </c>
      <c r="C249" t="s">
        <v>2769</v>
      </c>
      <c r="D249" t="s">
        <v>2770</v>
      </c>
      <c r="E249" t="s">
        <v>2771</v>
      </c>
      <c r="F249" t="s">
        <v>2772</v>
      </c>
      <c r="G249">
        <v>71.19</v>
      </c>
      <c r="H249">
        <v>8</v>
      </c>
      <c r="I249" t="s">
        <v>22</v>
      </c>
      <c r="J249" t="s">
        <v>1440</v>
      </c>
      <c r="K249" t="s">
        <v>1440</v>
      </c>
      <c r="L249" t="s">
        <v>1440</v>
      </c>
      <c r="M249" t="s">
        <v>1440</v>
      </c>
      <c r="N249" t="s">
        <v>1440</v>
      </c>
      <c r="O249" t="s">
        <v>23</v>
      </c>
      <c r="Q249">
        <f t="shared" si="12"/>
        <v>1</v>
      </c>
      <c r="R249" t="e">
        <f t="shared" ca="1" si="13"/>
        <v>#NAME?</v>
      </c>
      <c r="S249">
        <f t="shared" si="14"/>
        <v>8</v>
      </c>
      <c r="T249" t="str">
        <f t="shared" si="15"/>
        <v>Tevreden</v>
      </c>
    </row>
    <row r="250" spans="1:20" x14ac:dyDescent="0.3">
      <c r="A250" t="s">
        <v>2773</v>
      </c>
      <c r="B250" t="s">
        <v>2774</v>
      </c>
      <c r="C250" t="s">
        <v>2775</v>
      </c>
      <c r="D250" t="s">
        <v>2776</v>
      </c>
      <c r="E250" t="s">
        <v>2777</v>
      </c>
      <c r="F250" t="s">
        <v>2778</v>
      </c>
      <c r="G250">
        <v>95.69</v>
      </c>
      <c r="H250">
        <v>7</v>
      </c>
      <c r="I250" t="s">
        <v>22</v>
      </c>
      <c r="J250" t="s">
        <v>1439</v>
      </c>
      <c r="K250" t="s">
        <v>1440</v>
      </c>
      <c r="L250" t="s">
        <v>1440</v>
      </c>
      <c r="M250" t="s">
        <v>1439</v>
      </c>
      <c r="N250" t="s">
        <v>1440</v>
      </c>
      <c r="O250" t="s">
        <v>78</v>
      </c>
      <c r="Q250">
        <f t="shared" si="12"/>
        <v>1</v>
      </c>
      <c r="R250" t="e">
        <f t="shared" ca="1" si="13"/>
        <v>#NAME?</v>
      </c>
      <c r="S250">
        <f t="shared" si="14"/>
        <v>6</v>
      </c>
      <c r="T250" t="str">
        <f t="shared" si="15"/>
        <v>Ontevreden</v>
      </c>
    </row>
    <row r="251" spans="1:20" x14ac:dyDescent="0.3">
      <c r="A251" t="s">
        <v>2779</v>
      </c>
      <c r="B251" t="s">
        <v>2091</v>
      </c>
      <c r="C251" t="s">
        <v>2780</v>
      </c>
      <c r="D251" t="s">
        <v>2781</v>
      </c>
      <c r="E251" t="s">
        <v>2782</v>
      </c>
      <c r="F251" t="s">
        <v>2783</v>
      </c>
      <c r="G251">
        <v>181.08</v>
      </c>
      <c r="H251">
        <v>23</v>
      </c>
      <c r="I251" t="s">
        <v>22</v>
      </c>
      <c r="J251" t="s">
        <v>1440</v>
      </c>
      <c r="K251" t="s">
        <v>1439</v>
      </c>
      <c r="L251" t="s">
        <v>1439</v>
      </c>
      <c r="M251" t="s">
        <v>1439</v>
      </c>
      <c r="N251" t="s">
        <v>1440</v>
      </c>
      <c r="O251" t="s">
        <v>23</v>
      </c>
      <c r="Q251">
        <f t="shared" si="12"/>
        <v>1</v>
      </c>
      <c r="R251" t="e">
        <f t="shared" ca="1" si="13"/>
        <v>#NAME?</v>
      </c>
      <c r="S251">
        <f t="shared" si="14"/>
        <v>2</v>
      </c>
      <c r="T251" t="str">
        <f t="shared" si="15"/>
        <v>Ontevreden</v>
      </c>
    </row>
    <row r="252" spans="1:20" x14ac:dyDescent="0.3">
      <c r="A252" t="s">
        <v>2784</v>
      </c>
      <c r="B252" t="s">
        <v>2514</v>
      </c>
      <c r="C252" t="s">
        <v>2785</v>
      </c>
      <c r="D252" t="s">
        <v>2786</v>
      </c>
      <c r="E252" t="s">
        <v>2787</v>
      </c>
      <c r="F252" t="s">
        <v>2788</v>
      </c>
      <c r="G252">
        <v>139.1</v>
      </c>
      <c r="H252">
        <v>4</v>
      </c>
      <c r="I252" t="s">
        <v>22</v>
      </c>
      <c r="J252" t="s">
        <v>1440</v>
      </c>
      <c r="K252" t="s">
        <v>1440</v>
      </c>
      <c r="L252" t="s">
        <v>1439</v>
      </c>
      <c r="M252" t="s">
        <v>1440</v>
      </c>
      <c r="N252" t="s">
        <v>1440</v>
      </c>
      <c r="O252" t="s">
        <v>34</v>
      </c>
      <c r="Q252">
        <f t="shared" si="12"/>
        <v>1</v>
      </c>
      <c r="R252" t="e">
        <f t="shared" ca="1" si="13"/>
        <v>#NAME?</v>
      </c>
      <c r="S252">
        <f t="shared" si="14"/>
        <v>6</v>
      </c>
      <c r="T252" t="str">
        <f t="shared" si="15"/>
        <v>Ontevreden</v>
      </c>
    </row>
    <row r="253" spans="1:20" x14ac:dyDescent="0.3">
      <c r="A253" t="s">
        <v>2789</v>
      </c>
      <c r="B253" t="s">
        <v>2046</v>
      </c>
      <c r="C253" t="s">
        <v>2790</v>
      </c>
      <c r="D253" t="s">
        <v>2791</v>
      </c>
      <c r="E253" t="s">
        <v>2792</v>
      </c>
      <c r="F253" t="s">
        <v>2793</v>
      </c>
      <c r="G253">
        <v>72.37</v>
      </c>
      <c r="H253">
        <v>2</v>
      </c>
      <c r="I253" t="s">
        <v>29</v>
      </c>
      <c r="J253" t="s">
        <v>1439</v>
      </c>
      <c r="K253" t="s">
        <v>1440</v>
      </c>
      <c r="L253" t="s">
        <v>1440</v>
      </c>
      <c r="M253" t="s">
        <v>1440</v>
      </c>
      <c r="N253" t="s">
        <v>1440</v>
      </c>
      <c r="O253" t="s">
        <v>23</v>
      </c>
      <c r="Q253">
        <f t="shared" si="12"/>
        <v>1</v>
      </c>
      <c r="R253" t="e">
        <f t="shared" ca="1" si="13"/>
        <v>#NAME?</v>
      </c>
      <c r="S253">
        <f t="shared" si="14"/>
        <v>8</v>
      </c>
      <c r="T253" t="str">
        <f t="shared" si="15"/>
        <v>Tevreden</v>
      </c>
    </row>
    <row r="254" spans="1:20" x14ac:dyDescent="0.3">
      <c r="A254" t="s">
        <v>2794</v>
      </c>
      <c r="B254" t="s">
        <v>2795</v>
      </c>
      <c r="C254" t="s">
        <v>2796</v>
      </c>
      <c r="D254" t="s">
        <v>2797</v>
      </c>
      <c r="E254" t="s">
        <v>2798</v>
      </c>
      <c r="F254" t="s">
        <v>2799</v>
      </c>
      <c r="G254">
        <v>97.67</v>
      </c>
      <c r="H254">
        <v>12</v>
      </c>
      <c r="I254" t="s">
        <v>29</v>
      </c>
      <c r="J254" t="s">
        <v>1440</v>
      </c>
      <c r="K254" t="s">
        <v>1440</v>
      </c>
      <c r="L254" t="s">
        <v>1440</v>
      </c>
      <c r="M254" t="s">
        <v>1439</v>
      </c>
      <c r="N254" t="s">
        <v>1440</v>
      </c>
      <c r="O254" t="s">
        <v>34</v>
      </c>
      <c r="Q254">
        <f t="shared" si="12"/>
        <v>1</v>
      </c>
      <c r="R254" t="e">
        <f t="shared" ca="1" si="13"/>
        <v>#NAME?</v>
      </c>
      <c r="S254">
        <f t="shared" si="14"/>
        <v>6</v>
      </c>
      <c r="T254" t="str">
        <f t="shared" si="15"/>
        <v>Ontevreden</v>
      </c>
    </row>
    <row r="255" spans="1:20" x14ac:dyDescent="0.3">
      <c r="A255" t="s">
        <v>2531</v>
      </c>
      <c r="B255" t="s">
        <v>2800</v>
      </c>
      <c r="C255" t="s">
        <v>2801</v>
      </c>
      <c r="D255" t="s">
        <v>2802</v>
      </c>
      <c r="E255" t="s">
        <v>2803</v>
      </c>
      <c r="F255" t="s">
        <v>2804</v>
      </c>
      <c r="G255">
        <v>31.51</v>
      </c>
      <c r="H255">
        <v>9</v>
      </c>
      <c r="I255" t="s">
        <v>29</v>
      </c>
      <c r="J255" t="s">
        <v>1440</v>
      </c>
      <c r="K255" t="s">
        <v>1440</v>
      </c>
      <c r="L255" t="s">
        <v>1439</v>
      </c>
      <c r="M255" t="s">
        <v>1440</v>
      </c>
      <c r="N255" t="s">
        <v>1440</v>
      </c>
      <c r="O255" t="s">
        <v>23</v>
      </c>
      <c r="Q255">
        <f t="shared" si="12"/>
        <v>1</v>
      </c>
      <c r="R255" t="e">
        <f t="shared" ca="1" si="13"/>
        <v>#NAME?</v>
      </c>
      <c r="S255">
        <f t="shared" si="14"/>
        <v>6</v>
      </c>
      <c r="T255" t="str">
        <f t="shared" si="15"/>
        <v>Ontevreden</v>
      </c>
    </row>
    <row r="256" spans="1:20" x14ac:dyDescent="0.3">
      <c r="A256" t="s">
        <v>2805</v>
      </c>
      <c r="B256" t="s">
        <v>2806</v>
      </c>
      <c r="C256" t="s">
        <v>2807</v>
      </c>
      <c r="D256" t="s">
        <v>2808</v>
      </c>
      <c r="E256" t="s">
        <v>2809</v>
      </c>
      <c r="F256" t="s">
        <v>2810</v>
      </c>
      <c r="G256">
        <v>96.09</v>
      </c>
      <c r="H256">
        <v>9</v>
      </c>
      <c r="I256" t="s">
        <v>22</v>
      </c>
      <c r="J256" t="s">
        <v>1440</v>
      </c>
      <c r="K256" t="s">
        <v>1440</v>
      </c>
      <c r="L256" t="s">
        <v>1440</v>
      </c>
      <c r="M256" t="s">
        <v>1440</v>
      </c>
      <c r="N256" t="s">
        <v>1440</v>
      </c>
      <c r="O256" t="s">
        <v>23</v>
      </c>
      <c r="Q256">
        <f t="shared" si="12"/>
        <v>1</v>
      </c>
      <c r="R256" t="e">
        <f t="shared" ca="1" si="13"/>
        <v>#NAME?</v>
      </c>
      <c r="S256">
        <f t="shared" si="14"/>
        <v>8</v>
      </c>
      <c r="T256" t="str">
        <f t="shared" si="15"/>
        <v>Tevreden</v>
      </c>
    </row>
    <row r="257" spans="1:20" x14ac:dyDescent="0.3">
      <c r="A257" t="s">
        <v>2811</v>
      </c>
      <c r="B257" t="s">
        <v>2525</v>
      </c>
      <c r="C257" t="s">
        <v>2812</v>
      </c>
      <c r="D257" t="s">
        <v>2813</v>
      </c>
      <c r="E257" t="s">
        <v>2814</v>
      </c>
      <c r="F257" t="s">
        <v>2815</v>
      </c>
      <c r="G257">
        <v>89.56</v>
      </c>
      <c r="H257">
        <v>4</v>
      </c>
      <c r="I257" t="s">
        <v>22</v>
      </c>
      <c r="J257" t="s">
        <v>1440</v>
      </c>
      <c r="K257" t="s">
        <v>1440</v>
      </c>
      <c r="L257" t="s">
        <v>1440</v>
      </c>
      <c r="M257" t="s">
        <v>1440</v>
      </c>
      <c r="N257" t="s">
        <v>1440</v>
      </c>
      <c r="O257" t="s">
        <v>23</v>
      </c>
      <c r="Q257">
        <f t="shared" si="12"/>
        <v>1</v>
      </c>
      <c r="R257" t="e">
        <f t="shared" ca="1" si="13"/>
        <v>#NAME?</v>
      </c>
      <c r="S257">
        <f t="shared" si="14"/>
        <v>8</v>
      </c>
      <c r="T257" t="str">
        <f t="shared" si="15"/>
        <v>Tevreden</v>
      </c>
    </row>
    <row r="258" spans="1:20" x14ac:dyDescent="0.3">
      <c r="A258" t="s">
        <v>2816</v>
      </c>
      <c r="B258" t="s">
        <v>2235</v>
      </c>
      <c r="C258" t="s">
        <v>2817</v>
      </c>
      <c r="D258" t="s">
        <v>2818</v>
      </c>
      <c r="E258" t="s">
        <v>2819</v>
      </c>
      <c r="F258" t="s">
        <v>2820</v>
      </c>
      <c r="G258">
        <v>179.86</v>
      </c>
      <c r="H258">
        <v>17</v>
      </c>
      <c r="I258" t="s">
        <v>29</v>
      </c>
      <c r="J258" t="s">
        <v>1439</v>
      </c>
      <c r="K258" t="s">
        <v>1440</v>
      </c>
      <c r="L258" t="s">
        <v>1439</v>
      </c>
      <c r="M258" t="s">
        <v>1440</v>
      </c>
      <c r="N258" t="s">
        <v>1440</v>
      </c>
      <c r="O258" t="s">
        <v>23</v>
      </c>
      <c r="Q258">
        <f t="shared" ref="Q258:Q321" si="16">LEN(G258)-LEN(SUBSTITUTE(G258,",",""))+1</f>
        <v>1</v>
      </c>
      <c r="R258" t="e">
        <f t="shared" ref="R258:R321" ca="1" si="17">SWITCH(I258, "Zelden", 1, "Af en toe", 4, "Regelmatig", 8, "Vaak", 12)</f>
        <v>#NAME?</v>
      </c>
      <c r="S258">
        <f t="shared" ref="S258:S321" si="18">AVERAGE(--(K258="ja"), --(L258="ja"), --(M258="ja"), --(N258="ja"), --(O258="ja"))*10</f>
        <v>6</v>
      </c>
      <c r="T258" t="str">
        <f t="shared" ref="T258:T321" si="19">IF(S258&gt;=7, "Tevreden", "Ontevreden")</f>
        <v>Ontevreden</v>
      </c>
    </row>
    <row r="259" spans="1:20" x14ac:dyDescent="0.3">
      <c r="A259" t="s">
        <v>2821</v>
      </c>
      <c r="B259" t="s">
        <v>1532</v>
      </c>
      <c r="C259" t="s">
        <v>2822</v>
      </c>
      <c r="D259" t="s">
        <v>2823</v>
      </c>
      <c r="E259" t="s">
        <v>2824</v>
      </c>
      <c r="F259" t="s">
        <v>2821</v>
      </c>
      <c r="G259">
        <v>39.51</v>
      </c>
      <c r="H259">
        <v>7</v>
      </c>
      <c r="I259" t="s">
        <v>22</v>
      </c>
      <c r="J259" t="s">
        <v>1440</v>
      </c>
      <c r="K259" t="s">
        <v>1440</v>
      </c>
      <c r="L259" t="s">
        <v>1440</v>
      </c>
      <c r="M259" t="s">
        <v>1440</v>
      </c>
      <c r="N259" t="s">
        <v>1440</v>
      </c>
      <c r="O259" t="s">
        <v>34</v>
      </c>
      <c r="Q259">
        <f t="shared" si="16"/>
        <v>1</v>
      </c>
      <c r="R259" t="e">
        <f t="shared" ca="1" si="17"/>
        <v>#NAME?</v>
      </c>
      <c r="S259">
        <f t="shared" si="18"/>
        <v>8</v>
      </c>
      <c r="T259" t="str">
        <f t="shared" si="19"/>
        <v>Tevreden</v>
      </c>
    </row>
    <row r="260" spans="1:20" x14ac:dyDescent="0.3">
      <c r="A260" t="s">
        <v>2056</v>
      </c>
      <c r="B260" t="s">
        <v>1951</v>
      </c>
      <c r="C260" t="s">
        <v>2825</v>
      </c>
      <c r="D260" t="s">
        <v>2065</v>
      </c>
      <c r="E260" t="s">
        <v>2826</v>
      </c>
      <c r="F260" t="s">
        <v>2827</v>
      </c>
      <c r="G260">
        <v>79.930000000000007</v>
      </c>
      <c r="H260">
        <v>9</v>
      </c>
      <c r="I260" t="s">
        <v>22</v>
      </c>
      <c r="J260" t="s">
        <v>1440</v>
      </c>
      <c r="K260" t="s">
        <v>1440</v>
      </c>
      <c r="L260" t="s">
        <v>1439</v>
      </c>
      <c r="M260" t="s">
        <v>1439</v>
      </c>
      <c r="N260" t="s">
        <v>1439</v>
      </c>
      <c r="O260" t="s">
        <v>23</v>
      </c>
      <c r="Q260">
        <f t="shared" si="16"/>
        <v>1</v>
      </c>
      <c r="R260" t="e">
        <f t="shared" ca="1" si="17"/>
        <v>#NAME?</v>
      </c>
      <c r="S260">
        <f t="shared" si="18"/>
        <v>2</v>
      </c>
      <c r="T260" t="str">
        <f t="shared" si="19"/>
        <v>Ontevreden</v>
      </c>
    </row>
    <row r="261" spans="1:20" x14ac:dyDescent="0.3">
      <c r="A261" t="s">
        <v>2090</v>
      </c>
      <c r="B261" t="s">
        <v>1769</v>
      </c>
      <c r="C261" t="s">
        <v>2828</v>
      </c>
      <c r="D261" t="s">
        <v>2829</v>
      </c>
      <c r="E261" t="s">
        <v>2830</v>
      </c>
      <c r="F261" t="s">
        <v>2831</v>
      </c>
      <c r="G261">
        <v>118.63</v>
      </c>
      <c r="H261">
        <v>13</v>
      </c>
      <c r="I261" t="s">
        <v>22</v>
      </c>
      <c r="J261" t="s">
        <v>1440</v>
      </c>
      <c r="K261" t="s">
        <v>1440</v>
      </c>
      <c r="L261" t="s">
        <v>1440</v>
      </c>
      <c r="M261" t="s">
        <v>1440</v>
      </c>
      <c r="N261" t="s">
        <v>1440</v>
      </c>
      <c r="O261" t="s">
        <v>34</v>
      </c>
      <c r="Q261">
        <f t="shared" si="16"/>
        <v>1</v>
      </c>
      <c r="R261" t="e">
        <f t="shared" ca="1" si="17"/>
        <v>#NAME?</v>
      </c>
      <c r="S261">
        <f t="shared" si="18"/>
        <v>8</v>
      </c>
      <c r="T261" t="str">
        <f t="shared" si="19"/>
        <v>Tevreden</v>
      </c>
    </row>
    <row r="262" spans="1:20" x14ac:dyDescent="0.3">
      <c r="A262" t="s">
        <v>2832</v>
      </c>
      <c r="B262" t="s">
        <v>1690</v>
      </c>
      <c r="C262" t="s">
        <v>2833</v>
      </c>
      <c r="D262" t="s">
        <v>2834</v>
      </c>
      <c r="E262" t="s">
        <v>2835</v>
      </c>
      <c r="F262" t="s">
        <v>2836</v>
      </c>
      <c r="G262">
        <v>137.13</v>
      </c>
      <c r="H262">
        <v>17</v>
      </c>
      <c r="I262" t="s">
        <v>29</v>
      </c>
      <c r="J262" t="s">
        <v>1440</v>
      </c>
      <c r="K262" t="s">
        <v>1440</v>
      </c>
      <c r="L262" t="s">
        <v>1440</v>
      </c>
      <c r="M262" t="s">
        <v>1440</v>
      </c>
      <c r="N262" t="s">
        <v>1440</v>
      </c>
      <c r="O262" t="s">
        <v>34</v>
      </c>
      <c r="Q262">
        <f t="shared" si="16"/>
        <v>1</v>
      </c>
      <c r="R262" t="e">
        <f t="shared" ca="1" si="17"/>
        <v>#NAME?</v>
      </c>
      <c r="S262">
        <f t="shared" si="18"/>
        <v>8</v>
      </c>
      <c r="T262" t="str">
        <f t="shared" si="19"/>
        <v>Tevreden</v>
      </c>
    </row>
    <row r="263" spans="1:20" x14ac:dyDescent="0.3">
      <c r="A263" t="s">
        <v>2837</v>
      </c>
      <c r="B263" t="s">
        <v>2110</v>
      </c>
      <c r="C263" t="s">
        <v>2838</v>
      </c>
      <c r="D263" t="s">
        <v>2839</v>
      </c>
      <c r="E263" t="s">
        <v>2840</v>
      </c>
      <c r="F263" t="s">
        <v>2841</v>
      </c>
      <c r="G263">
        <v>229.5</v>
      </c>
      <c r="H263">
        <v>8</v>
      </c>
      <c r="I263" t="s">
        <v>29</v>
      </c>
      <c r="J263" t="s">
        <v>1440</v>
      </c>
      <c r="K263" t="s">
        <v>1440</v>
      </c>
      <c r="L263" t="s">
        <v>1440</v>
      </c>
      <c r="M263" t="s">
        <v>1440</v>
      </c>
      <c r="N263" t="s">
        <v>1439</v>
      </c>
      <c r="O263" t="s">
        <v>23</v>
      </c>
      <c r="Q263">
        <f t="shared" si="16"/>
        <v>1</v>
      </c>
      <c r="R263" t="e">
        <f t="shared" ca="1" si="17"/>
        <v>#NAME?</v>
      </c>
      <c r="S263">
        <f t="shared" si="18"/>
        <v>6</v>
      </c>
      <c r="T263" t="str">
        <f t="shared" si="19"/>
        <v>Ontevreden</v>
      </c>
    </row>
    <row r="264" spans="1:20" x14ac:dyDescent="0.3">
      <c r="A264" t="s">
        <v>2240</v>
      </c>
      <c r="B264" t="s">
        <v>2842</v>
      </c>
      <c r="C264" t="s">
        <v>2843</v>
      </c>
      <c r="D264" t="s">
        <v>2844</v>
      </c>
      <c r="E264" t="s">
        <v>2845</v>
      </c>
      <c r="F264" t="s">
        <v>2846</v>
      </c>
      <c r="G264">
        <v>183.68</v>
      </c>
      <c r="H264">
        <v>13</v>
      </c>
      <c r="I264" t="s">
        <v>57</v>
      </c>
      <c r="J264" t="s">
        <v>1440</v>
      </c>
      <c r="K264" t="s">
        <v>1440</v>
      </c>
      <c r="L264" t="s">
        <v>1439</v>
      </c>
      <c r="M264" t="s">
        <v>1440</v>
      </c>
      <c r="N264" t="s">
        <v>1439</v>
      </c>
      <c r="O264" t="s">
        <v>23</v>
      </c>
      <c r="Q264">
        <f t="shared" si="16"/>
        <v>1</v>
      </c>
      <c r="R264" t="e">
        <f t="shared" ca="1" si="17"/>
        <v>#NAME?</v>
      </c>
      <c r="S264">
        <f t="shared" si="18"/>
        <v>4</v>
      </c>
      <c r="T264" t="str">
        <f t="shared" si="19"/>
        <v>Ontevreden</v>
      </c>
    </row>
    <row r="265" spans="1:20" x14ac:dyDescent="0.3">
      <c r="A265" t="s">
        <v>2847</v>
      </c>
      <c r="B265" t="s">
        <v>1951</v>
      </c>
      <c r="C265" t="s">
        <v>2848</v>
      </c>
      <c r="D265" t="s">
        <v>2849</v>
      </c>
      <c r="E265" t="s">
        <v>2850</v>
      </c>
      <c r="F265" t="s">
        <v>2851</v>
      </c>
      <c r="G265">
        <v>143.66</v>
      </c>
      <c r="H265">
        <v>11</v>
      </c>
      <c r="I265" t="s">
        <v>29</v>
      </c>
      <c r="J265" t="s">
        <v>1440</v>
      </c>
      <c r="K265" t="s">
        <v>1440</v>
      </c>
      <c r="L265" t="s">
        <v>1440</v>
      </c>
      <c r="M265" t="s">
        <v>1440</v>
      </c>
      <c r="N265" t="s">
        <v>1440</v>
      </c>
      <c r="O265" t="s">
        <v>23</v>
      </c>
      <c r="Q265">
        <f t="shared" si="16"/>
        <v>1</v>
      </c>
      <c r="R265" t="e">
        <f t="shared" ca="1" si="17"/>
        <v>#NAME?</v>
      </c>
      <c r="S265">
        <f t="shared" si="18"/>
        <v>8</v>
      </c>
      <c r="T265" t="str">
        <f t="shared" si="19"/>
        <v>Tevreden</v>
      </c>
    </row>
    <row r="266" spans="1:20" x14ac:dyDescent="0.3">
      <c r="A266" t="s">
        <v>2852</v>
      </c>
      <c r="B266" t="s">
        <v>2853</v>
      </c>
      <c r="C266" t="s">
        <v>2854</v>
      </c>
      <c r="D266" t="s">
        <v>2855</v>
      </c>
      <c r="E266" t="s">
        <v>2856</v>
      </c>
      <c r="F266" t="s">
        <v>2857</v>
      </c>
      <c r="G266">
        <v>105.84</v>
      </c>
      <c r="H266">
        <v>9</v>
      </c>
      <c r="I266" t="s">
        <v>29</v>
      </c>
      <c r="J266" t="s">
        <v>1440</v>
      </c>
      <c r="K266" t="s">
        <v>1440</v>
      </c>
      <c r="L266" t="s">
        <v>1440</v>
      </c>
      <c r="M266" t="s">
        <v>1440</v>
      </c>
      <c r="N266" t="s">
        <v>1440</v>
      </c>
      <c r="O266" t="s">
        <v>34</v>
      </c>
      <c r="Q266">
        <f t="shared" si="16"/>
        <v>1</v>
      </c>
      <c r="R266" t="e">
        <f t="shared" ca="1" si="17"/>
        <v>#NAME?</v>
      </c>
      <c r="S266">
        <f t="shared" si="18"/>
        <v>8</v>
      </c>
      <c r="T266" t="str">
        <f t="shared" si="19"/>
        <v>Tevreden</v>
      </c>
    </row>
    <row r="267" spans="1:20" x14ac:dyDescent="0.3">
      <c r="A267" t="s">
        <v>2858</v>
      </c>
      <c r="B267" t="s">
        <v>2200</v>
      </c>
      <c r="C267" t="s">
        <v>2859</v>
      </c>
      <c r="D267" t="s">
        <v>2860</v>
      </c>
      <c r="E267" t="s">
        <v>2861</v>
      </c>
      <c r="F267" t="s">
        <v>2862</v>
      </c>
      <c r="G267">
        <v>135.31</v>
      </c>
      <c r="H267">
        <v>18</v>
      </c>
      <c r="I267" t="s">
        <v>29</v>
      </c>
      <c r="J267" t="s">
        <v>1440</v>
      </c>
      <c r="K267" t="s">
        <v>1440</v>
      </c>
      <c r="L267" t="s">
        <v>1440</v>
      </c>
      <c r="M267" t="s">
        <v>1440</v>
      </c>
      <c r="N267" t="s">
        <v>1440</v>
      </c>
      <c r="O267" t="s">
        <v>23</v>
      </c>
      <c r="Q267">
        <f t="shared" si="16"/>
        <v>1</v>
      </c>
      <c r="R267" t="e">
        <f t="shared" ca="1" si="17"/>
        <v>#NAME?</v>
      </c>
      <c r="S267">
        <f t="shared" si="18"/>
        <v>8</v>
      </c>
      <c r="T267" t="str">
        <f t="shared" si="19"/>
        <v>Tevreden</v>
      </c>
    </row>
    <row r="268" spans="1:20" x14ac:dyDescent="0.3">
      <c r="A268" t="s">
        <v>2863</v>
      </c>
      <c r="B268" t="s">
        <v>1987</v>
      </c>
      <c r="C268" t="s">
        <v>2864</v>
      </c>
      <c r="D268" t="s">
        <v>2865</v>
      </c>
      <c r="E268" t="s">
        <v>2866</v>
      </c>
      <c r="F268" t="s">
        <v>2867</v>
      </c>
      <c r="G268">
        <v>63.63</v>
      </c>
      <c r="H268">
        <v>6</v>
      </c>
      <c r="I268" t="s">
        <v>22</v>
      </c>
      <c r="J268" t="s">
        <v>1439</v>
      </c>
      <c r="K268" t="s">
        <v>1439</v>
      </c>
      <c r="L268" t="s">
        <v>1439</v>
      </c>
      <c r="M268" t="s">
        <v>1439</v>
      </c>
      <c r="N268" t="s">
        <v>1440</v>
      </c>
      <c r="O268" t="s">
        <v>78</v>
      </c>
      <c r="Q268">
        <f t="shared" si="16"/>
        <v>1</v>
      </c>
      <c r="R268" t="e">
        <f t="shared" ca="1" si="17"/>
        <v>#NAME?</v>
      </c>
      <c r="S268">
        <f t="shared" si="18"/>
        <v>2</v>
      </c>
      <c r="T268" t="str">
        <f t="shared" si="19"/>
        <v>Ontevreden</v>
      </c>
    </row>
    <row r="269" spans="1:20" x14ac:dyDescent="0.3">
      <c r="A269" t="s">
        <v>2868</v>
      </c>
      <c r="B269" t="s">
        <v>1460</v>
      </c>
      <c r="C269" t="s">
        <v>2869</v>
      </c>
      <c r="D269" t="s">
        <v>2870</v>
      </c>
      <c r="E269" t="s">
        <v>2871</v>
      </c>
      <c r="F269" t="s">
        <v>2868</v>
      </c>
      <c r="G269">
        <v>45.88</v>
      </c>
      <c r="H269">
        <v>6</v>
      </c>
      <c r="I269" t="s">
        <v>22</v>
      </c>
      <c r="J269" t="s">
        <v>1440</v>
      </c>
      <c r="K269" t="s">
        <v>1440</v>
      </c>
      <c r="L269" t="s">
        <v>1440</v>
      </c>
      <c r="M269" t="s">
        <v>1439</v>
      </c>
      <c r="N269" t="s">
        <v>1440</v>
      </c>
      <c r="O269" t="s">
        <v>23</v>
      </c>
      <c r="Q269">
        <f t="shared" si="16"/>
        <v>1</v>
      </c>
      <c r="R269" t="e">
        <f t="shared" ca="1" si="17"/>
        <v>#NAME?</v>
      </c>
      <c r="S269">
        <f t="shared" si="18"/>
        <v>6</v>
      </c>
      <c r="T269" t="str">
        <f t="shared" si="19"/>
        <v>Ontevreden</v>
      </c>
    </row>
    <row r="270" spans="1:20" x14ac:dyDescent="0.3">
      <c r="A270" t="s">
        <v>2872</v>
      </c>
      <c r="B270" t="s">
        <v>2873</v>
      </c>
      <c r="C270" t="s">
        <v>2874</v>
      </c>
      <c r="D270" t="s">
        <v>2875</v>
      </c>
      <c r="E270" t="s">
        <v>2876</v>
      </c>
      <c r="F270" t="s">
        <v>2877</v>
      </c>
      <c r="G270">
        <v>79.61</v>
      </c>
      <c r="H270">
        <v>10</v>
      </c>
      <c r="I270" t="s">
        <v>57</v>
      </c>
      <c r="J270" t="s">
        <v>1439</v>
      </c>
      <c r="K270" t="s">
        <v>1439</v>
      </c>
      <c r="L270" t="s">
        <v>1440</v>
      </c>
      <c r="M270" t="s">
        <v>1440</v>
      </c>
      <c r="N270" t="s">
        <v>1440</v>
      </c>
      <c r="O270" t="s">
        <v>23</v>
      </c>
      <c r="Q270">
        <f t="shared" si="16"/>
        <v>1</v>
      </c>
      <c r="R270" t="e">
        <f t="shared" ca="1" si="17"/>
        <v>#NAME?</v>
      </c>
      <c r="S270">
        <f t="shared" si="18"/>
        <v>6</v>
      </c>
      <c r="T270" t="str">
        <f t="shared" si="19"/>
        <v>Ontevreden</v>
      </c>
    </row>
    <row r="271" spans="1:20" x14ac:dyDescent="0.3">
      <c r="A271" t="s">
        <v>2878</v>
      </c>
      <c r="B271" t="s">
        <v>2879</v>
      </c>
      <c r="C271" t="s">
        <v>2880</v>
      </c>
      <c r="D271" t="s">
        <v>2881</v>
      </c>
      <c r="E271" t="s">
        <v>2882</v>
      </c>
      <c r="F271" t="s">
        <v>2883</v>
      </c>
      <c r="G271">
        <v>106.91</v>
      </c>
      <c r="H271">
        <v>9</v>
      </c>
      <c r="I271" t="s">
        <v>57</v>
      </c>
      <c r="J271" t="s">
        <v>1439</v>
      </c>
      <c r="K271" t="s">
        <v>1439</v>
      </c>
      <c r="L271" t="s">
        <v>1440</v>
      </c>
      <c r="M271" t="s">
        <v>1440</v>
      </c>
      <c r="N271" t="s">
        <v>1440</v>
      </c>
      <c r="O271" t="s">
        <v>23</v>
      </c>
      <c r="Q271">
        <f t="shared" si="16"/>
        <v>1</v>
      </c>
      <c r="R271" t="e">
        <f t="shared" ca="1" si="17"/>
        <v>#NAME?</v>
      </c>
      <c r="S271">
        <f t="shared" si="18"/>
        <v>6</v>
      </c>
      <c r="T271" t="str">
        <f t="shared" si="19"/>
        <v>Ontevreden</v>
      </c>
    </row>
    <row r="272" spans="1:20" x14ac:dyDescent="0.3">
      <c r="A272" t="s">
        <v>2884</v>
      </c>
      <c r="B272" t="s">
        <v>2137</v>
      </c>
      <c r="C272" t="s">
        <v>2885</v>
      </c>
      <c r="D272" t="s">
        <v>2886</v>
      </c>
      <c r="E272" t="s">
        <v>2887</v>
      </c>
      <c r="F272" t="s">
        <v>2888</v>
      </c>
      <c r="G272">
        <v>94.64</v>
      </c>
      <c r="H272">
        <v>14</v>
      </c>
      <c r="I272" t="s">
        <v>22</v>
      </c>
      <c r="J272" t="s">
        <v>1439</v>
      </c>
      <c r="K272" t="s">
        <v>1440</v>
      </c>
      <c r="L272" t="s">
        <v>1440</v>
      </c>
      <c r="M272" t="s">
        <v>1440</v>
      </c>
      <c r="N272" t="s">
        <v>1440</v>
      </c>
      <c r="O272" t="s">
        <v>23</v>
      </c>
      <c r="Q272">
        <f t="shared" si="16"/>
        <v>1</v>
      </c>
      <c r="R272" t="e">
        <f t="shared" ca="1" si="17"/>
        <v>#NAME?</v>
      </c>
      <c r="S272">
        <f t="shared" si="18"/>
        <v>8</v>
      </c>
      <c r="T272" t="str">
        <f t="shared" si="19"/>
        <v>Tevreden</v>
      </c>
    </row>
    <row r="273" spans="1:20" x14ac:dyDescent="0.3">
      <c r="A273" t="s">
        <v>2889</v>
      </c>
      <c r="B273" t="s">
        <v>2173</v>
      </c>
      <c r="C273" t="s">
        <v>2890</v>
      </c>
      <c r="D273" t="s">
        <v>2891</v>
      </c>
      <c r="E273" t="s">
        <v>2892</v>
      </c>
      <c r="F273" t="s">
        <v>2889</v>
      </c>
      <c r="G273">
        <v>18.66</v>
      </c>
      <c r="H273">
        <v>19</v>
      </c>
      <c r="I273" t="s">
        <v>57</v>
      </c>
      <c r="J273" t="s">
        <v>1439</v>
      </c>
      <c r="K273" t="s">
        <v>1440</v>
      </c>
      <c r="L273" t="s">
        <v>1439</v>
      </c>
      <c r="M273" t="s">
        <v>1440</v>
      </c>
      <c r="N273" t="s">
        <v>1440</v>
      </c>
      <c r="O273" t="s">
        <v>23</v>
      </c>
      <c r="Q273">
        <f t="shared" si="16"/>
        <v>1</v>
      </c>
      <c r="R273" t="e">
        <f t="shared" ca="1" si="17"/>
        <v>#NAME?</v>
      </c>
      <c r="S273">
        <f t="shared" si="18"/>
        <v>6</v>
      </c>
      <c r="T273" t="str">
        <f t="shared" si="19"/>
        <v>Ontevreden</v>
      </c>
    </row>
    <row r="274" spans="1:20" x14ac:dyDescent="0.3">
      <c r="A274" t="s">
        <v>2893</v>
      </c>
      <c r="B274" t="s">
        <v>2894</v>
      </c>
      <c r="C274" t="s">
        <v>2895</v>
      </c>
      <c r="D274" t="s">
        <v>2896</v>
      </c>
      <c r="E274" t="s">
        <v>2897</v>
      </c>
      <c r="F274" t="s">
        <v>2898</v>
      </c>
      <c r="G274">
        <v>124.24</v>
      </c>
      <c r="H274">
        <v>8</v>
      </c>
      <c r="I274" t="s">
        <v>57</v>
      </c>
      <c r="J274" t="s">
        <v>1440</v>
      </c>
      <c r="K274" t="s">
        <v>1439</v>
      </c>
      <c r="L274" t="s">
        <v>1439</v>
      </c>
      <c r="M274" t="s">
        <v>1440</v>
      </c>
      <c r="N274" t="s">
        <v>1440</v>
      </c>
      <c r="O274" t="s">
        <v>23</v>
      </c>
      <c r="Q274">
        <f t="shared" si="16"/>
        <v>1</v>
      </c>
      <c r="R274" t="e">
        <f t="shared" ca="1" si="17"/>
        <v>#NAME?</v>
      </c>
      <c r="S274">
        <f t="shared" si="18"/>
        <v>4</v>
      </c>
      <c r="T274" t="str">
        <f t="shared" si="19"/>
        <v>Ontevreden</v>
      </c>
    </row>
    <row r="275" spans="1:20" x14ac:dyDescent="0.3">
      <c r="A275" t="s">
        <v>2899</v>
      </c>
      <c r="B275" t="s">
        <v>1532</v>
      </c>
      <c r="C275" t="s">
        <v>2900</v>
      </c>
      <c r="D275" t="s">
        <v>2901</v>
      </c>
      <c r="E275" t="s">
        <v>2902</v>
      </c>
      <c r="F275" t="s">
        <v>2903</v>
      </c>
      <c r="G275">
        <v>141.83000000000001</v>
      </c>
      <c r="H275">
        <v>14</v>
      </c>
      <c r="I275" t="s">
        <v>22</v>
      </c>
      <c r="J275" t="s">
        <v>1440</v>
      </c>
      <c r="K275" t="s">
        <v>1440</v>
      </c>
      <c r="L275" t="s">
        <v>1439</v>
      </c>
      <c r="M275" t="s">
        <v>1440</v>
      </c>
      <c r="N275" t="s">
        <v>1440</v>
      </c>
      <c r="O275" t="s">
        <v>23</v>
      </c>
      <c r="Q275">
        <f t="shared" si="16"/>
        <v>1</v>
      </c>
      <c r="R275" t="e">
        <f t="shared" ca="1" si="17"/>
        <v>#NAME?</v>
      </c>
      <c r="S275">
        <f t="shared" si="18"/>
        <v>6</v>
      </c>
      <c r="T275" t="str">
        <f t="shared" si="19"/>
        <v>Ontevreden</v>
      </c>
    </row>
    <row r="276" spans="1:20" x14ac:dyDescent="0.3">
      <c r="A276" t="s">
        <v>2904</v>
      </c>
      <c r="B276" t="s">
        <v>2905</v>
      </c>
      <c r="C276" t="s">
        <v>2906</v>
      </c>
      <c r="D276" t="s">
        <v>2907</v>
      </c>
      <c r="E276" t="s">
        <v>2908</v>
      </c>
      <c r="F276" t="s">
        <v>2909</v>
      </c>
      <c r="G276">
        <v>52.46</v>
      </c>
      <c r="H276">
        <v>3</v>
      </c>
      <c r="I276" t="s">
        <v>57</v>
      </c>
      <c r="J276" t="s">
        <v>1439</v>
      </c>
      <c r="K276" t="s">
        <v>1439</v>
      </c>
      <c r="L276" t="s">
        <v>1439</v>
      </c>
      <c r="M276" t="s">
        <v>1440</v>
      </c>
      <c r="N276" t="s">
        <v>1440</v>
      </c>
      <c r="O276" t="s">
        <v>23</v>
      </c>
      <c r="Q276">
        <f t="shared" si="16"/>
        <v>1</v>
      </c>
      <c r="R276" t="e">
        <f t="shared" ca="1" si="17"/>
        <v>#NAME?</v>
      </c>
      <c r="S276">
        <f t="shared" si="18"/>
        <v>4</v>
      </c>
      <c r="T276" t="str">
        <f t="shared" si="19"/>
        <v>Ontevreden</v>
      </c>
    </row>
    <row r="277" spans="1:20" x14ac:dyDescent="0.3">
      <c r="A277" t="s">
        <v>2910</v>
      </c>
      <c r="B277" t="s">
        <v>2911</v>
      </c>
      <c r="C277" t="s">
        <v>2912</v>
      </c>
      <c r="D277" t="s">
        <v>2913</v>
      </c>
      <c r="E277" t="s">
        <v>2914</v>
      </c>
      <c r="F277" t="s">
        <v>2915</v>
      </c>
      <c r="G277">
        <v>50.52</v>
      </c>
      <c r="H277">
        <v>6</v>
      </c>
      <c r="I277" t="s">
        <v>57</v>
      </c>
      <c r="J277" t="s">
        <v>1440</v>
      </c>
      <c r="K277" t="s">
        <v>1439</v>
      </c>
      <c r="L277" t="s">
        <v>1440</v>
      </c>
      <c r="M277" t="s">
        <v>1440</v>
      </c>
      <c r="N277" t="s">
        <v>1440</v>
      </c>
      <c r="O277" t="s">
        <v>34</v>
      </c>
      <c r="Q277">
        <f t="shared" si="16"/>
        <v>1</v>
      </c>
      <c r="R277" t="e">
        <f t="shared" ca="1" si="17"/>
        <v>#NAME?</v>
      </c>
      <c r="S277">
        <f t="shared" si="18"/>
        <v>6</v>
      </c>
      <c r="T277" t="str">
        <f t="shared" si="19"/>
        <v>Ontevreden</v>
      </c>
    </row>
    <row r="278" spans="1:20" x14ac:dyDescent="0.3">
      <c r="A278" t="s">
        <v>2916</v>
      </c>
      <c r="B278" t="s">
        <v>1661</v>
      </c>
      <c r="C278" t="s">
        <v>2917</v>
      </c>
      <c r="D278" t="s">
        <v>2918</v>
      </c>
      <c r="E278" t="s">
        <v>2919</v>
      </c>
      <c r="F278" t="s">
        <v>2916</v>
      </c>
      <c r="G278">
        <v>87.83</v>
      </c>
      <c r="H278">
        <v>4</v>
      </c>
      <c r="I278" t="s">
        <v>22</v>
      </c>
      <c r="J278" t="s">
        <v>1440</v>
      </c>
      <c r="K278" t="s">
        <v>1439</v>
      </c>
      <c r="L278" t="s">
        <v>1440</v>
      </c>
      <c r="M278" t="s">
        <v>1440</v>
      </c>
      <c r="N278" t="s">
        <v>1439</v>
      </c>
      <c r="O278" t="s">
        <v>23</v>
      </c>
      <c r="Q278">
        <f t="shared" si="16"/>
        <v>1</v>
      </c>
      <c r="R278" t="e">
        <f t="shared" ca="1" si="17"/>
        <v>#NAME?</v>
      </c>
      <c r="S278">
        <f t="shared" si="18"/>
        <v>4</v>
      </c>
      <c r="T278" t="str">
        <f t="shared" si="19"/>
        <v>Ontevreden</v>
      </c>
    </row>
    <row r="279" spans="1:20" x14ac:dyDescent="0.3">
      <c r="A279" t="s">
        <v>2920</v>
      </c>
      <c r="B279" t="s">
        <v>1731</v>
      </c>
      <c r="C279" t="s">
        <v>2921</v>
      </c>
      <c r="D279" t="s">
        <v>2922</v>
      </c>
      <c r="E279" t="s">
        <v>2923</v>
      </c>
      <c r="F279" t="s">
        <v>2924</v>
      </c>
      <c r="G279">
        <v>82.58</v>
      </c>
      <c r="H279">
        <v>15</v>
      </c>
      <c r="I279" t="s">
        <v>102</v>
      </c>
      <c r="J279" t="s">
        <v>1440</v>
      </c>
      <c r="K279" t="s">
        <v>1440</v>
      </c>
      <c r="L279" t="s">
        <v>1439</v>
      </c>
      <c r="M279" t="s">
        <v>1440</v>
      </c>
      <c r="N279" t="s">
        <v>1439</v>
      </c>
      <c r="O279" t="s">
        <v>23</v>
      </c>
      <c r="Q279">
        <f t="shared" si="16"/>
        <v>1</v>
      </c>
      <c r="R279" t="e">
        <f t="shared" ca="1" si="17"/>
        <v>#NAME?</v>
      </c>
      <c r="S279">
        <f t="shared" si="18"/>
        <v>4</v>
      </c>
      <c r="T279" t="str">
        <f t="shared" si="19"/>
        <v>Ontevreden</v>
      </c>
    </row>
    <row r="280" spans="1:20" x14ac:dyDescent="0.3">
      <c r="A280" t="s">
        <v>2925</v>
      </c>
      <c r="B280" t="s">
        <v>1574</v>
      </c>
      <c r="C280" t="s">
        <v>2926</v>
      </c>
      <c r="D280" t="s">
        <v>2927</v>
      </c>
      <c r="E280" t="s">
        <v>2928</v>
      </c>
      <c r="F280" t="s">
        <v>2925</v>
      </c>
      <c r="G280">
        <v>46.22</v>
      </c>
      <c r="H280">
        <v>16</v>
      </c>
      <c r="I280" t="s">
        <v>29</v>
      </c>
      <c r="J280" t="s">
        <v>1440</v>
      </c>
      <c r="K280" t="s">
        <v>1440</v>
      </c>
      <c r="L280" t="s">
        <v>1439</v>
      </c>
      <c r="M280" t="s">
        <v>1440</v>
      </c>
      <c r="N280" t="s">
        <v>1440</v>
      </c>
      <c r="O280" t="s">
        <v>34</v>
      </c>
      <c r="Q280">
        <f t="shared" si="16"/>
        <v>1</v>
      </c>
      <c r="R280" t="e">
        <f t="shared" ca="1" si="17"/>
        <v>#NAME?</v>
      </c>
      <c r="S280">
        <f t="shared" si="18"/>
        <v>6</v>
      </c>
      <c r="T280" t="str">
        <f t="shared" si="19"/>
        <v>Ontevreden</v>
      </c>
    </row>
    <row r="281" spans="1:20" x14ac:dyDescent="0.3">
      <c r="A281" t="s">
        <v>1944</v>
      </c>
      <c r="B281" t="s">
        <v>2163</v>
      </c>
      <c r="C281" t="s">
        <v>2929</v>
      </c>
      <c r="D281" t="s">
        <v>2930</v>
      </c>
      <c r="E281" t="s">
        <v>2931</v>
      </c>
      <c r="F281" t="s">
        <v>2932</v>
      </c>
      <c r="G281">
        <v>185.61</v>
      </c>
      <c r="H281">
        <v>16</v>
      </c>
      <c r="I281" t="s">
        <v>57</v>
      </c>
      <c r="J281" t="s">
        <v>1440</v>
      </c>
      <c r="K281" t="s">
        <v>1440</v>
      </c>
      <c r="L281" t="s">
        <v>1440</v>
      </c>
      <c r="M281" t="s">
        <v>1439</v>
      </c>
      <c r="N281" t="s">
        <v>1440</v>
      </c>
      <c r="O281" t="s">
        <v>23</v>
      </c>
      <c r="Q281">
        <f t="shared" si="16"/>
        <v>1</v>
      </c>
      <c r="R281" t="e">
        <f t="shared" ca="1" si="17"/>
        <v>#NAME?</v>
      </c>
      <c r="S281">
        <f t="shared" si="18"/>
        <v>6</v>
      </c>
      <c r="T281" t="str">
        <f t="shared" si="19"/>
        <v>Ontevreden</v>
      </c>
    </row>
    <row r="282" spans="1:20" x14ac:dyDescent="0.3">
      <c r="A282" t="s">
        <v>2933</v>
      </c>
      <c r="B282" t="s">
        <v>2842</v>
      </c>
      <c r="C282" t="s">
        <v>2934</v>
      </c>
      <c r="D282" t="s">
        <v>2935</v>
      </c>
      <c r="E282" t="s">
        <v>2936</v>
      </c>
      <c r="F282" t="s">
        <v>2937</v>
      </c>
      <c r="G282">
        <v>168.65</v>
      </c>
      <c r="H282">
        <v>11</v>
      </c>
      <c r="I282" t="s">
        <v>29</v>
      </c>
      <c r="J282" t="s">
        <v>1439</v>
      </c>
      <c r="K282" t="s">
        <v>1440</v>
      </c>
      <c r="L282" t="s">
        <v>1440</v>
      </c>
      <c r="M282" t="s">
        <v>1440</v>
      </c>
      <c r="N282" t="s">
        <v>1439</v>
      </c>
      <c r="O282" t="s">
        <v>23</v>
      </c>
      <c r="Q282">
        <f t="shared" si="16"/>
        <v>1</v>
      </c>
      <c r="R282" t="e">
        <f t="shared" ca="1" si="17"/>
        <v>#NAME?</v>
      </c>
      <c r="S282">
        <f t="shared" si="18"/>
        <v>6</v>
      </c>
      <c r="T282" t="str">
        <f t="shared" si="19"/>
        <v>Ontevreden</v>
      </c>
    </row>
    <row r="283" spans="1:20" x14ac:dyDescent="0.3">
      <c r="A283" t="s">
        <v>2938</v>
      </c>
      <c r="B283" t="s">
        <v>2734</v>
      </c>
      <c r="C283" t="s">
        <v>2939</v>
      </c>
      <c r="D283" t="s">
        <v>2940</v>
      </c>
      <c r="E283" t="s">
        <v>2941</v>
      </c>
      <c r="F283" t="s">
        <v>2942</v>
      </c>
      <c r="G283">
        <v>164.37</v>
      </c>
      <c r="H283">
        <v>2</v>
      </c>
      <c r="I283" t="s">
        <v>57</v>
      </c>
      <c r="J283" t="s">
        <v>1439</v>
      </c>
      <c r="K283" t="s">
        <v>1440</v>
      </c>
      <c r="L283" t="s">
        <v>1440</v>
      </c>
      <c r="M283" t="s">
        <v>1440</v>
      </c>
      <c r="N283" t="s">
        <v>1440</v>
      </c>
      <c r="O283" t="s">
        <v>23</v>
      </c>
      <c r="Q283">
        <f t="shared" si="16"/>
        <v>1</v>
      </c>
      <c r="R283" t="e">
        <f t="shared" ca="1" si="17"/>
        <v>#NAME?</v>
      </c>
      <c r="S283">
        <f t="shared" si="18"/>
        <v>8</v>
      </c>
      <c r="T283" t="str">
        <f t="shared" si="19"/>
        <v>Tevreden</v>
      </c>
    </row>
    <row r="284" spans="1:20" x14ac:dyDescent="0.3">
      <c r="A284" t="s">
        <v>2943</v>
      </c>
      <c r="B284" t="s">
        <v>1655</v>
      </c>
      <c r="C284" t="s">
        <v>2944</v>
      </c>
      <c r="D284" t="s">
        <v>2945</v>
      </c>
      <c r="E284" t="s">
        <v>2946</v>
      </c>
      <c r="F284" t="s">
        <v>2947</v>
      </c>
      <c r="G284">
        <v>44.64</v>
      </c>
      <c r="H284">
        <v>8</v>
      </c>
      <c r="I284" t="s">
        <v>22</v>
      </c>
      <c r="J284" t="s">
        <v>1440</v>
      </c>
      <c r="K284" t="s">
        <v>1439</v>
      </c>
      <c r="L284" t="s">
        <v>1440</v>
      </c>
      <c r="M284" t="s">
        <v>1440</v>
      </c>
      <c r="N284" t="s">
        <v>1440</v>
      </c>
      <c r="O284" t="s">
        <v>23</v>
      </c>
      <c r="Q284">
        <f t="shared" si="16"/>
        <v>1</v>
      </c>
      <c r="R284" t="e">
        <f t="shared" ca="1" si="17"/>
        <v>#NAME?</v>
      </c>
      <c r="S284">
        <f t="shared" si="18"/>
        <v>6</v>
      </c>
      <c r="T284" t="str">
        <f t="shared" si="19"/>
        <v>Ontevreden</v>
      </c>
    </row>
    <row r="285" spans="1:20" x14ac:dyDescent="0.3">
      <c r="A285" t="s">
        <v>2948</v>
      </c>
      <c r="B285" t="s">
        <v>1707</v>
      </c>
      <c r="C285" t="s">
        <v>2949</v>
      </c>
      <c r="D285" t="s">
        <v>2950</v>
      </c>
      <c r="E285" t="s">
        <v>2951</v>
      </c>
      <c r="F285" t="s">
        <v>2952</v>
      </c>
      <c r="G285">
        <v>21.14</v>
      </c>
      <c r="H285">
        <v>17</v>
      </c>
      <c r="I285" t="s">
        <v>102</v>
      </c>
      <c r="J285" t="s">
        <v>1439</v>
      </c>
      <c r="K285" t="s">
        <v>1440</v>
      </c>
      <c r="L285" t="s">
        <v>1440</v>
      </c>
      <c r="M285" t="s">
        <v>1439</v>
      </c>
      <c r="N285" t="s">
        <v>1440</v>
      </c>
      <c r="O285" t="s">
        <v>23</v>
      </c>
      <c r="Q285">
        <f t="shared" si="16"/>
        <v>1</v>
      </c>
      <c r="R285" t="e">
        <f t="shared" ca="1" si="17"/>
        <v>#NAME?</v>
      </c>
      <c r="S285">
        <f t="shared" si="18"/>
        <v>6</v>
      </c>
      <c r="T285" t="str">
        <f t="shared" si="19"/>
        <v>Ontevreden</v>
      </c>
    </row>
    <row r="286" spans="1:20" x14ac:dyDescent="0.3">
      <c r="A286" t="s">
        <v>2943</v>
      </c>
      <c r="B286" t="s">
        <v>2734</v>
      </c>
      <c r="C286" t="s">
        <v>2953</v>
      </c>
      <c r="D286" t="s">
        <v>2954</v>
      </c>
      <c r="E286" t="s">
        <v>2955</v>
      </c>
      <c r="F286" t="s">
        <v>2956</v>
      </c>
      <c r="G286">
        <v>101.8</v>
      </c>
      <c r="H286">
        <v>22</v>
      </c>
      <c r="I286" t="s">
        <v>22</v>
      </c>
      <c r="J286" t="s">
        <v>1439</v>
      </c>
      <c r="K286" t="s">
        <v>1440</v>
      </c>
      <c r="L286" t="s">
        <v>1440</v>
      </c>
      <c r="M286" t="s">
        <v>1440</v>
      </c>
      <c r="N286" t="s">
        <v>1440</v>
      </c>
      <c r="O286" t="s">
        <v>23</v>
      </c>
      <c r="Q286">
        <f t="shared" si="16"/>
        <v>1</v>
      </c>
      <c r="R286" t="e">
        <f t="shared" ca="1" si="17"/>
        <v>#NAME?</v>
      </c>
      <c r="S286">
        <f t="shared" si="18"/>
        <v>8</v>
      </c>
      <c r="T286" t="str">
        <f t="shared" si="19"/>
        <v>Tevreden</v>
      </c>
    </row>
    <row r="287" spans="1:20" x14ac:dyDescent="0.3">
      <c r="A287" t="s">
        <v>2957</v>
      </c>
      <c r="B287" t="s">
        <v>2958</v>
      </c>
      <c r="C287" t="s">
        <v>2959</v>
      </c>
      <c r="D287" t="s">
        <v>2960</v>
      </c>
      <c r="E287" t="s">
        <v>2961</v>
      </c>
      <c r="F287" t="s">
        <v>2957</v>
      </c>
      <c r="G287">
        <v>105.2</v>
      </c>
      <c r="H287">
        <v>7</v>
      </c>
      <c r="I287" t="s">
        <v>57</v>
      </c>
      <c r="J287" t="s">
        <v>1440</v>
      </c>
      <c r="K287" t="s">
        <v>1440</v>
      </c>
      <c r="L287" t="s">
        <v>1440</v>
      </c>
      <c r="M287" t="s">
        <v>1440</v>
      </c>
      <c r="N287" t="s">
        <v>1439</v>
      </c>
      <c r="O287" t="s">
        <v>23</v>
      </c>
      <c r="Q287">
        <f t="shared" si="16"/>
        <v>1</v>
      </c>
      <c r="R287" t="e">
        <f t="shared" ca="1" si="17"/>
        <v>#NAME?</v>
      </c>
      <c r="S287">
        <f t="shared" si="18"/>
        <v>6</v>
      </c>
      <c r="T287" t="str">
        <f t="shared" si="19"/>
        <v>Ontevreden</v>
      </c>
    </row>
    <row r="288" spans="1:20" x14ac:dyDescent="0.3">
      <c r="A288" t="s">
        <v>1982</v>
      </c>
      <c r="B288" t="s">
        <v>2229</v>
      </c>
      <c r="C288" t="s">
        <v>2962</v>
      </c>
      <c r="D288" t="s">
        <v>2420</v>
      </c>
      <c r="E288" t="s">
        <v>2963</v>
      </c>
      <c r="F288" t="s">
        <v>2964</v>
      </c>
      <c r="G288">
        <v>86.53</v>
      </c>
      <c r="H288">
        <v>8</v>
      </c>
      <c r="I288" t="s">
        <v>29</v>
      </c>
      <c r="J288" t="s">
        <v>1440</v>
      </c>
      <c r="K288" t="s">
        <v>1440</v>
      </c>
      <c r="L288" t="s">
        <v>1440</v>
      </c>
      <c r="M288" t="s">
        <v>1440</v>
      </c>
      <c r="N288" t="s">
        <v>1440</v>
      </c>
      <c r="O288" t="s">
        <v>23</v>
      </c>
      <c r="Q288">
        <f t="shared" si="16"/>
        <v>1</v>
      </c>
      <c r="R288" t="e">
        <f t="shared" ca="1" si="17"/>
        <v>#NAME?</v>
      </c>
      <c r="S288">
        <f t="shared" si="18"/>
        <v>8</v>
      </c>
      <c r="T288" t="str">
        <f t="shared" si="19"/>
        <v>Tevreden</v>
      </c>
    </row>
    <row r="289" spans="1:20" x14ac:dyDescent="0.3">
      <c r="A289" t="s">
        <v>1465</v>
      </c>
      <c r="B289" t="s">
        <v>2965</v>
      </c>
      <c r="C289" t="s">
        <v>2966</v>
      </c>
      <c r="D289" t="s">
        <v>2967</v>
      </c>
      <c r="E289" t="s">
        <v>2968</v>
      </c>
      <c r="F289" t="s">
        <v>2969</v>
      </c>
      <c r="G289">
        <v>86.62</v>
      </c>
      <c r="H289">
        <v>14</v>
      </c>
      <c r="I289" t="s">
        <v>22</v>
      </c>
      <c r="J289" t="s">
        <v>1440</v>
      </c>
      <c r="K289" t="s">
        <v>1440</v>
      </c>
      <c r="L289" t="s">
        <v>1440</v>
      </c>
      <c r="M289" t="s">
        <v>1440</v>
      </c>
      <c r="N289" t="s">
        <v>1440</v>
      </c>
      <c r="O289" t="s">
        <v>34</v>
      </c>
      <c r="Q289">
        <f t="shared" si="16"/>
        <v>1</v>
      </c>
      <c r="R289" t="e">
        <f t="shared" ca="1" si="17"/>
        <v>#NAME?</v>
      </c>
      <c r="S289">
        <f t="shared" si="18"/>
        <v>8</v>
      </c>
      <c r="T289" t="str">
        <f t="shared" si="19"/>
        <v>Tevreden</v>
      </c>
    </row>
    <row r="290" spans="1:20" x14ac:dyDescent="0.3">
      <c r="A290" t="s">
        <v>2832</v>
      </c>
      <c r="B290" t="s">
        <v>2590</v>
      </c>
      <c r="C290" t="s">
        <v>2970</v>
      </c>
      <c r="D290" t="s">
        <v>2971</v>
      </c>
      <c r="E290" t="s">
        <v>2972</v>
      </c>
      <c r="F290" t="s">
        <v>2973</v>
      </c>
      <c r="G290">
        <v>100.5</v>
      </c>
      <c r="H290">
        <v>22</v>
      </c>
      <c r="I290" t="s">
        <v>29</v>
      </c>
      <c r="J290" t="s">
        <v>1440</v>
      </c>
      <c r="K290" t="s">
        <v>1439</v>
      </c>
      <c r="L290" t="s">
        <v>1440</v>
      </c>
      <c r="M290" t="s">
        <v>1440</v>
      </c>
      <c r="N290" t="s">
        <v>1440</v>
      </c>
      <c r="O290" t="s">
        <v>23</v>
      </c>
      <c r="Q290">
        <f t="shared" si="16"/>
        <v>1</v>
      </c>
      <c r="R290" t="e">
        <f t="shared" ca="1" si="17"/>
        <v>#NAME?</v>
      </c>
      <c r="S290">
        <f t="shared" si="18"/>
        <v>6</v>
      </c>
      <c r="T290" t="str">
        <f t="shared" si="19"/>
        <v>Ontevreden</v>
      </c>
    </row>
    <row r="291" spans="1:20" x14ac:dyDescent="0.3">
      <c r="A291" t="s">
        <v>2974</v>
      </c>
      <c r="B291" t="s">
        <v>2975</v>
      </c>
      <c r="C291" t="s">
        <v>2976</v>
      </c>
      <c r="D291" t="s">
        <v>2527</v>
      </c>
      <c r="E291" t="s">
        <v>2977</v>
      </c>
      <c r="F291" t="s">
        <v>2978</v>
      </c>
      <c r="G291">
        <v>169.34</v>
      </c>
      <c r="H291">
        <v>16</v>
      </c>
      <c r="I291" t="s">
        <v>29</v>
      </c>
      <c r="J291" t="s">
        <v>1440</v>
      </c>
      <c r="K291" t="s">
        <v>1440</v>
      </c>
      <c r="L291" t="s">
        <v>1440</v>
      </c>
      <c r="M291" t="s">
        <v>1440</v>
      </c>
      <c r="N291" t="s">
        <v>1440</v>
      </c>
      <c r="O291" t="s">
        <v>23</v>
      </c>
      <c r="Q291">
        <f t="shared" si="16"/>
        <v>1</v>
      </c>
      <c r="R291" t="e">
        <f t="shared" ca="1" si="17"/>
        <v>#NAME?</v>
      </c>
      <c r="S291">
        <f t="shared" si="18"/>
        <v>8</v>
      </c>
      <c r="T291" t="str">
        <f t="shared" si="19"/>
        <v>Tevreden</v>
      </c>
    </row>
    <row r="292" spans="1:20" x14ac:dyDescent="0.3">
      <c r="A292" t="s">
        <v>2530</v>
      </c>
      <c r="B292" t="s">
        <v>2185</v>
      </c>
      <c r="C292" t="s">
        <v>2979</v>
      </c>
      <c r="D292" t="s">
        <v>2980</v>
      </c>
      <c r="E292" t="s">
        <v>2981</v>
      </c>
      <c r="F292" t="s">
        <v>2982</v>
      </c>
      <c r="G292">
        <v>183.62</v>
      </c>
      <c r="H292">
        <v>14</v>
      </c>
      <c r="I292" t="s">
        <v>29</v>
      </c>
      <c r="J292" t="s">
        <v>1439</v>
      </c>
      <c r="K292" t="s">
        <v>1440</v>
      </c>
      <c r="L292" t="s">
        <v>1440</v>
      </c>
      <c r="M292" t="s">
        <v>1439</v>
      </c>
      <c r="N292" t="s">
        <v>1440</v>
      </c>
      <c r="O292" t="s">
        <v>23</v>
      </c>
      <c r="Q292">
        <f t="shared" si="16"/>
        <v>1</v>
      </c>
      <c r="R292" t="e">
        <f t="shared" ca="1" si="17"/>
        <v>#NAME?</v>
      </c>
      <c r="S292">
        <f t="shared" si="18"/>
        <v>6</v>
      </c>
      <c r="T292" t="str">
        <f t="shared" si="19"/>
        <v>Ontevreden</v>
      </c>
    </row>
    <row r="293" spans="1:20" x14ac:dyDescent="0.3">
      <c r="A293" t="s">
        <v>1567</v>
      </c>
      <c r="B293" t="s">
        <v>1996</v>
      </c>
      <c r="C293" t="s">
        <v>2983</v>
      </c>
      <c r="D293" t="s">
        <v>2984</v>
      </c>
      <c r="E293" t="s">
        <v>2985</v>
      </c>
      <c r="F293" t="s">
        <v>2986</v>
      </c>
      <c r="G293">
        <v>122.49</v>
      </c>
      <c r="H293">
        <v>9</v>
      </c>
      <c r="I293" t="s">
        <v>57</v>
      </c>
      <c r="J293" t="s">
        <v>1440</v>
      </c>
      <c r="K293" t="s">
        <v>1439</v>
      </c>
      <c r="L293" t="s">
        <v>1440</v>
      </c>
      <c r="M293" t="s">
        <v>1439</v>
      </c>
      <c r="N293" t="s">
        <v>1439</v>
      </c>
      <c r="O293" t="s">
        <v>23</v>
      </c>
      <c r="Q293">
        <f t="shared" si="16"/>
        <v>1</v>
      </c>
      <c r="R293" t="e">
        <f t="shared" ca="1" si="17"/>
        <v>#NAME?</v>
      </c>
      <c r="S293">
        <f t="shared" si="18"/>
        <v>2</v>
      </c>
      <c r="T293" t="str">
        <f t="shared" si="19"/>
        <v>Ontevreden</v>
      </c>
    </row>
    <row r="294" spans="1:20" x14ac:dyDescent="0.3">
      <c r="A294" t="s">
        <v>2987</v>
      </c>
      <c r="B294" t="s">
        <v>1695</v>
      </c>
      <c r="C294" t="s">
        <v>2988</v>
      </c>
      <c r="D294" t="s">
        <v>2989</v>
      </c>
      <c r="E294" t="s">
        <v>2990</v>
      </c>
      <c r="F294" t="s">
        <v>2991</v>
      </c>
      <c r="G294">
        <v>143.88999999999999</v>
      </c>
      <c r="H294">
        <v>15</v>
      </c>
      <c r="I294" t="s">
        <v>29</v>
      </c>
      <c r="J294" t="s">
        <v>1439</v>
      </c>
      <c r="K294" t="s">
        <v>1439</v>
      </c>
      <c r="L294" t="s">
        <v>1440</v>
      </c>
      <c r="M294" t="s">
        <v>1440</v>
      </c>
      <c r="N294" t="s">
        <v>1439</v>
      </c>
      <c r="O294" t="s">
        <v>78</v>
      </c>
      <c r="Q294">
        <f t="shared" si="16"/>
        <v>1</v>
      </c>
      <c r="R294" t="e">
        <f t="shared" ca="1" si="17"/>
        <v>#NAME?</v>
      </c>
      <c r="S294">
        <f t="shared" si="18"/>
        <v>4</v>
      </c>
      <c r="T294" t="str">
        <f t="shared" si="19"/>
        <v>Ontevreden</v>
      </c>
    </row>
    <row r="295" spans="1:20" x14ac:dyDescent="0.3">
      <c r="A295" t="s">
        <v>1465</v>
      </c>
      <c r="B295" t="s">
        <v>1854</v>
      </c>
      <c r="C295" t="s">
        <v>2992</v>
      </c>
      <c r="D295" t="s">
        <v>2053</v>
      </c>
      <c r="E295" t="s">
        <v>2993</v>
      </c>
      <c r="F295" t="s">
        <v>2994</v>
      </c>
      <c r="G295">
        <v>88.48</v>
      </c>
      <c r="H295">
        <v>1</v>
      </c>
      <c r="I295" t="s">
        <v>22</v>
      </c>
      <c r="J295" t="s">
        <v>1440</v>
      </c>
      <c r="K295" t="s">
        <v>1439</v>
      </c>
      <c r="L295" t="s">
        <v>1439</v>
      </c>
      <c r="M295" t="s">
        <v>1440</v>
      </c>
      <c r="N295" t="s">
        <v>1439</v>
      </c>
      <c r="O295" t="s">
        <v>23</v>
      </c>
      <c r="Q295">
        <f t="shared" si="16"/>
        <v>1</v>
      </c>
      <c r="R295" t="e">
        <f t="shared" ca="1" si="17"/>
        <v>#NAME?</v>
      </c>
      <c r="S295">
        <f t="shared" si="18"/>
        <v>2</v>
      </c>
      <c r="T295" t="str">
        <f t="shared" si="19"/>
        <v>Ontevreden</v>
      </c>
    </row>
    <row r="296" spans="1:20" x14ac:dyDescent="0.3">
      <c r="A296" t="s">
        <v>2345</v>
      </c>
      <c r="B296" t="s">
        <v>2995</v>
      </c>
      <c r="C296" t="s">
        <v>2996</v>
      </c>
      <c r="D296" t="s">
        <v>2997</v>
      </c>
      <c r="E296" t="s">
        <v>2998</v>
      </c>
      <c r="F296" t="s">
        <v>2999</v>
      </c>
      <c r="G296">
        <v>140.37</v>
      </c>
      <c r="H296">
        <v>9</v>
      </c>
      <c r="I296" t="s">
        <v>29</v>
      </c>
      <c r="J296" t="s">
        <v>1440</v>
      </c>
      <c r="K296" t="s">
        <v>1440</v>
      </c>
      <c r="L296" t="s">
        <v>1440</v>
      </c>
      <c r="M296" t="s">
        <v>1439</v>
      </c>
      <c r="N296" t="s">
        <v>1440</v>
      </c>
      <c r="O296" t="s">
        <v>23</v>
      </c>
      <c r="Q296">
        <f t="shared" si="16"/>
        <v>1</v>
      </c>
      <c r="R296" t="e">
        <f t="shared" ca="1" si="17"/>
        <v>#NAME?</v>
      </c>
      <c r="S296">
        <f t="shared" si="18"/>
        <v>6</v>
      </c>
      <c r="T296" t="str">
        <f t="shared" si="19"/>
        <v>Ontevreden</v>
      </c>
    </row>
    <row r="297" spans="1:20" x14ac:dyDescent="0.3">
      <c r="A297" t="s">
        <v>3000</v>
      </c>
      <c r="B297" t="s">
        <v>3001</v>
      </c>
      <c r="C297" t="s">
        <v>3002</v>
      </c>
      <c r="D297" t="s">
        <v>3003</v>
      </c>
      <c r="E297" t="s">
        <v>3004</v>
      </c>
      <c r="F297" t="s">
        <v>3005</v>
      </c>
      <c r="G297">
        <v>143.09</v>
      </c>
      <c r="H297">
        <v>21</v>
      </c>
      <c r="I297" t="s">
        <v>29</v>
      </c>
      <c r="J297" t="s">
        <v>1439</v>
      </c>
      <c r="K297" t="s">
        <v>1439</v>
      </c>
      <c r="L297" t="s">
        <v>1440</v>
      </c>
      <c r="M297" t="s">
        <v>1440</v>
      </c>
      <c r="N297" t="s">
        <v>1440</v>
      </c>
      <c r="O297" t="s">
        <v>23</v>
      </c>
      <c r="Q297">
        <f t="shared" si="16"/>
        <v>1</v>
      </c>
      <c r="R297" t="e">
        <f t="shared" ca="1" si="17"/>
        <v>#NAME?</v>
      </c>
      <c r="S297">
        <f t="shared" si="18"/>
        <v>6</v>
      </c>
      <c r="T297" t="str">
        <f t="shared" si="19"/>
        <v>Ontevreden</v>
      </c>
    </row>
    <row r="298" spans="1:20" x14ac:dyDescent="0.3">
      <c r="A298" t="s">
        <v>3006</v>
      </c>
      <c r="B298" t="s">
        <v>3007</v>
      </c>
      <c r="C298" t="s">
        <v>3008</v>
      </c>
      <c r="D298" t="s">
        <v>3009</v>
      </c>
      <c r="E298" t="s">
        <v>3010</v>
      </c>
      <c r="F298" t="s">
        <v>3011</v>
      </c>
      <c r="G298">
        <v>17.43</v>
      </c>
      <c r="H298">
        <v>2</v>
      </c>
      <c r="I298" t="s">
        <v>22</v>
      </c>
      <c r="J298" t="s">
        <v>1439</v>
      </c>
      <c r="K298" t="s">
        <v>1440</v>
      </c>
      <c r="L298" t="s">
        <v>1439</v>
      </c>
      <c r="M298" t="s">
        <v>1439</v>
      </c>
      <c r="N298" t="s">
        <v>1439</v>
      </c>
      <c r="O298" t="s">
        <v>23</v>
      </c>
      <c r="Q298">
        <f t="shared" si="16"/>
        <v>1</v>
      </c>
      <c r="R298" t="e">
        <f t="shared" ca="1" si="17"/>
        <v>#NAME?</v>
      </c>
      <c r="S298">
        <f t="shared" si="18"/>
        <v>2</v>
      </c>
      <c r="T298" t="str">
        <f t="shared" si="19"/>
        <v>Ontevreden</v>
      </c>
    </row>
    <row r="299" spans="1:20" x14ac:dyDescent="0.3">
      <c r="A299" t="s">
        <v>2821</v>
      </c>
      <c r="B299" t="s">
        <v>1614</v>
      </c>
      <c r="C299" t="s">
        <v>3012</v>
      </c>
      <c r="D299" t="s">
        <v>3013</v>
      </c>
      <c r="E299" t="s">
        <v>3014</v>
      </c>
      <c r="F299" t="s">
        <v>3015</v>
      </c>
      <c r="G299">
        <v>165.34</v>
      </c>
      <c r="H299">
        <v>15</v>
      </c>
      <c r="I299" t="s">
        <v>22</v>
      </c>
      <c r="J299" t="s">
        <v>1440</v>
      </c>
      <c r="K299" t="s">
        <v>1440</v>
      </c>
      <c r="L299" t="s">
        <v>1440</v>
      </c>
      <c r="M299" t="s">
        <v>1440</v>
      </c>
      <c r="N299" t="s">
        <v>1440</v>
      </c>
      <c r="O299" t="s">
        <v>78</v>
      </c>
      <c r="Q299">
        <f t="shared" si="16"/>
        <v>1</v>
      </c>
      <c r="R299" t="e">
        <f t="shared" ca="1" si="17"/>
        <v>#NAME?</v>
      </c>
      <c r="S299">
        <f t="shared" si="18"/>
        <v>8</v>
      </c>
      <c r="T299" t="str">
        <f t="shared" si="19"/>
        <v>Tevreden</v>
      </c>
    </row>
    <row r="300" spans="1:20" x14ac:dyDescent="0.3">
      <c r="A300" t="s">
        <v>2635</v>
      </c>
      <c r="B300" t="s">
        <v>1951</v>
      </c>
      <c r="C300" t="s">
        <v>3016</v>
      </c>
      <c r="D300" t="s">
        <v>3017</v>
      </c>
      <c r="E300" t="s">
        <v>3018</v>
      </c>
      <c r="F300" t="s">
        <v>3019</v>
      </c>
      <c r="G300">
        <v>108.59</v>
      </c>
      <c r="H300">
        <v>4</v>
      </c>
      <c r="I300" t="s">
        <v>57</v>
      </c>
      <c r="J300" t="s">
        <v>1439</v>
      </c>
      <c r="K300" t="s">
        <v>1440</v>
      </c>
      <c r="L300" t="s">
        <v>1440</v>
      </c>
      <c r="M300" t="s">
        <v>1440</v>
      </c>
      <c r="N300" t="s">
        <v>1440</v>
      </c>
      <c r="O300" t="s">
        <v>23</v>
      </c>
      <c r="Q300">
        <f t="shared" si="16"/>
        <v>1</v>
      </c>
      <c r="R300" t="e">
        <f t="shared" ca="1" si="17"/>
        <v>#NAME?</v>
      </c>
      <c r="S300">
        <f t="shared" si="18"/>
        <v>8</v>
      </c>
      <c r="T300" t="str">
        <f t="shared" si="19"/>
        <v>Tevreden</v>
      </c>
    </row>
    <row r="301" spans="1:20" x14ac:dyDescent="0.3">
      <c r="A301" t="s">
        <v>3020</v>
      </c>
      <c r="B301" t="s">
        <v>2842</v>
      </c>
      <c r="C301" t="s">
        <v>3021</v>
      </c>
      <c r="D301" t="s">
        <v>3022</v>
      </c>
      <c r="E301" t="s">
        <v>3023</v>
      </c>
      <c r="F301" t="s">
        <v>3024</v>
      </c>
      <c r="G301">
        <v>150.33000000000001</v>
      </c>
      <c r="H301">
        <v>8</v>
      </c>
      <c r="I301" t="s">
        <v>29</v>
      </c>
      <c r="J301" t="s">
        <v>1439</v>
      </c>
      <c r="K301" t="s">
        <v>1440</v>
      </c>
      <c r="L301" t="s">
        <v>1439</v>
      </c>
      <c r="M301" t="s">
        <v>1440</v>
      </c>
      <c r="N301" t="s">
        <v>1439</v>
      </c>
      <c r="O301" t="s">
        <v>23</v>
      </c>
      <c r="Q301">
        <f t="shared" si="16"/>
        <v>1</v>
      </c>
      <c r="R301" t="e">
        <f t="shared" ca="1" si="17"/>
        <v>#NAME?</v>
      </c>
      <c r="S301">
        <f t="shared" si="18"/>
        <v>4</v>
      </c>
      <c r="T301" t="str">
        <f t="shared" si="19"/>
        <v>Ontevreden</v>
      </c>
    </row>
    <row r="302" spans="1:20" x14ac:dyDescent="0.3">
      <c r="A302" t="s">
        <v>2650</v>
      </c>
      <c r="B302" t="s">
        <v>1434</v>
      </c>
      <c r="C302" t="s">
        <v>3025</v>
      </c>
      <c r="D302" t="s">
        <v>3026</v>
      </c>
      <c r="E302" t="s">
        <v>3027</v>
      </c>
      <c r="F302" t="s">
        <v>3028</v>
      </c>
      <c r="G302">
        <v>98.87</v>
      </c>
      <c r="H302">
        <v>24</v>
      </c>
      <c r="I302" t="s">
        <v>22</v>
      </c>
      <c r="J302" t="s">
        <v>1439</v>
      </c>
      <c r="K302" t="s">
        <v>1439</v>
      </c>
      <c r="L302" t="s">
        <v>1440</v>
      </c>
      <c r="M302" t="s">
        <v>1440</v>
      </c>
      <c r="N302" t="s">
        <v>1439</v>
      </c>
      <c r="O302" t="s">
        <v>23</v>
      </c>
      <c r="Q302">
        <f t="shared" si="16"/>
        <v>1</v>
      </c>
      <c r="R302" t="e">
        <f t="shared" ca="1" si="17"/>
        <v>#NAME?</v>
      </c>
      <c r="S302">
        <f t="shared" si="18"/>
        <v>4</v>
      </c>
      <c r="T302" t="str">
        <f t="shared" si="19"/>
        <v>Ontevreden</v>
      </c>
    </row>
    <row r="303" spans="1:20" x14ac:dyDescent="0.3">
      <c r="A303" t="s">
        <v>2162</v>
      </c>
      <c r="B303" t="s">
        <v>3029</v>
      </c>
      <c r="C303" t="s">
        <v>3030</v>
      </c>
      <c r="D303" t="s">
        <v>3031</v>
      </c>
      <c r="E303" t="s">
        <v>3032</v>
      </c>
      <c r="F303" t="s">
        <v>3033</v>
      </c>
      <c r="G303">
        <v>80.459999999999994</v>
      </c>
      <c r="H303">
        <v>18</v>
      </c>
      <c r="I303" t="s">
        <v>57</v>
      </c>
      <c r="J303" t="s">
        <v>1440</v>
      </c>
      <c r="K303" t="s">
        <v>1440</v>
      </c>
      <c r="L303" t="s">
        <v>1440</v>
      </c>
      <c r="M303" t="s">
        <v>1439</v>
      </c>
      <c r="N303" t="s">
        <v>1440</v>
      </c>
      <c r="O303" t="s">
        <v>23</v>
      </c>
      <c r="Q303">
        <f t="shared" si="16"/>
        <v>1</v>
      </c>
      <c r="R303" t="e">
        <f t="shared" ca="1" si="17"/>
        <v>#NAME?</v>
      </c>
      <c r="S303">
        <f t="shared" si="18"/>
        <v>6</v>
      </c>
      <c r="T303" t="str">
        <f t="shared" si="19"/>
        <v>Ontevreden</v>
      </c>
    </row>
    <row r="304" spans="1:20" x14ac:dyDescent="0.3">
      <c r="A304" t="s">
        <v>3034</v>
      </c>
      <c r="B304" t="s">
        <v>3035</v>
      </c>
      <c r="C304" t="s">
        <v>3036</v>
      </c>
      <c r="D304" t="s">
        <v>3037</v>
      </c>
      <c r="E304" t="s">
        <v>3038</v>
      </c>
      <c r="F304" t="s">
        <v>3039</v>
      </c>
      <c r="G304">
        <v>92.63</v>
      </c>
      <c r="H304">
        <v>3</v>
      </c>
      <c r="I304" t="s">
        <v>22</v>
      </c>
      <c r="J304" t="s">
        <v>1440</v>
      </c>
      <c r="K304" t="s">
        <v>1440</v>
      </c>
      <c r="L304" t="s">
        <v>1440</v>
      </c>
      <c r="M304" t="s">
        <v>1440</v>
      </c>
      <c r="N304" t="s">
        <v>1440</v>
      </c>
      <c r="O304" t="s">
        <v>23</v>
      </c>
      <c r="Q304">
        <f t="shared" si="16"/>
        <v>1</v>
      </c>
      <c r="R304" t="e">
        <f t="shared" ca="1" si="17"/>
        <v>#NAME?</v>
      </c>
      <c r="S304">
        <f t="shared" si="18"/>
        <v>8</v>
      </c>
      <c r="T304" t="str">
        <f t="shared" si="19"/>
        <v>Tevreden</v>
      </c>
    </row>
    <row r="305" spans="1:20" x14ac:dyDescent="0.3">
      <c r="A305" t="s">
        <v>3040</v>
      </c>
      <c r="B305" t="s">
        <v>3041</v>
      </c>
      <c r="C305" t="s">
        <v>3042</v>
      </c>
      <c r="D305" t="s">
        <v>3043</v>
      </c>
      <c r="E305" t="s">
        <v>3044</v>
      </c>
      <c r="F305" t="s">
        <v>3045</v>
      </c>
      <c r="G305">
        <v>108.8</v>
      </c>
      <c r="H305">
        <v>8</v>
      </c>
      <c r="I305" t="s">
        <v>22</v>
      </c>
      <c r="J305" t="s">
        <v>1440</v>
      </c>
      <c r="K305" t="s">
        <v>1440</v>
      </c>
      <c r="L305" t="s">
        <v>1440</v>
      </c>
      <c r="M305" t="s">
        <v>1439</v>
      </c>
      <c r="N305" t="s">
        <v>1440</v>
      </c>
      <c r="O305" t="s">
        <v>23</v>
      </c>
      <c r="Q305">
        <f t="shared" si="16"/>
        <v>1</v>
      </c>
      <c r="R305" t="e">
        <f t="shared" ca="1" si="17"/>
        <v>#NAME?</v>
      </c>
      <c r="S305">
        <f t="shared" si="18"/>
        <v>6</v>
      </c>
      <c r="T305" t="str">
        <f t="shared" si="19"/>
        <v>Ontevreden</v>
      </c>
    </row>
    <row r="306" spans="1:20" x14ac:dyDescent="0.3">
      <c r="A306" t="s">
        <v>3046</v>
      </c>
      <c r="B306" t="s">
        <v>3047</v>
      </c>
      <c r="C306" t="s">
        <v>3048</v>
      </c>
      <c r="D306" t="s">
        <v>3049</v>
      </c>
      <c r="E306" t="s">
        <v>3050</v>
      </c>
      <c r="F306" t="s">
        <v>3051</v>
      </c>
      <c r="G306">
        <v>129.47999999999999</v>
      </c>
      <c r="H306">
        <v>5</v>
      </c>
      <c r="I306" t="s">
        <v>29</v>
      </c>
      <c r="J306" t="s">
        <v>1440</v>
      </c>
      <c r="K306" t="s">
        <v>1439</v>
      </c>
      <c r="L306" t="s">
        <v>1440</v>
      </c>
      <c r="M306" t="s">
        <v>1440</v>
      </c>
      <c r="N306" t="s">
        <v>1440</v>
      </c>
      <c r="O306" t="s">
        <v>23</v>
      </c>
      <c r="Q306">
        <f t="shared" si="16"/>
        <v>1</v>
      </c>
      <c r="R306" t="e">
        <f t="shared" ca="1" si="17"/>
        <v>#NAME?</v>
      </c>
      <c r="S306">
        <f t="shared" si="18"/>
        <v>6</v>
      </c>
      <c r="T306" t="str">
        <f t="shared" si="19"/>
        <v>Ontevreden</v>
      </c>
    </row>
    <row r="307" spans="1:20" x14ac:dyDescent="0.3">
      <c r="A307" t="s">
        <v>3052</v>
      </c>
      <c r="B307" t="s">
        <v>2596</v>
      </c>
      <c r="C307" t="s">
        <v>3053</v>
      </c>
      <c r="D307" t="s">
        <v>3054</v>
      </c>
      <c r="E307" t="s">
        <v>3055</v>
      </c>
      <c r="F307" t="s">
        <v>3056</v>
      </c>
      <c r="G307">
        <v>125.47</v>
      </c>
      <c r="H307">
        <v>14</v>
      </c>
      <c r="I307" t="s">
        <v>57</v>
      </c>
      <c r="J307" t="s">
        <v>1440</v>
      </c>
      <c r="K307" t="s">
        <v>1440</v>
      </c>
      <c r="L307" t="s">
        <v>1440</v>
      </c>
      <c r="M307" t="s">
        <v>1439</v>
      </c>
      <c r="N307" t="s">
        <v>1440</v>
      </c>
      <c r="O307" t="s">
        <v>23</v>
      </c>
      <c r="Q307">
        <f t="shared" si="16"/>
        <v>1</v>
      </c>
      <c r="R307" t="e">
        <f t="shared" ca="1" si="17"/>
        <v>#NAME?</v>
      </c>
      <c r="S307">
        <f t="shared" si="18"/>
        <v>6</v>
      </c>
      <c r="T307" t="str">
        <f t="shared" si="19"/>
        <v>Ontevreden</v>
      </c>
    </row>
    <row r="308" spans="1:20" x14ac:dyDescent="0.3">
      <c r="A308" t="s">
        <v>1495</v>
      </c>
      <c r="B308" t="s">
        <v>3057</v>
      </c>
      <c r="C308" t="s">
        <v>3058</v>
      </c>
      <c r="D308" t="s">
        <v>3059</v>
      </c>
      <c r="E308" t="s">
        <v>3060</v>
      </c>
      <c r="F308" t="s">
        <v>3061</v>
      </c>
      <c r="G308">
        <v>201.57</v>
      </c>
      <c r="H308">
        <v>10</v>
      </c>
      <c r="I308" t="s">
        <v>22</v>
      </c>
      <c r="J308" t="s">
        <v>1440</v>
      </c>
      <c r="K308" t="s">
        <v>1440</v>
      </c>
      <c r="L308" t="s">
        <v>1440</v>
      </c>
      <c r="M308" t="s">
        <v>1440</v>
      </c>
      <c r="N308" t="s">
        <v>1440</v>
      </c>
      <c r="O308" t="s">
        <v>23</v>
      </c>
      <c r="Q308">
        <f t="shared" si="16"/>
        <v>1</v>
      </c>
      <c r="R308" t="e">
        <f t="shared" ca="1" si="17"/>
        <v>#NAME?</v>
      </c>
      <c r="S308">
        <f t="shared" si="18"/>
        <v>8</v>
      </c>
      <c r="T308" t="str">
        <f t="shared" si="19"/>
        <v>Tevreden</v>
      </c>
    </row>
    <row r="309" spans="1:20" x14ac:dyDescent="0.3">
      <c r="A309" t="s">
        <v>3062</v>
      </c>
      <c r="B309" t="s">
        <v>1951</v>
      </c>
      <c r="C309" t="s">
        <v>3063</v>
      </c>
      <c r="D309" t="s">
        <v>3064</v>
      </c>
      <c r="E309" t="s">
        <v>3065</v>
      </c>
      <c r="F309" t="s">
        <v>3066</v>
      </c>
      <c r="G309">
        <v>146.44</v>
      </c>
      <c r="H309">
        <v>16</v>
      </c>
      <c r="I309" t="s">
        <v>29</v>
      </c>
      <c r="J309" t="s">
        <v>1440</v>
      </c>
      <c r="K309" t="s">
        <v>1440</v>
      </c>
      <c r="L309" t="s">
        <v>1439</v>
      </c>
      <c r="M309" t="s">
        <v>1440</v>
      </c>
      <c r="N309" t="s">
        <v>1440</v>
      </c>
      <c r="O309" t="s">
        <v>34</v>
      </c>
      <c r="Q309">
        <f t="shared" si="16"/>
        <v>1</v>
      </c>
      <c r="R309" t="e">
        <f t="shared" ca="1" si="17"/>
        <v>#NAME?</v>
      </c>
      <c r="S309">
        <f t="shared" si="18"/>
        <v>6</v>
      </c>
      <c r="T309" t="str">
        <f t="shared" si="19"/>
        <v>Ontevreden</v>
      </c>
    </row>
    <row r="310" spans="1:20" x14ac:dyDescent="0.3">
      <c r="A310" t="s">
        <v>3067</v>
      </c>
      <c r="B310" t="s">
        <v>1791</v>
      </c>
      <c r="C310" t="s">
        <v>3068</v>
      </c>
      <c r="D310" t="s">
        <v>3069</v>
      </c>
      <c r="E310" t="s">
        <v>3070</v>
      </c>
      <c r="F310" t="s">
        <v>3071</v>
      </c>
      <c r="G310">
        <v>193.4</v>
      </c>
      <c r="H310">
        <v>8</v>
      </c>
      <c r="I310" t="s">
        <v>29</v>
      </c>
      <c r="J310" t="s">
        <v>1440</v>
      </c>
      <c r="K310" t="s">
        <v>1440</v>
      </c>
      <c r="L310" t="s">
        <v>1440</v>
      </c>
      <c r="M310" t="s">
        <v>1440</v>
      </c>
      <c r="N310" t="s">
        <v>1440</v>
      </c>
      <c r="O310" t="s">
        <v>23</v>
      </c>
      <c r="Q310">
        <f t="shared" si="16"/>
        <v>1</v>
      </c>
      <c r="R310" t="e">
        <f t="shared" ca="1" si="17"/>
        <v>#NAME?</v>
      </c>
      <c r="S310">
        <f t="shared" si="18"/>
        <v>8</v>
      </c>
      <c r="T310" t="str">
        <f t="shared" si="19"/>
        <v>Tevreden</v>
      </c>
    </row>
    <row r="311" spans="1:20" x14ac:dyDescent="0.3">
      <c r="A311" t="s">
        <v>2459</v>
      </c>
      <c r="B311" t="s">
        <v>1538</v>
      </c>
      <c r="C311" t="s">
        <v>3072</v>
      </c>
      <c r="D311" t="s">
        <v>3073</v>
      </c>
      <c r="E311" t="s">
        <v>3074</v>
      </c>
      <c r="F311" t="s">
        <v>3075</v>
      </c>
      <c r="G311">
        <v>64.5</v>
      </c>
      <c r="H311">
        <v>8</v>
      </c>
      <c r="I311" t="s">
        <v>29</v>
      </c>
      <c r="J311" t="s">
        <v>1440</v>
      </c>
      <c r="K311" t="s">
        <v>1440</v>
      </c>
      <c r="L311" t="s">
        <v>1440</v>
      </c>
      <c r="M311" t="s">
        <v>1440</v>
      </c>
      <c r="N311" t="s">
        <v>1440</v>
      </c>
      <c r="O311" t="s">
        <v>23</v>
      </c>
      <c r="Q311">
        <f t="shared" si="16"/>
        <v>1</v>
      </c>
      <c r="R311" t="e">
        <f t="shared" ca="1" si="17"/>
        <v>#NAME?</v>
      </c>
      <c r="S311">
        <f t="shared" si="18"/>
        <v>8</v>
      </c>
      <c r="T311" t="str">
        <f t="shared" si="19"/>
        <v>Tevreden</v>
      </c>
    </row>
    <row r="312" spans="1:20" x14ac:dyDescent="0.3">
      <c r="A312" t="s">
        <v>3076</v>
      </c>
      <c r="B312" t="s">
        <v>3041</v>
      </c>
      <c r="C312" t="s">
        <v>3077</v>
      </c>
      <c r="D312" t="s">
        <v>3078</v>
      </c>
      <c r="E312" t="s">
        <v>3079</v>
      </c>
      <c r="F312" t="s">
        <v>3076</v>
      </c>
      <c r="G312">
        <v>20.350000000000001</v>
      </c>
      <c r="H312">
        <v>16</v>
      </c>
      <c r="I312" t="s">
        <v>29</v>
      </c>
      <c r="J312" t="s">
        <v>1439</v>
      </c>
      <c r="K312" t="s">
        <v>1439</v>
      </c>
      <c r="L312" t="s">
        <v>1440</v>
      </c>
      <c r="M312" t="s">
        <v>1440</v>
      </c>
      <c r="N312" t="s">
        <v>1440</v>
      </c>
      <c r="O312" t="s">
        <v>23</v>
      </c>
      <c r="Q312">
        <f t="shared" si="16"/>
        <v>1</v>
      </c>
      <c r="R312" t="e">
        <f t="shared" ca="1" si="17"/>
        <v>#NAME?</v>
      </c>
      <c r="S312">
        <f t="shared" si="18"/>
        <v>6</v>
      </c>
      <c r="T312" t="str">
        <f t="shared" si="19"/>
        <v>Ontevreden</v>
      </c>
    </row>
    <row r="313" spans="1:20" x14ac:dyDescent="0.3">
      <c r="A313" t="s">
        <v>1465</v>
      </c>
      <c r="B313" t="s">
        <v>3080</v>
      </c>
      <c r="C313" t="s">
        <v>3081</v>
      </c>
      <c r="D313" t="s">
        <v>3082</v>
      </c>
      <c r="E313" t="s">
        <v>3083</v>
      </c>
      <c r="F313" t="s">
        <v>3084</v>
      </c>
      <c r="G313">
        <v>184.26</v>
      </c>
      <c r="H313">
        <v>1</v>
      </c>
      <c r="I313" t="s">
        <v>29</v>
      </c>
      <c r="J313" t="s">
        <v>1440</v>
      </c>
      <c r="K313" t="s">
        <v>1440</v>
      </c>
      <c r="L313" t="s">
        <v>1439</v>
      </c>
      <c r="M313" t="s">
        <v>1439</v>
      </c>
      <c r="N313" t="s">
        <v>1440</v>
      </c>
      <c r="O313" t="s">
        <v>34</v>
      </c>
      <c r="Q313">
        <f t="shared" si="16"/>
        <v>1</v>
      </c>
      <c r="R313" t="e">
        <f t="shared" ca="1" si="17"/>
        <v>#NAME?</v>
      </c>
      <c r="S313">
        <f t="shared" si="18"/>
        <v>4</v>
      </c>
      <c r="T313" t="str">
        <f t="shared" si="19"/>
        <v>Ontevreden</v>
      </c>
    </row>
    <row r="314" spans="1:20" x14ac:dyDescent="0.3">
      <c r="A314" t="s">
        <v>3085</v>
      </c>
      <c r="B314" t="s">
        <v>2728</v>
      </c>
      <c r="C314" t="s">
        <v>3086</v>
      </c>
      <c r="D314" t="s">
        <v>3087</v>
      </c>
      <c r="E314" t="s">
        <v>3088</v>
      </c>
      <c r="F314" t="s">
        <v>3089</v>
      </c>
      <c r="G314">
        <v>114.6</v>
      </c>
      <c r="H314">
        <v>6</v>
      </c>
      <c r="I314" t="s">
        <v>57</v>
      </c>
      <c r="J314" t="s">
        <v>1439</v>
      </c>
      <c r="K314" t="s">
        <v>1440</v>
      </c>
      <c r="L314" t="s">
        <v>1440</v>
      </c>
      <c r="M314" t="s">
        <v>1439</v>
      </c>
      <c r="N314" t="s">
        <v>1440</v>
      </c>
      <c r="O314" t="s">
        <v>23</v>
      </c>
      <c r="Q314">
        <f t="shared" si="16"/>
        <v>1</v>
      </c>
      <c r="R314" t="e">
        <f t="shared" ca="1" si="17"/>
        <v>#NAME?</v>
      </c>
      <c r="S314">
        <f t="shared" si="18"/>
        <v>6</v>
      </c>
      <c r="T314" t="str">
        <f t="shared" si="19"/>
        <v>Ontevreden</v>
      </c>
    </row>
    <row r="315" spans="1:20" x14ac:dyDescent="0.3">
      <c r="A315" t="s">
        <v>2109</v>
      </c>
      <c r="B315" t="s">
        <v>2074</v>
      </c>
      <c r="C315" t="s">
        <v>3090</v>
      </c>
      <c r="D315" t="s">
        <v>3091</v>
      </c>
      <c r="E315" t="s">
        <v>3092</v>
      </c>
      <c r="F315" t="s">
        <v>3093</v>
      </c>
      <c r="G315">
        <v>154.32</v>
      </c>
      <c r="H315">
        <v>11</v>
      </c>
      <c r="I315" t="s">
        <v>29</v>
      </c>
      <c r="J315" t="s">
        <v>1440</v>
      </c>
      <c r="K315" t="s">
        <v>1440</v>
      </c>
      <c r="L315" t="s">
        <v>1440</v>
      </c>
      <c r="M315" t="s">
        <v>1439</v>
      </c>
      <c r="N315" t="s">
        <v>1440</v>
      </c>
      <c r="O315" t="s">
        <v>23</v>
      </c>
      <c r="Q315">
        <f t="shared" si="16"/>
        <v>1</v>
      </c>
      <c r="R315" t="e">
        <f t="shared" ca="1" si="17"/>
        <v>#NAME?</v>
      </c>
      <c r="S315">
        <f t="shared" si="18"/>
        <v>6</v>
      </c>
      <c r="T315" t="str">
        <f t="shared" si="19"/>
        <v>Ontevreden</v>
      </c>
    </row>
    <row r="316" spans="1:20" x14ac:dyDescent="0.3">
      <c r="A316" t="s">
        <v>3094</v>
      </c>
      <c r="B316" t="s">
        <v>3095</v>
      </c>
      <c r="C316" t="s">
        <v>3096</v>
      </c>
      <c r="D316" t="s">
        <v>3097</v>
      </c>
      <c r="E316" t="s">
        <v>3098</v>
      </c>
      <c r="F316" t="s">
        <v>3099</v>
      </c>
      <c r="G316">
        <v>118.88</v>
      </c>
      <c r="H316">
        <v>12</v>
      </c>
      <c r="I316" t="s">
        <v>22</v>
      </c>
      <c r="J316" t="s">
        <v>1440</v>
      </c>
      <c r="K316" t="s">
        <v>1439</v>
      </c>
      <c r="L316" t="s">
        <v>1439</v>
      </c>
      <c r="M316" t="s">
        <v>1440</v>
      </c>
      <c r="N316" t="s">
        <v>1439</v>
      </c>
      <c r="O316" t="s">
        <v>23</v>
      </c>
      <c r="Q316">
        <f t="shared" si="16"/>
        <v>1</v>
      </c>
      <c r="R316" t="e">
        <f t="shared" ca="1" si="17"/>
        <v>#NAME?</v>
      </c>
      <c r="S316">
        <f t="shared" si="18"/>
        <v>2</v>
      </c>
      <c r="T316" t="str">
        <f t="shared" si="19"/>
        <v>Ontevreden</v>
      </c>
    </row>
    <row r="317" spans="1:20" x14ac:dyDescent="0.3">
      <c r="A317" t="s">
        <v>3100</v>
      </c>
      <c r="B317" t="s">
        <v>1514</v>
      </c>
      <c r="C317" t="s">
        <v>3101</v>
      </c>
      <c r="D317" t="s">
        <v>3102</v>
      </c>
      <c r="E317" t="s">
        <v>3103</v>
      </c>
      <c r="F317" t="s">
        <v>3104</v>
      </c>
      <c r="G317">
        <v>145.79</v>
      </c>
      <c r="H317">
        <v>14</v>
      </c>
      <c r="I317" t="s">
        <v>29</v>
      </c>
      <c r="J317" t="s">
        <v>1440</v>
      </c>
      <c r="K317" t="s">
        <v>1440</v>
      </c>
      <c r="L317" t="s">
        <v>1439</v>
      </c>
      <c r="M317" t="s">
        <v>1440</v>
      </c>
      <c r="N317" t="s">
        <v>1439</v>
      </c>
      <c r="O317" t="s">
        <v>34</v>
      </c>
      <c r="Q317">
        <f t="shared" si="16"/>
        <v>1</v>
      </c>
      <c r="R317" t="e">
        <f t="shared" ca="1" si="17"/>
        <v>#NAME?</v>
      </c>
      <c r="S317">
        <f t="shared" si="18"/>
        <v>4</v>
      </c>
      <c r="T317" t="str">
        <f t="shared" si="19"/>
        <v>Ontevreden</v>
      </c>
    </row>
    <row r="318" spans="1:20" x14ac:dyDescent="0.3">
      <c r="A318" t="s">
        <v>3105</v>
      </c>
      <c r="B318" t="s">
        <v>2185</v>
      </c>
      <c r="C318" t="s">
        <v>3106</v>
      </c>
      <c r="D318" t="s">
        <v>3107</v>
      </c>
      <c r="E318" t="s">
        <v>3108</v>
      </c>
      <c r="F318" t="s">
        <v>3109</v>
      </c>
      <c r="G318">
        <v>195.52</v>
      </c>
      <c r="H318">
        <v>12</v>
      </c>
      <c r="I318" t="s">
        <v>29</v>
      </c>
      <c r="J318" t="s">
        <v>1440</v>
      </c>
      <c r="K318" t="s">
        <v>1440</v>
      </c>
      <c r="L318" t="s">
        <v>1440</v>
      </c>
      <c r="M318" t="s">
        <v>1440</v>
      </c>
      <c r="N318" t="s">
        <v>1440</v>
      </c>
      <c r="O318" t="s">
        <v>23</v>
      </c>
      <c r="Q318">
        <f t="shared" si="16"/>
        <v>1</v>
      </c>
      <c r="R318" t="e">
        <f t="shared" ca="1" si="17"/>
        <v>#NAME?</v>
      </c>
      <c r="S318">
        <f t="shared" si="18"/>
        <v>8</v>
      </c>
      <c r="T318" t="str">
        <f t="shared" si="19"/>
        <v>Tevreden</v>
      </c>
    </row>
    <row r="319" spans="1:20" x14ac:dyDescent="0.3">
      <c r="A319" t="s">
        <v>3110</v>
      </c>
      <c r="B319" t="s">
        <v>1555</v>
      </c>
      <c r="C319" t="s">
        <v>3111</v>
      </c>
      <c r="D319" t="s">
        <v>3112</v>
      </c>
      <c r="E319" t="s">
        <v>3113</v>
      </c>
      <c r="F319" t="s">
        <v>3114</v>
      </c>
      <c r="G319">
        <v>126.77</v>
      </c>
      <c r="H319">
        <v>5</v>
      </c>
      <c r="I319" t="s">
        <v>57</v>
      </c>
      <c r="J319" t="s">
        <v>1439</v>
      </c>
      <c r="K319" t="s">
        <v>1439</v>
      </c>
      <c r="L319" t="s">
        <v>1440</v>
      </c>
      <c r="M319" t="s">
        <v>1440</v>
      </c>
      <c r="N319" t="s">
        <v>1439</v>
      </c>
      <c r="O319" t="s">
        <v>23</v>
      </c>
      <c r="Q319">
        <f t="shared" si="16"/>
        <v>1</v>
      </c>
      <c r="R319" t="e">
        <f t="shared" ca="1" si="17"/>
        <v>#NAME?</v>
      </c>
      <c r="S319">
        <f t="shared" si="18"/>
        <v>4</v>
      </c>
      <c r="T319" t="str">
        <f t="shared" si="19"/>
        <v>Ontevreden</v>
      </c>
    </row>
    <row r="320" spans="1:20" x14ac:dyDescent="0.3">
      <c r="A320" t="s">
        <v>3115</v>
      </c>
      <c r="B320" t="s">
        <v>3116</v>
      </c>
      <c r="C320" t="s">
        <v>3117</v>
      </c>
      <c r="D320" t="s">
        <v>3118</v>
      </c>
      <c r="E320" t="s">
        <v>3119</v>
      </c>
      <c r="F320" t="s">
        <v>3120</v>
      </c>
      <c r="G320">
        <v>23.13</v>
      </c>
      <c r="H320">
        <v>5</v>
      </c>
      <c r="I320" t="s">
        <v>102</v>
      </c>
      <c r="J320" t="s">
        <v>1440</v>
      </c>
      <c r="K320" t="s">
        <v>1440</v>
      </c>
      <c r="L320" t="s">
        <v>1440</v>
      </c>
      <c r="M320" t="s">
        <v>1440</v>
      </c>
      <c r="N320" t="s">
        <v>1440</v>
      </c>
      <c r="O320" t="s">
        <v>23</v>
      </c>
      <c r="Q320">
        <f t="shared" si="16"/>
        <v>1</v>
      </c>
      <c r="R320" t="e">
        <f t="shared" ca="1" si="17"/>
        <v>#NAME?</v>
      </c>
      <c r="S320">
        <f t="shared" si="18"/>
        <v>8</v>
      </c>
      <c r="T320" t="str">
        <f t="shared" si="19"/>
        <v>Tevreden</v>
      </c>
    </row>
    <row r="321" spans="1:20" x14ac:dyDescent="0.3">
      <c r="A321" t="s">
        <v>3121</v>
      </c>
      <c r="B321" t="s">
        <v>1466</v>
      </c>
      <c r="C321" t="s">
        <v>3122</v>
      </c>
      <c r="D321" t="s">
        <v>3123</v>
      </c>
      <c r="E321" t="s">
        <v>3124</v>
      </c>
      <c r="F321" t="s">
        <v>3121</v>
      </c>
      <c r="G321">
        <v>174.91</v>
      </c>
      <c r="H321">
        <v>12</v>
      </c>
      <c r="I321" t="s">
        <v>29</v>
      </c>
      <c r="J321" t="s">
        <v>1440</v>
      </c>
      <c r="K321" t="s">
        <v>1439</v>
      </c>
      <c r="L321" t="s">
        <v>1439</v>
      </c>
      <c r="M321" t="s">
        <v>1440</v>
      </c>
      <c r="N321" t="s">
        <v>1440</v>
      </c>
      <c r="O321" t="s">
        <v>23</v>
      </c>
      <c r="Q321">
        <f t="shared" si="16"/>
        <v>1</v>
      </c>
      <c r="R321" t="e">
        <f t="shared" ca="1" si="17"/>
        <v>#NAME?</v>
      </c>
      <c r="S321">
        <f t="shared" si="18"/>
        <v>4</v>
      </c>
      <c r="T321" t="str">
        <f t="shared" si="19"/>
        <v>Ontevreden</v>
      </c>
    </row>
    <row r="322" spans="1:20" x14ac:dyDescent="0.3">
      <c r="A322" t="s">
        <v>3125</v>
      </c>
      <c r="B322" t="s">
        <v>1568</v>
      </c>
      <c r="C322" t="s">
        <v>3126</v>
      </c>
      <c r="D322" t="s">
        <v>3127</v>
      </c>
      <c r="E322" t="s">
        <v>3128</v>
      </c>
      <c r="F322" t="s">
        <v>3129</v>
      </c>
      <c r="G322">
        <v>129.91999999999999</v>
      </c>
      <c r="H322">
        <v>6</v>
      </c>
      <c r="I322" t="s">
        <v>29</v>
      </c>
      <c r="J322" t="s">
        <v>1440</v>
      </c>
      <c r="K322" t="s">
        <v>1439</v>
      </c>
      <c r="L322" t="s">
        <v>1440</v>
      </c>
      <c r="M322" t="s">
        <v>1439</v>
      </c>
      <c r="N322" t="s">
        <v>1440</v>
      </c>
      <c r="O322" t="s">
        <v>78</v>
      </c>
      <c r="Q322">
        <f t="shared" ref="Q322:Q385" si="20">LEN(G322)-LEN(SUBSTITUTE(G322,",",""))+1</f>
        <v>1</v>
      </c>
      <c r="R322" t="e">
        <f t="shared" ref="R322:R385" ca="1" si="21">SWITCH(I322, "Zelden", 1, "Af en toe", 4, "Regelmatig", 8, "Vaak", 12)</f>
        <v>#NAME?</v>
      </c>
      <c r="S322">
        <f t="shared" ref="S322:S385" si="22">AVERAGE(--(K322="ja"), --(L322="ja"), --(M322="ja"), --(N322="ja"), --(O322="ja"))*10</f>
        <v>4</v>
      </c>
      <c r="T322" t="str">
        <f t="shared" ref="T322:T385" si="23">IF(S322&gt;=7, "Tevreden", "Ontevreden")</f>
        <v>Ontevreden</v>
      </c>
    </row>
    <row r="323" spans="1:20" x14ac:dyDescent="0.3">
      <c r="A323" t="s">
        <v>3130</v>
      </c>
      <c r="B323" t="s">
        <v>3131</v>
      </c>
      <c r="C323" t="s">
        <v>3132</v>
      </c>
      <c r="D323" t="s">
        <v>3133</v>
      </c>
      <c r="E323" t="s">
        <v>3134</v>
      </c>
      <c r="F323" t="s">
        <v>3135</v>
      </c>
      <c r="G323">
        <v>71.48</v>
      </c>
      <c r="H323">
        <v>11</v>
      </c>
      <c r="I323" t="s">
        <v>29</v>
      </c>
      <c r="J323" t="s">
        <v>1439</v>
      </c>
      <c r="K323" t="s">
        <v>1440</v>
      </c>
      <c r="L323" t="s">
        <v>1440</v>
      </c>
      <c r="M323" t="s">
        <v>1440</v>
      </c>
      <c r="N323" t="s">
        <v>1440</v>
      </c>
      <c r="O323" t="s">
        <v>34</v>
      </c>
      <c r="Q323">
        <f t="shared" si="20"/>
        <v>1</v>
      </c>
      <c r="R323" t="e">
        <f t="shared" ca="1" si="21"/>
        <v>#NAME?</v>
      </c>
      <c r="S323">
        <f t="shared" si="22"/>
        <v>8</v>
      </c>
      <c r="T323" t="str">
        <f t="shared" si="23"/>
        <v>Tevreden</v>
      </c>
    </row>
    <row r="324" spans="1:20" x14ac:dyDescent="0.3">
      <c r="A324" t="s">
        <v>1465</v>
      </c>
      <c r="B324" t="s">
        <v>1490</v>
      </c>
      <c r="C324" t="s">
        <v>3136</v>
      </c>
      <c r="D324" t="s">
        <v>3137</v>
      </c>
      <c r="E324" t="s">
        <v>3138</v>
      </c>
      <c r="F324" t="s">
        <v>3139</v>
      </c>
      <c r="G324">
        <v>119.58</v>
      </c>
      <c r="H324">
        <v>7</v>
      </c>
      <c r="I324" t="s">
        <v>29</v>
      </c>
      <c r="J324" t="s">
        <v>1440</v>
      </c>
      <c r="K324" t="s">
        <v>1439</v>
      </c>
      <c r="L324" t="s">
        <v>1439</v>
      </c>
      <c r="M324" t="s">
        <v>1440</v>
      </c>
      <c r="N324" t="s">
        <v>1440</v>
      </c>
      <c r="O324" t="s">
        <v>23</v>
      </c>
      <c r="Q324">
        <f t="shared" si="20"/>
        <v>1</v>
      </c>
      <c r="R324" t="e">
        <f t="shared" ca="1" si="21"/>
        <v>#NAME?</v>
      </c>
      <c r="S324">
        <f t="shared" si="22"/>
        <v>4</v>
      </c>
      <c r="T324" t="str">
        <f t="shared" si="23"/>
        <v>Ontevreden</v>
      </c>
    </row>
    <row r="325" spans="1:20" x14ac:dyDescent="0.3">
      <c r="A325" t="s">
        <v>3140</v>
      </c>
      <c r="B325" t="s">
        <v>3080</v>
      </c>
      <c r="C325" t="s">
        <v>3141</v>
      </c>
      <c r="D325" t="s">
        <v>3142</v>
      </c>
      <c r="E325" t="s">
        <v>3143</v>
      </c>
      <c r="F325" t="s">
        <v>3144</v>
      </c>
      <c r="G325">
        <v>74</v>
      </c>
      <c r="H325">
        <v>12</v>
      </c>
      <c r="I325" t="s">
        <v>29</v>
      </c>
      <c r="J325" t="s">
        <v>1440</v>
      </c>
      <c r="K325" t="s">
        <v>1440</v>
      </c>
      <c r="L325" t="s">
        <v>1439</v>
      </c>
      <c r="M325" t="s">
        <v>1440</v>
      </c>
      <c r="N325" t="s">
        <v>1440</v>
      </c>
      <c r="O325" t="s">
        <v>23</v>
      </c>
      <c r="Q325">
        <f t="shared" si="20"/>
        <v>1</v>
      </c>
      <c r="R325" t="e">
        <f t="shared" ca="1" si="21"/>
        <v>#NAME?</v>
      </c>
      <c r="S325">
        <f t="shared" si="22"/>
        <v>6</v>
      </c>
      <c r="T325" t="str">
        <f t="shared" si="23"/>
        <v>Ontevreden</v>
      </c>
    </row>
    <row r="326" spans="1:20" x14ac:dyDescent="0.3">
      <c r="A326" t="s">
        <v>3145</v>
      </c>
      <c r="B326" t="s">
        <v>2096</v>
      </c>
      <c r="C326" t="s">
        <v>3146</v>
      </c>
      <c r="D326" t="s">
        <v>3147</v>
      </c>
      <c r="E326" t="s">
        <v>3148</v>
      </c>
      <c r="F326" t="s">
        <v>3145</v>
      </c>
      <c r="G326">
        <v>76.260000000000005</v>
      </c>
      <c r="H326">
        <v>15</v>
      </c>
      <c r="I326" t="s">
        <v>29</v>
      </c>
      <c r="J326" t="s">
        <v>1440</v>
      </c>
      <c r="K326" t="s">
        <v>1440</v>
      </c>
      <c r="L326" t="s">
        <v>1439</v>
      </c>
      <c r="M326" t="s">
        <v>1440</v>
      </c>
      <c r="N326" t="s">
        <v>1440</v>
      </c>
      <c r="O326" t="s">
        <v>23</v>
      </c>
      <c r="Q326">
        <f t="shared" si="20"/>
        <v>1</v>
      </c>
      <c r="R326" t="e">
        <f t="shared" ca="1" si="21"/>
        <v>#NAME?</v>
      </c>
      <c r="S326">
        <f t="shared" si="22"/>
        <v>6</v>
      </c>
      <c r="T326" t="str">
        <f t="shared" si="23"/>
        <v>Ontevreden</v>
      </c>
    </row>
    <row r="327" spans="1:20" x14ac:dyDescent="0.3">
      <c r="A327" t="s">
        <v>3149</v>
      </c>
      <c r="B327" t="s">
        <v>3150</v>
      </c>
      <c r="C327" t="s">
        <v>3151</v>
      </c>
      <c r="D327" t="s">
        <v>3152</v>
      </c>
      <c r="E327" t="s">
        <v>3153</v>
      </c>
      <c r="F327" t="s">
        <v>3149</v>
      </c>
      <c r="G327">
        <v>19.54</v>
      </c>
      <c r="H327">
        <v>19</v>
      </c>
      <c r="I327" t="s">
        <v>57</v>
      </c>
      <c r="J327" t="s">
        <v>1440</v>
      </c>
      <c r="K327" t="s">
        <v>1440</v>
      </c>
      <c r="L327" t="s">
        <v>1440</v>
      </c>
      <c r="M327" t="s">
        <v>1439</v>
      </c>
      <c r="N327" t="s">
        <v>1440</v>
      </c>
      <c r="O327" t="s">
        <v>23</v>
      </c>
      <c r="Q327">
        <f t="shared" si="20"/>
        <v>1</v>
      </c>
      <c r="R327" t="e">
        <f t="shared" ca="1" si="21"/>
        <v>#NAME?</v>
      </c>
      <c r="S327">
        <f t="shared" si="22"/>
        <v>6</v>
      </c>
      <c r="T327" t="str">
        <f t="shared" si="23"/>
        <v>Ontevreden</v>
      </c>
    </row>
    <row r="328" spans="1:20" x14ac:dyDescent="0.3">
      <c r="A328" t="s">
        <v>1519</v>
      </c>
      <c r="B328" t="s">
        <v>1870</v>
      </c>
      <c r="C328" t="s">
        <v>3154</v>
      </c>
      <c r="D328" t="s">
        <v>3155</v>
      </c>
      <c r="E328" t="s">
        <v>3156</v>
      </c>
      <c r="F328" t="s">
        <v>3157</v>
      </c>
      <c r="G328">
        <v>237.9</v>
      </c>
      <c r="H328">
        <v>5</v>
      </c>
      <c r="I328" t="s">
        <v>22</v>
      </c>
      <c r="J328" t="s">
        <v>1440</v>
      </c>
      <c r="K328" t="s">
        <v>1440</v>
      </c>
      <c r="L328" t="s">
        <v>1440</v>
      </c>
      <c r="M328" t="s">
        <v>1440</v>
      </c>
      <c r="N328" t="s">
        <v>1440</v>
      </c>
      <c r="O328" t="s">
        <v>23</v>
      </c>
      <c r="Q328">
        <f t="shared" si="20"/>
        <v>1</v>
      </c>
      <c r="R328" t="e">
        <f t="shared" ca="1" si="21"/>
        <v>#NAME?</v>
      </c>
      <c r="S328">
        <f t="shared" si="22"/>
        <v>8</v>
      </c>
      <c r="T328" t="str">
        <f t="shared" si="23"/>
        <v>Tevreden</v>
      </c>
    </row>
    <row r="329" spans="1:20" x14ac:dyDescent="0.3">
      <c r="A329" t="s">
        <v>3158</v>
      </c>
      <c r="B329" t="s">
        <v>3159</v>
      </c>
      <c r="C329" t="s">
        <v>3160</v>
      </c>
      <c r="D329" t="s">
        <v>3161</v>
      </c>
      <c r="E329" t="s">
        <v>3162</v>
      </c>
      <c r="F329" t="s">
        <v>3163</v>
      </c>
      <c r="G329">
        <v>145.44999999999999</v>
      </c>
      <c r="H329">
        <v>16</v>
      </c>
      <c r="I329" t="s">
        <v>22</v>
      </c>
      <c r="J329" t="s">
        <v>1439</v>
      </c>
      <c r="K329" t="s">
        <v>1439</v>
      </c>
      <c r="L329" t="s">
        <v>1440</v>
      </c>
      <c r="M329" t="s">
        <v>1439</v>
      </c>
      <c r="N329" t="s">
        <v>1439</v>
      </c>
      <c r="O329" t="s">
        <v>23</v>
      </c>
      <c r="Q329">
        <f t="shared" si="20"/>
        <v>1</v>
      </c>
      <c r="R329" t="e">
        <f t="shared" ca="1" si="21"/>
        <v>#NAME?</v>
      </c>
      <c r="S329">
        <f t="shared" si="22"/>
        <v>2</v>
      </c>
      <c r="T329" t="str">
        <f t="shared" si="23"/>
        <v>Ontevreden</v>
      </c>
    </row>
    <row r="330" spans="1:20" x14ac:dyDescent="0.3">
      <c r="A330" t="s">
        <v>3164</v>
      </c>
      <c r="B330" t="s">
        <v>3165</v>
      </c>
      <c r="C330" t="s">
        <v>3166</v>
      </c>
      <c r="D330" t="s">
        <v>3167</v>
      </c>
      <c r="E330" t="s">
        <v>3168</v>
      </c>
      <c r="F330" t="s">
        <v>3169</v>
      </c>
      <c r="G330">
        <v>114.95</v>
      </c>
      <c r="H330">
        <v>7</v>
      </c>
      <c r="I330" t="s">
        <v>29</v>
      </c>
      <c r="J330" t="s">
        <v>1440</v>
      </c>
      <c r="K330" t="s">
        <v>1439</v>
      </c>
      <c r="L330" t="s">
        <v>1439</v>
      </c>
      <c r="M330" t="s">
        <v>1439</v>
      </c>
      <c r="N330" t="s">
        <v>1439</v>
      </c>
      <c r="O330" t="s">
        <v>78</v>
      </c>
      <c r="Q330">
        <f t="shared" si="20"/>
        <v>1</v>
      </c>
      <c r="R330" t="e">
        <f t="shared" ca="1" si="21"/>
        <v>#NAME?</v>
      </c>
      <c r="S330">
        <f t="shared" si="22"/>
        <v>0</v>
      </c>
      <c r="T330" t="str">
        <f t="shared" si="23"/>
        <v>Ontevreden</v>
      </c>
    </row>
    <row r="331" spans="1:20" x14ac:dyDescent="0.3">
      <c r="A331" t="s">
        <v>3170</v>
      </c>
      <c r="B331" t="s">
        <v>2531</v>
      </c>
      <c r="C331" t="s">
        <v>3171</v>
      </c>
      <c r="D331" t="s">
        <v>3172</v>
      </c>
      <c r="E331" t="s">
        <v>3173</v>
      </c>
      <c r="F331" t="s">
        <v>3174</v>
      </c>
      <c r="G331">
        <v>118.67</v>
      </c>
      <c r="H331">
        <v>7</v>
      </c>
      <c r="I331" t="s">
        <v>22</v>
      </c>
      <c r="J331" t="s">
        <v>1440</v>
      </c>
      <c r="K331" t="s">
        <v>1440</v>
      </c>
      <c r="L331" t="s">
        <v>1440</v>
      </c>
      <c r="M331" t="s">
        <v>1439</v>
      </c>
      <c r="N331" t="s">
        <v>1439</v>
      </c>
      <c r="O331" t="s">
        <v>23</v>
      </c>
      <c r="Q331">
        <f t="shared" si="20"/>
        <v>1</v>
      </c>
      <c r="R331" t="e">
        <f t="shared" ca="1" si="21"/>
        <v>#NAME?</v>
      </c>
      <c r="S331">
        <f t="shared" si="22"/>
        <v>4</v>
      </c>
      <c r="T331" t="str">
        <f t="shared" si="23"/>
        <v>Ontevreden</v>
      </c>
    </row>
    <row r="332" spans="1:20" x14ac:dyDescent="0.3">
      <c r="A332" t="s">
        <v>2683</v>
      </c>
      <c r="B332" t="s">
        <v>2185</v>
      </c>
      <c r="C332" t="s">
        <v>3175</v>
      </c>
      <c r="D332" t="s">
        <v>3176</v>
      </c>
      <c r="E332" t="s">
        <v>3177</v>
      </c>
      <c r="F332" t="s">
        <v>3178</v>
      </c>
      <c r="G332">
        <v>129.79</v>
      </c>
      <c r="H332">
        <v>4</v>
      </c>
      <c r="I332" t="s">
        <v>29</v>
      </c>
      <c r="J332" t="s">
        <v>1440</v>
      </c>
      <c r="K332" t="s">
        <v>1439</v>
      </c>
      <c r="L332" t="s">
        <v>1440</v>
      </c>
      <c r="M332" t="s">
        <v>1440</v>
      </c>
      <c r="N332" t="s">
        <v>1440</v>
      </c>
      <c r="O332" t="s">
        <v>23</v>
      </c>
      <c r="Q332">
        <f t="shared" si="20"/>
        <v>1</v>
      </c>
      <c r="R332" t="e">
        <f t="shared" ca="1" si="21"/>
        <v>#NAME?</v>
      </c>
      <c r="S332">
        <f t="shared" si="22"/>
        <v>6</v>
      </c>
      <c r="T332" t="str">
        <f t="shared" si="23"/>
        <v>Ontevreden</v>
      </c>
    </row>
    <row r="333" spans="1:20" x14ac:dyDescent="0.3">
      <c r="A333" t="s">
        <v>3179</v>
      </c>
      <c r="B333" t="s">
        <v>3001</v>
      </c>
      <c r="C333" t="s">
        <v>3180</v>
      </c>
      <c r="D333" t="s">
        <v>1054</v>
      </c>
      <c r="E333" t="s">
        <v>3181</v>
      </c>
      <c r="F333" t="s">
        <v>3182</v>
      </c>
      <c r="G333">
        <v>77.38</v>
      </c>
      <c r="H333">
        <v>1</v>
      </c>
      <c r="I333" t="s">
        <v>29</v>
      </c>
      <c r="J333" t="s">
        <v>1440</v>
      </c>
      <c r="K333" t="s">
        <v>1439</v>
      </c>
      <c r="L333" t="s">
        <v>1440</v>
      </c>
      <c r="M333" t="s">
        <v>1439</v>
      </c>
      <c r="N333" t="s">
        <v>1440</v>
      </c>
      <c r="O333" t="s">
        <v>23</v>
      </c>
      <c r="Q333">
        <f t="shared" si="20"/>
        <v>1</v>
      </c>
      <c r="R333" t="e">
        <f t="shared" ca="1" si="21"/>
        <v>#NAME?</v>
      </c>
      <c r="S333">
        <f t="shared" si="22"/>
        <v>4</v>
      </c>
      <c r="T333" t="str">
        <f t="shared" si="23"/>
        <v>Ontevreden</v>
      </c>
    </row>
    <row r="334" spans="1:20" x14ac:dyDescent="0.3">
      <c r="A334" t="s">
        <v>3183</v>
      </c>
      <c r="B334" t="s">
        <v>3184</v>
      </c>
      <c r="C334" t="s">
        <v>3185</v>
      </c>
      <c r="D334" t="s">
        <v>3186</v>
      </c>
      <c r="E334" t="s">
        <v>3187</v>
      </c>
      <c r="F334" t="s">
        <v>3188</v>
      </c>
      <c r="G334">
        <v>119.21</v>
      </c>
      <c r="H334">
        <v>10</v>
      </c>
      <c r="I334" t="s">
        <v>29</v>
      </c>
      <c r="J334" t="s">
        <v>1439</v>
      </c>
      <c r="K334" t="s">
        <v>1439</v>
      </c>
      <c r="L334" t="s">
        <v>1440</v>
      </c>
      <c r="M334" t="s">
        <v>1439</v>
      </c>
      <c r="N334" t="s">
        <v>1440</v>
      </c>
      <c r="O334" t="s">
        <v>23</v>
      </c>
      <c r="Q334">
        <f t="shared" si="20"/>
        <v>1</v>
      </c>
      <c r="R334" t="e">
        <f t="shared" ca="1" si="21"/>
        <v>#NAME?</v>
      </c>
      <c r="S334">
        <f t="shared" si="22"/>
        <v>4</v>
      </c>
      <c r="T334" t="str">
        <f t="shared" si="23"/>
        <v>Ontevreden</v>
      </c>
    </row>
    <row r="335" spans="1:20" x14ac:dyDescent="0.3">
      <c r="A335" t="s">
        <v>3189</v>
      </c>
      <c r="B335" t="s">
        <v>2995</v>
      </c>
      <c r="C335" t="s">
        <v>3190</v>
      </c>
      <c r="D335" t="s">
        <v>3191</v>
      </c>
      <c r="E335" t="s">
        <v>3192</v>
      </c>
      <c r="F335" t="s">
        <v>3193</v>
      </c>
      <c r="G335">
        <v>159.85</v>
      </c>
      <c r="H335">
        <v>1</v>
      </c>
      <c r="I335" t="s">
        <v>29</v>
      </c>
      <c r="J335" t="s">
        <v>1439</v>
      </c>
      <c r="K335" t="s">
        <v>1440</v>
      </c>
      <c r="L335" t="s">
        <v>1440</v>
      </c>
      <c r="M335" t="s">
        <v>1440</v>
      </c>
      <c r="N335" t="s">
        <v>1439</v>
      </c>
      <c r="O335" t="s">
        <v>23</v>
      </c>
      <c r="Q335">
        <f t="shared" si="20"/>
        <v>1</v>
      </c>
      <c r="R335" t="e">
        <f t="shared" ca="1" si="21"/>
        <v>#NAME?</v>
      </c>
      <c r="S335">
        <f t="shared" si="22"/>
        <v>6</v>
      </c>
      <c r="T335" t="str">
        <f t="shared" si="23"/>
        <v>Ontevreden</v>
      </c>
    </row>
    <row r="336" spans="1:20" x14ac:dyDescent="0.3">
      <c r="A336" t="s">
        <v>3194</v>
      </c>
      <c r="B336" t="s">
        <v>3195</v>
      </c>
      <c r="C336" t="s">
        <v>3196</v>
      </c>
      <c r="D336" t="s">
        <v>3197</v>
      </c>
      <c r="E336" t="s">
        <v>3198</v>
      </c>
      <c r="F336" t="s">
        <v>3194</v>
      </c>
      <c r="G336">
        <v>18.95</v>
      </c>
      <c r="H336">
        <v>5</v>
      </c>
      <c r="I336" t="s">
        <v>22</v>
      </c>
      <c r="J336" t="s">
        <v>1439</v>
      </c>
      <c r="K336" t="s">
        <v>1440</v>
      </c>
      <c r="L336" t="s">
        <v>1439</v>
      </c>
      <c r="M336" t="s">
        <v>1439</v>
      </c>
      <c r="N336" t="s">
        <v>1439</v>
      </c>
      <c r="O336" t="s">
        <v>23</v>
      </c>
      <c r="Q336">
        <f t="shared" si="20"/>
        <v>1</v>
      </c>
      <c r="R336" t="e">
        <f t="shared" ca="1" si="21"/>
        <v>#NAME?</v>
      </c>
      <c r="S336">
        <f t="shared" si="22"/>
        <v>2</v>
      </c>
      <c r="T336" t="str">
        <f t="shared" si="23"/>
        <v>Ontevreden</v>
      </c>
    </row>
    <row r="337" spans="1:20" x14ac:dyDescent="0.3">
      <c r="A337" t="s">
        <v>3199</v>
      </c>
      <c r="B337" t="s">
        <v>1602</v>
      </c>
      <c r="C337" t="s">
        <v>3200</v>
      </c>
      <c r="D337" t="s">
        <v>3201</v>
      </c>
      <c r="E337" t="s">
        <v>3202</v>
      </c>
      <c r="F337" t="s">
        <v>3203</v>
      </c>
      <c r="G337">
        <v>62.53</v>
      </c>
      <c r="H337">
        <v>16</v>
      </c>
      <c r="I337" t="s">
        <v>29</v>
      </c>
      <c r="J337" t="s">
        <v>1440</v>
      </c>
      <c r="K337" t="s">
        <v>1440</v>
      </c>
      <c r="L337" t="s">
        <v>1440</v>
      </c>
      <c r="M337" t="s">
        <v>1440</v>
      </c>
      <c r="N337" t="s">
        <v>1440</v>
      </c>
      <c r="O337" t="s">
        <v>34</v>
      </c>
      <c r="Q337">
        <f t="shared" si="20"/>
        <v>1</v>
      </c>
      <c r="R337" t="e">
        <f t="shared" ca="1" si="21"/>
        <v>#NAME?</v>
      </c>
      <c r="S337">
        <f t="shared" si="22"/>
        <v>8</v>
      </c>
      <c r="T337" t="str">
        <f t="shared" si="23"/>
        <v>Tevreden</v>
      </c>
    </row>
    <row r="338" spans="1:20" x14ac:dyDescent="0.3">
      <c r="A338" t="s">
        <v>2290</v>
      </c>
      <c r="B338" t="s">
        <v>2313</v>
      </c>
      <c r="C338" t="s">
        <v>3204</v>
      </c>
      <c r="D338" t="s">
        <v>3205</v>
      </c>
      <c r="E338" t="s">
        <v>3206</v>
      </c>
      <c r="F338" t="s">
        <v>3207</v>
      </c>
      <c r="G338">
        <v>174.22</v>
      </c>
      <c r="H338">
        <v>19</v>
      </c>
      <c r="I338" t="s">
        <v>22</v>
      </c>
      <c r="J338" t="s">
        <v>1440</v>
      </c>
      <c r="K338" t="s">
        <v>1440</v>
      </c>
      <c r="L338" t="s">
        <v>1440</v>
      </c>
      <c r="M338" t="s">
        <v>1439</v>
      </c>
      <c r="N338" t="s">
        <v>1440</v>
      </c>
      <c r="O338" t="s">
        <v>23</v>
      </c>
      <c r="Q338">
        <f t="shared" si="20"/>
        <v>1</v>
      </c>
      <c r="R338" t="e">
        <f t="shared" ca="1" si="21"/>
        <v>#NAME?</v>
      </c>
      <c r="S338">
        <f t="shared" si="22"/>
        <v>6</v>
      </c>
      <c r="T338" t="str">
        <f t="shared" si="23"/>
        <v>Ontevreden</v>
      </c>
    </row>
    <row r="339" spans="1:20" x14ac:dyDescent="0.3">
      <c r="A339" t="s">
        <v>3208</v>
      </c>
      <c r="B339" t="s">
        <v>2774</v>
      </c>
      <c r="C339" t="s">
        <v>3209</v>
      </c>
      <c r="D339" t="s">
        <v>3210</v>
      </c>
      <c r="E339" t="s">
        <v>3211</v>
      </c>
      <c r="F339" t="s">
        <v>3212</v>
      </c>
      <c r="G339">
        <v>77.53</v>
      </c>
      <c r="H339">
        <v>2</v>
      </c>
      <c r="I339" t="s">
        <v>22</v>
      </c>
      <c r="J339" t="s">
        <v>1440</v>
      </c>
      <c r="K339" t="s">
        <v>1440</v>
      </c>
      <c r="L339" t="s">
        <v>1440</v>
      </c>
      <c r="M339" t="s">
        <v>1440</v>
      </c>
      <c r="N339" t="s">
        <v>1440</v>
      </c>
      <c r="O339" t="s">
        <v>23</v>
      </c>
      <c r="Q339">
        <f t="shared" si="20"/>
        <v>1</v>
      </c>
      <c r="R339" t="e">
        <f t="shared" ca="1" si="21"/>
        <v>#NAME?</v>
      </c>
      <c r="S339">
        <f t="shared" si="22"/>
        <v>8</v>
      </c>
      <c r="T339" t="str">
        <f t="shared" si="23"/>
        <v>Tevreden</v>
      </c>
    </row>
    <row r="340" spans="1:20" x14ac:dyDescent="0.3">
      <c r="A340" t="s">
        <v>2872</v>
      </c>
      <c r="B340" t="s">
        <v>3213</v>
      </c>
      <c r="C340" t="s">
        <v>3214</v>
      </c>
      <c r="D340" t="s">
        <v>3215</v>
      </c>
      <c r="E340" t="s">
        <v>3216</v>
      </c>
      <c r="F340" t="s">
        <v>3217</v>
      </c>
      <c r="G340">
        <v>170.39</v>
      </c>
      <c r="H340">
        <v>4</v>
      </c>
      <c r="I340" t="s">
        <v>57</v>
      </c>
      <c r="J340" t="s">
        <v>1440</v>
      </c>
      <c r="K340" t="s">
        <v>1440</v>
      </c>
      <c r="L340" t="s">
        <v>1439</v>
      </c>
      <c r="M340" t="s">
        <v>1440</v>
      </c>
      <c r="N340" t="s">
        <v>1439</v>
      </c>
      <c r="O340" t="s">
        <v>23</v>
      </c>
      <c r="Q340">
        <f t="shared" si="20"/>
        <v>1</v>
      </c>
      <c r="R340" t="e">
        <f t="shared" ca="1" si="21"/>
        <v>#NAME?</v>
      </c>
      <c r="S340">
        <f t="shared" si="22"/>
        <v>4</v>
      </c>
      <c r="T340" t="str">
        <f t="shared" si="23"/>
        <v>Ontevreden</v>
      </c>
    </row>
    <row r="341" spans="1:20" x14ac:dyDescent="0.3">
      <c r="A341" t="s">
        <v>3218</v>
      </c>
      <c r="B341" t="s">
        <v>1707</v>
      </c>
      <c r="C341" t="s">
        <v>3219</v>
      </c>
      <c r="D341" t="s">
        <v>3220</v>
      </c>
      <c r="E341" t="s">
        <v>3221</v>
      </c>
      <c r="F341" t="s">
        <v>3222</v>
      </c>
      <c r="G341">
        <v>124.5</v>
      </c>
      <c r="H341">
        <v>14</v>
      </c>
      <c r="I341" t="s">
        <v>22</v>
      </c>
      <c r="J341" t="s">
        <v>1440</v>
      </c>
      <c r="K341" t="s">
        <v>1440</v>
      </c>
      <c r="L341" t="s">
        <v>1440</v>
      </c>
      <c r="M341" t="s">
        <v>1439</v>
      </c>
      <c r="N341" t="s">
        <v>1439</v>
      </c>
      <c r="O341" t="s">
        <v>23</v>
      </c>
      <c r="Q341">
        <f t="shared" si="20"/>
        <v>1</v>
      </c>
      <c r="R341" t="e">
        <f t="shared" ca="1" si="21"/>
        <v>#NAME?</v>
      </c>
      <c r="S341">
        <f t="shared" si="22"/>
        <v>4</v>
      </c>
      <c r="T341" t="str">
        <f t="shared" si="23"/>
        <v>Ontevreden</v>
      </c>
    </row>
    <row r="342" spans="1:20" x14ac:dyDescent="0.3">
      <c r="A342" t="s">
        <v>3223</v>
      </c>
      <c r="B342" t="s">
        <v>1860</v>
      </c>
      <c r="C342" t="s">
        <v>3224</v>
      </c>
      <c r="D342" t="s">
        <v>3225</v>
      </c>
      <c r="E342" t="s">
        <v>3226</v>
      </c>
      <c r="F342" t="s">
        <v>3227</v>
      </c>
      <c r="G342">
        <v>247.01</v>
      </c>
      <c r="H342">
        <v>6</v>
      </c>
      <c r="I342" t="s">
        <v>57</v>
      </c>
      <c r="J342" t="s">
        <v>1440</v>
      </c>
      <c r="K342" t="s">
        <v>1440</v>
      </c>
      <c r="L342" t="s">
        <v>1440</v>
      </c>
      <c r="M342" t="s">
        <v>1440</v>
      </c>
      <c r="N342" t="s">
        <v>1440</v>
      </c>
      <c r="O342" t="s">
        <v>23</v>
      </c>
      <c r="Q342">
        <f t="shared" si="20"/>
        <v>1</v>
      </c>
      <c r="R342" t="e">
        <f t="shared" ca="1" si="21"/>
        <v>#NAME?</v>
      </c>
      <c r="S342">
        <f t="shared" si="22"/>
        <v>8</v>
      </c>
      <c r="T342" t="str">
        <f t="shared" si="23"/>
        <v>Tevreden</v>
      </c>
    </row>
    <row r="343" spans="1:20" x14ac:dyDescent="0.3">
      <c r="A343" t="s">
        <v>3228</v>
      </c>
      <c r="B343" t="s">
        <v>2842</v>
      </c>
      <c r="C343" t="s">
        <v>3229</v>
      </c>
      <c r="D343" t="s">
        <v>3230</v>
      </c>
      <c r="E343" t="s">
        <v>3231</v>
      </c>
      <c r="F343" t="s">
        <v>3232</v>
      </c>
      <c r="G343">
        <v>128.83000000000001</v>
      </c>
      <c r="H343">
        <v>1</v>
      </c>
      <c r="I343" t="s">
        <v>29</v>
      </c>
      <c r="J343" t="s">
        <v>1440</v>
      </c>
      <c r="K343" t="s">
        <v>1440</v>
      </c>
      <c r="L343" t="s">
        <v>1440</v>
      </c>
      <c r="M343" t="s">
        <v>1440</v>
      </c>
      <c r="N343" t="s">
        <v>1439</v>
      </c>
      <c r="O343" t="s">
        <v>23</v>
      </c>
      <c r="Q343">
        <f t="shared" si="20"/>
        <v>1</v>
      </c>
      <c r="R343" t="e">
        <f t="shared" ca="1" si="21"/>
        <v>#NAME?</v>
      </c>
      <c r="S343">
        <f t="shared" si="22"/>
        <v>6</v>
      </c>
      <c r="T343" t="str">
        <f t="shared" si="23"/>
        <v>Ontevreden</v>
      </c>
    </row>
    <row r="344" spans="1:20" x14ac:dyDescent="0.3">
      <c r="A344" t="s">
        <v>2366</v>
      </c>
      <c r="B344" t="s">
        <v>3233</v>
      </c>
      <c r="C344" t="s">
        <v>3234</v>
      </c>
      <c r="D344" t="s">
        <v>3235</v>
      </c>
      <c r="E344" t="s">
        <v>3236</v>
      </c>
      <c r="F344" t="s">
        <v>3237</v>
      </c>
      <c r="G344">
        <v>121.07</v>
      </c>
      <c r="H344">
        <v>11</v>
      </c>
      <c r="I344" t="s">
        <v>29</v>
      </c>
      <c r="J344" t="s">
        <v>1439</v>
      </c>
      <c r="K344" t="s">
        <v>1440</v>
      </c>
      <c r="L344" t="s">
        <v>1440</v>
      </c>
      <c r="M344" t="s">
        <v>1440</v>
      </c>
      <c r="N344" t="s">
        <v>1440</v>
      </c>
      <c r="O344" t="s">
        <v>23</v>
      </c>
      <c r="Q344">
        <f t="shared" si="20"/>
        <v>1</v>
      </c>
      <c r="R344" t="e">
        <f t="shared" ca="1" si="21"/>
        <v>#NAME?</v>
      </c>
      <c r="S344">
        <f t="shared" si="22"/>
        <v>8</v>
      </c>
      <c r="T344" t="str">
        <f t="shared" si="23"/>
        <v>Tevreden</v>
      </c>
    </row>
    <row r="345" spans="1:20" x14ac:dyDescent="0.3">
      <c r="A345" t="s">
        <v>3238</v>
      </c>
      <c r="B345" t="s">
        <v>3239</v>
      </c>
      <c r="C345" t="s">
        <v>3240</v>
      </c>
      <c r="D345" t="s">
        <v>3241</v>
      </c>
      <c r="E345" t="s">
        <v>3242</v>
      </c>
      <c r="F345" t="s">
        <v>3243</v>
      </c>
      <c r="G345">
        <v>22.6</v>
      </c>
      <c r="H345">
        <v>12</v>
      </c>
      <c r="I345" t="s">
        <v>29</v>
      </c>
      <c r="J345" t="s">
        <v>1440</v>
      </c>
      <c r="K345" t="s">
        <v>1440</v>
      </c>
      <c r="L345" t="s">
        <v>1440</v>
      </c>
      <c r="M345" t="s">
        <v>1440</v>
      </c>
      <c r="N345" t="s">
        <v>1440</v>
      </c>
      <c r="O345" t="s">
        <v>34</v>
      </c>
      <c r="Q345">
        <f t="shared" si="20"/>
        <v>1</v>
      </c>
      <c r="R345" t="e">
        <f t="shared" ca="1" si="21"/>
        <v>#NAME?</v>
      </c>
      <c r="S345">
        <f t="shared" si="22"/>
        <v>8</v>
      </c>
      <c r="T345" t="str">
        <f t="shared" si="23"/>
        <v>Tevreden</v>
      </c>
    </row>
    <row r="346" spans="1:20" x14ac:dyDescent="0.3">
      <c r="A346" t="s">
        <v>3244</v>
      </c>
      <c r="B346" t="s">
        <v>3245</v>
      </c>
      <c r="C346" t="s">
        <v>3246</v>
      </c>
      <c r="D346" t="s">
        <v>3247</v>
      </c>
      <c r="E346" t="s">
        <v>3248</v>
      </c>
      <c r="F346" t="s">
        <v>3249</v>
      </c>
      <c r="G346">
        <v>134.35</v>
      </c>
      <c r="H346">
        <v>13</v>
      </c>
      <c r="I346" t="s">
        <v>29</v>
      </c>
      <c r="J346" t="s">
        <v>1439</v>
      </c>
      <c r="K346" t="s">
        <v>1440</v>
      </c>
      <c r="L346" t="s">
        <v>1440</v>
      </c>
      <c r="M346" t="s">
        <v>1439</v>
      </c>
      <c r="N346" t="s">
        <v>1440</v>
      </c>
      <c r="O346" t="s">
        <v>23</v>
      </c>
      <c r="Q346">
        <f t="shared" si="20"/>
        <v>1</v>
      </c>
      <c r="R346" t="e">
        <f t="shared" ca="1" si="21"/>
        <v>#NAME?</v>
      </c>
      <c r="S346">
        <f t="shared" si="22"/>
        <v>6</v>
      </c>
      <c r="T346" t="str">
        <f t="shared" si="23"/>
        <v>Ontevreden</v>
      </c>
    </row>
    <row r="347" spans="1:20" x14ac:dyDescent="0.3">
      <c r="A347" t="s">
        <v>3250</v>
      </c>
      <c r="B347" t="s">
        <v>3251</v>
      </c>
      <c r="C347" t="s">
        <v>3252</v>
      </c>
      <c r="D347" t="s">
        <v>3253</v>
      </c>
      <c r="E347" t="s">
        <v>3254</v>
      </c>
      <c r="F347" t="s">
        <v>3255</v>
      </c>
      <c r="G347">
        <v>132.43</v>
      </c>
      <c r="H347">
        <v>16</v>
      </c>
      <c r="I347" t="s">
        <v>29</v>
      </c>
      <c r="J347" t="s">
        <v>1439</v>
      </c>
      <c r="K347" t="s">
        <v>1440</v>
      </c>
      <c r="L347" t="s">
        <v>1439</v>
      </c>
      <c r="M347" t="s">
        <v>1440</v>
      </c>
      <c r="N347" t="s">
        <v>1439</v>
      </c>
      <c r="O347" t="s">
        <v>23</v>
      </c>
      <c r="Q347">
        <f t="shared" si="20"/>
        <v>1</v>
      </c>
      <c r="R347" t="e">
        <f t="shared" ca="1" si="21"/>
        <v>#NAME?</v>
      </c>
      <c r="S347">
        <f t="shared" si="22"/>
        <v>4</v>
      </c>
      <c r="T347" t="str">
        <f t="shared" si="23"/>
        <v>Ontevreden</v>
      </c>
    </row>
    <row r="348" spans="1:20" x14ac:dyDescent="0.3">
      <c r="A348" t="s">
        <v>3256</v>
      </c>
      <c r="B348" t="s">
        <v>1695</v>
      </c>
      <c r="C348" t="s">
        <v>3257</v>
      </c>
      <c r="D348" t="s">
        <v>3258</v>
      </c>
      <c r="E348" t="s">
        <v>3259</v>
      </c>
      <c r="F348" t="s">
        <v>3260</v>
      </c>
      <c r="G348">
        <v>128.69</v>
      </c>
      <c r="H348">
        <v>7</v>
      </c>
      <c r="I348" t="s">
        <v>57</v>
      </c>
      <c r="J348" t="s">
        <v>1440</v>
      </c>
      <c r="K348" t="s">
        <v>1439</v>
      </c>
      <c r="L348" t="s">
        <v>1440</v>
      </c>
      <c r="M348" t="s">
        <v>1439</v>
      </c>
      <c r="N348" t="s">
        <v>1439</v>
      </c>
      <c r="O348" t="s">
        <v>23</v>
      </c>
      <c r="Q348">
        <f t="shared" si="20"/>
        <v>1</v>
      </c>
      <c r="R348" t="e">
        <f t="shared" ca="1" si="21"/>
        <v>#NAME?</v>
      </c>
      <c r="S348">
        <f t="shared" si="22"/>
        <v>2</v>
      </c>
      <c r="T348" t="str">
        <f t="shared" si="23"/>
        <v>Ontevreden</v>
      </c>
    </row>
    <row r="349" spans="1:20" x14ac:dyDescent="0.3">
      <c r="A349" t="s">
        <v>3261</v>
      </c>
      <c r="B349" t="s">
        <v>2635</v>
      </c>
      <c r="C349" t="s">
        <v>3262</v>
      </c>
      <c r="D349" t="s">
        <v>1073</v>
      </c>
      <c r="E349" t="s">
        <v>3263</v>
      </c>
      <c r="F349" t="s">
        <v>3264</v>
      </c>
      <c r="G349">
        <v>161.5</v>
      </c>
      <c r="H349">
        <v>1</v>
      </c>
      <c r="I349" t="s">
        <v>22</v>
      </c>
      <c r="J349" t="s">
        <v>1440</v>
      </c>
      <c r="K349" t="s">
        <v>1440</v>
      </c>
      <c r="L349" t="s">
        <v>1440</v>
      </c>
      <c r="M349" t="s">
        <v>1440</v>
      </c>
      <c r="N349" t="s">
        <v>1440</v>
      </c>
      <c r="O349" t="s">
        <v>34</v>
      </c>
      <c r="Q349">
        <f t="shared" si="20"/>
        <v>1</v>
      </c>
      <c r="R349" t="e">
        <f t="shared" ca="1" si="21"/>
        <v>#NAME?</v>
      </c>
      <c r="S349">
        <f t="shared" si="22"/>
        <v>8</v>
      </c>
      <c r="T349" t="str">
        <f t="shared" si="23"/>
        <v>Tevreden</v>
      </c>
    </row>
    <row r="350" spans="1:20" x14ac:dyDescent="0.3">
      <c r="A350" t="s">
        <v>3265</v>
      </c>
      <c r="B350" t="s">
        <v>3150</v>
      </c>
      <c r="C350" t="s">
        <v>3266</v>
      </c>
      <c r="D350" t="s">
        <v>3267</v>
      </c>
      <c r="E350" t="s">
        <v>3268</v>
      </c>
      <c r="F350" t="s">
        <v>3269</v>
      </c>
      <c r="G350">
        <v>98.11</v>
      </c>
      <c r="H350">
        <v>21</v>
      </c>
      <c r="I350" t="s">
        <v>22</v>
      </c>
      <c r="J350" t="s">
        <v>1440</v>
      </c>
      <c r="K350" t="s">
        <v>1440</v>
      </c>
      <c r="L350" t="s">
        <v>1440</v>
      </c>
      <c r="M350" t="s">
        <v>1440</v>
      </c>
      <c r="N350" t="s">
        <v>1439</v>
      </c>
      <c r="O350" t="s">
        <v>23</v>
      </c>
      <c r="Q350">
        <f t="shared" si="20"/>
        <v>1</v>
      </c>
      <c r="R350" t="e">
        <f t="shared" ca="1" si="21"/>
        <v>#NAME?</v>
      </c>
      <c r="S350">
        <f t="shared" si="22"/>
        <v>6</v>
      </c>
      <c r="T350" t="str">
        <f t="shared" si="23"/>
        <v>Ontevreden</v>
      </c>
    </row>
    <row r="351" spans="1:20" x14ac:dyDescent="0.3">
      <c r="A351" t="s">
        <v>1976</v>
      </c>
      <c r="B351" t="s">
        <v>1667</v>
      </c>
      <c r="C351" t="s">
        <v>3270</v>
      </c>
      <c r="D351" t="s">
        <v>3271</v>
      </c>
      <c r="E351" t="s">
        <v>3272</v>
      </c>
      <c r="F351" t="s">
        <v>3273</v>
      </c>
      <c r="G351">
        <v>54.08</v>
      </c>
      <c r="H351">
        <v>13</v>
      </c>
      <c r="I351" t="s">
        <v>29</v>
      </c>
      <c r="J351" t="s">
        <v>1440</v>
      </c>
      <c r="K351" t="s">
        <v>1440</v>
      </c>
      <c r="L351" t="s">
        <v>1439</v>
      </c>
      <c r="M351" t="s">
        <v>1439</v>
      </c>
      <c r="N351" t="s">
        <v>1439</v>
      </c>
      <c r="O351" t="s">
        <v>23</v>
      </c>
      <c r="Q351">
        <f t="shared" si="20"/>
        <v>1</v>
      </c>
      <c r="R351" t="e">
        <f t="shared" ca="1" si="21"/>
        <v>#NAME?</v>
      </c>
      <c r="S351">
        <f t="shared" si="22"/>
        <v>2</v>
      </c>
      <c r="T351" t="str">
        <f t="shared" si="23"/>
        <v>Ontevreden</v>
      </c>
    </row>
    <row r="352" spans="1:20" x14ac:dyDescent="0.3">
      <c r="A352" t="s">
        <v>2260</v>
      </c>
      <c r="B352" t="s">
        <v>3274</v>
      </c>
      <c r="C352" t="s">
        <v>3275</v>
      </c>
      <c r="D352" t="s">
        <v>3276</v>
      </c>
      <c r="E352" t="s">
        <v>3277</v>
      </c>
      <c r="F352" t="s">
        <v>3278</v>
      </c>
      <c r="G352">
        <v>78.239999999999995</v>
      </c>
      <c r="H352">
        <v>3</v>
      </c>
      <c r="I352" t="s">
        <v>29</v>
      </c>
      <c r="J352" t="s">
        <v>1440</v>
      </c>
      <c r="K352" t="s">
        <v>1440</v>
      </c>
      <c r="L352" t="s">
        <v>1440</v>
      </c>
      <c r="M352" t="s">
        <v>1440</v>
      </c>
      <c r="N352" t="s">
        <v>1440</v>
      </c>
      <c r="O352" t="s">
        <v>23</v>
      </c>
      <c r="Q352">
        <f t="shared" si="20"/>
        <v>1</v>
      </c>
      <c r="R352" t="e">
        <f t="shared" ca="1" si="21"/>
        <v>#NAME?</v>
      </c>
      <c r="S352">
        <f t="shared" si="22"/>
        <v>8</v>
      </c>
      <c r="T352" t="str">
        <f t="shared" si="23"/>
        <v>Tevreden</v>
      </c>
    </row>
    <row r="353" spans="1:20" x14ac:dyDescent="0.3">
      <c r="A353" t="s">
        <v>3279</v>
      </c>
      <c r="B353" t="s">
        <v>1502</v>
      </c>
      <c r="C353" t="s">
        <v>3280</v>
      </c>
      <c r="D353" t="s">
        <v>3281</v>
      </c>
      <c r="E353" t="s">
        <v>3282</v>
      </c>
      <c r="F353" t="s">
        <v>3283</v>
      </c>
      <c r="G353">
        <v>63.35</v>
      </c>
      <c r="H353">
        <v>6</v>
      </c>
      <c r="I353" t="s">
        <v>29</v>
      </c>
      <c r="J353" t="s">
        <v>1440</v>
      </c>
      <c r="K353" t="s">
        <v>1440</v>
      </c>
      <c r="L353" t="s">
        <v>1439</v>
      </c>
      <c r="M353" t="s">
        <v>1439</v>
      </c>
      <c r="N353" t="s">
        <v>1440</v>
      </c>
      <c r="O353" t="s">
        <v>23</v>
      </c>
      <c r="Q353">
        <f t="shared" si="20"/>
        <v>1</v>
      </c>
      <c r="R353" t="e">
        <f t="shared" ca="1" si="21"/>
        <v>#NAME?</v>
      </c>
      <c r="S353">
        <f t="shared" si="22"/>
        <v>4</v>
      </c>
      <c r="T353" t="str">
        <f t="shared" si="23"/>
        <v>Ontevreden</v>
      </c>
    </row>
    <row r="354" spans="1:20" x14ac:dyDescent="0.3">
      <c r="A354" t="s">
        <v>1614</v>
      </c>
      <c r="B354" t="s">
        <v>3284</v>
      </c>
      <c r="C354" t="s">
        <v>3285</v>
      </c>
      <c r="D354" t="s">
        <v>3286</v>
      </c>
      <c r="E354" t="s">
        <v>3287</v>
      </c>
      <c r="F354" t="s">
        <v>3288</v>
      </c>
      <c r="G354">
        <v>114.58</v>
      </c>
      <c r="H354">
        <v>11</v>
      </c>
      <c r="I354" t="s">
        <v>29</v>
      </c>
      <c r="J354" t="s">
        <v>1439</v>
      </c>
      <c r="K354" t="s">
        <v>1439</v>
      </c>
      <c r="L354" t="s">
        <v>1439</v>
      </c>
      <c r="M354" t="s">
        <v>1440</v>
      </c>
      <c r="N354" t="s">
        <v>1440</v>
      </c>
      <c r="O354" t="s">
        <v>23</v>
      </c>
      <c r="Q354">
        <f t="shared" si="20"/>
        <v>1</v>
      </c>
      <c r="R354" t="e">
        <f t="shared" ca="1" si="21"/>
        <v>#NAME?</v>
      </c>
      <c r="S354">
        <f t="shared" si="22"/>
        <v>4</v>
      </c>
      <c r="T354" t="str">
        <f t="shared" si="23"/>
        <v>Ontevreden</v>
      </c>
    </row>
    <row r="355" spans="1:20" x14ac:dyDescent="0.3">
      <c r="A355" t="s">
        <v>3289</v>
      </c>
      <c r="B355" t="s">
        <v>2206</v>
      </c>
      <c r="C355" t="s">
        <v>3290</v>
      </c>
      <c r="D355" t="s">
        <v>3291</v>
      </c>
      <c r="E355" t="s">
        <v>3292</v>
      </c>
      <c r="F355" t="s">
        <v>3293</v>
      </c>
      <c r="G355">
        <v>269.66000000000003</v>
      </c>
      <c r="H355">
        <v>9</v>
      </c>
      <c r="I355" t="s">
        <v>29</v>
      </c>
      <c r="J355" t="s">
        <v>1440</v>
      </c>
      <c r="K355" t="s">
        <v>1440</v>
      </c>
      <c r="L355" t="s">
        <v>1440</v>
      </c>
      <c r="M355" t="s">
        <v>1440</v>
      </c>
      <c r="N355" t="s">
        <v>1439</v>
      </c>
      <c r="O355" t="s">
        <v>34</v>
      </c>
      <c r="Q355">
        <f t="shared" si="20"/>
        <v>1</v>
      </c>
      <c r="R355" t="e">
        <f t="shared" ca="1" si="21"/>
        <v>#NAME?</v>
      </c>
      <c r="S355">
        <f t="shared" si="22"/>
        <v>6</v>
      </c>
      <c r="T355" t="str">
        <f t="shared" si="23"/>
        <v>Ontevreden</v>
      </c>
    </row>
    <row r="356" spans="1:20" x14ac:dyDescent="0.3">
      <c r="A356" t="s">
        <v>3294</v>
      </c>
      <c r="B356" t="s">
        <v>2911</v>
      </c>
      <c r="C356" t="s">
        <v>3295</v>
      </c>
      <c r="D356" t="s">
        <v>3296</v>
      </c>
      <c r="E356" t="s">
        <v>3297</v>
      </c>
      <c r="F356" t="s">
        <v>3298</v>
      </c>
      <c r="G356">
        <v>104.44</v>
      </c>
      <c r="H356">
        <v>18</v>
      </c>
      <c r="I356" t="s">
        <v>29</v>
      </c>
      <c r="J356" t="s">
        <v>1440</v>
      </c>
      <c r="K356" t="s">
        <v>1440</v>
      </c>
      <c r="L356" t="s">
        <v>1440</v>
      </c>
      <c r="M356" t="s">
        <v>1440</v>
      </c>
      <c r="N356" t="s">
        <v>1440</v>
      </c>
      <c r="O356" t="s">
        <v>23</v>
      </c>
      <c r="Q356">
        <f t="shared" si="20"/>
        <v>1</v>
      </c>
      <c r="R356" t="e">
        <f t="shared" ca="1" si="21"/>
        <v>#NAME?</v>
      </c>
      <c r="S356">
        <f t="shared" si="22"/>
        <v>8</v>
      </c>
      <c r="T356" t="str">
        <f t="shared" si="23"/>
        <v>Tevreden</v>
      </c>
    </row>
    <row r="357" spans="1:20" x14ac:dyDescent="0.3">
      <c r="A357" t="s">
        <v>2920</v>
      </c>
      <c r="B357" t="s">
        <v>3299</v>
      </c>
      <c r="C357" t="s">
        <v>3300</v>
      </c>
      <c r="D357" t="s">
        <v>3301</v>
      </c>
      <c r="E357" t="s">
        <v>3302</v>
      </c>
      <c r="F357" t="s">
        <v>3303</v>
      </c>
      <c r="G357">
        <v>116.94</v>
      </c>
      <c r="H357">
        <v>3</v>
      </c>
      <c r="I357" t="s">
        <v>57</v>
      </c>
      <c r="J357" t="s">
        <v>1439</v>
      </c>
      <c r="K357" t="s">
        <v>1440</v>
      </c>
      <c r="L357" t="s">
        <v>1439</v>
      </c>
      <c r="M357" t="s">
        <v>1439</v>
      </c>
      <c r="N357" t="s">
        <v>1440</v>
      </c>
      <c r="O357" t="s">
        <v>23</v>
      </c>
      <c r="Q357">
        <f t="shared" si="20"/>
        <v>1</v>
      </c>
      <c r="R357" t="e">
        <f t="shared" ca="1" si="21"/>
        <v>#NAME?</v>
      </c>
      <c r="S357">
        <f t="shared" si="22"/>
        <v>4</v>
      </c>
      <c r="T357" t="str">
        <f t="shared" si="23"/>
        <v>Ontevreden</v>
      </c>
    </row>
    <row r="358" spans="1:20" x14ac:dyDescent="0.3">
      <c r="A358" t="s">
        <v>3304</v>
      </c>
      <c r="B358" t="s">
        <v>1695</v>
      </c>
      <c r="C358" t="s">
        <v>3305</v>
      </c>
      <c r="D358" t="s">
        <v>3306</v>
      </c>
      <c r="E358" t="s">
        <v>3307</v>
      </c>
      <c r="F358" t="s">
        <v>3308</v>
      </c>
      <c r="G358">
        <v>125.34</v>
      </c>
      <c r="H358">
        <v>1</v>
      </c>
      <c r="I358" t="s">
        <v>22</v>
      </c>
      <c r="J358" t="s">
        <v>1439</v>
      </c>
      <c r="K358" t="s">
        <v>1440</v>
      </c>
      <c r="L358" t="s">
        <v>1440</v>
      </c>
      <c r="M358" t="s">
        <v>1439</v>
      </c>
      <c r="N358" t="s">
        <v>1439</v>
      </c>
      <c r="O358" t="s">
        <v>23</v>
      </c>
      <c r="Q358">
        <f t="shared" si="20"/>
        <v>1</v>
      </c>
      <c r="R358" t="e">
        <f t="shared" ca="1" si="21"/>
        <v>#NAME?</v>
      </c>
      <c r="S358">
        <f t="shared" si="22"/>
        <v>4</v>
      </c>
      <c r="T358" t="str">
        <f t="shared" si="23"/>
        <v>Ontevreden</v>
      </c>
    </row>
    <row r="359" spans="1:20" x14ac:dyDescent="0.3">
      <c r="A359" t="s">
        <v>3309</v>
      </c>
      <c r="B359" t="s">
        <v>2163</v>
      </c>
      <c r="C359" t="s">
        <v>3310</v>
      </c>
      <c r="D359" t="s">
        <v>3311</v>
      </c>
      <c r="E359" t="s">
        <v>3312</v>
      </c>
      <c r="F359" t="s">
        <v>3309</v>
      </c>
      <c r="G359">
        <v>89.81</v>
      </c>
      <c r="H359">
        <v>9</v>
      </c>
      <c r="I359" t="s">
        <v>57</v>
      </c>
      <c r="J359" t="s">
        <v>1440</v>
      </c>
      <c r="K359" t="s">
        <v>1439</v>
      </c>
      <c r="L359" t="s">
        <v>1440</v>
      </c>
      <c r="M359" t="s">
        <v>1440</v>
      </c>
      <c r="N359" t="s">
        <v>1440</v>
      </c>
      <c r="O359" t="s">
        <v>78</v>
      </c>
      <c r="Q359">
        <f t="shared" si="20"/>
        <v>1</v>
      </c>
      <c r="R359" t="e">
        <f t="shared" ca="1" si="21"/>
        <v>#NAME?</v>
      </c>
      <c r="S359">
        <f t="shared" si="22"/>
        <v>6</v>
      </c>
      <c r="T359" t="str">
        <f t="shared" si="23"/>
        <v>Ontevreden</v>
      </c>
    </row>
    <row r="360" spans="1:20" x14ac:dyDescent="0.3">
      <c r="A360" t="s">
        <v>1495</v>
      </c>
      <c r="B360" t="s">
        <v>2734</v>
      </c>
      <c r="C360" t="s">
        <v>3313</v>
      </c>
      <c r="D360" t="s">
        <v>3314</v>
      </c>
      <c r="E360" t="s">
        <v>3315</v>
      </c>
      <c r="F360" t="s">
        <v>3316</v>
      </c>
      <c r="G360">
        <v>80.36</v>
      </c>
      <c r="H360">
        <v>2</v>
      </c>
      <c r="I360" t="s">
        <v>22</v>
      </c>
      <c r="J360" t="s">
        <v>1439</v>
      </c>
      <c r="K360" t="s">
        <v>1440</v>
      </c>
      <c r="L360" t="s">
        <v>1440</v>
      </c>
      <c r="M360" t="s">
        <v>1439</v>
      </c>
      <c r="N360" t="s">
        <v>1440</v>
      </c>
      <c r="O360" t="s">
        <v>23</v>
      </c>
      <c r="Q360">
        <f t="shared" si="20"/>
        <v>1</v>
      </c>
      <c r="R360" t="e">
        <f t="shared" ca="1" si="21"/>
        <v>#NAME?</v>
      </c>
      <c r="S360">
        <f t="shared" si="22"/>
        <v>6</v>
      </c>
      <c r="T360" t="str">
        <f t="shared" si="23"/>
        <v>Ontevreden</v>
      </c>
    </row>
    <row r="361" spans="1:20" x14ac:dyDescent="0.3">
      <c r="A361" t="s">
        <v>3317</v>
      </c>
      <c r="B361" t="s">
        <v>2590</v>
      </c>
      <c r="C361" t="s">
        <v>3318</v>
      </c>
      <c r="D361" t="s">
        <v>3319</v>
      </c>
      <c r="E361" t="s">
        <v>3320</v>
      </c>
      <c r="F361" t="s">
        <v>3321</v>
      </c>
      <c r="G361">
        <v>190.14</v>
      </c>
      <c r="H361">
        <v>5</v>
      </c>
      <c r="I361" t="s">
        <v>29</v>
      </c>
      <c r="J361" t="s">
        <v>1440</v>
      </c>
      <c r="K361" t="s">
        <v>1440</v>
      </c>
      <c r="L361" t="s">
        <v>1440</v>
      </c>
      <c r="M361" t="s">
        <v>1440</v>
      </c>
      <c r="N361" t="s">
        <v>1440</v>
      </c>
      <c r="O361" t="s">
        <v>34</v>
      </c>
      <c r="Q361">
        <f t="shared" si="20"/>
        <v>1</v>
      </c>
      <c r="R361" t="e">
        <f t="shared" ca="1" si="21"/>
        <v>#NAME?</v>
      </c>
      <c r="S361">
        <f t="shared" si="22"/>
        <v>8</v>
      </c>
      <c r="T361" t="str">
        <f t="shared" si="23"/>
        <v>Tevreden</v>
      </c>
    </row>
    <row r="362" spans="1:20" x14ac:dyDescent="0.3">
      <c r="A362" t="s">
        <v>3322</v>
      </c>
      <c r="B362" t="s">
        <v>1876</v>
      </c>
      <c r="C362" t="s">
        <v>3323</v>
      </c>
      <c r="D362" t="s">
        <v>3324</v>
      </c>
      <c r="E362" t="s">
        <v>3325</v>
      </c>
      <c r="F362" t="s">
        <v>3326</v>
      </c>
      <c r="G362">
        <v>116.07</v>
      </c>
      <c r="H362">
        <v>3</v>
      </c>
      <c r="I362" t="s">
        <v>57</v>
      </c>
      <c r="J362" t="s">
        <v>1440</v>
      </c>
      <c r="K362" t="s">
        <v>1440</v>
      </c>
      <c r="L362" t="s">
        <v>1440</v>
      </c>
      <c r="M362" t="s">
        <v>1440</v>
      </c>
      <c r="N362" t="s">
        <v>1439</v>
      </c>
      <c r="O362" t="s">
        <v>34</v>
      </c>
      <c r="Q362">
        <f t="shared" si="20"/>
        <v>1</v>
      </c>
      <c r="R362" t="e">
        <f t="shared" ca="1" si="21"/>
        <v>#NAME?</v>
      </c>
      <c r="S362">
        <f t="shared" si="22"/>
        <v>6</v>
      </c>
      <c r="T362" t="str">
        <f t="shared" si="23"/>
        <v>Ontevreden</v>
      </c>
    </row>
    <row r="363" spans="1:20" x14ac:dyDescent="0.3">
      <c r="A363" t="s">
        <v>3327</v>
      </c>
      <c r="B363" t="s">
        <v>1695</v>
      </c>
      <c r="C363" t="s">
        <v>3328</v>
      </c>
      <c r="D363" t="s">
        <v>3329</v>
      </c>
      <c r="E363" t="s">
        <v>3330</v>
      </c>
      <c r="F363" t="s">
        <v>3331</v>
      </c>
      <c r="G363">
        <v>241.86</v>
      </c>
      <c r="H363">
        <v>10</v>
      </c>
      <c r="I363" t="s">
        <v>29</v>
      </c>
      <c r="J363" t="s">
        <v>1440</v>
      </c>
      <c r="K363" t="s">
        <v>1440</v>
      </c>
      <c r="L363" t="s">
        <v>1440</v>
      </c>
      <c r="M363" t="s">
        <v>1439</v>
      </c>
      <c r="N363" t="s">
        <v>1440</v>
      </c>
      <c r="O363" t="s">
        <v>23</v>
      </c>
      <c r="Q363">
        <f t="shared" si="20"/>
        <v>1</v>
      </c>
      <c r="R363" t="e">
        <f t="shared" ca="1" si="21"/>
        <v>#NAME?</v>
      </c>
      <c r="S363">
        <f t="shared" si="22"/>
        <v>6</v>
      </c>
      <c r="T363" t="str">
        <f t="shared" si="23"/>
        <v>Ontevreden</v>
      </c>
    </row>
    <row r="364" spans="1:20" x14ac:dyDescent="0.3">
      <c r="A364" t="s">
        <v>1519</v>
      </c>
      <c r="B364" t="s">
        <v>3332</v>
      </c>
      <c r="C364" t="s">
        <v>3333</v>
      </c>
      <c r="D364" t="s">
        <v>3334</v>
      </c>
      <c r="E364" t="s">
        <v>3335</v>
      </c>
      <c r="F364" t="s">
        <v>3336</v>
      </c>
      <c r="G364">
        <v>160.54</v>
      </c>
      <c r="H364">
        <v>6</v>
      </c>
      <c r="I364" t="s">
        <v>22</v>
      </c>
      <c r="J364" t="s">
        <v>1440</v>
      </c>
      <c r="K364" t="s">
        <v>1439</v>
      </c>
      <c r="L364" t="s">
        <v>1440</v>
      </c>
      <c r="M364" t="s">
        <v>1439</v>
      </c>
      <c r="N364" t="s">
        <v>1440</v>
      </c>
      <c r="O364" t="s">
        <v>23</v>
      </c>
      <c r="Q364">
        <f t="shared" si="20"/>
        <v>1</v>
      </c>
      <c r="R364" t="e">
        <f t="shared" ca="1" si="21"/>
        <v>#NAME?</v>
      </c>
      <c r="S364">
        <f t="shared" si="22"/>
        <v>4</v>
      </c>
      <c r="T364" t="str">
        <f t="shared" si="23"/>
        <v>Ontevreden</v>
      </c>
    </row>
    <row r="365" spans="1:20" x14ac:dyDescent="0.3">
      <c r="A365" t="s">
        <v>3337</v>
      </c>
      <c r="B365" t="s">
        <v>3332</v>
      </c>
      <c r="C365" t="s">
        <v>3338</v>
      </c>
      <c r="D365" t="s">
        <v>3339</v>
      </c>
      <c r="E365" t="s">
        <v>3340</v>
      </c>
      <c r="F365" t="s">
        <v>3341</v>
      </c>
      <c r="G365">
        <v>20.239999999999998</v>
      </c>
      <c r="H365">
        <v>13</v>
      </c>
      <c r="I365" t="s">
        <v>57</v>
      </c>
      <c r="J365" t="s">
        <v>1439</v>
      </c>
      <c r="K365" t="s">
        <v>1439</v>
      </c>
      <c r="L365" t="s">
        <v>1440</v>
      </c>
      <c r="M365" t="s">
        <v>1439</v>
      </c>
      <c r="N365" t="s">
        <v>1440</v>
      </c>
      <c r="O365" t="s">
        <v>23</v>
      </c>
      <c r="Q365">
        <f t="shared" si="20"/>
        <v>1</v>
      </c>
      <c r="R365" t="e">
        <f t="shared" ca="1" si="21"/>
        <v>#NAME?</v>
      </c>
      <c r="S365">
        <f t="shared" si="22"/>
        <v>4</v>
      </c>
      <c r="T365" t="str">
        <f t="shared" si="23"/>
        <v>Ontevreden</v>
      </c>
    </row>
    <row r="366" spans="1:20" x14ac:dyDescent="0.3">
      <c r="A366" t="s">
        <v>3342</v>
      </c>
      <c r="B366" t="s">
        <v>2392</v>
      </c>
      <c r="C366" t="s">
        <v>3343</v>
      </c>
      <c r="D366" t="s">
        <v>3344</v>
      </c>
      <c r="E366" t="s">
        <v>3345</v>
      </c>
      <c r="F366" t="s">
        <v>3342</v>
      </c>
      <c r="G366">
        <v>50.46</v>
      </c>
      <c r="H366">
        <v>17</v>
      </c>
      <c r="I366" t="s">
        <v>29</v>
      </c>
      <c r="J366" t="s">
        <v>1439</v>
      </c>
      <c r="K366" t="s">
        <v>1440</v>
      </c>
      <c r="L366" t="s">
        <v>1439</v>
      </c>
      <c r="M366" t="s">
        <v>1440</v>
      </c>
      <c r="N366" t="s">
        <v>1440</v>
      </c>
      <c r="O366" t="s">
        <v>23</v>
      </c>
      <c r="Q366">
        <f t="shared" si="20"/>
        <v>1</v>
      </c>
      <c r="R366" t="e">
        <f t="shared" ca="1" si="21"/>
        <v>#NAME?</v>
      </c>
      <c r="S366">
        <f t="shared" si="22"/>
        <v>6</v>
      </c>
      <c r="T366" t="str">
        <f t="shared" si="23"/>
        <v>Ontevreden</v>
      </c>
    </row>
    <row r="367" spans="1:20" x14ac:dyDescent="0.3">
      <c r="A367" t="s">
        <v>3346</v>
      </c>
      <c r="B367" t="s">
        <v>1632</v>
      </c>
      <c r="C367" t="s">
        <v>3347</v>
      </c>
      <c r="D367" t="s">
        <v>3348</v>
      </c>
      <c r="E367" t="s">
        <v>3349</v>
      </c>
      <c r="F367" t="s">
        <v>3350</v>
      </c>
      <c r="G367">
        <v>77.239999999999995</v>
      </c>
      <c r="H367">
        <v>17</v>
      </c>
      <c r="I367" t="s">
        <v>29</v>
      </c>
      <c r="J367" t="s">
        <v>1440</v>
      </c>
      <c r="K367" t="s">
        <v>1439</v>
      </c>
      <c r="L367" t="s">
        <v>1440</v>
      </c>
      <c r="M367" t="s">
        <v>1439</v>
      </c>
      <c r="N367" t="s">
        <v>1440</v>
      </c>
      <c r="O367" t="s">
        <v>23</v>
      </c>
      <c r="Q367">
        <f t="shared" si="20"/>
        <v>1</v>
      </c>
      <c r="R367" t="e">
        <f t="shared" ca="1" si="21"/>
        <v>#NAME?</v>
      </c>
      <c r="S367">
        <f t="shared" si="22"/>
        <v>4</v>
      </c>
      <c r="T367" t="str">
        <f t="shared" si="23"/>
        <v>Ontevreden</v>
      </c>
    </row>
    <row r="368" spans="1:20" x14ac:dyDescent="0.3">
      <c r="A368" t="s">
        <v>3351</v>
      </c>
      <c r="B368" t="s">
        <v>1755</v>
      </c>
      <c r="C368" t="s">
        <v>3352</v>
      </c>
      <c r="D368" t="s">
        <v>3353</v>
      </c>
      <c r="E368" t="s">
        <v>3354</v>
      </c>
      <c r="F368" t="s">
        <v>3355</v>
      </c>
      <c r="G368">
        <v>151.66</v>
      </c>
      <c r="H368">
        <v>13</v>
      </c>
      <c r="I368" t="s">
        <v>57</v>
      </c>
      <c r="J368" t="s">
        <v>1440</v>
      </c>
      <c r="K368" t="s">
        <v>1440</v>
      </c>
      <c r="L368" t="s">
        <v>1440</v>
      </c>
      <c r="M368" t="s">
        <v>1440</v>
      </c>
      <c r="N368" t="s">
        <v>1440</v>
      </c>
      <c r="O368" t="s">
        <v>34</v>
      </c>
      <c r="Q368">
        <f t="shared" si="20"/>
        <v>1</v>
      </c>
      <c r="R368" t="e">
        <f t="shared" ca="1" si="21"/>
        <v>#NAME?</v>
      </c>
      <c r="S368">
        <f t="shared" si="22"/>
        <v>8</v>
      </c>
      <c r="T368" t="str">
        <f t="shared" si="23"/>
        <v>Tevreden</v>
      </c>
    </row>
    <row r="369" spans="1:20" x14ac:dyDescent="0.3">
      <c r="A369" t="s">
        <v>3356</v>
      </c>
      <c r="B369" t="s">
        <v>3357</v>
      </c>
      <c r="C369" t="s">
        <v>3358</v>
      </c>
      <c r="D369" t="s">
        <v>3359</v>
      </c>
      <c r="E369" t="s">
        <v>3360</v>
      </c>
      <c r="F369" t="s">
        <v>3361</v>
      </c>
      <c r="G369">
        <v>109.24</v>
      </c>
      <c r="H369">
        <v>9</v>
      </c>
      <c r="I369" t="s">
        <v>22</v>
      </c>
      <c r="J369" t="s">
        <v>1440</v>
      </c>
      <c r="K369" t="s">
        <v>1440</v>
      </c>
      <c r="L369" t="s">
        <v>1439</v>
      </c>
      <c r="M369" t="s">
        <v>1440</v>
      </c>
      <c r="N369" t="s">
        <v>1440</v>
      </c>
      <c r="O369" t="s">
        <v>23</v>
      </c>
      <c r="Q369">
        <f t="shared" si="20"/>
        <v>1</v>
      </c>
      <c r="R369" t="e">
        <f t="shared" ca="1" si="21"/>
        <v>#NAME?</v>
      </c>
      <c r="S369">
        <f t="shared" si="22"/>
        <v>6</v>
      </c>
      <c r="T369" t="str">
        <f t="shared" si="23"/>
        <v>Ontevreden</v>
      </c>
    </row>
    <row r="370" spans="1:20" x14ac:dyDescent="0.3">
      <c r="A370" t="s">
        <v>3362</v>
      </c>
      <c r="B370" t="s">
        <v>3363</v>
      </c>
      <c r="C370" t="s">
        <v>3364</v>
      </c>
      <c r="D370" t="s">
        <v>3365</v>
      </c>
      <c r="E370" t="s">
        <v>3366</v>
      </c>
      <c r="F370" t="s">
        <v>3367</v>
      </c>
      <c r="G370">
        <v>96.17</v>
      </c>
      <c r="H370">
        <v>5</v>
      </c>
      <c r="I370" t="s">
        <v>57</v>
      </c>
      <c r="J370" t="s">
        <v>1440</v>
      </c>
      <c r="K370" t="s">
        <v>1440</v>
      </c>
      <c r="L370" t="s">
        <v>1440</v>
      </c>
      <c r="M370" t="s">
        <v>1439</v>
      </c>
      <c r="N370" t="s">
        <v>1440</v>
      </c>
      <c r="O370" t="s">
        <v>34</v>
      </c>
      <c r="Q370">
        <f t="shared" si="20"/>
        <v>1</v>
      </c>
      <c r="R370" t="e">
        <f t="shared" ca="1" si="21"/>
        <v>#NAME?</v>
      </c>
      <c r="S370">
        <f t="shared" si="22"/>
        <v>6</v>
      </c>
      <c r="T370" t="str">
        <f t="shared" si="23"/>
        <v>Ontevreden</v>
      </c>
    </row>
    <row r="371" spans="1:20" x14ac:dyDescent="0.3">
      <c r="A371" t="s">
        <v>3062</v>
      </c>
      <c r="B371" t="s">
        <v>2291</v>
      </c>
      <c r="C371" t="s">
        <v>3368</v>
      </c>
      <c r="D371" t="s">
        <v>3369</v>
      </c>
      <c r="E371" t="s">
        <v>3370</v>
      </c>
      <c r="F371" t="s">
        <v>3371</v>
      </c>
      <c r="G371">
        <v>156.91</v>
      </c>
      <c r="H371">
        <v>2</v>
      </c>
      <c r="I371" t="s">
        <v>57</v>
      </c>
      <c r="J371" t="s">
        <v>1440</v>
      </c>
      <c r="K371" t="s">
        <v>1439</v>
      </c>
      <c r="L371" t="s">
        <v>1440</v>
      </c>
      <c r="M371" t="s">
        <v>1440</v>
      </c>
      <c r="N371" t="s">
        <v>1439</v>
      </c>
      <c r="O371" t="s">
        <v>23</v>
      </c>
      <c r="Q371">
        <f t="shared" si="20"/>
        <v>1</v>
      </c>
      <c r="R371" t="e">
        <f t="shared" ca="1" si="21"/>
        <v>#NAME?</v>
      </c>
      <c r="S371">
        <f t="shared" si="22"/>
        <v>4</v>
      </c>
      <c r="T371" t="str">
        <f t="shared" si="23"/>
        <v>Ontevreden</v>
      </c>
    </row>
    <row r="372" spans="1:20" x14ac:dyDescent="0.3">
      <c r="A372" t="s">
        <v>3372</v>
      </c>
      <c r="B372" t="s">
        <v>2911</v>
      </c>
      <c r="C372" t="s">
        <v>3373</v>
      </c>
      <c r="D372" t="s">
        <v>3374</v>
      </c>
      <c r="E372" t="s">
        <v>3375</v>
      </c>
      <c r="F372" t="s">
        <v>3376</v>
      </c>
      <c r="G372">
        <v>118.98</v>
      </c>
      <c r="H372">
        <v>22</v>
      </c>
      <c r="I372" t="s">
        <v>22</v>
      </c>
      <c r="J372" t="s">
        <v>1439</v>
      </c>
      <c r="K372" t="s">
        <v>1439</v>
      </c>
      <c r="L372" t="s">
        <v>1440</v>
      </c>
      <c r="M372" t="s">
        <v>1440</v>
      </c>
      <c r="N372" t="s">
        <v>1440</v>
      </c>
      <c r="O372" t="s">
        <v>23</v>
      </c>
      <c r="Q372">
        <f t="shared" si="20"/>
        <v>1</v>
      </c>
      <c r="R372" t="e">
        <f t="shared" ca="1" si="21"/>
        <v>#NAME?</v>
      </c>
      <c r="S372">
        <f t="shared" si="22"/>
        <v>6</v>
      </c>
      <c r="T372" t="str">
        <f t="shared" si="23"/>
        <v>Ontevreden</v>
      </c>
    </row>
    <row r="373" spans="1:20" x14ac:dyDescent="0.3">
      <c r="A373" t="s">
        <v>3377</v>
      </c>
      <c r="B373" t="s">
        <v>3378</v>
      </c>
      <c r="C373" t="s">
        <v>3379</v>
      </c>
      <c r="D373" t="s">
        <v>3380</v>
      </c>
      <c r="E373" t="s">
        <v>3381</v>
      </c>
      <c r="F373" t="s">
        <v>3382</v>
      </c>
      <c r="G373">
        <v>65.239999999999995</v>
      </c>
      <c r="H373">
        <v>15</v>
      </c>
      <c r="I373" t="s">
        <v>29</v>
      </c>
      <c r="J373" t="s">
        <v>1440</v>
      </c>
      <c r="K373" t="s">
        <v>1440</v>
      </c>
      <c r="L373" t="s">
        <v>1440</v>
      </c>
      <c r="M373" t="s">
        <v>1440</v>
      </c>
      <c r="N373" t="s">
        <v>1440</v>
      </c>
      <c r="O373" t="s">
        <v>23</v>
      </c>
      <c r="Q373">
        <f t="shared" si="20"/>
        <v>1</v>
      </c>
      <c r="R373" t="e">
        <f t="shared" ca="1" si="21"/>
        <v>#NAME?</v>
      </c>
      <c r="S373">
        <f t="shared" si="22"/>
        <v>8</v>
      </c>
      <c r="T373" t="str">
        <f t="shared" si="23"/>
        <v>Tevreden</v>
      </c>
    </row>
    <row r="374" spans="1:20" x14ac:dyDescent="0.3">
      <c r="A374" t="s">
        <v>3383</v>
      </c>
      <c r="B374" t="s">
        <v>3384</v>
      </c>
      <c r="C374" t="s">
        <v>3385</v>
      </c>
      <c r="D374" t="s">
        <v>3386</v>
      </c>
      <c r="E374" t="s">
        <v>3387</v>
      </c>
      <c r="F374" t="s">
        <v>3388</v>
      </c>
      <c r="G374">
        <v>151.21</v>
      </c>
      <c r="H374">
        <v>6</v>
      </c>
      <c r="I374" t="s">
        <v>57</v>
      </c>
      <c r="J374" t="s">
        <v>1439</v>
      </c>
      <c r="K374" t="s">
        <v>1440</v>
      </c>
      <c r="L374" t="s">
        <v>1440</v>
      </c>
      <c r="M374" t="s">
        <v>1440</v>
      </c>
      <c r="N374" t="s">
        <v>1439</v>
      </c>
      <c r="O374" t="s">
        <v>34</v>
      </c>
      <c r="Q374">
        <f t="shared" si="20"/>
        <v>1</v>
      </c>
      <c r="R374" t="e">
        <f t="shared" ca="1" si="21"/>
        <v>#NAME?</v>
      </c>
      <c r="S374">
        <f t="shared" si="22"/>
        <v>6</v>
      </c>
      <c r="T374" t="str">
        <f t="shared" si="23"/>
        <v>Ontevreden</v>
      </c>
    </row>
    <row r="375" spans="1:20" x14ac:dyDescent="0.3">
      <c r="A375" t="s">
        <v>2624</v>
      </c>
      <c r="B375" t="s">
        <v>1725</v>
      </c>
      <c r="C375" t="s">
        <v>3389</v>
      </c>
      <c r="D375" t="s">
        <v>3390</v>
      </c>
      <c r="E375" t="s">
        <v>3391</v>
      </c>
      <c r="F375" t="s">
        <v>3392</v>
      </c>
      <c r="G375">
        <v>73.83</v>
      </c>
      <c r="H375">
        <v>11</v>
      </c>
      <c r="I375" t="s">
        <v>29</v>
      </c>
      <c r="J375" t="s">
        <v>1440</v>
      </c>
      <c r="K375" t="s">
        <v>1440</v>
      </c>
      <c r="L375" t="s">
        <v>1440</v>
      </c>
      <c r="M375" t="s">
        <v>1439</v>
      </c>
      <c r="N375" t="s">
        <v>1439</v>
      </c>
      <c r="O375" t="s">
        <v>23</v>
      </c>
      <c r="Q375">
        <f t="shared" si="20"/>
        <v>1</v>
      </c>
      <c r="R375" t="e">
        <f t="shared" ca="1" si="21"/>
        <v>#NAME?</v>
      </c>
      <c r="S375">
        <f t="shared" si="22"/>
        <v>4</v>
      </c>
      <c r="T375" t="str">
        <f t="shared" si="23"/>
        <v>Ontevreden</v>
      </c>
    </row>
    <row r="376" spans="1:20" x14ac:dyDescent="0.3">
      <c r="A376" t="s">
        <v>2920</v>
      </c>
      <c r="B376" t="s">
        <v>2040</v>
      </c>
      <c r="C376" t="s">
        <v>3393</v>
      </c>
      <c r="D376" t="s">
        <v>3394</v>
      </c>
      <c r="E376" t="s">
        <v>3395</v>
      </c>
      <c r="F376" t="s">
        <v>3396</v>
      </c>
      <c r="G376">
        <v>99.06</v>
      </c>
      <c r="H376">
        <v>16</v>
      </c>
      <c r="I376" t="s">
        <v>22</v>
      </c>
      <c r="J376" t="s">
        <v>1439</v>
      </c>
      <c r="K376" t="s">
        <v>1440</v>
      </c>
      <c r="L376" t="s">
        <v>1440</v>
      </c>
      <c r="M376" t="s">
        <v>1440</v>
      </c>
      <c r="N376" t="s">
        <v>1440</v>
      </c>
      <c r="O376" t="s">
        <v>34</v>
      </c>
      <c r="Q376">
        <f t="shared" si="20"/>
        <v>1</v>
      </c>
      <c r="R376" t="e">
        <f t="shared" ca="1" si="21"/>
        <v>#NAME?</v>
      </c>
      <c r="S376">
        <f t="shared" si="22"/>
        <v>8</v>
      </c>
      <c r="T376" t="str">
        <f t="shared" si="23"/>
        <v>Tevreden</v>
      </c>
    </row>
    <row r="377" spans="1:20" x14ac:dyDescent="0.3">
      <c r="A377" t="s">
        <v>3397</v>
      </c>
      <c r="B377" t="s">
        <v>2806</v>
      </c>
      <c r="C377" t="s">
        <v>3398</v>
      </c>
      <c r="D377" t="s">
        <v>3399</v>
      </c>
      <c r="E377" t="s">
        <v>3400</v>
      </c>
      <c r="F377" t="s">
        <v>3401</v>
      </c>
      <c r="G377">
        <v>77.13</v>
      </c>
      <c r="H377">
        <v>11</v>
      </c>
      <c r="I377" t="s">
        <v>22</v>
      </c>
      <c r="J377" t="s">
        <v>1440</v>
      </c>
      <c r="K377" t="s">
        <v>1439</v>
      </c>
      <c r="L377" t="s">
        <v>1439</v>
      </c>
      <c r="M377" t="s">
        <v>1440</v>
      </c>
      <c r="N377" t="s">
        <v>1439</v>
      </c>
      <c r="O377" t="s">
        <v>23</v>
      </c>
      <c r="Q377">
        <f t="shared" si="20"/>
        <v>1</v>
      </c>
      <c r="R377" t="e">
        <f t="shared" ca="1" si="21"/>
        <v>#NAME?</v>
      </c>
      <c r="S377">
        <f t="shared" si="22"/>
        <v>2</v>
      </c>
      <c r="T377" t="str">
        <f t="shared" si="23"/>
        <v>Ontevreden</v>
      </c>
    </row>
    <row r="378" spans="1:20" x14ac:dyDescent="0.3">
      <c r="A378" t="s">
        <v>3322</v>
      </c>
      <c r="B378" t="s">
        <v>2590</v>
      </c>
      <c r="C378" t="s">
        <v>3402</v>
      </c>
      <c r="D378" t="s">
        <v>3403</v>
      </c>
      <c r="E378" t="s">
        <v>3404</v>
      </c>
      <c r="F378" t="s">
        <v>3322</v>
      </c>
      <c r="G378">
        <v>105.07</v>
      </c>
      <c r="H378">
        <v>8</v>
      </c>
      <c r="I378" t="s">
        <v>29</v>
      </c>
      <c r="J378" t="s">
        <v>1440</v>
      </c>
      <c r="K378" t="s">
        <v>1440</v>
      </c>
      <c r="L378" t="s">
        <v>1439</v>
      </c>
      <c r="M378" t="s">
        <v>1440</v>
      </c>
      <c r="N378" t="s">
        <v>1439</v>
      </c>
      <c r="O378" t="s">
        <v>23</v>
      </c>
      <c r="Q378">
        <f t="shared" si="20"/>
        <v>1</v>
      </c>
      <c r="R378" t="e">
        <f t="shared" ca="1" si="21"/>
        <v>#NAME?</v>
      </c>
      <c r="S378">
        <f t="shared" si="22"/>
        <v>4</v>
      </c>
      <c r="T378" t="str">
        <f t="shared" si="23"/>
        <v>Ontevreden</v>
      </c>
    </row>
    <row r="379" spans="1:20" x14ac:dyDescent="0.3">
      <c r="A379" t="s">
        <v>3405</v>
      </c>
      <c r="B379" t="s">
        <v>1460</v>
      </c>
      <c r="C379" t="s">
        <v>3406</v>
      </c>
      <c r="D379" t="s">
        <v>3407</v>
      </c>
      <c r="E379" t="s">
        <v>3408</v>
      </c>
      <c r="F379" t="s">
        <v>3409</v>
      </c>
      <c r="G379">
        <v>222.86</v>
      </c>
      <c r="H379">
        <v>28</v>
      </c>
      <c r="I379" t="s">
        <v>29</v>
      </c>
      <c r="J379" t="s">
        <v>1440</v>
      </c>
      <c r="K379" t="s">
        <v>1440</v>
      </c>
      <c r="L379" t="s">
        <v>1439</v>
      </c>
      <c r="M379" t="s">
        <v>1440</v>
      </c>
      <c r="N379" t="s">
        <v>1440</v>
      </c>
      <c r="O379" t="s">
        <v>34</v>
      </c>
      <c r="Q379">
        <f t="shared" si="20"/>
        <v>1</v>
      </c>
      <c r="R379" t="e">
        <f t="shared" ca="1" si="21"/>
        <v>#NAME?</v>
      </c>
      <c r="S379">
        <f t="shared" si="22"/>
        <v>6</v>
      </c>
      <c r="T379" t="str">
        <f t="shared" si="23"/>
        <v>Ontevreden</v>
      </c>
    </row>
    <row r="380" spans="1:20" x14ac:dyDescent="0.3">
      <c r="A380" t="s">
        <v>2916</v>
      </c>
      <c r="B380" t="s">
        <v>2806</v>
      </c>
      <c r="C380" t="s">
        <v>3410</v>
      </c>
      <c r="D380" t="s">
        <v>3411</v>
      </c>
      <c r="E380" t="s">
        <v>3412</v>
      </c>
      <c r="F380" t="s">
        <v>3413</v>
      </c>
      <c r="G380">
        <v>193.86</v>
      </c>
      <c r="H380">
        <v>4</v>
      </c>
      <c r="I380" t="s">
        <v>22</v>
      </c>
      <c r="J380" t="s">
        <v>1440</v>
      </c>
      <c r="K380" t="s">
        <v>1440</v>
      </c>
      <c r="L380" t="s">
        <v>1440</v>
      </c>
      <c r="M380" t="s">
        <v>1439</v>
      </c>
      <c r="N380" t="s">
        <v>1439</v>
      </c>
      <c r="O380" t="s">
        <v>34</v>
      </c>
      <c r="Q380">
        <f t="shared" si="20"/>
        <v>1</v>
      </c>
      <c r="R380" t="e">
        <f t="shared" ca="1" si="21"/>
        <v>#NAME?</v>
      </c>
      <c r="S380">
        <f t="shared" si="22"/>
        <v>4</v>
      </c>
      <c r="T380" t="str">
        <f t="shared" si="23"/>
        <v>Ontevreden</v>
      </c>
    </row>
    <row r="381" spans="1:20" x14ac:dyDescent="0.3">
      <c r="A381" t="s">
        <v>3414</v>
      </c>
      <c r="B381" t="s">
        <v>2256</v>
      </c>
      <c r="C381" t="s">
        <v>3415</v>
      </c>
      <c r="D381" t="s">
        <v>3416</v>
      </c>
      <c r="E381" t="s">
        <v>3417</v>
      </c>
      <c r="F381" t="s">
        <v>3414</v>
      </c>
      <c r="G381">
        <v>61.75</v>
      </c>
      <c r="H381">
        <v>24</v>
      </c>
      <c r="I381" t="s">
        <v>29</v>
      </c>
      <c r="J381" t="s">
        <v>1440</v>
      </c>
      <c r="K381" t="s">
        <v>1440</v>
      </c>
      <c r="L381" t="s">
        <v>1439</v>
      </c>
      <c r="M381" t="s">
        <v>1440</v>
      </c>
      <c r="N381" t="s">
        <v>1440</v>
      </c>
      <c r="O381" t="s">
        <v>23</v>
      </c>
      <c r="Q381">
        <f t="shared" si="20"/>
        <v>1</v>
      </c>
      <c r="R381" t="e">
        <f t="shared" ca="1" si="21"/>
        <v>#NAME?</v>
      </c>
      <c r="S381">
        <f t="shared" si="22"/>
        <v>6</v>
      </c>
      <c r="T381" t="str">
        <f t="shared" si="23"/>
        <v>Ontevreden</v>
      </c>
    </row>
    <row r="382" spans="1:20" x14ac:dyDescent="0.3">
      <c r="A382" t="s">
        <v>2531</v>
      </c>
      <c r="B382" t="s">
        <v>3418</v>
      </c>
      <c r="C382" t="s">
        <v>3419</v>
      </c>
      <c r="D382" t="s">
        <v>3420</v>
      </c>
      <c r="E382" t="s">
        <v>3421</v>
      </c>
      <c r="F382" t="s">
        <v>3422</v>
      </c>
      <c r="G382">
        <v>214.47</v>
      </c>
      <c r="H382">
        <v>8</v>
      </c>
      <c r="I382" t="s">
        <v>29</v>
      </c>
      <c r="J382" t="s">
        <v>1440</v>
      </c>
      <c r="K382" t="s">
        <v>1439</v>
      </c>
      <c r="L382" t="s">
        <v>1439</v>
      </c>
      <c r="M382" t="s">
        <v>1440</v>
      </c>
      <c r="N382" t="s">
        <v>1440</v>
      </c>
      <c r="O382" t="s">
        <v>23</v>
      </c>
      <c r="Q382">
        <f t="shared" si="20"/>
        <v>1</v>
      </c>
      <c r="R382" t="e">
        <f t="shared" ca="1" si="21"/>
        <v>#NAME?</v>
      </c>
      <c r="S382">
        <f t="shared" si="22"/>
        <v>4</v>
      </c>
      <c r="T382" t="str">
        <f t="shared" si="23"/>
        <v>Ontevreden</v>
      </c>
    </row>
    <row r="383" spans="1:20" x14ac:dyDescent="0.3">
      <c r="A383" t="s">
        <v>3423</v>
      </c>
      <c r="B383" t="s">
        <v>2079</v>
      </c>
      <c r="C383" t="s">
        <v>3424</v>
      </c>
      <c r="D383" t="s">
        <v>3425</v>
      </c>
      <c r="E383" t="s">
        <v>3426</v>
      </c>
      <c r="F383" t="s">
        <v>3427</v>
      </c>
      <c r="G383">
        <v>119.53</v>
      </c>
      <c r="H383">
        <v>9</v>
      </c>
      <c r="I383" t="s">
        <v>29</v>
      </c>
      <c r="J383" t="s">
        <v>1440</v>
      </c>
      <c r="K383" t="s">
        <v>1440</v>
      </c>
      <c r="L383" t="s">
        <v>1440</v>
      </c>
      <c r="M383" t="s">
        <v>1440</v>
      </c>
      <c r="N383" t="s">
        <v>1439</v>
      </c>
      <c r="O383" t="s">
        <v>34</v>
      </c>
      <c r="Q383">
        <f t="shared" si="20"/>
        <v>1</v>
      </c>
      <c r="R383" t="e">
        <f t="shared" ca="1" si="21"/>
        <v>#NAME?</v>
      </c>
      <c r="S383">
        <f t="shared" si="22"/>
        <v>6</v>
      </c>
      <c r="T383" t="str">
        <f t="shared" si="23"/>
        <v>Ontevreden</v>
      </c>
    </row>
    <row r="384" spans="1:20" x14ac:dyDescent="0.3">
      <c r="A384" t="s">
        <v>3428</v>
      </c>
      <c r="B384" t="s">
        <v>2414</v>
      </c>
      <c r="C384" t="s">
        <v>3429</v>
      </c>
      <c r="D384" t="s">
        <v>3430</v>
      </c>
      <c r="E384" t="s">
        <v>3431</v>
      </c>
      <c r="F384" t="s">
        <v>3432</v>
      </c>
      <c r="G384">
        <v>107.19</v>
      </c>
      <c r="H384">
        <v>7</v>
      </c>
      <c r="I384" t="s">
        <v>29</v>
      </c>
      <c r="J384" t="s">
        <v>1440</v>
      </c>
      <c r="K384" t="s">
        <v>1440</v>
      </c>
      <c r="L384" t="s">
        <v>1440</v>
      </c>
      <c r="M384" t="s">
        <v>1440</v>
      </c>
      <c r="N384" t="s">
        <v>1439</v>
      </c>
      <c r="O384" t="s">
        <v>23</v>
      </c>
      <c r="Q384">
        <f t="shared" si="20"/>
        <v>1</v>
      </c>
      <c r="R384" t="e">
        <f t="shared" ca="1" si="21"/>
        <v>#NAME?</v>
      </c>
      <c r="S384">
        <f t="shared" si="22"/>
        <v>6</v>
      </c>
      <c r="T384" t="str">
        <f t="shared" si="23"/>
        <v>Ontevreden</v>
      </c>
    </row>
    <row r="385" spans="1:20" x14ac:dyDescent="0.3">
      <c r="A385" t="s">
        <v>3433</v>
      </c>
      <c r="B385" t="s">
        <v>1996</v>
      </c>
      <c r="C385" t="s">
        <v>3434</v>
      </c>
      <c r="D385" t="s">
        <v>3435</v>
      </c>
      <c r="E385" t="s">
        <v>3436</v>
      </c>
      <c r="F385" t="s">
        <v>3437</v>
      </c>
      <c r="G385">
        <v>174.68</v>
      </c>
      <c r="H385">
        <v>18</v>
      </c>
      <c r="I385" t="s">
        <v>29</v>
      </c>
      <c r="J385" t="s">
        <v>1440</v>
      </c>
      <c r="K385" t="s">
        <v>1439</v>
      </c>
      <c r="L385" t="s">
        <v>1440</v>
      </c>
      <c r="M385" t="s">
        <v>1439</v>
      </c>
      <c r="N385" t="s">
        <v>1440</v>
      </c>
      <c r="O385" t="s">
        <v>23</v>
      </c>
      <c r="Q385">
        <f t="shared" si="20"/>
        <v>1</v>
      </c>
      <c r="R385" t="e">
        <f t="shared" ca="1" si="21"/>
        <v>#NAME?</v>
      </c>
      <c r="S385">
        <f t="shared" si="22"/>
        <v>4</v>
      </c>
      <c r="T385" t="str">
        <f t="shared" si="23"/>
        <v>Ontevreden</v>
      </c>
    </row>
    <row r="386" spans="1:20" x14ac:dyDescent="0.3">
      <c r="A386" t="s">
        <v>3438</v>
      </c>
      <c r="B386" t="s">
        <v>1791</v>
      </c>
      <c r="C386" t="s">
        <v>3439</v>
      </c>
      <c r="D386" t="s">
        <v>3440</v>
      </c>
      <c r="E386" t="s">
        <v>3441</v>
      </c>
      <c r="F386" t="s">
        <v>3442</v>
      </c>
      <c r="G386">
        <v>223.1</v>
      </c>
      <c r="H386">
        <v>10</v>
      </c>
      <c r="I386" t="s">
        <v>29</v>
      </c>
      <c r="J386" t="s">
        <v>1440</v>
      </c>
      <c r="K386" t="s">
        <v>1440</v>
      </c>
      <c r="L386" t="s">
        <v>1440</v>
      </c>
      <c r="M386" t="s">
        <v>1440</v>
      </c>
      <c r="N386" t="s">
        <v>1440</v>
      </c>
      <c r="O386" t="s">
        <v>34</v>
      </c>
      <c r="Q386">
        <f t="shared" ref="Q386:Q449" si="24">LEN(G386)-LEN(SUBSTITUTE(G386,",",""))+1</f>
        <v>1</v>
      </c>
      <c r="R386" t="e">
        <f t="shared" ref="R386:R449" ca="1" si="25">SWITCH(I386, "Zelden", 1, "Af en toe", 4, "Regelmatig", 8, "Vaak", 12)</f>
        <v>#NAME?</v>
      </c>
      <c r="S386">
        <f t="shared" ref="S386:S449" si="26">AVERAGE(--(K386="ja"), --(L386="ja"), --(M386="ja"), --(N386="ja"), --(O386="ja"))*10</f>
        <v>8</v>
      </c>
      <c r="T386" t="str">
        <f t="shared" ref="T386:T449" si="27">IF(S386&gt;=7, "Tevreden", "Ontevreden")</f>
        <v>Tevreden</v>
      </c>
    </row>
    <row r="387" spans="1:20" x14ac:dyDescent="0.3">
      <c r="A387" t="s">
        <v>3443</v>
      </c>
      <c r="B387" t="s">
        <v>3444</v>
      </c>
      <c r="C387" t="s">
        <v>3445</v>
      </c>
      <c r="D387" t="s">
        <v>1904</v>
      </c>
      <c r="E387" t="s">
        <v>3446</v>
      </c>
      <c r="F387" t="s">
        <v>3447</v>
      </c>
      <c r="G387">
        <v>163.58000000000001</v>
      </c>
      <c r="H387">
        <v>17</v>
      </c>
      <c r="I387" t="s">
        <v>22</v>
      </c>
      <c r="J387" t="s">
        <v>1440</v>
      </c>
      <c r="K387" t="s">
        <v>1440</v>
      </c>
      <c r="L387" t="s">
        <v>1440</v>
      </c>
      <c r="M387" t="s">
        <v>1440</v>
      </c>
      <c r="N387" t="s">
        <v>1440</v>
      </c>
      <c r="O387" t="s">
        <v>23</v>
      </c>
      <c r="Q387">
        <f t="shared" si="24"/>
        <v>1</v>
      </c>
      <c r="R387" t="e">
        <f t="shared" ca="1" si="25"/>
        <v>#NAME?</v>
      </c>
      <c r="S387">
        <f t="shared" si="26"/>
        <v>8</v>
      </c>
      <c r="T387" t="str">
        <f t="shared" si="27"/>
        <v>Tevreden</v>
      </c>
    </row>
    <row r="388" spans="1:20" x14ac:dyDescent="0.3">
      <c r="A388" t="s">
        <v>3448</v>
      </c>
      <c r="B388" t="s">
        <v>3449</v>
      </c>
      <c r="C388" t="s">
        <v>3450</v>
      </c>
      <c r="D388" t="s">
        <v>3451</v>
      </c>
      <c r="E388" t="s">
        <v>3452</v>
      </c>
      <c r="F388" t="s">
        <v>3453</v>
      </c>
      <c r="G388">
        <v>25.25</v>
      </c>
      <c r="H388">
        <v>1</v>
      </c>
      <c r="I388" t="s">
        <v>29</v>
      </c>
      <c r="J388" t="s">
        <v>1440</v>
      </c>
      <c r="K388" t="s">
        <v>1440</v>
      </c>
      <c r="L388" t="s">
        <v>1440</v>
      </c>
      <c r="M388" t="s">
        <v>1440</v>
      </c>
      <c r="N388" t="s">
        <v>1440</v>
      </c>
      <c r="O388" t="s">
        <v>34</v>
      </c>
      <c r="Q388">
        <f t="shared" si="24"/>
        <v>1</v>
      </c>
      <c r="R388" t="e">
        <f t="shared" ca="1" si="25"/>
        <v>#NAME?</v>
      </c>
      <c r="S388">
        <f t="shared" si="26"/>
        <v>8</v>
      </c>
      <c r="T388" t="str">
        <f t="shared" si="27"/>
        <v>Tevreden</v>
      </c>
    </row>
    <row r="389" spans="1:20" x14ac:dyDescent="0.3">
      <c r="A389" t="s">
        <v>2402</v>
      </c>
      <c r="B389" t="s">
        <v>1808</v>
      </c>
      <c r="C389" t="s">
        <v>3454</v>
      </c>
      <c r="D389" t="s">
        <v>3455</v>
      </c>
      <c r="E389" t="s">
        <v>3456</v>
      </c>
      <c r="F389" t="s">
        <v>3457</v>
      </c>
      <c r="G389">
        <v>178.07</v>
      </c>
      <c r="H389">
        <v>17</v>
      </c>
      <c r="I389" t="s">
        <v>29</v>
      </c>
      <c r="J389" t="s">
        <v>1440</v>
      </c>
      <c r="K389" t="s">
        <v>1440</v>
      </c>
      <c r="L389" t="s">
        <v>1440</v>
      </c>
      <c r="M389" t="s">
        <v>1439</v>
      </c>
      <c r="N389" t="s">
        <v>1439</v>
      </c>
      <c r="O389" t="s">
        <v>23</v>
      </c>
      <c r="Q389">
        <f t="shared" si="24"/>
        <v>1</v>
      </c>
      <c r="R389" t="e">
        <f t="shared" ca="1" si="25"/>
        <v>#NAME?</v>
      </c>
      <c r="S389">
        <f t="shared" si="26"/>
        <v>4</v>
      </c>
      <c r="T389" t="str">
        <f t="shared" si="27"/>
        <v>Ontevreden</v>
      </c>
    </row>
    <row r="390" spans="1:20" x14ac:dyDescent="0.3">
      <c r="A390" t="s">
        <v>3199</v>
      </c>
      <c r="B390" t="s">
        <v>2074</v>
      </c>
      <c r="C390" t="s">
        <v>3458</v>
      </c>
      <c r="D390" t="s">
        <v>3459</v>
      </c>
      <c r="E390" t="s">
        <v>3460</v>
      </c>
      <c r="F390" t="s">
        <v>3199</v>
      </c>
      <c r="G390">
        <v>97.07</v>
      </c>
      <c r="H390">
        <v>6</v>
      </c>
      <c r="I390" t="s">
        <v>57</v>
      </c>
      <c r="J390" t="s">
        <v>1440</v>
      </c>
      <c r="K390" t="s">
        <v>1440</v>
      </c>
      <c r="L390" t="s">
        <v>1440</v>
      </c>
      <c r="M390" t="s">
        <v>1440</v>
      </c>
      <c r="N390" t="s">
        <v>1440</v>
      </c>
      <c r="O390" t="s">
        <v>23</v>
      </c>
      <c r="Q390">
        <f t="shared" si="24"/>
        <v>1</v>
      </c>
      <c r="R390" t="e">
        <f t="shared" ca="1" si="25"/>
        <v>#NAME?</v>
      </c>
      <c r="S390">
        <f t="shared" si="26"/>
        <v>8</v>
      </c>
      <c r="T390" t="str">
        <f t="shared" si="27"/>
        <v>Tevreden</v>
      </c>
    </row>
    <row r="391" spans="1:20" x14ac:dyDescent="0.3">
      <c r="A391" t="s">
        <v>3461</v>
      </c>
      <c r="B391" t="s">
        <v>1484</v>
      </c>
      <c r="C391" t="s">
        <v>3462</v>
      </c>
      <c r="D391" t="s">
        <v>3463</v>
      </c>
      <c r="E391" t="s">
        <v>3464</v>
      </c>
      <c r="F391" t="s">
        <v>3465</v>
      </c>
      <c r="G391">
        <v>203.28</v>
      </c>
      <c r="H391">
        <v>8</v>
      </c>
      <c r="I391" t="s">
        <v>29</v>
      </c>
      <c r="J391" t="s">
        <v>1439</v>
      </c>
      <c r="K391" t="s">
        <v>1439</v>
      </c>
      <c r="L391" t="s">
        <v>1440</v>
      </c>
      <c r="M391" t="s">
        <v>1440</v>
      </c>
      <c r="N391" t="s">
        <v>1440</v>
      </c>
      <c r="O391" t="s">
        <v>23</v>
      </c>
      <c r="Q391">
        <f t="shared" si="24"/>
        <v>1</v>
      </c>
      <c r="R391" t="e">
        <f t="shared" ca="1" si="25"/>
        <v>#NAME?</v>
      </c>
      <c r="S391">
        <f t="shared" si="26"/>
        <v>6</v>
      </c>
      <c r="T391" t="str">
        <f t="shared" si="27"/>
        <v>Ontevreden</v>
      </c>
    </row>
    <row r="392" spans="1:20" x14ac:dyDescent="0.3">
      <c r="A392" t="s">
        <v>3466</v>
      </c>
      <c r="B392" t="s">
        <v>2734</v>
      </c>
      <c r="C392" t="s">
        <v>3467</v>
      </c>
      <c r="D392" t="s">
        <v>3468</v>
      </c>
      <c r="E392" t="s">
        <v>3469</v>
      </c>
      <c r="F392" t="s">
        <v>3470</v>
      </c>
      <c r="G392">
        <v>89.56</v>
      </c>
      <c r="H392">
        <v>6</v>
      </c>
      <c r="I392" t="s">
        <v>22</v>
      </c>
      <c r="J392" t="s">
        <v>1439</v>
      </c>
      <c r="K392" t="s">
        <v>1440</v>
      </c>
      <c r="L392" t="s">
        <v>1439</v>
      </c>
      <c r="M392" t="s">
        <v>1440</v>
      </c>
      <c r="N392" t="s">
        <v>1439</v>
      </c>
      <c r="O392" t="s">
        <v>23</v>
      </c>
      <c r="Q392">
        <f t="shared" si="24"/>
        <v>1</v>
      </c>
      <c r="R392" t="e">
        <f t="shared" ca="1" si="25"/>
        <v>#NAME?</v>
      </c>
      <c r="S392">
        <f t="shared" si="26"/>
        <v>4</v>
      </c>
      <c r="T392" t="str">
        <f t="shared" si="27"/>
        <v>Ontevreden</v>
      </c>
    </row>
    <row r="393" spans="1:20" x14ac:dyDescent="0.3">
      <c r="A393" t="s">
        <v>3238</v>
      </c>
      <c r="B393" t="s">
        <v>3471</v>
      </c>
      <c r="C393" t="s">
        <v>3472</v>
      </c>
      <c r="D393" t="s">
        <v>3473</v>
      </c>
      <c r="E393" t="s">
        <v>3474</v>
      </c>
      <c r="F393" t="s">
        <v>3475</v>
      </c>
      <c r="G393">
        <v>196.31</v>
      </c>
      <c r="H393">
        <v>2</v>
      </c>
      <c r="I393" t="s">
        <v>29</v>
      </c>
      <c r="J393" t="s">
        <v>1440</v>
      </c>
      <c r="K393" t="s">
        <v>1440</v>
      </c>
      <c r="L393" t="s">
        <v>1439</v>
      </c>
      <c r="M393" t="s">
        <v>1440</v>
      </c>
      <c r="N393" t="s">
        <v>1440</v>
      </c>
      <c r="O393" t="s">
        <v>23</v>
      </c>
      <c r="Q393">
        <f t="shared" si="24"/>
        <v>1</v>
      </c>
      <c r="R393" t="e">
        <f t="shared" ca="1" si="25"/>
        <v>#NAME?</v>
      </c>
      <c r="S393">
        <f t="shared" si="26"/>
        <v>6</v>
      </c>
      <c r="T393" t="str">
        <f t="shared" si="27"/>
        <v>Ontevreden</v>
      </c>
    </row>
    <row r="394" spans="1:20" x14ac:dyDescent="0.3">
      <c r="A394" t="s">
        <v>3476</v>
      </c>
      <c r="B394" t="s">
        <v>1973</v>
      </c>
      <c r="C394" t="s">
        <v>3477</v>
      </c>
      <c r="D394" t="s">
        <v>3478</v>
      </c>
      <c r="E394" t="s">
        <v>3479</v>
      </c>
      <c r="F394" t="s">
        <v>3480</v>
      </c>
      <c r="G394">
        <v>195.06</v>
      </c>
      <c r="H394">
        <v>4</v>
      </c>
      <c r="I394" t="s">
        <v>22</v>
      </c>
      <c r="J394" t="s">
        <v>1440</v>
      </c>
      <c r="K394" t="s">
        <v>1440</v>
      </c>
      <c r="L394" t="s">
        <v>1440</v>
      </c>
      <c r="M394" t="s">
        <v>1439</v>
      </c>
      <c r="N394" t="s">
        <v>1440</v>
      </c>
      <c r="O394" t="s">
        <v>23</v>
      </c>
      <c r="Q394">
        <f t="shared" si="24"/>
        <v>1</v>
      </c>
      <c r="R394" t="e">
        <f t="shared" ca="1" si="25"/>
        <v>#NAME?</v>
      </c>
      <c r="S394">
        <f t="shared" si="26"/>
        <v>6</v>
      </c>
      <c r="T394" t="str">
        <f t="shared" si="27"/>
        <v>Ontevreden</v>
      </c>
    </row>
    <row r="395" spans="1:20" x14ac:dyDescent="0.3">
      <c r="A395" t="s">
        <v>3481</v>
      </c>
      <c r="B395" t="s">
        <v>3482</v>
      </c>
      <c r="C395" t="s">
        <v>3483</v>
      </c>
      <c r="D395" t="s">
        <v>3484</v>
      </c>
      <c r="E395" t="s">
        <v>3485</v>
      </c>
      <c r="F395" t="s">
        <v>3486</v>
      </c>
      <c r="G395">
        <v>27.03</v>
      </c>
      <c r="H395">
        <v>16</v>
      </c>
      <c r="I395" t="s">
        <v>22</v>
      </c>
      <c r="J395" t="s">
        <v>1440</v>
      </c>
      <c r="K395" t="s">
        <v>1440</v>
      </c>
      <c r="L395" t="s">
        <v>1440</v>
      </c>
      <c r="M395" t="s">
        <v>1440</v>
      </c>
      <c r="N395" t="s">
        <v>1440</v>
      </c>
      <c r="O395" t="s">
        <v>23</v>
      </c>
      <c r="Q395">
        <f t="shared" si="24"/>
        <v>1</v>
      </c>
      <c r="R395" t="e">
        <f t="shared" ca="1" si="25"/>
        <v>#NAME?</v>
      </c>
      <c r="S395">
        <f t="shared" si="26"/>
        <v>8</v>
      </c>
      <c r="T395" t="str">
        <f t="shared" si="27"/>
        <v>Tevreden</v>
      </c>
    </row>
    <row r="396" spans="1:20" x14ac:dyDescent="0.3">
      <c r="A396" t="s">
        <v>3487</v>
      </c>
      <c r="B396" t="s">
        <v>1876</v>
      </c>
      <c r="C396" t="s">
        <v>3488</v>
      </c>
      <c r="D396" t="s">
        <v>3489</v>
      </c>
      <c r="E396" t="s">
        <v>3490</v>
      </c>
      <c r="F396" t="s">
        <v>3487</v>
      </c>
      <c r="G396">
        <v>18.98</v>
      </c>
      <c r="H396">
        <v>16</v>
      </c>
      <c r="I396" t="s">
        <v>29</v>
      </c>
      <c r="J396" t="s">
        <v>1440</v>
      </c>
      <c r="K396" t="s">
        <v>1440</v>
      </c>
      <c r="L396" t="s">
        <v>1439</v>
      </c>
      <c r="M396" t="s">
        <v>1440</v>
      </c>
      <c r="N396" t="s">
        <v>1440</v>
      </c>
      <c r="O396" t="s">
        <v>23</v>
      </c>
      <c r="Q396">
        <f t="shared" si="24"/>
        <v>1</v>
      </c>
      <c r="R396" t="e">
        <f t="shared" ca="1" si="25"/>
        <v>#NAME?</v>
      </c>
      <c r="S396">
        <f t="shared" si="26"/>
        <v>6</v>
      </c>
      <c r="T396" t="str">
        <f t="shared" si="27"/>
        <v>Ontevreden</v>
      </c>
    </row>
    <row r="397" spans="1:20" x14ac:dyDescent="0.3">
      <c r="A397" t="s">
        <v>3491</v>
      </c>
      <c r="B397" t="s">
        <v>3492</v>
      </c>
      <c r="C397" t="s">
        <v>3493</v>
      </c>
      <c r="D397" t="s">
        <v>3494</v>
      </c>
      <c r="E397" t="s">
        <v>3495</v>
      </c>
      <c r="F397" t="s">
        <v>3496</v>
      </c>
      <c r="G397">
        <v>135.13</v>
      </c>
      <c r="H397">
        <v>15</v>
      </c>
      <c r="I397" t="s">
        <v>29</v>
      </c>
      <c r="J397" t="s">
        <v>1440</v>
      </c>
      <c r="K397" t="s">
        <v>1440</v>
      </c>
      <c r="L397" t="s">
        <v>1440</v>
      </c>
      <c r="M397" t="s">
        <v>1439</v>
      </c>
      <c r="N397" t="s">
        <v>1440</v>
      </c>
      <c r="O397" t="s">
        <v>23</v>
      </c>
      <c r="Q397">
        <f t="shared" si="24"/>
        <v>1</v>
      </c>
      <c r="R397" t="e">
        <f t="shared" ca="1" si="25"/>
        <v>#NAME?</v>
      </c>
      <c r="S397">
        <f t="shared" si="26"/>
        <v>6</v>
      </c>
      <c r="T397" t="str">
        <f t="shared" si="27"/>
        <v>Ontevreden</v>
      </c>
    </row>
    <row r="398" spans="1:20" x14ac:dyDescent="0.3">
      <c r="A398" t="s">
        <v>3497</v>
      </c>
      <c r="B398" t="s">
        <v>1508</v>
      </c>
      <c r="C398" t="s">
        <v>3498</v>
      </c>
      <c r="D398" t="s">
        <v>560</v>
      </c>
      <c r="E398" t="s">
        <v>3499</v>
      </c>
      <c r="F398" t="s">
        <v>3500</v>
      </c>
      <c r="G398">
        <v>103.78</v>
      </c>
      <c r="H398">
        <v>1</v>
      </c>
      <c r="I398" t="s">
        <v>22</v>
      </c>
      <c r="J398" t="s">
        <v>1440</v>
      </c>
      <c r="K398" t="s">
        <v>1440</v>
      </c>
      <c r="L398" t="s">
        <v>1440</v>
      </c>
      <c r="M398" t="s">
        <v>1439</v>
      </c>
      <c r="N398" t="s">
        <v>1439</v>
      </c>
      <c r="O398" t="s">
        <v>23</v>
      </c>
      <c r="Q398">
        <f t="shared" si="24"/>
        <v>1</v>
      </c>
      <c r="R398" t="e">
        <f t="shared" ca="1" si="25"/>
        <v>#NAME?</v>
      </c>
      <c r="S398">
        <f t="shared" si="26"/>
        <v>4</v>
      </c>
      <c r="T398" t="str">
        <f t="shared" si="27"/>
        <v>Ontevreden</v>
      </c>
    </row>
    <row r="399" spans="1:20" x14ac:dyDescent="0.3">
      <c r="A399" t="s">
        <v>1513</v>
      </c>
      <c r="B399" t="s">
        <v>1442</v>
      </c>
      <c r="C399" t="s">
        <v>3501</v>
      </c>
      <c r="D399" t="s">
        <v>3502</v>
      </c>
      <c r="E399" t="s">
        <v>3503</v>
      </c>
      <c r="F399" t="s">
        <v>3504</v>
      </c>
      <c r="G399">
        <v>75.760000000000005</v>
      </c>
      <c r="H399">
        <v>9</v>
      </c>
      <c r="I399" t="s">
        <v>57</v>
      </c>
      <c r="J399" t="s">
        <v>1440</v>
      </c>
      <c r="K399" t="s">
        <v>1440</v>
      </c>
      <c r="L399" t="s">
        <v>1439</v>
      </c>
      <c r="M399" t="s">
        <v>1439</v>
      </c>
      <c r="N399" t="s">
        <v>1439</v>
      </c>
      <c r="O399" t="s">
        <v>23</v>
      </c>
      <c r="Q399">
        <f t="shared" si="24"/>
        <v>1</v>
      </c>
      <c r="R399" t="e">
        <f t="shared" ca="1" si="25"/>
        <v>#NAME?</v>
      </c>
      <c r="S399">
        <f t="shared" si="26"/>
        <v>2</v>
      </c>
      <c r="T399" t="str">
        <f t="shared" si="27"/>
        <v>Ontevreden</v>
      </c>
    </row>
    <row r="400" spans="1:20" x14ac:dyDescent="0.3">
      <c r="A400" t="s">
        <v>3505</v>
      </c>
      <c r="B400" t="s">
        <v>1808</v>
      </c>
      <c r="C400" t="s">
        <v>3506</v>
      </c>
      <c r="D400" t="s">
        <v>3507</v>
      </c>
      <c r="E400" t="s">
        <v>3508</v>
      </c>
      <c r="F400" t="s">
        <v>3509</v>
      </c>
      <c r="G400">
        <v>160.6</v>
      </c>
      <c r="H400">
        <v>13</v>
      </c>
      <c r="I400" t="s">
        <v>22</v>
      </c>
      <c r="J400" t="s">
        <v>1439</v>
      </c>
      <c r="K400" t="s">
        <v>1440</v>
      </c>
      <c r="L400" t="s">
        <v>1439</v>
      </c>
      <c r="M400" t="s">
        <v>1440</v>
      </c>
      <c r="N400" t="s">
        <v>1439</v>
      </c>
      <c r="O400" t="s">
        <v>78</v>
      </c>
      <c r="Q400">
        <f t="shared" si="24"/>
        <v>1</v>
      </c>
      <c r="R400" t="e">
        <f t="shared" ca="1" si="25"/>
        <v>#NAME?</v>
      </c>
      <c r="S400">
        <f t="shared" si="26"/>
        <v>4</v>
      </c>
      <c r="T400" t="str">
        <f t="shared" si="27"/>
        <v>Ontevreden</v>
      </c>
    </row>
    <row r="401" spans="1:20" x14ac:dyDescent="0.3">
      <c r="A401" t="s">
        <v>2530</v>
      </c>
      <c r="B401" t="s">
        <v>2002</v>
      </c>
      <c r="C401" t="s">
        <v>3510</v>
      </c>
      <c r="D401" t="s">
        <v>549</v>
      </c>
      <c r="E401" t="s">
        <v>3511</v>
      </c>
      <c r="F401" t="s">
        <v>3512</v>
      </c>
      <c r="G401">
        <v>60.41</v>
      </c>
      <c r="H401">
        <v>4</v>
      </c>
      <c r="I401" t="s">
        <v>22</v>
      </c>
      <c r="J401" t="s">
        <v>1439</v>
      </c>
      <c r="K401" t="s">
        <v>1439</v>
      </c>
      <c r="L401" t="s">
        <v>1440</v>
      </c>
      <c r="M401" t="s">
        <v>1440</v>
      </c>
      <c r="N401" t="s">
        <v>1440</v>
      </c>
      <c r="O401" t="s">
        <v>78</v>
      </c>
      <c r="Q401">
        <f t="shared" si="24"/>
        <v>1</v>
      </c>
      <c r="R401" t="e">
        <f t="shared" ca="1" si="25"/>
        <v>#NAME?</v>
      </c>
      <c r="S401">
        <f t="shared" si="26"/>
        <v>6</v>
      </c>
      <c r="T401" t="str">
        <f t="shared" si="27"/>
        <v>Ontevreden</v>
      </c>
    </row>
    <row r="402" spans="1:20" x14ac:dyDescent="0.3">
      <c r="A402" t="s">
        <v>3513</v>
      </c>
      <c r="B402" t="s">
        <v>3514</v>
      </c>
      <c r="C402" t="s">
        <v>3515</v>
      </c>
      <c r="D402" t="s">
        <v>3516</v>
      </c>
      <c r="E402" t="s">
        <v>3517</v>
      </c>
      <c r="F402" t="s">
        <v>3513</v>
      </c>
      <c r="G402">
        <v>19.920000000000002</v>
      </c>
      <c r="H402">
        <v>16</v>
      </c>
      <c r="I402" t="s">
        <v>22</v>
      </c>
      <c r="J402" t="s">
        <v>1440</v>
      </c>
      <c r="K402" t="s">
        <v>1440</v>
      </c>
      <c r="L402" t="s">
        <v>1440</v>
      </c>
      <c r="M402" t="s">
        <v>1439</v>
      </c>
      <c r="N402" t="s">
        <v>1440</v>
      </c>
      <c r="O402" t="s">
        <v>23</v>
      </c>
      <c r="Q402">
        <f t="shared" si="24"/>
        <v>1</v>
      </c>
      <c r="R402" t="e">
        <f t="shared" ca="1" si="25"/>
        <v>#NAME?</v>
      </c>
      <c r="S402">
        <f t="shared" si="26"/>
        <v>6</v>
      </c>
      <c r="T402" t="str">
        <f t="shared" si="27"/>
        <v>Ontevreden</v>
      </c>
    </row>
    <row r="403" spans="1:20" x14ac:dyDescent="0.3">
      <c r="A403" t="s">
        <v>3518</v>
      </c>
      <c r="B403" t="s">
        <v>2034</v>
      </c>
      <c r="C403" t="s">
        <v>3519</v>
      </c>
      <c r="D403" t="s">
        <v>3520</v>
      </c>
      <c r="E403" t="s">
        <v>3521</v>
      </c>
      <c r="F403" t="s">
        <v>3522</v>
      </c>
      <c r="G403">
        <v>76.12</v>
      </c>
      <c r="H403">
        <v>1</v>
      </c>
      <c r="I403" t="s">
        <v>57</v>
      </c>
      <c r="J403" t="s">
        <v>1439</v>
      </c>
      <c r="K403" t="s">
        <v>1440</v>
      </c>
      <c r="L403" t="s">
        <v>1440</v>
      </c>
      <c r="M403" t="s">
        <v>1439</v>
      </c>
      <c r="N403" t="s">
        <v>1440</v>
      </c>
      <c r="O403" t="s">
        <v>34</v>
      </c>
      <c r="Q403">
        <f t="shared" si="24"/>
        <v>1</v>
      </c>
      <c r="R403" t="e">
        <f t="shared" ca="1" si="25"/>
        <v>#NAME?</v>
      </c>
      <c r="S403">
        <f t="shared" si="26"/>
        <v>6</v>
      </c>
      <c r="T403" t="str">
        <f t="shared" si="27"/>
        <v>Ontevreden</v>
      </c>
    </row>
    <row r="404" spans="1:20" x14ac:dyDescent="0.3">
      <c r="A404" t="s">
        <v>1495</v>
      </c>
      <c r="B404" t="s">
        <v>2068</v>
      </c>
      <c r="C404" t="s">
        <v>3523</v>
      </c>
      <c r="D404" t="s">
        <v>3524</v>
      </c>
      <c r="E404" t="s">
        <v>3525</v>
      </c>
      <c r="F404" t="s">
        <v>3526</v>
      </c>
      <c r="G404">
        <v>94.54</v>
      </c>
      <c r="H404">
        <v>5</v>
      </c>
      <c r="I404" t="s">
        <v>57</v>
      </c>
      <c r="J404" t="s">
        <v>1440</v>
      </c>
      <c r="K404" t="s">
        <v>1440</v>
      </c>
      <c r="L404" t="s">
        <v>1439</v>
      </c>
      <c r="M404" t="s">
        <v>1440</v>
      </c>
      <c r="N404" t="s">
        <v>1439</v>
      </c>
      <c r="O404" t="s">
        <v>23</v>
      </c>
      <c r="Q404">
        <f t="shared" si="24"/>
        <v>1</v>
      </c>
      <c r="R404" t="e">
        <f t="shared" ca="1" si="25"/>
        <v>#NAME?</v>
      </c>
      <c r="S404">
        <f t="shared" si="26"/>
        <v>4</v>
      </c>
      <c r="T404" t="str">
        <f t="shared" si="27"/>
        <v>Ontevreden</v>
      </c>
    </row>
    <row r="405" spans="1:20" x14ac:dyDescent="0.3">
      <c r="A405" t="s">
        <v>3527</v>
      </c>
      <c r="B405" t="s">
        <v>1562</v>
      </c>
      <c r="C405" t="s">
        <v>3528</v>
      </c>
      <c r="D405" t="s">
        <v>3529</v>
      </c>
      <c r="E405" t="s">
        <v>3530</v>
      </c>
      <c r="F405" t="s">
        <v>3531</v>
      </c>
      <c r="G405">
        <v>171.11</v>
      </c>
      <c r="H405">
        <v>9</v>
      </c>
      <c r="I405" t="s">
        <v>29</v>
      </c>
      <c r="J405" t="s">
        <v>1440</v>
      </c>
      <c r="K405" t="s">
        <v>1439</v>
      </c>
      <c r="L405" t="s">
        <v>1439</v>
      </c>
      <c r="M405" t="s">
        <v>1440</v>
      </c>
      <c r="N405" t="s">
        <v>1440</v>
      </c>
      <c r="O405" t="s">
        <v>34</v>
      </c>
      <c r="Q405">
        <f t="shared" si="24"/>
        <v>1</v>
      </c>
      <c r="R405" t="e">
        <f t="shared" ca="1" si="25"/>
        <v>#NAME?</v>
      </c>
      <c r="S405">
        <f t="shared" si="26"/>
        <v>4</v>
      </c>
      <c r="T405" t="str">
        <f t="shared" si="27"/>
        <v>Ontevreden</v>
      </c>
    </row>
    <row r="406" spans="1:20" x14ac:dyDescent="0.3">
      <c r="A406" t="s">
        <v>3532</v>
      </c>
      <c r="B406" t="s">
        <v>1661</v>
      </c>
      <c r="C406" t="s">
        <v>3533</v>
      </c>
      <c r="D406" t="s">
        <v>3534</v>
      </c>
      <c r="E406" t="s">
        <v>3535</v>
      </c>
      <c r="F406" t="s">
        <v>3536</v>
      </c>
      <c r="G406">
        <v>133.16999999999999</v>
      </c>
      <c r="H406">
        <v>5</v>
      </c>
      <c r="I406" t="s">
        <v>57</v>
      </c>
      <c r="J406" t="s">
        <v>1440</v>
      </c>
      <c r="K406" t="s">
        <v>1440</v>
      </c>
      <c r="L406" t="s">
        <v>1439</v>
      </c>
      <c r="M406" t="s">
        <v>1440</v>
      </c>
      <c r="N406" t="s">
        <v>1440</v>
      </c>
      <c r="O406" t="s">
        <v>34</v>
      </c>
      <c r="Q406">
        <f t="shared" si="24"/>
        <v>1</v>
      </c>
      <c r="R406" t="e">
        <f t="shared" ca="1" si="25"/>
        <v>#NAME?</v>
      </c>
      <c r="S406">
        <f t="shared" si="26"/>
        <v>6</v>
      </c>
      <c r="T406" t="str">
        <f t="shared" si="27"/>
        <v>Ontevreden</v>
      </c>
    </row>
    <row r="407" spans="1:20" x14ac:dyDescent="0.3">
      <c r="A407" t="s">
        <v>2672</v>
      </c>
      <c r="B407" t="s">
        <v>3537</v>
      </c>
      <c r="C407" t="s">
        <v>3538</v>
      </c>
      <c r="D407" t="s">
        <v>3539</v>
      </c>
      <c r="E407" t="s">
        <v>3540</v>
      </c>
      <c r="F407" t="s">
        <v>3541</v>
      </c>
      <c r="G407">
        <v>99.73</v>
      </c>
      <c r="H407">
        <v>16</v>
      </c>
      <c r="I407" t="s">
        <v>29</v>
      </c>
      <c r="J407" t="s">
        <v>1440</v>
      </c>
      <c r="K407" t="s">
        <v>1440</v>
      </c>
      <c r="L407" t="s">
        <v>1439</v>
      </c>
      <c r="M407" t="s">
        <v>1440</v>
      </c>
      <c r="N407" t="s">
        <v>1440</v>
      </c>
      <c r="O407" t="s">
        <v>23</v>
      </c>
      <c r="Q407">
        <f t="shared" si="24"/>
        <v>1</v>
      </c>
      <c r="R407" t="e">
        <f t="shared" ca="1" si="25"/>
        <v>#NAME?</v>
      </c>
      <c r="S407">
        <f t="shared" si="26"/>
        <v>6</v>
      </c>
      <c r="T407" t="str">
        <f t="shared" si="27"/>
        <v>Ontevreden</v>
      </c>
    </row>
    <row r="408" spans="1:20" x14ac:dyDescent="0.3">
      <c r="A408" t="s">
        <v>3542</v>
      </c>
      <c r="B408" t="s">
        <v>2002</v>
      </c>
      <c r="C408" t="s">
        <v>3543</v>
      </c>
      <c r="D408" t="s">
        <v>3544</v>
      </c>
      <c r="E408" t="s">
        <v>3545</v>
      </c>
      <c r="F408" t="s">
        <v>3546</v>
      </c>
      <c r="G408">
        <v>134.58000000000001</v>
      </c>
      <c r="H408">
        <v>9</v>
      </c>
      <c r="I408" t="s">
        <v>57</v>
      </c>
      <c r="J408" t="s">
        <v>1440</v>
      </c>
      <c r="K408" t="s">
        <v>1440</v>
      </c>
      <c r="L408" t="s">
        <v>1440</v>
      </c>
      <c r="M408" t="s">
        <v>1440</v>
      </c>
      <c r="N408" t="s">
        <v>1440</v>
      </c>
      <c r="O408" t="s">
        <v>34</v>
      </c>
      <c r="Q408">
        <f t="shared" si="24"/>
        <v>1</v>
      </c>
      <c r="R408" t="e">
        <f t="shared" ca="1" si="25"/>
        <v>#NAME?</v>
      </c>
      <c r="S408">
        <f t="shared" si="26"/>
        <v>8</v>
      </c>
      <c r="T408" t="str">
        <f t="shared" si="27"/>
        <v>Tevreden</v>
      </c>
    </row>
    <row r="409" spans="1:20" x14ac:dyDescent="0.3">
      <c r="A409" t="s">
        <v>3547</v>
      </c>
      <c r="B409" t="s">
        <v>3548</v>
      </c>
      <c r="C409" t="s">
        <v>3549</v>
      </c>
      <c r="D409" t="s">
        <v>3550</v>
      </c>
      <c r="E409" t="s">
        <v>3551</v>
      </c>
      <c r="F409" t="s">
        <v>3552</v>
      </c>
      <c r="G409">
        <v>138.38</v>
      </c>
      <c r="H409">
        <v>20</v>
      </c>
      <c r="I409" t="s">
        <v>22</v>
      </c>
      <c r="J409" t="s">
        <v>1440</v>
      </c>
      <c r="K409" t="s">
        <v>1439</v>
      </c>
      <c r="L409" t="s">
        <v>1439</v>
      </c>
      <c r="M409" t="s">
        <v>1440</v>
      </c>
      <c r="N409" t="s">
        <v>1440</v>
      </c>
      <c r="O409" t="s">
        <v>23</v>
      </c>
      <c r="Q409">
        <f t="shared" si="24"/>
        <v>1</v>
      </c>
      <c r="R409" t="e">
        <f t="shared" ca="1" si="25"/>
        <v>#NAME?</v>
      </c>
      <c r="S409">
        <f t="shared" si="26"/>
        <v>4</v>
      </c>
      <c r="T409" t="str">
        <f t="shared" si="27"/>
        <v>Ontevreden</v>
      </c>
    </row>
    <row r="410" spans="1:20" x14ac:dyDescent="0.3">
      <c r="A410" t="s">
        <v>2429</v>
      </c>
      <c r="B410" t="s">
        <v>1562</v>
      </c>
      <c r="C410" t="s">
        <v>3553</v>
      </c>
      <c r="D410" t="s">
        <v>3554</v>
      </c>
      <c r="E410" t="s">
        <v>3555</v>
      </c>
      <c r="F410" t="s">
        <v>3556</v>
      </c>
      <c r="G410">
        <v>181.4</v>
      </c>
      <c r="H410">
        <v>26</v>
      </c>
      <c r="I410" t="s">
        <v>29</v>
      </c>
      <c r="J410" t="s">
        <v>1440</v>
      </c>
      <c r="K410" t="s">
        <v>1440</v>
      </c>
      <c r="L410" t="s">
        <v>1440</v>
      </c>
      <c r="M410" t="s">
        <v>1440</v>
      </c>
      <c r="N410" t="s">
        <v>1440</v>
      </c>
      <c r="O410" t="s">
        <v>23</v>
      </c>
      <c r="Q410">
        <f t="shared" si="24"/>
        <v>1</v>
      </c>
      <c r="R410" t="e">
        <f t="shared" ca="1" si="25"/>
        <v>#NAME?</v>
      </c>
      <c r="S410">
        <f t="shared" si="26"/>
        <v>8</v>
      </c>
      <c r="T410" t="str">
        <f t="shared" si="27"/>
        <v>Tevreden</v>
      </c>
    </row>
    <row r="411" spans="1:20" x14ac:dyDescent="0.3">
      <c r="A411" t="s">
        <v>3557</v>
      </c>
      <c r="B411" t="s">
        <v>1538</v>
      </c>
      <c r="C411" t="s">
        <v>3558</v>
      </c>
      <c r="D411" t="s">
        <v>1022</v>
      </c>
      <c r="E411" t="s">
        <v>3559</v>
      </c>
      <c r="F411" t="s">
        <v>3560</v>
      </c>
      <c r="G411">
        <v>190.76</v>
      </c>
      <c r="H411">
        <v>8</v>
      </c>
      <c r="I411" t="s">
        <v>29</v>
      </c>
      <c r="J411" t="s">
        <v>1439</v>
      </c>
      <c r="K411" t="s">
        <v>1440</v>
      </c>
      <c r="L411" t="s">
        <v>1440</v>
      </c>
      <c r="M411" t="s">
        <v>1439</v>
      </c>
      <c r="N411" t="s">
        <v>1440</v>
      </c>
      <c r="O411" t="s">
        <v>23</v>
      </c>
      <c r="Q411">
        <f t="shared" si="24"/>
        <v>1</v>
      </c>
      <c r="R411" t="e">
        <f t="shared" ca="1" si="25"/>
        <v>#NAME?</v>
      </c>
      <c r="S411">
        <f t="shared" si="26"/>
        <v>6</v>
      </c>
      <c r="T411" t="str">
        <f t="shared" si="27"/>
        <v>Ontevreden</v>
      </c>
    </row>
    <row r="412" spans="1:20" x14ac:dyDescent="0.3">
      <c r="A412" t="s">
        <v>3561</v>
      </c>
      <c r="B412" t="s">
        <v>3001</v>
      </c>
      <c r="C412" t="s">
        <v>3562</v>
      </c>
      <c r="D412" t="s">
        <v>504</v>
      </c>
      <c r="E412" t="s">
        <v>3563</v>
      </c>
      <c r="F412" t="s">
        <v>3564</v>
      </c>
      <c r="G412">
        <v>210.89</v>
      </c>
      <c r="H412">
        <v>1</v>
      </c>
      <c r="I412" t="s">
        <v>22</v>
      </c>
      <c r="J412" t="s">
        <v>1439</v>
      </c>
      <c r="K412" t="s">
        <v>1440</v>
      </c>
      <c r="L412" t="s">
        <v>1440</v>
      </c>
      <c r="M412" t="s">
        <v>1440</v>
      </c>
      <c r="N412" t="s">
        <v>1440</v>
      </c>
      <c r="O412" t="s">
        <v>23</v>
      </c>
      <c r="Q412">
        <f t="shared" si="24"/>
        <v>1</v>
      </c>
      <c r="R412" t="e">
        <f t="shared" ca="1" si="25"/>
        <v>#NAME?</v>
      </c>
      <c r="S412">
        <f t="shared" si="26"/>
        <v>8</v>
      </c>
      <c r="T412" t="str">
        <f t="shared" si="27"/>
        <v>Tevreden</v>
      </c>
    </row>
    <row r="413" spans="1:20" x14ac:dyDescent="0.3">
      <c r="A413" t="s">
        <v>3565</v>
      </c>
      <c r="B413" t="s">
        <v>3233</v>
      </c>
      <c r="C413" t="s">
        <v>3566</v>
      </c>
      <c r="D413" t="s">
        <v>3567</v>
      </c>
      <c r="E413" t="s">
        <v>3568</v>
      </c>
      <c r="F413" t="s">
        <v>3569</v>
      </c>
      <c r="G413">
        <v>122.41</v>
      </c>
      <c r="H413">
        <v>21</v>
      </c>
      <c r="I413" t="s">
        <v>29</v>
      </c>
      <c r="J413" t="s">
        <v>1440</v>
      </c>
      <c r="K413" t="s">
        <v>1440</v>
      </c>
      <c r="L413" t="s">
        <v>1440</v>
      </c>
      <c r="M413" t="s">
        <v>1440</v>
      </c>
      <c r="N413" t="s">
        <v>1440</v>
      </c>
      <c r="O413" t="s">
        <v>34</v>
      </c>
      <c r="Q413">
        <f t="shared" si="24"/>
        <v>1</v>
      </c>
      <c r="R413" t="e">
        <f t="shared" ca="1" si="25"/>
        <v>#NAME?</v>
      </c>
      <c r="S413">
        <f t="shared" si="26"/>
        <v>8</v>
      </c>
      <c r="T413" t="str">
        <f t="shared" si="27"/>
        <v>Tevreden</v>
      </c>
    </row>
    <row r="414" spans="1:20" x14ac:dyDescent="0.3">
      <c r="A414" t="s">
        <v>3244</v>
      </c>
      <c r="B414" t="s">
        <v>1951</v>
      </c>
      <c r="C414" t="s">
        <v>3570</v>
      </c>
      <c r="D414" t="s">
        <v>3571</v>
      </c>
      <c r="E414" t="s">
        <v>3572</v>
      </c>
      <c r="F414" t="s">
        <v>3244</v>
      </c>
      <c r="G414">
        <v>96.99</v>
      </c>
      <c r="H414">
        <v>7</v>
      </c>
      <c r="I414" t="s">
        <v>29</v>
      </c>
      <c r="J414" t="s">
        <v>1440</v>
      </c>
      <c r="K414" t="s">
        <v>1440</v>
      </c>
      <c r="L414" t="s">
        <v>1439</v>
      </c>
      <c r="M414" t="s">
        <v>1440</v>
      </c>
      <c r="N414" t="s">
        <v>1439</v>
      </c>
      <c r="O414" t="s">
        <v>23</v>
      </c>
      <c r="Q414">
        <f t="shared" si="24"/>
        <v>1</v>
      </c>
      <c r="R414" t="e">
        <f t="shared" ca="1" si="25"/>
        <v>#NAME?</v>
      </c>
      <c r="S414">
        <f t="shared" si="26"/>
        <v>4</v>
      </c>
      <c r="T414" t="str">
        <f t="shared" si="27"/>
        <v>Ontevreden</v>
      </c>
    </row>
    <row r="415" spans="1:20" x14ac:dyDescent="0.3">
      <c r="A415" t="s">
        <v>3573</v>
      </c>
      <c r="B415" t="s">
        <v>2313</v>
      </c>
      <c r="C415" t="s">
        <v>3574</v>
      </c>
      <c r="D415" t="s">
        <v>3575</v>
      </c>
      <c r="E415" t="s">
        <v>3576</v>
      </c>
      <c r="F415" t="s">
        <v>3577</v>
      </c>
      <c r="G415">
        <v>186.24</v>
      </c>
      <c r="H415">
        <v>13</v>
      </c>
      <c r="I415" t="s">
        <v>29</v>
      </c>
      <c r="J415" t="s">
        <v>1440</v>
      </c>
      <c r="K415" t="s">
        <v>1440</v>
      </c>
      <c r="L415" t="s">
        <v>1439</v>
      </c>
      <c r="M415" t="s">
        <v>1440</v>
      </c>
      <c r="N415" t="s">
        <v>1440</v>
      </c>
      <c r="O415" t="s">
        <v>78</v>
      </c>
      <c r="Q415">
        <f t="shared" si="24"/>
        <v>1</v>
      </c>
      <c r="R415" t="e">
        <f t="shared" ca="1" si="25"/>
        <v>#NAME?</v>
      </c>
      <c r="S415">
        <f t="shared" si="26"/>
        <v>6</v>
      </c>
      <c r="T415" t="str">
        <f t="shared" si="27"/>
        <v>Ontevreden</v>
      </c>
    </row>
    <row r="416" spans="1:20" x14ac:dyDescent="0.3">
      <c r="A416" t="s">
        <v>3322</v>
      </c>
      <c r="B416" t="s">
        <v>3578</v>
      </c>
      <c r="C416" t="s">
        <v>3579</v>
      </c>
      <c r="D416" t="s">
        <v>3580</v>
      </c>
      <c r="E416" t="s">
        <v>3581</v>
      </c>
      <c r="F416" t="s">
        <v>3582</v>
      </c>
      <c r="G416">
        <v>37.49</v>
      </c>
      <c r="H416">
        <v>10</v>
      </c>
      <c r="I416" t="s">
        <v>29</v>
      </c>
      <c r="J416" t="s">
        <v>1440</v>
      </c>
      <c r="K416" t="s">
        <v>1440</v>
      </c>
      <c r="L416" t="s">
        <v>1439</v>
      </c>
      <c r="M416" t="s">
        <v>1440</v>
      </c>
      <c r="N416" t="s">
        <v>1440</v>
      </c>
      <c r="O416" t="s">
        <v>23</v>
      </c>
      <c r="Q416">
        <f t="shared" si="24"/>
        <v>1</v>
      </c>
      <c r="R416" t="e">
        <f t="shared" ca="1" si="25"/>
        <v>#NAME?</v>
      </c>
      <c r="S416">
        <f t="shared" si="26"/>
        <v>6</v>
      </c>
      <c r="T416" t="str">
        <f t="shared" si="27"/>
        <v>Ontevreden</v>
      </c>
    </row>
    <row r="417" spans="1:20" x14ac:dyDescent="0.3">
      <c r="A417" t="s">
        <v>2125</v>
      </c>
      <c r="B417" t="s">
        <v>1568</v>
      </c>
      <c r="C417" t="s">
        <v>3583</v>
      </c>
      <c r="D417" t="s">
        <v>3584</v>
      </c>
      <c r="E417" t="s">
        <v>3585</v>
      </c>
      <c r="F417" t="s">
        <v>3586</v>
      </c>
      <c r="G417">
        <v>122.9</v>
      </c>
      <c r="H417">
        <v>5</v>
      </c>
      <c r="I417" t="s">
        <v>22</v>
      </c>
      <c r="J417" t="s">
        <v>1440</v>
      </c>
      <c r="K417" t="s">
        <v>1439</v>
      </c>
      <c r="L417" t="s">
        <v>1440</v>
      </c>
      <c r="M417" t="s">
        <v>1440</v>
      </c>
      <c r="N417" t="s">
        <v>1440</v>
      </c>
      <c r="O417" t="s">
        <v>23</v>
      </c>
      <c r="Q417">
        <f t="shared" si="24"/>
        <v>1</v>
      </c>
      <c r="R417" t="e">
        <f t="shared" ca="1" si="25"/>
        <v>#NAME?</v>
      </c>
      <c r="S417">
        <f t="shared" si="26"/>
        <v>6</v>
      </c>
      <c r="T417" t="str">
        <f t="shared" si="27"/>
        <v>Ontevreden</v>
      </c>
    </row>
    <row r="418" spans="1:20" x14ac:dyDescent="0.3">
      <c r="A418" t="s">
        <v>3587</v>
      </c>
      <c r="B418" t="s">
        <v>1667</v>
      </c>
      <c r="C418" t="s">
        <v>3588</v>
      </c>
      <c r="D418" t="s">
        <v>3589</v>
      </c>
      <c r="E418" t="s">
        <v>3590</v>
      </c>
      <c r="F418" t="s">
        <v>3591</v>
      </c>
      <c r="G418">
        <v>65.84</v>
      </c>
      <c r="H418">
        <v>9</v>
      </c>
      <c r="I418" t="s">
        <v>22</v>
      </c>
      <c r="J418" t="s">
        <v>1440</v>
      </c>
      <c r="K418" t="s">
        <v>1440</v>
      </c>
      <c r="L418" t="s">
        <v>1440</v>
      </c>
      <c r="M418" t="s">
        <v>1440</v>
      </c>
      <c r="N418" t="s">
        <v>1440</v>
      </c>
      <c r="O418" t="s">
        <v>34</v>
      </c>
      <c r="Q418">
        <f t="shared" si="24"/>
        <v>1</v>
      </c>
      <c r="R418" t="e">
        <f t="shared" ca="1" si="25"/>
        <v>#NAME?</v>
      </c>
      <c r="S418">
        <f t="shared" si="26"/>
        <v>8</v>
      </c>
      <c r="T418" t="str">
        <f t="shared" si="27"/>
        <v>Tevreden</v>
      </c>
    </row>
    <row r="419" spans="1:20" x14ac:dyDescent="0.3">
      <c r="A419" t="s">
        <v>3592</v>
      </c>
      <c r="B419" t="s">
        <v>1876</v>
      </c>
      <c r="C419" t="s">
        <v>3593</v>
      </c>
      <c r="D419" t="s">
        <v>899</v>
      </c>
      <c r="E419" t="s">
        <v>3594</v>
      </c>
      <c r="F419" t="s">
        <v>3595</v>
      </c>
      <c r="G419">
        <v>89.02</v>
      </c>
      <c r="H419">
        <v>12</v>
      </c>
      <c r="I419" t="s">
        <v>29</v>
      </c>
      <c r="J419" t="s">
        <v>1440</v>
      </c>
      <c r="K419" t="s">
        <v>1440</v>
      </c>
      <c r="L419" t="s">
        <v>1440</v>
      </c>
      <c r="M419" t="s">
        <v>1439</v>
      </c>
      <c r="N419" t="s">
        <v>1440</v>
      </c>
      <c r="O419" t="s">
        <v>23</v>
      </c>
      <c r="Q419">
        <f t="shared" si="24"/>
        <v>1</v>
      </c>
      <c r="R419" t="e">
        <f t="shared" ca="1" si="25"/>
        <v>#NAME?</v>
      </c>
      <c r="S419">
        <f t="shared" si="26"/>
        <v>6</v>
      </c>
      <c r="T419" t="str">
        <f t="shared" si="27"/>
        <v>Ontevreden</v>
      </c>
    </row>
    <row r="420" spans="1:20" x14ac:dyDescent="0.3">
      <c r="A420" t="s">
        <v>3596</v>
      </c>
      <c r="B420" t="s">
        <v>3597</v>
      </c>
      <c r="C420" t="s">
        <v>3598</v>
      </c>
      <c r="D420" t="s">
        <v>3599</v>
      </c>
      <c r="E420" t="s">
        <v>3600</v>
      </c>
      <c r="F420" t="s">
        <v>3601</v>
      </c>
      <c r="G420">
        <v>101.86</v>
      </c>
      <c r="H420">
        <v>2</v>
      </c>
      <c r="I420" t="s">
        <v>22</v>
      </c>
      <c r="J420" t="s">
        <v>1439</v>
      </c>
      <c r="K420" t="s">
        <v>1440</v>
      </c>
      <c r="L420" t="s">
        <v>1439</v>
      </c>
      <c r="M420" t="s">
        <v>1440</v>
      </c>
      <c r="N420" t="s">
        <v>1440</v>
      </c>
      <c r="O420" t="s">
        <v>23</v>
      </c>
      <c r="Q420">
        <f t="shared" si="24"/>
        <v>1</v>
      </c>
      <c r="R420" t="e">
        <f t="shared" ca="1" si="25"/>
        <v>#NAME?</v>
      </c>
      <c r="S420">
        <f t="shared" si="26"/>
        <v>6</v>
      </c>
      <c r="T420" t="str">
        <f t="shared" si="27"/>
        <v>Ontevreden</v>
      </c>
    </row>
    <row r="421" spans="1:20" x14ac:dyDescent="0.3">
      <c r="A421" t="s">
        <v>3337</v>
      </c>
      <c r="B421" t="s">
        <v>3602</v>
      </c>
      <c r="C421" t="s">
        <v>3603</v>
      </c>
      <c r="D421" t="s">
        <v>3604</v>
      </c>
      <c r="E421" t="s">
        <v>3605</v>
      </c>
      <c r="F421" t="s">
        <v>3606</v>
      </c>
      <c r="G421">
        <v>83</v>
      </c>
      <c r="H421">
        <v>14</v>
      </c>
      <c r="I421" t="s">
        <v>57</v>
      </c>
      <c r="J421" t="s">
        <v>1440</v>
      </c>
      <c r="K421" t="s">
        <v>1440</v>
      </c>
      <c r="L421" t="s">
        <v>1439</v>
      </c>
      <c r="M421" t="s">
        <v>1440</v>
      </c>
      <c r="N421" t="s">
        <v>1440</v>
      </c>
      <c r="O421" t="s">
        <v>23</v>
      </c>
      <c r="Q421">
        <f t="shared" si="24"/>
        <v>1</v>
      </c>
      <c r="R421" t="e">
        <f t="shared" ca="1" si="25"/>
        <v>#NAME?</v>
      </c>
      <c r="S421">
        <f t="shared" si="26"/>
        <v>6</v>
      </c>
      <c r="T421" t="str">
        <f t="shared" si="27"/>
        <v>Ontevreden</v>
      </c>
    </row>
    <row r="422" spans="1:20" x14ac:dyDescent="0.3">
      <c r="A422" t="s">
        <v>3607</v>
      </c>
      <c r="B422" t="s">
        <v>3608</v>
      </c>
      <c r="C422" t="s">
        <v>3609</v>
      </c>
      <c r="D422" t="s">
        <v>3610</v>
      </c>
      <c r="E422" t="s">
        <v>3611</v>
      </c>
      <c r="F422" t="s">
        <v>3612</v>
      </c>
      <c r="G422">
        <v>224.86</v>
      </c>
      <c r="H422">
        <v>1</v>
      </c>
      <c r="I422" t="s">
        <v>29</v>
      </c>
      <c r="J422" t="s">
        <v>1440</v>
      </c>
      <c r="K422" t="s">
        <v>1440</v>
      </c>
      <c r="L422" t="s">
        <v>1440</v>
      </c>
      <c r="M422" t="s">
        <v>1440</v>
      </c>
      <c r="N422" t="s">
        <v>1439</v>
      </c>
      <c r="O422" t="s">
        <v>23</v>
      </c>
      <c r="Q422">
        <f t="shared" si="24"/>
        <v>1</v>
      </c>
      <c r="R422" t="e">
        <f t="shared" ca="1" si="25"/>
        <v>#NAME?</v>
      </c>
      <c r="S422">
        <f t="shared" si="26"/>
        <v>6</v>
      </c>
      <c r="T422" t="str">
        <f t="shared" si="27"/>
        <v>Ontevreden</v>
      </c>
    </row>
    <row r="423" spans="1:20" x14ac:dyDescent="0.3">
      <c r="A423" t="s">
        <v>3613</v>
      </c>
      <c r="B423" t="s">
        <v>1538</v>
      </c>
      <c r="C423" t="s">
        <v>3614</v>
      </c>
      <c r="D423" t="s">
        <v>3615</v>
      </c>
      <c r="E423" t="s">
        <v>3616</v>
      </c>
      <c r="F423" t="s">
        <v>3613</v>
      </c>
      <c r="G423">
        <v>44.28</v>
      </c>
      <c r="H423">
        <v>6</v>
      </c>
      <c r="I423" t="s">
        <v>102</v>
      </c>
      <c r="J423" t="s">
        <v>1440</v>
      </c>
      <c r="K423" t="s">
        <v>1439</v>
      </c>
      <c r="L423" t="s">
        <v>1440</v>
      </c>
      <c r="M423" t="s">
        <v>1439</v>
      </c>
      <c r="N423" t="s">
        <v>1440</v>
      </c>
      <c r="O423" t="s">
        <v>78</v>
      </c>
      <c r="Q423">
        <f t="shared" si="24"/>
        <v>1</v>
      </c>
      <c r="R423" t="e">
        <f t="shared" ca="1" si="25"/>
        <v>#NAME?</v>
      </c>
      <c r="S423">
        <f t="shared" si="26"/>
        <v>4</v>
      </c>
      <c r="T423" t="str">
        <f t="shared" si="27"/>
        <v>Ontevreden</v>
      </c>
    </row>
    <row r="424" spans="1:20" x14ac:dyDescent="0.3">
      <c r="A424" t="s">
        <v>3617</v>
      </c>
      <c r="B424" t="s">
        <v>1996</v>
      </c>
      <c r="C424" t="s">
        <v>3618</v>
      </c>
      <c r="D424" t="s">
        <v>3619</v>
      </c>
      <c r="E424" t="s">
        <v>3620</v>
      </c>
      <c r="F424" t="s">
        <v>3621</v>
      </c>
      <c r="G424">
        <v>115.26</v>
      </c>
      <c r="H424">
        <v>17</v>
      </c>
      <c r="I424" t="s">
        <v>29</v>
      </c>
      <c r="J424" t="s">
        <v>1439</v>
      </c>
      <c r="K424" t="s">
        <v>1440</v>
      </c>
      <c r="L424" t="s">
        <v>1440</v>
      </c>
      <c r="M424" t="s">
        <v>1440</v>
      </c>
      <c r="N424" t="s">
        <v>1440</v>
      </c>
      <c r="O424" t="s">
        <v>23</v>
      </c>
      <c r="Q424">
        <f t="shared" si="24"/>
        <v>1</v>
      </c>
      <c r="R424" t="e">
        <f t="shared" ca="1" si="25"/>
        <v>#NAME?</v>
      </c>
      <c r="S424">
        <f t="shared" si="26"/>
        <v>8</v>
      </c>
      <c r="T424" t="str">
        <f t="shared" si="27"/>
        <v>Tevreden</v>
      </c>
    </row>
    <row r="425" spans="1:20" x14ac:dyDescent="0.3">
      <c r="A425" t="s">
        <v>3622</v>
      </c>
      <c r="B425" t="s">
        <v>3239</v>
      </c>
      <c r="C425" t="s">
        <v>3623</v>
      </c>
      <c r="D425" t="s">
        <v>3624</v>
      </c>
      <c r="E425" t="s">
        <v>3625</v>
      </c>
      <c r="F425" t="s">
        <v>3626</v>
      </c>
      <c r="G425">
        <v>154.71</v>
      </c>
      <c r="H425">
        <v>15</v>
      </c>
      <c r="I425" t="s">
        <v>22</v>
      </c>
      <c r="J425" t="s">
        <v>1440</v>
      </c>
      <c r="K425" t="s">
        <v>1440</v>
      </c>
      <c r="L425" t="s">
        <v>1440</v>
      </c>
      <c r="M425" t="s">
        <v>1439</v>
      </c>
      <c r="N425" t="s">
        <v>1440</v>
      </c>
      <c r="O425" t="s">
        <v>23</v>
      </c>
      <c r="Q425">
        <f t="shared" si="24"/>
        <v>1</v>
      </c>
      <c r="R425" t="e">
        <f t="shared" ca="1" si="25"/>
        <v>#NAME?</v>
      </c>
      <c r="S425">
        <f t="shared" si="26"/>
        <v>6</v>
      </c>
      <c r="T425" t="str">
        <f t="shared" si="27"/>
        <v>Ontevreden</v>
      </c>
    </row>
    <row r="426" spans="1:20" x14ac:dyDescent="0.3">
      <c r="A426" t="s">
        <v>3627</v>
      </c>
      <c r="B426" t="s">
        <v>3628</v>
      </c>
      <c r="C426" t="s">
        <v>3629</v>
      </c>
      <c r="D426" t="s">
        <v>3630</v>
      </c>
      <c r="E426" t="s">
        <v>3631</v>
      </c>
      <c r="F426" t="s">
        <v>3632</v>
      </c>
      <c r="G426">
        <v>163.36000000000001</v>
      </c>
      <c r="H426">
        <v>16</v>
      </c>
      <c r="I426" t="s">
        <v>29</v>
      </c>
      <c r="J426" t="s">
        <v>1440</v>
      </c>
      <c r="K426" t="s">
        <v>1440</v>
      </c>
      <c r="L426" t="s">
        <v>1440</v>
      </c>
      <c r="M426" t="s">
        <v>1439</v>
      </c>
      <c r="N426" t="s">
        <v>1440</v>
      </c>
      <c r="O426" t="s">
        <v>23</v>
      </c>
      <c r="Q426">
        <f t="shared" si="24"/>
        <v>1</v>
      </c>
      <c r="R426" t="e">
        <f t="shared" ca="1" si="25"/>
        <v>#NAME?</v>
      </c>
      <c r="S426">
        <f t="shared" si="26"/>
        <v>6</v>
      </c>
      <c r="T426" t="str">
        <f t="shared" si="27"/>
        <v>Ontevreden</v>
      </c>
    </row>
    <row r="427" spans="1:20" x14ac:dyDescent="0.3">
      <c r="A427" t="s">
        <v>1724</v>
      </c>
      <c r="B427" t="s">
        <v>2762</v>
      </c>
      <c r="C427" t="s">
        <v>3633</v>
      </c>
      <c r="D427" t="s">
        <v>3634</v>
      </c>
      <c r="E427" t="s">
        <v>3635</v>
      </c>
      <c r="F427" t="s">
        <v>3636</v>
      </c>
      <c r="G427">
        <v>174.33</v>
      </c>
      <c r="H427">
        <v>1</v>
      </c>
      <c r="I427" t="s">
        <v>57</v>
      </c>
      <c r="J427" t="s">
        <v>1440</v>
      </c>
      <c r="K427" t="s">
        <v>1440</v>
      </c>
      <c r="L427" t="s">
        <v>1439</v>
      </c>
      <c r="M427" t="s">
        <v>1440</v>
      </c>
      <c r="N427" t="s">
        <v>1440</v>
      </c>
      <c r="O427" t="s">
        <v>23</v>
      </c>
      <c r="Q427">
        <f t="shared" si="24"/>
        <v>1</v>
      </c>
      <c r="R427" t="e">
        <f t="shared" ca="1" si="25"/>
        <v>#NAME?</v>
      </c>
      <c r="S427">
        <f t="shared" si="26"/>
        <v>6</v>
      </c>
      <c r="T427" t="str">
        <f t="shared" si="27"/>
        <v>Ontevreden</v>
      </c>
    </row>
    <row r="428" spans="1:20" x14ac:dyDescent="0.3">
      <c r="A428" t="s">
        <v>3637</v>
      </c>
      <c r="B428" t="s">
        <v>1562</v>
      </c>
      <c r="C428" t="s">
        <v>3638</v>
      </c>
      <c r="D428" t="s">
        <v>3639</v>
      </c>
      <c r="E428" t="s">
        <v>3640</v>
      </c>
      <c r="F428" t="s">
        <v>3641</v>
      </c>
      <c r="G428">
        <v>20.04</v>
      </c>
      <c r="H428">
        <v>2</v>
      </c>
      <c r="I428" t="s">
        <v>29</v>
      </c>
      <c r="J428" t="s">
        <v>1440</v>
      </c>
      <c r="K428" t="s">
        <v>1440</v>
      </c>
      <c r="L428" t="s">
        <v>1440</v>
      </c>
      <c r="M428" t="s">
        <v>1439</v>
      </c>
      <c r="N428" t="s">
        <v>1439</v>
      </c>
      <c r="O428" t="s">
        <v>23</v>
      </c>
      <c r="Q428">
        <f t="shared" si="24"/>
        <v>1</v>
      </c>
      <c r="R428" t="e">
        <f t="shared" ca="1" si="25"/>
        <v>#NAME?</v>
      </c>
      <c r="S428">
        <f t="shared" si="26"/>
        <v>4</v>
      </c>
      <c r="T428" t="str">
        <f t="shared" si="27"/>
        <v>Ontevreden</v>
      </c>
    </row>
    <row r="429" spans="1:20" x14ac:dyDescent="0.3">
      <c r="A429" t="s">
        <v>3642</v>
      </c>
      <c r="B429" t="s">
        <v>3643</v>
      </c>
      <c r="C429" t="s">
        <v>3644</v>
      </c>
      <c r="D429" t="s">
        <v>3645</v>
      </c>
      <c r="E429" t="s">
        <v>3646</v>
      </c>
      <c r="F429" t="s">
        <v>3647</v>
      </c>
      <c r="G429">
        <v>177.39</v>
      </c>
      <c r="H429">
        <v>22</v>
      </c>
      <c r="I429" t="s">
        <v>29</v>
      </c>
      <c r="J429" t="s">
        <v>1440</v>
      </c>
      <c r="K429" t="s">
        <v>1440</v>
      </c>
      <c r="L429" t="s">
        <v>1440</v>
      </c>
      <c r="M429" t="s">
        <v>1439</v>
      </c>
      <c r="N429" t="s">
        <v>1439</v>
      </c>
      <c r="O429" t="s">
        <v>23</v>
      </c>
      <c r="Q429">
        <f t="shared" si="24"/>
        <v>1</v>
      </c>
      <c r="R429" t="e">
        <f t="shared" ca="1" si="25"/>
        <v>#NAME?</v>
      </c>
      <c r="S429">
        <f t="shared" si="26"/>
        <v>4</v>
      </c>
      <c r="T429" t="str">
        <f t="shared" si="27"/>
        <v>Ontevreden</v>
      </c>
    </row>
    <row r="430" spans="1:20" x14ac:dyDescent="0.3">
      <c r="A430" t="s">
        <v>3648</v>
      </c>
      <c r="B430" t="s">
        <v>1930</v>
      </c>
      <c r="C430" t="s">
        <v>3649</v>
      </c>
      <c r="D430" t="s">
        <v>3650</v>
      </c>
      <c r="E430" t="s">
        <v>3651</v>
      </c>
      <c r="F430" t="s">
        <v>3652</v>
      </c>
      <c r="G430">
        <v>96.06</v>
      </c>
      <c r="H430">
        <v>10</v>
      </c>
      <c r="I430" t="s">
        <v>57</v>
      </c>
      <c r="J430" t="s">
        <v>1440</v>
      </c>
      <c r="K430" t="s">
        <v>1440</v>
      </c>
      <c r="L430" t="s">
        <v>1440</v>
      </c>
      <c r="M430" t="s">
        <v>1440</v>
      </c>
      <c r="N430" t="s">
        <v>1440</v>
      </c>
      <c r="O430" t="s">
        <v>23</v>
      </c>
      <c r="Q430">
        <f t="shared" si="24"/>
        <v>1</v>
      </c>
      <c r="R430" t="e">
        <f t="shared" ca="1" si="25"/>
        <v>#NAME?</v>
      </c>
      <c r="S430">
        <f t="shared" si="26"/>
        <v>8</v>
      </c>
      <c r="T430" t="str">
        <f t="shared" si="27"/>
        <v>Tevreden</v>
      </c>
    </row>
    <row r="431" spans="1:20" x14ac:dyDescent="0.3">
      <c r="A431" t="s">
        <v>3653</v>
      </c>
      <c r="B431" t="s">
        <v>3654</v>
      </c>
      <c r="C431" t="s">
        <v>3655</v>
      </c>
      <c r="D431" t="s">
        <v>3656</v>
      </c>
      <c r="E431" t="s">
        <v>3657</v>
      </c>
      <c r="F431" t="s">
        <v>3658</v>
      </c>
      <c r="G431">
        <v>35.6</v>
      </c>
      <c r="H431">
        <v>2</v>
      </c>
      <c r="I431" t="s">
        <v>22</v>
      </c>
      <c r="J431" t="s">
        <v>1440</v>
      </c>
      <c r="K431" t="s">
        <v>1440</v>
      </c>
      <c r="L431" t="s">
        <v>1440</v>
      </c>
      <c r="M431" t="s">
        <v>1440</v>
      </c>
      <c r="N431" t="s">
        <v>1440</v>
      </c>
      <c r="O431" t="s">
        <v>23</v>
      </c>
      <c r="Q431">
        <f t="shared" si="24"/>
        <v>1</v>
      </c>
      <c r="R431" t="e">
        <f t="shared" ca="1" si="25"/>
        <v>#NAME?</v>
      </c>
      <c r="S431">
        <f t="shared" si="26"/>
        <v>8</v>
      </c>
      <c r="T431" t="str">
        <f t="shared" si="27"/>
        <v>Tevreden</v>
      </c>
    </row>
    <row r="432" spans="1:20" x14ac:dyDescent="0.3">
      <c r="A432" t="s">
        <v>3659</v>
      </c>
      <c r="B432" t="s">
        <v>3660</v>
      </c>
      <c r="C432" t="s">
        <v>3661</v>
      </c>
      <c r="D432" t="s">
        <v>3662</v>
      </c>
      <c r="E432" t="s">
        <v>3663</v>
      </c>
      <c r="F432" t="s">
        <v>3664</v>
      </c>
      <c r="G432">
        <v>170.46</v>
      </c>
      <c r="H432">
        <v>4</v>
      </c>
      <c r="I432" t="s">
        <v>57</v>
      </c>
      <c r="J432" t="s">
        <v>1440</v>
      </c>
      <c r="K432" t="s">
        <v>1439</v>
      </c>
      <c r="L432" t="s">
        <v>1440</v>
      </c>
      <c r="M432" t="s">
        <v>1440</v>
      </c>
      <c r="N432" t="s">
        <v>1440</v>
      </c>
      <c r="O432" t="s">
        <v>34</v>
      </c>
      <c r="Q432">
        <f t="shared" si="24"/>
        <v>1</v>
      </c>
      <c r="R432" t="e">
        <f t="shared" ca="1" si="25"/>
        <v>#NAME?</v>
      </c>
      <c r="S432">
        <f t="shared" si="26"/>
        <v>6</v>
      </c>
      <c r="T432" t="str">
        <f t="shared" si="27"/>
        <v>Ontevreden</v>
      </c>
    </row>
    <row r="433" spans="1:20" x14ac:dyDescent="0.3">
      <c r="A433" t="s">
        <v>3665</v>
      </c>
      <c r="B433" t="s">
        <v>2110</v>
      </c>
      <c r="C433" t="s">
        <v>3666</v>
      </c>
      <c r="D433" t="s">
        <v>3667</v>
      </c>
      <c r="E433" t="s">
        <v>3668</v>
      </c>
      <c r="F433" t="s">
        <v>3669</v>
      </c>
      <c r="G433">
        <v>78.349999999999994</v>
      </c>
      <c r="H433">
        <v>11</v>
      </c>
      <c r="I433" t="s">
        <v>22</v>
      </c>
      <c r="J433" t="s">
        <v>1440</v>
      </c>
      <c r="K433" t="s">
        <v>1439</v>
      </c>
      <c r="L433" t="s">
        <v>1440</v>
      </c>
      <c r="M433" t="s">
        <v>1440</v>
      </c>
      <c r="N433" t="s">
        <v>1440</v>
      </c>
      <c r="O433" t="s">
        <v>23</v>
      </c>
      <c r="Q433">
        <f t="shared" si="24"/>
        <v>1</v>
      </c>
      <c r="R433" t="e">
        <f t="shared" ca="1" si="25"/>
        <v>#NAME?</v>
      </c>
      <c r="S433">
        <f t="shared" si="26"/>
        <v>6</v>
      </c>
      <c r="T433" t="str">
        <f t="shared" si="27"/>
        <v>Ontevreden</v>
      </c>
    </row>
    <row r="434" spans="1:20" x14ac:dyDescent="0.3">
      <c r="A434" t="s">
        <v>3670</v>
      </c>
      <c r="B434" t="s">
        <v>1797</v>
      </c>
      <c r="C434" t="s">
        <v>3671</v>
      </c>
      <c r="D434" t="s">
        <v>3672</v>
      </c>
      <c r="E434" t="s">
        <v>3673</v>
      </c>
      <c r="F434" t="s">
        <v>3674</v>
      </c>
      <c r="G434">
        <v>20.57</v>
      </c>
      <c r="H434">
        <v>17</v>
      </c>
      <c r="I434" t="s">
        <v>29</v>
      </c>
      <c r="J434" t="s">
        <v>1440</v>
      </c>
      <c r="K434" t="s">
        <v>1440</v>
      </c>
      <c r="L434" t="s">
        <v>1440</v>
      </c>
      <c r="M434" t="s">
        <v>1440</v>
      </c>
      <c r="N434" t="s">
        <v>1439</v>
      </c>
      <c r="O434" t="s">
        <v>23</v>
      </c>
      <c r="Q434">
        <f t="shared" si="24"/>
        <v>1</v>
      </c>
      <c r="R434" t="e">
        <f t="shared" ca="1" si="25"/>
        <v>#NAME?</v>
      </c>
      <c r="S434">
        <f t="shared" si="26"/>
        <v>6</v>
      </c>
      <c r="T434" t="str">
        <f t="shared" si="27"/>
        <v>Ontevreden</v>
      </c>
    </row>
    <row r="435" spans="1:20" x14ac:dyDescent="0.3">
      <c r="A435" t="s">
        <v>3675</v>
      </c>
      <c r="B435" t="s">
        <v>2873</v>
      </c>
      <c r="C435" t="s">
        <v>3676</v>
      </c>
      <c r="D435" t="s">
        <v>3677</v>
      </c>
      <c r="E435" t="s">
        <v>3678</v>
      </c>
      <c r="F435" t="s">
        <v>3679</v>
      </c>
      <c r="G435">
        <v>122.65</v>
      </c>
      <c r="H435">
        <v>4</v>
      </c>
      <c r="I435" t="s">
        <v>29</v>
      </c>
      <c r="J435" t="s">
        <v>1440</v>
      </c>
      <c r="K435" t="s">
        <v>1439</v>
      </c>
      <c r="L435" t="s">
        <v>1439</v>
      </c>
      <c r="M435" t="s">
        <v>1439</v>
      </c>
      <c r="N435" t="s">
        <v>1439</v>
      </c>
      <c r="O435" t="s">
        <v>23</v>
      </c>
      <c r="Q435">
        <f t="shared" si="24"/>
        <v>1</v>
      </c>
      <c r="R435" t="e">
        <f t="shared" ca="1" si="25"/>
        <v>#NAME?</v>
      </c>
      <c r="S435">
        <f t="shared" si="26"/>
        <v>0</v>
      </c>
      <c r="T435" t="str">
        <f t="shared" si="27"/>
        <v>Ontevreden</v>
      </c>
    </row>
    <row r="436" spans="1:20" x14ac:dyDescent="0.3">
      <c r="A436" t="s">
        <v>2454</v>
      </c>
      <c r="B436" t="s">
        <v>3680</v>
      </c>
      <c r="C436" t="s">
        <v>3681</v>
      </c>
      <c r="D436" t="s">
        <v>177</v>
      </c>
      <c r="E436" t="s">
        <v>3682</v>
      </c>
      <c r="F436" t="s">
        <v>3683</v>
      </c>
      <c r="G436">
        <v>193.81</v>
      </c>
      <c r="H436">
        <v>17</v>
      </c>
      <c r="I436" t="s">
        <v>57</v>
      </c>
      <c r="J436" t="s">
        <v>1440</v>
      </c>
      <c r="K436" t="s">
        <v>1440</v>
      </c>
      <c r="L436" t="s">
        <v>1440</v>
      </c>
      <c r="M436" t="s">
        <v>1440</v>
      </c>
      <c r="N436" t="s">
        <v>1440</v>
      </c>
      <c r="O436" t="s">
        <v>34</v>
      </c>
      <c r="Q436">
        <f t="shared" si="24"/>
        <v>1</v>
      </c>
      <c r="R436" t="e">
        <f t="shared" ca="1" si="25"/>
        <v>#NAME?</v>
      </c>
      <c r="S436">
        <f t="shared" si="26"/>
        <v>8</v>
      </c>
      <c r="T436" t="str">
        <f t="shared" si="27"/>
        <v>Tevreden</v>
      </c>
    </row>
    <row r="437" spans="1:20" x14ac:dyDescent="0.3">
      <c r="A437" t="s">
        <v>2872</v>
      </c>
      <c r="B437" t="s">
        <v>2163</v>
      </c>
      <c r="C437" t="s">
        <v>3684</v>
      </c>
      <c r="D437" t="s">
        <v>3685</v>
      </c>
      <c r="E437" t="s">
        <v>3686</v>
      </c>
      <c r="F437" t="s">
        <v>3687</v>
      </c>
      <c r="G437">
        <v>195.87</v>
      </c>
      <c r="H437">
        <v>2</v>
      </c>
      <c r="I437" t="s">
        <v>22</v>
      </c>
      <c r="J437" t="s">
        <v>1439</v>
      </c>
      <c r="K437" t="s">
        <v>1440</v>
      </c>
      <c r="L437" t="s">
        <v>1439</v>
      </c>
      <c r="M437" t="s">
        <v>1440</v>
      </c>
      <c r="N437" t="s">
        <v>1440</v>
      </c>
      <c r="O437" t="s">
        <v>34</v>
      </c>
      <c r="Q437">
        <f t="shared" si="24"/>
        <v>1</v>
      </c>
      <c r="R437" t="e">
        <f t="shared" ca="1" si="25"/>
        <v>#NAME?</v>
      </c>
      <c r="S437">
        <f t="shared" si="26"/>
        <v>6</v>
      </c>
      <c r="T437" t="str">
        <f t="shared" si="27"/>
        <v>Ontevreden</v>
      </c>
    </row>
    <row r="438" spans="1:20" x14ac:dyDescent="0.3">
      <c r="A438" t="s">
        <v>3688</v>
      </c>
      <c r="B438" t="s">
        <v>3213</v>
      </c>
      <c r="C438" t="s">
        <v>3689</v>
      </c>
      <c r="D438" t="s">
        <v>863</v>
      </c>
      <c r="E438" t="s">
        <v>3690</v>
      </c>
      <c r="F438" t="s">
        <v>3691</v>
      </c>
      <c r="G438">
        <v>156.47</v>
      </c>
      <c r="H438">
        <v>5</v>
      </c>
      <c r="I438" t="s">
        <v>22</v>
      </c>
      <c r="J438" t="s">
        <v>1440</v>
      </c>
      <c r="K438" t="s">
        <v>1439</v>
      </c>
      <c r="L438" t="s">
        <v>1440</v>
      </c>
      <c r="M438" t="s">
        <v>1440</v>
      </c>
      <c r="N438" t="s">
        <v>1440</v>
      </c>
      <c r="O438" t="s">
        <v>23</v>
      </c>
      <c r="Q438">
        <f t="shared" si="24"/>
        <v>1</v>
      </c>
      <c r="R438" t="e">
        <f t="shared" ca="1" si="25"/>
        <v>#NAME?</v>
      </c>
      <c r="S438">
        <f t="shared" si="26"/>
        <v>6</v>
      </c>
      <c r="T438" t="str">
        <f t="shared" si="27"/>
        <v>Ontevreden</v>
      </c>
    </row>
    <row r="439" spans="1:20" x14ac:dyDescent="0.3">
      <c r="A439" t="s">
        <v>3692</v>
      </c>
      <c r="B439" t="s">
        <v>1555</v>
      </c>
      <c r="C439" t="s">
        <v>3693</v>
      </c>
      <c r="D439" t="s">
        <v>3694</v>
      </c>
      <c r="E439" t="s">
        <v>3695</v>
      </c>
      <c r="F439" t="s">
        <v>3696</v>
      </c>
      <c r="G439">
        <v>103.56</v>
      </c>
      <c r="H439">
        <v>8</v>
      </c>
      <c r="I439" t="s">
        <v>57</v>
      </c>
      <c r="J439" t="s">
        <v>1440</v>
      </c>
      <c r="K439" t="s">
        <v>1440</v>
      </c>
      <c r="L439" t="s">
        <v>1440</v>
      </c>
      <c r="M439" t="s">
        <v>1440</v>
      </c>
      <c r="N439" t="s">
        <v>1440</v>
      </c>
      <c r="O439" t="s">
        <v>23</v>
      </c>
      <c r="Q439">
        <f t="shared" si="24"/>
        <v>1</v>
      </c>
      <c r="R439" t="e">
        <f t="shared" ca="1" si="25"/>
        <v>#NAME?</v>
      </c>
      <c r="S439">
        <f t="shared" si="26"/>
        <v>8</v>
      </c>
      <c r="T439" t="str">
        <f t="shared" si="27"/>
        <v>Tevreden</v>
      </c>
    </row>
    <row r="440" spans="1:20" x14ac:dyDescent="0.3">
      <c r="A440" t="s">
        <v>3697</v>
      </c>
      <c r="B440" t="s">
        <v>2116</v>
      </c>
      <c r="C440" t="s">
        <v>3698</v>
      </c>
      <c r="D440" t="s">
        <v>3699</v>
      </c>
      <c r="E440" t="s">
        <v>3700</v>
      </c>
      <c r="F440" t="s">
        <v>3697</v>
      </c>
      <c r="G440">
        <v>157.62</v>
      </c>
      <c r="H440">
        <v>10</v>
      </c>
      <c r="I440" t="s">
        <v>29</v>
      </c>
      <c r="J440" t="s">
        <v>1440</v>
      </c>
      <c r="K440" t="s">
        <v>1439</v>
      </c>
      <c r="L440" t="s">
        <v>1440</v>
      </c>
      <c r="M440" t="s">
        <v>1440</v>
      </c>
      <c r="N440" t="s">
        <v>1440</v>
      </c>
      <c r="O440" t="s">
        <v>23</v>
      </c>
      <c r="Q440">
        <f t="shared" si="24"/>
        <v>1</v>
      </c>
      <c r="R440" t="e">
        <f t="shared" ca="1" si="25"/>
        <v>#NAME?</v>
      </c>
      <c r="S440">
        <f t="shared" si="26"/>
        <v>6</v>
      </c>
      <c r="T440" t="str">
        <f t="shared" si="27"/>
        <v>Ontevreden</v>
      </c>
    </row>
    <row r="441" spans="1:20" x14ac:dyDescent="0.3">
      <c r="A441" t="s">
        <v>3701</v>
      </c>
      <c r="B441" t="s">
        <v>1434</v>
      </c>
      <c r="C441" t="s">
        <v>3702</v>
      </c>
      <c r="D441" t="s">
        <v>3703</v>
      </c>
      <c r="E441" t="s">
        <v>3704</v>
      </c>
      <c r="F441" t="s">
        <v>3705</v>
      </c>
      <c r="G441">
        <v>210.61</v>
      </c>
      <c r="H441">
        <v>4</v>
      </c>
      <c r="I441" t="s">
        <v>29</v>
      </c>
      <c r="J441" t="s">
        <v>1440</v>
      </c>
      <c r="K441" t="s">
        <v>1440</v>
      </c>
      <c r="L441" t="s">
        <v>1440</v>
      </c>
      <c r="M441" t="s">
        <v>1440</v>
      </c>
      <c r="N441" t="s">
        <v>1440</v>
      </c>
      <c r="O441" t="s">
        <v>23</v>
      </c>
      <c r="Q441">
        <f t="shared" si="24"/>
        <v>1</v>
      </c>
      <c r="R441" t="e">
        <f t="shared" ca="1" si="25"/>
        <v>#NAME?</v>
      </c>
      <c r="S441">
        <f t="shared" si="26"/>
        <v>8</v>
      </c>
      <c r="T441" t="str">
        <f t="shared" si="27"/>
        <v>Tevreden</v>
      </c>
    </row>
    <row r="442" spans="1:20" x14ac:dyDescent="0.3">
      <c r="A442" t="s">
        <v>3706</v>
      </c>
      <c r="B442" t="s">
        <v>2656</v>
      </c>
      <c r="C442" t="s">
        <v>3707</v>
      </c>
      <c r="D442" t="s">
        <v>702</v>
      </c>
      <c r="E442" t="s">
        <v>3708</v>
      </c>
      <c r="F442" t="s">
        <v>3709</v>
      </c>
      <c r="G442">
        <v>172.94</v>
      </c>
      <c r="H442">
        <v>1</v>
      </c>
      <c r="I442" t="s">
        <v>57</v>
      </c>
      <c r="J442" t="s">
        <v>1439</v>
      </c>
      <c r="K442" t="s">
        <v>1439</v>
      </c>
      <c r="L442" t="s">
        <v>1440</v>
      </c>
      <c r="M442" t="s">
        <v>1439</v>
      </c>
      <c r="N442" t="s">
        <v>1440</v>
      </c>
      <c r="O442" t="s">
        <v>23</v>
      </c>
      <c r="Q442">
        <f t="shared" si="24"/>
        <v>1</v>
      </c>
      <c r="R442" t="e">
        <f t="shared" ca="1" si="25"/>
        <v>#NAME?</v>
      </c>
      <c r="S442">
        <f t="shared" si="26"/>
        <v>4</v>
      </c>
      <c r="T442" t="str">
        <f t="shared" si="27"/>
        <v>Ontevreden</v>
      </c>
    </row>
    <row r="443" spans="1:20" x14ac:dyDescent="0.3">
      <c r="A443" t="s">
        <v>3710</v>
      </c>
      <c r="B443" t="s">
        <v>2350</v>
      </c>
      <c r="C443" t="s">
        <v>3711</v>
      </c>
      <c r="D443" t="s">
        <v>3712</v>
      </c>
      <c r="E443" t="s">
        <v>3713</v>
      </c>
      <c r="F443" t="s">
        <v>3714</v>
      </c>
      <c r="G443">
        <v>126.09</v>
      </c>
      <c r="H443">
        <v>9</v>
      </c>
      <c r="I443" t="s">
        <v>22</v>
      </c>
      <c r="J443" t="s">
        <v>1440</v>
      </c>
      <c r="K443" t="s">
        <v>1440</v>
      </c>
      <c r="L443" t="s">
        <v>1439</v>
      </c>
      <c r="M443" t="s">
        <v>1439</v>
      </c>
      <c r="N443" t="s">
        <v>1440</v>
      </c>
      <c r="O443" t="s">
        <v>23</v>
      </c>
      <c r="Q443">
        <f t="shared" si="24"/>
        <v>1</v>
      </c>
      <c r="R443" t="e">
        <f t="shared" ca="1" si="25"/>
        <v>#NAME?</v>
      </c>
      <c r="S443">
        <f t="shared" si="26"/>
        <v>4</v>
      </c>
      <c r="T443" t="str">
        <f t="shared" si="27"/>
        <v>Ontevreden</v>
      </c>
    </row>
    <row r="444" spans="1:20" x14ac:dyDescent="0.3">
      <c r="A444" t="s">
        <v>3715</v>
      </c>
      <c r="B444" t="s">
        <v>1562</v>
      </c>
      <c r="C444" t="s">
        <v>3716</v>
      </c>
      <c r="D444" t="s">
        <v>3717</v>
      </c>
      <c r="E444" t="s">
        <v>3718</v>
      </c>
      <c r="F444" t="s">
        <v>3719</v>
      </c>
      <c r="G444">
        <v>214.08</v>
      </c>
      <c r="H444">
        <v>2</v>
      </c>
      <c r="I444" t="s">
        <v>22</v>
      </c>
      <c r="J444" t="s">
        <v>1439</v>
      </c>
      <c r="K444" t="s">
        <v>1439</v>
      </c>
      <c r="L444" t="s">
        <v>1440</v>
      </c>
      <c r="M444" t="s">
        <v>1440</v>
      </c>
      <c r="N444" t="s">
        <v>1440</v>
      </c>
      <c r="O444" t="s">
        <v>34</v>
      </c>
      <c r="Q444">
        <f t="shared" si="24"/>
        <v>1</v>
      </c>
      <c r="R444" t="e">
        <f t="shared" ca="1" si="25"/>
        <v>#NAME?</v>
      </c>
      <c r="S444">
        <f t="shared" si="26"/>
        <v>6</v>
      </c>
      <c r="T444" t="str">
        <f t="shared" si="27"/>
        <v>Ontevreden</v>
      </c>
    </row>
    <row r="445" spans="1:20" x14ac:dyDescent="0.3">
      <c r="A445" t="s">
        <v>3720</v>
      </c>
      <c r="B445" t="s">
        <v>1820</v>
      </c>
      <c r="C445" t="s">
        <v>3721</v>
      </c>
      <c r="D445" t="s">
        <v>3722</v>
      </c>
      <c r="E445" t="s">
        <v>3723</v>
      </c>
      <c r="F445" t="s">
        <v>3724</v>
      </c>
      <c r="G445">
        <v>127.11</v>
      </c>
      <c r="H445">
        <v>19</v>
      </c>
      <c r="I445" t="s">
        <v>57</v>
      </c>
      <c r="J445" t="s">
        <v>1439</v>
      </c>
      <c r="K445" t="s">
        <v>1440</v>
      </c>
      <c r="L445" t="s">
        <v>1439</v>
      </c>
      <c r="M445" t="s">
        <v>1440</v>
      </c>
      <c r="N445" t="s">
        <v>1439</v>
      </c>
      <c r="O445" t="s">
        <v>34</v>
      </c>
      <c r="Q445">
        <f t="shared" si="24"/>
        <v>1</v>
      </c>
      <c r="R445" t="e">
        <f t="shared" ca="1" si="25"/>
        <v>#NAME?</v>
      </c>
      <c r="S445">
        <f t="shared" si="26"/>
        <v>4</v>
      </c>
      <c r="T445" t="str">
        <f t="shared" si="27"/>
        <v>Ontevreden</v>
      </c>
    </row>
    <row r="446" spans="1:20" x14ac:dyDescent="0.3">
      <c r="A446" t="s">
        <v>3725</v>
      </c>
      <c r="B446" t="s">
        <v>2302</v>
      </c>
      <c r="C446" t="s">
        <v>3726</v>
      </c>
      <c r="D446" t="s">
        <v>3727</v>
      </c>
      <c r="E446" t="s">
        <v>3728</v>
      </c>
      <c r="F446" t="s">
        <v>3729</v>
      </c>
      <c r="G446">
        <v>226.16</v>
      </c>
      <c r="H446">
        <v>14</v>
      </c>
      <c r="I446" t="s">
        <v>29</v>
      </c>
      <c r="J446" t="s">
        <v>1439</v>
      </c>
      <c r="K446" t="s">
        <v>1440</v>
      </c>
      <c r="L446" t="s">
        <v>1440</v>
      </c>
      <c r="M446" t="s">
        <v>1440</v>
      </c>
      <c r="N446" t="s">
        <v>1440</v>
      </c>
      <c r="O446" t="s">
        <v>23</v>
      </c>
      <c r="Q446">
        <f t="shared" si="24"/>
        <v>1</v>
      </c>
      <c r="R446" t="e">
        <f t="shared" ca="1" si="25"/>
        <v>#NAME?</v>
      </c>
      <c r="S446">
        <f t="shared" si="26"/>
        <v>8</v>
      </c>
      <c r="T446" t="str">
        <f t="shared" si="27"/>
        <v>Tevreden</v>
      </c>
    </row>
    <row r="447" spans="1:20" x14ac:dyDescent="0.3">
      <c r="A447" t="s">
        <v>2413</v>
      </c>
      <c r="B447" t="s">
        <v>2768</v>
      </c>
      <c r="C447" t="s">
        <v>3730</v>
      </c>
      <c r="D447" t="s">
        <v>3731</v>
      </c>
      <c r="E447" t="s">
        <v>3732</v>
      </c>
      <c r="F447" t="s">
        <v>3733</v>
      </c>
      <c r="G447">
        <v>93.41</v>
      </c>
      <c r="H447">
        <v>18</v>
      </c>
      <c r="I447" t="s">
        <v>29</v>
      </c>
      <c r="J447" t="s">
        <v>1439</v>
      </c>
      <c r="K447" t="s">
        <v>1440</v>
      </c>
      <c r="L447" t="s">
        <v>1440</v>
      </c>
      <c r="M447" t="s">
        <v>1440</v>
      </c>
      <c r="N447" t="s">
        <v>1440</v>
      </c>
      <c r="O447" t="s">
        <v>34</v>
      </c>
      <c r="Q447">
        <f t="shared" si="24"/>
        <v>1</v>
      </c>
      <c r="R447" t="e">
        <f t="shared" ca="1" si="25"/>
        <v>#NAME?</v>
      </c>
      <c r="S447">
        <f t="shared" si="26"/>
        <v>8</v>
      </c>
      <c r="T447" t="str">
        <f t="shared" si="27"/>
        <v>Tevreden</v>
      </c>
    </row>
    <row r="448" spans="1:20" x14ac:dyDescent="0.3">
      <c r="A448" t="s">
        <v>3734</v>
      </c>
      <c r="B448" t="s">
        <v>2879</v>
      </c>
      <c r="C448" t="s">
        <v>3735</v>
      </c>
      <c r="D448" t="s">
        <v>3736</v>
      </c>
      <c r="E448" t="s">
        <v>3737</v>
      </c>
      <c r="F448" t="s">
        <v>3738</v>
      </c>
      <c r="G448">
        <v>134.59</v>
      </c>
      <c r="H448">
        <v>4</v>
      </c>
      <c r="I448" t="s">
        <v>29</v>
      </c>
      <c r="J448" t="s">
        <v>1439</v>
      </c>
      <c r="K448" t="s">
        <v>1440</v>
      </c>
      <c r="L448" t="s">
        <v>1440</v>
      </c>
      <c r="M448" t="s">
        <v>1440</v>
      </c>
      <c r="N448" t="s">
        <v>1440</v>
      </c>
      <c r="O448" t="s">
        <v>34</v>
      </c>
      <c r="Q448">
        <f t="shared" si="24"/>
        <v>1</v>
      </c>
      <c r="R448" t="e">
        <f t="shared" ca="1" si="25"/>
        <v>#NAME?</v>
      </c>
      <c r="S448">
        <f t="shared" si="26"/>
        <v>8</v>
      </c>
      <c r="T448" t="str">
        <f t="shared" si="27"/>
        <v>Tevreden</v>
      </c>
    </row>
    <row r="449" spans="1:20" x14ac:dyDescent="0.3">
      <c r="A449" t="s">
        <v>3739</v>
      </c>
      <c r="B449" t="s">
        <v>3740</v>
      </c>
      <c r="C449" t="s">
        <v>3741</v>
      </c>
      <c r="D449" t="s">
        <v>3742</v>
      </c>
      <c r="E449" t="s">
        <v>3743</v>
      </c>
      <c r="F449" t="s">
        <v>3744</v>
      </c>
      <c r="G449">
        <v>99.31</v>
      </c>
      <c r="H449">
        <v>11</v>
      </c>
      <c r="I449" t="s">
        <v>22</v>
      </c>
      <c r="J449" t="s">
        <v>1440</v>
      </c>
      <c r="K449" t="s">
        <v>1439</v>
      </c>
      <c r="L449" t="s">
        <v>1440</v>
      </c>
      <c r="M449" t="s">
        <v>1440</v>
      </c>
      <c r="N449" t="s">
        <v>1440</v>
      </c>
      <c r="O449" t="s">
        <v>23</v>
      </c>
      <c r="Q449">
        <f t="shared" si="24"/>
        <v>1</v>
      </c>
      <c r="R449" t="e">
        <f t="shared" ca="1" si="25"/>
        <v>#NAME?</v>
      </c>
      <c r="S449">
        <f t="shared" si="26"/>
        <v>6</v>
      </c>
      <c r="T449" t="str">
        <f t="shared" si="27"/>
        <v>Ontevreden</v>
      </c>
    </row>
    <row r="450" spans="1:20" x14ac:dyDescent="0.3">
      <c r="A450" t="s">
        <v>3745</v>
      </c>
      <c r="B450" t="s">
        <v>3597</v>
      </c>
      <c r="C450" t="s">
        <v>3746</v>
      </c>
      <c r="D450" t="s">
        <v>3747</v>
      </c>
      <c r="E450" t="s">
        <v>3748</v>
      </c>
      <c r="F450" t="s">
        <v>3745</v>
      </c>
      <c r="G450">
        <v>78.97</v>
      </c>
      <c r="H450">
        <v>2</v>
      </c>
      <c r="I450" t="s">
        <v>22</v>
      </c>
      <c r="J450" t="s">
        <v>1439</v>
      </c>
      <c r="K450" t="s">
        <v>1440</v>
      </c>
      <c r="L450" t="s">
        <v>1440</v>
      </c>
      <c r="M450" t="s">
        <v>1440</v>
      </c>
      <c r="N450" t="s">
        <v>1440</v>
      </c>
      <c r="O450" t="s">
        <v>23</v>
      </c>
      <c r="Q450">
        <f t="shared" ref="Q450:Q513" si="28">LEN(G450)-LEN(SUBSTITUTE(G450,",",""))+1</f>
        <v>1</v>
      </c>
      <c r="R450" t="e">
        <f t="shared" ref="R450:R513" ca="1" si="29">SWITCH(I450, "Zelden", 1, "Af en toe", 4, "Regelmatig", 8, "Vaak", 12)</f>
        <v>#NAME?</v>
      </c>
      <c r="S450">
        <f t="shared" ref="S450:S513" si="30">AVERAGE(--(K450="ja"), --(L450="ja"), --(M450="ja"), --(N450="ja"), --(O450="ja"))*10</f>
        <v>8</v>
      </c>
      <c r="T450" t="str">
        <f t="shared" ref="T450:T513" si="31">IF(S450&gt;=7, "Tevreden", "Ontevreden")</f>
        <v>Tevreden</v>
      </c>
    </row>
    <row r="451" spans="1:20" x14ac:dyDescent="0.3">
      <c r="A451" t="s">
        <v>1584</v>
      </c>
      <c r="B451" t="s">
        <v>1454</v>
      </c>
      <c r="C451" t="s">
        <v>3749</v>
      </c>
      <c r="D451" t="s">
        <v>3750</v>
      </c>
      <c r="E451" t="s">
        <v>3751</v>
      </c>
      <c r="F451" t="s">
        <v>1584</v>
      </c>
      <c r="G451">
        <v>22.47</v>
      </c>
      <c r="H451">
        <v>15</v>
      </c>
      <c r="I451" t="s">
        <v>102</v>
      </c>
      <c r="J451" t="s">
        <v>1439</v>
      </c>
      <c r="K451" t="s">
        <v>1440</v>
      </c>
      <c r="L451" t="s">
        <v>1440</v>
      </c>
      <c r="M451" t="s">
        <v>1440</v>
      </c>
      <c r="N451" t="s">
        <v>1440</v>
      </c>
      <c r="O451" t="s">
        <v>23</v>
      </c>
      <c r="Q451">
        <f t="shared" si="28"/>
        <v>1</v>
      </c>
      <c r="R451" t="e">
        <f t="shared" ca="1" si="29"/>
        <v>#NAME?</v>
      </c>
      <c r="S451">
        <f t="shared" si="30"/>
        <v>8</v>
      </c>
      <c r="T451" t="str">
        <f t="shared" si="31"/>
        <v>Tevreden</v>
      </c>
    </row>
    <row r="452" spans="1:20" x14ac:dyDescent="0.3">
      <c r="A452" t="s">
        <v>3752</v>
      </c>
      <c r="B452" t="s">
        <v>2768</v>
      </c>
      <c r="C452" t="s">
        <v>3753</v>
      </c>
      <c r="D452" t="s">
        <v>3754</v>
      </c>
      <c r="E452" t="s">
        <v>3755</v>
      </c>
      <c r="F452" t="s">
        <v>3756</v>
      </c>
      <c r="G452">
        <v>100.03</v>
      </c>
      <c r="H452">
        <v>11</v>
      </c>
      <c r="I452" t="s">
        <v>29</v>
      </c>
      <c r="J452" t="s">
        <v>1440</v>
      </c>
      <c r="K452" t="s">
        <v>1440</v>
      </c>
      <c r="L452" t="s">
        <v>1440</v>
      </c>
      <c r="M452" t="s">
        <v>1439</v>
      </c>
      <c r="N452" t="s">
        <v>1440</v>
      </c>
      <c r="O452" t="s">
        <v>23</v>
      </c>
      <c r="Q452">
        <f t="shared" si="28"/>
        <v>1</v>
      </c>
      <c r="R452" t="e">
        <f t="shared" ca="1" si="29"/>
        <v>#NAME?</v>
      </c>
      <c r="S452">
        <f t="shared" si="30"/>
        <v>6</v>
      </c>
      <c r="T452" t="str">
        <f t="shared" si="31"/>
        <v>Ontevreden</v>
      </c>
    </row>
    <row r="453" spans="1:20" x14ac:dyDescent="0.3">
      <c r="A453" t="s">
        <v>1537</v>
      </c>
      <c r="B453" t="s">
        <v>3150</v>
      </c>
      <c r="C453" t="s">
        <v>3757</v>
      </c>
      <c r="D453" t="s">
        <v>3758</v>
      </c>
      <c r="E453" t="s">
        <v>3759</v>
      </c>
      <c r="F453" t="s">
        <v>3760</v>
      </c>
      <c r="G453">
        <v>184.67</v>
      </c>
      <c r="H453">
        <v>10</v>
      </c>
      <c r="I453" t="s">
        <v>29</v>
      </c>
      <c r="J453" t="s">
        <v>1440</v>
      </c>
      <c r="K453" t="s">
        <v>1440</v>
      </c>
      <c r="L453" t="s">
        <v>1440</v>
      </c>
      <c r="M453" t="s">
        <v>1440</v>
      </c>
      <c r="N453" t="s">
        <v>1440</v>
      </c>
      <c r="O453" t="s">
        <v>23</v>
      </c>
      <c r="Q453">
        <f t="shared" si="28"/>
        <v>1</v>
      </c>
      <c r="R453" t="e">
        <f t="shared" ca="1" si="29"/>
        <v>#NAME?</v>
      </c>
      <c r="S453">
        <f t="shared" si="30"/>
        <v>8</v>
      </c>
      <c r="T453" t="str">
        <f t="shared" si="31"/>
        <v>Tevreden</v>
      </c>
    </row>
    <row r="454" spans="1:20" x14ac:dyDescent="0.3">
      <c r="A454" t="s">
        <v>1626</v>
      </c>
      <c r="B454" t="s">
        <v>2302</v>
      </c>
      <c r="C454" t="s">
        <v>3761</v>
      </c>
      <c r="D454" t="s">
        <v>3762</v>
      </c>
      <c r="E454" t="s">
        <v>3763</v>
      </c>
      <c r="F454" t="s">
        <v>3764</v>
      </c>
      <c r="G454">
        <v>169.03</v>
      </c>
      <c r="H454">
        <v>16</v>
      </c>
      <c r="I454" t="s">
        <v>22</v>
      </c>
      <c r="J454" t="s">
        <v>1440</v>
      </c>
      <c r="K454" t="s">
        <v>1439</v>
      </c>
      <c r="L454" t="s">
        <v>1440</v>
      </c>
      <c r="M454" t="s">
        <v>1439</v>
      </c>
      <c r="N454" t="s">
        <v>1440</v>
      </c>
      <c r="O454" t="s">
        <v>23</v>
      </c>
      <c r="Q454">
        <f t="shared" si="28"/>
        <v>1</v>
      </c>
      <c r="R454" t="e">
        <f t="shared" ca="1" si="29"/>
        <v>#NAME?</v>
      </c>
      <c r="S454">
        <f t="shared" si="30"/>
        <v>4</v>
      </c>
      <c r="T454" t="str">
        <f t="shared" si="31"/>
        <v>Ontevreden</v>
      </c>
    </row>
    <row r="455" spans="1:20" x14ac:dyDescent="0.3">
      <c r="A455" t="s">
        <v>3765</v>
      </c>
      <c r="B455" t="s">
        <v>1842</v>
      </c>
      <c r="C455" t="s">
        <v>3766</v>
      </c>
      <c r="D455" t="s">
        <v>3767</v>
      </c>
      <c r="E455" t="s">
        <v>3768</v>
      </c>
      <c r="F455" t="s">
        <v>3769</v>
      </c>
      <c r="G455">
        <v>184.32</v>
      </c>
      <c r="H455">
        <v>22</v>
      </c>
      <c r="I455" t="s">
        <v>22</v>
      </c>
      <c r="J455" t="s">
        <v>1440</v>
      </c>
      <c r="K455" t="s">
        <v>1439</v>
      </c>
      <c r="L455" t="s">
        <v>1440</v>
      </c>
      <c r="M455" t="s">
        <v>1440</v>
      </c>
      <c r="N455" t="s">
        <v>1439</v>
      </c>
      <c r="O455" t="s">
        <v>23</v>
      </c>
      <c r="Q455">
        <f t="shared" si="28"/>
        <v>1</v>
      </c>
      <c r="R455" t="e">
        <f t="shared" ca="1" si="29"/>
        <v>#NAME?</v>
      </c>
      <c r="S455">
        <f t="shared" si="30"/>
        <v>4</v>
      </c>
      <c r="T455" t="str">
        <f t="shared" si="31"/>
        <v>Ontevreden</v>
      </c>
    </row>
    <row r="456" spans="1:20" x14ac:dyDescent="0.3">
      <c r="A456" t="s">
        <v>3770</v>
      </c>
      <c r="B456" t="s">
        <v>3771</v>
      </c>
      <c r="C456" t="s">
        <v>3772</v>
      </c>
      <c r="D456" t="s">
        <v>3773</v>
      </c>
      <c r="E456" t="s">
        <v>3774</v>
      </c>
      <c r="F456" t="s">
        <v>3775</v>
      </c>
      <c r="G456">
        <v>44.55</v>
      </c>
      <c r="H456">
        <v>7</v>
      </c>
      <c r="I456" t="s">
        <v>22</v>
      </c>
      <c r="J456" t="s">
        <v>1440</v>
      </c>
      <c r="K456" t="s">
        <v>1440</v>
      </c>
      <c r="L456" t="s">
        <v>1440</v>
      </c>
      <c r="M456" t="s">
        <v>1440</v>
      </c>
      <c r="N456" t="s">
        <v>1440</v>
      </c>
      <c r="O456" t="s">
        <v>34</v>
      </c>
      <c r="Q456">
        <f t="shared" si="28"/>
        <v>1</v>
      </c>
      <c r="R456" t="e">
        <f t="shared" ca="1" si="29"/>
        <v>#NAME?</v>
      </c>
      <c r="S456">
        <f t="shared" si="30"/>
        <v>8</v>
      </c>
      <c r="T456" t="str">
        <f t="shared" si="31"/>
        <v>Tevreden</v>
      </c>
    </row>
    <row r="457" spans="1:20" x14ac:dyDescent="0.3">
      <c r="A457" t="s">
        <v>3776</v>
      </c>
      <c r="B457" t="s">
        <v>2185</v>
      </c>
      <c r="C457" t="s">
        <v>3777</v>
      </c>
      <c r="D457" t="s">
        <v>3778</v>
      </c>
      <c r="E457" t="s">
        <v>3779</v>
      </c>
      <c r="F457" t="s">
        <v>3780</v>
      </c>
      <c r="G457">
        <v>117.5</v>
      </c>
      <c r="H457">
        <v>7</v>
      </c>
      <c r="I457" t="s">
        <v>29</v>
      </c>
      <c r="J457" t="s">
        <v>1440</v>
      </c>
      <c r="K457" t="s">
        <v>1440</v>
      </c>
      <c r="L457" t="s">
        <v>1440</v>
      </c>
      <c r="M457" t="s">
        <v>1440</v>
      </c>
      <c r="N457" t="s">
        <v>1440</v>
      </c>
      <c r="O457" t="s">
        <v>34</v>
      </c>
      <c r="Q457">
        <f t="shared" si="28"/>
        <v>1</v>
      </c>
      <c r="R457" t="e">
        <f t="shared" ca="1" si="29"/>
        <v>#NAME?</v>
      </c>
      <c r="S457">
        <f t="shared" si="30"/>
        <v>8</v>
      </c>
      <c r="T457" t="str">
        <f t="shared" si="31"/>
        <v>Tevreden</v>
      </c>
    </row>
    <row r="458" spans="1:20" x14ac:dyDescent="0.3">
      <c r="A458" t="s">
        <v>3781</v>
      </c>
      <c r="B458" t="s">
        <v>2174</v>
      </c>
      <c r="C458" t="s">
        <v>3782</v>
      </c>
      <c r="D458" t="s">
        <v>2781</v>
      </c>
      <c r="E458" t="s">
        <v>3783</v>
      </c>
      <c r="F458" t="s">
        <v>3784</v>
      </c>
      <c r="G458">
        <v>124.66</v>
      </c>
      <c r="H458">
        <v>8</v>
      </c>
      <c r="I458" t="s">
        <v>22</v>
      </c>
      <c r="J458" t="s">
        <v>1440</v>
      </c>
      <c r="K458" t="s">
        <v>1440</v>
      </c>
      <c r="L458" t="s">
        <v>1440</v>
      </c>
      <c r="M458" t="s">
        <v>1440</v>
      </c>
      <c r="N458" t="s">
        <v>1440</v>
      </c>
      <c r="O458" t="s">
        <v>23</v>
      </c>
      <c r="Q458">
        <f t="shared" si="28"/>
        <v>1</v>
      </c>
      <c r="R458" t="e">
        <f t="shared" ca="1" si="29"/>
        <v>#NAME?</v>
      </c>
      <c r="S458">
        <f t="shared" si="30"/>
        <v>8</v>
      </c>
      <c r="T458" t="str">
        <f t="shared" si="31"/>
        <v>Tevreden</v>
      </c>
    </row>
    <row r="459" spans="1:20" x14ac:dyDescent="0.3">
      <c r="A459" t="s">
        <v>3785</v>
      </c>
      <c r="B459" t="s">
        <v>2703</v>
      </c>
      <c r="C459" t="s">
        <v>3786</v>
      </c>
      <c r="D459" t="s">
        <v>3787</v>
      </c>
      <c r="E459" t="s">
        <v>3788</v>
      </c>
      <c r="F459" t="s">
        <v>3789</v>
      </c>
      <c r="G459">
        <v>71.849999999999994</v>
      </c>
      <c r="H459">
        <v>11</v>
      </c>
      <c r="I459" t="s">
        <v>29</v>
      </c>
      <c r="J459" t="s">
        <v>1440</v>
      </c>
      <c r="K459" t="s">
        <v>1440</v>
      </c>
      <c r="L459" t="s">
        <v>1439</v>
      </c>
      <c r="M459" t="s">
        <v>1440</v>
      </c>
      <c r="N459" t="s">
        <v>1439</v>
      </c>
      <c r="O459" t="s">
        <v>23</v>
      </c>
      <c r="Q459">
        <f t="shared" si="28"/>
        <v>1</v>
      </c>
      <c r="R459" t="e">
        <f t="shared" ca="1" si="29"/>
        <v>#NAME?</v>
      </c>
      <c r="S459">
        <f t="shared" si="30"/>
        <v>4</v>
      </c>
      <c r="T459" t="str">
        <f t="shared" si="31"/>
        <v>Ontevreden</v>
      </c>
    </row>
    <row r="460" spans="1:20" x14ac:dyDescent="0.3">
      <c r="A460" t="s">
        <v>3790</v>
      </c>
      <c r="B460" t="s">
        <v>2625</v>
      </c>
      <c r="C460" t="s">
        <v>3791</v>
      </c>
      <c r="D460" t="s">
        <v>3792</v>
      </c>
      <c r="E460" t="s">
        <v>3793</v>
      </c>
      <c r="F460" t="s">
        <v>3794</v>
      </c>
      <c r="G460">
        <v>63.68</v>
      </c>
      <c r="H460">
        <v>3</v>
      </c>
      <c r="I460" t="s">
        <v>57</v>
      </c>
      <c r="J460" t="s">
        <v>1439</v>
      </c>
      <c r="K460" t="s">
        <v>1440</v>
      </c>
      <c r="L460" t="s">
        <v>1439</v>
      </c>
      <c r="M460" t="s">
        <v>1440</v>
      </c>
      <c r="N460" t="s">
        <v>1440</v>
      </c>
      <c r="O460" t="s">
        <v>78</v>
      </c>
      <c r="Q460">
        <f t="shared" si="28"/>
        <v>1</v>
      </c>
      <c r="R460" t="e">
        <f t="shared" ca="1" si="29"/>
        <v>#NAME?</v>
      </c>
      <c r="S460">
        <f t="shared" si="30"/>
        <v>6</v>
      </c>
      <c r="T460" t="str">
        <f t="shared" si="31"/>
        <v>Ontevreden</v>
      </c>
    </row>
    <row r="461" spans="1:20" x14ac:dyDescent="0.3">
      <c r="A461" t="s">
        <v>2211</v>
      </c>
      <c r="B461" t="s">
        <v>3159</v>
      </c>
      <c r="C461" t="s">
        <v>3795</v>
      </c>
      <c r="D461" t="s">
        <v>3796</v>
      </c>
      <c r="E461" t="s">
        <v>3797</v>
      </c>
      <c r="F461" t="s">
        <v>3798</v>
      </c>
      <c r="G461">
        <v>140.51</v>
      </c>
      <c r="H461">
        <v>18</v>
      </c>
      <c r="I461" t="s">
        <v>22</v>
      </c>
      <c r="J461" t="s">
        <v>1440</v>
      </c>
      <c r="K461" t="s">
        <v>1439</v>
      </c>
      <c r="L461" t="s">
        <v>1440</v>
      </c>
      <c r="M461" t="s">
        <v>1439</v>
      </c>
      <c r="N461" t="s">
        <v>1440</v>
      </c>
      <c r="O461" t="s">
        <v>23</v>
      </c>
      <c r="Q461">
        <f t="shared" si="28"/>
        <v>1</v>
      </c>
      <c r="R461" t="e">
        <f t="shared" ca="1" si="29"/>
        <v>#NAME?</v>
      </c>
      <c r="S461">
        <f t="shared" si="30"/>
        <v>4</v>
      </c>
      <c r="T461" t="str">
        <f t="shared" si="31"/>
        <v>Ontevreden</v>
      </c>
    </row>
    <row r="462" spans="1:20" x14ac:dyDescent="0.3">
      <c r="A462" t="s">
        <v>3799</v>
      </c>
      <c r="B462" t="s">
        <v>2302</v>
      </c>
      <c r="C462" t="s">
        <v>3800</v>
      </c>
      <c r="D462" t="s">
        <v>3801</v>
      </c>
      <c r="E462" t="s">
        <v>3802</v>
      </c>
      <c r="F462" t="s">
        <v>3803</v>
      </c>
      <c r="G462">
        <v>186.48</v>
      </c>
      <c r="H462">
        <v>5</v>
      </c>
      <c r="I462" t="s">
        <v>22</v>
      </c>
      <c r="J462" t="s">
        <v>1440</v>
      </c>
      <c r="K462" t="s">
        <v>1440</v>
      </c>
      <c r="L462" t="s">
        <v>1440</v>
      </c>
      <c r="M462" t="s">
        <v>1440</v>
      </c>
      <c r="N462" t="s">
        <v>1440</v>
      </c>
      <c r="O462" t="s">
        <v>23</v>
      </c>
      <c r="Q462">
        <f t="shared" si="28"/>
        <v>1</v>
      </c>
      <c r="R462" t="e">
        <f t="shared" ca="1" si="29"/>
        <v>#NAME?</v>
      </c>
      <c r="S462">
        <f t="shared" si="30"/>
        <v>8</v>
      </c>
      <c r="T462" t="str">
        <f t="shared" si="31"/>
        <v>Tevreden</v>
      </c>
    </row>
    <row r="463" spans="1:20" x14ac:dyDescent="0.3">
      <c r="A463" t="s">
        <v>3804</v>
      </c>
      <c r="B463" t="s">
        <v>1967</v>
      </c>
      <c r="C463" t="s">
        <v>3805</v>
      </c>
      <c r="D463" t="s">
        <v>3806</v>
      </c>
      <c r="E463" t="s">
        <v>3807</v>
      </c>
      <c r="F463" t="s">
        <v>3808</v>
      </c>
      <c r="G463">
        <v>147.27000000000001</v>
      </c>
      <c r="H463">
        <v>12</v>
      </c>
      <c r="I463" t="s">
        <v>22</v>
      </c>
      <c r="J463" t="s">
        <v>1439</v>
      </c>
      <c r="K463" t="s">
        <v>1439</v>
      </c>
      <c r="L463" t="s">
        <v>1440</v>
      </c>
      <c r="M463" t="s">
        <v>1440</v>
      </c>
      <c r="N463" t="s">
        <v>1440</v>
      </c>
      <c r="O463" t="s">
        <v>23</v>
      </c>
      <c r="Q463">
        <f t="shared" si="28"/>
        <v>1</v>
      </c>
      <c r="R463" t="e">
        <f t="shared" ca="1" si="29"/>
        <v>#NAME?</v>
      </c>
      <c r="S463">
        <f t="shared" si="30"/>
        <v>6</v>
      </c>
      <c r="T463" t="str">
        <f t="shared" si="31"/>
        <v>Ontevreden</v>
      </c>
    </row>
    <row r="464" spans="1:20" x14ac:dyDescent="0.3">
      <c r="A464" t="s">
        <v>3809</v>
      </c>
      <c r="B464" t="s">
        <v>2266</v>
      </c>
      <c r="C464" t="s">
        <v>3810</v>
      </c>
      <c r="D464" t="s">
        <v>3811</v>
      </c>
      <c r="E464" t="s">
        <v>3812</v>
      </c>
      <c r="F464" t="s">
        <v>3813</v>
      </c>
      <c r="G464">
        <v>143.07</v>
      </c>
      <c r="H464">
        <v>4</v>
      </c>
      <c r="I464" t="s">
        <v>22</v>
      </c>
      <c r="J464" t="s">
        <v>1440</v>
      </c>
      <c r="K464" t="s">
        <v>1440</v>
      </c>
      <c r="L464" t="s">
        <v>1439</v>
      </c>
      <c r="M464" t="s">
        <v>1439</v>
      </c>
      <c r="N464" t="s">
        <v>1440</v>
      </c>
      <c r="O464" t="s">
        <v>23</v>
      </c>
      <c r="Q464">
        <f t="shared" si="28"/>
        <v>1</v>
      </c>
      <c r="R464" t="e">
        <f t="shared" ca="1" si="29"/>
        <v>#NAME?</v>
      </c>
      <c r="S464">
        <f t="shared" si="30"/>
        <v>4</v>
      </c>
      <c r="T464" t="str">
        <f t="shared" si="31"/>
        <v>Ontevreden</v>
      </c>
    </row>
    <row r="465" spans="1:20" x14ac:dyDescent="0.3">
      <c r="A465" t="s">
        <v>3814</v>
      </c>
      <c r="B465" t="s">
        <v>2091</v>
      </c>
      <c r="C465" t="s">
        <v>3815</v>
      </c>
      <c r="D465" t="s">
        <v>3816</v>
      </c>
      <c r="E465" t="s">
        <v>3817</v>
      </c>
      <c r="F465" t="s">
        <v>3818</v>
      </c>
      <c r="G465">
        <v>165</v>
      </c>
      <c r="H465">
        <v>10</v>
      </c>
      <c r="I465" t="s">
        <v>29</v>
      </c>
      <c r="J465" t="s">
        <v>1439</v>
      </c>
      <c r="K465" t="s">
        <v>1439</v>
      </c>
      <c r="L465" t="s">
        <v>1440</v>
      </c>
      <c r="M465" t="s">
        <v>1440</v>
      </c>
      <c r="N465" t="s">
        <v>1440</v>
      </c>
      <c r="O465" t="s">
        <v>23</v>
      </c>
      <c r="Q465">
        <f t="shared" si="28"/>
        <v>1</v>
      </c>
      <c r="R465" t="e">
        <f t="shared" ca="1" si="29"/>
        <v>#NAME?</v>
      </c>
      <c r="S465">
        <f t="shared" si="30"/>
        <v>6</v>
      </c>
      <c r="T465" t="str">
        <f t="shared" si="31"/>
        <v>Ontevreden</v>
      </c>
    </row>
    <row r="466" spans="1:20" x14ac:dyDescent="0.3">
      <c r="A466" t="s">
        <v>3819</v>
      </c>
      <c r="B466" t="s">
        <v>3820</v>
      </c>
      <c r="C466" t="s">
        <v>3821</v>
      </c>
      <c r="D466" t="s">
        <v>3822</v>
      </c>
      <c r="E466" t="s">
        <v>3823</v>
      </c>
      <c r="F466" t="s">
        <v>3824</v>
      </c>
      <c r="G466">
        <v>178.31</v>
      </c>
      <c r="H466">
        <v>10</v>
      </c>
      <c r="I466" t="s">
        <v>22</v>
      </c>
      <c r="J466" t="s">
        <v>1440</v>
      </c>
      <c r="K466" t="s">
        <v>1440</v>
      </c>
      <c r="L466" t="s">
        <v>1440</v>
      </c>
      <c r="M466" t="s">
        <v>1440</v>
      </c>
      <c r="N466" t="s">
        <v>1440</v>
      </c>
      <c r="O466" t="s">
        <v>23</v>
      </c>
      <c r="Q466">
        <f t="shared" si="28"/>
        <v>1</v>
      </c>
      <c r="R466" t="e">
        <f t="shared" ca="1" si="29"/>
        <v>#NAME?</v>
      </c>
      <c r="S466">
        <f t="shared" si="30"/>
        <v>8</v>
      </c>
      <c r="T466" t="str">
        <f t="shared" si="31"/>
        <v>Tevreden</v>
      </c>
    </row>
    <row r="467" spans="1:20" x14ac:dyDescent="0.3">
      <c r="A467" t="s">
        <v>2312</v>
      </c>
      <c r="B467" t="s">
        <v>2063</v>
      </c>
      <c r="C467" t="s">
        <v>3825</v>
      </c>
      <c r="D467" t="s">
        <v>3826</v>
      </c>
      <c r="E467" t="s">
        <v>3827</v>
      </c>
      <c r="F467" t="s">
        <v>3828</v>
      </c>
      <c r="G467">
        <v>173.5</v>
      </c>
      <c r="H467">
        <v>6</v>
      </c>
      <c r="I467" t="s">
        <v>22</v>
      </c>
      <c r="J467" t="s">
        <v>1440</v>
      </c>
      <c r="K467" t="s">
        <v>1439</v>
      </c>
      <c r="L467" t="s">
        <v>1440</v>
      </c>
      <c r="M467" t="s">
        <v>1440</v>
      </c>
      <c r="N467" t="s">
        <v>1440</v>
      </c>
      <c r="O467" t="s">
        <v>23</v>
      </c>
      <c r="Q467">
        <f t="shared" si="28"/>
        <v>1</v>
      </c>
      <c r="R467" t="e">
        <f t="shared" ca="1" si="29"/>
        <v>#NAME?</v>
      </c>
      <c r="S467">
        <f t="shared" si="30"/>
        <v>6</v>
      </c>
      <c r="T467" t="str">
        <f t="shared" si="31"/>
        <v>Ontevreden</v>
      </c>
    </row>
    <row r="468" spans="1:20" x14ac:dyDescent="0.3">
      <c r="A468" t="s">
        <v>3829</v>
      </c>
      <c r="B468" t="s">
        <v>1454</v>
      </c>
      <c r="C468" t="s">
        <v>3830</v>
      </c>
      <c r="D468" t="s">
        <v>3831</v>
      </c>
      <c r="E468" t="s">
        <v>3832</v>
      </c>
      <c r="F468" t="s">
        <v>3833</v>
      </c>
      <c r="G468">
        <v>211.24</v>
      </c>
      <c r="H468">
        <v>5</v>
      </c>
      <c r="I468" t="s">
        <v>22</v>
      </c>
      <c r="J468" t="s">
        <v>1440</v>
      </c>
      <c r="K468" t="s">
        <v>1440</v>
      </c>
      <c r="L468" t="s">
        <v>1440</v>
      </c>
      <c r="M468" t="s">
        <v>1439</v>
      </c>
      <c r="N468" t="s">
        <v>1440</v>
      </c>
      <c r="O468" t="s">
        <v>23</v>
      </c>
      <c r="Q468">
        <f t="shared" si="28"/>
        <v>1</v>
      </c>
      <c r="R468" t="e">
        <f t="shared" ca="1" si="29"/>
        <v>#NAME?</v>
      </c>
      <c r="S468">
        <f t="shared" si="30"/>
        <v>6</v>
      </c>
      <c r="T468" t="str">
        <f t="shared" si="31"/>
        <v>Ontevreden</v>
      </c>
    </row>
    <row r="469" spans="1:20" x14ac:dyDescent="0.3">
      <c r="A469" t="s">
        <v>2683</v>
      </c>
      <c r="B469" t="s">
        <v>2995</v>
      </c>
      <c r="C469" t="s">
        <v>3834</v>
      </c>
      <c r="D469" t="s">
        <v>3835</v>
      </c>
      <c r="E469" t="s">
        <v>3836</v>
      </c>
      <c r="F469" t="s">
        <v>3837</v>
      </c>
      <c r="G469">
        <v>33.29</v>
      </c>
      <c r="H469">
        <v>9</v>
      </c>
      <c r="I469" t="s">
        <v>29</v>
      </c>
      <c r="J469" t="s">
        <v>1440</v>
      </c>
      <c r="K469" t="s">
        <v>1439</v>
      </c>
      <c r="L469" t="s">
        <v>1440</v>
      </c>
      <c r="M469" t="s">
        <v>1440</v>
      </c>
      <c r="N469" t="s">
        <v>1440</v>
      </c>
      <c r="O469" t="s">
        <v>23</v>
      </c>
      <c r="Q469">
        <f t="shared" si="28"/>
        <v>1</v>
      </c>
      <c r="R469" t="e">
        <f t="shared" ca="1" si="29"/>
        <v>#NAME?</v>
      </c>
      <c r="S469">
        <f t="shared" si="30"/>
        <v>6</v>
      </c>
      <c r="T469" t="str">
        <f t="shared" si="31"/>
        <v>Ontevreden</v>
      </c>
    </row>
    <row r="470" spans="1:20" x14ac:dyDescent="0.3">
      <c r="A470" t="s">
        <v>3838</v>
      </c>
      <c r="B470" t="s">
        <v>3839</v>
      </c>
      <c r="C470" t="s">
        <v>3840</v>
      </c>
      <c r="D470" t="s">
        <v>3841</v>
      </c>
      <c r="E470" t="s">
        <v>3842</v>
      </c>
      <c r="F470" t="s">
        <v>3838</v>
      </c>
      <c r="G470">
        <v>63.79</v>
      </c>
      <c r="H470">
        <v>7</v>
      </c>
      <c r="I470" t="s">
        <v>22</v>
      </c>
      <c r="J470" t="s">
        <v>1439</v>
      </c>
      <c r="K470" t="s">
        <v>1439</v>
      </c>
      <c r="L470" t="s">
        <v>1440</v>
      </c>
      <c r="M470" t="s">
        <v>1439</v>
      </c>
      <c r="N470" t="s">
        <v>1440</v>
      </c>
      <c r="O470" t="s">
        <v>23</v>
      </c>
      <c r="Q470">
        <f t="shared" si="28"/>
        <v>1</v>
      </c>
      <c r="R470" t="e">
        <f t="shared" ca="1" si="29"/>
        <v>#NAME?</v>
      </c>
      <c r="S470">
        <f t="shared" si="30"/>
        <v>4</v>
      </c>
      <c r="T470" t="str">
        <f t="shared" si="31"/>
        <v>Ontevreden</v>
      </c>
    </row>
    <row r="471" spans="1:20" x14ac:dyDescent="0.3">
      <c r="A471" t="s">
        <v>2147</v>
      </c>
      <c r="B471" t="s">
        <v>3740</v>
      </c>
      <c r="C471" t="s">
        <v>3843</v>
      </c>
      <c r="D471" t="s">
        <v>3844</v>
      </c>
      <c r="E471" t="s">
        <v>3845</v>
      </c>
      <c r="F471" t="s">
        <v>3846</v>
      </c>
      <c r="G471">
        <v>132.91999999999999</v>
      </c>
      <c r="H471">
        <v>1</v>
      </c>
      <c r="I471" t="s">
        <v>29</v>
      </c>
      <c r="J471" t="s">
        <v>1440</v>
      </c>
      <c r="K471" t="s">
        <v>1439</v>
      </c>
      <c r="L471" t="s">
        <v>1440</v>
      </c>
      <c r="M471" t="s">
        <v>1440</v>
      </c>
      <c r="N471" t="s">
        <v>1440</v>
      </c>
      <c r="O471" t="s">
        <v>23</v>
      </c>
      <c r="Q471">
        <f t="shared" si="28"/>
        <v>1</v>
      </c>
      <c r="R471" t="e">
        <f t="shared" ca="1" si="29"/>
        <v>#NAME?</v>
      </c>
      <c r="S471">
        <f t="shared" si="30"/>
        <v>6</v>
      </c>
      <c r="T471" t="str">
        <f t="shared" si="31"/>
        <v>Ontevreden</v>
      </c>
    </row>
    <row r="472" spans="1:20" x14ac:dyDescent="0.3">
      <c r="A472" t="s">
        <v>3289</v>
      </c>
      <c r="B472" t="s">
        <v>3847</v>
      </c>
      <c r="C472" t="s">
        <v>3848</v>
      </c>
      <c r="D472" t="s">
        <v>3849</v>
      </c>
      <c r="E472" t="s">
        <v>3850</v>
      </c>
      <c r="F472" t="s">
        <v>3851</v>
      </c>
      <c r="G472">
        <v>204.54</v>
      </c>
      <c r="H472">
        <v>11</v>
      </c>
      <c r="I472" t="s">
        <v>29</v>
      </c>
      <c r="J472" t="s">
        <v>1439</v>
      </c>
      <c r="K472" t="s">
        <v>1440</v>
      </c>
      <c r="L472" t="s">
        <v>1439</v>
      </c>
      <c r="M472" t="s">
        <v>1440</v>
      </c>
      <c r="N472" t="s">
        <v>1440</v>
      </c>
      <c r="O472" t="s">
        <v>23</v>
      </c>
      <c r="Q472">
        <f t="shared" si="28"/>
        <v>1</v>
      </c>
      <c r="R472" t="e">
        <f t="shared" ca="1" si="29"/>
        <v>#NAME?</v>
      </c>
      <c r="S472">
        <f t="shared" si="30"/>
        <v>6</v>
      </c>
      <c r="T472" t="str">
        <f t="shared" si="31"/>
        <v>Ontevreden</v>
      </c>
    </row>
    <row r="473" spans="1:20" x14ac:dyDescent="0.3">
      <c r="A473" t="s">
        <v>3852</v>
      </c>
      <c r="B473" t="s">
        <v>3853</v>
      </c>
      <c r="C473" t="s">
        <v>3854</v>
      </c>
      <c r="D473" t="s">
        <v>3855</v>
      </c>
      <c r="E473" t="s">
        <v>3856</v>
      </c>
      <c r="F473" t="s">
        <v>3857</v>
      </c>
      <c r="G473">
        <v>111.76</v>
      </c>
      <c r="H473">
        <v>1</v>
      </c>
      <c r="I473" t="s">
        <v>29</v>
      </c>
      <c r="J473" t="s">
        <v>1439</v>
      </c>
      <c r="K473" t="s">
        <v>1440</v>
      </c>
      <c r="L473" t="s">
        <v>1440</v>
      </c>
      <c r="M473" t="s">
        <v>1439</v>
      </c>
      <c r="N473" t="s">
        <v>1439</v>
      </c>
      <c r="O473" t="s">
        <v>23</v>
      </c>
      <c r="Q473">
        <f t="shared" si="28"/>
        <v>1</v>
      </c>
      <c r="R473" t="e">
        <f t="shared" ca="1" si="29"/>
        <v>#NAME?</v>
      </c>
      <c r="S473">
        <f t="shared" si="30"/>
        <v>4</v>
      </c>
      <c r="T473" t="str">
        <f t="shared" si="31"/>
        <v>Ontevreden</v>
      </c>
    </row>
    <row r="474" spans="1:20" x14ac:dyDescent="0.3">
      <c r="A474" t="s">
        <v>3858</v>
      </c>
      <c r="B474" t="s">
        <v>1667</v>
      </c>
      <c r="C474" t="s">
        <v>3859</v>
      </c>
      <c r="D474" t="s">
        <v>3860</v>
      </c>
      <c r="E474" t="s">
        <v>3861</v>
      </c>
      <c r="F474" t="s">
        <v>3858</v>
      </c>
      <c r="G474">
        <v>68.16</v>
      </c>
      <c r="H474">
        <v>2</v>
      </c>
      <c r="I474" t="s">
        <v>57</v>
      </c>
      <c r="J474" t="s">
        <v>1440</v>
      </c>
      <c r="K474" t="s">
        <v>1440</v>
      </c>
      <c r="L474" t="s">
        <v>1440</v>
      </c>
      <c r="M474" t="s">
        <v>1440</v>
      </c>
      <c r="N474" t="s">
        <v>1440</v>
      </c>
      <c r="O474" t="s">
        <v>78</v>
      </c>
      <c r="Q474">
        <f t="shared" si="28"/>
        <v>1</v>
      </c>
      <c r="R474" t="e">
        <f t="shared" ca="1" si="29"/>
        <v>#NAME?</v>
      </c>
      <c r="S474">
        <f t="shared" si="30"/>
        <v>8</v>
      </c>
      <c r="T474" t="str">
        <f t="shared" si="31"/>
        <v>Tevreden</v>
      </c>
    </row>
    <row r="475" spans="1:20" x14ac:dyDescent="0.3">
      <c r="A475" t="s">
        <v>3862</v>
      </c>
      <c r="B475" t="s">
        <v>1707</v>
      </c>
      <c r="C475" t="s">
        <v>3863</v>
      </c>
      <c r="D475" t="s">
        <v>3864</v>
      </c>
      <c r="E475" t="s">
        <v>3865</v>
      </c>
      <c r="F475" t="s">
        <v>3862</v>
      </c>
      <c r="G475">
        <v>118.07</v>
      </c>
      <c r="H475">
        <v>13</v>
      </c>
      <c r="I475" t="s">
        <v>22</v>
      </c>
      <c r="J475" t="s">
        <v>1440</v>
      </c>
      <c r="K475" t="s">
        <v>1440</v>
      </c>
      <c r="L475" t="s">
        <v>1440</v>
      </c>
      <c r="M475" t="s">
        <v>1440</v>
      </c>
      <c r="N475" t="s">
        <v>1440</v>
      </c>
      <c r="O475" t="s">
        <v>23</v>
      </c>
      <c r="Q475">
        <f t="shared" si="28"/>
        <v>1</v>
      </c>
      <c r="R475" t="e">
        <f t="shared" ca="1" si="29"/>
        <v>#NAME?</v>
      </c>
      <c r="S475">
        <f t="shared" si="30"/>
        <v>8</v>
      </c>
      <c r="T475" t="str">
        <f t="shared" si="31"/>
        <v>Tevreden</v>
      </c>
    </row>
    <row r="476" spans="1:20" x14ac:dyDescent="0.3">
      <c r="A476" t="s">
        <v>1495</v>
      </c>
      <c r="B476" t="s">
        <v>1908</v>
      </c>
      <c r="C476" t="s">
        <v>3866</v>
      </c>
      <c r="D476" t="s">
        <v>3867</v>
      </c>
      <c r="E476" t="s">
        <v>3868</v>
      </c>
      <c r="F476" t="s">
        <v>3869</v>
      </c>
      <c r="G476">
        <v>105</v>
      </c>
      <c r="H476">
        <v>7</v>
      </c>
      <c r="I476" t="s">
        <v>57</v>
      </c>
      <c r="J476" t="s">
        <v>1440</v>
      </c>
      <c r="K476" t="s">
        <v>1440</v>
      </c>
      <c r="L476" t="s">
        <v>1439</v>
      </c>
      <c r="M476" t="s">
        <v>1440</v>
      </c>
      <c r="N476" t="s">
        <v>1440</v>
      </c>
      <c r="O476" t="s">
        <v>23</v>
      </c>
      <c r="Q476">
        <f t="shared" si="28"/>
        <v>1</v>
      </c>
      <c r="R476" t="e">
        <f t="shared" ca="1" si="29"/>
        <v>#NAME?</v>
      </c>
      <c r="S476">
        <f t="shared" si="30"/>
        <v>6</v>
      </c>
      <c r="T476" t="str">
        <f t="shared" si="31"/>
        <v>Ontevreden</v>
      </c>
    </row>
    <row r="477" spans="1:20" x14ac:dyDescent="0.3">
      <c r="A477" t="s">
        <v>2519</v>
      </c>
      <c r="B477" t="s">
        <v>2873</v>
      </c>
      <c r="C477" t="s">
        <v>3870</v>
      </c>
      <c r="D477" t="s">
        <v>3871</v>
      </c>
      <c r="E477" t="s">
        <v>3872</v>
      </c>
      <c r="F477" t="s">
        <v>3873</v>
      </c>
      <c r="G477">
        <v>102.71</v>
      </c>
      <c r="H477">
        <v>12</v>
      </c>
      <c r="I477" t="s">
        <v>22</v>
      </c>
      <c r="J477" t="s">
        <v>1440</v>
      </c>
      <c r="K477" t="s">
        <v>1439</v>
      </c>
      <c r="L477" t="s">
        <v>1440</v>
      </c>
      <c r="M477" t="s">
        <v>1440</v>
      </c>
      <c r="N477" t="s">
        <v>1440</v>
      </c>
      <c r="O477" t="s">
        <v>23</v>
      </c>
      <c r="Q477">
        <f t="shared" si="28"/>
        <v>1</v>
      </c>
      <c r="R477" t="e">
        <f t="shared" ca="1" si="29"/>
        <v>#NAME?</v>
      </c>
      <c r="S477">
        <f t="shared" si="30"/>
        <v>6</v>
      </c>
      <c r="T477" t="str">
        <f t="shared" si="31"/>
        <v>Ontevreden</v>
      </c>
    </row>
    <row r="478" spans="1:20" x14ac:dyDescent="0.3">
      <c r="A478" t="s">
        <v>3874</v>
      </c>
      <c r="B478" t="s">
        <v>2975</v>
      </c>
      <c r="C478" t="s">
        <v>3875</v>
      </c>
      <c r="D478" t="s">
        <v>3876</v>
      </c>
      <c r="E478" t="s">
        <v>3877</v>
      </c>
      <c r="F478" t="s">
        <v>3878</v>
      </c>
      <c r="G478">
        <v>142.38999999999999</v>
      </c>
      <c r="H478">
        <v>10</v>
      </c>
      <c r="I478" t="s">
        <v>22</v>
      </c>
      <c r="J478" t="s">
        <v>1440</v>
      </c>
      <c r="K478" t="s">
        <v>1439</v>
      </c>
      <c r="L478" t="s">
        <v>1439</v>
      </c>
      <c r="M478" t="s">
        <v>1440</v>
      </c>
      <c r="N478" t="s">
        <v>1440</v>
      </c>
      <c r="O478" t="s">
        <v>23</v>
      </c>
      <c r="Q478">
        <f t="shared" si="28"/>
        <v>1</v>
      </c>
      <c r="R478" t="e">
        <f t="shared" ca="1" si="29"/>
        <v>#NAME?</v>
      </c>
      <c r="S478">
        <f t="shared" si="30"/>
        <v>4</v>
      </c>
      <c r="T478" t="str">
        <f t="shared" si="31"/>
        <v>Ontevreden</v>
      </c>
    </row>
    <row r="479" spans="1:20" x14ac:dyDescent="0.3">
      <c r="A479" t="s">
        <v>3125</v>
      </c>
      <c r="B479" t="s">
        <v>3879</v>
      </c>
      <c r="C479" t="s">
        <v>3880</v>
      </c>
      <c r="D479" t="s">
        <v>3881</v>
      </c>
      <c r="E479" t="s">
        <v>3882</v>
      </c>
      <c r="F479" t="s">
        <v>3883</v>
      </c>
      <c r="G479">
        <v>93.58</v>
      </c>
      <c r="H479">
        <v>16</v>
      </c>
      <c r="I479" t="s">
        <v>29</v>
      </c>
      <c r="J479" t="s">
        <v>1440</v>
      </c>
      <c r="K479" t="s">
        <v>1440</v>
      </c>
      <c r="L479" t="s">
        <v>1440</v>
      </c>
      <c r="M479" t="s">
        <v>1440</v>
      </c>
      <c r="N479" t="s">
        <v>1440</v>
      </c>
      <c r="O479" t="s">
        <v>34</v>
      </c>
      <c r="Q479">
        <f t="shared" si="28"/>
        <v>1</v>
      </c>
      <c r="R479" t="e">
        <f t="shared" ca="1" si="29"/>
        <v>#NAME?</v>
      </c>
      <c r="S479">
        <f t="shared" si="30"/>
        <v>8</v>
      </c>
      <c r="T479" t="str">
        <f t="shared" si="31"/>
        <v>Tevreden</v>
      </c>
    </row>
    <row r="480" spans="1:20" x14ac:dyDescent="0.3">
      <c r="A480" t="s">
        <v>3884</v>
      </c>
      <c r="B480" t="s">
        <v>3159</v>
      </c>
      <c r="C480" t="s">
        <v>3885</v>
      </c>
      <c r="D480" t="s">
        <v>3886</v>
      </c>
      <c r="E480" t="s">
        <v>3887</v>
      </c>
      <c r="F480" t="s">
        <v>3888</v>
      </c>
      <c r="G480">
        <v>135.04</v>
      </c>
      <c r="H480">
        <v>12</v>
      </c>
      <c r="I480" t="s">
        <v>29</v>
      </c>
      <c r="J480" t="s">
        <v>1440</v>
      </c>
      <c r="K480" t="s">
        <v>1439</v>
      </c>
      <c r="L480" t="s">
        <v>1439</v>
      </c>
      <c r="M480" t="s">
        <v>1440</v>
      </c>
      <c r="N480" t="s">
        <v>1440</v>
      </c>
      <c r="O480" t="s">
        <v>23</v>
      </c>
      <c r="Q480">
        <f t="shared" si="28"/>
        <v>1</v>
      </c>
      <c r="R480" t="e">
        <f t="shared" ca="1" si="29"/>
        <v>#NAME?</v>
      </c>
      <c r="S480">
        <f t="shared" si="30"/>
        <v>4</v>
      </c>
      <c r="T480" t="str">
        <f t="shared" si="31"/>
        <v>Ontevreden</v>
      </c>
    </row>
    <row r="481" spans="1:20" x14ac:dyDescent="0.3">
      <c r="A481" t="s">
        <v>3889</v>
      </c>
      <c r="B481" t="s">
        <v>3890</v>
      </c>
      <c r="C481" t="s">
        <v>3891</v>
      </c>
      <c r="D481" t="s">
        <v>3892</v>
      </c>
      <c r="E481" t="s">
        <v>3893</v>
      </c>
      <c r="F481" t="s">
        <v>3894</v>
      </c>
      <c r="G481">
        <v>59.51</v>
      </c>
      <c r="H481">
        <v>17</v>
      </c>
      <c r="I481" t="s">
        <v>22</v>
      </c>
      <c r="J481" t="s">
        <v>1439</v>
      </c>
      <c r="K481" t="s">
        <v>1440</v>
      </c>
      <c r="L481" t="s">
        <v>1440</v>
      </c>
      <c r="M481" t="s">
        <v>1440</v>
      </c>
      <c r="N481" t="s">
        <v>1440</v>
      </c>
      <c r="O481" t="s">
        <v>23</v>
      </c>
      <c r="Q481">
        <f t="shared" si="28"/>
        <v>1</v>
      </c>
      <c r="R481" t="e">
        <f t="shared" ca="1" si="29"/>
        <v>#NAME?</v>
      </c>
      <c r="S481">
        <f t="shared" si="30"/>
        <v>8</v>
      </c>
      <c r="T481" t="str">
        <f t="shared" si="31"/>
        <v>Tevreden</v>
      </c>
    </row>
    <row r="482" spans="1:20" x14ac:dyDescent="0.3">
      <c r="A482" t="s">
        <v>2821</v>
      </c>
      <c r="B482" t="s">
        <v>1678</v>
      </c>
      <c r="C482" t="s">
        <v>3895</v>
      </c>
      <c r="D482" t="s">
        <v>3896</v>
      </c>
      <c r="E482" t="s">
        <v>3897</v>
      </c>
      <c r="F482" t="s">
        <v>3898</v>
      </c>
      <c r="G482">
        <v>178.61</v>
      </c>
      <c r="H482">
        <v>12</v>
      </c>
      <c r="I482" t="s">
        <v>22</v>
      </c>
      <c r="J482" t="s">
        <v>1440</v>
      </c>
      <c r="K482" t="s">
        <v>1440</v>
      </c>
      <c r="L482" t="s">
        <v>1439</v>
      </c>
      <c r="M482" t="s">
        <v>1440</v>
      </c>
      <c r="N482" t="s">
        <v>1440</v>
      </c>
      <c r="O482" t="s">
        <v>23</v>
      </c>
      <c r="Q482">
        <f t="shared" si="28"/>
        <v>1</v>
      </c>
      <c r="R482" t="e">
        <f t="shared" ca="1" si="29"/>
        <v>#NAME?</v>
      </c>
      <c r="S482">
        <f t="shared" si="30"/>
        <v>6</v>
      </c>
      <c r="T482" t="str">
        <f t="shared" si="31"/>
        <v>Ontevreden</v>
      </c>
    </row>
    <row r="483" spans="1:20" x14ac:dyDescent="0.3">
      <c r="A483" t="s">
        <v>3899</v>
      </c>
      <c r="B483" t="s">
        <v>2229</v>
      </c>
      <c r="C483" t="s">
        <v>3900</v>
      </c>
      <c r="D483" t="s">
        <v>3901</v>
      </c>
      <c r="E483" t="s">
        <v>3902</v>
      </c>
      <c r="F483" t="s">
        <v>3903</v>
      </c>
      <c r="G483">
        <v>165.43</v>
      </c>
      <c r="H483">
        <v>8</v>
      </c>
      <c r="I483" t="s">
        <v>29</v>
      </c>
      <c r="J483" t="s">
        <v>1439</v>
      </c>
      <c r="K483" t="s">
        <v>1440</v>
      </c>
      <c r="L483" t="s">
        <v>1440</v>
      </c>
      <c r="M483" t="s">
        <v>1439</v>
      </c>
      <c r="N483" t="s">
        <v>1440</v>
      </c>
      <c r="O483" t="s">
        <v>23</v>
      </c>
      <c r="Q483">
        <f t="shared" si="28"/>
        <v>1</v>
      </c>
      <c r="R483" t="e">
        <f t="shared" ca="1" si="29"/>
        <v>#NAME?</v>
      </c>
      <c r="S483">
        <f t="shared" si="30"/>
        <v>6</v>
      </c>
      <c r="T483" t="str">
        <f t="shared" si="31"/>
        <v>Ontevreden</v>
      </c>
    </row>
    <row r="484" spans="1:20" x14ac:dyDescent="0.3">
      <c r="A484" t="s">
        <v>1973</v>
      </c>
      <c r="B484" t="s">
        <v>3904</v>
      </c>
      <c r="C484" t="s">
        <v>3905</v>
      </c>
      <c r="D484" t="s">
        <v>3906</v>
      </c>
      <c r="E484" t="s">
        <v>3907</v>
      </c>
      <c r="F484" t="s">
        <v>3908</v>
      </c>
      <c r="G484">
        <v>20.079999999999998</v>
      </c>
      <c r="H484">
        <v>7</v>
      </c>
      <c r="I484" t="s">
        <v>22</v>
      </c>
      <c r="J484" t="s">
        <v>1439</v>
      </c>
      <c r="K484" t="s">
        <v>1440</v>
      </c>
      <c r="L484" t="s">
        <v>1439</v>
      </c>
      <c r="M484" t="s">
        <v>1440</v>
      </c>
      <c r="N484" t="s">
        <v>1439</v>
      </c>
      <c r="O484" t="s">
        <v>23</v>
      </c>
      <c r="Q484">
        <f t="shared" si="28"/>
        <v>1</v>
      </c>
      <c r="R484" t="e">
        <f t="shared" ca="1" si="29"/>
        <v>#NAME?</v>
      </c>
      <c r="S484">
        <f t="shared" si="30"/>
        <v>4</v>
      </c>
      <c r="T484" t="str">
        <f t="shared" si="31"/>
        <v>Ontevreden</v>
      </c>
    </row>
    <row r="485" spans="1:20" x14ac:dyDescent="0.3">
      <c r="A485" t="s">
        <v>3909</v>
      </c>
      <c r="B485" t="s">
        <v>2126</v>
      </c>
      <c r="C485" t="s">
        <v>3910</v>
      </c>
      <c r="D485" t="s">
        <v>3911</v>
      </c>
      <c r="E485" t="s">
        <v>3912</v>
      </c>
      <c r="F485" t="s">
        <v>3913</v>
      </c>
      <c r="G485">
        <v>130.55000000000001</v>
      </c>
      <c r="H485">
        <v>32</v>
      </c>
      <c r="I485" t="s">
        <v>57</v>
      </c>
      <c r="J485" t="s">
        <v>1439</v>
      </c>
      <c r="K485" t="s">
        <v>1440</v>
      </c>
      <c r="L485" t="s">
        <v>1440</v>
      </c>
      <c r="M485" t="s">
        <v>1439</v>
      </c>
      <c r="N485" t="s">
        <v>1439</v>
      </c>
      <c r="O485" t="s">
        <v>23</v>
      </c>
      <c r="Q485">
        <f t="shared" si="28"/>
        <v>1</v>
      </c>
      <c r="R485" t="e">
        <f t="shared" ca="1" si="29"/>
        <v>#NAME?</v>
      </c>
      <c r="S485">
        <f t="shared" si="30"/>
        <v>4</v>
      </c>
      <c r="T485" t="str">
        <f t="shared" si="31"/>
        <v>Ontevreden</v>
      </c>
    </row>
    <row r="486" spans="1:20" x14ac:dyDescent="0.3">
      <c r="A486" t="s">
        <v>3914</v>
      </c>
      <c r="B486" t="s">
        <v>1661</v>
      </c>
      <c r="C486" t="s">
        <v>3915</v>
      </c>
      <c r="D486" t="s">
        <v>3916</v>
      </c>
      <c r="E486" t="s">
        <v>3917</v>
      </c>
      <c r="F486" t="s">
        <v>3918</v>
      </c>
      <c r="G486">
        <v>150.09</v>
      </c>
      <c r="H486">
        <v>14</v>
      </c>
      <c r="I486" t="s">
        <v>57</v>
      </c>
      <c r="J486" t="s">
        <v>1439</v>
      </c>
      <c r="K486" t="s">
        <v>1439</v>
      </c>
      <c r="L486" t="s">
        <v>1439</v>
      </c>
      <c r="M486" t="s">
        <v>1440</v>
      </c>
      <c r="N486" t="s">
        <v>1440</v>
      </c>
      <c r="O486" t="s">
        <v>23</v>
      </c>
      <c r="Q486">
        <f t="shared" si="28"/>
        <v>1</v>
      </c>
      <c r="R486" t="e">
        <f t="shared" ca="1" si="29"/>
        <v>#NAME?</v>
      </c>
      <c r="S486">
        <f t="shared" si="30"/>
        <v>4</v>
      </c>
      <c r="T486" t="str">
        <f t="shared" si="31"/>
        <v>Ontevreden</v>
      </c>
    </row>
    <row r="487" spans="1:20" x14ac:dyDescent="0.3">
      <c r="A487" t="s">
        <v>3919</v>
      </c>
      <c r="B487" t="s">
        <v>2281</v>
      </c>
      <c r="C487" t="s">
        <v>3920</v>
      </c>
      <c r="D487" t="s">
        <v>3921</v>
      </c>
      <c r="E487" t="s">
        <v>3922</v>
      </c>
      <c r="F487" t="s">
        <v>3923</v>
      </c>
      <c r="G487">
        <v>114.28</v>
      </c>
      <c r="H487">
        <v>11</v>
      </c>
      <c r="I487" t="s">
        <v>22</v>
      </c>
      <c r="J487" t="s">
        <v>1439</v>
      </c>
      <c r="K487" t="s">
        <v>1439</v>
      </c>
      <c r="L487" t="s">
        <v>1440</v>
      </c>
      <c r="M487" t="s">
        <v>1439</v>
      </c>
      <c r="N487" t="s">
        <v>1439</v>
      </c>
      <c r="O487" t="s">
        <v>23</v>
      </c>
      <c r="Q487">
        <f t="shared" si="28"/>
        <v>1</v>
      </c>
      <c r="R487" t="e">
        <f t="shared" ca="1" si="29"/>
        <v>#NAME?</v>
      </c>
      <c r="S487">
        <f t="shared" si="30"/>
        <v>2</v>
      </c>
      <c r="T487" t="str">
        <f t="shared" si="31"/>
        <v>Ontevreden</v>
      </c>
    </row>
    <row r="488" spans="1:20" x14ac:dyDescent="0.3">
      <c r="A488" t="s">
        <v>1607</v>
      </c>
      <c r="B488" t="s">
        <v>1936</v>
      </c>
      <c r="C488" t="s">
        <v>3924</v>
      </c>
      <c r="D488" t="s">
        <v>3925</v>
      </c>
      <c r="E488" t="s">
        <v>3926</v>
      </c>
      <c r="F488" t="s">
        <v>3927</v>
      </c>
      <c r="G488">
        <v>159.79</v>
      </c>
      <c r="H488">
        <v>4</v>
      </c>
      <c r="I488" t="s">
        <v>22</v>
      </c>
      <c r="J488" t="s">
        <v>1439</v>
      </c>
      <c r="K488" t="s">
        <v>1439</v>
      </c>
      <c r="L488" t="s">
        <v>1440</v>
      </c>
      <c r="M488" t="s">
        <v>1439</v>
      </c>
      <c r="N488" t="s">
        <v>1439</v>
      </c>
      <c r="O488" t="s">
        <v>23</v>
      </c>
      <c r="Q488">
        <f t="shared" si="28"/>
        <v>1</v>
      </c>
      <c r="R488" t="e">
        <f t="shared" ca="1" si="29"/>
        <v>#NAME?</v>
      </c>
      <c r="S488">
        <f t="shared" si="30"/>
        <v>2</v>
      </c>
      <c r="T488" t="str">
        <f t="shared" si="31"/>
        <v>Ontevreden</v>
      </c>
    </row>
    <row r="489" spans="1:20" x14ac:dyDescent="0.3">
      <c r="A489" t="s">
        <v>3928</v>
      </c>
      <c r="B489" t="s">
        <v>2110</v>
      </c>
      <c r="C489" t="s">
        <v>3929</v>
      </c>
      <c r="D489" t="s">
        <v>1468</v>
      </c>
      <c r="E489" t="s">
        <v>3930</v>
      </c>
      <c r="F489" t="s">
        <v>3931</v>
      </c>
      <c r="G489">
        <v>54.25</v>
      </c>
      <c r="H489">
        <v>13</v>
      </c>
      <c r="I489" t="s">
        <v>22</v>
      </c>
      <c r="J489" t="s">
        <v>1440</v>
      </c>
      <c r="K489" t="s">
        <v>1439</v>
      </c>
      <c r="L489" t="s">
        <v>1440</v>
      </c>
      <c r="M489" t="s">
        <v>1440</v>
      </c>
      <c r="N489" t="s">
        <v>1440</v>
      </c>
      <c r="O489" t="s">
        <v>78</v>
      </c>
      <c r="Q489">
        <f t="shared" si="28"/>
        <v>1</v>
      </c>
      <c r="R489" t="e">
        <f t="shared" ca="1" si="29"/>
        <v>#NAME?</v>
      </c>
      <c r="S489">
        <f t="shared" si="30"/>
        <v>6</v>
      </c>
      <c r="T489" t="str">
        <f t="shared" si="31"/>
        <v>Ontevreden</v>
      </c>
    </row>
    <row r="490" spans="1:20" x14ac:dyDescent="0.3">
      <c r="A490" t="s">
        <v>3613</v>
      </c>
      <c r="B490" t="s">
        <v>1562</v>
      </c>
      <c r="C490" t="s">
        <v>3932</v>
      </c>
      <c r="D490" t="s">
        <v>3933</v>
      </c>
      <c r="E490" t="s">
        <v>3934</v>
      </c>
      <c r="F490" t="s">
        <v>3935</v>
      </c>
      <c r="G490">
        <v>121.55</v>
      </c>
      <c r="H490">
        <v>10</v>
      </c>
      <c r="I490" t="s">
        <v>22</v>
      </c>
      <c r="J490" t="s">
        <v>1440</v>
      </c>
      <c r="K490" t="s">
        <v>1440</v>
      </c>
      <c r="L490" t="s">
        <v>1440</v>
      </c>
      <c r="M490" t="s">
        <v>1440</v>
      </c>
      <c r="N490" t="s">
        <v>1440</v>
      </c>
      <c r="O490" t="s">
        <v>23</v>
      </c>
      <c r="Q490">
        <f t="shared" si="28"/>
        <v>1</v>
      </c>
      <c r="R490" t="e">
        <f t="shared" ca="1" si="29"/>
        <v>#NAME?</v>
      </c>
      <c r="S490">
        <f t="shared" si="30"/>
        <v>8</v>
      </c>
      <c r="T490" t="str">
        <f t="shared" si="31"/>
        <v>Tevreden</v>
      </c>
    </row>
    <row r="491" spans="1:20" x14ac:dyDescent="0.3">
      <c r="A491" t="s">
        <v>3936</v>
      </c>
      <c r="B491" t="s">
        <v>3937</v>
      </c>
      <c r="C491" t="s">
        <v>3938</v>
      </c>
      <c r="D491" t="s">
        <v>3939</v>
      </c>
      <c r="E491" t="s">
        <v>3940</v>
      </c>
      <c r="F491" t="s">
        <v>3941</v>
      </c>
      <c r="G491">
        <v>115.83</v>
      </c>
      <c r="H491">
        <v>3</v>
      </c>
      <c r="I491" t="s">
        <v>22</v>
      </c>
      <c r="J491" t="s">
        <v>1439</v>
      </c>
      <c r="K491" t="s">
        <v>1440</v>
      </c>
      <c r="L491" t="s">
        <v>1440</v>
      </c>
      <c r="M491" t="s">
        <v>1440</v>
      </c>
      <c r="N491" t="s">
        <v>1440</v>
      </c>
      <c r="O491" t="s">
        <v>23</v>
      </c>
      <c r="Q491">
        <f t="shared" si="28"/>
        <v>1</v>
      </c>
      <c r="R491" t="e">
        <f t="shared" ca="1" si="29"/>
        <v>#NAME?</v>
      </c>
      <c r="S491">
        <f t="shared" si="30"/>
        <v>8</v>
      </c>
      <c r="T491" t="str">
        <f t="shared" si="31"/>
        <v>Tevreden</v>
      </c>
    </row>
    <row r="492" spans="1:20" x14ac:dyDescent="0.3">
      <c r="A492" t="s">
        <v>3942</v>
      </c>
      <c r="B492" t="s">
        <v>1550</v>
      </c>
      <c r="C492" t="s">
        <v>3943</v>
      </c>
      <c r="D492" t="s">
        <v>3944</v>
      </c>
      <c r="E492" t="s">
        <v>3945</v>
      </c>
      <c r="F492" t="s">
        <v>3946</v>
      </c>
      <c r="G492">
        <v>102.25</v>
      </c>
      <c r="H492">
        <v>19</v>
      </c>
      <c r="I492" t="s">
        <v>29</v>
      </c>
      <c r="J492" t="s">
        <v>1439</v>
      </c>
      <c r="K492" t="s">
        <v>1440</v>
      </c>
      <c r="L492" t="s">
        <v>1440</v>
      </c>
      <c r="M492" t="s">
        <v>1440</v>
      </c>
      <c r="N492" t="s">
        <v>1439</v>
      </c>
      <c r="O492" t="s">
        <v>23</v>
      </c>
      <c r="Q492">
        <f t="shared" si="28"/>
        <v>1</v>
      </c>
      <c r="R492" t="e">
        <f t="shared" ca="1" si="29"/>
        <v>#NAME?</v>
      </c>
      <c r="S492">
        <f t="shared" si="30"/>
        <v>6</v>
      </c>
      <c r="T492" t="str">
        <f t="shared" si="31"/>
        <v>Ontevreden</v>
      </c>
    </row>
    <row r="493" spans="1:20" x14ac:dyDescent="0.3">
      <c r="A493" t="s">
        <v>3642</v>
      </c>
      <c r="B493" t="s">
        <v>3332</v>
      </c>
      <c r="C493" t="s">
        <v>3947</v>
      </c>
      <c r="D493" t="s">
        <v>3948</v>
      </c>
      <c r="E493" t="s">
        <v>3949</v>
      </c>
      <c r="F493" t="s">
        <v>3950</v>
      </c>
      <c r="G493">
        <v>97.29</v>
      </c>
      <c r="H493">
        <v>4</v>
      </c>
      <c r="I493" t="s">
        <v>29</v>
      </c>
      <c r="J493" t="s">
        <v>1440</v>
      </c>
      <c r="K493" t="s">
        <v>1439</v>
      </c>
      <c r="L493" t="s">
        <v>1439</v>
      </c>
      <c r="M493" t="s">
        <v>1440</v>
      </c>
      <c r="N493" t="s">
        <v>1439</v>
      </c>
      <c r="O493" t="s">
        <v>34</v>
      </c>
      <c r="Q493">
        <f t="shared" si="28"/>
        <v>1</v>
      </c>
      <c r="R493" t="e">
        <f t="shared" ca="1" si="29"/>
        <v>#NAME?</v>
      </c>
      <c r="S493">
        <f t="shared" si="30"/>
        <v>2</v>
      </c>
      <c r="T493" t="str">
        <f t="shared" si="31"/>
        <v>Ontevreden</v>
      </c>
    </row>
    <row r="494" spans="1:20" x14ac:dyDescent="0.3">
      <c r="A494" t="s">
        <v>3951</v>
      </c>
      <c r="B494" t="s">
        <v>1719</v>
      </c>
      <c r="C494" t="s">
        <v>3952</v>
      </c>
      <c r="D494" t="s">
        <v>3953</v>
      </c>
      <c r="E494" t="s">
        <v>3954</v>
      </c>
      <c r="F494" t="s">
        <v>3955</v>
      </c>
      <c r="G494">
        <v>99.68</v>
      </c>
      <c r="H494">
        <v>13</v>
      </c>
      <c r="I494" t="s">
        <v>29</v>
      </c>
      <c r="J494" t="s">
        <v>1440</v>
      </c>
      <c r="K494" t="s">
        <v>1440</v>
      </c>
      <c r="L494" t="s">
        <v>1440</v>
      </c>
      <c r="M494" t="s">
        <v>1439</v>
      </c>
      <c r="N494" t="s">
        <v>1440</v>
      </c>
      <c r="O494" t="s">
        <v>23</v>
      </c>
      <c r="Q494">
        <f t="shared" si="28"/>
        <v>1</v>
      </c>
      <c r="R494" t="e">
        <f t="shared" ca="1" si="29"/>
        <v>#NAME?</v>
      </c>
      <c r="S494">
        <f t="shared" si="30"/>
        <v>6</v>
      </c>
      <c r="T494" t="str">
        <f t="shared" si="31"/>
        <v>Ontevreden</v>
      </c>
    </row>
    <row r="495" spans="1:20" x14ac:dyDescent="0.3">
      <c r="A495" t="s">
        <v>3956</v>
      </c>
      <c r="B495" t="s">
        <v>3957</v>
      </c>
      <c r="C495" t="s">
        <v>3958</v>
      </c>
      <c r="D495" t="s">
        <v>3959</v>
      </c>
      <c r="E495" t="s">
        <v>3960</v>
      </c>
      <c r="F495" t="s">
        <v>3961</v>
      </c>
      <c r="G495">
        <v>123.4</v>
      </c>
      <c r="H495">
        <v>11</v>
      </c>
      <c r="I495" t="s">
        <v>57</v>
      </c>
      <c r="J495" t="s">
        <v>1440</v>
      </c>
      <c r="K495" t="s">
        <v>1439</v>
      </c>
      <c r="L495" t="s">
        <v>1440</v>
      </c>
      <c r="M495" t="s">
        <v>1440</v>
      </c>
      <c r="N495" t="s">
        <v>1440</v>
      </c>
      <c r="O495" t="s">
        <v>23</v>
      </c>
      <c r="Q495">
        <f t="shared" si="28"/>
        <v>1</v>
      </c>
      <c r="R495" t="e">
        <f t="shared" ca="1" si="29"/>
        <v>#NAME?</v>
      </c>
      <c r="S495">
        <f t="shared" si="30"/>
        <v>6</v>
      </c>
      <c r="T495" t="str">
        <f t="shared" si="31"/>
        <v>Ontevreden</v>
      </c>
    </row>
    <row r="496" spans="1:20" x14ac:dyDescent="0.3">
      <c r="A496" t="s">
        <v>3962</v>
      </c>
      <c r="B496" t="s">
        <v>3963</v>
      </c>
      <c r="C496" t="s">
        <v>3964</v>
      </c>
      <c r="D496" t="s">
        <v>3965</v>
      </c>
      <c r="E496" t="s">
        <v>3966</v>
      </c>
      <c r="F496" t="s">
        <v>3967</v>
      </c>
      <c r="G496">
        <v>126.38</v>
      </c>
      <c r="H496">
        <v>7</v>
      </c>
      <c r="I496" t="s">
        <v>29</v>
      </c>
      <c r="J496" t="s">
        <v>1439</v>
      </c>
      <c r="K496" t="s">
        <v>1439</v>
      </c>
      <c r="L496" t="s">
        <v>1440</v>
      </c>
      <c r="M496" t="s">
        <v>1440</v>
      </c>
      <c r="N496" t="s">
        <v>1440</v>
      </c>
      <c r="O496" t="s">
        <v>23</v>
      </c>
      <c r="Q496">
        <f t="shared" si="28"/>
        <v>1</v>
      </c>
      <c r="R496" t="e">
        <f t="shared" ca="1" si="29"/>
        <v>#NAME?</v>
      </c>
      <c r="S496">
        <f t="shared" si="30"/>
        <v>6</v>
      </c>
      <c r="T496" t="str">
        <f t="shared" si="31"/>
        <v>Ontevreden</v>
      </c>
    </row>
    <row r="497" spans="1:20" x14ac:dyDescent="0.3">
      <c r="A497" t="s">
        <v>3968</v>
      </c>
      <c r="B497" t="s">
        <v>2229</v>
      </c>
      <c r="C497" t="s">
        <v>3969</v>
      </c>
      <c r="D497" t="s">
        <v>3970</v>
      </c>
      <c r="E497" t="s">
        <v>3971</v>
      </c>
      <c r="F497" t="s">
        <v>3972</v>
      </c>
      <c r="G497">
        <v>134.74</v>
      </c>
      <c r="H497">
        <v>3</v>
      </c>
      <c r="I497" t="s">
        <v>22</v>
      </c>
      <c r="J497" t="s">
        <v>1440</v>
      </c>
      <c r="K497" t="s">
        <v>1439</v>
      </c>
      <c r="L497" t="s">
        <v>1440</v>
      </c>
      <c r="M497" t="s">
        <v>1439</v>
      </c>
      <c r="N497" t="s">
        <v>1439</v>
      </c>
      <c r="O497" t="s">
        <v>23</v>
      </c>
      <c r="Q497">
        <f t="shared" si="28"/>
        <v>1</v>
      </c>
      <c r="R497" t="e">
        <f t="shared" ca="1" si="29"/>
        <v>#NAME?</v>
      </c>
      <c r="S497">
        <f t="shared" si="30"/>
        <v>2</v>
      </c>
      <c r="T497" t="str">
        <f t="shared" si="31"/>
        <v>Ontevreden</v>
      </c>
    </row>
    <row r="498" spans="1:20" x14ac:dyDescent="0.3">
      <c r="A498" t="s">
        <v>3973</v>
      </c>
      <c r="B498" t="s">
        <v>1502</v>
      </c>
      <c r="C498" t="s">
        <v>3974</v>
      </c>
      <c r="D498" t="s">
        <v>3550</v>
      </c>
      <c r="E498" t="s">
        <v>3975</v>
      </c>
      <c r="F498" t="s">
        <v>3976</v>
      </c>
      <c r="G498">
        <v>157.22999999999999</v>
      </c>
      <c r="H498">
        <v>3</v>
      </c>
      <c r="I498" t="s">
        <v>29</v>
      </c>
      <c r="J498" t="s">
        <v>1440</v>
      </c>
      <c r="K498" t="s">
        <v>1440</v>
      </c>
      <c r="L498" t="s">
        <v>1440</v>
      </c>
      <c r="M498" t="s">
        <v>1440</v>
      </c>
      <c r="N498" t="s">
        <v>1440</v>
      </c>
      <c r="O498" t="s">
        <v>23</v>
      </c>
      <c r="Q498">
        <f t="shared" si="28"/>
        <v>1</v>
      </c>
      <c r="R498" t="e">
        <f t="shared" ca="1" si="29"/>
        <v>#NAME?</v>
      </c>
      <c r="S498">
        <f t="shared" si="30"/>
        <v>8</v>
      </c>
      <c r="T498" t="str">
        <f t="shared" si="31"/>
        <v>Tevreden</v>
      </c>
    </row>
    <row r="499" spans="1:20" x14ac:dyDescent="0.3">
      <c r="A499" t="s">
        <v>3977</v>
      </c>
      <c r="B499" t="s">
        <v>3159</v>
      </c>
      <c r="C499" t="s">
        <v>3978</v>
      </c>
      <c r="D499" t="s">
        <v>3979</v>
      </c>
      <c r="E499" t="s">
        <v>3980</v>
      </c>
      <c r="F499" t="s">
        <v>3981</v>
      </c>
      <c r="G499">
        <v>161.25</v>
      </c>
      <c r="H499">
        <v>3</v>
      </c>
      <c r="I499" t="s">
        <v>29</v>
      </c>
      <c r="J499" t="s">
        <v>1439</v>
      </c>
      <c r="K499" t="s">
        <v>1440</v>
      </c>
      <c r="L499" t="s">
        <v>1440</v>
      </c>
      <c r="M499" t="s">
        <v>1440</v>
      </c>
      <c r="N499" t="s">
        <v>1440</v>
      </c>
      <c r="O499" t="s">
        <v>23</v>
      </c>
      <c r="Q499">
        <f t="shared" si="28"/>
        <v>1</v>
      </c>
      <c r="R499" t="e">
        <f t="shared" ca="1" si="29"/>
        <v>#NAME?</v>
      </c>
      <c r="S499">
        <f t="shared" si="30"/>
        <v>8</v>
      </c>
      <c r="T499" t="str">
        <f t="shared" si="31"/>
        <v>Tevreden</v>
      </c>
    </row>
    <row r="500" spans="1:20" x14ac:dyDescent="0.3">
      <c r="A500" t="s">
        <v>3752</v>
      </c>
      <c r="B500" t="s">
        <v>1977</v>
      </c>
      <c r="C500" t="s">
        <v>3982</v>
      </c>
      <c r="D500" t="s">
        <v>3983</v>
      </c>
      <c r="E500" t="s">
        <v>3984</v>
      </c>
      <c r="F500" t="s">
        <v>3985</v>
      </c>
      <c r="G500">
        <v>186.51</v>
      </c>
      <c r="H500">
        <v>9</v>
      </c>
      <c r="I500" t="s">
        <v>29</v>
      </c>
      <c r="J500" t="s">
        <v>1440</v>
      </c>
      <c r="K500" t="s">
        <v>1440</v>
      </c>
      <c r="L500" t="s">
        <v>1440</v>
      </c>
      <c r="M500" t="s">
        <v>1440</v>
      </c>
      <c r="N500" t="s">
        <v>1439</v>
      </c>
      <c r="O500" t="s">
        <v>23</v>
      </c>
      <c r="Q500">
        <f t="shared" si="28"/>
        <v>1</v>
      </c>
      <c r="R500" t="e">
        <f t="shared" ca="1" si="29"/>
        <v>#NAME?</v>
      </c>
      <c r="S500">
        <f t="shared" si="30"/>
        <v>6</v>
      </c>
      <c r="T500" t="str">
        <f t="shared" si="31"/>
        <v>Ontevreden</v>
      </c>
    </row>
    <row r="501" spans="1:20" x14ac:dyDescent="0.3">
      <c r="A501" t="s">
        <v>3986</v>
      </c>
      <c r="B501" t="s">
        <v>3987</v>
      </c>
      <c r="C501" t="s">
        <v>3988</v>
      </c>
      <c r="D501" t="s">
        <v>1958</v>
      </c>
      <c r="E501" t="s">
        <v>3989</v>
      </c>
      <c r="F501" t="s">
        <v>3990</v>
      </c>
      <c r="G501">
        <v>82.66</v>
      </c>
      <c r="H501">
        <v>13</v>
      </c>
      <c r="I501" t="s">
        <v>29</v>
      </c>
      <c r="J501" t="s">
        <v>1440</v>
      </c>
      <c r="K501" t="s">
        <v>1439</v>
      </c>
      <c r="L501" t="s">
        <v>1439</v>
      </c>
      <c r="M501" t="s">
        <v>1440</v>
      </c>
      <c r="N501" t="s">
        <v>1440</v>
      </c>
      <c r="O501" t="s">
        <v>23</v>
      </c>
      <c r="Q501">
        <f t="shared" si="28"/>
        <v>1</v>
      </c>
      <c r="R501" t="e">
        <f t="shared" ca="1" si="29"/>
        <v>#NAME?</v>
      </c>
      <c r="S501">
        <f t="shared" si="30"/>
        <v>4</v>
      </c>
      <c r="T501" t="str">
        <f t="shared" si="31"/>
        <v>Ontevreden</v>
      </c>
    </row>
    <row r="502" spans="1:20" x14ac:dyDescent="0.3">
      <c r="A502" t="s">
        <v>3991</v>
      </c>
      <c r="B502" t="s">
        <v>2046</v>
      </c>
      <c r="C502" t="s">
        <v>3992</v>
      </c>
      <c r="D502" t="s">
        <v>3993</v>
      </c>
      <c r="E502" t="s">
        <v>3994</v>
      </c>
      <c r="F502" t="s">
        <v>3995</v>
      </c>
      <c r="G502">
        <v>208.51</v>
      </c>
      <c r="H502">
        <v>16</v>
      </c>
      <c r="I502" t="s">
        <v>29</v>
      </c>
      <c r="J502" t="s">
        <v>1439</v>
      </c>
      <c r="K502" t="s">
        <v>1439</v>
      </c>
      <c r="L502" t="s">
        <v>1440</v>
      </c>
      <c r="M502" t="s">
        <v>1440</v>
      </c>
      <c r="N502" t="s">
        <v>1440</v>
      </c>
      <c r="O502" t="s">
        <v>23</v>
      </c>
      <c r="Q502">
        <f t="shared" si="28"/>
        <v>1</v>
      </c>
      <c r="R502" t="e">
        <f t="shared" ca="1" si="29"/>
        <v>#NAME?</v>
      </c>
      <c r="S502">
        <f t="shared" si="30"/>
        <v>6</v>
      </c>
      <c r="T502" t="str">
        <f t="shared" si="31"/>
        <v>Ontevreden</v>
      </c>
    </row>
    <row r="503" spans="1:20" x14ac:dyDescent="0.3">
      <c r="A503" t="s">
        <v>2459</v>
      </c>
      <c r="B503" t="s">
        <v>2046</v>
      </c>
      <c r="C503" t="s">
        <v>3996</v>
      </c>
      <c r="D503" t="s">
        <v>3997</v>
      </c>
      <c r="E503" t="s">
        <v>3998</v>
      </c>
      <c r="F503" t="s">
        <v>3999</v>
      </c>
      <c r="G503">
        <v>99.79</v>
      </c>
      <c r="H503">
        <v>20</v>
      </c>
      <c r="I503" t="s">
        <v>57</v>
      </c>
      <c r="J503" t="s">
        <v>1440</v>
      </c>
      <c r="K503" t="s">
        <v>1440</v>
      </c>
      <c r="L503" t="s">
        <v>1440</v>
      </c>
      <c r="M503" t="s">
        <v>1440</v>
      </c>
      <c r="N503" t="s">
        <v>1440</v>
      </c>
      <c r="O503" t="s">
        <v>23</v>
      </c>
      <c r="Q503">
        <f t="shared" si="28"/>
        <v>1</v>
      </c>
      <c r="R503" t="e">
        <f t="shared" ca="1" si="29"/>
        <v>#NAME?</v>
      </c>
      <c r="S503">
        <f t="shared" si="30"/>
        <v>8</v>
      </c>
      <c r="T503" t="str">
        <f t="shared" si="31"/>
        <v>Tevreden</v>
      </c>
    </row>
    <row r="504" spans="1:20" x14ac:dyDescent="0.3">
      <c r="A504" t="s">
        <v>2001</v>
      </c>
      <c r="B504" t="s">
        <v>3041</v>
      </c>
      <c r="C504" t="s">
        <v>4000</v>
      </c>
      <c r="D504" t="s">
        <v>4001</v>
      </c>
      <c r="E504" t="s">
        <v>4002</v>
      </c>
      <c r="F504" t="s">
        <v>4003</v>
      </c>
      <c r="G504">
        <v>34.71</v>
      </c>
      <c r="H504">
        <v>5</v>
      </c>
      <c r="I504" t="s">
        <v>22</v>
      </c>
      <c r="J504" t="s">
        <v>1440</v>
      </c>
      <c r="K504" t="s">
        <v>1440</v>
      </c>
      <c r="L504" t="s">
        <v>1440</v>
      </c>
      <c r="M504" t="s">
        <v>1440</v>
      </c>
      <c r="N504" t="s">
        <v>1440</v>
      </c>
      <c r="O504" t="s">
        <v>23</v>
      </c>
      <c r="Q504">
        <f t="shared" si="28"/>
        <v>1</v>
      </c>
      <c r="R504" t="e">
        <f t="shared" ca="1" si="29"/>
        <v>#NAME?</v>
      </c>
      <c r="S504">
        <f t="shared" si="30"/>
        <v>8</v>
      </c>
      <c r="T504" t="str">
        <f t="shared" si="31"/>
        <v>Tevreden</v>
      </c>
    </row>
    <row r="505" spans="1:20" x14ac:dyDescent="0.3">
      <c r="A505" t="s">
        <v>4004</v>
      </c>
      <c r="B505" t="s">
        <v>4005</v>
      </c>
      <c r="C505" t="s">
        <v>4006</v>
      </c>
      <c r="D505" t="s">
        <v>4007</v>
      </c>
      <c r="E505" t="s">
        <v>4008</v>
      </c>
      <c r="F505" t="s">
        <v>4009</v>
      </c>
      <c r="G505">
        <v>122.65</v>
      </c>
      <c r="H505">
        <v>7</v>
      </c>
      <c r="I505" t="s">
        <v>29</v>
      </c>
      <c r="J505" t="s">
        <v>1439</v>
      </c>
      <c r="K505" t="s">
        <v>1439</v>
      </c>
      <c r="L505" t="s">
        <v>1440</v>
      </c>
      <c r="M505" t="s">
        <v>1439</v>
      </c>
      <c r="N505" t="s">
        <v>1439</v>
      </c>
      <c r="O505" t="s">
        <v>23</v>
      </c>
      <c r="Q505">
        <f t="shared" si="28"/>
        <v>1</v>
      </c>
      <c r="R505" t="e">
        <f t="shared" ca="1" si="29"/>
        <v>#NAME?</v>
      </c>
      <c r="S505">
        <f t="shared" si="30"/>
        <v>2</v>
      </c>
      <c r="T505" t="str">
        <f t="shared" si="31"/>
        <v>Ontevreden</v>
      </c>
    </row>
    <row r="506" spans="1:20" x14ac:dyDescent="0.3">
      <c r="A506" t="s">
        <v>4010</v>
      </c>
      <c r="B506" t="s">
        <v>3820</v>
      </c>
      <c r="C506" t="s">
        <v>4011</v>
      </c>
      <c r="D506" t="s">
        <v>4012</v>
      </c>
      <c r="E506" t="s">
        <v>4013</v>
      </c>
      <c r="F506" t="s">
        <v>4014</v>
      </c>
      <c r="G506">
        <v>122.41</v>
      </c>
      <c r="H506">
        <v>1</v>
      </c>
      <c r="I506" t="s">
        <v>29</v>
      </c>
      <c r="J506" t="s">
        <v>1440</v>
      </c>
      <c r="K506" t="s">
        <v>1440</v>
      </c>
      <c r="L506" t="s">
        <v>1440</v>
      </c>
      <c r="M506" t="s">
        <v>1440</v>
      </c>
      <c r="N506" t="s">
        <v>1440</v>
      </c>
      <c r="O506" t="s">
        <v>34</v>
      </c>
      <c r="Q506">
        <f t="shared" si="28"/>
        <v>1</v>
      </c>
      <c r="R506" t="e">
        <f t="shared" ca="1" si="29"/>
        <v>#NAME?</v>
      </c>
      <c r="S506">
        <f t="shared" si="30"/>
        <v>8</v>
      </c>
      <c r="T506" t="str">
        <f t="shared" si="31"/>
        <v>Tevreden</v>
      </c>
    </row>
    <row r="507" spans="1:20" x14ac:dyDescent="0.3">
      <c r="A507" t="s">
        <v>4015</v>
      </c>
      <c r="B507" t="s">
        <v>4016</v>
      </c>
      <c r="C507" t="s">
        <v>4017</v>
      </c>
      <c r="D507" t="s">
        <v>4018</v>
      </c>
      <c r="E507" t="s">
        <v>4019</v>
      </c>
      <c r="F507" t="s">
        <v>4015</v>
      </c>
      <c r="G507">
        <v>77.900000000000006</v>
      </c>
      <c r="H507">
        <v>14</v>
      </c>
      <c r="I507" t="s">
        <v>22</v>
      </c>
      <c r="J507" t="s">
        <v>1439</v>
      </c>
      <c r="K507" t="s">
        <v>1439</v>
      </c>
      <c r="L507" t="s">
        <v>1439</v>
      </c>
      <c r="M507" t="s">
        <v>1440</v>
      </c>
      <c r="N507" t="s">
        <v>1440</v>
      </c>
      <c r="O507" t="s">
        <v>78</v>
      </c>
      <c r="Q507">
        <f t="shared" si="28"/>
        <v>1</v>
      </c>
      <c r="R507" t="e">
        <f t="shared" ca="1" si="29"/>
        <v>#NAME?</v>
      </c>
      <c r="S507">
        <f t="shared" si="30"/>
        <v>4</v>
      </c>
      <c r="T507" t="str">
        <f t="shared" si="31"/>
        <v>Ontevreden</v>
      </c>
    </row>
    <row r="508" spans="1:20" x14ac:dyDescent="0.3">
      <c r="A508" t="s">
        <v>4020</v>
      </c>
      <c r="B508" t="s">
        <v>3213</v>
      </c>
      <c r="C508" t="s">
        <v>4021</v>
      </c>
      <c r="D508" t="s">
        <v>4022</v>
      </c>
      <c r="E508" t="s">
        <v>4023</v>
      </c>
      <c r="F508" t="s">
        <v>4024</v>
      </c>
      <c r="G508">
        <v>157.07</v>
      </c>
      <c r="H508">
        <v>4</v>
      </c>
      <c r="I508" t="s">
        <v>22</v>
      </c>
      <c r="J508" t="s">
        <v>1440</v>
      </c>
      <c r="K508" t="s">
        <v>1440</v>
      </c>
      <c r="L508" t="s">
        <v>1440</v>
      </c>
      <c r="M508" t="s">
        <v>1440</v>
      </c>
      <c r="N508" t="s">
        <v>1439</v>
      </c>
      <c r="O508" t="s">
        <v>23</v>
      </c>
      <c r="Q508">
        <f t="shared" si="28"/>
        <v>1</v>
      </c>
      <c r="R508" t="e">
        <f t="shared" ca="1" si="29"/>
        <v>#NAME?</v>
      </c>
      <c r="S508">
        <f t="shared" si="30"/>
        <v>6</v>
      </c>
      <c r="T508" t="str">
        <f t="shared" si="31"/>
        <v>Ontevreden</v>
      </c>
    </row>
    <row r="509" spans="1:20" x14ac:dyDescent="0.3">
      <c r="A509" t="s">
        <v>3720</v>
      </c>
      <c r="B509" t="s">
        <v>1580</v>
      </c>
      <c r="C509" t="s">
        <v>4025</v>
      </c>
      <c r="D509" t="s">
        <v>4026</v>
      </c>
      <c r="E509" t="s">
        <v>4027</v>
      </c>
      <c r="F509" t="s">
        <v>4028</v>
      </c>
      <c r="G509">
        <v>259.39999999999998</v>
      </c>
      <c r="H509">
        <v>19</v>
      </c>
      <c r="I509" t="s">
        <v>22</v>
      </c>
      <c r="J509" t="s">
        <v>1440</v>
      </c>
      <c r="K509" t="s">
        <v>1439</v>
      </c>
      <c r="L509" t="s">
        <v>1439</v>
      </c>
      <c r="M509" t="s">
        <v>1440</v>
      </c>
      <c r="N509" t="s">
        <v>1440</v>
      </c>
      <c r="O509" t="s">
        <v>23</v>
      </c>
      <c r="Q509">
        <f t="shared" si="28"/>
        <v>1</v>
      </c>
      <c r="R509" t="e">
        <f t="shared" ca="1" si="29"/>
        <v>#NAME?</v>
      </c>
      <c r="S509">
        <f t="shared" si="30"/>
        <v>4</v>
      </c>
      <c r="T509" t="str">
        <f t="shared" si="31"/>
        <v>Ontevreden</v>
      </c>
    </row>
    <row r="510" spans="1:20" x14ac:dyDescent="0.3">
      <c r="A510" t="s">
        <v>4029</v>
      </c>
      <c r="B510" t="s">
        <v>1478</v>
      </c>
      <c r="C510" t="s">
        <v>4030</v>
      </c>
      <c r="D510" t="s">
        <v>4031</v>
      </c>
      <c r="E510" t="s">
        <v>4032</v>
      </c>
      <c r="F510" t="s">
        <v>4033</v>
      </c>
      <c r="G510">
        <v>22.42</v>
      </c>
      <c r="H510">
        <v>12</v>
      </c>
      <c r="I510" t="s">
        <v>29</v>
      </c>
      <c r="J510" t="s">
        <v>1440</v>
      </c>
      <c r="K510" t="s">
        <v>1440</v>
      </c>
      <c r="L510" t="s">
        <v>1440</v>
      </c>
      <c r="M510" t="s">
        <v>1440</v>
      </c>
      <c r="N510" t="s">
        <v>1440</v>
      </c>
      <c r="O510" t="s">
        <v>23</v>
      </c>
      <c r="Q510">
        <f t="shared" si="28"/>
        <v>1</v>
      </c>
      <c r="R510" t="e">
        <f t="shared" ca="1" si="29"/>
        <v>#NAME?</v>
      </c>
      <c r="S510">
        <f t="shared" si="30"/>
        <v>8</v>
      </c>
      <c r="T510" t="str">
        <f t="shared" si="31"/>
        <v>Tevreden</v>
      </c>
    </row>
    <row r="511" spans="1:20" x14ac:dyDescent="0.3">
      <c r="A511" t="s">
        <v>4034</v>
      </c>
      <c r="B511" t="s">
        <v>3957</v>
      </c>
      <c r="C511" t="s">
        <v>4035</v>
      </c>
      <c r="D511" t="s">
        <v>4036</v>
      </c>
      <c r="E511" t="s">
        <v>4037</v>
      </c>
      <c r="F511" t="s">
        <v>4038</v>
      </c>
      <c r="G511">
        <v>109.58</v>
      </c>
      <c r="H511">
        <v>12</v>
      </c>
      <c r="I511" t="s">
        <v>29</v>
      </c>
      <c r="J511" t="s">
        <v>1440</v>
      </c>
      <c r="K511" t="s">
        <v>1439</v>
      </c>
      <c r="L511" t="s">
        <v>1439</v>
      </c>
      <c r="M511" t="s">
        <v>1440</v>
      </c>
      <c r="N511" t="s">
        <v>1440</v>
      </c>
      <c r="O511" t="s">
        <v>23</v>
      </c>
      <c r="Q511">
        <f t="shared" si="28"/>
        <v>1</v>
      </c>
      <c r="R511" t="e">
        <f t="shared" ca="1" si="29"/>
        <v>#NAME?</v>
      </c>
      <c r="S511">
        <f t="shared" si="30"/>
        <v>4</v>
      </c>
      <c r="T511" t="str">
        <f t="shared" si="31"/>
        <v>Ontevreden</v>
      </c>
    </row>
    <row r="512" spans="1:20" x14ac:dyDescent="0.3">
      <c r="A512" t="s">
        <v>4039</v>
      </c>
      <c r="B512" t="s">
        <v>2602</v>
      </c>
      <c r="C512" t="s">
        <v>4040</v>
      </c>
      <c r="D512" t="s">
        <v>4041</v>
      </c>
      <c r="E512" t="s">
        <v>4042</v>
      </c>
      <c r="F512" t="s">
        <v>4043</v>
      </c>
      <c r="G512">
        <v>48.68</v>
      </c>
      <c r="H512">
        <v>1</v>
      </c>
      <c r="I512" t="s">
        <v>22</v>
      </c>
      <c r="J512" t="s">
        <v>1440</v>
      </c>
      <c r="K512" t="s">
        <v>1440</v>
      </c>
      <c r="L512" t="s">
        <v>1439</v>
      </c>
      <c r="M512" t="s">
        <v>1440</v>
      </c>
      <c r="N512" t="s">
        <v>1440</v>
      </c>
      <c r="O512" t="s">
        <v>23</v>
      </c>
      <c r="Q512">
        <f t="shared" si="28"/>
        <v>1</v>
      </c>
      <c r="R512" t="e">
        <f t="shared" ca="1" si="29"/>
        <v>#NAME?</v>
      </c>
      <c r="S512">
        <f t="shared" si="30"/>
        <v>6</v>
      </c>
      <c r="T512" t="str">
        <f t="shared" si="31"/>
        <v>Ontevreden</v>
      </c>
    </row>
    <row r="513" spans="1:20" x14ac:dyDescent="0.3">
      <c r="A513" t="s">
        <v>3487</v>
      </c>
      <c r="B513" t="s">
        <v>4044</v>
      </c>
      <c r="C513" t="s">
        <v>4045</v>
      </c>
      <c r="D513" t="s">
        <v>4046</v>
      </c>
      <c r="E513" t="s">
        <v>4047</v>
      </c>
      <c r="F513" t="s">
        <v>3487</v>
      </c>
      <c r="G513">
        <v>94.3</v>
      </c>
      <c r="H513">
        <v>5</v>
      </c>
      <c r="I513" t="s">
        <v>57</v>
      </c>
      <c r="J513" t="s">
        <v>1440</v>
      </c>
      <c r="K513" t="s">
        <v>1439</v>
      </c>
      <c r="L513" t="s">
        <v>1439</v>
      </c>
      <c r="M513" t="s">
        <v>1440</v>
      </c>
      <c r="N513" t="s">
        <v>1439</v>
      </c>
      <c r="O513" t="s">
        <v>23</v>
      </c>
      <c r="Q513">
        <f t="shared" si="28"/>
        <v>1</v>
      </c>
      <c r="R513" t="e">
        <f t="shared" ca="1" si="29"/>
        <v>#NAME?</v>
      </c>
      <c r="S513">
        <f t="shared" si="30"/>
        <v>2</v>
      </c>
      <c r="T513" t="str">
        <f t="shared" si="31"/>
        <v>Ontevreden</v>
      </c>
    </row>
    <row r="514" spans="1:20" x14ac:dyDescent="0.3">
      <c r="A514" t="s">
        <v>4048</v>
      </c>
      <c r="B514" t="s">
        <v>4049</v>
      </c>
      <c r="C514" t="s">
        <v>4050</v>
      </c>
      <c r="D514" t="s">
        <v>4051</v>
      </c>
      <c r="E514" t="s">
        <v>4052</v>
      </c>
      <c r="F514" t="s">
        <v>4053</v>
      </c>
      <c r="G514">
        <v>64.87</v>
      </c>
      <c r="H514">
        <v>12</v>
      </c>
      <c r="I514" t="s">
        <v>22</v>
      </c>
      <c r="J514" t="s">
        <v>1439</v>
      </c>
      <c r="K514" t="s">
        <v>1439</v>
      </c>
      <c r="L514" t="s">
        <v>1440</v>
      </c>
      <c r="M514" t="s">
        <v>1439</v>
      </c>
      <c r="N514" t="s">
        <v>1440</v>
      </c>
      <c r="O514" t="s">
        <v>78</v>
      </c>
      <c r="Q514">
        <f t="shared" ref="Q514:Q577" si="32">LEN(G514)-LEN(SUBSTITUTE(G514,",",""))+1</f>
        <v>1</v>
      </c>
      <c r="R514" t="e">
        <f t="shared" ref="R514:R577" ca="1" si="33">SWITCH(I514, "Zelden", 1, "Af en toe", 4, "Regelmatig", 8, "Vaak", 12)</f>
        <v>#NAME?</v>
      </c>
      <c r="S514">
        <f t="shared" ref="S514:S577" si="34">AVERAGE(--(K514="ja"), --(L514="ja"), --(M514="ja"), --(N514="ja"), --(O514="ja"))*10</f>
        <v>4</v>
      </c>
      <c r="T514" t="str">
        <f t="shared" ref="T514:T577" si="35">IF(S514&gt;=7, "Tevreden", "Ontevreden")</f>
        <v>Ontevreden</v>
      </c>
    </row>
    <row r="515" spans="1:20" x14ac:dyDescent="0.3">
      <c r="A515" t="s">
        <v>4054</v>
      </c>
      <c r="B515" t="s">
        <v>2313</v>
      </c>
      <c r="C515" t="s">
        <v>4055</v>
      </c>
      <c r="D515" t="s">
        <v>343</v>
      </c>
      <c r="E515" t="s">
        <v>4056</v>
      </c>
      <c r="F515" t="s">
        <v>4057</v>
      </c>
      <c r="G515">
        <v>124.8</v>
      </c>
      <c r="H515">
        <v>14</v>
      </c>
      <c r="I515" t="s">
        <v>29</v>
      </c>
      <c r="J515" t="s">
        <v>1440</v>
      </c>
      <c r="K515" t="s">
        <v>1440</v>
      </c>
      <c r="L515" t="s">
        <v>1439</v>
      </c>
      <c r="M515" t="s">
        <v>1440</v>
      </c>
      <c r="N515" t="s">
        <v>1440</v>
      </c>
      <c r="O515" t="s">
        <v>23</v>
      </c>
      <c r="Q515">
        <f t="shared" si="32"/>
        <v>1</v>
      </c>
      <c r="R515" t="e">
        <f t="shared" ca="1" si="33"/>
        <v>#NAME?</v>
      </c>
      <c r="S515">
        <f t="shared" si="34"/>
        <v>6</v>
      </c>
      <c r="T515" t="str">
        <f t="shared" si="35"/>
        <v>Ontevreden</v>
      </c>
    </row>
    <row r="516" spans="1:20" x14ac:dyDescent="0.3">
      <c r="A516" t="s">
        <v>4058</v>
      </c>
      <c r="B516" t="s">
        <v>2678</v>
      </c>
      <c r="C516" t="s">
        <v>4059</v>
      </c>
      <c r="D516" t="s">
        <v>4060</v>
      </c>
      <c r="E516" t="s">
        <v>4061</v>
      </c>
      <c r="F516" t="s">
        <v>4062</v>
      </c>
      <c r="G516">
        <v>64.489999999999995</v>
      </c>
      <c r="H516">
        <v>14</v>
      </c>
      <c r="I516" t="s">
        <v>29</v>
      </c>
      <c r="J516" t="s">
        <v>1439</v>
      </c>
      <c r="K516" t="s">
        <v>1440</v>
      </c>
      <c r="L516" t="s">
        <v>1439</v>
      </c>
      <c r="M516" t="s">
        <v>1440</v>
      </c>
      <c r="N516" t="s">
        <v>1439</v>
      </c>
      <c r="O516" t="s">
        <v>23</v>
      </c>
      <c r="Q516">
        <f t="shared" si="32"/>
        <v>1</v>
      </c>
      <c r="R516" t="e">
        <f t="shared" ca="1" si="33"/>
        <v>#NAME?</v>
      </c>
      <c r="S516">
        <f t="shared" si="34"/>
        <v>4</v>
      </c>
      <c r="T516" t="str">
        <f t="shared" si="35"/>
        <v>Ontevreden</v>
      </c>
    </row>
    <row r="517" spans="1:20" x14ac:dyDescent="0.3">
      <c r="A517" t="s">
        <v>3040</v>
      </c>
      <c r="B517" t="s">
        <v>1725</v>
      </c>
      <c r="C517" t="s">
        <v>4063</v>
      </c>
      <c r="D517" t="s">
        <v>4064</v>
      </c>
      <c r="E517" t="s">
        <v>4065</v>
      </c>
      <c r="F517" t="s">
        <v>3040</v>
      </c>
      <c r="G517">
        <v>114.26</v>
      </c>
      <c r="H517">
        <v>6</v>
      </c>
      <c r="I517" t="s">
        <v>22</v>
      </c>
      <c r="J517" t="s">
        <v>1440</v>
      </c>
      <c r="K517" t="s">
        <v>1440</v>
      </c>
      <c r="L517" t="s">
        <v>1440</v>
      </c>
      <c r="M517" t="s">
        <v>1440</v>
      </c>
      <c r="N517" t="s">
        <v>1440</v>
      </c>
      <c r="O517" t="s">
        <v>23</v>
      </c>
      <c r="Q517">
        <f t="shared" si="32"/>
        <v>1</v>
      </c>
      <c r="R517" t="e">
        <f t="shared" ca="1" si="33"/>
        <v>#NAME?</v>
      </c>
      <c r="S517">
        <f t="shared" si="34"/>
        <v>8</v>
      </c>
      <c r="T517" t="str">
        <f t="shared" si="35"/>
        <v>Tevreden</v>
      </c>
    </row>
    <row r="518" spans="1:20" x14ac:dyDescent="0.3">
      <c r="A518" t="s">
        <v>4066</v>
      </c>
      <c r="B518" t="s">
        <v>2174</v>
      </c>
      <c r="C518" t="s">
        <v>4067</v>
      </c>
      <c r="D518" t="s">
        <v>4068</v>
      </c>
      <c r="E518" t="s">
        <v>4069</v>
      </c>
      <c r="F518" t="s">
        <v>4066</v>
      </c>
      <c r="G518">
        <v>147.09</v>
      </c>
      <c r="H518">
        <v>16</v>
      </c>
      <c r="I518" t="s">
        <v>29</v>
      </c>
      <c r="J518" t="s">
        <v>1440</v>
      </c>
      <c r="K518" t="s">
        <v>1439</v>
      </c>
      <c r="L518" t="s">
        <v>1440</v>
      </c>
      <c r="M518" t="s">
        <v>1440</v>
      </c>
      <c r="N518" t="s">
        <v>1440</v>
      </c>
      <c r="O518" t="s">
        <v>23</v>
      </c>
      <c r="Q518">
        <f t="shared" si="32"/>
        <v>1</v>
      </c>
      <c r="R518" t="e">
        <f t="shared" ca="1" si="33"/>
        <v>#NAME?</v>
      </c>
      <c r="S518">
        <f t="shared" si="34"/>
        <v>6</v>
      </c>
      <c r="T518" t="str">
        <f t="shared" si="35"/>
        <v>Ontevreden</v>
      </c>
    </row>
    <row r="519" spans="1:20" x14ac:dyDescent="0.3">
      <c r="A519" t="s">
        <v>3304</v>
      </c>
      <c r="B519" t="s">
        <v>2256</v>
      </c>
      <c r="C519" t="s">
        <v>4070</v>
      </c>
      <c r="D519" t="s">
        <v>4071</v>
      </c>
      <c r="E519" t="s">
        <v>4072</v>
      </c>
      <c r="F519" t="s">
        <v>4073</v>
      </c>
      <c r="G519">
        <v>76.849999999999994</v>
      </c>
      <c r="H519">
        <v>10</v>
      </c>
      <c r="I519" t="s">
        <v>29</v>
      </c>
      <c r="J519" t="s">
        <v>1440</v>
      </c>
      <c r="K519" t="s">
        <v>1439</v>
      </c>
      <c r="L519" t="s">
        <v>1440</v>
      </c>
      <c r="M519" t="s">
        <v>1440</v>
      </c>
      <c r="N519" t="s">
        <v>1440</v>
      </c>
      <c r="O519" t="s">
        <v>23</v>
      </c>
      <c r="Q519">
        <f t="shared" si="32"/>
        <v>1</v>
      </c>
      <c r="R519" t="e">
        <f t="shared" ca="1" si="33"/>
        <v>#NAME?</v>
      </c>
      <c r="S519">
        <f t="shared" si="34"/>
        <v>6</v>
      </c>
      <c r="T519" t="str">
        <f t="shared" si="35"/>
        <v>Ontevreden</v>
      </c>
    </row>
    <row r="520" spans="1:20" x14ac:dyDescent="0.3">
      <c r="A520" t="s">
        <v>4074</v>
      </c>
      <c r="B520" t="s">
        <v>4075</v>
      </c>
      <c r="C520" t="s">
        <v>4076</v>
      </c>
      <c r="D520" t="s">
        <v>682</v>
      </c>
      <c r="E520" t="s">
        <v>4077</v>
      </c>
      <c r="F520" t="s">
        <v>4078</v>
      </c>
      <c r="G520">
        <v>126.29</v>
      </c>
      <c r="H520">
        <v>9</v>
      </c>
      <c r="I520" t="s">
        <v>22</v>
      </c>
      <c r="J520" t="s">
        <v>1440</v>
      </c>
      <c r="K520" t="s">
        <v>1440</v>
      </c>
      <c r="L520" t="s">
        <v>1440</v>
      </c>
      <c r="M520" t="s">
        <v>1439</v>
      </c>
      <c r="N520" t="s">
        <v>1440</v>
      </c>
      <c r="O520" t="s">
        <v>23</v>
      </c>
      <c r="Q520">
        <f t="shared" si="32"/>
        <v>1</v>
      </c>
      <c r="R520" t="e">
        <f t="shared" ca="1" si="33"/>
        <v>#NAME?</v>
      </c>
      <c r="S520">
        <f t="shared" si="34"/>
        <v>6</v>
      </c>
      <c r="T520" t="str">
        <f t="shared" si="35"/>
        <v>Ontevreden</v>
      </c>
    </row>
    <row r="521" spans="1:20" x14ac:dyDescent="0.3">
      <c r="A521" t="s">
        <v>4079</v>
      </c>
      <c r="B521" t="s">
        <v>3057</v>
      </c>
      <c r="C521" t="s">
        <v>4080</v>
      </c>
      <c r="D521" t="s">
        <v>4081</v>
      </c>
      <c r="E521" t="s">
        <v>4082</v>
      </c>
      <c r="F521" t="s">
        <v>4083</v>
      </c>
      <c r="G521">
        <v>78.88</v>
      </c>
      <c r="H521">
        <v>12</v>
      </c>
      <c r="I521" t="s">
        <v>57</v>
      </c>
      <c r="J521" t="s">
        <v>1440</v>
      </c>
      <c r="K521" t="s">
        <v>1440</v>
      </c>
      <c r="L521" t="s">
        <v>1440</v>
      </c>
      <c r="M521" t="s">
        <v>1439</v>
      </c>
      <c r="N521" t="s">
        <v>1440</v>
      </c>
      <c r="O521" t="s">
        <v>34</v>
      </c>
      <c r="Q521">
        <f t="shared" si="32"/>
        <v>1</v>
      </c>
      <c r="R521" t="e">
        <f t="shared" ca="1" si="33"/>
        <v>#NAME?</v>
      </c>
      <c r="S521">
        <f t="shared" si="34"/>
        <v>6</v>
      </c>
      <c r="T521" t="str">
        <f t="shared" si="35"/>
        <v>Ontevreden</v>
      </c>
    </row>
    <row r="522" spans="1:20" x14ac:dyDescent="0.3">
      <c r="A522" t="s">
        <v>3362</v>
      </c>
      <c r="B522" t="s">
        <v>2212</v>
      </c>
      <c r="C522" t="s">
        <v>4084</v>
      </c>
      <c r="D522" t="s">
        <v>4085</v>
      </c>
      <c r="E522" t="s">
        <v>4086</v>
      </c>
      <c r="F522" t="s">
        <v>4087</v>
      </c>
      <c r="G522">
        <v>114.5</v>
      </c>
      <c r="H522">
        <v>7</v>
      </c>
      <c r="I522" t="s">
        <v>29</v>
      </c>
      <c r="J522" t="s">
        <v>1440</v>
      </c>
      <c r="K522" t="s">
        <v>1440</v>
      </c>
      <c r="L522" t="s">
        <v>1440</v>
      </c>
      <c r="M522" t="s">
        <v>1440</v>
      </c>
      <c r="N522" t="s">
        <v>1440</v>
      </c>
      <c r="O522" t="s">
        <v>23</v>
      </c>
      <c r="Q522">
        <f t="shared" si="32"/>
        <v>1</v>
      </c>
      <c r="R522" t="e">
        <f t="shared" ca="1" si="33"/>
        <v>#NAME?</v>
      </c>
      <c r="S522">
        <f t="shared" si="34"/>
        <v>8</v>
      </c>
      <c r="T522" t="str">
        <f t="shared" si="35"/>
        <v>Tevreden</v>
      </c>
    </row>
    <row r="523" spans="1:20" x14ac:dyDescent="0.3">
      <c r="A523" t="s">
        <v>4088</v>
      </c>
      <c r="B523" t="s">
        <v>4089</v>
      </c>
      <c r="C523" t="s">
        <v>4090</v>
      </c>
      <c r="D523" t="s">
        <v>4091</v>
      </c>
      <c r="E523" t="s">
        <v>4092</v>
      </c>
      <c r="F523" t="s">
        <v>4093</v>
      </c>
      <c r="G523">
        <v>171.15</v>
      </c>
      <c r="H523">
        <v>12</v>
      </c>
      <c r="I523" t="s">
        <v>57</v>
      </c>
      <c r="J523" t="s">
        <v>1440</v>
      </c>
      <c r="K523" t="s">
        <v>1440</v>
      </c>
      <c r="L523" t="s">
        <v>1440</v>
      </c>
      <c r="M523" t="s">
        <v>1440</v>
      </c>
      <c r="N523" t="s">
        <v>1440</v>
      </c>
      <c r="O523" t="s">
        <v>23</v>
      </c>
      <c r="Q523">
        <f t="shared" si="32"/>
        <v>1</v>
      </c>
      <c r="R523" t="e">
        <f t="shared" ca="1" si="33"/>
        <v>#NAME?</v>
      </c>
      <c r="S523">
        <f t="shared" si="34"/>
        <v>8</v>
      </c>
      <c r="T523" t="str">
        <f t="shared" si="35"/>
        <v>Tevreden</v>
      </c>
    </row>
    <row r="524" spans="1:20" x14ac:dyDescent="0.3">
      <c r="A524" t="s">
        <v>3322</v>
      </c>
      <c r="B524" t="s">
        <v>2200</v>
      </c>
      <c r="C524" t="s">
        <v>4094</v>
      </c>
      <c r="D524" t="s">
        <v>4095</v>
      </c>
      <c r="E524" t="s">
        <v>4096</v>
      </c>
      <c r="F524" t="s">
        <v>4097</v>
      </c>
      <c r="G524">
        <v>70.39</v>
      </c>
      <c r="H524">
        <v>15</v>
      </c>
      <c r="I524" t="s">
        <v>22</v>
      </c>
      <c r="J524" t="s">
        <v>1440</v>
      </c>
      <c r="K524" t="s">
        <v>1439</v>
      </c>
      <c r="L524" t="s">
        <v>1440</v>
      </c>
      <c r="M524" t="s">
        <v>1440</v>
      </c>
      <c r="N524" t="s">
        <v>1439</v>
      </c>
      <c r="O524" t="s">
        <v>78</v>
      </c>
      <c r="Q524">
        <f t="shared" si="32"/>
        <v>1</v>
      </c>
      <c r="R524" t="e">
        <f t="shared" ca="1" si="33"/>
        <v>#NAME?</v>
      </c>
      <c r="S524">
        <f t="shared" si="34"/>
        <v>4</v>
      </c>
      <c r="T524" t="str">
        <f t="shared" si="35"/>
        <v>Ontevreden</v>
      </c>
    </row>
    <row r="525" spans="1:20" x14ac:dyDescent="0.3">
      <c r="A525" t="s">
        <v>4098</v>
      </c>
      <c r="B525" t="s">
        <v>4099</v>
      </c>
      <c r="C525" t="s">
        <v>4100</v>
      </c>
      <c r="D525" t="s">
        <v>4101</v>
      </c>
      <c r="E525" t="s">
        <v>4102</v>
      </c>
      <c r="F525" t="s">
        <v>4103</v>
      </c>
      <c r="G525">
        <v>140.5</v>
      </c>
      <c r="H525">
        <v>10</v>
      </c>
      <c r="I525" t="s">
        <v>29</v>
      </c>
      <c r="J525" t="s">
        <v>1440</v>
      </c>
      <c r="K525" t="s">
        <v>1440</v>
      </c>
      <c r="L525" t="s">
        <v>1440</v>
      </c>
      <c r="M525" t="s">
        <v>1440</v>
      </c>
      <c r="N525" t="s">
        <v>1440</v>
      </c>
      <c r="O525" t="s">
        <v>23</v>
      </c>
      <c r="Q525">
        <f t="shared" si="32"/>
        <v>1</v>
      </c>
      <c r="R525" t="e">
        <f t="shared" ca="1" si="33"/>
        <v>#NAME?</v>
      </c>
      <c r="S525">
        <f t="shared" si="34"/>
        <v>8</v>
      </c>
      <c r="T525" t="str">
        <f t="shared" si="35"/>
        <v>Tevreden</v>
      </c>
    </row>
    <row r="526" spans="1:20" x14ac:dyDescent="0.3">
      <c r="A526" t="s">
        <v>4104</v>
      </c>
      <c r="B526" t="s">
        <v>2126</v>
      </c>
      <c r="C526" t="s">
        <v>4105</v>
      </c>
      <c r="D526" t="s">
        <v>4106</v>
      </c>
      <c r="E526" t="s">
        <v>4107</v>
      </c>
      <c r="F526" t="s">
        <v>4108</v>
      </c>
      <c r="G526">
        <v>141.5</v>
      </c>
      <c r="H526">
        <v>23</v>
      </c>
      <c r="I526" t="s">
        <v>22</v>
      </c>
      <c r="J526" t="s">
        <v>1439</v>
      </c>
      <c r="K526" t="s">
        <v>1440</v>
      </c>
      <c r="L526" t="s">
        <v>1440</v>
      </c>
      <c r="M526" t="s">
        <v>1440</v>
      </c>
      <c r="N526" t="s">
        <v>1440</v>
      </c>
      <c r="O526" t="s">
        <v>23</v>
      </c>
      <c r="Q526">
        <f t="shared" si="32"/>
        <v>1</v>
      </c>
      <c r="R526" t="e">
        <f t="shared" ca="1" si="33"/>
        <v>#NAME?</v>
      </c>
      <c r="S526">
        <f t="shared" si="34"/>
        <v>8</v>
      </c>
      <c r="T526" t="str">
        <f t="shared" si="35"/>
        <v>Tevreden</v>
      </c>
    </row>
    <row r="527" spans="1:20" x14ac:dyDescent="0.3">
      <c r="A527" t="s">
        <v>2872</v>
      </c>
      <c r="B527" t="s">
        <v>4109</v>
      </c>
      <c r="C527" t="s">
        <v>4110</v>
      </c>
      <c r="D527" t="s">
        <v>4111</v>
      </c>
      <c r="E527" t="s">
        <v>4112</v>
      </c>
      <c r="F527" t="s">
        <v>4113</v>
      </c>
      <c r="G527">
        <v>124.92</v>
      </c>
      <c r="H527">
        <v>8</v>
      </c>
      <c r="I527" t="s">
        <v>29</v>
      </c>
      <c r="J527" t="s">
        <v>1439</v>
      </c>
      <c r="K527" t="s">
        <v>1440</v>
      </c>
      <c r="L527" t="s">
        <v>1440</v>
      </c>
      <c r="M527" t="s">
        <v>1440</v>
      </c>
      <c r="N527" t="s">
        <v>1439</v>
      </c>
      <c r="O527" t="s">
        <v>23</v>
      </c>
      <c r="Q527">
        <f t="shared" si="32"/>
        <v>1</v>
      </c>
      <c r="R527" t="e">
        <f t="shared" ca="1" si="33"/>
        <v>#NAME?</v>
      </c>
      <c r="S527">
        <f t="shared" si="34"/>
        <v>6</v>
      </c>
      <c r="T527" t="str">
        <f t="shared" si="35"/>
        <v>Ontevreden</v>
      </c>
    </row>
    <row r="528" spans="1:20" x14ac:dyDescent="0.3">
      <c r="A528" t="s">
        <v>4114</v>
      </c>
      <c r="B528" t="s">
        <v>1602</v>
      </c>
      <c r="C528" t="s">
        <v>4115</v>
      </c>
      <c r="D528" t="s">
        <v>4116</v>
      </c>
      <c r="E528" t="s">
        <v>4117</v>
      </c>
      <c r="F528" t="s">
        <v>4114</v>
      </c>
      <c r="G528">
        <v>105.71</v>
      </c>
      <c r="H528">
        <v>19</v>
      </c>
      <c r="I528" t="s">
        <v>22</v>
      </c>
      <c r="J528" t="s">
        <v>1440</v>
      </c>
      <c r="K528" t="s">
        <v>1439</v>
      </c>
      <c r="L528" t="s">
        <v>1439</v>
      </c>
      <c r="M528" t="s">
        <v>1439</v>
      </c>
      <c r="N528" t="s">
        <v>1440</v>
      </c>
      <c r="O528" t="s">
        <v>23</v>
      </c>
      <c r="Q528">
        <f t="shared" si="32"/>
        <v>1</v>
      </c>
      <c r="R528" t="e">
        <f t="shared" ca="1" si="33"/>
        <v>#NAME?</v>
      </c>
      <c r="S528">
        <f t="shared" si="34"/>
        <v>2</v>
      </c>
      <c r="T528" t="str">
        <f t="shared" si="35"/>
        <v>Ontevreden</v>
      </c>
    </row>
    <row r="529" spans="1:20" x14ac:dyDescent="0.3">
      <c r="A529" t="s">
        <v>4118</v>
      </c>
      <c r="B529" t="s">
        <v>1760</v>
      </c>
      <c r="C529" t="s">
        <v>4119</v>
      </c>
      <c r="D529" t="s">
        <v>4120</v>
      </c>
      <c r="E529" t="s">
        <v>4121</v>
      </c>
      <c r="F529" t="s">
        <v>4122</v>
      </c>
      <c r="G529">
        <v>56.73</v>
      </c>
      <c r="H529">
        <v>6</v>
      </c>
      <c r="I529" t="s">
        <v>29</v>
      </c>
      <c r="J529" t="s">
        <v>1439</v>
      </c>
      <c r="K529" t="s">
        <v>1440</v>
      </c>
      <c r="L529" t="s">
        <v>1440</v>
      </c>
      <c r="M529" t="s">
        <v>1440</v>
      </c>
      <c r="N529" t="s">
        <v>1439</v>
      </c>
      <c r="O529" t="s">
        <v>23</v>
      </c>
      <c r="Q529">
        <f t="shared" si="32"/>
        <v>1</v>
      </c>
      <c r="R529" t="e">
        <f t="shared" ca="1" si="33"/>
        <v>#NAME?</v>
      </c>
      <c r="S529">
        <f t="shared" si="34"/>
        <v>6</v>
      </c>
      <c r="T529" t="str">
        <f t="shared" si="35"/>
        <v>Ontevreden</v>
      </c>
    </row>
    <row r="530" spans="1:20" x14ac:dyDescent="0.3">
      <c r="A530" t="s">
        <v>4123</v>
      </c>
      <c r="B530" t="s">
        <v>2965</v>
      </c>
      <c r="C530" t="s">
        <v>4124</v>
      </c>
      <c r="D530" t="s">
        <v>4125</v>
      </c>
      <c r="E530" t="s">
        <v>4126</v>
      </c>
      <c r="F530" t="s">
        <v>4127</v>
      </c>
      <c r="G530">
        <v>107.02</v>
      </c>
      <c r="H530">
        <v>4</v>
      </c>
      <c r="I530" t="s">
        <v>102</v>
      </c>
      <c r="J530" t="s">
        <v>1440</v>
      </c>
      <c r="K530" t="s">
        <v>1439</v>
      </c>
      <c r="L530" t="s">
        <v>1439</v>
      </c>
      <c r="M530" t="s">
        <v>1440</v>
      </c>
      <c r="N530" t="s">
        <v>1440</v>
      </c>
      <c r="O530" t="s">
        <v>23</v>
      </c>
      <c r="Q530">
        <f t="shared" si="32"/>
        <v>1</v>
      </c>
      <c r="R530" t="e">
        <f t="shared" ca="1" si="33"/>
        <v>#NAME?</v>
      </c>
      <c r="S530">
        <f t="shared" si="34"/>
        <v>4</v>
      </c>
      <c r="T530" t="str">
        <f t="shared" si="35"/>
        <v>Ontevreden</v>
      </c>
    </row>
    <row r="531" spans="1:20" x14ac:dyDescent="0.3">
      <c r="A531" t="s">
        <v>2811</v>
      </c>
      <c r="B531" t="s">
        <v>1574</v>
      </c>
      <c r="C531" t="s">
        <v>4128</v>
      </c>
      <c r="D531" t="s">
        <v>4129</v>
      </c>
      <c r="E531" t="s">
        <v>4130</v>
      </c>
      <c r="F531" t="s">
        <v>4131</v>
      </c>
      <c r="G531">
        <v>128.04</v>
      </c>
      <c r="H531">
        <v>7</v>
      </c>
      <c r="I531" t="s">
        <v>29</v>
      </c>
      <c r="J531" t="s">
        <v>1439</v>
      </c>
      <c r="K531" t="s">
        <v>1439</v>
      </c>
      <c r="L531" t="s">
        <v>1439</v>
      </c>
      <c r="M531" t="s">
        <v>1440</v>
      </c>
      <c r="N531" t="s">
        <v>1440</v>
      </c>
      <c r="O531" t="s">
        <v>23</v>
      </c>
      <c r="Q531">
        <f t="shared" si="32"/>
        <v>1</v>
      </c>
      <c r="R531" t="e">
        <f t="shared" ca="1" si="33"/>
        <v>#NAME?</v>
      </c>
      <c r="S531">
        <f t="shared" si="34"/>
        <v>4</v>
      </c>
      <c r="T531" t="str">
        <f t="shared" si="35"/>
        <v>Ontevreden</v>
      </c>
    </row>
    <row r="532" spans="1:20" x14ac:dyDescent="0.3">
      <c r="A532" t="s">
        <v>2459</v>
      </c>
      <c r="B532" t="s">
        <v>2590</v>
      </c>
      <c r="C532" t="s">
        <v>4132</v>
      </c>
      <c r="D532" t="s">
        <v>4133</v>
      </c>
      <c r="E532" t="s">
        <v>4134</v>
      </c>
      <c r="F532" t="s">
        <v>4135</v>
      </c>
      <c r="G532">
        <v>169.82</v>
      </c>
      <c r="H532">
        <v>7</v>
      </c>
      <c r="I532" t="s">
        <v>22</v>
      </c>
      <c r="J532" t="s">
        <v>1439</v>
      </c>
      <c r="K532" t="s">
        <v>1440</v>
      </c>
      <c r="L532" t="s">
        <v>1440</v>
      </c>
      <c r="M532" t="s">
        <v>1440</v>
      </c>
      <c r="N532" t="s">
        <v>1439</v>
      </c>
      <c r="O532" t="s">
        <v>23</v>
      </c>
      <c r="Q532">
        <f t="shared" si="32"/>
        <v>1</v>
      </c>
      <c r="R532" t="e">
        <f t="shared" ca="1" si="33"/>
        <v>#NAME?</v>
      </c>
      <c r="S532">
        <f t="shared" si="34"/>
        <v>6</v>
      </c>
      <c r="T532" t="str">
        <f t="shared" si="35"/>
        <v>Ontevreden</v>
      </c>
    </row>
    <row r="533" spans="1:20" x14ac:dyDescent="0.3">
      <c r="A533" t="s">
        <v>4136</v>
      </c>
      <c r="B533" t="s">
        <v>3608</v>
      </c>
      <c r="C533" t="s">
        <v>4137</v>
      </c>
      <c r="D533" t="s">
        <v>4138</v>
      </c>
      <c r="E533" t="s">
        <v>4139</v>
      </c>
      <c r="F533" t="s">
        <v>4140</v>
      </c>
      <c r="G533">
        <v>176.42</v>
      </c>
      <c r="H533">
        <v>1</v>
      </c>
      <c r="I533" t="s">
        <v>22</v>
      </c>
      <c r="J533" t="s">
        <v>1439</v>
      </c>
      <c r="K533" t="s">
        <v>1440</v>
      </c>
      <c r="L533" t="s">
        <v>1440</v>
      </c>
      <c r="M533" t="s">
        <v>1439</v>
      </c>
      <c r="N533" t="s">
        <v>1439</v>
      </c>
      <c r="O533" t="s">
        <v>23</v>
      </c>
      <c r="Q533">
        <f t="shared" si="32"/>
        <v>1</v>
      </c>
      <c r="R533" t="e">
        <f t="shared" ca="1" si="33"/>
        <v>#NAME?</v>
      </c>
      <c r="S533">
        <f t="shared" si="34"/>
        <v>4</v>
      </c>
      <c r="T533" t="str">
        <f t="shared" si="35"/>
        <v>Ontevreden</v>
      </c>
    </row>
    <row r="534" spans="1:20" x14ac:dyDescent="0.3">
      <c r="A534" t="s">
        <v>2878</v>
      </c>
      <c r="B534" t="s">
        <v>2734</v>
      </c>
      <c r="C534" t="s">
        <v>4141</v>
      </c>
      <c r="D534" t="s">
        <v>4142</v>
      </c>
      <c r="E534" t="s">
        <v>4143</v>
      </c>
      <c r="F534" t="s">
        <v>4144</v>
      </c>
      <c r="G534">
        <v>112.94</v>
      </c>
      <c r="H534">
        <v>11</v>
      </c>
      <c r="I534" t="s">
        <v>22</v>
      </c>
      <c r="J534" t="s">
        <v>1440</v>
      </c>
      <c r="K534" t="s">
        <v>1439</v>
      </c>
      <c r="L534" t="s">
        <v>1440</v>
      </c>
      <c r="M534" t="s">
        <v>1439</v>
      </c>
      <c r="N534" t="s">
        <v>1440</v>
      </c>
      <c r="O534" t="s">
        <v>23</v>
      </c>
      <c r="Q534">
        <f t="shared" si="32"/>
        <v>1</v>
      </c>
      <c r="R534" t="e">
        <f t="shared" ca="1" si="33"/>
        <v>#NAME?</v>
      </c>
      <c r="S534">
        <f t="shared" si="34"/>
        <v>4</v>
      </c>
      <c r="T534" t="str">
        <f t="shared" si="35"/>
        <v>Ontevreden</v>
      </c>
    </row>
    <row r="535" spans="1:20" x14ac:dyDescent="0.3">
      <c r="A535" t="s">
        <v>2256</v>
      </c>
      <c r="B535" t="s">
        <v>1695</v>
      </c>
      <c r="C535" t="s">
        <v>4145</v>
      </c>
      <c r="D535" t="s">
        <v>4146</v>
      </c>
      <c r="E535" t="s">
        <v>4147</v>
      </c>
      <c r="F535" t="s">
        <v>4148</v>
      </c>
      <c r="G535">
        <v>118.1</v>
      </c>
      <c r="H535">
        <v>6</v>
      </c>
      <c r="I535" t="s">
        <v>29</v>
      </c>
      <c r="J535" t="s">
        <v>1440</v>
      </c>
      <c r="K535" t="s">
        <v>1439</v>
      </c>
      <c r="L535" t="s">
        <v>1440</v>
      </c>
      <c r="M535" t="s">
        <v>1439</v>
      </c>
      <c r="N535" t="s">
        <v>1439</v>
      </c>
      <c r="O535" t="s">
        <v>34</v>
      </c>
      <c r="Q535">
        <f t="shared" si="32"/>
        <v>1</v>
      </c>
      <c r="R535" t="e">
        <f t="shared" ca="1" si="33"/>
        <v>#NAME?</v>
      </c>
      <c r="S535">
        <f t="shared" si="34"/>
        <v>2</v>
      </c>
      <c r="T535" t="str">
        <f t="shared" si="35"/>
        <v>Ontevreden</v>
      </c>
    </row>
    <row r="536" spans="1:20" x14ac:dyDescent="0.3">
      <c r="A536" t="s">
        <v>2530</v>
      </c>
      <c r="B536" t="s">
        <v>2678</v>
      </c>
      <c r="C536" t="s">
        <v>4149</v>
      </c>
      <c r="D536" t="s">
        <v>4150</v>
      </c>
      <c r="E536" t="s">
        <v>4151</v>
      </c>
      <c r="F536" t="s">
        <v>4152</v>
      </c>
      <c r="G536">
        <v>177.6</v>
      </c>
      <c r="H536">
        <v>1</v>
      </c>
      <c r="I536" t="s">
        <v>57</v>
      </c>
      <c r="J536" t="s">
        <v>1439</v>
      </c>
      <c r="K536" t="s">
        <v>1440</v>
      </c>
      <c r="L536" t="s">
        <v>1440</v>
      </c>
      <c r="M536" t="s">
        <v>1439</v>
      </c>
      <c r="N536" t="s">
        <v>1440</v>
      </c>
      <c r="O536" t="s">
        <v>23</v>
      </c>
      <c r="Q536">
        <f t="shared" si="32"/>
        <v>1</v>
      </c>
      <c r="R536" t="e">
        <f t="shared" ca="1" si="33"/>
        <v>#NAME?</v>
      </c>
      <c r="S536">
        <f t="shared" si="34"/>
        <v>6</v>
      </c>
      <c r="T536" t="str">
        <f t="shared" si="35"/>
        <v>Ontevreden</v>
      </c>
    </row>
    <row r="537" spans="1:20" x14ac:dyDescent="0.3">
      <c r="A537" t="s">
        <v>1976</v>
      </c>
      <c r="B537" t="s">
        <v>1478</v>
      </c>
      <c r="C537" t="s">
        <v>4153</v>
      </c>
      <c r="D537" t="s">
        <v>4154</v>
      </c>
      <c r="E537" t="s">
        <v>4155</v>
      </c>
      <c r="F537" t="s">
        <v>4156</v>
      </c>
      <c r="G537">
        <v>213.82</v>
      </c>
      <c r="H537">
        <v>6</v>
      </c>
      <c r="I537" t="s">
        <v>22</v>
      </c>
      <c r="J537" t="s">
        <v>1440</v>
      </c>
      <c r="K537" t="s">
        <v>1440</v>
      </c>
      <c r="L537" t="s">
        <v>1440</v>
      </c>
      <c r="M537" t="s">
        <v>1440</v>
      </c>
      <c r="N537" t="s">
        <v>1440</v>
      </c>
      <c r="O537" t="s">
        <v>34</v>
      </c>
      <c r="Q537">
        <f t="shared" si="32"/>
        <v>1</v>
      </c>
      <c r="R537" t="e">
        <f t="shared" ca="1" si="33"/>
        <v>#NAME?</v>
      </c>
      <c r="S537">
        <f t="shared" si="34"/>
        <v>8</v>
      </c>
      <c r="T537" t="str">
        <f t="shared" si="35"/>
        <v>Tevreden</v>
      </c>
    </row>
    <row r="538" spans="1:20" x14ac:dyDescent="0.3">
      <c r="A538" t="s">
        <v>4157</v>
      </c>
      <c r="B538" t="s">
        <v>1881</v>
      </c>
      <c r="C538" t="s">
        <v>4158</v>
      </c>
      <c r="D538" t="s">
        <v>4159</v>
      </c>
      <c r="E538" t="s">
        <v>4160</v>
      </c>
      <c r="F538" t="s">
        <v>4161</v>
      </c>
      <c r="G538">
        <v>43.22</v>
      </c>
      <c r="H538">
        <v>3</v>
      </c>
      <c r="I538" t="s">
        <v>57</v>
      </c>
      <c r="J538" t="s">
        <v>1439</v>
      </c>
      <c r="K538" t="s">
        <v>1440</v>
      </c>
      <c r="L538" t="s">
        <v>1440</v>
      </c>
      <c r="M538" t="s">
        <v>1440</v>
      </c>
      <c r="N538" t="s">
        <v>1440</v>
      </c>
      <c r="O538" t="s">
        <v>23</v>
      </c>
      <c r="Q538">
        <f t="shared" si="32"/>
        <v>1</v>
      </c>
      <c r="R538" t="e">
        <f t="shared" ca="1" si="33"/>
        <v>#NAME?</v>
      </c>
      <c r="S538">
        <f t="shared" si="34"/>
        <v>8</v>
      </c>
      <c r="T538" t="str">
        <f t="shared" si="35"/>
        <v>Tevreden</v>
      </c>
    </row>
    <row r="539" spans="1:20" x14ac:dyDescent="0.3">
      <c r="A539" t="s">
        <v>4162</v>
      </c>
      <c r="B539" t="s">
        <v>1484</v>
      </c>
      <c r="C539" t="s">
        <v>4163</v>
      </c>
      <c r="D539" t="s">
        <v>4164</v>
      </c>
      <c r="E539" t="s">
        <v>4165</v>
      </c>
      <c r="F539" t="s">
        <v>4166</v>
      </c>
      <c r="G539">
        <v>201.93</v>
      </c>
      <c r="H539">
        <v>15</v>
      </c>
      <c r="I539" t="s">
        <v>29</v>
      </c>
      <c r="J539" t="s">
        <v>1440</v>
      </c>
      <c r="K539" t="s">
        <v>1440</v>
      </c>
      <c r="L539" t="s">
        <v>1440</v>
      </c>
      <c r="M539" t="s">
        <v>1440</v>
      </c>
      <c r="N539" t="s">
        <v>1440</v>
      </c>
      <c r="O539" t="s">
        <v>23</v>
      </c>
      <c r="Q539">
        <f t="shared" si="32"/>
        <v>1</v>
      </c>
      <c r="R539" t="e">
        <f t="shared" ca="1" si="33"/>
        <v>#NAME?</v>
      </c>
      <c r="S539">
        <f t="shared" si="34"/>
        <v>8</v>
      </c>
      <c r="T539" t="str">
        <f t="shared" si="35"/>
        <v>Tevreden</v>
      </c>
    </row>
    <row r="540" spans="1:20" x14ac:dyDescent="0.3">
      <c r="A540" t="s">
        <v>4167</v>
      </c>
      <c r="B540" t="s">
        <v>1562</v>
      </c>
      <c r="C540" t="s">
        <v>4168</v>
      </c>
      <c r="D540" t="s">
        <v>4169</v>
      </c>
      <c r="E540" t="s">
        <v>4170</v>
      </c>
      <c r="F540" t="s">
        <v>4167</v>
      </c>
      <c r="G540">
        <v>93.11</v>
      </c>
      <c r="H540">
        <v>3</v>
      </c>
      <c r="I540" t="s">
        <v>57</v>
      </c>
      <c r="J540" t="s">
        <v>1440</v>
      </c>
      <c r="K540" t="s">
        <v>1440</v>
      </c>
      <c r="L540" t="s">
        <v>1440</v>
      </c>
      <c r="M540" t="s">
        <v>1440</v>
      </c>
      <c r="N540" t="s">
        <v>1440</v>
      </c>
      <c r="O540" t="s">
        <v>23</v>
      </c>
      <c r="Q540">
        <f t="shared" si="32"/>
        <v>1</v>
      </c>
      <c r="R540" t="e">
        <f t="shared" ca="1" si="33"/>
        <v>#NAME?</v>
      </c>
      <c r="S540">
        <f t="shared" si="34"/>
        <v>8</v>
      </c>
      <c r="T540" t="str">
        <f t="shared" si="35"/>
        <v>Tevreden</v>
      </c>
    </row>
    <row r="541" spans="1:20" x14ac:dyDescent="0.3">
      <c r="A541" t="s">
        <v>4171</v>
      </c>
      <c r="B541" t="s">
        <v>1478</v>
      </c>
      <c r="C541" t="s">
        <v>4172</v>
      </c>
      <c r="D541" t="s">
        <v>4173</v>
      </c>
      <c r="E541" t="s">
        <v>4174</v>
      </c>
      <c r="F541" t="s">
        <v>4175</v>
      </c>
      <c r="G541">
        <v>147.77000000000001</v>
      </c>
      <c r="H541">
        <v>6</v>
      </c>
      <c r="I541" t="s">
        <v>57</v>
      </c>
      <c r="J541" t="s">
        <v>1440</v>
      </c>
      <c r="K541" t="s">
        <v>1440</v>
      </c>
      <c r="L541" t="s">
        <v>1440</v>
      </c>
      <c r="M541" t="s">
        <v>1439</v>
      </c>
      <c r="N541" t="s">
        <v>1440</v>
      </c>
      <c r="O541" t="s">
        <v>23</v>
      </c>
      <c r="Q541">
        <f t="shared" si="32"/>
        <v>1</v>
      </c>
      <c r="R541" t="e">
        <f t="shared" ca="1" si="33"/>
        <v>#NAME?</v>
      </c>
      <c r="S541">
        <f t="shared" si="34"/>
        <v>6</v>
      </c>
      <c r="T541" t="str">
        <f t="shared" si="35"/>
        <v>Ontevreden</v>
      </c>
    </row>
    <row r="542" spans="1:20" x14ac:dyDescent="0.3">
      <c r="A542" t="s">
        <v>4176</v>
      </c>
      <c r="B542" t="s">
        <v>2795</v>
      </c>
      <c r="C542" t="s">
        <v>4177</v>
      </c>
      <c r="D542" t="s">
        <v>4178</v>
      </c>
      <c r="E542" t="s">
        <v>4179</v>
      </c>
      <c r="F542" t="s">
        <v>4180</v>
      </c>
      <c r="G542">
        <v>207.2</v>
      </c>
      <c r="H542">
        <v>24</v>
      </c>
      <c r="I542" t="s">
        <v>29</v>
      </c>
      <c r="J542" t="s">
        <v>1439</v>
      </c>
      <c r="K542" t="s">
        <v>1440</v>
      </c>
      <c r="L542" t="s">
        <v>1439</v>
      </c>
      <c r="M542" t="s">
        <v>1440</v>
      </c>
      <c r="N542" t="s">
        <v>1439</v>
      </c>
      <c r="O542" t="s">
        <v>78</v>
      </c>
      <c r="Q542">
        <f t="shared" si="32"/>
        <v>1</v>
      </c>
      <c r="R542" t="e">
        <f t="shared" ca="1" si="33"/>
        <v>#NAME?</v>
      </c>
      <c r="S542">
        <f t="shared" si="34"/>
        <v>4</v>
      </c>
      <c r="T542" t="str">
        <f t="shared" si="35"/>
        <v>Ontevreden</v>
      </c>
    </row>
    <row r="543" spans="1:20" x14ac:dyDescent="0.3">
      <c r="A543" t="s">
        <v>4181</v>
      </c>
      <c r="B543" t="s">
        <v>1667</v>
      </c>
      <c r="C543" t="s">
        <v>4182</v>
      </c>
      <c r="D543" t="s">
        <v>4183</v>
      </c>
      <c r="E543" t="s">
        <v>4184</v>
      </c>
      <c r="F543" t="s">
        <v>4185</v>
      </c>
      <c r="G543">
        <v>139.94</v>
      </c>
      <c r="H543">
        <v>27</v>
      </c>
      <c r="I543" t="s">
        <v>29</v>
      </c>
      <c r="J543" t="s">
        <v>1440</v>
      </c>
      <c r="K543" t="s">
        <v>1440</v>
      </c>
      <c r="L543" t="s">
        <v>1439</v>
      </c>
      <c r="M543" t="s">
        <v>1440</v>
      </c>
      <c r="N543" t="s">
        <v>1439</v>
      </c>
      <c r="O543" t="s">
        <v>78</v>
      </c>
      <c r="Q543">
        <f t="shared" si="32"/>
        <v>1</v>
      </c>
      <c r="R543" t="e">
        <f t="shared" ca="1" si="33"/>
        <v>#NAME?</v>
      </c>
      <c r="S543">
        <f t="shared" si="34"/>
        <v>4</v>
      </c>
      <c r="T543" t="str">
        <f t="shared" si="35"/>
        <v>Ontevreden</v>
      </c>
    </row>
    <row r="544" spans="1:20" x14ac:dyDescent="0.3">
      <c r="A544" t="s">
        <v>4186</v>
      </c>
      <c r="B544" t="s">
        <v>1908</v>
      </c>
      <c r="C544" t="s">
        <v>4187</v>
      </c>
      <c r="D544" t="s">
        <v>4188</v>
      </c>
      <c r="E544" t="s">
        <v>4189</v>
      </c>
      <c r="F544" t="s">
        <v>4190</v>
      </c>
      <c r="G544">
        <v>167.01</v>
      </c>
      <c r="H544">
        <v>5</v>
      </c>
      <c r="I544" t="s">
        <v>29</v>
      </c>
      <c r="J544" t="s">
        <v>1440</v>
      </c>
      <c r="K544" t="s">
        <v>1439</v>
      </c>
      <c r="L544" t="s">
        <v>1440</v>
      </c>
      <c r="M544" t="s">
        <v>1440</v>
      </c>
      <c r="N544" t="s">
        <v>1439</v>
      </c>
      <c r="O544" t="s">
        <v>23</v>
      </c>
      <c r="Q544">
        <f t="shared" si="32"/>
        <v>1</v>
      </c>
      <c r="R544" t="e">
        <f t="shared" ca="1" si="33"/>
        <v>#NAME?</v>
      </c>
      <c r="S544">
        <f t="shared" si="34"/>
        <v>4</v>
      </c>
      <c r="T544" t="str">
        <f t="shared" si="35"/>
        <v>Ontevreden</v>
      </c>
    </row>
    <row r="545" spans="1:20" x14ac:dyDescent="0.3">
      <c r="A545" t="s">
        <v>2199</v>
      </c>
      <c r="B545" t="s">
        <v>2975</v>
      </c>
      <c r="C545" t="s">
        <v>4191</v>
      </c>
      <c r="D545" t="s">
        <v>4192</v>
      </c>
      <c r="E545" t="s">
        <v>4193</v>
      </c>
      <c r="F545" t="s">
        <v>4194</v>
      </c>
      <c r="G545">
        <v>173.54</v>
      </c>
      <c r="H545">
        <v>12</v>
      </c>
      <c r="I545" t="s">
        <v>57</v>
      </c>
      <c r="J545" t="s">
        <v>1440</v>
      </c>
      <c r="K545" t="s">
        <v>1439</v>
      </c>
      <c r="L545" t="s">
        <v>1440</v>
      </c>
      <c r="M545" t="s">
        <v>1440</v>
      </c>
      <c r="N545" t="s">
        <v>1439</v>
      </c>
      <c r="O545" t="s">
        <v>78</v>
      </c>
      <c r="Q545">
        <f t="shared" si="32"/>
        <v>1</v>
      </c>
      <c r="R545" t="e">
        <f t="shared" ca="1" si="33"/>
        <v>#NAME?</v>
      </c>
      <c r="S545">
        <f t="shared" si="34"/>
        <v>4</v>
      </c>
      <c r="T545" t="str">
        <f t="shared" si="35"/>
        <v>Ontevreden</v>
      </c>
    </row>
    <row r="546" spans="1:20" x14ac:dyDescent="0.3">
      <c r="A546" t="s">
        <v>4195</v>
      </c>
      <c r="B546" t="s">
        <v>2153</v>
      </c>
      <c r="C546" t="s">
        <v>4196</v>
      </c>
      <c r="D546" t="s">
        <v>4197</v>
      </c>
      <c r="E546" t="s">
        <v>4198</v>
      </c>
      <c r="F546" t="s">
        <v>4199</v>
      </c>
      <c r="G546">
        <v>154.83000000000001</v>
      </c>
      <c r="H546">
        <v>4</v>
      </c>
      <c r="I546" t="s">
        <v>57</v>
      </c>
      <c r="J546" t="s">
        <v>1440</v>
      </c>
      <c r="K546" t="s">
        <v>1440</v>
      </c>
      <c r="L546" t="s">
        <v>1440</v>
      </c>
      <c r="M546" t="s">
        <v>1439</v>
      </c>
      <c r="N546" t="s">
        <v>1440</v>
      </c>
      <c r="O546" t="s">
        <v>23</v>
      </c>
      <c r="Q546">
        <f t="shared" si="32"/>
        <v>1</v>
      </c>
      <c r="R546" t="e">
        <f t="shared" ca="1" si="33"/>
        <v>#NAME?</v>
      </c>
      <c r="S546">
        <f t="shared" si="34"/>
        <v>6</v>
      </c>
      <c r="T546" t="str">
        <f t="shared" si="35"/>
        <v>Ontevreden</v>
      </c>
    </row>
    <row r="547" spans="1:20" x14ac:dyDescent="0.3">
      <c r="A547" t="s">
        <v>4200</v>
      </c>
      <c r="B547" t="s">
        <v>1460</v>
      </c>
      <c r="C547" t="s">
        <v>4201</v>
      </c>
      <c r="D547" t="s">
        <v>4202</v>
      </c>
      <c r="E547" t="s">
        <v>4203</v>
      </c>
      <c r="F547" t="s">
        <v>4204</v>
      </c>
      <c r="G547">
        <v>141.34</v>
      </c>
      <c r="H547">
        <v>2</v>
      </c>
      <c r="I547" t="s">
        <v>102</v>
      </c>
      <c r="J547" t="s">
        <v>1440</v>
      </c>
      <c r="K547" t="s">
        <v>1440</v>
      </c>
      <c r="L547" t="s">
        <v>1439</v>
      </c>
      <c r="M547" t="s">
        <v>1439</v>
      </c>
      <c r="N547" t="s">
        <v>1439</v>
      </c>
      <c r="O547" t="s">
        <v>23</v>
      </c>
      <c r="Q547">
        <f t="shared" si="32"/>
        <v>1</v>
      </c>
      <c r="R547" t="e">
        <f t="shared" ca="1" si="33"/>
        <v>#NAME?</v>
      </c>
      <c r="S547">
        <f t="shared" si="34"/>
        <v>2</v>
      </c>
      <c r="T547" t="str">
        <f t="shared" si="35"/>
        <v>Ontevreden</v>
      </c>
    </row>
    <row r="548" spans="1:20" x14ac:dyDescent="0.3">
      <c r="A548" t="s">
        <v>2661</v>
      </c>
      <c r="B548" t="s">
        <v>2229</v>
      </c>
      <c r="C548" t="s">
        <v>4205</v>
      </c>
      <c r="D548" t="s">
        <v>4206</v>
      </c>
      <c r="E548" t="s">
        <v>4207</v>
      </c>
      <c r="F548" t="s">
        <v>4208</v>
      </c>
      <c r="G548">
        <v>98.77</v>
      </c>
      <c r="H548">
        <v>8</v>
      </c>
      <c r="I548" t="s">
        <v>22</v>
      </c>
      <c r="J548" t="s">
        <v>1440</v>
      </c>
      <c r="K548" t="s">
        <v>1440</v>
      </c>
      <c r="L548" t="s">
        <v>1439</v>
      </c>
      <c r="M548" t="s">
        <v>1439</v>
      </c>
      <c r="N548" t="s">
        <v>1440</v>
      </c>
      <c r="O548" t="s">
        <v>23</v>
      </c>
      <c r="Q548">
        <f t="shared" si="32"/>
        <v>1</v>
      </c>
      <c r="R548" t="e">
        <f t="shared" ca="1" si="33"/>
        <v>#NAME?</v>
      </c>
      <c r="S548">
        <f t="shared" si="34"/>
        <v>4</v>
      </c>
      <c r="T548" t="str">
        <f t="shared" si="35"/>
        <v>Ontevreden</v>
      </c>
    </row>
    <row r="549" spans="1:20" x14ac:dyDescent="0.3">
      <c r="A549" t="s">
        <v>4209</v>
      </c>
      <c r="B549" t="s">
        <v>4210</v>
      </c>
      <c r="C549" t="s">
        <v>4211</v>
      </c>
      <c r="D549" t="s">
        <v>4212</v>
      </c>
      <c r="E549" t="s">
        <v>4213</v>
      </c>
      <c r="F549" t="s">
        <v>4209</v>
      </c>
      <c r="G549">
        <v>67.510000000000005</v>
      </c>
      <c r="H549">
        <v>22</v>
      </c>
      <c r="I549" t="s">
        <v>29</v>
      </c>
      <c r="J549" t="s">
        <v>1440</v>
      </c>
      <c r="K549" t="s">
        <v>1440</v>
      </c>
      <c r="L549" t="s">
        <v>1440</v>
      </c>
      <c r="M549" t="s">
        <v>1440</v>
      </c>
      <c r="N549" t="s">
        <v>1440</v>
      </c>
      <c r="O549" t="s">
        <v>23</v>
      </c>
      <c r="Q549">
        <f t="shared" si="32"/>
        <v>1</v>
      </c>
      <c r="R549" t="e">
        <f t="shared" ca="1" si="33"/>
        <v>#NAME?</v>
      </c>
      <c r="S549">
        <f t="shared" si="34"/>
        <v>8</v>
      </c>
      <c r="T549" t="str">
        <f t="shared" si="35"/>
        <v>Tevreden</v>
      </c>
    </row>
    <row r="550" spans="1:20" x14ac:dyDescent="0.3">
      <c r="A550" t="s">
        <v>3405</v>
      </c>
      <c r="B550" t="s">
        <v>4210</v>
      </c>
      <c r="C550" t="s">
        <v>4214</v>
      </c>
      <c r="D550" t="s">
        <v>4215</v>
      </c>
      <c r="E550" t="s">
        <v>4216</v>
      </c>
      <c r="F550" t="s">
        <v>4217</v>
      </c>
      <c r="G550">
        <v>156.08000000000001</v>
      </c>
      <c r="H550">
        <v>9</v>
      </c>
      <c r="I550" t="s">
        <v>29</v>
      </c>
      <c r="J550" t="s">
        <v>1440</v>
      </c>
      <c r="K550" t="s">
        <v>1439</v>
      </c>
      <c r="L550" t="s">
        <v>1440</v>
      </c>
      <c r="M550" t="s">
        <v>1440</v>
      </c>
      <c r="N550" t="s">
        <v>1440</v>
      </c>
      <c r="O550" t="s">
        <v>23</v>
      </c>
      <c r="Q550">
        <f t="shared" si="32"/>
        <v>1</v>
      </c>
      <c r="R550" t="e">
        <f t="shared" ca="1" si="33"/>
        <v>#NAME?</v>
      </c>
      <c r="S550">
        <f t="shared" si="34"/>
        <v>6</v>
      </c>
      <c r="T550" t="str">
        <f t="shared" si="35"/>
        <v>Ontevreden</v>
      </c>
    </row>
    <row r="551" spans="1:20" x14ac:dyDescent="0.3">
      <c r="A551" t="s">
        <v>4218</v>
      </c>
      <c r="B551" t="s">
        <v>4219</v>
      </c>
      <c r="C551" t="s">
        <v>4220</v>
      </c>
      <c r="D551" t="s">
        <v>4221</v>
      </c>
      <c r="E551" t="s">
        <v>4222</v>
      </c>
      <c r="F551" t="s">
        <v>4223</v>
      </c>
      <c r="G551">
        <v>180.03</v>
      </c>
      <c r="H551">
        <v>6</v>
      </c>
      <c r="I551" t="s">
        <v>29</v>
      </c>
      <c r="J551" t="s">
        <v>1440</v>
      </c>
      <c r="K551" t="s">
        <v>1440</v>
      </c>
      <c r="L551" t="s">
        <v>1439</v>
      </c>
      <c r="M551" t="s">
        <v>1440</v>
      </c>
      <c r="N551" t="s">
        <v>1440</v>
      </c>
      <c r="O551" t="s">
        <v>34</v>
      </c>
      <c r="Q551">
        <f t="shared" si="32"/>
        <v>1</v>
      </c>
      <c r="R551" t="e">
        <f t="shared" ca="1" si="33"/>
        <v>#NAME?</v>
      </c>
      <c r="S551">
        <f t="shared" si="34"/>
        <v>6</v>
      </c>
      <c r="T551" t="str">
        <f t="shared" si="35"/>
        <v>Ontevreden</v>
      </c>
    </row>
    <row r="552" spans="1:20" x14ac:dyDescent="0.3">
      <c r="A552" t="s">
        <v>4224</v>
      </c>
      <c r="B552" t="s">
        <v>3233</v>
      </c>
      <c r="C552" t="s">
        <v>4225</v>
      </c>
      <c r="D552" t="s">
        <v>4226</v>
      </c>
      <c r="E552" t="s">
        <v>4227</v>
      </c>
      <c r="F552" t="s">
        <v>4228</v>
      </c>
      <c r="G552">
        <v>94.7</v>
      </c>
      <c r="H552">
        <v>11</v>
      </c>
      <c r="I552" t="s">
        <v>57</v>
      </c>
      <c r="J552" t="s">
        <v>1440</v>
      </c>
      <c r="K552" t="s">
        <v>1440</v>
      </c>
      <c r="L552" t="s">
        <v>1440</v>
      </c>
      <c r="M552" t="s">
        <v>1440</v>
      </c>
      <c r="N552" t="s">
        <v>1440</v>
      </c>
      <c r="O552" t="s">
        <v>23</v>
      </c>
      <c r="Q552">
        <f t="shared" si="32"/>
        <v>1</v>
      </c>
      <c r="R552" t="e">
        <f t="shared" ca="1" si="33"/>
        <v>#NAME?</v>
      </c>
      <c r="S552">
        <f t="shared" si="34"/>
        <v>8</v>
      </c>
      <c r="T552" t="str">
        <f t="shared" si="35"/>
        <v>Tevreden</v>
      </c>
    </row>
    <row r="553" spans="1:20" x14ac:dyDescent="0.3">
      <c r="A553" t="s">
        <v>4229</v>
      </c>
      <c r="B553" t="s">
        <v>2173</v>
      </c>
      <c r="C553" t="s">
        <v>4230</v>
      </c>
      <c r="D553" t="s">
        <v>4231</v>
      </c>
      <c r="E553" t="s">
        <v>4232</v>
      </c>
      <c r="F553" t="s">
        <v>4229</v>
      </c>
      <c r="G553">
        <v>83.94</v>
      </c>
      <c r="H553">
        <v>14</v>
      </c>
      <c r="I553" t="s">
        <v>102</v>
      </c>
      <c r="J553" t="s">
        <v>1440</v>
      </c>
      <c r="K553" t="s">
        <v>1440</v>
      </c>
      <c r="L553" t="s">
        <v>1440</v>
      </c>
      <c r="M553" t="s">
        <v>1440</v>
      </c>
      <c r="N553" t="s">
        <v>1439</v>
      </c>
      <c r="O553" t="s">
        <v>23</v>
      </c>
      <c r="Q553">
        <f t="shared" si="32"/>
        <v>1</v>
      </c>
      <c r="R553" t="e">
        <f t="shared" ca="1" si="33"/>
        <v>#NAME?</v>
      </c>
      <c r="S553">
        <f t="shared" si="34"/>
        <v>6</v>
      </c>
      <c r="T553" t="str">
        <f t="shared" si="35"/>
        <v>Ontevreden</v>
      </c>
    </row>
    <row r="554" spans="1:20" x14ac:dyDescent="0.3">
      <c r="A554" t="s">
        <v>4233</v>
      </c>
      <c r="B554" t="s">
        <v>2063</v>
      </c>
      <c r="C554" t="s">
        <v>4234</v>
      </c>
      <c r="D554" t="s">
        <v>4235</v>
      </c>
      <c r="E554" t="s">
        <v>4236</v>
      </c>
      <c r="F554" t="s">
        <v>4237</v>
      </c>
      <c r="G554">
        <v>139.13999999999999</v>
      </c>
      <c r="H554">
        <v>10</v>
      </c>
      <c r="I554" t="s">
        <v>29</v>
      </c>
      <c r="J554" t="s">
        <v>1440</v>
      </c>
      <c r="K554" t="s">
        <v>1440</v>
      </c>
      <c r="L554" t="s">
        <v>1440</v>
      </c>
      <c r="M554" t="s">
        <v>1440</v>
      </c>
      <c r="N554" t="s">
        <v>1440</v>
      </c>
      <c r="O554" t="s">
        <v>23</v>
      </c>
      <c r="Q554">
        <f t="shared" si="32"/>
        <v>1</v>
      </c>
      <c r="R554" t="e">
        <f t="shared" ca="1" si="33"/>
        <v>#NAME?</v>
      </c>
      <c r="S554">
        <f t="shared" si="34"/>
        <v>8</v>
      </c>
      <c r="T554" t="str">
        <f t="shared" si="35"/>
        <v>Tevreden</v>
      </c>
    </row>
    <row r="555" spans="1:20" x14ac:dyDescent="0.3">
      <c r="A555" t="s">
        <v>4238</v>
      </c>
      <c r="B555" t="s">
        <v>2319</v>
      </c>
      <c r="C555" t="s">
        <v>4239</v>
      </c>
      <c r="D555" t="s">
        <v>4240</v>
      </c>
      <c r="E555" t="s">
        <v>4241</v>
      </c>
      <c r="F555" t="s">
        <v>4242</v>
      </c>
      <c r="G555">
        <v>83.71</v>
      </c>
      <c r="H555">
        <v>3</v>
      </c>
      <c r="I555" t="s">
        <v>29</v>
      </c>
      <c r="J555" t="s">
        <v>1440</v>
      </c>
      <c r="K555" t="s">
        <v>1440</v>
      </c>
      <c r="L555" t="s">
        <v>1440</v>
      </c>
      <c r="M555" t="s">
        <v>1440</v>
      </c>
      <c r="N555" t="s">
        <v>1440</v>
      </c>
      <c r="O555" t="s">
        <v>23</v>
      </c>
      <c r="Q555">
        <f t="shared" si="32"/>
        <v>1</v>
      </c>
      <c r="R555" t="e">
        <f t="shared" ca="1" si="33"/>
        <v>#NAME?</v>
      </c>
      <c r="S555">
        <f t="shared" si="34"/>
        <v>8</v>
      </c>
      <c r="T555" t="str">
        <f t="shared" si="35"/>
        <v>Tevreden</v>
      </c>
    </row>
    <row r="556" spans="1:20" x14ac:dyDescent="0.3">
      <c r="A556" t="s">
        <v>2531</v>
      </c>
      <c r="B556" t="s">
        <v>1791</v>
      </c>
      <c r="C556" t="s">
        <v>4243</v>
      </c>
      <c r="D556" t="s">
        <v>4244</v>
      </c>
      <c r="E556" t="s">
        <v>4245</v>
      </c>
      <c r="F556" t="s">
        <v>2531</v>
      </c>
      <c r="G556">
        <v>54.45</v>
      </c>
      <c r="H556">
        <v>15</v>
      </c>
      <c r="I556" t="s">
        <v>29</v>
      </c>
      <c r="J556" t="s">
        <v>1439</v>
      </c>
      <c r="K556" t="s">
        <v>1440</v>
      </c>
      <c r="L556" t="s">
        <v>1439</v>
      </c>
      <c r="M556" t="s">
        <v>1440</v>
      </c>
      <c r="N556" t="s">
        <v>1440</v>
      </c>
      <c r="O556" t="s">
        <v>23</v>
      </c>
      <c r="Q556">
        <f t="shared" si="32"/>
        <v>1</v>
      </c>
      <c r="R556" t="e">
        <f t="shared" ca="1" si="33"/>
        <v>#NAME?</v>
      </c>
      <c r="S556">
        <f t="shared" si="34"/>
        <v>6</v>
      </c>
      <c r="T556" t="str">
        <f t="shared" si="35"/>
        <v>Ontevreden</v>
      </c>
    </row>
    <row r="557" spans="1:20" x14ac:dyDescent="0.3">
      <c r="A557" t="s">
        <v>4246</v>
      </c>
      <c r="B557" t="s">
        <v>4247</v>
      </c>
      <c r="C557" t="s">
        <v>4248</v>
      </c>
      <c r="D557" t="s">
        <v>4249</v>
      </c>
      <c r="E557" t="s">
        <v>4250</v>
      </c>
      <c r="F557" t="s">
        <v>4251</v>
      </c>
      <c r="G557">
        <v>70.27</v>
      </c>
      <c r="H557">
        <v>6</v>
      </c>
      <c r="I557" t="s">
        <v>29</v>
      </c>
      <c r="J557" t="s">
        <v>1439</v>
      </c>
      <c r="K557" t="s">
        <v>1440</v>
      </c>
      <c r="L557" t="s">
        <v>1439</v>
      </c>
      <c r="M557" t="s">
        <v>1440</v>
      </c>
      <c r="N557" t="s">
        <v>1439</v>
      </c>
      <c r="O557" t="s">
        <v>23</v>
      </c>
      <c r="Q557">
        <f t="shared" si="32"/>
        <v>1</v>
      </c>
      <c r="R557" t="e">
        <f t="shared" ca="1" si="33"/>
        <v>#NAME?</v>
      </c>
      <c r="S557">
        <f t="shared" si="34"/>
        <v>4</v>
      </c>
      <c r="T557" t="str">
        <f t="shared" si="35"/>
        <v>Ontevreden</v>
      </c>
    </row>
    <row r="558" spans="1:20" x14ac:dyDescent="0.3">
      <c r="A558" t="s">
        <v>4252</v>
      </c>
      <c r="B558" t="s">
        <v>1760</v>
      </c>
      <c r="C558" t="s">
        <v>4253</v>
      </c>
      <c r="D558" t="s">
        <v>4254</v>
      </c>
      <c r="E558" t="s">
        <v>4255</v>
      </c>
      <c r="F558" t="s">
        <v>4256</v>
      </c>
      <c r="G558">
        <v>119.06</v>
      </c>
      <c r="H558">
        <v>15</v>
      </c>
      <c r="I558" t="s">
        <v>22</v>
      </c>
      <c r="J558" t="s">
        <v>1439</v>
      </c>
      <c r="K558" t="s">
        <v>1439</v>
      </c>
      <c r="L558" t="s">
        <v>1439</v>
      </c>
      <c r="M558" t="s">
        <v>1440</v>
      </c>
      <c r="N558" t="s">
        <v>1440</v>
      </c>
      <c r="O558" t="s">
        <v>78</v>
      </c>
      <c r="Q558">
        <f t="shared" si="32"/>
        <v>1</v>
      </c>
      <c r="R558" t="e">
        <f t="shared" ca="1" si="33"/>
        <v>#NAME?</v>
      </c>
      <c r="S558">
        <f t="shared" si="34"/>
        <v>4</v>
      </c>
      <c r="T558" t="str">
        <f t="shared" si="35"/>
        <v>Ontevreden</v>
      </c>
    </row>
    <row r="559" spans="1:20" x14ac:dyDescent="0.3">
      <c r="A559" t="s">
        <v>2260</v>
      </c>
      <c r="B559" t="s">
        <v>3095</v>
      </c>
      <c r="C559" t="s">
        <v>4257</v>
      </c>
      <c r="D559" t="s">
        <v>4258</v>
      </c>
      <c r="E559" t="s">
        <v>4259</v>
      </c>
      <c r="F559" t="s">
        <v>4260</v>
      </c>
      <c r="G559">
        <v>80.5</v>
      </c>
      <c r="H559">
        <v>9</v>
      </c>
      <c r="I559" t="s">
        <v>29</v>
      </c>
      <c r="J559" t="s">
        <v>1439</v>
      </c>
      <c r="K559" t="s">
        <v>1440</v>
      </c>
      <c r="L559" t="s">
        <v>1440</v>
      </c>
      <c r="M559" t="s">
        <v>1439</v>
      </c>
      <c r="N559" t="s">
        <v>1440</v>
      </c>
      <c r="O559" t="s">
        <v>23</v>
      </c>
      <c r="Q559">
        <f t="shared" si="32"/>
        <v>1</v>
      </c>
      <c r="R559" t="e">
        <f t="shared" ca="1" si="33"/>
        <v>#NAME?</v>
      </c>
      <c r="S559">
        <f t="shared" si="34"/>
        <v>6</v>
      </c>
      <c r="T559" t="str">
        <f t="shared" si="35"/>
        <v>Ontevreden</v>
      </c>
    </row>
    <row r="560" spans="1:20" x14ac:dyDescent="0.3">
      <c r="A560" t="s">
        <v>2650</v>
      </c>
      <c r="B560" t="s">
        <v>4261</v>
      </c>
      <c r="C560" t="s">
        <v>4262</v>
      </c>
      <c r="D560" t="s">
        <v>4263</v>
      </c>
      <c r="E560" t="s">
        <v>4264</v>
      </c>
      <c r="F560" t="s">
        <v>4265</v>
      </c>
      <c r="G560">
        <v>81.3</v>
      </c>
      <c r="H560">
        <v>23</v>
      </c>
      <c r="I560" t="s">
        <v>22</v>
      </c>
      <c r="J560" t="s">
        <v>1440</v>
      </c>
      <c r="K560" t="s">
        <v>1439</v>
      </c>
      <c r="L560" t="s">
        <v>1439</v>
      </c>
      <c r="M560" t="s">
        <v>1440</v>
      </c>
      <c r="N560" t="s">
        <v>1439</v>
      </c>
      <c r="O560" t="s">
        <v>23</v>
      </c>
      <c r="Q560">
        <f t="shared" si="32"/>
        <v>1</v>
      </c>
      <c r="R560" t="e">
        <f t="shared" ca="1" si="33"/>
        <v>#NAME?</v>
      </c>
      <c r="S560">
        <f t="shared" si="34"/>
        <v>2</v>
      </c>
      <c r="T560" t="str">
        <f t="shared" si="35"/>
        <v>Ontevreden</v>
      </c>
    </row>
    <row r="561" spans="1:20" x14ac:dyDescent="0.3">
      <c r="A561" t="s">
        <v>2260</v>
      </c>
      <c r="B561" t="s">
        <v>1919</v>
      </c>
      <c r="C561" t="s">
        <v>4266</v>
      </c>
      <c r="D561" t="s">
        <v>4267</v>
      </c>
      <c r="E561" t="s">
        <v>4268</v>
      </c>
      <c r="F561" t="s">
        <v>2260</v>
      </c>
      <c r="G561">
        <v>65.05</v>
      </c>
      <c r="H561">
        <v>6</v>
      </c>
      <c r="I561" t="s">
        <v>57</v>
      </c>
      <c r="J561" t="s">
        <v>1439</v>
      </c>
      <c r="K561" t="s">
        <v>1440</v>
      </c>
      <c r="L561" t="s">
        <v>1440</v>
      </c>
      <c r="M561" t="s">
        <v>1440</v>
      </c>
      <c r="N561" t="s">
        <v>1440</v>
      </c>
      <c r="O561" t="s">
        <v>23</v>
      </c>
      <c r="Q561">
        <f t="shared" si="32"/>
        <v>1</v>
      </c>
      <c r="R561" t="e">
        <f t="shared" ca="1" si="33"/>
        <v>#NAME?</v>
      </c>
      <c r="S561">
        <f t="shared" si="34"/>
        <v>8</v>
      </c>
      <c r="T561" t="str">
        <f t="shared" si="35"/>
        <v>Tevreden</v>
      </c>
    </row>
    <row r="562" spans="1:20" x14ac:dyDescent="0.3">
      <c r="A562" t="s">
        <v>4269</v>
      </c>
      <c r="B562" t="s">
        <v>4270</v>
      </c>
      <c r="C562" t="s">
        <v>4271</v>
      </c>
      <c r="D562" t="s">
        <v>4272</v>
      </c>
      <c r="E562" t="s">
        <v>4273</v>
      </c>
      <c r="F562" t="s">
        <v>4274</v>
      </c>
      <c r="G562">
        <v>111.88</v>
      </c>
      <c r="H562">
        <v>8</v>
      </c>
      <c r="I562" t="s">
        <v>22</v>
      </c>
      <c r="J562" t="s">
        <v>1440</v>
      </c>
      <c r="K562" t="s">
        <v>1439</v>
      </c>
      <c r="L562" t="s">
        <v>1439</v>
      </c>
      <c r="M562" t="s">
        <v>1440</v>
      </c>
      <c r="N562" t="s">
        <v>1440</v>
      </c>
      <c r="O562" t="s">
        <v>23</v>
      </c>
      <c r="Q562">
        <f t="shared" si="32"/>
        <v>1</v>
      </c>
      <c r="R562" t="e">
        <f t="shared" ca="1" si="33"/>
        <v>#NAME?</v>
      </c>
      <c r="S562">
        <f t="shared" si="34"/>
        <v>4</v>
      </c>
      <c r="T562" t="str">
        <f t="shared" si="35"/>
        <v>Ontevreden</v>
      </c>
    </row>
    <row r="563" spans="1:20" x14ac:dyDescent="0.3">
      <c r="A563" t="s">
        <v>4275</v>
      </c>
      <c r="B563" t="s">
        <v>3384</v>
      </c>
      <c r="C563" t="s">
        <v>4276</v>
      </c>
      <c r="D563" t="s">
        <v>4277</v>
      </c>
      <c r="E563" t="s">
        <v>4278</v>
      </c>
      <c r="F563" t="s">
        <v>4279</v>
      </c>
      <c r="G563">
        <v>160.54</v>
      </c>
      <c r="H563">
        <v>7</v>
      </c>
      <c r="I563" t="s">
        <v>22</v>
      </c>
      <c r="J563" t="s">
        <v>1440</v>
      </c>
      <c r="K563" t="s">
        <v>1440</v>
      </c>
      <c r="L563" t="s">
        <v>1439</v>
      </c>
      <c r="M563" t="s">
        <v>1439</v>
      </c>
      <c r="N563" t="s">
        <v>1440</v>
      </c>
      <c r="O563" t="s">
        <v>23</v>
      </c>
      <c r="Q563">
        <f t="shared" si="32"/>
        <v>1</v>
      </c>
      <c r="R563" t="e">
        <f t="shared" ca="1" si="33"/>
        <v>#NAME?</v>
      </c>
      <c r="S563">
        <f t="shared" si="34"/>
        <v>4</v>
      </c>
      <c r="T563" t="str">
        <f t="shared" si="35"/>
        <v>Ontevreden</v>
      </c>
    </row>
    <row r="564" spans="1:20" x14ac:dyDescent="0.3">
      <c r="A564" t="s">
        <v>4280</v>
      </c>
      <c r="B564" t="s">
        <v>2734</v>
      </c>
      <c r="C564" t="s">
        <v>4281</v>
      </c>
      <c r="D564" t="s">
        <v>4282</v>
      </c>
      <c r="E564" t="s">
        <v>4283</v>
      </c>
      <c r="F564" t="s">
        <v>4284</v>
      </c>
      <c r="G564">
        <v>166.21</v>
      </c>
      <c r="H564">
        <v>1</v>
      </c>
      <c r="I564" t="s">
        <v>22</v>
      </c>
      <c r="J564" t="s">
        <v>1440</v>
      </c>
      <c r="K564" t="s">
        <v>1440</v>
      </c>
      <c r="L564" t="s">
        <v>1440</v>
      </c>
      <c r="M564" t="s">
        <v>1439</v>
      </c>
      <c r="N564" t="s">
        <v>1440</v>
      </c>
      <c r="O564" t="s">
        <v>23</v>
      </c>
      <c r="Q564">
        <f t="shared" si="32"/>
        <v>1</v>
      </c>
      <c r="R564" t="e">
        <f t="shared" ca="1" si="33"/>
        <v>#NAME?</v>
      </c>
      <c r="S564">
        <f t="shared" si="34"/>
        <v>6</v>
      </c>
      <c r="T564" t="str">
        <f t="shared" si="35"/>
        <v>Ontevreden</v>
      </c>
    </row>
    <row r="565" spans="1:20" x14ac:dyDescent="0.3">
      <c r="A565" t="s">
        <v>2217</v>
      </c>
      <c r="B565" t="s">
        <v>4219</v>
      </c>
      <c r="C565" t="s">
        <v>4285</v>
      </c>
      <c r="D565" t="s">
        <v>4286</v>
      </c>
      <c r="E565" t="s">
        <v>4287</v>
      </c>
      <c r="F565" t="s">
        <v>4288</v>
      </c>
      <c r="G565">
        <v>51.85</v>
      </c>
      <c r="H565">
        <v>7</v>
      </c>
      <c r="I565" t="s">
        <v>22</v>
      </c>
      <c r="J565" t="s">
        <v>1440</v>
      </c>
      <c r="K565" t="s">
        <v>1440</v>
      </c>
      <c r="L565" t="s">
        <v>1440</v>
      </c>
      <c r="M565" t="s">
        <v>1440</v>
      </c>
      <c r="N565" t="s">
        <v>1440</v>
      </c>
      <c r="O565" t="s">
        <v>23</v>
      </c>
      <c r="Q565">
        <f t="shared" si="32"/>
        <v>1</v>
      </c>
      <c r="R565" t="e">
        <f t="shared" ca="1" si="33"/>
        <v>#NAME?</v>
      </c>
      <c r="S565">
        <f t="shared" si="34"/>
        <v>8</v>
      </c>
      <c r="T565" t="str">
        <f t="shared" si="35"/>
        <v>Tevreden</v>
      </c>
    </row>
    <row r="566" spans="1:20" x14ac:dyDescent="0.3">
      <c r="A566" t="s">
        <v>4289</v>
      </c>
      <c r="B566" t="s">
        <v>4290</v>
      </c>
      <c r="C566" t="s">
        <v>4291</v>
      </c>
      <c r="D566" t="s">
        <v>4292</v>
      </c>
      <c r="E566" t="s">
        <v>4293</v>
      </c>
      <c r="F566" t="s">
        <v>4294</v>
      </c>
      <c r="G566">
        <v>157.97</v>
      </c>
      <c r="H566">
        <v>12</v>
      </c>
      <c r="I566" t="s">
        <v>22</v>
      </c>
      <c r="J566" t="s">
        <v>1439</v>
      </c>
      <c r="K566" t="s">
        <v>1440</v>
      </c>
      <c r="L566" t="s">
        <v>1440</v>
      </c>
      <c r="M566" t="s">
        <v>1440</v>
      </c>
      <c r="N566" t="s">
        <v>1440</v>
      </c>
      <c r="O566" t="s">
        <v>23</v>
      </c>
      <c r="Q566">
        <f t="shared" si="32"/>
        <v>1</v>
      </c>
      <c r="R566" t="e">
        <f t="shared" ca="1" si="33"/>
        <v>#NAME?</v>
      </c>
      <c r="S566">
        <f t="shared" si="34"/>
        <v>8</v>
      </c>
      <c r="T566" t="str">
        <f t="shared" si="35"/>
        <v>Tevreden</v>
      </c>
    </row>
    <row r="567" spans="1:20" x14ac:dyDescent="0.3">
      <c r="A567" t="s">
        <v>2101</v>
      </c>
      <c r="B567" t="s">
        <v>4295</v>
      </c>
      <c r="C567" t="s">
        <v>4296</v>
      </c>
      <c r="D567" t="s">
        <v>4297</v>
      </c>
      <c r="E567" t="s">
        <v>4298</v>
      </c>
      <c r="F567" t="s">
        <v>4299</v>
      </c>
      <c r="G567">
        <v>132.44</v>
      </c>
      <c r="H567">
        <v>17</v>
      </c>
      <c r="I567" t="s">
        <v>29</v>
      </c>
      <c r="J567" t="s">
        <v>1440</v>
      </c>
      <c r="K567" t="s">
        <v>1440</v>
      </c>
      <c r="L567" t="s">
        <v>1440</v>
      </c>
      <c r="M567" t="s">
        <v>1440</v>
      </c>
      <c r="N567" t="s">
        <v>1439</v>
      </c>
      <c r="O567" t="s">
        <v>23</v>
      </c>
      <c r="Q567">
        <f t="shared" si="32"/>
        <v>1</v>
      </c>
      <c r="R567" t="e">
        <f t="shared" ca="1" si="33"/>
        <v>#NAME?</v>
      </c>
      <c r="S567">
        <f t="shared" si="34"/>
        <v>6</v>
      </c>
      <c r="T567" t="str">
        <f t="shared" si="35"/>
        <v>Ontevreden</v>
      </c>
    </row>
    <row r="568" spans="1:20" x14ac:dyDescent="0.3">
      <c r="A568" t="s">
        <v>2275</v>
      </c>
      <c r="B568" t="s">
        <v>4300</v>
      </c>
      <c r="C568" t="s">
        <v>4301</v>
      </c>
      <c r="D568" t="s">
        <v>4302</v>
      </c>
      <c r="E568" t="s">
        <v>4303</v>
      </c>
      <c r="F568" t="s">
        <v>4304</v>
      </c>
      <c r="G568">
        <v>139.02000000000001</v>
      </c>
      <c r="H568">
        <v>5</v>
      </c>
      <c r="I568" t="s">
        <v>22</v>
      </c>
      <c r="J568" t="s">
        <v>1440</v>
      </c>
      <c r="K568" t="s">
        <v>1440</v>
      </c>
      <c r="L568" t="s">
        <v>1440</v>
      </c>
      <c r="M568" t="s">
        <v>1439</v>
      </c>
      <c r="N568" t="s">
        <v>1439</v>
      </c>
      <c r="O568" t="s">
        <v>78</v>
      </c>
      <c r="Q568">
        <f t="shared" si="32"/>
        <v>1</v>
      </c>
      <c r="R568" t="e">
        <f t="shared" ca="1" si="33"/>
        <v>#NAME?</v>
      </c>
      <c r="S568">
        <f t="shared" si="34"/>
        <v>4</v>
      </c>
      <c r="T568" t="str">
        <f t="shared" si="35"/>
        <v>Ontevreden</v>
      </c>
    </row>
    <row r="569" spans="1:20" x14ac:dyDescent="0.3">
      <c r="A569" t="s">
        <v>4305</v>
      </c>
      <c r="B569" t="s">
        <v>3879</v>
      </c>
      <c r="C569" t="s">
        <v>4306</v>
      </c>
      <c r="D569" t="s">
        <v>4307</v>
      </c>
      <c r="E569" t="s">
        <v>4308</v>
      </c>
      <c r="F569" t="s">
        <v>4309</v>
      </c>
      <c r="G569">
        <v>123.11</v>
      </c>
      <c r="H569">
        <v>10</v>
      </c>
      <c r="I569" t="s">
        <v>57</v>
      </c>
      <c r="J569" t="s">
        <v>1440</v>
      </c>
      <c r="K569" t="s">
        <v>1440</v>
      </c>
      <c r="L569" t="s">
        <v>1440</v>
      </c>
      <c r="M569" t="s">
        <v>1440</v>
      </c>
      <c r="N569" t="s">
        <v>1439</v>
      </c>
      <c r="O569" t="s">
        <v>23</v>
      </c>
      <c r="Q569">
        <f t="shared" si="32"/>
        <v>1</v>
      </c>
      <c r="R569" t="e">
        <f t="shared" ca="1" si="33"/>
        <v>#NAME?</v>
      </c>
      <c r="S569">
        <f t="shared" si="34"/>
        <v>6</v>
      </c>
      <c r="T569" t="str">
        <f t="shared" si="35"/>
        <v>Ontevreden</v>
      </c>
    </row>
    <row r="570" spans="1:20" x14ac:dyDescent="0.3">
      <c r="A570" t="s">
        <v>4310</v>
      </c>
      <c r="B570" t="s">
        <v>4311</v>
      </c>
      <c r="C570" t="s">
        <v>4312</v>
      </c>
      <c r="D570" t="s">
        <v>4313</v>
      </c>
      <c r="E570" t="s">
        <v>4314</v>
      </c>
      <c r="F570" t="s">
        <v>4315</v>
      </c>
      <c r="G570">
        <v>151.44</v>
      </c>
      <c r="H570">
        <v>9</v>
      </c>
      <c r="I570" t="s">
        <v>29</v>
      </c>
      <c r="J570" t="s">
        <v>1440</v>
      </c>
      <c r="K570" t="s">
        <v>1439</v>
      </c>
      <c r="L570" t="s">
        <v>1440</v>
      </c>
      <c r="M570" t="s">
        <v>1439</v>
      </c>
      <c r="N570" t="s">
        <v>1439</v>
      </c>
      <c r="O570" t="s">
        <v>23</v>
      </c>
      <c r="Q570">
        <f t="shared" si="32"/>
        <v>1</v>
      </c>
      <c r="R570" t="e">
        <f t="shared" ca="1" si="33"/>
        <v>#NAME?</v>
      </c>
      <c r="S570">
        <f t="shared" si="34"/>
        <v>2</v>
      </c>
      <c r="T570" t="str">
        <f t="shared" si="35"/>
        <v>Ontevreden</v>
      </c>
    </row>
    <row r="571" spans="1:20" x14ac:dyDescent="0.3">
      <c r="A571" t="s">
        <v>4316</v>
      </c>
      <c r="B571" t="s">
        <v>4317</v>
      </c>
      <c r="C571" t="s">
        <v>4318</v>
      </c>
      <c r="D571" t="s">
        <v>4319</v>
      </c>
      <c r="E571" t="s">
        <v>4320</v>
      </c>
      <c r="F571" t="s">
        <v>4321</v>
      </c>
      <c r="G571">
        <v>81.099999999999994</v>
      </c>
      <c r="H571">
        <v>16</v>
      </c>
      <c r="I571" t="s">
        <v>29</v>
      </c>
      <c r="J571" t="s">
        <v>1440</v>
      </c>
      <c r="K571" t="s">
        <v>1440</v>
      </c>
      <c r="L571" t="s">
        <v>1440</v>
      </c>
      <c r="M571" t="s">
        <v>1440</v>
      </c>
      <c r="N571" t="s">
        <v>1440</v>
      </c>
      <c r="O571" t="s">
        <v>34</v>
      </c>
      <c r="Q571">
        <f t="shared" si="32"/>
        <v>1</v>
      </c>
      <c r="R571" t="e">
        <f t="shared" ca="1" si="33"/>
        <v>#NAME?</v>
      </c>
      <c r="S571">
        <f t="shared" si="34"/>
        <v>8</v>
      </c>
      <c r="T571" t="str">
        <f t="shared" si="35"/>
        <v>Tevreden</v>
      </c>
    </row>
    <row r="572" spans="1:20" x14ac:dyDescent="0.3">
      <c r="A572" t="s">
        <v>4322</v>
      </c>
      <c r="B572" t="s">
        <v>4323</v>
      </c>
      <c r="C572" t="s">
        <v>4324</v>
      </c>
      <c r="D572" t="s">
        <v>4325</v>
      </c>
      <c r="E572" t="s">
        <v>4326</v>
      </c>
      <c r="F572" t="s">
        <v>4327</v>
      </c>
      <c r="G572">
        <v>114.32</v>
      </c>
      <c r="H572">
        <v>14</v>
      </c>
      <c r="I572" t="s">
        <v>22</v>
      </c>
      <c r="J572" t="s">
        <v>1440</v>
      </c>
      <c r="K572" t="s">
        <v>1440</v>
      </c>
      <c r="L572" t="s">
        <v>1440</v>
      </c>
      <c r="M572" t="s">
        <v>1439</v>
      </c>
      <c r="N572" t="s">
        <v>1440</v>
      </c>
      <c r="O572" t="s">
        <v>34</v>
      </c>
      <c r="Q572">
        <f t="shared" si="32"/>
        <v>1</v>
      </c>
      <c r="R572" t="e">
        <f t="shared" ca="1" si="33"/>
        <v>#NAME?</v>
      </c>
      <c r="S572">
        <f t="shared" si="34"/>
        <v>6</v>
      </c>
      <c r="T572" t="str">
        <f t="shared" si="35"/>
        <v>Ontevreden</v>
      </c>
    </row>
    <row r="573" spans="1:20" x14ac:dyDescent="0.3">
      <c r="A573" t="s">
        <v>3592</v>
      </c>
      <c r="B573" t="s">
        <v>2350</v>
      </c>
      <c r="C573" t="s">
        <v>4328</v>
      </c>
      <c r="D573" t="s">
        <v>4329</v>
      </c>
      <c r="E573" t="s">
        <v>4330</v>
      </c>
      <c r="F573" t="s">
        <v>4331</v>
      </c>
      <c r="G573">
        <v>48.34</v>
      </c>
      <c r="H573">
        <v>1</v>
      </c>
      <c r="I573" t="s">
        <v>22</v>
      </c>
      <c r="J573" t="s">
        <v>1440</v>
      </c>
      <c r="K573" t="s">
        <v>1440</v>
      </c>
      <c r="L573" t="s">
        <v>1440</v>
      </c>
      <c r="M573" t="s">
        <v>1439</v>
      </c>
      <c r="N573" t="s">
        <v>1439</v>
      </c>
      <c r="O573" t="s">
        <v>23</v>
      </c>
      <c r="Q573">
        <f t="shared" si="32"/>
        <v>1</v>
      </c>
      <c r="R573" t="e">
        <f t="shared" ca="1" si="33"/>
        <v>#NAME?</v>
      </c>
      <c r="S573">
        <f t="shared" si="34"/>
        <v>4</v>
      </c>
      <c r="T573" t="str">
        <f t="shared" si="35"/>
        <v>Ontevreden</v>
      </c>
    </row>
    <row r="574" spans="1:20" x14ac:dyDescent="0.3">
      <c r="A574" t="s">
        <v>4332</v>
      </c>
      <c r="B574" t="s">
        <v>4333</v>
      </c>
      <c r="C574" t="s">
        <v>4334</v>
      </c>
      <c r="D574" t="s">
        <v>4335</v>
      </c>
      <c r="E574" t="s">
        <v>4336</v>
      </c>
      <c r="F574" t="s">
        <v>4332</v>
      </c>
      <c r="G574">
        <v>35.75</v>
      </c>
      <c r="H574">
        <v>21</v>
      </c>
      <c r="I574" t="s">
        <v>22</v>
      </c>
      <c r="J574" t="s">
        <v>1440</v>
      </c>
      <c r="K574" t="s">
        <v>1439</v>
      </c>
      <c r="L574" t="s">
        <v>1440</v>
      </c>
      <c r="M574" t="s">
        <v>1440</v>
      </c>
      <c r="N574" t="s">
        <v>1440</v>
      </c>
      <c r="O574" t="s">
        <v>23</v>
      </c>
      <c r="Q574">
        <f t="shared" si="32"/>
        <v>1</v>
      </c>
      <c r="R574" t="e">
        <f t="shared" ca="1" si="33"/>
        <v>#NAME?</v>
      </c>
      <c r="S574">
        <f t="shared" si="34"/>
        <v>6</v>
      </c>
      <c r="T574" t="str">
        <f t="shared" si="35"/>
        <v>Ontevreden</v>
      </c>
    </row>
    <row r="575" spans="1:20" x14ac:dyDescent="0.3">
      <c r="A575" t="s">
        <v>4337</v>
      </c>
      <c r="B575" t="s">
        <v>3007</v>
      </c>
      <c r="C575" t="s">
        <v>4338</v>
      </c>
      <c r="D575" t="s">
        <v>4339</v>
      </c>
      <c r="E575" t="s">
        <v>4340</v>
      </c>
      <c r="F575" t="s">
        <v>4337</v>
      </c>
      <c r="G575">
        <v>58.63</v>
      </c>
      <c r="H575">
        <v>16</v>
      </c>
      <c r="I575" t="s">
        <v>22</v>
      </c>
      <c r="J575" t="s">
        <v>1440</v>
      </c>
      <c r="K575" t="s">
        <v>1440</v>
      </c>
      <c r="L575" t="s">
        <v>1440</v>
      </c>
      <c r="M575" t="s">
        <v>1440</v>
      </c>
      <c r="N575" t="s">
        <v>1439</v>
      </c>
      <c r="O575" t="s">
        <v>23</v>
      </c>
      <c r="Q575">
        <f t="shared" si="32"/>
        <v>1</v>
      </c>
      <c r="R575" t="e">
        <f t="shared" ca="1" si="33"/>
        <v>#NAME?</v>
      </c>
      <c r="S575">
        <f t="shared" si="34"/>
        <v>6</v>
      </c>
      <c r="T575" t="str">
        <f t="shared" si="35"/>
        <v>Ontevreden</v>
      </c>
    </row>
    <row r="576" spans="1:20" x14ac:dyDescent="0.3">
      <c r="A576" t="s">
        <v>4341</v>
      </c>
      <c r="B576" t="s">
        <v>1614</v>
      </c>
      <c r="C576" t="s">
        <v>4342</v>
      </c>
      <c r="D576" t="s">
        <v>4343</v>
      </c>
      <c r="E576" t="s">
        <v>4344</v>
      </c>
      <c r="F576" t="s">
        <v>4345</v>
      </c>
      <c r="G576">
        <v>159.78</v>
      </c>
      <c r="H576">
        <v>16</v>
      </c>
      <c r="I576" t="s">
        <v>57</v>
      </c>
      <c r="J576" t="s">
        <v>1440</v>
      </c>
      <c r="K576" t="s">
        <v>1439</v>
      </c>
      <c r="L576" t="s">
        <v>1440</v>
      </c>
      <c r="M576" t="s">
        <v>1440</v>
      </c>
      <c r="N576" t="s">
        <v>1440</v>
      </c>
      <c r="O576" t="s">
        <v>23</v>
      </c>
      <c r="Q576">
        <f t="shared" si="32"/>
        <v>1</v>
      </c>
      <c r="R576" t="e">
        <f t="shared" ca="1" si="33"/>
        <v>#NAME?</v>
      </c>
      <c r="S576">
        <f t="shared" si="34"/>
        <v>6</v>
      </c>
      <c r="T576" t="str">
        <f t="shared" si="35"/>
        <v>Ontevreden</v>
      </c>
    </row>
    <row r="577" spans="1:20" x14ac:dyDescent="0.3">
      <c r="A577" t="s">
        <v>2464</v>
      </c>
      <c r="B577" t="s">
        <v>1725</v>
      </c>
      <c r="C577" t="s">
        <v>4346</v>
      </c>
      <c r="D577" t="s">
        <v>4347</v>
      </c>
      <c r="E577" t="s">
        <v>4348</v>
      </c>
      <c r="F577" t="s">
        <v>4349</v>
      </c>
      <c r="G577">
        <v>98.34</v>
      </c>
      <c r="H577">
        <v>3</v>
      </c>
      <c r="I577" t="s">
        <v>29</v>
      </c>
      <c r="J577" t="s">
        <v>1439</v>
      </c>
      <c r="K577" t="s">
        <v>1440</v>
      </c>
      <c r="L577" t="s">
        <v>1440</v>
      </c>
      <c r="M577" t="s">
        <v>1440</v>
      </c>
      <c r="N577" t="s">
        <v>1439</v>
      </c>
      <c r="O577" t="s">
        <v>23</v>
      </c>
      <c r="Q577">
        <f t="shared" si="32"/>
        <v>1</v>
      </c>
      <c r="R577" t="e">
        <f t="shared" ca="1" si="33"/>
        <v>#NAME?</v>
      </c>
      <c r="S577">
        <f t="shared" si="34"/>
        <v>6</v>
      </c>
      <c r="T577" t="str">
        <f t="shared" si="35"/>
        <v>Ontevreden</v>
      </c>
    </row>
    <row r="578" spans="1:20" x14ac:dyDescent="0.3">
      <c r="A578" t="s">
        <v>4350</v>
      </c>
      <c r="B578" t="s">
        <v>1951</v>
      </c>
      <c r="C578" t="s">
        <v>4351</v>
      </c>
      <c r="D578" t="s">
        <v>4352</v>
      </c>
      <c r="E578" t="s">
        <v>4353</v>
      </c>
      <c r="F578" t="s">
        <v>4354</v>
      </c>
      <c r="G578">
        <v>95.74</v>
      </c>
      <c r="H578">
        <v>2</v>
      </c>
      <c r="I578" t="s">
        <v>22</v>
      </c>
      <c r="J578" t="s">
        <v>1440</v>
      </c>
      <c r="K578" t="s">
        <v>1440</v>
      </c>
      <c r="L578" t="s">
        <v>1440</v>
      </c>
      <c r="M578" t="s">
        <v>1440</v>
      </c>
      <c r="N578" t="s">
        <v>1440</v>
      </c>
      <c r="O578" t="s">
        <v>23</v>
      </c>
      <c r="Q578">
        <f t="shared" ref="Q578:Q641" si="36">LEN(G578)-LEN(SUBSTITUTE(G578,",",""))+1</f>
        <v>1</v>
      </c>
      <c r="R578" t="e">
        <f t="shared" ref="R578:R641" ca="1" si="37">SWITCH(I578, "Zelden", 1, "Af en toe", 4, "Regelmatig", 8, "Vaak", 12)</f>
        <v>#NAME?</v>
      </c>
      <c r="S578">
        <f t="shared" ref="S578:S641" si="38">AVERAGE(--(K578="ja"), --(L578="ja"), --(M578="ja"), --(N578="ja"), --(O578="ja"))*10</f>
        <v>8</v>
      </c>
      <c r="T578" t="str">
        <f t="shared" ref="T578:T641" si="39">IF(S578&gt;=7, "Tevreden", "Ontevreden")</f>
        <v>Tevreden</v>
      </c>
    </row>
    <row r="579" spans="1:20" x14ac:dyDescent="0.3">
      <c r="A579" t="s">
        <v>3532</v>
      </c>
      <c r="B579" t="s">
        <v>2734</v>
      </c>
      <c r="C579" t="s">
        <v>4355</v>
      </c>
      <c r="D579" t="s">
        <v>4356</v>
      </c>
      <c r="E579" t="s">
        <v>4357</v>
      </c>
      <c r="F579" t="s">
        <v>4358</v>
      </c>
      <c r="G579">
        <v>51.92</v>
      </c>
      <c r="H579">
        <v>1</v>
      </c>
      <c r="I579" t="s">
        <v>29</v>
      </c>
      <c r="J579" t="s">
        <v>1440</v>
      </c>
      <c r="K579" t="s">
        <v>1439</v>
      </c>
      <c r="L579" t="s">
        <v>1440</v>
      </c>
      <c r="M579" t="s">
        <v>1439</v>
      </c>
      <c r="N579" t="s">
        <v>1440</v>
      </c>
      <c r="O579" t="s">
        <v>23</v>
      </c>
      <c r="Q579">
        <f t="shared" si="36"/>
        <v>1</v>
      </c>
      <c r="R579" t="e">
        <f t="shared" ca="1" si="37"/>
        <v>#NAME?</v>
      </c>
      <c r="S579">
        <f t="shared" si="38"/>
        <v>4</v>
      </c>
      <c r="T579" t="str">
        <f t="shared" si="39"/>
        <v>Ontevreden</v>
      </c>
    </row>
    <row r="580" spans="1:20" x14ac:dyDescent="0.3">
      <c r="A580" t="s">
        <v>4359</v>
      </c>
      <c r="B580" t="s">
        <v>2185</v>
      </c>
      <c r="C580" t="s">
        <v>4360</v>
      </c>
      <c r="D580" t="s">
        <v>4361</v>
      </c>
      <c r="E580" t="s">
        <v>4362</v>
      </c>
      <c r="F580" t="s">
        <v>4363</v>
      </c>
      <c r="G580">
        <v>242.61</v>
      </c>
      <c r="H580">
        <v>6</v>
      </c>
      <c r="I580" t="s">
        <v>22</v>
      </c>
      <c r="J580" t="s">
        <v>1439</v>
      </c>
      <c r="K580" t="s">
        <v>1439</v>
      </c>
      <c r="L580" t="s">
        <v>1440</v>
      </c>
      <c r="M580" t="s">
        <v>1439</v>
      </c>
      <c r="N580" t="s">
        <v>1440</v>
      </c>
      <c r="O580" t="s">
        <v>78</v>
      </c>
      <c r="Q580">
        <f t="shared" si="36"/>
        <v>1</v>
      </c>
      <c r="R580" t="e">
        <f t="shared" ca="1" si="37"/>
        <v>#NAME?</v>
      </c>
      <c r="S580">
        <f t="shared" si="38"/>
        <v>4</v>
      </c>
      <c r="T580" t="str">
        <f t="shared" si="39"/>
        <v>Ontevreden</v>
      </c>
    </row>
    <row r="581" spans="1:20" x14ac:dyDescent="0.3">
      <c r="A581" t="s">
        <v>4364</v>
      </c>
      <c r="B581" t="s">
        <v>2200</v>
      </c>
      <c r="C581" t="s">
        <v>4365</v>
      </c>
      <c r="D581" t="s">
        <v>4366</v>
      </c>
      <c r="E581" t="s">
        <v>4367</v>
      </c>
      <c r="F581" t="s">
        <v>4368</v>
      </c>
      <c r="G581">
        <v>117.58</v>
      </c>
      <c r="H581">
        <v>6</v>
      </c>
      <c r="I581" t="s">
        <v>29</v>
      </c>
      <c r="J581" t="s">
        <v>1440</v>
      </c>
      <c r="K581" t="s">
        <v>1440</v>
      </c>
      <c r="L581" t="s">
        <v>1440</v>
      </c>
      <c r="M581" t="s">
        <v>1440</v>
      </c>
      <c r="N581" t="s">
        <v>1440</v>
      </c>
      <c r="O581" t="s">
        <v>23</v>
      </c>
      <c r="Q581">
        <f t="shared" si="36"/>
        <v>1</v>
      </c>
      <c r="R581" t="e">
        <f t="shared" ca="1" si="37"/>
        <v>#NAME?</v>
      </c>
      <c r="S581">
        <f t="shared" si="38"/>
        <v>8</v>
      </c>
      <c r="T581" t="str">
        <f t="shared" si="39"/>
        <v>Tevreden</v>
      </c>
    </row>
    <row r="582" spans="1:20" x14ac:dyDescent="0.3">
      <c r="A582" t="s">
        <v>1595</v>
      </c>
      <c r="B582" t="s">
        <v>3057</v>
      </c>
      <c r="C582" t="s">
        <v>4369</v>
      </c>
      <c r="D582" t="s">
        <v>4370</v>
      </c>
      <c r="E582" t="s">
        <v>4371</v>
      </c>
      <c r="F582" t="s">
        <v>4372</v>
      </c>
      <c r="G582">
        <v>94.64</v>
      </c>
      <c r="H582">
        <v>1</v>
      </c>
      <c r="I582" t="s">
        <v>29</v>
      </c>
      <c r="J582" t="s">
        <v>1440</v>
      </c>
      <c r="K582" t="s">
        <v>1439</v>
      </c>
      <c r="L582" t="s">
        <v>1440</v>
      </c>
      <c r="M582" t="s">
        <v>1440</v>
      </c>
      <c r="N582" t="s">
        <v>1440</v>
      </c>
      <c r="O582" t="s">
        <v>23</v>
      </c>
      <c r="Q582">
        <f t="shared" si="36"/>
        <v>1</v>
      </c>
      <c r="R582" t="e">
        <f t="shared" ca="1" si="37"/>
        <v>#NAME?</v>
      </c>
      <c r="S582">
        <f t="shared" si="38"/>
        <v>6</v>
      </c>
      <c r="T582" t="str">
        <f t="shared" si="39"/>
        <v>Ontevreden</v>
      </c>
    </row>
    <row r="583" spans="1:20" x14ac:dyDescent="0.3">
      <c r="A583" t="s">
        <v>1876</v>
      </c>
      <c r="B583" t="s">
        <v>4373</v>
      </c>
      <c r="C583" t="s">
        <v>4374</v>
      </c>
      <c r="D583" t="s">
        <v>4375</v>
      </c>
      <c r="E583" t="s">
        <v>4376</v>
      </c>
      <c r="F583" t="s">
        <v>4377</v>
      </c>
      <c r="G583">
        <v>168.26</v>
      </c>
      <c r="H583">
        <v>9</v>
      </c>
      <c r="I583" t="s">
        <v>22</v>
      </c>
      <c r="J583" t="s">
        <v>1440</v>
      </c>
      <c r="K583" t="s">
        <v>1440</v>
      </c>
      <c r="L583" t="s">
        <v>1439</v>
      </c>
      <c r="M583" t="s">
        <v>1440</v>
      </c>
      <c r="N583" t="s">
        <v>1440</v>
      </c>
      <c r="O583" t="s">
        <v>34</v>
      </c>
      <c r="Q583">
        <f t="shared" si="36"/>
        <v>1</v>
      </c>
      <c r="R583" t="e">
        <f t="shared" ca="1" si="37"/>
        <v>#NAME?</v>
      </c>
      <c r="S583">
        <f t="shared" si="38"/>
        <v>6</v>
      </c>
      <c r="T583" t="str">
        <f t="shared" si="39"/>
        <v>Ontevreden</v>
      </c>
    </row>
    <row r="584" spans="1:20" x14ac:dyDescent="0.3">
      <c r="A584" t="s">
        <v>4378</v>
      </c>
      <c r="B584" t="s">
        <v>1930</v>
      </c>
      <c r="C584" t="s">
        <v>4379</v>
      </c>
      <c r="D584" t="s">
        <v>4380</v>
      </c>
      <c r="E584" t="s">
        <v>4381</v>
      </c>
      <c r="F584" t="s">
        <v>4382</v>
      </c>
      <c r="G584">
        <v>58.9</v>
      </c>
      <c r="H584">
        <v>15</v>
      </c>
      <c r="I584" t="s">
        <v>22</v>
      </c>
      <c r="J584" t="s">
        <v>1440</v>
      </c>
      <c r="K584" t="s">
        <v>1440</v>
      </c>
      <c r="L584" t="s">
        <v>1439</v>
      </c>
      <c r="M584" t="s">
        <v>1440</v>
      </c>
      <c r="N584" t="s">
        <v>1440</v>
      </c>
      <c r="O584" t="s">
        <v>23</v>
      </c>
      <c r="Q584">
        <f t="shared" si="36"/>
        <v>1</v>
      </c>
      <c r="R584" t="e">
        <f t="shared" ca="1" si="37"/>
        <v>#NAME?</v>
      </c>
      <c r="S584">
        <f t="shared" si="38"/>
        <v>6</v>
      </c>
      <c r="T584" t="str">
        <f t="shared" si="39"/>
        <v>Ontevreden</v>
      </c>
    </row>
    <row r="585" spans="1:20" x14ac:dyDescent="0.3">
      <c r="A585" t="s">
        <v>4383</v>
      </c>
      <c r="B585" t="s">
        <v>2185</v>
      </c>
      <c r="C585" t="s">
        <v>4384</v>
      </c>
      <c r="D585" t="s">
        <v>4385</v>
      </c>
      <c r="E585" t="s">
        <v>4386</v>
      </c>
      <c r="F585" t="s">
        <v>4387</v>
      </c>
      <c r="G585">
        <v>203.2</v>
      </c>
      <c r="H585">
        <v>14</v>
      </c>
      <c r="I585" t="s">
        <v>22</v>
      </c>
      <c r="J585" t="s">
        <v>1440</v>
      </c>
      <c r="K585" t="s">
        <v>1439</v>
      </c>
      <c r="L585" t="s">
        <v>1440</v>
      </c>
      <c r="M585" t="s">
        <v>1440</v>
      </c>
      <c r="N585" t="s">
        <v>1440</v>
      </c>
      <c r="O585" t="s">
        <v>23</v>
      </c>
      <c r="Q585">
        <f t="shared" si="36"/>
        <v>1</v>
      </c>
      <c r="R585" t="e">
        <f t="shared" ca="1" si="37"/>
        <v>#NAME?</v>
      </c>
      <c r="S585">
        <f t="shared" si="38"/>
        <v>6</v>
      </c>
      <c r="T585" t="str">
        <f t="shared" si="39"/>
        <v>Ontevreden</v>
      </c>
    </row>
    <row r="586" spans="1:20" x14ac:dyDescent="0.3">
      <c r="A586" t="s">
        <v>4388</v>
      </c>
      <c r="B586" t="s">
        <v>1655</v>
      </c>
      <c r="C586" t="s">
        <v>4389</v>
      </c>
      <c r="D586" t="s">
        <v>4390</v>
      </c>
      <c r="E586" t="s">
        <v>3616</v>
      </c>
      <c r="F586" t="s">
        <v>4391</v>
      </c>
      <c r="G586">
        <v>120.46</v>
      </c>
      <c r="H586">
        <v>17</v>
      </c>
      <c r="I586" t="s">
        <v>29</v>
      </c>
      <c r="J586" t="s">
        <v>1440</v>
      </c>
      <c r="K586" t="s">
        <v>1440</v>
      </c>
      <c r="L586" t="s">
        <v>1439</v>
      </c>
      <c r="M586" t="s">
        <v>1440</v>
      </c>
      <c r="N586" t="s">
        <v>1440</v>
      </c>
      <c r="O586" t="s">
        <v>23</v>
      </c>
      <c r="Q586">
        <f t="shared" si="36"/>
        <v>1</v>
      </c>
      <c r="R586" t="e">
        <f t="shared" ca="1" si="37"/>
        <v>#NAME?</v>
      </c>
      <c r="S586">
        <f t="shared" si="38"/>
        <v>6</v>
      </c>
      <c r="T586" t="str">
        <f t="shared" si="39"/>
        <v>Ontevreden</v>
      </c>
    </row>
    <row r="587" spans="1:20" x14ac:dyDescent="0.3">
      <c r="A587" t="s">
        <v>4392</v>
      </c>
      <c r="B587" t="s">
        <v>2018</v>
      </c>
      <c r="C587" t="s">
        <v>4393</v>
      </c>
      <c r="D587" t="s">
        <v>4394</v>
      </c>
      <c r="E587" t="s">
        <v>4395</v>
      </c>
      <c r="F587" t="s">
        <v>4396</v>
      </c>
      <c r="G587">
        <v>58.83</v>
      </c>
      <c r="H587">
        <v>1</v>
      </c>
      <c r="I587" t="s">
        <v>29</v>
      </c>
      <c r="J587" t="s">
        <v>1439</v>
      </c>
      <c r="K587" t="s">
        <v>1440</v>
      </c>
      <c r="L587" t="s">
        <v>1440</v>
      </c>
      <c r="M587" t="s">
        <v>1439</v>
      </c>
      <c r="N587" t="s">
        <v>1440</v>
      </c>
      <c r="O587" t="s">
        <v>23</v>
      </c>
      <c r="Q587">
        <f t="shared" si="36"/>
        <v>1</v>
      </c>
      <c r="R587" t="e">
        <f t="shared" ca="1" si="37"/>
        <v>#NAME?</v>
      </c>
      <c r="S587">
        <f t="shared" si="38"/>
        <v>6</v>
      </c>
      <c r="T587" t="str">
        <f t="shared" si="39"/>
        <v>Ontevreden</v>
      </c>
    </row>
    <row r="588" spans="1:20" x14ac:dyDescent="0.3">
      <c r="A588" t="s">
        <v>4397</v>
      </c>
      <c r="B588" t="s">
        <v>4398</v>
      </c>
      <c r="C588" t="s">
        <v>4399</v>
      </c>
      <c r="D588" t="s">
        <v>4400</v>
      </c>
      <c r="E588" t="s">
        <v>4401</v>
      </c>
      <c r="F588" t="s">
        <v>4397</v>
      </c>
      <c r="G588">
        <v>74.430000000000007</v>
      </c>
      <c r="H588">
        <v>6</v>
      </c>
      <c r="I588" t="s">
        <v>22</v>
      </c>
      <c r="J588" t="s">
        <v>1440</v>
      </c>
      <c r="K588" t="s">
        <v>1440</v>
      </c>
      <c r="L588" t="s">
        <v>1440</v>
      </c>
      <c r="M588" t="s">
        <v>1440</v>
      </c>
      <c r="N588" t="s">
        <v>1439</v>
      </c>
      <c r="O588" t="s">
        <v>34</v>
      </c>
      <c r="Q588">
        <f t="shared" si="36"/>
        <v>1</v>
      </c>
      <c r="R588" t="e">
        <f t="shared" ca="1" si="37"/>
        <v>#NAME?</v>
      </c>
      <c r="S588">
        <f t="shared" si="38"/>
        <v>6</v>
      </c>
      <c r="T588" t="str">
        <f t="shared" si="39"/>
        <v>Ontevreden</v>
      </c>
    </row>
    <row r="589" spans="1:20" x14ac:dyDescent="0.3">
      <c r="A589" t="s">
        <v>4402</v>
      </c>
      <c r="B589" t="s">
        <v>1919</v>
      </c>
      <c r="C589" t="s">
        <v>4403</v>
      </c>
      <c r="D589" t="s">
        <v>4404</v>
      </c>
      <c r="E589" t="s">
        <v>4405</v>
      </c>
      <c r="F589" t="s">
        <v>4406</v>
      </c>
      <c r="G589">
        <v>153.11000000000001</v>
      </c>
      <c r="H589">
        <v>13</v>
      </c>
      <c r="I589" t="s">
        <v>22</v>
      </c>
      <c r="J589" t="s">
        <v>1439</v>
      </c>
      <c r="K589" t="s">
        <v>1439</v>
      </c>
      <c r="L589" t="s">
        <v>1439</v>
      </c>
      <c r="M589" t="s">
        <v>1439</v>
      </c>
      <c r="N589" t="s">
        <v>1440</v>
      </c>
      <c r="O589" t="s">
        <v>23</v>
      </c>
      <c r="Q589">
        <f t="shared" si="36"/>
        <v>1</v>
      </c>
      <c r="R589" t="e">
        <f t="shared" ca="1" si="37"/>
        <v>#NAME?</v>
      </c>
      <c r="S589">
        <f t="shared" si="38"/>
        <v>2</v>
      </c>
      <c r="T589" t="str">
        <f t="shared" si="39"/>
        <v>Ontevreden</v>
      </c>
    </row>
    <row r="590" spans="1:20" x14ac:dyDescent="0.3">
      <c r="A590" t="s">
        <v>4407</v>
      </c>
      <c r="B590" t="s">
        <v>4408</v>
      </c>
      <c r="C590" t="s">
        <v>4409</v>
      </c>
      <c r="D590" t="s">
        <v>4410</v>
      </c>
      <c r="E590" t="s">
        <v>4411</v>
      </c>
      <c r="F590" t="s">
        <v>4407</v>
      </c>
      <c r="G590">
        <v>80.81</v>
      </c>
      <c r="H590">
        <v>3</v>
      </c>
      <c r="I590" t="s">
        <v>29</v>
      </c>
      <c r="J590" t="s">
        <v>1439</v>
      </c>
      <c r="K590" t="s">
        <v>1439</v>
      </c>
      <c r="L590" t="s">
        <v>1440</v>
      </c>
      <c r="M590" t="s">
        <v>1440</v>
      </c>
      <c r="N590" t="s">
        <v>1440</v>
      </c>
      <c r="O590" t="s">
        <v>23</v>
      </c>
      <c r="Q590">
        <f t="shared" si="36"/>
        <v>1</v>
      </c>
      <c r="R590" t="e">
        <f t="shared" ca="1" si="37"/>
        <v>#NAME?</v>
      </c>
      <c r="S590">
        <f t="shared" si="38"/>
        <v>6</v>
      </c>
      <c r="T590" t="str">
        <f t="shared" si="39"/>
        <v>Ontevreden</v>
      </c>
    </row>
    <row r="591" spans="1:20" x14ac:dyDescent="0.3">
      <c r="A591" t="s">
        <v>4412</v>
      </c>
      <c r="B591" t="s">
        <v>3047</v>
      </c>
      <c r="C591" t="s">
        <v>4413</v>
      </c>
      <c r="D591" t="s">
        <v>4414</v>
      </c>
      <c r="E591" t="s">
        <v>4415</v>
      </c>
      <c r="F591" t="s">
        <v>4416</v>
      </c>
      <c r="G591">
        <v>26.55</v>
      </c>
      <c r="H591">
        <v>19</v>
      </c>
      <c r="I591" t="s">
        <v>102</v>
      </c>
      <c r="J591" t="s">
        <v>1440</v>
      </c>
      <c r="K591" t="s">
        <v>1440</v>
      </c>
      <c r="L591" t="s">
        <v>1440</v>
      </c>
      <c r="M591" t="s">
        <v>1440</v>
      </c>
      <c r="N591" t="s">
        <v>1440</v>
      </c>
      <c r="O591" t="s">
        <v>34</v>
      </c>
      <c r="Q591">
        <f t="shared" si="36"/>
        <v>1</v>
      </c>
      <c r="R591" t="e">
        <f t="shared" ca="1" si="37"/>
        <v>#NAME?</v>
      </c>
      <c r="S591">
        <f t="shared" si="38"/>
        <v>8</v>
      </c>
      <c r="T591" t="str">
        <f t="shared" si="39"/>
        <v>Tevreden</v>
      </c>
    </row>
    <row r="592" spans="1:20" x14ac:dyDescent="0.3">
      <c r="A592" t="s">
        <v>4417</v>
      </c>
      <c r="B592" t="s">
        <v>1614</v>
      </c>
      <c r="C592" t="s">
        <v>4418</v>
      </c>
      <c r="D592" t="s">
        <v>4419</v>
      </c>
      <c r="E592" t="s">
        <v>4420</v>
      </c>
      <c r="F592" t="s">
        <v>4421</v>
      </c>
      <c r="G592">
        <v>174.21</v>
      </c>
      <c r="H592">
        <v>6</v>
      </c>
      <c r="I592" t="s">
        <v>29</v>
      </c>
      <c r="J592" t="s">
        <v>1440</v>
      </c>
      <c r="K592" t="s">
        <v>1440</v>
      </c>
      <c r="L592" t="s">
        <v>1440</v>
      </c>
      <c r="M592" t="s">
        <v>1440</v>
      </c>
      <c r="N592" t="s">
        <v>1439</v>
      </c>
      <c r="O592" t="s">
        <v>23</v>
      </c>
      <c r="Q592">
        <f t="shared" si="36"/>
        <v>1</v>
      </c>
      <c r="R592" t="e">
        <f t="shared" ca="1" si="37"/>
        <v>#NAME?</v>
      </c>
      <c r="S592">
        <f t="shared" si="38"/>
        <v>6</v>
      </c>
      <c r="T592" t="str">
        <f t="shared" si="39"/>
        <v>Ontevreden</v>
      </c>
    </row>
    <row r="593" spans="1:20" x14ac:dyDescent="0.3">
      <c r="A593" t="s">
        <v>4422</v>
      </c>
      <c r="B593" t="s">
        <v>2435</v>
      </c>
      <c r="C593" t="s">
        <v>4423</v>
      </c>
      <c r="D593" t="s">
        <v>4424</v>
      </c>
      <c r="E593" t="s">
        <v>4425</v>
      </c>
      <c r="F593" t="s">
        <v>4426</v>
      </c>
      <c r="G593">
        <v>84.49</v>
      </c>
      <c r="H593">
        <v>19</v>
      </c>
      <c r="I593" t="s">
        <v>29</v>
      </c>
      <c r="J593" t="s">
        <v>1439</v>
      </c>
      <c r="K593" t="s">
        <v>1439</v>
      </c>
      <c r="L593" t="s">
        <v>1440</v>
      </c>
      <c r="M593" t="s">
        <v>1440</v>
      </c>
      <c r="N593" t="s">
        <v>1439</v>
      </c>
      <c r="O593" t="s">
        <v>23</v>
      </c>
      <c r="Q593">
        <f t="shared" si="36"/>
        <v>1</v>
      </c>
      <c r="R593" t="e">
        <f t="shared" ca="1" si="37"/>
        <v>#NAME?</v>
      </c>
      <c r="S593">
        <f t="shared" si="38"/>
        <v>4</v>
      </c>
      <c r="T593" t="str">
        <f t="shared" si="39"/>
        <v>Ontevreden</v>
      </c>
    </row>
    <row r="594" spans="1:20" x14ac:dyDescent="0.3">
      <c r="A594" t="s">
        <v>4427</v>
      </c>
      <c r="B594" t="s">
        <v>4428</v>
      </c>
      <c r="C594" t="s">
        <v>4429</v>
      </c>
      <c r="D594" t="s">
        <v>4430</v>
      </c>
      <c r="E594" t="s">
        <v>4431</v>
      </c>
      <c r="F594" t="s">
        <v>4432</v>
      </c>
      <c r="G594">
        <v>72.19</v>
      </c>
      <c r="H594">
        <v>3</v>
      </c>
      <c r="I594" t="s">
        <v>22</v>
      </c>
      <c r="J594" t="s">
        <v>1440</v>
      </c>
      <c r="K594" t="s">
        <v>1440</v>
      </c>
      <c r="L594" t="s">
        <v>1440</v>
      </c>
      <c r="M594" t="s">
        <v>1440</v>
      </c>
      <c r="N594" t="s">
        <v>1440</v>
      </c>
      <c r="O594" t="s">
        <v>34</v>
      </c>
      <c r="Q594">
        <f t="shared" si="36"/>
        <v>1</v>
      </c>
      <c r="R594" t="e">
        <f t="shared" ca="1" si="37"/>
        <v>#NAME?</v>
      </c>
      <c r="S594">
        <f t="shared" si="38"/>
        <v>8</v>
      </c>
      <c r="T594" t="str">
        <f t="shared" si="39"/>
        <v>Tevreden</v>
      </c>
    </row>
    <row r="595" spans="1:20" x14ac:dyDescent="0.3">
      <c r="A595" t="s">
        <v>4433</v>
      </c>
      <c r="B595" t="s">
        <v>2040</v>
      </c>
      <c r="C595" t="s">
        <v>4434</v>
      </c>
      <c r="D595" t="s">
        <v>4435</v>
      </c>
      <c r="E595" t="s">
        <v>4436</v>
      </c>
      <c r="F595" t="s">
        <v>4437</v>
      </c>
      <c r="G595">
        <v>208.4</v>
      </c>
      <c r="H595">
        <v>6</v>
      </c>
      <c r="I595" t="s">
        <v>22</v>
      </c>
      <c r="J595" t="s">
        <v>1440</v>
      </c>
      <c r="K595" t="s">
        <v>1439</v>
      </c>
      <c r="L595" t="s">
        <v>1440</v>
      </c>
      <c r="M595" t="s">
        <v>1439</v>
      </c>
      <c r="N595" t="s">
        <v>1440</v>
      </c>
      <c r="O595" t="s">
        <v>23</v>
      </c>
      <c r="Q595">
        <f t="shared" si="36"/>
        <v>1</v>
      </c>
      <c r="R595" t="e">
        <f t="shared" ca="1" si="37"/>
        <v>#NAME?</v>
      </c>
      <c r="S595">
        <f t="shared" si="38"/>
        <v>4</v>
      </c>
      <c r="T595" t="str">
        <f t="shared" si="39"/>
        <v>Ontevreden</v>
      </c>
    </row>
    <row r="596" spans="1:20" x14ac:dyDescent="0.3">
      <c r="A596" t="s">
        <v>2811</v>
      </c>
      <c r="B596" t="s">
        <v>4438</v>
      </c>
      <c r="C596" t="s">
        <v>4439</v>
      </c>
      <c r="D596" t="s">
        <v>4440</v>
      </c>
      <c r="E596" t="s">
        <v>4441</v>
      </c>
      <c r="F596" t="s">
        <v>4442</v>
      </c>
      <c r="G596">
        <v>142.59</v>
      </c>
      <c r="H596">
        <v>9</v>
      </c>
      <c r="I596" t="s">
        <v>29</v>
      </c>
      <c r="J596" t="s">
        <v>1440</v>
      </c>
      <c r="K596" t="s">
        <v>1440</v>
      </c>
      <c r="L596" t="s">
        <v>1440</v>
      </c>
      <c r="M596" t="s">
        <v>1440</v>
      </c>
      <c r="N596" t="s">
        <v>1440</v>
      </c>
      <c r="O596" t="s">
        <v>23</v>
      </c>
      <c r="Q596">
        <f t="shared" si="36"/>
        <v>1</v>
      </c>
      <c r="R596" t="e">
        <f t="shared" ca="1" si="37"/>
        <v>#NAME?</v>
      </c>
      <c r="S596">
        <f t="shared" si="38"/>
        <v>8</v>
      </c>
      <c r="T596" t="str">
        <f t="shared" si="39"/>
        <v>Tevreden</v>
      </c>
    </row>
    <row r="597" spans="1:20" x14ac:dyDescent="0.3">
      <c r="A597" t="s">
        <v>4443</v>
      </c>
      <c r="B597" t="s">
        <v>4444</v>
      </c>
      <c r="C597" t="s">
        <v>4445</v>
      </c>
      <c r="D597" t="s">
        <v>4446</v>
      </c>
      <c r="E597" t="s">
        <v>4447</v>
      </c>
      <c r="F597" t="s">
        <v>4448</v>
      </c>
      <c r="G597">
        <v>130.59</v>
      </c>
      <c r="H597">
        <v>10</v>
      </c>
      <c r="I597" t="s">
        <v>29</v>
      </c>
      <c r="J597" t="s">
        <v>1440</v>
      </c>
      <c r="K597" t="s">
        <v>1440</v>
      </c>
      <c r="L597" t="s">
        <v>1440</v>
      </c>
      <c r="M597" t="s">
        <v>1440</v>
      </c>
      <c r="N597" t="s">
        <v>1440</v>
      </c>
      <c r="O597" t="s">
        <v>23</v>
      </c>
      <c r="Q597">
        <f t="shared" si="36"/>
        <v>1</v>
      </c>
      <c r="R597" t="e">
        <f t="shared" ca="1" si="37"/>
        <v>#NAME?</v>
      </c>
      <c r="S597">
        <f t="shared" si="38"/>
        <v>8</v>
      </c>
      <c r="T597" t="str">
        <f t="shared" si="39"/>
        <v>Tevreden</v>
      </c>
    </row>
    <row r="598" spans="1:20" x14ac:dyDescent="0.3">
      <c r="A598" t="s">
        <v>2884</v>
      </c>
      <c r="B598" t="s">
        <v>3116</v>
      </c>
      <c r="C598" t="s">
        <v>4449</v>
      </c>
      <c r="D598" t="s">
        <v>309</v>
      </c>
      <c r="E598" t="s">
        <v>4450</v>
      </c>
      <c r="F598" t="s">
        <v>2884</v>
      </c>
      <c r="G598">
        <v>112.76</v>
      </c>
      <c r="H598">
        <v>22</v>
      </c>
      <c r="I598" t="s">
        <v>29</v>
      </c>
      <c r="J598" t="s">
        <v>1439</v>
      </c>
      <c r="K598" t="s">
        <v>1440</v>
      </c>
      <c r="L598" t="s">
        <v>1440</v>
      </c>
      <c r="M598" t="s">
        <v>1439</v>
      </c>
      <c r="N598" t="s">
        <v>1440</v>
      </c>
      <c r="O598" t="s">
        <v>23</v>
      </c>
      <c r="Q598">
        <f t="shared" si="36"/>
        <v>1</v>
      </c>
      <c r="R598" t="e">
        <f t="shared" ca="1" si="37"/>
        <v>#NAME?</v>
      </c>
      <c r="S598">
        <f t="shared" si="38"/>
        <v>6</v>
      </c>
      <c r="T598" t="str">
        <f t="shared" si="39"/>
        <v>Ontevreden</v>
      </c>
    </row>
    <row r="599" spans="1:20" x14ac:dyDescent="0.3">
      <c r="A599" t="s">
        <v>4451</v>
      </c>
      <c r="B599" t="s">
        <v>3095</v>
      </c>
      <c r="C599" t="s">
        <v>4452</v>
      </c>
      <c r="D599" t="s">
        <v>4453</v>
      </c>
      <c r="E599" t="s">
        <v>4454</v>
      </c>
      <c r="F599" t="s">
        <v>4455</v>
      </c>
      <c r="G599">
        <v>101.76</v>
      </c>
      <c r="H599">
        <v>16</v>
      </c>
      <c r="I599" t="s">
        <v>29</v>
      </c>
      <c r="J599" t="s">
        <v>1440</v>
      </c>
      <c r="K599" t="s">
        <v>1439</v>
      </c>
      <c r="L599" t="s">
        <v>1440</v>
      </c>
      <c r="M599" t="s">
        <v>1439</v>
      </c>
      <c r="N599" t="s">
        <v>1440</v>
      </c>
      <c r="O599" t="s">
        <v>34</v>
      </c>
      <c r="Q599">
        <f t="shared" si="36"/>
        <v>1</v>
      </c>
      <c r="R599" t="e">
        <f t="shared" ca="1" si="37"/>
        <v>#NAME?</v>
      </c>
      <c r="S599">
        <f t="shared" si="38"/>
        <v>4</v>
      </c>
      <c r="T599" t="str">
        <f t="shared" si="39"/>
        <v>Ontevreden</v>
      </c>
    </row>
    <row r="600" spans="1:20" x14ac:dyDescent="0.3">
      <c r="A600" t="s">
        <v>4456</v>
      </c>
      <c r="B600" t="s">
        <v>2768</v>
      </c>
      <c r="C600" t="s">
        <v>4457</v>
      </c>
      <c r="D600" t="s">
        <v>4458</v>
      </c>
      <c r="E600" t="s">
        <v>4459</v>
      </c>
      <c r="F600" t="s">
        <v>4460</v>
      </c>
      <c r="G600">
        <v>65.81</v>
      </c>
      <c r="H600">
        <v>15</v>
      </c>
      <c r="I600" t="s">
        <v>29</v>
      </c>
      <c r="J600" t="s">
        <v>1440</v>
      </c>
      <c r="K600" t="s">
        <v>1440</v>
      </c>
      <c r="L600" t="s">
        <v>1440</v>
      </c>
      <c r="M600" t="s">
        <v>1439</v>
      </c>
      <c r="N600" t="s">
        <v>1440</v>
      </c>
      <c r="O600" t="s">
        <v>34</v>
      </c>
      <c r="Q600">
        <f t="shared" si="36"/>
        <v>1</v>
      </c>
      <c r="R600" t="e">
        <f t="shared" ca="1" si="37"/>
        <v>#NAME?</v>
      </c>
      <c r="S600">
        <f t="shared" si="38"/>
        <v>6</v>
      </c>
      <c r="T600" t="str">
        <f t="shared" si="39"/>
        <v>Ontevreden</v>
      </c>
    </row>
    <row r="601" spans="1:20" x14ac:dyDescent="0.3">
      <c r="A601" t="s">
        <v>4461</v>
      </c>
      <c r="B601" t="s">
        <v>2185</v>
      </c>
      <c r="C601" t="s">
        <v>4462</v>
      </c>
      <c r="D601" t="s">
        <v>4463</v>
      </c>
      <c r="E601" t="s">
        <v>4464</v>
      </c>
      <c r="F601" t="s">
        <v>4465</v>
      </c>
      <c r="G601">
        <v>44.42</v>
      </c>
      <c r="H601">
        <v>11</v>
      </c>
      <c r="I601" t="s">
        <v>22</v>
      </c>
      <c r="J601" t="s">
        <v>1440</v>
      </c>
      <c r="K601" t="s">
        <v>1439</v>
      </c>
      <c r="L601" t="s">
        <v>1440</v>
      </c>
      <c r="M601" t="s">
        <v>1440</v>
      </c>
      <c r="N601" t="s">
        <v>1440</v>
      </c>
      <c r="O601" t="s">
        <v>23</v>
      </c>
      <c r="Q601">
        <f t="shared" si="36"/>
        <v>1</v>
      </c>
      <c r="R601" t="e">
        <f t="shared" ca="1" si="37"/>
        <v>#NAME?</v>
      </c>
      <c r="S601">
        <f t="shared" si="38"/>
        <v>6</v>
      </c>
      <c r="T601" t="str">
        <f t="shared" si="39"/>
        <v>Ontevreden</v>
      </c>
    </row>
    <row r="602" spans="1:20" x14ac:dyDescent="0.3">
      <c r="A602" t="s">
        <v>4466</v>
      </c>
      <c r="B602" t="s">
        <v>4467</v>
      </c>
      <c r="C602" t="s">
        <v>4468</v>
      </c>
      <c r="D602" t="s">
        <v>4469</v>
      </c>
      <c r="E602" t="s">
        <v>4470</v>
      </c>
      <c r="F602" t="s">
        <v>4471</v>
      </c>
      <c r="G602">
        <v>92.5</v>
      </c>
      <c r="H602">
        <v>11</v>
      </c>
      <c r="I602" t="s">
        <v>29</v>
      </c>
      <c r="J602" t="s">
        <v>1440</v>
      </c>
      <c r="K602" t="s">
        <v>1440</v>
      </c>
      <c r="L602" t="s">
        <v>1440</v>
      </c>
      <c r="M602" t="s">
        <v>1440</v>
      </c>
      <c r="N602" t="s">
        <v>1440</v>
      </c>
      <c r="O602" t="s">
        <v>34</v>
      </c>
      <c r="Q602">
        <f t="shared" si="36"/>
        <v>1</v>
      </c>
      <c r="R602" t="e">
        <f t="shared" ca="1" si="37"/>
        <v>#NAME?</v>
      </c>
      <c r="S602">
        <f t="shared" si="38"/>
        <v>8</v>
      </c>
      <c r="T602" t="str">
        <f t="shared" si="39"/>
        <v>Tevreden</v>
      </c>
    </row>
    <row r="603" spans="1:20" x14ac:dyDescent="0.3">
      <c r="A603" t="s">
        <v>4472</v>
      </c>
      <c r="B603" t="s">
        <v>3001</v>
      </c>
      <c r="C603" t="s">
        <v>4473</v>
      </c>
      <c r="D603" t="s">
        <v>4474</v>
      </c>
      <c r="E603" t="s">
        <v>4475</v>
      </c>
      <c r="F603" t="s">
        <v>4476</v>
      </c>
      <c r="G603">
        <v>98.62</v>
      </c>
      <c r="H603">
        <v>11</v>
      </c>
      <c r="I603" t="s">
        <v>57</v>
      </c>
      <c r="J603" t="s">
        <v>1440</v>
      </c>
      <c r="K603" t="s">
        <v>1440</v>
      </c>
      <c r="L603" t="s">
        <v>1440</v>
      </c>
      <c r="M603" t="s">
        <v>1439</v>
      </c>
      <c r="N603" t="s">
        <v>1440</v>
      </c>
      <c r="O603" t="s">
        <v>23</v>
      </c>
      <c r="Q603">
        <f t="shared" si="36"/>
        <v>1</v>
      </c>
      <c r="R603" t="e">
        <f t="shared" ca="1" si="37"/>
        <v>#NAME?</v>
      </c>
      <c r="S603">
        <f t="shared" si="38"/>
        <v>6</v>
      </c>
      <c r="T603" t="str">
        <f t="shared" si="39"/>
        <v>Ontevreden</v>
      </c>
    </row>
    <row r="604" spans="1:20" x14ac:dyDescent="0.3">
      <c r="A604" t="s">
        <v>4477</v>
      </c>
      <c r="B604" t="s">
        <v>1661</v>
      </c>
      <c r="C604" t="s">
        <v>4478</v>
      </c>
      <c r="D604" t="s">
        <v>4479</v>
      </c>
      <c r="E604" t="s">
        <v>4480</v>
      </c>
      <c r="F604" t="s">
        <v>4481</v>
      </c>
      <c r="G604">
        <v>101.21</v>
      </c>
      <c r="H604">
        <v>11</v>
      </c>
      <c r="I604" t="s">
        <v>57</v>
      </c>
      <c r="J604" t="s">
        <v>1440</v>
      </c>
      <c r="K604" t="s">
        <v>1440</v>
      </c>
      <c r="L604" t="s">
        <v>1440</v>
      </c>
      <c r="M604" t="s">
        <v>1440</v>
      </c>
      <c r="N604" t="s">
        <v>1439</v>
      </c>
      <c r="O604" t="s">
        <v>23</v>
      </c>
      <c r="Q604">
        <f t="shared" si="36"/>
        <v>1</v>
      </c>
      <c r="R604" t="e">
        <f t="shared" ca="1" si="37"/>
        <v>#NAME?</v>
      </c>
      <c r="S604">
        <f t="shared" si="38"/>
        <v>6</v>
      </c>
      <c r="T604" t="str">
        <f t="shared" si="39"/>
        <v>Ontevreden</v>
      </c>
    </row>
    <row r="605" spans="1:20" x14ac:dyDescent="0.3">
      <c r="A605" t="s">
        <v>4482</v>
      </c>
      <c r="B605" t="s">
        <v>2085</v>
      </c>
      <c r="C605" t="s">
        <v>4483</v>
      </c>
      <c r="D605" t="s">
        <v>4484</v>
      </c>
      <c r="E605" t="s">
        <v>4485</v>
      </c>
      <c r="F605" t="s">
        <v>4486</v>
      </c>
      <c r="G605">
        <v>114.77</v>
      </c>
      <c r="H605">
        <v>8</v>
      </c>
      <c r="I605" t="s">
        <v>22</v>
      </c>
      <c r="J605" t="s">
        <v>1440</v>
      </c>
      <c r="K605" t="s">
        <v>1439</v>
      </c>
      <c r="L605" t="s">
        <v>1439</v>
      </c>
      <c r="M605" t="s">
        <v>1440</v>
      </c>
      <c r="N605" t="s">
        <v>1439</v>
      </c>
      <c r="O605" t="s">
        <v>23</v>
      </c>
      <c r="Q605">
        <f t="shared" si="36"/>
        <v>1</v>
      </c>
      <c r="R605" t="e">
        <f t="shared" ca="1" si="37"/>
        <v>#NAME?</v>
      </c>
      <c r="S605">
        <f t="shared" si="38"/>
        <v>2</v>
      </c>
      <c r="T605" t="str">
        <f t="shared" si="39"/>
        <v>Ontevreden</v>
      </c>
    </row>
    <row r="606" spans="1:20" x14ac:dyDescent="0.3">
      <c r="A606" t="s">
        <v>2045</v>
      </c>
      <c r="B606" t="s">
        <v>4210</v>
      </c>
      <c r="C606" t="s">
        <v>4487</v>
      </c>
      <c r="D606" t="s">
        <v>4488</v>
      </c>
      <c r="E606" t="s">
        <v>4489</v>
      </c>
      <c r="F606" t="s">
        <v>4490</v>
      </c>
      <c r="G606">
        <v>26.76</v>
      </c>
      <c r="H606">
        <v>2</v>
      </c>
      <c r="I606" t="s">
        <v>29</v>
      </c>
      <c r="J606" t="s">
        <v>1440</v>
      </c>
      <c r="K606" t="s">
        <v>1440</v>
      </c>
      <c r="L606" t="s">
        <v>1440</v>
      </c>
      <c r="M606" t="s">
        <v>1439</v>
      </c>
      <c r="N606" t="s">
        <v>1440</v>
      </c>
      <c r="O606" t="s">
        <v>34</v>
      </c>
      <c r="Q606">
        <f t="shared" si="36"/>
        <v>1</v>
      </c>
      <c r="R606" t="e">
        <f t="shared" ca="1" si="37"/>
        <v>#NAME?</v>
      </c>
      <c r="S606">
        <f t="shared" si="38"/>
        <v>6</v>
      </c>
      <c r="T606" t="str">
        <f t="shared" si="39"/>
        <v>Ontevreden</v>
      </c>
    </row>
    <row r="607" spans="1:20" x14ac:dyDescent="0.3">
      <c r="A607" t="s">
        <v>4491</v>
      </c>
      <c r="B607" t="s">
        <v>2200</v>
      </c>
      <c r="C607" t="s">
        <v>4492</v>
      </c>
      <c r="D607" t="s">
        <v>3867</v>
      </c>
      <c r="E607" t="s">
        <v>4493</v>
      </c>
      <c r="F607" t="s">
        <v>4494</v>
      </c>
      <c r="G607">
        <v>137.54</v>
      </c>
      <c r="H607">
        <v>7</v>
      </c>
      <c r="I607" t="s">
        <v>29</v>
      </c>
      <c r="J607" t="s">
        <v>1440</v>
      </c>
      <c r="K607" t="s">
        <v>1440</v>
      </c>
      <c r="L607" t="s">
        <v>1440</v>
      </c>
      <c r="M607" t="s">
        <v>1439</v>
      </c>
      <c r="N607" t="s">
        <v>1440</v>
      </c>
      <c r="O607" t="s">
        <v>34</v>
      </c>
      <c r="Q607">
        <f t="shared" si="36"/>
        <v>1</v>
      </c>
      <c r="R607" t="e">
        <f t="shared" ca="1" si="37"/>
        <v>#NAME?</v>
      </c>
      <c r="S607">
        <f t="shared" si="38"/>
        <v>6</v>
      </c>
      <c r="T607" t="str">
        <f t="shared" si="39"/>
        <v>Ontevreden</v>
      </c>
    </row>
    <row r="608" spans="1:20" x14ac:dyDescent="0.3">
      <c r="A608" t="s">
        <v>4495</v>
      </c>
      <c r="B608" t="s">
        <v>4016</v>
      </c>
      <c r="C608" t="s">
        <v>4496</v>
      </c>
      <c r="D608" t="s">
        <v>4497</v>
      </c>
      <c r="E608" t="s">
        <v>4498</v>
      </c>
      <c r="F608" t="s">
        <v>4499</v>
      </c>
      <c r="G608">
        <v>194.6</v>
      </c>
      <c r="H608">
        <v>17</v>
      </c>
      <c r="I608" t="s">
        <v>57</v>
      </c>
      <c r="J608" t="s">
        <v>1440</v>
      </c>
      <c r="K608" t="s">
        <v>1440</v>
      </c>
      <c r="L608" t="s">
        <v>1440</v>
      </c>
      <c r="M608" t="s">
        <v>1440</v>
      </c>
      <c r="N608" t="s">
        <v>1439</v>
      </c>
      <c r="O608" t="s">
        <v>34</v>
      </c>
      <c r="Q608">
        <f t="shared" si="36"/>
        <v>1</v>
      </c>
      <c r="R608" t="e">
        <f t="shared" ca="1" si="37"/>
        <v>#NAME?</v>
      </c>
      <c r="S608">
        <f t="shared" si="38"/>
        <v>6</v>
      </c>
      <c r="T608" t="str">
        <f t="shared" si="39"/>
        <v>Ontevreden</v>
      </c>
    </row>
    <row r="609" spans="1:20" x14ac:dyDescent="0.3">
      <c r="A609" t="s">
        <v>4500</v>
      </c>
      <c r="B609" t="s">
        <v>3095</v>
      </c>
      <c r="C609" t="s">
        <v>4501</v>
      </c>
      <c r="D609" t="s">
        <v>4502</v>
      </c>
      <c r="E609" t="s">
        <v>4503</v>
      </c>
      <c r="F609" t="s">
        <v>4504</v>
      </c>
      <c r="G609">
        <v>160.58000000000001</v>
      </c>
      <c r="H609">
        <v>1</v>
      </c>
      <c r="I609" t="s">
        <v>29</v>
      </c>
      <c r="J609" t="s">
        <v>1440</v>
      </c>
      <c r="K609" t="s">
        <v>1439</v>
      </c>
      <c r="L609" t="s">
        <v>1439</v>
      </c>
      <c r="M609" t="s">
        <v>1439</v>
      </c>
      <c r="N609" t="s">
        <v>1439</v>
      </c>
      <c r="O609" t="s">
        <v>23</v>
      </c>
      <c r="Q609">
        <f t="shared" si="36"/>
        <v>1</v>
      </c>
      <c r="R609" t="e">
        <f t="shared" ca="1" si="37"/>
        <v>#NAME?</v>
      </c>
      <c r="S609">
        <f t="shared" si="38"/>
        <v>0</v>
      </c>
      <c r="T609" t="str">
        <f t="shared" si="39"/>
        <v>Ontevreden</v>
      </c>
    </row>
    <row r="610" spans="1:20" x14ac:dyDescent="0.3">
      <c r="A610" t="s">
        <v>4505</v>
      </c>
      <c r="B610" t="s">
        <v>1755</v>
      </c>
      <c r="C610" t="s">
        <v>4506</v>
      </c>
      <c r="D610" t="s">
        <v>4507</v>
      </c>
      <c r="E610" t="s">
        <v>4508</v>
      </c>
      <c r="F610" t="s">
        <v>4509</v>
      </c>
      <c r="G610">
        <v>130.21</v>
      </c>
      <c r="H610">
        <v>4</v>
      </c>
      <c r="I610" t="s">
        <v>22</v>
      </c>
      <c r="J610" t="s">
        <v>1440</v>
      </c>
      <c r="K610" t="s">
        <v>1440</v>
      </c>
      <c r="L610" t="s">
        <v>1440</v>
      </c>
      <c r="M610" t="s">
        <v>1440</v>
      </c>
      <c r="N610" t="s">
        <v>1439</v>
      </c>
      <c r="O610" t="s">
        <v>34</v>
      </c>
      <c r="Q610">
        <f t="shared" si="36"/>
        <v>1</v>
      </c>
      <c r="R610" t="e">
        <f t="shared" ca="1" si="37"/>
        <v>#NAME?</v>
      </c>
      <c r="S610">
        <f t="shared" si="38"/>
        <v>6</v>
      </c>
      <c r="T610" t="str">
        <f t="shared" si="39"/>
        <v>Ontevreden</v>
      </c>
    </row>
    <row r="611" spans="1:20" x14ac:dyDescent="0.3">
      <c r="A611" t="s">
        <v>4510</v>
      </c>
      <c r="B611" t="s">
        <v>2084</v>
      </c>
      <c r="C611" t="s">
        <v>4511</v>
      </c>
      <c r="D611" t="s">
        <v>4512</v>
      </c>
      <c r="E611" t="s">
        <v>4513</v>
      </c>
      <c r="F611" t="s">
        <v>4510</v>
      </c>
      <c r="G611">
        <v>98.35</v>
      </c>
      <c r="H611">
        <v>12</v>
      </c>
      <c r="I611" t="s">
        <v>22</v>
      </c>
      <c r="J611" t="s">
        <v>1440</v>
      </c>
      <c r="K611" t="s">
        <v>1440</v>
      </c>
      <c r="L611" t="s">
        <v>1440</v>
      </c>
      <c r="M611" t="s">
        <v>1440</v>
      </c>
      <c r="N611" t="s">
        <v>1440</v>
      </c>
      <c r="O611" t="s">
        <v>34</v>
      </c>
      <c r="Q611">
        <f t="shared" si="36"/>
        <v>1</v>
      </c>
      <c r="R611" t="e">
        <f t="shared" ca="1" si="37"/>
        <v>#NAME?</v>
      </c>
      <c r="S611">
        <f t="shared" si="38"/>
        <v>8</v>
      </c>
      <c r="T611" t="str">
        <f t="shared" si="39"/>
        <v>Tevreden</v>
      </c>
    </row>
    <row r="612" spans="1:20" x14ac:dyDescent="0.3">
      <c r="A612" t="s">
        <v>4514</v>
      </c>
      <c r="B612" t="s">
        <v>1919</v>
      </c>
      <c r="C612" t="s">
        <v>4515</v>
      </c>
      <c r="D612" t="s">
        <v>4516</v>
      </c>
      <c r="E612" t="s">
        <v>4517</v>
      </c>
      <c r="F612" t="s">
        <v>4518</v>
      </c>
      <c r="G612">
        <v>176.99</v>
      </c>
      <c r="H612">
        <v>19</v>
      </c>
      <c r="I612" t="s">
        <v>29</v>
      </c>
      <c r="J612" t="s">
        <v>1440</v>
      </c>
      <c r="K612" t="s">
        <v>1440</v>
      </c>
      <c r="L612" t="s">
        <v>1440</v>
      </c>
      <c r="M612" t="s">
        <v>1440</v>
      </c>
      <c r="N612" t="s">
        <v>1440</v>
      </c>
      <c r="O612" t="s">
        <v>23</v>
      </c>
      <c r="Q612">
        <f t="shared" si="36"/>
        <v>1</v>
      </c>
      <c r="R612" t="e">
        <f t="shared" ca="1" si="37"/>
        <v>#NAME?</v>
      </c>
      <c r="S612">
        <f t="shared" si="38"/>
        <v>8</v>
      </c>
      <c r="T612" t="str">
        <f t="shared" si="39"/>
        <v>Tevreden</v>
      </c>
    </row>
    <row r="613" spans="1:20" x14ac:dyDescent="0.3">
      <c r="A613" t="s">
        <v>3561</v>
      </c>
      <c r="B613" t="s">
        <v>4519</v>
      </c>
      <c r="C613" t="s">
        <v>4520</v>
      </c>
      <c r="D613" t="s">
        <v>4521</v>
      </c>
      <c r="E613" t="s">
        <v>4522</v>
      </c>
      <c r="F613" t="s">
        <v>4523</v>
      </c>
      <c r="G613">
        <v>28.89</v>
      </c>
      <c r="H613">
        <v>8</v>
      </c>
      <c r="I613" t="s">
        <v>29</v>
      </c>
      <c r="J613" t="s">
        <v>1440</v>
      </c>
      <c r="K613" t="s">
        <v>1439</v>
      </c>
      <c r="L613" t="s">
        <v>1440</v>
      </c>
      <c r="M613" t="s">
        <v>1440</v>
      </c>
      <c r="N613" t="s">
        <v>1440</v>
      </c>
      <c r="O613" t="s">
        <v>78</v>
      </c>
      <c r="Q613">
        <f t="shared" si="36"/>
        <v>1</v>
      </c>
      <c r="R613" t="e">
        <f t="shared" ca="1" si="37"/>
        <v>#NAME?</v>
      </c>
      <c r="S613">
        <f t="shared" si="38"/>
        <v>6</v>
      </c>
      <c r="T613" t="str">
        <f t="shared" si="39"/>
        <v>Ontevreden</v>
      </c>
    </row>
    <row r="614" spans="1:20" x14ac:dyDescent="0.3">
      <c r="A614" t="s">
        <v>2142</v>
      </c>
      <c r="B614" t="s">
        <v>3007</v>
      </c>
      <c r="C614" t="s">
        <v>4524</v>
      </c>
      <c r="D614" t="s">
        <v>4525</v>
      </c>
      <c r="E614" t="s">
        <v>4526</v>
      </c>
      <c r="F614" t="s">
        <v>4527</v>
      </c>
      <c r="G614">
        <v>150.08000000000001</v>
      </c>
      <c r="H614">
        <v>5</v>
      </c>
      <c r="I614" t="s">
        <v>57</v>
      </c>
      <c r="J614" t="s">
        <v>1440</v>
      </c>
      <c r="K614" t="s">
        <v>1440</v>
      </c>
      <c r="L614" t="s">
        <v>1440</v>
      </c>
      <c r="M614" t="s">
        <v>1439</v>
      </c>
      <c r="N614" t="s">
        <v>1440</v>
      </c>
      <c r="O614" t="s">
        <v>34</v>
      </c>
      <c r="Q614">
        <f t="shared" si="36"/>
        <v>1</v>
      </c>
      <c r="R614" t="e">
        <f t="shared" ca="1" si="37"/>
        <v>#NAME?</v>
      </c>
      <c r="S614">
        <f t="shared" si="38"/>
        <v>6</v>
      </c>
      <c r="T614" t="str">
        <f t="shared" si="39"/>
        <v>Ontevreden</v>
      </c>
    </row>
    <row r="615" spans="1:20" x14ac:dyDescent="0.3">
      <c r="A615" t="s">
        <v>4528</v>
      </c>
      <c r="B615" t="s">
        <v>2174</v>
      </c>
      <c r="C615" t="s">
        <v>4529</v>
      </c>
      <c r="D615" t="s">
        <v>4530</v>
      </c>
      <c r="E615" t="s">
        <v>4531</v>
      </c>
      <c r="F615" t="s">
        <v>4532</v>
      </c>
      <c r="G615">
        <v>66.62</v>
      </c>
      <c r="H615">
        <v>9</v>
      </c>
      <c r="I615" t="s">
        <v>22</v>
      </c>
      <c r="J615" t="s">
        <v>1440</v>
      </c>
      <c r="K615" t="s">
        <v>1440</v>
      </c>
      <c r="L615" t="s">
        <v>1440</v>
      </c>
      <c r="M615" t="s">
        <v>1439</v>
      </c>
      <c r="N615" t="s">
        <v>1439</v>
      </c>
      <c r="O615" t="s">
        <v>23</v>
      </c>
      <c r="Q615">
        <f t="shared" si="36"/>
        <v>1</v>
      </c>
      <c r="R615" t="e">
        <f t="shared" ca="1" si="37"/>
        <v>#NAME?</v>
      </c>
      <c r="S615">
        <f t="shared" si="38"/>
        <v>4</v>
      </c>
      <c r="T615" t="str">
        <f t="shared" si="39"/>
        <v>Ontevreden</v>
      </c>
    </row>
    <row r="616" spans="1:20" x14ac:dyDescent="0.3">
      <c r="A616" t="s">
        <v>3956</v>
      </c>
      <c r="B616" t="s">
        <v>2200</v>
      </c>
      <c r="C616" t="s">
        <v>4533</v>
      </c>
      <c r="D616" t="s">
        <v>4534</v>
      </c>
      <c r="E616" t="s">
        <v>4535</v>
      </c>
      <c r="F616" t="s">
        <v>4536</v>
      </c>
      <c r="G616">
        <v>160.33000000000001</v>
      </c>
      <c r="H616">
        <v>1</v>
      </c>
      <c r="I616" t="s">
        <v>22</v>
      </c>
      <c r="J616" t="s">
        <v>1440</v>
      </c>
      <c r="K616" t="s">
        <v>1439</v>
      </c>
      <c r="L616" t="s">
        <v>1439</v>
      </c>
      <c r="M616" t="s">
        <v>1440</v>
      </c>
      <c r="N616" t="s">
        <v>1440</v>
      </c>
      <c r="O616" t="s">
        <v>23</v>
      </c>
      <c r="Q616">
        <f t="shared" si="36"/>
        <v>1</v>
      </c>
      <c r="R616" t="e">
        <f t="shared" ca="1" si="37"/>
        <v>#NAME?</v>
      </c>
      <c r="S616">
        <f t="shared" si="38"/>
        <v>4</v>
      </c>
      <c r="T616" t="str">
        <f t="shared" si="39"/>
        <v>Ontevreden</v>
      </c>
    </row>
    <row r="617" spans="1:20" x14ac:dyDescent="0.3">
      <c r="A617" t="s">
        <v>4537</v>
      </c>
      <c r="B617" t="s">
        <v>3471</v>
      </c>
      <c r="C617" t="s">
        <v>4538</v>
      </c>
      <c r="D617" t="s">
        <v>4539</v>
      </c>
      <c r="E617" t="s">
        <v>4540</v>
      </c>
      <c r="F617" t="s">
        <v>4541</v>
      </c>
      <c r="G617">
        <v>194.07</v>
      </c>
      <c r="H617">
        <v>11</v>
      </c>
      <c r="I617" t="s">
        <v>57</v>
      </c>
      <c r="J617" t="s">
        <v>1440</v>
      </c>
      <c r="K617" t="s">
        <v>1440</v>
      </c>
      <c r="L617" t="s">
        <v>1439</v>
      </c>
      <c r="M617" t="s">
        <v>1440</v>
      </c>
      <c r="N617" t="s">
        <v>1440</v>
      </c>
      <c r="O617" t="s">
        <v>23</v>
      </c>
      <c r="Q617">
        <f t="shared" si="36"/>
        <v>1</v>
      </c>
      <c r="R617" t="e">
        <f t="shared" ca="1" si="37"/>
        <v>#NAME?</v>
      </c>
      <c r="S617">
        <f t="shared" si="38"/>
        <v>6</v>
      </c>
      <c r="T617" t="str">
        <f t="shared" si="39"/>
        <v>Ontevreden</v>
      </c>
    </row>
    <row r="618" spans="1:20" x14ac:dyDescent="0.3">
      <c r="A618" t="s">
        <v>4542</v>
      </c>
      <c r="B618" t="s">
        <v>1673</v>
      </c>
      <c r="C618" t="s">
        <v>4543</v>
      </c>
      <c r="D618" t="s">
        <v>4544</v>
      </c>
      <c r="E618" t="s">
        <v>4545</v>
      </c>
      <c r="F618" t="s">
        <v>4546</v>
      </c>
      <c r="G618">
        <v>147.21</v>
      </c>
      <c r="H618">
        <v>10</v>
      </c>
      <c r="I618" t="s">
        <v>57</v>
      </c>
      <c r="J618" t="s">
        <v>1440</v>
      </c>
      <c r="K618" t="s">
        <v>1439</v>
      </c>
      <c r="L618" t="s">
        <v>1440</v>
      </c>
      <c r="M618" t="s">
        <v>1440</v>
      </c>
      <c r="N618" t="s">
        <v>1440</v>
      </c>
      <c r="O618" t="s">
        <v>23</v>
      </c>
      <c r="Q618">
        <f t="shared" si="36"/>
        <v>1</v>
      </c>
      <c r="R618" t="e">
        <f t="shared" ca="1" si="37"/>
        <v>#NAME?</v>
      </c>
      <c r="S618">
        <f t="shared" si="38"/>
        <v>6</v>
      </c>
      <c r="T618" t="str">
        <f t="shared" si="39"/>
        <v>Ontevreden</v>
      </c>
    </row>
    <row r="619" spans="1:20" x14ac:dyDescent="0.3">
      <c r="A619" t="s">
        <v>4547</v>
      </c>
      <c r="B619" t="s">
        <v>4548</v>
      </c>
      <c r="C619" t="s">
        <v>4549</v>
      </c>
      <c r="D619" t="s">
        <v>4550</v>
      </c>
      <c r="E619" t="s">
        <v>4551</v>
      </c>
      <c r="F619" t="s">
        <v>4552</v>
      </c>
      <c r="G619">
        <v>81.650000000000006</v>
      </c>
      <c r="H619">
        <v>11</v>
      </c>
      <c r="I619" t="s">
        <v>57</v>
      </c>
      <c r="J619" t="s">
        <v>1439</v>
      </c>
      <c r="K619" t="s">
        <v>1440</v>
      </c>
      <c r="L619" t="s">
        <v>1439</v>
      </c>
      <c r="M619" t="s">
        <v>1440</v>
      </c>
      <c r="N619" t="s">
        <v>1439</v>
      </c>
      <c r="O619" t="s">
        <v>78</v>
      </c>
      <c r="Q619">
        <f t="shared" si="36"/>
        <v>1</v>
      </c>
      <c r="R619" t="e">
        <f t="shared" ca="1" si="37"/>
        <v>#NAME?</v>
      </c>
      <c r="S619">
        <f t="shared" si="38"/>
        <v>4</v>
      </c>
      <c r="T619" t="str">
        <f t="shared" si="39"/>
        <v>Ontevreden</v>
      </c>
    </row>
    <row r="620" spans="1:20" x14ac:dyDescent="0.3">
      <c r="A620" t="s">
        <v>2723</v>
      </c>
      <c r="B620" t="s">
        <v>2435</v>
      </c>
      <c r="C620" t="s">
        <v>4553</v>
      </c>
      <c r="D620" t="s">
        <v>4554</v>
      </c>
      <c r="E620" t="s">
        <v>4555</v>
      </c>
      <c r="F620" t="s">
        <v>4556</v>
      </c>
      <c r="G620">
        <v>18.739999999999998</v>
      </c>
      <c r="H620">
        <v>1</v>
      </c>
      <c r="I620" t="s">
        <v>29</v>
      </c>
      <c r="J620" t="s">
        <v>1439</v>
      </c>
      <c r="K620" t="s">
        <v>1440</v>
      </c>
      <c r="L620" t="s">
        <v>1440</v>
      </c>
      <c r="M620" t="s">
        <v>1440</v>
      </c>
      <c r="N620" t="s">
        <v>1440</v>
      </c>
      <c r="O620" t="s">
        <v>34</v>
      </c>
      <c r="Q620">
        <f t="shared" si="36"/>
        <v>1</v>
      </c>
      <c r="R620" t="e">
        <f t="shared" ca="1" si="37"/>
        <v>#NAME?</v>
      </c>
      <c r="S620">
        <f t="shared" si="38"/>
        <v>8</v>
      </c>
      <c r="T620" t="str">
        <f t="shared" si="39"/>
        <v>Tevreden</v>
      </c>
    </row>
    <row r="621" spans="1:20" x14ac:dyDescent="0.3">
      <c r="A621" t="s">
        <v>3223</v>
      </c>
      <c r="B621" t="s">
        <v>1977</v>
      </c>
      <c r="C621" t="s">
        <v>4557</v>
      </c>
      <c r="D621" t="s">
        <v>4558</v>
      </c>
      <c r="E621" t="s">
        <v>4559</v>
      </c>
      <c r="F621" t="s">
        <v>4560</v>
      </c>
      <c r="G621">
        <v>178.99</v>
      </c>
      <c r="H621">
        <v>1</v>
      </c>
      <c r="I621" t="s">
        <v>102</v>
      </c>
      <c r="J621" t="s">
        <v>1440</v>
      </c>
      <c r="K621" t="s">
        <v>1439</v>
      </c>
      <c r="L621" t="s">
        <v>1440</v>
      </c>
      <c r="M621" t="s">
        <v>1440</v>
      </c>
      <c r="N621" t="s">
        <v>1440</v>
      </c>
      <c r="O621" t="s">
        <v>23</v>
      </c>
      <c r="Q621">
        <f t="shared" si="36"/>
        <v>1</v>
      </c>
      <c r="R621" t="e">
        <f t="shared" ca="1" si="37"/>
        <v>#NAME?</v>
      </c>
      <c r="S621">
        <f t="shared" si="38"/>
        <v>6</v>
      </c>
      <c r="T621" t="str">
        <f t="shared" si="39"/>
        <v>Ontevreden</v>
      </c>
    </row>
    <row r="622" spans="1:20" x14ac:dyDescent="0.3">
      <c r="A622" t="s">
        <v>4561</v>
      </c>
      <c r="B622" t="s">
        <v>2331</v>
      </c>
      <c r="C622" t="s">
        <v>4562</v>
      </c>
      <c r="D622" t="s">
        <v>4563</v>
      </c>
      <c r="E622" t="s">
        <v>4564</v>
      </c>
      <c r="F622" t="s">
        <v>4565</v>
      </c>
      <c r="G622">
        <v>156.53</v>
      </c>
      <c r="H622">
        <v>7</v>
      </c>
      <c r="I622" t="s">
        <v>102</v>
      </c>
      <c r="J622" t="s">
        <v>1440</v>
      </c>
      <c r="K622" t="s">
        <v>1440</v>
      </c>
      <c r="L622" t="s">
        <v>1440</v>
      </c>
      <c r="M622" t="s">
        <v>1439</v>
      </c>
      <c r="N622" t="s">
        <v>1440</v>
      </c>
      <c r="O622" t="s">
        <v>23</v>
      </c>
      <c r="Q622">
        <f t="shared" si="36"/>
        <v>1</v>
      </c>
      <c r="R622" t="e">
        <f t="shared" ca="1" si="37"/>
        <v>#NAME?</v>
      </c>
      <c r="S622">
        <f t="shared" si="38"/>
        <v>6</v>
      </c>
      <c r="T622" t="str">
        <f t="shared" si="39"/>
        <v>Ontevreden</v>
      </c>
    </row>
    <row r="623" spans="1:20" x14ac:dyDescent="0.3">
      <c r="A623" t="s">
        <v>4566</v>
      </c>
      <c r="B623" t="s">
        <v>2734</v>
      </c>
      <c r="C623" t="s">
        <v>4567</v>
      </c>
      <c r="D623" t="s">
        <v>4568</v>
      </c>
      <c r="E623" t="s">
        <v>4569</v>
      </c>
      <c r="F623" t="s">
        <v>4570</v>
      </c>
      <c r="G623">
        <v>152.68</v>
      </c>
      <c r="H623">
        <v>3</v>
      </c>
      <c r="I623" t="s">
        <v>22</v>
      </c>
      <c r="J623" t="s">
        <v>1439</v>
      </c>
      <c r="K623" t="s">
        <v>1440</v>
      </c>
      <c r="L623" t="s">
        <v>1439</v>
      </c>
      <c r="M623" t="s">
        <v>1440</v>
      </c>
      <c r="N623" t="s">
        <v>1440</v>
      </c>
      <c r="O623" t="s">
        <v>23</v>
      </c>
      <c r="Q623">
        <f t="shared" si="36"/>
        <v>1</v>
      </c>
      <c r="R623" t="e">
        <f t="shared" ca="1" si="37"/>
        <v>#NAME?</v>
      </c>
      <c r="S623">
        <f t="shared" si="38"/>
        <v>6</v>
      </c>
      <c r="T623" t="str">
        <f t="shared" si="39"/>
        <v>Ontevreden</v>
      </c>
    </row>
    <row r="624" spans="1:20" x14ac:dyDescent="0.3">
      <c r="A624" t="s">
        <v>4571</v>
      </c>
      <c r="B624" t="s">
        <v>1695</v>
      </c>
      <c r="C624" t="s">
        <v>4572</v>
      </c>
      <c r="D624" t="s">
        <v>4573</v>
      </c>
      <c r="E624" t="s">
        <v>4574</v>
      </c>
      <c r="F624" t="s">
        <v>4575</v>
      </c>
      <c r="G624">
        <v>255.17</v>
      </c>
      <c r="H624">
        <v>14</v>
      </c>
      <c r="I624" t="s">
        <v>22</v>
      </c>
      <c r="J624" t="s">
        <v>1440</v>
      </c>
      <c r="K624" t="s">
        <v>1440</v>
      </c>
      <c r="L624" t="s">
        <v>1440</v>
      </c>
      <c r="M624" t="s">
        <v>1440</v>
      </c>
      <c r="N624" t="s">
        <v>1440</v>
      </c>
      <c r="O624" t="s">
        <v>23</v>
      </c>
      <c r="Q624">
        <f t="shared" si="36"/>
        <v>1</v>
      </c>
      <c r="R624" t="e">
        <f t="shared" ca="1" si="37"/>
        <v>#NAME?</v>
      </c>
      <c r="S624">
        <f t="shared" si="38"/>
        <v>8</v>
      </c>
      <c r="T624" t="str">
        <f t="shared" si="39"/>
        <v>Tevreden</v>
      </c>
    </row>
    <row r="625" spans="1:20" x14ac:dyDescent="0.3">
      <c r="A625" t="s">
        <v>4576</v>
      </c>
      <c r="B625" t="s">
        <v>3874</v>
      </c>
      <c r="C625" t="s">
        <v>4577</v>
      </c>
      <c r="D625" t="s">
        <v>4578</v>
      </c>
      <c r="E625" t="s">
        <v>4579</v>
      </c>
      <c r="F625" t="s">
        <v>4580</v>
      </c>
      <c r="G625">
        <v>134.13</v>
      </c>
      <c r="H625">
        <v>1</v>
      </c>
      <c r="I625" t="s">
        <v>22</v>
      </c>
      <c r="J625" t="s">
        <v>1440</v>
      </c>
      <c r="K625" t="s">
        <v>1440</v>
      </c>
      <c r="L625" t="s">
        <v>1440</v>
      </c>
      <c r="M625" t="s">
        <v>1440</v>
      </c>
      <c r="N625" t="s">
        <v>1439</v>
      </c>
      <c r="O625" t="s">
        <v>23</v>
      </c>
      <c r="Q625">
        <f t="shared" si="36"/>
        <v>1</v>
      </c>
      <c r="R625" t="e">
        <f t="shared" ca="1" si="37"/>
        <v>#NAME?</v>
      </c>
      <c r="S625">
        <f t="shared" si="38"/>
        <v>6</v>
      </c>
      <c r="T625" t="str">
        <f t="shared" si="39"/>
        <v>Ontevreden</v>
      </c>
    </row>
    <row r="626" spans="1:20" x14ac:dyDescent="0.3">
      <c r="A626" t="s">
        <v>2832</v>
      </c>
      <c r="B626" t="s">
        <v>3116</v>
      </c>
      <c r="C626" t="s">
        <v>4581</v>
      </c>
      <c r="D626" t="s">
        <v>4582</v>
      </c>
      <c r="E626" t="s">
        <v>4583</v>
      </c>
      <c r="F626" t="s">
        <v>4584</v>
      </c>
      <c r="G626">
        <v>32.74</v>
      </c>
      <c r="H626">
        <v>2</v>
      </c>
      <c r="I626" t="s">
        <v>29</v>
      </c>
      <c r="J626" t="s">
        <v>1439</v>
      </c>
      <c r="K626" t="s">
        <v>1440</v>
      </c>
      <c r="L626" t="s">
        <v>1440</v>
      </c>
      <c r="M626" t="s">
        <v>1440</v>
      </c>
      <c r="N626" t="s">
        <v>1440</v>
      </c>
      <c r="O626" t="s">
        <v>78</v>
      </c>
      <c r="Q626">
        <f t="shared" si="36"/>
        <v>1</v>
      </c>
      <c r="R626" t="e">
        <f t="shared" ca="1" si="37"/>
        <v>#NAME?</v>
      </c>
      <c r="S626">
        <f t="shared" si="38"/>
        <v>8</v>
      </c>
      <c r="T626" t="str">
        <f t="shared" si="39"/>
        <v>Tevreden</v>
      </c>
    </row>
    <row r="627" spans="1:20" x14ac:dyDescent="0.3">
      <c r="A627" t="s">
        <v>4585</v>
      </c>
      <c r="B627" t="s">
        <v>2212</v>
      </c>
      <c r="C627" t="s">
        <v>4586</v>
      </c>
      <c r="D627" t="s">
        <v>4587</v>
      </c>
      <c r="E627" t="s">
        <v>4588</v>
      </c>
      <c r="F627" t="s">
        <v>4589</v>
      </c>
      <c r="G627">
        <v>75.819999999999993</v>
      </c>
      <c r="H627">
        <v>16</v>
      </c>
      <c r="I627" t="s">
        <v>57</v>
      </c>
      <c r="J627" t="s">
        <v>1439</v>
      </c>
      <c r="K627" t="s">
        <v>1440</v>
      </c>
      <c r="L627" t="s">
        <v>1440</v>
      </c>
      <c r="M627" t="s">
        <v>1440</v>
      </c>
      <c r="N627" t="s">
        <v>1440</v>
      </c>
      <c r="O627" t="s">
        <v>23</v>
      </c>
      <c r="Q627">
        <f t="shared" si="36"/>
        <v>1</v>
      </c>
      <c r="R627" t="e">
        <f t="shared" ca="1" si="37"/>
        <v>#NAME?</v>
      </c>
      <c r="S627">
        <f t="shared" si="38"/>
        <v>8</v>
      </c>
      <c r="T627" t="str">
        <f t="shared" si="39"/>
        <v>Tevreden</v>
      </c>
    </row>
    <row r="628" spans="1:20" x14ac:dyDescent="0.3">
      <c r="A628" t="s">
        <v>2413</v>
      </c>
      <c r="B628" t="s">
        <v>4590</v>
      </c>
      <c r="C628" t="s">
        <v>4591</v>
      </c>
      <c r="D628" t="s">
        <v>4592</v>
      </c>
      <c r="E628" t="s">
        <v>4593</v>
      </c>
      <c r="F628" t="s">
        <v>4594</v>
      </c>
      <c r="G628">
        <v>228.05</v>
      </c>
      <c r="H628">
        <v>8</v>
      </c>
      <c r="I628" t="s">
        <v>22</v>
      </c>
      <c r="J628" t="s">
        <v>1439</v>
      </c>
      <c r="K628" t="s">
        <v>1440</v>
      </c>
      <c r="L628" t="s">
        <v>1440</v>
      </c>
      <c r="M628" t="s">
        <v>1439</v>
      </c>
      <c r="N628" t="s">
        <v>1440</v>
      </c>
      <c r="O628" t="s">
        <v>23</v>
      </c>
      <c r="Q628">
        <f t="shared" si="36"/>
        <v>1</v>
      </c>
      <c r="R628" t="e">
        <f t="shared" ca="1" si="37"/>
        <v>#NAME?</v>
      </c>
      <c r="S628">
        <f t="shared" si="38"/>
        <v>6</v>
      </c>
      <c r="T628" t="str">
        <f t="shared" si="39"/>
        <v>Ontevreden</v>
      </c>
    </row>
    <row r="629" spans="1:20" x14ac:dyDescent="0.3">
      <c r="A629" t="s">
        <v>3613</v>
      </c>
      <c r="B629" t="s">
        <v>3047</v>
      </c>
      <c r="C629" t="s">
        <v>4595</v>
      </c>
      <c r="D629" t="s">
        <v>4596</v>
      </c>
      <c r="E629" t="s">
        <v>4597</v>
      </c>
      <c r="F629" t="s">
        <v>4598</v>
      </c>
      <c r="G629">
        <v>169.34</v>
      </c>
      <c r="H629">
        <v>6</v>
      </c>
      <c r="I629" t="s">
        <v>29</v>
      </c>
      <c r="J629" t="s">
        <v>1440</v>
      </c>
      <c r="K629" t="s">
        <v>1440</v>
      </c>
      <c r="L629" t="s">
        <v>1440</v>
      </c>
      <c r="M629" t="s">
        <v>1440</v>
      </c>
      <c r="N629" t="s">
        <v>1439</v>
      </c>
      <c r="O629" t="s">
        <v>23</v>
      </c>
      <c r="Q629">
        <f t="shared" si="36"/>
        <v>1</v>
      </c>
      <c r="R629" t="e">
        <f t="shared" ca="1" si="37"/>
        <v>#NAME?</v>
      </c>
      <c r="S629">
        <f t="shared" si="38"/>
        <v>6</v>
      </c>
      <c r="T629" t="str">
        <f t="shared" si="39"/>
        <v>Ontevreden</v>
      </c>
    </row>
    <row r="630" spans="1:20" x14ac:dyDescent="0.3">
      <c r="A630" t="s">
        <v>4599</v>
      </c>
      <c r="B630" t="s">
        <v>1690</v>
      </c>
      <c r="C630" t="s">
        <v>4600</v>
      </c>
      <c r="D630" t="s">
        <v>4601</v>
      </c>
      <c r="E630" t="s">
        <v>4602</v>
      </c>
      <c r="F630" t="s">
        <v>4603</v>
      </c>
      <c r="G630">
        <v>158.69</v>
      </c>
      <c r="H630">
        <v>15</v>
      </c>
      <c r="I630" t="s">
        <v>29</v>
      </c>
      <c r="J630" t="s">
        <v>1439</v>
      </c>
      <c r="K630" t="s">
        <v>1440</v>
      </c>
      <c r="L630" t="s">
        <v>1440</v>
      </c>
      <c r="M630" t="s">
        <v>1440</v>
      </c>
      <c r="N630" t="s">
        <v>1439</v>
      </c>
      <c r="O630" t="s">
        <v>34</v>
      </c>
      <c r="Q630">
        <f t="shared" si="36"/>
        <v>1</v>
      </c>
      <c r="R630" t="e">
        <f t="shared" ca="1" si="37"/>
        <v>#NAME?</v>
      </c>
      <c r="S630">
        <f t="shared" si="38"/>
        <v>6</v>
      </c>
      <c r="T630" t="str">
        <f t="shared" si="39"/>
        <v>Ontevreden</v>
      </c>
    </row>
    <row r="631" spans="1:20" x14ac:dyDescent="0.3">
      <c r="A631" t="s">
        <v>2531</v>
      </c>
      <c r="B631" t="s">
        <v>1496</v>
      </c>
      <c r="C631" t="s">
        <v>4604</v>
      </c>
      <c r="D631" t="s">
        <v>4605</v>
      </c>
      <c r="E631" t="s">
        <v>4606</v>
      </c>
      <c r="F631" t="s">
        <v>4607</v>
      </c>
      <c r="G631">
        <v>104.75</v>
      </c>
      <c r="H631">
        <v>11</v>
      </c>
      <c r="I631" t="s">
        <v>29</v>
      </c>
      <c r="J631" t="s">
        <v>1440</v>
      </c>
      <c r="K631" t="s">
        <v>1439</v>
      </c>
      <c r="L631" t="s">
        <v>1440</v>
      </c>
      <c r="M631" t="s">
        <v>1439</v>
      </c>
      <c r="N631" t="s">
        <v>1440</v>
      </c>
      <c r="O631" t="s">
        <v>23</v>
      </c>
      <c r="Q631">
        <f t="shared" si="36"/>
        <v>1</v>
      </c>
      <c r="R631" t="e">
        <f t="shared" ca="1" si="37"/>
        <v>#NAME?</v>
      </c>
      <c r="S631">
        <f t="shared" si="38"/>
        <v>4</v>
      </c>
      <c r="T631" t="str">
        <f t="shared" si="39"/>
        <v>Ontevreden</v>
      </c>
    </row>
    <row r="632" spans="1:20" x14ac:dyDescent="0.3">
      <c r="A632" t="s">
        <v>4608</v>
      </c>
      <c r="B632" t="s">
        <v>4609</v>
      </c>
      <c r="C632" t="s">
        <v>4610</v>
      </c>
      <c r="D632" t="s">
        <v>4611</v>
      </c>
      <c r="E632" t="s">
        <v>4612</v>
      </c>
      <c r="F632" t="s">
        <v>4613</v>
      </c>
      <c r="G632">
        <v>78.81</v>
      </c>
      <c r="H632">
        <v>2</v>
      </c>
      <c r="I632" t="s">
        <v>29</v>
      </c>
      <c r="J632" t="s">
        <v>1440</v>
      </c>
      <c r="K632" t="s">
        <v>1440</v>
      </c>
      <c r="L632" t="s">
        <v>1440</v>
      </c>
      <c r="M632" t="s">
        <v>1440</v>
      </c>
      <c r="N632" t="s">
        <v>1440</v>
      </c>
      <c r="O632" t="s">
        <v>23</v>
      </c>
      <c r="Q632">
        <f t="shared" si="36"/>
        <v>1</v>
      </c>
      <c r="R632" t="e">
        <f t="shared" ca="1" si="37"/>
        <v>#NAME?</v>
      </c>
      <c r="S632">
        <f t="shared" si="38"/>
        <v>8</v>
      </c>
      <c r="T632" t="str">
        <f t="shared" si="39"/>
        <v>Tevreden</v>
      </c>
    </row>
    <row r="633" spans="1:20" x14ac:dyDescent="0.3">
      <c r="A633" t="s">
        <v>2607</v>
      </c>
      <c r="B633" t="s">
        <v>1655</v>
      </c>
      <c r="C633" t="s">
        <v>4614</v>
      </c>
      <c r="D633" t="s">
        <v>4615</v>
      </c>
      <c r="E633" t="s">
        <v>4616</v>
      </c>
      <c r="F633" t="s">
        <v>4617</v>
      </c>
      <c r="G633">
        <v>89.16</v>
      </c>
      <c r="H633">
        <v>16</v>
      </c>
      <c r="I633" t="s">
        <v>57</v>
      </c>
      <c r="J633" t="s">
        <v>1440</v>
      </c>
      <c r="K633" t="s">
        <v>1439</v>
      </c>
      <c r="L633" t="s">
        <v>1440</v>
      </c>
      <c r="M633" t="s">
        <v>1440</v>
      </c>
      <c r="N633" t="s">
        <v>1440</v>
      </c>
      <c r="O633" t="s">
        <v>34</v>
      </c>
      <c r="Q633">
        <f t="shared" si="36"/>
        <v>1</v>
      </c>
      <c r="R633" t="e">
        <f t="shared" ca="1" si="37"/>
        <v>#NAME?</v>
      </c>
      <c r="S633">
        <f t="shared" si="38"/>
        <v>6</v>
      </c>
      <c r="T633" t="str">
        <f t="shared" si="39"/>
        <v>Ontevreden</v>
      </c>
    </row>
    <row r="634" spans="1:20" x14ac:dyDescent="0.3">
      <c r="A634" t="s">
        <v>4618</v>
      </c>
      <c r="B634" t="s">
        <v>3874</v>
      </c>
      <c r="C634" t="s">
        <v>4619</v>
      </c>
      <c r="D634" t="s">
        <v>4620</v>
      </c>
      <c r="E634" t="s">
        <v>4621</v>
      </c>
      <c r="F634" t="s">
        <v>4622</v>
      </c>
      <c r="G634">
        <v>107.57</v>
      </c>
      <c r="H634">
        <v>8</v>
      </c>
      <c r="I634" t="s">
        <v>22</v>
      </c>
      <c r="J634" t="s">
        <v>1440</v>
      </c>
      <c r="K634" t="s">
        <v>1440</v>
      </c>
      <c r="L634" t="s">
        <v>1440</v>
      </c>
      <c r="M634" t="s">
        <v>1440</v>
      </c>
      <c r="N634" t="s">
        <v>1439</v>
      </c>
      <c r="O634" t="s">
        <v>23</v>
      </c>
      <c r="Q634">
        <f t="shared" si="36"/>
        <v>1</v>
      </c>
      <c r="R634" t="e">
        <f t="shared" ca="1" si="37"/>
        <v>#NAME?</v>
      </c>
      <c r="S634">
        <f t="shared" si="38"/>
        <v>6</v>
      </c>
      <c r="T634" t="str">
        <f t="shared" si="39"/>
        <v>Ontevreden</v>
      </c>
    </row>
    <row r="635" spans="1:20" x14ac:dyDescent="0.3">
      <c r="A635" t="s">
        <v>4623</v>
      </c>
      <c r="B635" t="s">
        <v>4261</v>
      </c>
      <c r="C635" t="s">
        <v>4624</v>
      </c>
      <c r="D635" t="s">
        <v>4625</v>
      </c>
      <c r="E635" t="s">
        <v>4626</v>
      </c>
      <c r="F635" t="s">
        <v>4627</v>
      </c>
      <c r="G635">
        <v>131.76</v>
      </c>
      <c r="H635">
        <v>1</v>
      </c>
      <c r="I635" t="s">
        <v>22</v>
      </c>
      <c r="J635" t="s">
        <v>1440</v>
      </c>
      <c r="K635" t="s">
        <v>1440</v>
      </c>
      <c r="L635" t="s">
        <v>1440</v>
      </c>
      <c r="M635" t="s">
        <v>1440</v>
      </c>
      <c r="N635" t="s">
        <v>1440</v>
      </c>
      <c r="O635" t="s">
        <v>23</v>
      </c>
      <c r="Q635">
        <f t="shared" si="36"/>
        <v>1</v>
      </c>
      <c r="R635" t="e">
        <f t="shared" ca="1" si="37"/>
        <v>#NAME?</v>
      </c>
      <c r="S635">
        <f t="shared" si="38"/>
        <v>8</v>
      </c>
      <c r="T635" t="str">
        <f t="shared" si="39"/>
        <v>Tevreden</v>
      </c>
    </row>
    <row r="636" spans="1:20" x14ac:dyDescent="0.3">
      <c r="A636" t="s">
        <v>3804</v>
      </c>
      <c r="B636" t="s">
        <v>2185</v>
      </c>
      <c r="C636" t="s">
        <v>4628</v>
      </c>
      <c r="D636" t="s">
        <v>4629</v>
      </c>
      <c r="E636" t="s">
        <v>4630</v>
      </c>
      <c r="F636" t="s">
        <v>3804</v>
      </c>
      <c r="G636">
        <v>30.37</v>
      </c>
      <c r="H636">
        <v>8</v>
      </c>
      <c r="I636" t="s">
        <v>22</v>
      </c>
      <c r="J636" t="s">
        <v>1440</v>
      </c>
      <c r="K636" t="s">
        <v>1440</v>
      </c>
      <c r="L636" t="s">
        <v>1440</v>
      </c>
      <c r="M636" t="s">
        <v>1440</v>
      </c>
      <c r="N636" t="s">
        <v>1439</v>
      </c>
      <c r="O636" t="s">
        <v>23</v>
      </c>
      <c r="Q636">
        <f t="shared" si="36"/>
        <v>1</v>
      </c>
      <c r="R636" t="e">
        <f t="shared" ca="1" si="37"/>
        <v>#NAME?</v>
      </c>
      <c r="S636">
        <f t="shared" si="38"/>
        <v>6</v>
      </c>
      <c r="T636" t="str">
        <f t="shared" si="39"/>
        <v>Ontevreden</v>
      </c>
    </row>
    <row r="637" spans="1:20" x14ac:dyDescent="0.3">
      <c r="A637" t="s">
        <v>2340</v>
      </c>
      <c r="B637" t="s">
        <v>4109</v>
      </c>
      <c r="C637" t="s">
        <v>4631</v>
      </c>
      <c r="D637" t="s">
        <v>4632</v>
      </c>
      <c r="E637" t="s">
        <v>4633</v>
      </c>
      <c r="F637" t="s">
        <v>4634</v>
      </c>
      <c r="G637">
        <v>106.93</v>
      </c>
      <c r="H637">
        <v>11</v>
      </c>
      <c r="I637" t="s">
        <v>102</v>
      </c>
      <c r="J637" t="s">
        <v>1440</v>
      </c>
      <c r="K637" t="s">
        <v>1439</v>
      </c>
      <c r="L637" t="s">
        <v>1439</v>
      </c>
      <c r="M637" t="s">
        <v>1440</v>
      </c>
      <c r="N637" t="s">
        <v>1440</v>
      </c>
      <c r="O637" t="s">
        <v>23</v>
      </c>
      <c r="Q637">
        <f t="shared" si="36"/>
        <v>1</v>
      </c>
      <c r="R637" t="e">
        <f t="shared" ca="1" si="37"/>
        <v>#NAME?</v>
      </c>
      <c r="S637">
        <f t="shared" si="38"/>
        <v>4</v>
      </c>
      <c r="T637" t="str">
        <f t="shared" si="39"/>
        <v>Ontevreden</v>
      </c>
    </row>
    <row r="638" spans="1:20" x14ac:dyDescent="0.3">
      <c r="A638" t="s">
        <v>4635</v>
      </c>
      <c r="B638" t="s">
        <v>4636</v>
      </c>
      <c r="C638" t="s">
        <v>4637</v>
      </c>
      <c r="D638" t="s">
        <v>4638</v>
      </c>
      <c r="E638" t="s">
        <v>4639</v>
      </c>
      <c r="F638" t="s">
        <v>4640</v>
      </c>
      <c r="G638">
        <v>74.11</v>
      </c>
      <c r="H638">
        <v>6</v>
      </c>
      <c r="I638" t="s">
        <v>22</v>
      </c>
      <c r="J638" t="s">
        <v>1440</v>
      </c>
      <c r="K638" t="s">
        <v>1440</v>
      </c>
      <c r="L638" t="s">
        <v>1439</v>
      </c>
      <c r="M638" t="s">
        <v>1440</v>
      </c>
      <c r="N638" t="s">
        <v>1439</v>
      </c>
      <c r="O638" t="s">
        <v>34</v>
      </c>
      <c r="Q638">
        <f t="shared" si="36"/>
        <v>1</v>
      </c>
      <c r="R638" t="e">
        <f t="shared" ca="1" si="37"/>
        <v>#NAME?</v>
      </c>
      <c r="S638">
        <f t="shared" si="38"/>
        <v>4</v>
      </c>
      <c r="T638" t="str">
        <f t="shared" si="39"/>
        <v>Ontevreden</v>
      </c>
    </row>
    <row r="639" spans="1:20" x14ac:dyDescent="0.3">
      <c r="A639" t="s">
        <v>4641</v>
      </c>
      <c r="B639" t="s">
        <v>2084</v>
      </c>
      <c r="C639" t="s">
        <v>4642</v>
      </c>
      <c r="D639" t="s">
        <v>4643</v>
      </c>
      <c r="E639" t="s">
        <v>4644</v>
      </c>
      <c r="F639" t="s">
        <v>4645</v>
      </c>
      <c r="G639">
        <v>80.72</v>
      </c>
      <c r="H639">
        <v>14</v>
      </c>
      <c r="I639" t="s">
        <v>29</v>
      </c>
      <c r="J639" t="s">
        <v>1440</v>
      </c>
      <c r="K639" t="s">
        <v>1440</v>
      </c>
      <c r="L639" t="s">
        <v>1440</v>
      </c>
      <c r="M639" t="s">
        <v>1439</v>
      </c>
      <c r="N639" t="s">
        <v>1439</v>
      </c>
      <c r="O639" t="s">
        <v>23</v>
      </c>
      <c r="Q639">
        <f t="shared" si="36"/>
        <v>1</v>
      </c>
      <c r="R639" t="e">
        <f t="shared" ca="1" si="37"/>
        <v>#NAME?</v>
      </c>
      <c r="S639">
        <f t="shared" si="38"/>
        <v>4</v>
      </c>
      <c r="T639" t="str">
        <f t="shared" si="39"/>
        <v>Ontevreden</v>
      </c>
    </row>
    <row r="640" spans="1:20" x14ac:dyDescent="0.3">
      <c r="A640" t="s">
        <v>4646</v>
      </c>
      <c r="B640" t="s">
        <v>4609</v>
      </c>
      <c r="C640" t="s">
        <v>4647</v>
      </c>
      <c r="D640" t="s">
        <v>4648</v>
      </c>
      <c r="E640" t="s">
        <v>4649</v>
      </c>
      <c r="F640" t="s">
        <v>4650</v>
      </c>
      <c r="G640">
        <v>158.57</v>
      </c>
      <c r="H640">
        <v>9</v>
      </c>
      <c r="I640" t="s">
        <v>57</v>
      </c>
      <c r="J640" t="s">
        <v>1439</v>
      </c>
      <c r="K640" t="s">
        <v>1440</v>
      </c>
      <c r="L640" t="s">
        <v>1440</v>
      </c>
      <c r="M640" t="s">
        <v>1439</v>
      </c>
      <c r="N640" t="s">
        <v>1440</v>
      </c>
      <c r="O640" t="s">
        <v>23</v>
      </c>
      <c r="Q640">
        <f t="shared" si="36"/>
        <v>1</v>
      </c>
      <c r="R640" t="e">
        <f t="shared" ca="1" si="37"/>
        <v>#NAME?</v>
      </c>
      <c r="S640">
        <f t="shared" si="38"/>
        <v>6</v>
      </c>
      <c r="T640" t="str">
        <f t="shared" si="39"/>
        <v>Ontevreden</v>
      </c>
    </row>
    <row r="641" spans="1:20" x14ac:dyDescent="0.3">
      <c r="A641" t="s">
        <v>2376</v>
      </c>
      <c r="B641" t="s">
        <v>3159</v>
      </c>
      <c r="C641" t="s">
        <v>4651</v>
      </c>
      <c r="D641" t="s">
        <v>4652</v>
      </c>
      <c r="E641" t="s">
        <v>4653</v>
      </c>
      <c r="F641" t="s">
        <v>4654</v>
      </c>
      <c r="G641">
        <v>128.16</v>
      </c>
      <c r="H641">
        <v>10</v>
      </c>
      <c r="I641" t="s">
        <v>22</v>
      </c>
      <c r="J641" t="s">
        <v>1440</v>
      </c>
      <c r="K641" t="s">
        <v>1440</v>
      </c>
      <c r="L641" t="s">
        <v>1440</v>
      </c>
      <c r="M641" t="s">
        <v>1440</v>
      </c>
      <c r="N641" t="s">
        <v>1440</v>
      </c>
      <c r="O641" t="s">
        <v>23</v>
      </c>
      <c r="Q641">
        <f t="shared" si="36"/>
        <v>1</v>
      </c>
      <c r="R641" t="e">
        <f t="shared" ca="1" si="37"/>
        <v>#NAME?</v>
      </c>
      <c r="S641">
        <f t="shared" si="38"/>
        <v>8</v>
      </c>
      <c r="T641" t="str">
        <f t="shared" si="39"/>
        <v>Tevreden</v>
      </c>
    </row>
    <row r="642" spans="1:20" x14ac:dyDescent="0.3">
      <c r="A642" t="s">
        <v>4655</v>
      </c>
      <c r="B642" t="s">
        <v>1434</v>
      </c>
      <c r="C642" t="s">
        <v>4656</v>
      </c>
      <c r="D642" t="s">
        <v>4657</v>
      </c>
      <c r="E642" t="s">
        <v>4658</v>
      </c>
      <c r="F642" t="s">
        <v>4659</v>
      </c>
      <c r="G642">
        <v>104.31</v>
      </c>
      <c r="H642">
        <v>13</v>
      </c>
      <c r="I642" t="s">
        <v>22</v>
      </c>
      <c r="J642" t="s">
        <v>1439</v>
      </c>
      <c r="K642" t="s">
        <v>1440</v>
      </c>
      <c r="L642" t="s">
        <v>1440</v>
      </c>
      <c r="M642" t="s">
        <v>1439</v>
      </c>
      <c r="N642" t="s">
        <v>1440</v>
      </c>
      <c r="O642" t="s">
        <v>34</v>
      </c>
      <c r="Q642">
        <f t="shared" ref="Q642:Q699" si="40">LEN(G642)-LEN(SUBSTITUTE(G642,",",""))+1</f>
        <v>1</v>
      </c>
      <c r="R642" t="e">
        <f t="shared" ref="R642:R699" ca="1" si="41">SWITCH(I642, "Zelden", 1, "Af en toe", 4, "Regelmatig", 8, "Vaak", 12)</f>
        <v>#NAME?</v>
      </c>
      <c r="S642">
        <f t="shared" ref="S642:S699" si="42">AVERAGE(--(K642="ja"), --(L642="ja"), --(M642="ja"), --(N642="ja"), --(O642="ja"))*10</f>
        <v>6</v>
      </c>
      <c r="T642" t="str">
        <f t="shared" ref="T642:T705" si="43">IF(S642&gt;=7, "Tevreden", "Ontevreden")</f>
        <v>Ontevreden</v>
      </c>
    </row>
    <row r="643" spans="1:20" x14ac:dyDescent="0.3">
      <c r="A643" t="s">
        <v>4660</v>
      </c>
      <c r="B643" t="s">
        <v>1951</v>
      </c>
      <c r="C643" t="s">
        <v>4661</v>
      </c>
      <c r="D643" t="s">
        <v>4662</v>
      </c>
      <c r="E643" t="s">
        <v>4663</v>
      </c>
      <c r="F643" t="s">
        <v>4664</v>
      </c>
      <c r="G643">
        <v>147.21</v>
      </c>
      <c r="H643">
        <v>20</v>
      </c>
      <c r="I643" t="s">
        <v>22</v>
      </c>
      <c r="J643" t="s">
        <v>1440</v>
      </c>
      <c r="K643" t="s">
        <v>1440</v>
      </c>
      <c r="L643" t="s">
        <v>1439</v>
      </c>
      <c r="M643" t="s">
        <v>1440</v>
      </c>
      <c r="N643" t="s">
        <v>1440</v>
      </c>
      <c r="O643" t="s">
        <v>23</v>
      </c>
      <c r="Q643">
        <f t="shared" si="40"/>
        <v>1</v>
      </c>
      <c r="R643" t="e">
        <f t="shared" ca="1" si="41"/>
        <v>#NAME?</v>
      </c>
      <c r="S643">
        <f t="shared" si="42"/>
        <v>6</v>
      </c>
      <c r="T643" t="str">
        <f t="shared" si="43"/>
        <v>Ontevreden</v>
      </c>
    </row>
    <row r="644" spans="1:20" x14ac:dyDescent="0.3">
      <c r="A644" t="s">
        <v>4665</v>
      </c>
      <c r="B644" t="s">
        <v>2734</v>
      </c>
      <c r="C644" t="s">
        <v>4666</v>
      </c>
      <c r="D644" t="s">
        <v>4667</v>
      </c>
      <c r="E644" t="s">
        <v>4668</v>
      </c>
      <c r="F644" t="s">
        <v>4665</v>
      </c>
      <c r="G644">
        <v>146</v>
      </c>
      <c r="H644">
        <v>17</v>
      </c>
      <c r="I644" t="s">
        <v>22</v>
      </c>
      <c r="J644" t="s">
        <v>1440</v>
      </c>
      <c r="K644" t="s">
        <v>1440</v>
      </c>
      <c r="L644" t="s">
        <v>1440</v>
      </c>
      <c r="M644" t="s">
        <v>1440</v>
      </c>
      <c r="N644" t="s">
        <v>1440</v>
      </c>
      <c r="O644" t="s">
        <v>23</v>
      </c>
      <c r="Q644">
        <f t="shared" si="40"/>
        <v>1</v>
      </c>
      <c r="R644" t="e">
        <f t="shared" ca="1" si="41"/>
        <v>#NAME?</v>
      </c>
      <c r="S644">
        <f t="shared" si="42"/>
        <v>8</v>
      </c>
      <c r="T644" t="str">
        <f t="shared" si="43"/>
        <v>Tevreden</v>
      </c>
    </row>
    <row r="645" spans="1:20" x14ac:dyDescent="0.3">
      <c r="A645" t="s">
        <v>4669</v>
      </c>
      <c r="B645" t="s">
        <v>4444</v>
      </c>
      <c r="C645" t="s">
        <v>4670</v>
      </c>
      <c r="D645" t="s">
        <v>4671</v>
      </c>
      <c r="E645" t="s">
        <v>4672</v>
      </c>
      <c r="F645" t="s">
        <v>4673</v>
      </c>
      <c r="G645">
        <v>181.99</v>
      </c>
      <c r="H645">
        <v>7</v>
      </c>
      <c r="I645" t="s">
        <v>29</v>
      </c>
      <c r="J645" t="s">
        <v>1440</v>
      </c>
      <c r="K645" t="s">
        <v>1440</v>
      </c>
      <c r="L645" t="s">
        <v>1440</v>
      </c>
      <c r="M645" t="s">
        <v>1440</v>
      </c>
      <c r="N645" t="s">
        <v>1440</v>
      </c>
      <c r="O645" t="s">
        <v>23</v>
      </c>
      <c r="Q645">
        <f t="shared" si="40"/>
        <v>1</v>
      </c>
      <c r="R645" t="e">
        <f t="shared" ca="1" si="41"/>
        <v>#NAME?</v>
      </c>
      <c r="S645">
        <f t="shared" si="42"/>
        <v>8</v>
      </c>
      <c r="T645" t="str">
        <f t="shared" si="43"/>
        <v>Tevreden</v>
      </c>
    </row>
    <row r="646" spans="1:20" x14ac:dyDescent="0.3">
      <c r="A646" t="s">
        <v>4674</v>
      </c>
      <c r="B646" t="s">
        <v>1967</v>
      </c>
      <c r="C646" t="s">
        <v>4675</v>
      </c>
      <c r="D646" t="s">
        <v>4676</v>
      </c>
      <c r="E646" t="s">
        <v>4677</v>
      </c>
      <c r="F646" t="s">
        <v>4678</v>
      </c>
      <c r="G646">
        <v>201.12</v>
      </c>
      <c r="H646">
        <v>3</v>
      </c>
      <c r="I646" t="s">
        <v>22</v>
      </c>
      <c r="J646" t="s">
        <v>1440</v>
      </c>
      <c r="K646" t="s">
        <v>1439</v>
      </c>
      <c r="L646" t="s">
        <v>1440</v>
      </c>
      <c r="M646" t="s">
        <v>1440</v>
      </c>
      <c r="N646" t="s">
        <v>1440</v>
      </c>
      <c r="O646" t="s">
        <v>34</v>
      </c>
      <c r="Q646">
        <f t="shared" si="40"/>
        <v>1</v>
      </c>
      <c r="R646" t="e">
        <f t="shared" ca="1" si="41"/>
        <v>#NAME?</v>
      </c>
      <c r="S646">
        <f t="shared" si="42"/>
        <v>6</v>
      </c>
      <c r="T646" t="str">
        <f t="shared" si="43"/>
        <v>Ontevreden</v>
      </c>
    </row>
    <row r="647" spans="1:20" x14ac:dyDescent="0.3">
      <c r="A647" t="s">
        <v>4433</v>
      </c>
      <c r="B647" t="s">
        <v>4679</v>
      </c>
      <c r="C647" t="s">
        <v>4680</v>
      </c>
      <c r="D647" t="s">
        <v>617</v>
      </c>
      <c r="E647" t="s">
        <v>4681</v>
      </c>
      <c r="F647" t="s">
        <v>4682</v>
      </c>
      <c r="G647">
        <v>85.5</v>
      </c>
      <c r="H647">
        <v>4</v>
      </c>
      <c r="I647" t="s">
        <v>57</v>
      </c>
      <c r="J647" t="s">
        <v>1440</v>
      </c>
      <c r="K647" t="s">
        <v>1440</v>
      </c>
      <c r="L647" t="s">
        <v>1440</v>
      </c>
      <c r="M647" t="s">
        <v>1440</v>
      </c>
      <c r="N647" t="s">
        <v>1439</v>
      </c>
      <c r="O647" t="s">
        <v>78</v>
      </c>
      <c r="Q647">
        <f t="shared" si="40"/>
        <v>1</v>
      </c>
      <c r="R647" t="e">
        <f t="shared" ca="1" si="41"/>
        <v>#NAME?</v>
      </c>
      <c r="S647">
        <f t="shared" si="42"/>
        <v>6</v>
      </c>
      <c r="T647" t="str">
        <f t="shared" si="43"/>
        <v>Ontevreden</v>
      </c>
    </row>
    <row r="648" spans="1:20" x14ac:dyDescent="0.3">
      <c r="A648" t="s">
        <v>4683</v>
      </c>
      <c r="B648" t="s">
        <v>1472</v>
      </c>
      <c r="C648" t="s">
        <v>4684</v>
      </c>
      <c r="D648" t="s">
        <v>4685</v>
      </c>
      <c r="E648" t="s">
        <v>4686</v>
      </c>
      <c r="F648" t="s">
        <v>4687</v>
      </c>
      <c r="G648">
        <v>95.24</v>
      </c>
      <c r="H648">
        <v>16</v>
      </c>
      <c r="I648" t="s">
        <v>22</v>
      </c>
      <c r="J648" t="s">
        <v>1440</v>
      </c>
      <c r="K648" t="s">
        <v>1439</v>
      </c>
      <c r="L648" t="s">
        <v>1440</v>
      </c>
      <c r="M648" t="s">
        <v>1440</v>
      </c>
      <c r="N648" t="s">
        <v>1440</v>
      </c>
      <c r="O648" t="s">
        <v>23</v>
      </c>
      <c r="Q648">
        <f t="shared" si="40"/>
        <v>1</v>
      </c>
      <c r="R648" t="e">
        <f t="shared" ca="1" si="41"/>
        <v>#NAME?</v>
      </c>
      <c r="S648">
        <f t="shared" si="42"/>
        <v>6</v>
      </c>
      <c r="T648" t="str">
        <f t="shared" si="43"/>
        <v>Ontevreden</v>
      </c>
    </row>
    <row r="649" spans="1:20" x14ac:dyDescent="0.3">
      <c r="A649" t="s">
        <v>3487</v>
      </c>
      <c r="B649" t="s">
        <v>4688</v>
      </c>
      <c r="C649" t="s">
        <v>4689</v>
      </c>
      <c r="D649" t="s">
        <v>4690</v>
      </c>
      <c r="E649" t="s">
        <v>4691</v>
      </c>
      <c r="F649" t="s">
        <v>4692</v>
      </c>
      <c r="G649">
        <v>194.38</v>
      </c>
      <c r="H649">
        <v>6</v>
      </c>
      <c r="I649" t="s">
        <v>29</v>
      </c>
      <c r="J649" t="s">
        <v>1440</v>
      </c>
      <c r="K649" t="s">
        <v>1439</v>
      </c>
      <c r="L649" t="s">
        <v>1440</v>
      </c>
      <c r="M649" t="s">
        <v>1440</v>
      </c>
      <c r="N649" t="s">
        <v>1440</v>
      </c>
      <c r="O649" t="s">
        <v>34</v>
      </c>
      <c r="Q649">
        <f t="shared" si="40"/>
        <v>1</v>
      </c>
      <c r="R649" t="e">
        <f t="shared" ca="1" si="41"/>
        <v>#NAME?</v>
      </c>
      <c r="S649">
        <f t="shared" si="42"/>
        <v>6</v>
      </c>
      <c r="T649" t="str">
        <f t="shared" si="43"/>
        <v>Ontevreden</v>
      </c>
    </row>
    <row r="650" spans="1:20" x14ac:dyDescent="0.3">
      <c r="A650" t="s">
        <v>1976</v>
      </c>
      <c r="B650" t="s">
        <v>3159</v>
      </c>
      <c r="C650" t="s">
        <v>4693</v>
      </c>
      <c r="D650" t="s">
        <v>4694</v>
      </c>
      <c r="E650" t="s">
        <v>4695</v>
      </c>
      <c r="F650" t="s">
        <v>1976</v>
      </c>
      <c r="G650">
        <v>41.46</v>
      </c>
      <c r="H650">
        <v>9</v>
      </c>
      <c r="I650" t="s">
        <v>29</v>
      </c>
      <c r="J650" t="s">
        <v>1440</v>
      </c>
      <c r="K650" t="s">
        <v>1439</v>
      </c>
      <c r="L650" t="s">
        <v>1439</v>
      </c>
      <c r="M650" t="s">
        <v>1440</v>
      </c>
      <c r="N650" t="s">
        <v>1440</v>
      </c>
      <c r="O650" t="s">
        <v>34</v>
      </c>
      <c r="Q650">
        <f t="shared" si="40"/>
        <v>1</v>
      </c>
      <c r="R650" t="e">
        <f t="shared" ca="1" si="41"/>
        <v>#NAME?</v>
      </c>
      <c r="S650">
        <f t="shared" si="42"/>
        <v>4</v>
      </c>
      <c r="T650" t="str">
        <f t="shared" si="43"/>
        <v>Ontevreden</v>
      </c>
    </row>
    <row r="651" spans="1:20" x14ac:dyDescent="0.3">
      <c r="A651" t="s">
        <v>4696</v>
      </c>
      <c r="B651" t="s">
        <v>2403</v>
      </c>
      <c r="C651" t="s">
        <v>4697</v>
      </c>
      <c r="D651" t="s">
        <v>4698</v>
      </c>
      <c r="E651" t="s">
        <v>4699</v>
      </c>
      <c r="F651" t="s">
        <v>4696</v>
      </c>
      <c r="G651">
        <v>95.96</v>
      </c>
      <c r="H651">
        <v>1</v>
      </c>
      <c r="I651" t="s">
        <v>57</v>
      </c>
      <c r="J651" t="s">
        <v>1440</v>
      </c>
      <c r="K651" t="s">
        <v>1440</v>
      </c>
      <c r="L651" t="s">
        <v>1439</v>
      </c>
      <c r="M651" t="s">
        <v>1440</v>
      </c>
      <c r="N651" t="s">
        <v>1440</v>
      </c>
      <c r="O651" t="s">
        <v>34</v>
      </c>
      <c r="Q651">
        <f t="shared" si="40"/>
        <v>1</v>
      </c>
      <c r="R651" t="e">
        <f t="shared" ca="1" si="41"/>
        <v>#NAME?</v>
      </c>
      <c r="S651">
        <f t="shared" si="42"/>
        <v>6</v>
      </c>
      <c r="T651" t="str">
        <f t="shared" si="43"/>
        <v>Ontevreden</v>
      </c>
    </row>
    <row r="652" spans="1:20" x14ac:dyDescent="0.3">
      <c r="A652" t="s">
        <v>4700</v>
      </c>
      <c r="B652" t="s">
        <v>1987</v>
      </c>
      <c r="C652" t="s">
        <v>4701</v>
      </c>
      <c r="D652" t="s">
        <v>4702</v>
      </c>
      <c r="E652" t="s">
        <v>4703</v>
      </c>
      <c r="F652" t="s">
        <v>4704</v>
      </c>
      <c r="G652">
        <v>96.37</v>
      </c>
      <c r="H652">
        <v>11</v>
      </c>
      <c r="I652" t="s">
        <v>57</v>
      </c>
      <c r="J652" t="s">
        <v>1440</v>
      </c>
      <c r="K652" t="s">
        <v>1439</v>
      </c>
      <c r="L652" t="s">
        <v>1440</v>
      </c>
      <c r="M652" t="s">
        <v>1440</v>
      </c>
      <c r="N652" t="s">
        <v>1440</v>
      </c>
      <c r="O652" t="s">
        <v>23</v>
      </c>
      <c r="Q652">
        <f t="shared" si="40"/>
        <v>1</v>
      </c>
      <c r="R652" t="e">
        <f t="shared" ca="1" si="41"/>
        <v>#NAME?</v>
      </c>
      <c r="S652">
        <f t="shared" si="42"/>
        <v>6</v>
      </c>
      <c r="T652" t="str">
        <f t="shared" si="43"/>
        <v>Ontevreden</v>
      </c>
    </row>
    <row r="653" spans="1:20" x14ac:dyDescent="0.3">
      <c r="A653" t="s">
        <v>4705</v>
      </c>
      <c r="B653" t="s">
        <v>2251</v>
      </c>
      <c r="C653" t="s">
        <v>4706</v>
      </c>
      <c r="D653" t="s">
        <v>4707</v>
      </c>
      <c r="E653" t="s">
        <v>4708</v>
      </c>
      <c r="F653" t="s">
        <v>4709</v>
      </c>
      <c r="G653">
        <v>201.16</v>
      </c>
      <c r="H653">
        <v>12</v>
      </c>
      <c r="I653" t="s">
        <v>22</v>
      </c>
      <c r="J653" t="s">
        <v>1439</v>
      </c>
      <c r="K653" t="s">
        <v>1439</v>
      </c>
      <c r="L653" t="s">
        <v>1440</v>
      </c>
      <c r="M653" t="s">
        <v>1440</v>
      </c>
      <c r="N653" t="s">
        <v>1440</v>
      </c>
      <c r="O653" t="s">
        <v>78</v>
      </c>
      <c r="Q653">
        <f t="shared" si="40"/>
        <v>1</v>
      </c>
      <c r="R653" t="e">
        <f t="shared" ca="1" si="41"/>
        <v>#NAME?</v>
      </c>
      <c r="S653">
        <f t="shared" si="42"/>
        <v>6</v>
      </c>
      <c r="T653" t="str">
        <f t="shared" si="43"/>
        <v>Ontevreden</v>
      </c>
    </row>
    <row r="654" spans="1:20" x14ac:dyDescent="0.3">
      <c r="A654" t="s">
        <v>4710</v>
      </c>
      <c r="B654" t="s">
        <v>4711</v>
      </c>
      <c r="C654" t="s">
        <v>4712</v>
      </c>
      <c r="D654" t="s">
        <v>4713</v>
      </c>
      <c r="E654" t="s">
        <v>4714</v>
      </c>
      <c r="F654" t="s">
        <v>4715</v>
      </c>
      <c r="G654">
        <v>152.58000000000001</v>
      </c>
      <c r="H654">
        <v>18</v>
      </c>
      <c r="I654" t="s">
        <v>29</v>
      </c>
      <c r="J654" t="s">
        <v>1440</v>
      </c>
      <c r="K654" t="s">
        <v>1440</v>
      </c>
      <c r="L654" t="s">
        <v>1439</v>
      </c>
      <c r="M654" t="s">
        <v>1440</v>
      </c>
      <c r="N654" t="s">
        <v>1440</v>
      </c>
      <c r="O654" t="s">
        <v>23</v>
      </c>
      <c r="Q654">
        <f t="shared" si="40"/>
        <v>1</v>
      </c>
      <c r="R654" t="e">
        <f t="shared" ca="1" si="41"/>
        <v>#NAME?</v>
      </c>
      <c r="S654">
        <f t="shared" si="42"/>
        <v>6</v>
      </c>
      <c r="T654" t="str">
        <f t="shared" si="43"/>
        <v>Ontevreden</v>
      </c>
    </row>
    <row r="655" spans="1:20" x14ac:dyDescent="0.3">
      <c r="A655" t="s">
        <v>3648</v>
      </c>
      <c r="B655" t="s">
        <v>3578</v>
      </c>
      <c r="C655" t="s">
        <v>4716</v>
      </c>
      <c r="D655" t="s">
        <v>4717</v>
      </c>
      <c r="E655" t="s">
        <v>4718</v>
      </c>
      <c r="F655" t="s">
        <v>4719</v>
      </c>
      <c r="G655">
        <v>127.08</v>
      </c>
      <c r="H655">
        <v>16</v>
      </c>
      <c r="I655" t="s">
        <v>22</v>
      </c>
      <c r="J655" t="s">
        <v>1440</v>
      </c>
      <c r="K655" t="s">
        <v>1440</v>
      </c>
      <c r="L655" t="s">
        <v>1440</v>
      </c>
      <c r="M655" t="s">
        <v>1440</v>
      </c>
      <c r="N655" t="s">
        <v>1440</v>
      </c>
      <c r="O655" t="s">
        <v>23</v>
      </c>
      <c r="Q655">
        <f t="shared" si="40"/>
        <v>1</v>
      </c>
      <c r="R655" t="e">
        <f t="shared" ca="1" si="41"/>
        <v>#NAME?</v>
      </c>
      <c r="S655">
        <f t="shared" si="42"/>
        <v>8</v>
      </c>
      <c r="T655" t="str">
        <f t="shared" si="43"/>
        <v>Tevreden</v>
      </c>
    </row>
    <row r="656" spans="1:20" x14ac:dyDescent="0.3">
      <c r="A656" t="s">
        <v>4720</v>
      </c>
      <c r="B656" t="s">
        <v>4721</v>
      </c>
      <c r="C656" t="s">
        <v>4722</v>
      </c>
      <c r="D656" t="s">
        <v>4723</v>
      </c>
      <c r="E656" t="s">
        <v>4724</v>
      </c>
      <c r="F656" t="s">
        <v>4725</v>
      </c>
      <c r="G656">
        <v>172.98</v>
      </c>
      <c r="H656">
        <v>11</v>
      </c>
      <c r="I656" t="s">
        <v>29</v>
      </c>
      <c r="J656" t="s">
        <v>1440</v>
      </c>
      <c r="K656" t="s">
        <v>1440</v>
      </c>
      <c r="L656" t="s">
        <v>1440</v>
      </c>
      <c r="M656" t="s">
        <v>1440</v>
      </c>
      <c r="N656" t="s">
        <v>1440</v>
      </c>
      <c r="O656" t="s">
        <v>34</v>
      </c>
      <c r="Q656">
        <f t="shared" si="40"/>
        <v>1</v>
      </c>
      <c r="R656" t="e">
        <f t="shared" ca="1" si="41"/>
        <v>#NAME?</v>
      </c>
      <c r="S656">
        <f t="shared" si="42"/>
        <v>8</v>
      </c>
      <c r="T656" t="str">
        <f t="shared" si="43"/>
        <v>Tevreden</v>
      </c>
    </row>
    <row r="657" spans="1:20" x14ac:dyDescent="0.3">
      <c r="A657" t="s">
        <v>4726</v>
      </c>
      <c r="B657" t="s">
        <v>4727</v>
      </c>
      <c r="C657" t="s">
        <v>4728</v>
      </c>
      <c r="D657" t="s">
        <v>4729</v>
      </c>
      <c r="E657" t="s">
        <v>4730</v>
      </c>
      <c r="F657" t="s">
        <v>4731</v>
      </c>
      <c r="G657">
        <v>100.46</v>
      </c>
      <c r="H657">
        <v>7</v>
      </c>
      <c r="I657" t="s">
        <v>29</v>
      </c>
      <c r="J657" t="s">
        <v>1439</v>
      </c>
      <c r="K657" t="s">
        <v>1440</v>
      </c>
      <c r="L657" t="s">
        <v>1440</v>
      </c>
      <c r="M657" t="s">
        <v>1440</v>
      </c>
      <c r="N657" t="s">
        <v>1439</v>
      </c>
      <c r="O657" t="s">
        <v>23</v>
      </c>
      <c r="Q657">
        <f t="shared" si="40"/>
        <v>1</v>
      </c>
      <c r="R657" t="e">
        <f t="shared" ca="1" si="41"/>
        <v>#NAME?</v>
      </c>
      <c r="S657">
        <f t="shared" si="42"/>
        <v>6</v>
      </c>
      <c r="T657" t="str">
        <f t="shared" si="43"/>
        <v>Ontevreden</v>
      </c>
    </row>
    <row r="658" spans="1:20" x14ac:dyDescent="0.3">
      <c r="A658" t="s">
        <v>4732</v>
      </c>
      <c r="B658" t="s">
        <v>2174</v>
      </c>
      <c r="C658" t="s">
        <v>4733</v>
      </c>
      <c r="D658" t="s">
        <v>4734</v>
      </c>
      <c r="E658" t="s">
        <v>4735</v>
      </c>
      <c r="F658" t="s">
        <v>4736</v>
      </c>
      <c r="G658">
        <v>90.65</v>
      </c>
      <c r="H658">
        <v>7</v>
      </c>
      <c r="I658" t="s">
        <v>22</v>
      </c>
      <c r="J658" t="s">
        <v>1440</v>
      </c>
      <c r="K658" t="s">
        <v>1440</v>
      </c>
      <c r="L658" t="s">
        <v>1440</v>
      </c>
      <c r="M658" t="s">
        <v>1440</v>
      </c>
      <c r="N658" t="s">
        <v>1440</v>
      </c>
      <c r="O658" t="s">
        <v>23</v>
      </c>
      <c r="Q658">
        <f t="shared" si="40"/>
        <v>1</v>
      </c>
      <c r="R658" t="e">
        <f t="shared" ca="1" si="41"/>
        <v>#NAME?</v>
      </c>
      <c r="S658">
        <f t="shared" si="42"/>
        <v>8</v>
      </c>
      <c r="T658" t="str">
        <f t="shared" si="43"/>
        <v>Tevreden</v>
      </c>
    </row>
    <row r="659" spans="1:20" x14ac:dyDescent="0.3">
      <c r="A659" t="s">
        <v>2560</v>
      </c>
      <c r="B659" t="s">
        <v>1655</v>
      </c>
      <c r="C659" t="s">
        <v>4737</v>
      </c>
      <c r="D659" t="s">
        <v>4738</v>
      </c>
      <c r="E659" t="s">
        <v>4739</v>
      </c>
      <c r="F659" t="s">
        <v>2560</v>
      </c>
      <c r="G659">
        <v>139.38</v>
      </c>
      <c r="H659">
        <v>23</v>
      </c>
      <c r="I659" t="s">
        <v>29</v>
      </c>
      <c r="J659" t="s">
        <v>1440</v>
      </c>
      <c r="K659" t="s">
        <v>1440</v>
      </c>
      <c r="L659" t="s">
        <v>1439</v>
      </c>
      <c r="M659" t="s">
        <v>1440</v>
      </c>
      <c r="N659" t="s">
        <v>1440</v>
      </c>
      <c r="O659" t="s">
        <v>23</v>
      </c>
      <c r="Q659">
        <f t="shared" si="40"/>
        <v>1</v>
      </c>
      <c r="R659" t="e">
        <f t="shared" ca="1" si="41"/>
        <v>#NAME?</v>
      </c>
      <c r="S659">
        <f t="shared" si="42"/>
        <v>6</v>
      </c>
      <c r="T659" t="str">
        <f t="shared" si="43"/>
        <v>Ontevreden</v>
      </c>
    </row>
    <row r="660" spans="1:20" x14ac:dyDescent="0.3">
      <c r="A660" t="s">
        <v>2650</v>
      </c>
      <c r="B660" t="s">
        <v>2662</v>
      </c>
      <c r="C660" t="s">
        <v>4740</v>
      </c>
      <c r="D660" t="s">
        <v>4741</v>
      </c>
      <c r="E660" t="s">
        <v>4742</v>
      </c>
      <c r="F660" t="s">
        <v>4743</v>
      </c>
      <c r="G660">
        <v>123.91</v>
      </c>
      <c r="H660">
        <v>12</v>
      </c>
      <c r="I660" t="s">
        <v>29</v>
      </c>
      <c r="J660" t="s">
        <v>1440</v>
      </c>
      <c r="K660" t="s">
        <v>1440</v>
      </c>
      <c r="L660" t="s">
        <v>1440</v>
      </c>
      <c r="M660" t="s">
        <v>1440</v>
      </c>
      <c r="N660" t="s">
        <v>1440</v>
      </c>
      <c r="O660" t="s">
        <v>23</v>
      </c>
      <c r="Q660">
        <f t="shared" si="40"/>
        <v>1</v>
      </c>
      <c r="R660" t="e">
        <f t="shared" ca="1" si="41"/>
        <v>#NAME?</v>
      </c>
      <c r="S660">
        <f t="shared" si="42"/>
        <v>8</v>
      </c>
      <c r="T660" t="str">
        <f t="shared" si="43"/>
        <v>Tevreden</v>
      </c>
    </row>
    <row r="661" spans="1:20" x14ac:dyDescent="0.3">
      <c r="A661" t="s">
        <v>4744</v>
      </c>
      <c r="B661" t="s">
        <v>2024</v>
      </c>
      <c r="C661" t="s">
        <v>4745</v>
      </c>
      <c r="D661" t="s">
        <v>4746</v>
      </c>
      <c r="E661" t="s">
        <v>4747</v>
      </c>
      <c r="F661" t="s">
        <v>4748</v>
      </c>
      <c r="G661">
        <v>150.26</v>
      </c>
      <c r="H661">
        <v>6</v>
      </c>
      <c r="I661" t="s">
        <v>29</v>
      </c>
      <c r="J661" t="s">
        <v>1440</v>
      </c>
      <c r="K661" t="s">
        <v>1440</v>
      </c>
      <c r="L661" t="s">
        <v>1440</v>
      </c>
      <c r="M661" t="s">
        <v>1440</v>
      </c>
      <c r="N661" t="s">
        <v>1440</v>
      </c>
      <c r="O661" t="s">
        <v>23</v>
      </c>
      <c r="Q661">
        <f t="shared" si="40"/>
        <v>1</v>
      </c>
      <c r="R661" t="e">
        <f t="shared" ca="1" si="41"/>
        <v>#NAME?</v>
      </c>
      <c r="S661">
        <f t="shared" si="42"/>
        <v>8</v>
      </c>
      <c r="T661" t="str">
        <f t="shared" si="43"/>
        <v>Tevreden</v>
      </c>
    </row>
    <row r="662" spans="1:20" x14ac:dyDescent="0.3">
      <c r="A662" t="s">
        <v>4749</v>
      </c>
      <c r="B662" t="s">
        <v>2403</v>
      </c>
      <c r="C662" t="s">
        <v>4750</v>
      </c>
      <c r="D662" t="s">
        <v>4751</v>
      </c>
      <c r="E662" t="s">
        <v>4752</v>
      </c>
      <c r="F662" t="s">
        <v>4753</v>
      </c>
      <c r="G662">
        <v>136.28</v>
      </c>
      <c r="H662">
        <v>23</v>
      </c>
      <c r="I662" t="s">
        <v>22</v>
      </c>
      <c r="J662" t="s">
        <v>1440</v>
      </c>
      <c r="K662" t="s">
        <v>1440</v>
      </c>
      <c r="L662" t="s">
        <v>1440</v>
      </c>
      <c r="M662" t="s">
        <v>1439</v>
      </c>
      <c r="N662" t="s">
        <v>1440</v>
      </c>
      <c r="O662" t="s">
        <v>23</v>
      </c>
      <c r="Q662">
        <f t="shared" si="40"/>
        <v>1</v>
      </c>
      <c r="R662" t="e">
        <f t="shared" ca="1" si="41"/>
        <v>#NAME?</v>
      </c>
      <c r="S662">
        <f t="shared" si="42"/>
        <v>6</v>
      </c>
      <c r="T662" t="str">
        <f t="shared" si="43"/>
        <v>Ontevreden</v>
      </c>
    </row>
    <row r="663" spans="1:20" x14ac:dyDescent="0.3">
      <c r="A663" t="s">
        <v>3557</v>
      </c>
      <c r="B663" t="s">
        <v>3080</v>
      </c>
      <c r="C663" t="s">
        <v>4754</v>
      </c>
      <c r="D663" t="s">
        <v>2399</v>
      </c>
      <c r="E663" t="s">
        <v>4755</v>
      </c>
      <c r="F663" t="s">
        <v>4756</v>
      </c>
      <c r="G663">
        <v>133.19</v>
      </c>
      <c r="H663">
        <v>15</v>
      </c>
      <c r="I663" t="s">
        <v>22</v>
      </c>
      <c r="J663" t="s">
        <v>1440</v>
      </c>
      <c r="K663" t="s">
        <v>1440</v>
      </c>
      <c r="L663" t="s">
        <v>1440</v>
      </c>
      <c r="M663" t="s">
        <v>1440</v>
      </c>
      <c r="N663" t="s">
        <v>1439</v>
      </c>
      <c r="O663" t="s">
        <v>23</v>
      </c>
      <c r="Q663">
        <f t="shared" si="40"/>
        <v>1</v>
      </c>
      <c r="R663" t="e">
        <f t="shared" ca="1" si="41"/>
        <v>#NAME?</v>
      </c>
      <c r="S663">
        <f t="shared" si="42"/>
        <v>6</v>
      </c>
      <c r="T663" t="str">
        <f t="shared" si="43"/>
        <v>Ontevreden</v>
      </c>
    </row>
    <row r="664" spans="1:20" x14ac:dyDescent="0.3">
      <c r="A664" t="s">
        <v>4700</v>
      </c>
      <c r="B664" t="s">
        <v>1526</v>
      </c>
      <c r="C664" t="s">
        <v>4757</v>
      </c>
      <c r="D664" t="s">
        <v>4758</v>
      </c>
      <c r="E664" t="s">
        <v>4759</v>
      </c>
      <c r="F664" t="s">
        <v>4760</v>
      </c>
      <c r="G664">
        <v>130.05000000000001</v>
      </c>
      <c r="H664">
        <v>9</v>
      </c>
      <c r="I664" t="s">
        <v>29</v>
      </c>
      <c r="J664" t="s">
        <v>1439</v>
      </c>
      <c r="K664" t="s">
        <v>1440</v>
      </c>
      <c r="L664" t="s">
        <v>1440</v>
      </c>
      <c r="M664" t="s">
        <v>1439</v>
      </c>
      <c r="N664" t="s">
        <v>1440</v>
      </c>
      <c r="O664" t="s">
        <v>23</v>
      </c>
      <c r="Q664">
        <f t="shared" si="40"/>
        <v>1</v>
      </c>
      <c r="R664" t="e">
        <f t="shared" ca="1" si="41"/>
        <v>#NAME?</v>
      </c>
      <c r="S664">
        <f t="shared" si="42"/>
        <v>6</v>
      </c>
      <c r="T664" t="str">
        <f t="shared" si="43"/>
        <v>Ontevreden</v>
      </c>
    </row>
    <row r="665" spans="1:20" x14ac:dyDescent="0.3">
      <c r="A665" t="s">
        <v>4761</v>
      </c>
      <c r="B665" t="s">
        <v>4762</v>
      </c>
      <c r="C665" t="s">
        <v>4763</v>
      </c>
      <c r="D665" t="s">
        <v>4764</v>
      </c>
      <c r="E665" t="s">
        <v>4765</v>
      </c>
      <c r="F665" t="s">
        <v>4766</v>
      </c>
      <c r="G665">
        <v>134.16999999999999</v>
      </c>
      <c r="H665">
        <v>16</v>
      </c>
      <c r="I665" t="s">
        <v>22</v>
      </c>
      <c r="J665" t="s">
        <v>1440</v>
      </c>
      <c r="K665" t="s">
        <v>1440</v>
      </c>
      <c r="L665" t="s">
        <v>1440</v>
      </c>
      <c r="M665" t="s">
        <v>1439</v>
      </c>
      <c r="N665" t="s">
        <v>1440</v>
      </c>
      <c r="O665" t="s">
        <v>23</v>
      </c>
      <c r="Q665">
        <f t="shared" si="40"/>
        <v>1</v>
      </c>
      <c r="R665" t="e">
        <f t="shared" ca="1" si="41"/>
        <v>#NAME?</v>
      </c>
      <c r="S665">
        <f t="shared" si="42"/>
        <v>6</v>
      </c>
      <c r="T665" t="str">
        <f t="shared" si="43"/>
        <v>Ontevreden</v>
      </c>
    </row>
    <row r="666" spans="1:20" x14ac:dyDescent="0.3">
      <c r="A666" t="s">
        <v>3701</v>
      </c>
      <c r="B666" t="s">
        <v>3080</v>
      </c>
      <c r="C666" t="s">
        <v>4767</v>
      </c>
      <c r="D666" t="s">
        <v>4768</v>
      </c>
      <c r="E666" t="s">
        <v>4769</v>
      </c>
      <c r="F666" t="s">
        <v>4770</v>
      </c>
      <c r="G666">
        <v>178.81</v>
      </c>
      <c r="H666">
        <v>21</v>
      </c>
      <c r="I666" t="s">
        <v>22</v>
      </c>
      <c r="J666" t="s">
        <v>1439</v>
      </c>
      <c r="K666" t="s">
        <v>1440</v>
      </c>
      <c r="L666" t="s">
        <v>1440</v>
      </c>
      <c r="M666" t="s">
        <v>1440</v>
      </c>
      <c r="N666" t="s">
        <v>1439</v>
      </c>
      <c r="O666" t="s">
        <v>23</v>
      </c>
      <c r="Q666">
        <f t="shared" si="40"/>
        <v>1</v>
      </c>
      <c r="R666" t="e">
        <f t="shared" ca="1" si="41"/>
        <v>#NAME?</v>
      </c>
      <c r="S666">
        <f t="shared" si="42"/>
        <v>6</v>
      </c>
      <c r="T666" t="str">
        <f t="shared" si="43"/>
        <v>Ontevreden</v>
      </c>
    </row>
    <row r="667" spans="1:20" x14ac:dyDescent="0.3">
      <c r="A667" t="s">
        <v>4771</v>
      </c>
      <c r="B667" t="s">
        <v>3035</v>
      </c>
      <c r="C667" t="s">
        <v>4772</v>
      </c>
      <c r="D667" t="s">
        <v>4773</v>
      </c>
      <c r="E667" t="s">
        <v>4774</v>
      </c>
      <c r="F667" t="s">
        <v>4775</v>
      </c>
      <c r="G667">
        <v>169.45</v>
      </c>
      <c r="H667">
        <v>6</v>
      </c>
      <c r="I667" t="s">
        <v>29</v>
      </c>
      <c r="J667" t="s">
        <v>1440</v>
      </c>
      <c r="K667" t="s">
        <v>1440</v>
      </c>
      <c r="L667" t="s">
        <v>1439</v>
      </c>
      <c r="M667" t="s">
        <v>1440</v>
      </c>
      <c r="N667" t="s">
        <v>1440</v>
      </c>
      <c r="O667" t="s">
        <v>23</v>
      </c>
      <c r="Q667">
        <f t="shared" si="40"/>
        <v>1</v>
      </c>
      <c r="R667" t="e">
        <f t="shared" ca="1" si="41"/>
        <v>#NAME?</v>
      </c>
      <c r="S667">
        <f t="shared" si="42"/>
        <v>6</v>
      </c>
      <c r="T667" t="str">
        <f t="shared" si="43"/>
        <v>Ontevreden</v>
      </c>
    </row>
    <row r="668" spans="1:20" x14ac:dyDescent="0.3">
      <c r="A668" t="s">
        <v>2536</v>
      </c>
      <c r="B668" t="s">
        <v>1808</v>
      </c>
      <c r="C668" t="s">
        <v>4776</v>
      </c>
      <c r="D668" t="s">
        <v>4777</v>
      </c>
      <c r="E668" t="s">
        <v>4778</v>
      </c>
      <c r="F668" t="s">
        <v>4779</v>
      </c>
      <c r="G668">
        <v>68.23</v>
      </c>
      <c r="H668">
        <v>12</v>
      </c>
      <c r="I668" t="s">
        <v>57</v>
      </c>
      <c r="J668" t="s">
        <v>1440</v>
      </c>
      <c r="K668" t="s">
        <v>1440</v>
      </c>
      <c r="L668" t="s">
        <v>1440</v>
      </c>
      <c r="M668" t="s">
        <v>1439</v>
      </c>
      <c r="N668" t="s">
        <v>1440</v>
      </c>
      <c r="O668" t="s">
        <v>23</v>
      </c>
      <c r="Q668">
        <f t="shared" si="40"/>
        <v>1</v>
      </c>
      <c r="R668" t="e">
        <f t="shared" ca="1" si="41"/>
        <v>#NAME?</v>
      </c>
      <c r="S668">
        <f t="shared" si="42"/>
        <v>6</v>
      </c>
      <c r="T668" t="str">
        <f t="shared" si="43"/>
        <v>Ontevreden</v>
      </c>
    </row>
    <row r="669" spans="1:20" x14ac:dyDescent="0.3">
      <c r="A669" t="s">
        <v>4780</v>
      </c>
      <c r="B669" t="s">
        <v>4016</v>
      </c>
      <c r="C669" t="s">
        <v>4781</v>
      </c>
      <c r="D669" t="s">
        <v>4782</v>
      </c>
      <c r="E669" t="s">
        <v>4783</v>
      </c>
      <c r="F669" t="s">
        <v>4784</v>
      </c>
      <c r="G669">
        <v>119.64</v>
      </c>
      <c r="H669">
        <v>12</v>
      </c>
      <c r="I669" t="s">
        <v>22</v>
      </c>
      <c r="J669" t="s">
        <v>1440</v>
      </c>
      <c r="K669" t="s">
        <v>1440</v>
      </c>
      <c r="L669" t="s">
        <v>1440</v>
      </c>
      <c r="M669" t="s">
        <v>1440</v>
      </c>
      <c r="N669" t="s">
        <v>1440</v>
      </c>
      <c r="O669" t="s">
        <v>23</v>
      </c>
      <c r="Q669">
        <f t="shared" si="40"/>
        <v>1</v>
      </c>
      <c r="R669" t="e">
        <f t="shared" ca="1" si="41"/>
        <v>#NAME?</v>
      </c>
      <c r="S669">
        <f t="shared" si="42"/>
        <v>8</v>
      </c>
      <c r="T669" t="str">
        <f t="shared" si="43"/>
        <v>Tevreden</v>
      </c>
    </row>
    <row r="670" spans="1:20" x14ac:dyDescent="0.3">
      <c r="A670" t="s">
        <v>3110</v>
      </c>
      <c r="B670" t="s">
        <v>1484</v>
      </c>
      <c r="C670" t="s">
        <v>4785</v>
      </c>
      <c r="D670" t="s">
        <v>4786</v>
      </c>
      <c r="E670" t="s">
        <v>4787</v>
      </c>
      <c r="F670" t="s">
        <v>4788</v>
      </c>
      <c r="G670">
        <v>23.9</v>
      </c>
      <c r="H670">
        <v>20</v>
      </c>
      <c r="I670" t="s">
        <v>22</v>
      </c>
      <c r="J670" t="s">
        <v>1439</v>
      </c>
      <c r="K670" t="s">
        <v>1440</v>
      </c>
      <c r="L670" t="s">
        <v>1439</v>
      </c>
      <c r="M670" t="s">
        <v>1439</v>
      </c>
      <c r="N670" t="s">
        <v>1439</v>
      </c>
      <c r="O670" t="s">
        <v>23</v>
      </c>
      <c r="Q670">
        <f t="shared" si="40"/>
        <v>1</v>
      </c>
      <c r="R670" t="e">
        <f t="shared" ca="1" si="41"/>
        <v>#NAME?</v>
      </c>
      <c r="S670">
        <f t="shared" si="42"/>
        <v>2</v>
      </c>
      <c r="T670" t="str">
        <f t="shared" si="43"/>
        <v>Ontevreden</v>
      </c>
    </row>
    <row r="671" spans="1:20" x14ac:dyDescent="0.3">
      <c r="A671" t="s">
        <v>4789</v>
      </c>
      <c r="B671" t="s">
        <v>1667</v>
      </c>
      <c r="C671" t="s">
        <v>4790</v>
      </c>
      <c r="D671" t="s">
        <v>4791</v>
      </c>
      <c r="E671" t="s">
        <v>4792</v>
      </c>
      <c r="F671" t="s">
        <v>4793</v>
      </c>
      <c r="G671">
        <v>76.02</v>
      </c>
      <c r="H671">
        <v>4</v>
      </c>
      <c r="I671" t="s">
        <v>29</v>
      </c>
      <c r="J671" t="s">
        <v>1440</v>
      </c>
      <c r="K671" t="s">
        <v>1440</v>
      </c>
      <c r="L671" t="s">
        <v>1439</v>
      </c>
      <c r="M671" t="s">
        <v>1440</v>
      </c>
      <c r="N671" t="s">
        <v>1440</v>
      </c>
      <c r="O671" t="s">
        <v>23</v>
      </c>
      <c r="Q671">
        <f t="shared" si="40"/>
        <v>1</v>
      </c>
      <c r="R671" t="e">
        <f t="shared" ca="1" si="41"/>
        <v>#NAME?</v>
      </c>
      <c r="S671">
        <f t="shared" si="42"/>
        <v>6</v>
      </c>
      <c r="T671" t="str">
        <f t="shared" si="43"/>
        <v>Ontevreden</v>
      </c>
    </row>
    <row r="672" spans="1:20" x14ac:dyDescent="0.3">
      <c r="A672" t="s">
        <v>4794</v>
      </c>
      <c r="B672" t="s">
        <v>1737</v>
      </c>
      <c r="C672" t="s">
        <v>4795</v>
      </c>
      <c r="D672" t="s">
        <v>4796</v>
      </c>
      <c r="E672" t="s">
        <v>4797</v>
      </c>
      <c r="F672" t="s">
        <v>4798</v>
      </c>
      <c r="G672">
        <v>145.11000000000001</v>
      </c>
      <c r="H672">
        <v>11</v>
      </c>
      <c r="I672" t="s">
        <v>29</v>
      </c>
      <c r="J672" t="s">
        <v>1440</v>
      </c>
      <c r="K672" t="s">
        <v>1440</v>
      </c>
      <c r="L672" t="s">
        <v>1439</v>
      </c>
      <c r="M672" t="s">
        <v>1440</v>
      </c>
      <c r="N672" t="s">
        <v>1440</v>
      </c>
      <c r="O672" t="s">
        <v>23</v>
      </c>
      <c r="Q672">
        <f t="shared" si="40"/>
        <v>1</v>
      </c>
      <c r="R672" t="e">
        <f t="shared" ca="1" si="41"/>
        <v>#NAME?</v>
      </c>
      <c r="S672">
        <f t="shared" si="42"/>
        <v>6</v>
      </c>
      <c r="T672" t="str">
        <f t="shared" si="43"/>
        <v>Ontevreden</v>
      </c>
    </row>
    <row r="673" spans="1:20" x14ac:dyDescent="0.3">
      <c r="A673" t="s">
        <v>4799</v>
      </c>
      <c r="B673" t="s">
        <v>1808</v>
      </c>
      <c r="C673" t="s">
        <v>4800</v>
      </c>
      <c r="D673" t="s">
        <v>4801</v>
      </c>
      <c r="E673" t="s">
        <v>4802</v>
      </c>
      <c r="F673" t="s">
        <v>4803</v>
      </c>
      <c r="G673">
        <v>56.39</v>
      </c>
      <c r="H673">
        <v>19</v>
      </c>
      <c r="I673" t="s">
        <v>22</v>
      </c>
      <c r="J673" t="s">
        <v>1440</v>
      </c>
      <c r="K673" t="s">
        <v>1440</v>
      </c>
      <c r="L673" t="s">
        <v>1440</v>
      </c>
      <c r="M673" t="s">
        <v>1439</v>
      </c>
      <c r="N673" t="s">
        <v>1440</v>
      </c>
      <c r="O673" t="s">
        <v>23</v>
      </c>
      <c r="Q673">
        <f t="shared" si="40"/>
        <v>1</v>
      </c>
      <c r="R673" t="e">
        <f t="shared" ca="1" si="41"/>
        <v>#NAME?</v>
      </c>
      <c r="S673">
        <f t="shared" si="42"/>
        <v>6</v>
      </c>
      <c r="T673" t="str">
        <f t="shared" si="43"/>
        <v>Ontevreden</v>
      </c>
    </row>
    <row r="674" spans="1:20" x14ac:dyDescent="0.3">
      <c r="A674" t="s">
        <v>2402</v>
      </c>
      <c r="B674" t="s">
        <v>3874</v>
      </c>
      <c r="C674" t="s">
        <v>4804</v>
      </c>
      <c r="D674" t="s">
        <v>4805</v>
      </c>
      <c r="E674" t="s">
        <v>4806</v>
      </c>
      <c r="F674" t="s">
        <v>4807</v>
      </c>
      <c r="G674">
        <v>250.77</v>
      </c>
      <c r="H674">
        <v>15</v>
      </c>
      <c r="I674" t="s">
        <v>22</v>
      </c>
      <c r="J674" t="s">
        <v>1440</v>
      </c>
      <c r="K674" t="s">
        <v>1440</v>
      </c>
      <c r="L674" t="s">
        <v>1439</v>
      </c>
      <c r="M674" t="s">
        <v>1439</v>
      </c>
      <c r="N674" t="s">
        <v>1440</v>
      </c>
      <c r="O674" t="s">
        <v>23</v>
      </c>
      <c r="Q674">
        <f t="shared" si="40"/>
        <v>1</v>
      </c>
      <c r="R674" t="e">
        <f t="shared" ca="1" si="41"/>
        <v>#NAME?</v>
      </c>
      <c r="S674">
        <f t="shared" si="42"/>
        <v>4</v>
      </c>
      <c r="T674" t="str">
        <f t="shared" si="43"/>
        <v>Ontevreden</v>
      </c>
    </row>
    <row r="675" spans="1:20" x14ac:dyDescent="0.3">
      <c r="A675" t="s">
        <v>4808</v>
      </c>
      <c r="B675" t="s">
        <v>2256</v>
      </c>
      <c r="C675" t="s">
        <v>4809</v>
      </c>
      <c r="D675" t="s">
        <v>4810</v>
      </c>
      <c r="E675" t="s">
        <v>4811</v>
      </c>
      <c r="F675" t="s">
        <v>4812</v>
      </c>
      <c r="G675">
        <v>146.29</v>
      </c>
      <c r="H675">
        <v>2</v>
      </c>
      <c r="I675" t="s">
        <v>102</v>
      </c>
      <c r="J675" t="s">
        <v>1440</v>
      </c>
      <c r="K675" t="s">
        <v>1440</v>
      </c>
      <c r="L675" t="s">
        <v>1440</v>
      </c>
      <c r="M675" t="s">
        <v>1440</v>
      </c>
      <c r="N675" t="s">
        <v>1440</v>
      </c>
      <c r="O675" t="s">
        <v>34</v>
      </c>
      <c r="Q675">
        <f t="shared" si="40"/>
        <v>1</v>
      </c>
      <c r="R675" t="e">
        <f t="shared" ca="1" si="41"/>
        <v>#NAME?</v>
      </c>
      <c r="S675">
        <f t="shared" si="42"/>
        <v>8</v>
      </c>
      <c r="T675" t="str">
        <f t="shared" si="43"/>
        <v>Tevreden</v>
      </c>
    </row>
    <row r="676" spans="1:20" x14ac:dyDescent="0.3">
      <c r="A676" t="s">
        <v>4813</v>
      </c>
      <c r="B676" t="s">
        <v>3378</v>
      </c>
      <c r="C676" t="s">
        <v>4814</v>
      </c>
      <c r="D676" t="s">
        <v>4815</v>
      </c>
      <c r="E676" t="s">
        <v>4816</v>
      </c>
      <c r="F676" t="s">
        <v>4817</v>
      </c>
      <c r="G676">
        <v>67.989999999999995</v>
      </c>
      <c r="H676">
        <v>9</v>
      </c>
      <c r="I676" t="s">
        <v>22</v>
      </c>
      <c r="J676" t="s">
        <v>1439</v>
      </c>
      <c r="K676" t="s">
        <v>1439</v>
      </c>
      <c r="L676" t="s">
        <v>1440</v>
      </c>
      <c r="M676" t="s">
        <v>1440</v>
      </c>
      <c r="N676" t="s">
        <v>1439</v>
      </c>
      <c r="O676" t="s">
        <v>23</v>
      </c>
      <c r="Q676">
        <f t="shared" si="40"/>
        <v>1</v>
      </c>
      <c r="R676" t="e">
        <f t="shared" ca="1" si="41"/>
        <v>#NAME?</v>
      </c>
      <c r="S676">
        <f t="shared" si="42"/>
        <v>4</v>
      </c>
      <c r="T676" t="str">
        <f t="shared" si="43"/>
        <v>Ontevreden</v>
      </c>
    </row>
    <row r="677" spans="1:20" x14ac:dyDescent="0.3">
      <c r="A677" t="s">
        <v>2189</v>
      </c>
      <c r="B677" t="s">
        <v>3332</v>
      </c>
      <c r="C677" t="s">
        <v>4818</v>
      </c>
      <c r="D677" t="s">
        <v>4819</v>
      </c>
      <c r="E677" t="s">
        <v>4820</v>
      </c>
      <c r="F677" t="s">
        <v>4821</v>
      </c>
      <c r="G677">
        <v>131.36000000000001</v>
      </c>
      <c r="H677">
        <v>5</v>
      </c>
      <c r="I677" t="s">
        <v>57</v>
      </c>
      <c r="J677" t="s">
        <v>1439</v>
      </c>
      <c r="K677" t="s">
        <v>1440</v>
      </c>
      <c r="L677" t="s">
        <v>1440</v>
      </c>
      <c r="M677" t="s">
        <v>1439</v>
      </c>
      <c r="N677" t="s">
        <v>1439</v>
      </c>
      <c r="O677" t="s">
        <v>23</v>
      </c>
      <c r="Q677">
        <f t="shared" si="40"/>
        <v>1</v>
      </c>
      <c r="R677" t="e">
        <f t="shared" ca="1" si="41"/>
        <v>#NAME?</v>
      </c>
      <c r="S677">
        <f t="shared" si="42"/>
        <v>4</v>
      </c>
      <c r="T677" t="str">
        <f t="shared" si="43"/>
        <v>Ontevreden</v>
      </c>
    </row>
    <row r="678" spans="1:20" x14ac:dyDescent="0.3">
      <c r="A678" t="s">
        <v>4822</v>
      </c>
      <c r="B678" t="s">
        <v>4823</v>
      </c>
      <c r="C678" t="s">
        <v>4824</v>
      </c>
      <c r="D678" t="s">
        <v>4825</v>
      </c>
      <c r="E678" t="s">
        <v>4826</v>
      </c>
      <c r="F678" t="s">
        <v>4827</v>
      </c>
      <c r="G678">
        <v>115.02</v>
      </c>
      <c r="H678">
        <v>8</v>
      </c>
      <c r="I678" t="s">
        <v>57</v>
      </c>
      <c r="J678" t="s">
        <v>1439</v>
      </c>
      <c r="K678" t="s">
        <v>1439</v>
      </c>
      <c r="L678" t="s">
        <v>1440</v>
      </c>
      <c r="M678" t="s">
        <v>1440</v>
      </c>
      <c r="N678" t="s">
        <v>1439</v>
      </c>
      <c r="O678" t="s">
        <v>23</v>
      </c>
      <c r="Q678">
        <f t="shared" si="40"/>
        <v>1</v>
      </c>
      <c r="R678" t="e">
        <f t="shared" ca="1" si="41"/>
        <v>#NAME?</v>
      </c>
      <c r="S678">
        <f t="shared" si="42"/>
        <v>4</v>
      </c>
      <c r="T678" t="str">
        <f t="shared" si="43"/>
        <v>Ontevreden</v>
      </c>
    </row>
    <row r="679" spans="1:20" x14ac:dyDescent="0.3">
      <c r="A679" t="s">
        <v>2821</v>
      </c>
      <c r="B679" t="s">
        <v>2185</v>
      </c>
      <c r="C679" t="s">
        <v>4828</v>
      </c>
      <c r="D679" t="s">
        <v>4829</v>
      </c>
      <c r="E679" t="s">
        <v>4830</v>
      </c>
      <c r="F679" t="s">
        <v>4831</v>
      </c>
      <c r="G679">
        <v>183.32</v>
      </c>
      <c r="H679">
        <v>10</v>
      </c>
      <c r="I679" t="s">
        <v>22</v>
      </c>
      <c r="J679" t="s">
        <v>1439</v>
      </c>
      <c r="K679" t="s">
        <v>1439</v>
      </c>
      <c r="L679" t="s">
        <v>1439</v>
      </c>
      <c r="M679" t="s">
        <v>1440</v>
      </c>
      <c r="N679" t="s">
        <v>1439</v>
      </c>
      <c r="O679" t="s">
        <v>23</v>
      </c>
      <c r="Q679">
        <f t="shared" si="40"/>
        <v>1</v>
      </c>
      <c r="R679" t="e">
        <f t="shared" ca="1" si="41"/>
        <v>#NAME?</v>
      </c>
      <c r="S679">
        <f t="shared" si="42"/>
        <v>2</v>
      </c>
      <c r="T679" t="str">
        <f t="shared" si="43"/>
        <v>Ontevreden</v>
      </c>
    </row>
    <row r="680" spans="1:20" x14ac:dyDescent="0.3">
      <c r="A680" t="s">
        <v>3505</v>
      </c>
      <c r="B680" t="s">
        <v>1876</v>
      </c>
      <c r="C680" t="s">
        <v>4832</v>
      </c>
      <c r="D680" t="s">
        <v>4833</v>
      </c>
      <c r="E680" t="s">
        <v>4834</v>
      </c>
      <c r="F680" t="s">
        <v>4835</v>
      </c>
      <c r="G680">
        <v>186.32</v>
      </c>
      <c r="H680">
        <v>9</v>
      </c>
      <c r="I680" t="s">
        <v>29</v>
      </c>
      <c r="J680" t="s">
        <v>1439</v>
      </c>
      <c r="K680" t="s">
        <v>1440</v>
      </c>
      <c r="L680" t="s">
        <v>1439</v>
      </c>
      <c r="M680" t="s">
        <v>1440</v>
      </c>
      <c r="N680" t="s">
        <v>1439</v>
      </c>
      <c r="O680" t="s">
        <v>78</v>
      </c>
      <c r="Q680">
        <f t="shared" si="40"/>
        <v>1</v>
      </c>
      <c r="R680" t="e">
        <f t="shared" ca="1" si="41"/>
        <v>#NAME?</v>
      </c>
      <c r="S680">
        <f t="shared" si="42"/>
        <v>4</v>
      </c>
      <c r="T680" t="str">
        <f t="shared" si="43"/>
        <v>Ontevreden</v>
      </c>
    </row>
    <row r="681" spans="1:20" x14ac:dyDescent="0.3">
      <c r="A681" t="s">
        <v>4836</v>
      </c>
      <c r="B681" t="s">
        <v>1769</v>
      </c>
      <c r="C681" t="s">
        <v>4837</v>
      </c>
      <c r="D681" t="s">
        <v>4838</v>
      </c>
      <c r="E681" t="s">
        <v>4839</v>
      </c>
      <c r="F681" t="s">
        <v>4840</v>
      </c>
      <c r="G681">
        <v>169.47</v>
      </c>
      <c r="H681">
        <v>11</v>
      </c>
      <c r="I681" t="s">
        <v>57</v>
      </c>
      <c r="J681" t="s">
        <v>1440</v>
      </c>
      <c r="K681" t="s">
        <v>1440</v>
      </c>
      <c r="L681" t="s">
        <v>1439</v>
      </c>
      <c r="M681" t="s">
        <v>1440</v>
      </c>
      <c r="N681" t="s">
        <v>1440</v>
      </c>
      <c r="O681" t="s">
        <v>23</v>
      </c>
      <c r="Q681">
        <f t="shared" si="40"/>
        <v>1</v>
      </c>
      <c r="R681" t="e">
        <f t="shared" ca="1" si="41"/>
        <v>#NAME?</v>
      </c>
      <c r="S681">
        <f t="shared" si="42"/>
        <v>6</v>
      </c>
      <c r="T681" t="str">
        <f t="shared" si="43"/>
        <v>Ontevreden</v>
      </c>
    </row>
    <row r="682" spans="1:20" x14ac:dyDescent="0.3">
      <c r="A682" t="s">
        <v>4841</v>
      </c>
      <c r="B682" t="s">
        <v>4842</v>
      </c>
      <c r="C682" t="s">
        <v>4843</v>
      </c>
      <c r="D682" t="s">
        <v>4844</v>
      </c>
      <c r="E682" t="s">
        <v>4845</v>
      </c>
      <c r="F682" t="s">
        <v>4846</v>
      </c>
      <c r="G682">
        <v>120.35</v>
      </c>
      <c r="H682">
        <v>9</v>
      </c>
      <c r="I682" t="s">
        <v>29</v>
      </c>
      <c r="J682" t="s">
        <v>1440</v>
      </c>
      <c r="K682" t="s">
        <v>1440</v>
      </c>
      <c r="L682" t="s">
        <v>1440</v>
      </c>
      <c r="M682" t="s">
        <v>1440</v>
      </c>
      <c r="N682" t="s">
        <v>1440</v>
      </c>
      <c r="O682" t="s">
        <v>34</v>
      </c>
      <c r="Q682">
        <f t="shared" si="40"/>
        <v>1</v>
      </c>
      <c r="R682" t="e">
        <f t="shared" ca="1" si="41"/>
        <v>#NAME?</v>
      </c>
      <c r="S682">
        <f t="shared" si="42"/>
        <v>8</v>
      </c>
      <c r="T682" t="str">
        <f t="shared" si="43"/>
        <v>Tevreden</v>
      </c>
    </row>
    <row r="683" spans="1:20" x14ac:dyDescent="0.3">
      <c r="A683" t="s">
        <v>2121</v>
      </c>
      <c r="B683" t="s">
        <v>2024</v>
      </c>
      <c r="C683" t="s">
        <v>4847</v>
      </c>
      <c r="D683" t="s">
        <v>4848</v>
      </c>
      <c r="E683" t="s">
        <v>4849</v>
      </c>
      <c r="F683" t="s">
        <v>4850</v>
      </c>
      <c r="G683">
        <v>128.30000000000001</v>
      </c>
      <c r="H683">
        <v>5</v>
      </c>
      <c r="I683" t="s">
        <v>29</v>
      </c>
      <c r="J683" t="s">
        <v>1439</v>
      </c>
      <c r="K683" t="s">
        <v>1439</v>
      </c>
      <c r="L683" t="s">
        <v>1440</v>
      </c>
      <c r="M683" t="s">
        <v>1440</v>
      </c>
      <c r="N683" t="s">
        <v>1440</v>
      </c>
      <c r="O683" t="s">
        <v>78</v>
      </c>
      <c r="Q683">
        <f t="shared" si="40"/>
        <v>1</v>
      </c>
      <c r="R683" t="e">
        <f t="shared" ca="1" si="41"/>
        <v>#NAME?</v>
      </c>
      <c r="S683">
        <f t="shared" si="42"/>
        <v>6</v>
      </c>
      <c r="T683" t="str">
        <f t="shared" si="43"/>
        <v>Ontevreden</v>
      </c>
    </row>
    <row r="684" spans="1:20" x14ac:dyDescent="0.3">
      <c r="A684" t="s">
        <v>4576</v>
      </c>
      <c r="B684" t="s">
        <v>2543</v>
      </c>
      <c r="C684" t="s">
        <v>4851</v>
      </c>
      <c r="D684" t="s">
        <v>4852</v>
      </c>
      <c r="E684" t="s">
        <v>4853</v>
      </c>
      <c r="F684" t="s">
        <v>4854</v>
      </c>
      <c r="G684">
        <v>68.92</v>
      </c>
      <c r="H684">
        <v>4</v>
      </c>
      <c r="I684" t="s">
        <v>29</v>
      </c>
      <c r="J684" t="s">
        <v>1440</v>
      </c>
      <c r="K684" t="s">
        <v>1440</v>
      </c>
      <c r="L684" t="s">
        <v>1440</v>
      </c>
      <c r="M684" t="s">
        <v>1440</v>
      </c>
      <c r="N684" t="s">
        <v>1439</v>
      </c>
      <c r="O684" t="s">
        <v>23</v>
      </c>
      <c r="Q684">
        <f t="shared" si="40"/>
        <v>1</v>
      </c>
      <c r="R684" t="e">
        <f t="shared" ca="1" si="41"/>
        <v>#NAME?</v>
      </c>
      <c r="S684">
        <f t="shared" si="42"/>
        <v>6</v>
      </c>
      <c r="T684" t="str">
        <f t="shared" si="43"/>
        <v>Ontevreden</v>
      </c>
    </row>
    <row r="685" spans="1:20" x14ac:dyDescent="0.3">
      <c r="A685" t="s">
        <v>4855</v>
      </c>
      <c r="B685" t="s">
        <v>3233</v>
      </c>
      <c r="C685" t="s">
        <v>4856</v>
      </c>
      <c r="D685" t="s">
        <v>4857</v>
      </c>
      <c r="E685" t="s">
        <v>4858</v>
      </c>
      <c r="F685" t="s">
        <v>4859</v>
      </c>
      <c r="G685">
        <v>145.99</v>
      </c>
      <c r="H685">
        <v>16</v>
      </c>
      <c r="I685" t="s">
        <v>22</v>
      </c>
      <c r="J685" t="s">
        <v>1440</v>
      </c>
      <c r="K685" t="s">
        <v>1440</v>
      </c>
      <c r="L685" t="s">
        <v>1440</v>
      </c>
      <c r="M685" t="s">
        <v>1440</v>
      </c>
      <c r="N685" t="s">
        <v>1440</v>
      </c>
      <c r="O685" t="s">
        <v>23</v>
      </c>
      <c r="Q685">
        <f t="shared" si="40"/>
        <v>1</v>
      </c>
      <c r="R685" t="e">
        <f t="shared" ca="1" si="41"/>
        <v>#NAME?</v>
      </c>
      <c r="S685">
        <f t="shared" si="42"/>
        <v>8</v>
      </c>
      <c r="T685" t="str">
        <f t="shared" si="43"/>
        <v>Tevreden</v>
      </c>
    </row>
    <row r="686" spans="1:20" x14ac:dyDescent="0.3">
      <c r="A686" t="s">
        <v>4860</v>
      </c>
      <c r="B686" t="s">
        <v>2424</v>
      </c>
      <c r="C686" t="s">
        <v>4861</v>
      </c>
      <c r="D686" t="s">
        <v>4862</v>
      </c>
      <c r="E686" t="s">
        <v>4863</v>
      </c>
      <c r="F686" t="s">
        <v>4864</v>
      </c>
      <c r="G686">
        <v>70.3</v>
      </c>
      <c r="H686">
        <v>14</v>
      </c>
      <c r="I686" t="s">
        <v>57</v>
      </c>
      <c r="J686" t="s">
        <v>1440</v>
      </c>
      <c r="K686" t="s">
        <v>1440</v>
      </c>
      <c r="L686" t="s">
        <v>1440</v>
      </c>
      <c r="M686" t="s">
        <v>1439</v>
      </c>
      <c r="N686" t="s">
        <v>1440</v>
      </c>
      <c r="O686" t="s">
        <v>34</v>
      </c>
      <c r="Q686">
        <f t="shared" si="40"/>
        <v>1</v>
      </c>
      <c r="R686" t="e">
        <f t="shared" ca="1" si="41"/>
        <v>#NAME?</v>
      </c>
      <c r="S686">
        <f t="shared" si="42"/>
        <v>6</v>
      </c>
      <c r="T686" t="str">
        <f t="shared" si="43"/>
        <v>Ontevreden</v>
      </c>
    </row>
    <row r="687" spans="1:20" x14ac:dyDescent="0.3">
      <c r="A687" t="s">
        <v>4865</v>
      </c>
      <c r="B687" t="s">
        <v>4333</v>
      </c>
      <c r="C687" t="s">
        <v>4866</v>
      </c>
      <c r="D687" t="s">
        <v>4867</v>
      </c>
      <c r="E687" t="s">
        <v>4868</v>
      </c>
      <c r="F687" t="s">
        <v>4869</v>
      </c>
      <c r="G687">
        <v>32.86</v>
      </c>
      <c r="H687">
        <v>24</v>
      </c>
      <c r="I687" t="s">
        <v>29</v>
      </c>
      <c r="J687" t="s">
        <v>1440</v>
      </c>
      <c r="K687" t="s">
        <v>1440</v>
      </c>
      <c r="L687" t="s">
        <v>1440</v>
      </c>
      <c r="M687" t="s">
        <v>1440</v>
      </c>
      <c r="N687" t="s">
        <v>1439</v>
      </c>
      <c r="O687" t="s">
        <v>23</v>
      </c>
      <c r="Q687">
        <f t="shared" si="40"/>
        <v>1</v>
      </c>
      <c r="R687" t="e">
        <f t="shared" ca="1" si="41"/>
        <v>#NAME?</v>
      </c>
      <c r="S687">
        <f t="shared" si="42"/>
        <v>6</v>
      </c>
      <c r="T687" t="str">
        <f t="shared" si="43"/>
        <v>Ontevreden</v>
      </c>
    </row>
    <row r="688" spans="1:20" x14ac:dyDescent="0.3">
      <c r="A688" t="s">
        <v>2345</v>
      </c>
      <c r="B688" t="s">
        <v>1695</v>
      </c>
      <c r="C688" t="s">
        <v>4870</v>
      </c>
      <c r="D688" t="s">
        <v>4871</v>
      </c>
      <c r="E688" t="s">
        <v>4872</v>
      </c>
      <c r="F688" t="s">
        <v>2345</v>
      </c>
      <c r="G688">
        <v>62.14</v>
      </c>
      <c r="H688">
        <v>6</v>
      </c>
      <c r="I688" t="s">
        <v>57</v>
      </c>
      <c r="J688" t="s">
        <v>1440</v>
      </c>
      <c r="K688" t="s">
        <v>1439</v>
      </c>
      <c r="L688" t="s">
        <v>1440</v>
      </c>
      <c r="M688" t="s">
        <v>1440</v>
      </c>
      <c r="N688" t="s">
        <v>1439</v>
      </c>
      <c r="O688" t="s">
        <v>34</v>
      </c>
      <c r="Q688">
        <f t="shared" si="40"/>
        <v>1</v>
      </c>
      <c r="R688" t="e">
        <f t="shared" ca="1" si="41"/>
        <v>#NAME?</v>
      </c>
      <c r="S688">
        <f t="shared" si="42"/>
        <v>4</v>
      </c>
      <c r="T688" t="str">
        <f t="shared" si="43"/>
        <v>Ontevreden</v>
      </c>
    </row>
    <row r="689" spans="1:20" x14ac:dyDescent="0.3">
      <c r="A689" t="s">
        <v>1880</v>
      </c>
      <c r="B689" t="s">
        <v>2185</v>
      </c>
      <c r="C689" t="s">
        <v>4873</v>
      </c>
      <c r="D689" t="s">
        <v>4874</v>
      </c>
      <c r="E689" t="s">
        <v>4875</v>
      </c>
      <c r="F689" t="s">
        <v>4876</v>
      </c>
      <c r="G689">
        <v>187.28</v>
      </c>
      <c r="H689">
        <v>5</v>
      </c>
      <c r="I689" t="s">
        <v>29</v>
      </c>
      <c r="J689" t="s">
        <v>1440</v>
      </c>
      <c r="K689" t="s">
        <v>1440</v>
      </c>
      <c r="L689" t="s">
        <v>1440</v>
      </c>
      <c r="M689" t="s">
        <v>1439</v>
      </c>
      <c r="N689" t="s">
        <v>1440</v>
      </c>
      <c r="O689" t="s">
        <v>34</v>
      </c>
      <c r="Q689">
        <f t="shared" si="40"/>
        <v>1</v>
      </c>
      <c r="R689" t="e">
        <f t="shared" ca="1" si="41"/>
        <v>#NAME?</v>
      </c>
      <c r="S689">
        <f t="shared" si="42"/>
        <v>6</v>
      </c>
      <c r="T689" t="str">
        <f t="shared" si="43"/>
        <v>Ontevreden</v>
      </c>
    </row>
    <row r="690" spans="1:20" x14ac:dyDescent="0.3">
      <c r="A690" t="s">
        <v>2454</v>
      </c>
      <c r="B690" t="s">
        <v>1987</v>
      </c>
      <c r="C690" t="s">
        <v>4877</v>
      </c>
      <c r="D690" t="s">
        <v>4878</v>
      </c>
      <c r="E690" t="s">
        <v>4879</v>
      </c>
      <c r="F690" t="s">
        <v>4880</v>
      </c>
      <c r="G690">
        <v>125.63</v>
      </c>
      <c r="H690">
        <v>16</v>
      </c>
      <c r="I690" t="s">
        <v>29</v>
      </c>
      <c r="J690" t="s">
        <v>1440</v>
      </c>
      <c r="K690" t="s">
        <v>1440</v>
      </c>
      <c r="L690" t="s">
        <v>1439</v>
      </c>
      <c r="M690" t="s">
        <v>1440</v>
      </c>
      <c r="N690" t="s">
        <v>1440</v>
      </c>
      <c r="O690" t="s">
        <v>23</v>
      </c>
      <c r="Q690">
        <f t="shared" si="40"/>
        <v>1</v>
      </c>
      <c r="R690" t="e">
        <f t="shared" ca="1" si="41"/>
        <v>#NAME?</v>
      </c>
      <c r="S690">
        <f t="shared" si="42"/>
        <v>6</v>
      </c>
      <c r="T690" t="str">
        <f t="shared" si="43"/>
        <v>Ontevreden</v>
      </c>
    </row>
    <row r="691" spans="1:20" x14ac:dyDescent="0.3">
      <c r="A691" t="s">
        <v>4881</v>
      </c>
      <c r="B691" t="s">
        <v>1484</v>
      </c>
      <c r="C691" t="s">
        <v>4882</v>
      </c>
      <c r="D691" t="s">
        <v>4883</v>
      </c>
      <c r="E691" t="s">
        <v>4884</v>
      </c>
      <c r="F691" t="s">
        <v>4885</v>
      </c>
      <c r="G691">
        <v>107.91</v>
      </c>
      <c r="H691">
        <v>12</v>
      </c>
      <c r="I691" t="s">
        <v>29</v>
      </c>
      <c r="J691" t="s">
        <v>1440</v>
      </c>
      <c r="K691" t="s">
        <v>1440</v>
      </c>
      <c r="L691" t="s">
        <v>1440</v>
      </c>
      <c r="M691" t="s">
        <v>1440</v>
      </c>
      <c r="N691" t="s">
        <v>1440</v>
      </c>
      <c r="O691" t="s">
        <v>23</v>
      </c>
      <c r="Q691">
        <f t="shared" si="40"/>
        <v>1</v>
      </c>
      <c r="R691" t="e">
        <f t="shared" ca="1" si="41"/>
        <v>#NAME?</v>
      </c>
      <c r="S691">
        <f t="shared" si="42"/>
        <v>8</v>
      </c>
      <c r="T691" t="str">
        <f t="shared" si="43"/>
        <v>Tevreden</v>
      </c>
    </row>
    <row r="692" spans="1:20" x14ac:dyDescent="0.3">
      <c r="A692" t="s">
        <v>4886</v>
      </c>
      <c r="B692" t="s">
        <v>1881</v>
      </c>
      <c r="C692" t="s">
        <v>4887</v>
      </c>
      <c r="D692" t="s">
        <v>4888</v>
      </c>
      <c r="E692" t="s">
        <v>4889</v>
      </c>
      <c r="F692" t="s">
        <v>4890</v>
      </c>
      <c r="G692">
        <v>122.23</v>
      </c>
      <c r="H692">
        <v>10</v>
      </c>
      <c r="I692" t="s">
        <v>22</v>
      </c>
      <c r="J692" t="s">
        <v>1440</v>
      </c>
      <c r="K692" t="s">
        <v>1440</v>
      </c>
      <c r="L692" t="s">
        <v>1440</v>
      </c>
      <c r="M692" t="s">
        <v>1439</v>
      </c>
      <c r="N692" t="s">
        <v>1440</v>
      </c>
      <c r="O692" t="s">
        <v>23</v>
      </c>
      <c r="Q692">
        <f t="shared" si="40"/>
        <v>1</v>
      </c>
      <c r="R692" t="e">
        <f t="shared" ca="1" si="41"/>
        <v>#NAME?</v>
      </c>
      <c r="S692">
        <f t="shared" si="42"/>
        <v>6</v>
      </c>
      <c r="T692" t="str">
        <f t="shared" si="43"/>
        <v>Ontevreden</v>
      </c>
    </row>
    <row r="693" spans="1:20" x14ac:dyDescent="0.3">
      <c r="A693" t="s">
        <v>4891</v>
      </c>
      <c r="B693" t="s">
        <v>1574</v>
      </c>
      <c r="C693" t="s">
        <v>4892</v>
      </c>
      <c r="D693" t="s">
        <v>4893</v>
      </c>
      <c r="E693" t="s">
        <v>4894</v>
      </c>
      <c r="F693" t="s">
        <v>4895</v>
      </c>
      <c r="G693">
        <v>192.95</v>
      </c>
      <c r="H693">
        <v>11</v>
      </c>
      <c r="I693" t="s">
        <v>22</v>
      </c>
      <c r="J693" t="s">
        <v>1439</v>
      </c>
      <c r="K693" t="s">
        <v>1440</v>
      </c>
      <c r="L693" t="s">
        <v>1440</v>
      </c>
      <c r="M693" t="s">
        <v>1440</v>
      </c>
      <c r="N693" t="s">
        <v>1440</v>
      </c>
      <c r="O693" t="s">
        <v>78</v>
      </c>
      <c r="Q693">
        <f t="shared" si="40"/>
        <v>1</v>
      </c>
      <c r="R693" t="e">
        <f t="shared" ca="1" si="41"/>
        <v>#NAME?</v>
      </c>
      <c r="S693">
        <f t="shared" si="42"/>
        <v>8</v>
      </c>
      <c r="T693" t="str">
        <f t="shared" si="43"/>
        <v>Tevreden</v>
      </c>
    </row>
    <row r="694" spans="1:20" x14ac:dyDescent="0.3">
      <c r="A694" t="s">
        <v>4896</v>
      </c>
      <c r="B694" t="s">
        <v>1951</v>
      </c>
      <c r="C694" t="s">
        <v>4897</v>
      </c>
      <c r="D694" t="s">
        <v>4898</v>
      </c>
      <c r="E694" t="s">
        <v>4899</v>
      </c>
      <c r="F694" t="s">
        <v>4900</v>
      </c>
      <c r="G694">
        <v>41.08</v>
      </c>
      <c r="H694">
        <v>8</v>
      </c>
      <c r="I694" t="s">
        <v>29</v>
      </c>
      <c r="J694" t="s">
        <v>1440</v>
      </c>
      <c r="K694" t="s">
        <v>1439</v>
      </c>
      <c r="L694" t="s">
        <v>1440</v>
      </c>
      <c r="M694" t="s">
        <v>1440</v>
      </c>
      <c r="N694" t="s">
        <v>1440</v>
      </c>
      <c r="O694" t="s">
        <v>23</v>
      </c>
      <c r="Q694">
        <f t="shared" si="40"/>
        <v>1</v>
      </c>
      <c r="R694" t="e">
        <f t="shared" ca="1" si="41"/>
        <v>#NAME?</v>
      </c>
      <c r="S694">
        <f t="shared" si="42"/>
        <v>6</v>
      </c>
      <c r="T694" t="str">
        <f t="shared" si="43"/>
        <v>Ontevreden</v>
      </c>
    </row>
    <row r="695" spans="1:20" x14ac:dyDescent="0.3">
      <c r="A695" t="s">
        <v>4495</v>
      </c>
      <c r="B695" t="s">
        <v>3239</v>
      </c>
      <c r="C695" t="s">
        <v>4901</v>
      </c>
      <c r="D695" t="s">
        <v>4902</v>
      </c>
      <c r="E695" t="s">
        <v>4903</v>
      </c>
      <c r="F695" t="s">
        <v>4495</v>
      </c>
      <c r="G695">
        <v>39.17</v>
      </c>
      <c r="H695">
        <v>10</v>
      </c>
      <c r="I695" t="s">
        <v>29</v>
      </c>
      <c r="J695" t="s">
        <v>1440</v>
      </c>
      <c r="K695" t="s">
        <v>1439</v>
      </c>
      <c r="L695" t="s">
        <v>1439</v>
      </c>
      <c r="M695" t="s">
        <v>1439</v>
      </c>
      <c r="N695" t="s">
        <v>1439</v>
      </c>
      <c r="O695" t="s">
        <v>23</v>
      </c>
      <c r="Q695">
        <f t="shared" si="40"/>
        <v>1</v>
      </c>
      <c r="R695" t="e">
        <f t="shared" ca="1" si="41"/>
        <v>#NAME?</v>
      </c>
      <c r="S695">
        <f t="shared" si="42"/>
        <v>0</v>
      </c>
      <c r="T695" t="str">
        <f t="shared" si="43"/>
        <v>Ontevreden</v>
      </c>
    </row>
    <row r="696" spans="1:20" x14ac:dyDescent="0.3">
      <c r="A696" t="s">
        <v>4904</v>
      </c>
      <c r="B696" t="s">
        <v>1555</v>
      </c>
      <c r="C696" t="s">
        <v>4905</v>
      </c>
      <c r="D696" t="s">
        <v>4906</v>
      </c>
      <c r="E696" t="s">
        <v>4907</v>
      </c>
      <c r="F696" t="s">
        <v>4908</v>
      </c>
      <c r="G696">
        <v>36.64</v>
      </c>
      <c r="H696">
        <v>9</v>
      </c>
      <c r="I696" t="s">
        <v>22</v>
      </c>
      <c r="J696" t="s">
        <v>1439</v>
      </c>
      <c r="K696" t="s">
        <v>1440</v>
      </c>
      <c r="L696" t="s">
        <v>1440</v>
      </c>
      <c r="M696" t="s">
        <v>1440</v>
      </c>
      <c r="N696" t="s">
        <v>1440</v>
      </c>
      <c r="O696" t="s">
        <v>23</v>
      </c>
      <c r="Q696">
        <f t="shared" si="40"/>
        <v>1</v>
      </c>
      <c r="R696" t="e">
        <f t="shared" ca="1" si="41"/>
        <v>#NAME?</v>
      </c>
      <c r="S696">
        <f t="shared" si="42"/>
        <v>8</v>
      </c>
      <c r="T696" t="str">
        <f t="shared" si="43"/>
        <v>Tevreden</v>
      </c>
    </row>
    <row r="697" spans="1:20" x14ac:dyDescent="0.3">
      <c r="A697" t="s">
        <v>4909</v>
      </c>
      <c r="B697" t="s">
        <v>4910</v>
      </c>
      <c r="C697" t="s">
        <v>4911</v>
      </c>
      <c r="D697" t="s">
        <v>4912</v>
      </c>
      <c r="E697" t="s">
        <v>4913</v>
      </c>
      <c r="F697" t="s">
        <v>4909</v>
      </c>
      <c r="G697">
        <v>22.66</v>
      </c>
      <c r="H697">
        <v>11</v>
      </c>
      <c r="I697" t="s">
        <v>22</v>
      </c>
      <c r="J697" t="s">
        <v>1440</v>
      </c>
      <c r="K697" t="s">
        <v>1440</v>
      </c>
      <c r="L697" t="s">
        <v>1440</v>
      </c>
      <c r="M697" t="s">
        <v>1440</v>
      </c>
      <c r="N697" t="s">
        <v>1439</v>
      </c>
      <c r="O697" t="s">
        <v>23</v>
      </c>
      <c r="Q697">
        <f t="shared" si="40"/>
        <v>1</v>
      </c>
      <c r="R697" t="e">
        <f t="shared" ca="1" si="41"/>
        <v>#NAME?</v>
      </c>
      <c r="S697">
        <f t="shared" si="42"/>
        <v>6</v>
      </c>
      <c r="T697" t="str">
        <f t="shared" si="43"/>
        <v>Ontevreden</v>
      </c>
    </row>
    <row r="698" spans="1:20" x14ac:dyDescent="0.3">
      <c r="A698" t="s">
        <v>4914</v>
      </c>
      <c r="B698" t="s">
        <v>1538</v>
      </c>
      <c r="C698" t="s">
        <v>4915</v>
      </c>
      <c r="D698" t="s">
        <v>4916</v>
      </c>
      <c r="E698" t="s">
        <v>4917</v>
      </c>
      <c r="F698" t="s">
        <v>4918</v>
      </c>
      <c r="G698">
        <v>116.21</v>
      </c>
      <c r="H698">
        <v>10</v>
      </c>
      <c r="I698" t="s">
        <v>57</v>
      </c>
      <c r="J698" t="s">
        <v>1440</v>
      </c>
      <c r="K698" t="s">
        <v>1440</v>
      </c>
      <c r="L698" t="s">
        <v>1440</v>
      </c>
      <c r="M698" t="s">
        <v>1440</v>
      </c>
      <c r="N698" t="s">
        <v>1439</v>
      </c>
      <c r="O698" t="s">
        <v>23</v>
      </c>
      <c r="Q698">
        <f t="shared" si="40"/>
        <v>1</v>
      </c>
      <c r="R698" t="e">
        <f t="shared" ca="1" si="41"/>
        <v>#NAME?</v>
      </c>
      <c r="S698">
        <f t="shared" si="42"/>
        <v>6</v>
      </c>
      <c r="T698" t="str">
        <f t="shared" si="43"/>
        <v>Ontevreden</v>
      </c>
    </row>
    <row r="699" spans="1:20" x14ac:dyDescent="0.3">
      <c r="A699" t="s">
        <v>2661</v>
      </c>
      <c r="B699" t="s">
        <v>1626</v>
      </c>
      <c r="C699" t="s">
        <v>4919</v>
      </c>
      <c r="D699" t="s">
        <v>4920</v>
      </c>
      <c r="E699" t="s">
        <v>4921</v>
      </c>
      <c r="F699" t="s">
        <v>4922</v>
      </c>
      <c r="G699">
        <v>162.25</v>
      </c>
      <c r="H699">
        <v>19</v>
      </c>
      <c r="I699" t="s">
        <v>22</v>
      </c>
      <c r="J699" t="s">
        <v>1440</v>
      </c>
      <c r="K699" t="s">
        <v>1440</v>
      </c>
      <c r="L699" t="s">
        <v>1439</v>
      </c>
      <c r="M699" t="s">
        <v>1440</v>
      </c>
      <c r="N699" t="s">
        <v>1440</v>
      </c>
      <c r="O699" t="s">
        <v>78</v>
      </c>
      <c r="Q699">
        <f t="shared" si="40"/>
        <v>1</v>
      </c>
      <c r="R699" t="e">
        <f t="shared" ca="1" si="41"/>
        <v>#NAME?</v>
      </c>
      <c r="S699">
        <f t="shared" si="42"/>
        <v>6</v>
      </c>
      <c r="T699" t="str">
        <f t="shared" si="43"/>
        <v>Ontevreden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0"/>
  <sheetViews>
    <sheetView workbookViewId="0"/>
  </sheetViews>
  <sheetFormatPr defaultRowHeight="14.4" x14ac:dyDescent="0.3"/>
  <sheetData>
    <row r="1" spans="1:18" x14ac:dyDescent="0.3">
      <c r="A1" t="s">
        <v>14</v>
      </c>
      <c r="B1" t="s">
        <v>1422</v>
      </c>
      <c r="C1" t="s">
        <v>4923</v>
      </c>
      <c r="D1" t="s">
        <v>4924</v>
      </c>
      <c r="E1" t="s">
        <v>1424</v>
      </c>
      <c r="F1" t="s">
        <v>4925</v>
      </c>
      <c r="G1" t="s">
        <v>4926</v>
      </c>
      <c r="H1" t="s">
        <v>8</v>
      </c>
      <c r="I1" t="s">
        <v>1425</v>
      </c>
      <c r="J1" t="s">
        <v>10</v>
      </c>
      <c r="K1" t="s">
        <v>4927</v>
      </c>
      <c r="L1" t="s">
        <v>1426</v>
      </c>
      <c r="M1" t="s">
        <v>1427</v>
      </c>
      <c r="N1" t="s">
        <v>1428</v>
      </c>
      <c r="O1" t="s">
        <v>1429</v>
      </c>
      <c r="P1" t="s">
        <v>1430</v>
      </c>
      <c r="Q1" t="s">
        <v>12</v>
      </c>
      <c r="R1" t="s">
        <v>4928</v>
      </c>
    </row>
    <row r="2" spans="1:18" x14ac:dyDescent="0.3">
      <c r="A2" t="str">
        <f>IF(Klantgegevens_B!A2&lt;&gt;"", Klantgegevens_B!A2, MID(Klantgegevens_A!A2, FIND(",", Klantgegevens_A!A2)+2, LEN(Klantgegevens_A!A2)))</f>
        <v>Elfie</v>
      </c>
      <c r="B2" t="str">
        <f>IF(Klantgegevens_B!B2&lt;&gt;"", Klantgegevens_B!B2, LEFT(Klantgegevens_A!A2, FIND(",", Klantgegevens_A!A2)-1))</f>
        <v>De vos</v>
      </c>
      <c r="C2" t="str">
        <f ca="1">C2 &amp; ", " &amp; B2</f>
        <v/>
      </c>
      <c r="D2" t="str">
        <f>IF(Klantgegevens_B!F2&lt;&gt;"", Klantgegevens_B!F2, Klantgegevens_A!D2 &amp; " " &amp; Klantgegevens_A!E2 &amp; ", " &amp; Klantgegevens_A!F2)</f>
        <v>Elfie,Olga,Carl</v>
      </c>
      <c r="E2">
        <f>IF(Klantgegevens_B!G2&lt;&gt;"", Klantgegevens_B!G2, TEXTJOIN(",", TRUE, REPT("Volwassene,", Klantgegevens_A!G2), REPT("Kind,", Klantgegevens_A!H2)))</f>
        <v>163.5</v>
      </c>
      <c r="F2">
        <f>IF(Klantgegevens_B!G2&lt;&gt;"", LEN(Klantgegevens_B!G2)-LEN(SUBSTITUTE(Klantgegevens_B!G2, ",", ""))+1, Klantgegevens_A!G2)</f>
        <v>1</v>
      </c>
      <c r="G2">
        <f>IF(Klantgegevens_B!G2&lt;&gt;"", 0, Klantgegevens_A!H2)</f>
        <v>0</v>
      </c>
      <c r="H2">
        <f>IF(Klantgegevens_B!H2&lt;&gt;"", Klantgegevens_B!H2, Klantgegevens_A!I2)</f>
        <v>4</v>
      </c>
      <c r="I2" t="str">
        <f>IF(Klantgegevens_B!I2&lt;&gt;"", Klantgegevens_B!I2, SWITCH(Klantgegevens_A!J2, "Zelden", 1, "Af en toe", 4, "Regelmatig", 8, "Vaak", 12))</f>
        <v>Creditcard</v>
      </c>
      <c r="J2" t="str">
        <f>IF(Klantgegevens_B!J2&lt;&gt;"", Klantgegevens_B!J2, Klantgegevens_A!K2)</f>
        <v>nee</v>
      </c>
      <c r="K2">
        <f>IF(Klantgegevens_B!K2&lt;&gt;"", AVERAGE(--(Klantgegevens_B!K2="ja"), --(Klantgegevens_B!L2="ja"), --(Klantgegevens_B!M2="ja"), --(Klantgegevens_B!N2="ja"), --(Klantgegevens_B!O2="ja"))*10, Klantgegevens_A!L2)</f>
        <v>4</v>
      </c>
      <c r="L2" t="str">
        <f>IF(Klantgegevens_B!K2&lt;&gt;"", Klantgegevens_B!K2, IF(Klantgegevens_A!L2&gt;=7, "ja", "nee"))</f>
        <v>nee</v>
      </c>
      <c r="M2" t="str">
        <f>IF(Klantgegevens_B!L2&lt;&gt;"", Klantgegevens_B!L2, IF(Klantgegevens_A!L2&gt;=7, "ja", "nee"))</f>
        <v>nee</v>
      </c>
      <c r="N2" t="str">
        <f>IF(Klantgegevens_B!M2&lt;&gt;"", Klantgegevens_B!M2, IF(Klantgegevens_A!L2&gt;=7, "ja", "nee"))</f>
        <v>ja</v>
      </c>
      <c r="O2" t="str">
        <f>IF(Klantgegevens_B!N2&lt;&gt;"", Klantgegevens_B!N2, IF(Klantgegevens_A!L2&gt;=7, "ja", "nee"))</f>
        <v>ja</v>
      </c>
      <c r="P2" t="str">
        <f>IF(Klantgegevens_B!O2&lt;&gt;"", Klantgegevens_B!O2, IF(Klantgegevens_A!L2&gt;=7, "ja", "nee"))</f>
        <v>Geen dieet</v>
      </c>
      <c r="Q2" t="str">
        <f>IF(Klantgegevens_B!P2&lt;&gt;"", Klantgegevens_B!P2, Klantgegevens_A!M2)</f>
        <v>Geen dieet</v>
      </c>
      <c r="R2" t="str">
        <f>IF(Klantgegevens_B!A2&lt;&gt;"", "B", "A")</f>
        <v>B</v>
      </c>
    </row>
    <row r="3" spans="1:18" x14ac:dyDescent="0.3">
      <c r="A3" t="str">
        <f>IF(Klantgegevens_B!A2&lt;&gt;"", Klantgegevens_B!A2, MID(Klantgegevens_A!A2, FIND(",", Klantgegevens_A!A2)+2, LEN(Klantgegevens_A!A2)))</f>
        <v>Elfie</v>
      </c>
      <c r="B3" t="str">
        <f>IF(Klantgegevens_B!B2&lt;&gt;"", Klantgegevens_B!B2, LEFT(Klantgegevens_A!A2, FIND(",", Klantgegevens_A!A2)-1))</f>
        <v>De vos</v>
      </c>
      <c r="C3" t="str">
        <f t="shared" ref="C3:C66" ca="1" si="0">C2 &amp; ", " &amp; B2</f>
        <v/>
      </c>
      <c r="D3" t="str">
        <f>IF(Klantgegevens_B!F2&lt;&gt;"", Klantgegevens_B!F2, Klantgegevens_A!D2 &amp; " " &amp; Klantgegevens_A!E2 &amp; ", " &amp; Klantgegevens_A!F2)</f>
        <v>Elfie,Olga,Carl</v>
      </c>
      <c r="E3">
        <f>IF(Klantgegevens_B!G2&lt;&gt;"", Klantgegevens_B!G2, TEXTJOIN(",", TRUE, REPT("Volwassene,", Klantgegevens_A!G2), REPT("Kind,", Klantgegevens_A!H2)))</f>
        <v>163.5</v>
      </c>
      <c r="F3">
        <f>IF(Klantgegevens_B!G2&lt;&gt;"", LEN(Klantgegevens_B!G2)-LEN(SUBSTITUTE(Klantgegevens_B!G2, ",", ""))+1, Klantgegevens_A!G2)</f>
        <v>1</v>
      </c>
      <c r="G3">
        <f>IF(Klantgegevens_B!G2&lt;&gt;"", 0, Klantgegevens_A!H2)</f>
        <v>0</v>
      </c>
      <c r="H3">
        <f>IF(Klantgegevens_B!H2&lt;&gt;"", Klantgegevens_B!H2, Klantgegevens_A!I2)</f>
        <v>4</v>
      </c>
      <c r="I3" t="str">
        <f>IF(Klantgegevens_B!I2&lt;&gt;"", Klantgegevens_B!I2, SWITCH(Klantgegevens_A!J2, "Zelden", 1, "Af en toe", 4, "Regelmatig", 8, "Vaak", 12))</f>
        <v>Creditcard</v>
      </c>
      <c r="J3" t="str">
        <f>IF(Klantgegevens_B!J2&lt;&gt;"", Klantgegevens_B!J2, Klantgegevens_A!K2)</f>
        <v>nee</v>
      </c>
      <c r="K3">
        <f>IF(Klantgegevens_B!K2&lt;&gt;"", AVERAGE(--(Klantgegevens_B!K2="ja"), --(Klantgegevens_B!L2="ja"), --(Klantgegevens_B!M2="ja"), --(Klantgegevens_B!N2="ja"), --(Klantgegevens_B!O2="ja"))*10, Klantgegevens_A!L2)</f>
        <v>4</v>
      </c>
      <c r="L3" t="str">
        <f>IF(Klantgegevens_B!K2&lt;&gt;"", Klantgegevens_B!K2, IF(Klantgegevens_A!L2&gt;=7, "ja", "nee"))</f>
        <v>nee</v>
      </c>
      <c r="M3" t="str">
        <f>IF(Klantgegevens_B!L2&lt;&gt;"", Klantgegevens_B!L2, IF(Klantgegevens_A!L2&gt;=7, "ja", "nee"))</f>
        <v>nee</v>
      </c>
      <c r="N3" t="str">
        <f>IF(Klantgegevens_B!M2&lt;&gt;"", Klantgegevens_B!M2, IF(Klantgegevens_A!L2&gt;=7, "ja", "nee"))</f>
        <v>ja</v>
      </c>
      <c r="O3" t="str">
        <f>IF(Klantgegevens_B!N2&lt;&gt;"", Klantgegevens_B!N2, IF(Klantgegevens_A!L2&gt;=7, "ja", "nee"))</f>
        <v>ja</v>
      </c>
      <c r="P3" t="str">
        <f>IF(Klantgegevens_B!O2&lt;&gt;"", Klantgegevens_B!O2, IF(Klantgegevens_A!L2&gt;=7, "ja", "nee"))</f>
        <v>Geen dieet</v>
      </c>
      <c r="Q3" t="str">
        <f>IF(Klantgegevens_B!P2&lt;&gt;"", Klantgegevens_B!P2, Klantgegevens_A!M2)</f>
        <v>Geen dieet</v>
      </c>
      <c r="R3" t="str">
        <f>IF(Klantgegevens_B!A2&lt;&gt;"", "B", "A")</f>
        <v>B</v>
      </c>
    </row>
    <row r="4" spans="1:18" x14ac:dyDescent="0.3">
      <c r="A4" t="str">
        <f>IF(Klantgegevens_B!A3&lt;&gt;"", Klantgegevens_B!A3, MID(Klantgegevens_A!A3, FIND(",", Klantgegevens_A!A3)+2, LEN(Klantgegevens_A!A3)))</f>
        <v>Lenn</v>
      </c>
      <c r="B4" t="str">
        <f>IF(Klantgegevens_B!B3&lt;&gt;"", Klantgegevens_B!B3, LEFT(Klantgegevens_A!A3, FIND(",", Klantgegevens_A!A3)-1))</f>
        <v>Vaes</v>
      </c>
      <c r="C4" t="str">
        <f t="shared" ca="1" si="0"/>
        <v/>
      </c>
      <c r="D4" t="str">
        <f>IF(Klantgegevens_B!F3&lt;&gt;"", Klantgegevens_B!F3, Klantgegevens_A!D3 &amp; " " &amp; Klantgegevens_A!E3 &amp; ", " &amp; Klantgegevens_A!F3)</f>
        <v>Lenn,Jakob,Véronique</v>
      </c>
      <c r="E4">
        <f>IF(Klantgegevens_B!G3&lt;&gt;"", Klantgegevens_B!G3, TEXTJOIN(",", TRUE, REPT("Volwassene,", Klantgegevens_A!G3), REPT("Kind,", Klantgegevens_A!H3)))</f>
        <v>156.51</v>
      </c>
      <c r="F4">
        <f>IF(Klantgegevens_B!G3&lt;&gt;"", LEN(Klantgegevens_B!G3)-LEN(SUBSTITUTE(Klantgegevens_B!G3, ",", ""))+1, Klantgegevens_A!G3)</f>
        <v>1</v>
      </c>
      <c r="G4">
        <f>IF(Klantgegevens_B!G3&lt;&gt;"", 0, Klantgegevens_A!H3)</f>
        <v>0</v>
      </c>
      <c r="H4">
        <f>IF(Klantgegevens_B!H3&lt;&gt;"", Klantgegevens_B!H3, Klantgegevens_A!I3)</f>
        <v>7</v>
      </c>
      <c r="I4" t="str">
        <f>IF(Klantgegevens_B!I3&lt;&gt;"", Klantgegevens_B!I3, SWITCH(Klantgegevens_A!J3, "Zelden", 1, "Af en toe", 4, "Regelmatig", 8, "Vaak", 12))</f>
        <v>Cash</v>
      </c>
      <c r="J4" t="str">
        <f>IF(Klantgegevens_B!J3&lt;&gt;"", Klantgegevens_B!J3, Klantgegevens_A!K3)</f>
        <v>ja</v>
      </c>
      <c r="K4">
        <f>IF(Klantgegevens_B!K3&lt;&gt;"", AVERAGE(--(Klantgegevens_B!K3="ja"), --(Klantgegevens_B!L3="ja"), --(Klantgegevens_B!M3="ja"), --(Klantgegevens_B!N3="ja"), --(Klantgegevens_B!O3="ja"))*10, Klantgegevens_A!L3)</f>
        <v>8</v>
      </c>
      <c r="L4" t="str">
        <f>IF(Klantgegevens_B!K3&lt;&gt;"", Klantgegevens_B!K3, IF(Klantgegevens_A!L3&gt;=7, "ja", "nee"))</f>
        <v>ja</v>
      </c>
      <c r="M4" t="str">
        <f>IF(Klantgegevens_B!L3&lt;&gt;"", Klantgegevens_B!L3, IF(Klantgegevens_A!L3&gt;=7, "ja", "nee"))</f>
        <v>ja</v>
      </c>
      <c r="N4" t="str">
        <f>IF(Klantgegevens_B!M3&lt;&gt;"", Klantgegevens_B!M3, IF(Klantgegevens_A!L3&gt;=7, "ja", "nee"))</f>
        <v>ja</v>
      </c>
      <c r="O4" t="str">
        <f>IF(Klantgegevens_B!N3&lt;&gt;"", Klantgegevens_B!N3, IF(Klantgegevens_A!L3&gt;=7, "ja", "nee"))</f>
        <v>ja</v>
      </c>
      <c r="P4" t="str">
        <f>IF(Klantgegevens_B!O3&lt;&gt;"", Klantgegevens_B!O3, IF(Klantgegevens_A!L3&gt;=7, "ja", "nee"))</f>
        <v>Geen dieet</v>
      </c>
      <c r="Q4" t="str">
        <f>IF(Klantgegevens_B!P3&lt;&gt;"", Klantgegevens_B!P3, Klantgegevens_A!M3)</f>
        <v>Geen dieet</v>
      </c>
      <c r="R4" t="str">
        <f>IF(Klantgegevens_B!A3&lt;&gt;"", "B", "A")</f>
        <v>B</v>
      </c>
    </row>
    <row r="5" spans="1:18" x14ac:dyDescent="0.3">
      <c r="A5" t="str">
        <f>IF(Klantgegevens_B!A4&lt;&gt;"", Klantgegevens_B!A4, MID(Klantgegevens_A!A4, FIND(",", Klantgegevens_A!A4)+2, LEN(Klantgegevens_A!A4)))</f>
        <v>Wendy</v>
      </c>
      <c r="B5" t="str">
        <f>IF(Klantgegevens_B!B4&lt;&gt;"", Klantgegevens_B!B4, LEFT(Klantgegevens_A!A4, FIND(",", Klantgegevens_A!A4)-1))</f>
        <v>Houben</v>
      </c>
      <c r="C5" t="str">
        <f t="shared" ca="1" si="0"/>
        <v/>
      </c>
      <c r="D5" t="str">
        <f>IF(Klantgegevens_B!F4&lt;&gt;"", Klantgegevens_B!F4, Klantgegevens_A!D4 &amp; " " &amp; Klantgegevens_A!E4 &amp; ", " &amp; Klantgegevens_A!F4)</f>
        <v>Wendy,Biagio,Arthur,Vilmos,Tifany</v>
      </c>
      <c r="E5">
        <f>IF(Klantgegevens_B!G4&lt;&gt;"", Klantgegevens_B!G4, TEXTJOIN(",", TRUE, REPT("Volwassene,", Klantgegevens_A!G4), REPT("Kind,", Klantgegevens_A!H4)))</f>
        <v>190.86</v>
      </c>
      <c r="F5">
        <f>IF(Klantgegevens_B!G4&lt;&gt;"", LEN(Klantgegevens_B!G4)-LEN(SUBSTITUTE(Klantgegevens_B!G4, ",", ""))+1, Klantgegevens_A!G4)</f>
        <v>1</v>
      </c>
      <c r="G5">
        <f>IF(Klantgegevens_B!G4&lt;&gt;"", 0, Klantgegevens_A!H4)</f>
        <v>0</v>
      </c>
      <c r="H5">
        <f>IF(Klantgegevens_B!H4&lt;&gt;"", Klantgegevens_B!H4, Klantgegevens_A!I4)</f>
        <v>17</v>
      </c>
      <c r="I5" t="str">
        <f>IF(Klantgegevens_B!I4&lt;&gt;"", Klantgegevens_B!I4, SWITCH(Klantgegevens_A!J4, "Zelden", 1, "Af en toe", 4, "Regelmatig", 8, "Vaak", 12))</f>
        <v>Bancontact</v>
      </c>
      <c r="J5" t="str">
        <f>IF(Klantgegevens_B!J4&lt;&gt;"", Klantgegevens_B!J4, Klantgegevens_A!K4)</f>
        <v>ja</v>
      </c>
      <c r="K5">
        <f>IF(Klantgegevens_B!K4&lt;&gt;"", AVERAGE(--(Klantgegevens_B!K4="ja"), --(Klantgegevens_B!L4="ja"), --(Klantgegevens_B!M4="ja"), --(Klantgegevens_B!N4="ja"), --(Klantgegevens_B!O4="ja"))*10, Klantgegevens_A!L4)</f>
        <v>8</v>
      </c>
      <c r="L5" t="str">
        <f>IF(Klantgegevens_B!K4&lt;&gt;"", Klantgegevens_B!K4, IF(Klantgegevens_A!L4&gt;=7, "ja", "nee"))</f>
        <v>ja</v>
      </c>
      <c r="M5" t="str">
        <f>IF(Klantgegevens_B!L4&lt;&gt;"", Klantgegevens_B!L4, IF(Klantgegevens_A!L4&gt;=7, "ja", "nee"))</f>
        <v>ja</v>
      </c>
      <c r="N5" t="str">
        <f>IF(Klantgegevens_B!M4&lt;&gt;"", Klantgegevens_B!M4, IF(Klantgegevens_A!L4&gt;=7, "ja", "nee"))</f>
        <v>ja</v>
      </c>
      <c r="O5" t="str">
        <f>IF(Klantgegevens_B!N4&lt;&gt;"", Klantgegevens_B!N4, IF(Klantgegevens_A!L4&gt;=7, "ja", "nee"))</f>
        <v>ja</v>
      </c>
      <c r="P5" t="str">
        <f>IF(Klantgegevens_B!O4&lt;&gt;"", Klantgegevens_B!O4, IF(Klantgegevens_A!L4&gt;=7, "ja", "nee"))</f>
        <v>Geen dieet</v>
      </c>
      <c r="Q5" t="str">
        <f>IF(Klantgegevens_B!P4&lt;&gt;"", Klantgegevens_B!P4, Klantgegevens_A!M4)</f>
        <v>Vegetarisch</v>
      </c>
      <c r="R5" t="str">
        <f>IF(Klantgegevens_B!A4&lt;&gt;"", "B", "A")</f>
        <v>B</v>
      </c>
    </row>
    <row r="6" spans="1:18" x14ac:dyDescent="0.3">
      <c r="A6" t="str">
        <f>IF(Klantgegevens_B!A5&lt;&gt;"", Klantgegevens_B!A5, MID(Klantgegevens_A!A5, FIND(",", Klantgegevens_A!A5)+2, LEN(Klantgegevens_A!A5)))</f>
        <v>Jade</v>
      </c>
      <c r="B6" t="str">
        <f>IF(Klantgegevens_B!B5&lt;&gt;"", Klantgegevens_B!B5, LEFT(Klantgegevens_A!A5, FIND(",", Klantgegevens_A!A5)-1))</f>
        <v>Swinnen</v>
      </c>
      <c r="C6" t="str">
        <f t="shared" ca="1" si="0"/>
        <v/>
      </c>
      <c r="D6" t="str">
        <f>IF(Klantgegevens_B!F5&lt;&gt;"", Klantgegevens_B!F5, Klantgegevens_A!D5 &amp; " " &amp; Klantgegevens_A!E5 &amp; ", " &amp; Klantgegevens_A!F5)</f>
        <v>Jade,Amelie</v>
      </c>
      <c r="E6">
        <f>IF(Klantgegevens_B!G5&lt;&gt;"", Klantgegevens_B!G5, TEXTJOIN(",", TRUE, REPT("Volwassene,", Klantgegevens_A!G5), REPT("Kind,", Klantgegevens_A!H5)))</f>
        <v>53.51</v>
      </c>
      <c r="F6">
        <f>IF(Klantgegevens_B!G5&lt;&gt;"", LEN(Klantgegevens_B!G5)-LEN(SUBSTITUTE(Klantgegevens_B!G5, ",", ""))+1, Klantgegevens_A!G5)</f>
        <v>1</v>
      </c>
      <c r="G6">
        <f>IF(Klantgegevens_B!G5&lt;&gt;"", 0, Klantgegevens_A!H5)</f>
        <v>0</v>
      </c>
      <c r="H6">
        <f>IF(Klantgegevens_B!H5&lt;&gt;"", Klantgegevens_B!H5, Klantgegevens_A!I5)</f>
        <v>12</v>
      </c>
      <c r="I6" t="str">
        <f>IF(Klantgegevens_B!I5&lt;&gt;"", Klantgegevens_B!I5, SWITCH(Klantgegevens_A!J5, "Zelden", 1, "Af en toe", 4, "Regelmatig", 8, "Vaak", 12))</f>
        <v>Cash</v>
      </c>
      <c r="J6" t="str">
        <f>IF(Klantgegevens_B!J5&lt;&gt;"", Klantgegevens_B!J5, Klantgegevens_A!K5)</f>
        <v>ja</v>
      </c>
      <c r="K6">
        <f>IF(Klantgegevens_B!K5&lt;&gt;"", AVERAGE(--(Klantgegevens_B!K5="ja"), --(Klantgegevens_B!L5="ja"), --(Klantgegevens_B!M5="ja"), --(Klantgegevens_B!N5="ja"), --(Klantgegevens_B!O5="ja"))*10, Klantgegevens_A!L5)</f>
        <v>8</v>
      </c>
      <c r="L6" t="str">
        <f>IF(Klantgegevens_B!K5&lt;&gt;"", Klantgegevens_B!K5, IF(Klantgegevens_A!L5&gt;=7, "ja", "nee"))</f>
        <v>ja</v>
      </c>
      <c r="M6" t="str">
        <f>IF(Klantgegevens_B!L5&lt;&gt;"", Klantgegevens_B!L5, IF(Klantgegevens_A!L5&gt;=7, "ja", "nee"))</f>
        <v>ja</v>
      </c>
      <c r="N6" t="str">
        <f>IF(Klantgegevens_B!M5&lt;&gt;"", Klantgegevens_B!M5, IF(Klantgegevens_A!L5&gt;=7, "ja", "nee"))</f>
        <v>ja</v>
      </c>
      <c r="O6" t="str">
        <f>IF(Klantgegevens_B!N5&lt;&gt;"", Klantgegevens_B!N5, IF(Klantgegevens_A!L5&gt;=7, "ja", "nee"))</f>
        <v>ja</v>
      </c>
      <c r="P6" t="str">
        <f>IF(Klantgegevens_B!O5&lt;&gt;"", Klantgegevens_B!O5, IF(Klantgegevens_A!L5&gt;=7, "ja", "nee"))</f>
        <v>Geen dieet</v>
      </c>
      <c r="Q6" t="str">
        <f>IF(Klantgegevens_B!P5&lt;&gt;"", Klantgegevens_B!P5, Klantgegevens_A!M5)</f>
        <v>Geen dieet</v>
      </c>
      <c r="R6" t="str">
        <f>IF(Klantgegevens_B!A5&lt;&gt;"", "B", "A")</f>
        <v>B</v>
      </c>
    </row>
    <row r="7" spans="1:18" x14ac:dyDescent="0.3">
      <c r="A7" t="str">
        <f>IF(Klantgegevens_B!A6&lt;&gt;"", Klantgegevens_B!A6, MID(Klantgegevens_A!A6, FIND(",", Klantgegevens_A!A6)+2, LEN(Klantgegevens_A!A6)))</f>
        <v>Catalina</v>
      </c>
      <c r="B7" t="str">
        <f>IF(Klantgegevens_B!B6&lt;&gt;"", Klantgegevens_B!B6, LEFT(Klantgegevens_A!A6, FIND(",", Klantgegevens_A!A6)-1))</f>
        <v>Janssen</v>
      </c>
      <c r="C7" t="str">
        <f t="shared" ca="1" si="0"/>
        <v/>
      </c>
      <c r="D7" t="str">
        <f>IF(Klantgegevens_B!F6&lt;&gt;"", Klantgegevens_B!F6, Klantgegevens_A!D6 &amp; " " &amp; Klantgegevens_A!E6 &amp; ", " &amp; Klantgegevens_A!F6)</f>
        <v>Catalina,Matias</v>
      </c>
      <c r="E7">
        <f>IF(Klantgegevens_B!G6&lt;&gt;"", Klantgegevens_B!G6, TEXTJOIN(",", TRUE, REPT("Volwassene,", Klantgegevens_A!G6), REPT("Kind,", Klantgegevens_A!H6)))</f>
        <v>36.89</v>
      </c>
      <c r="F7">
        <f>IF(Klantgegevens_B!G6&lt;&gt;"", LEN(Klantgegevens_B!G6)-LEN(SUBSTITUTE(Klantgegevens_B!G6, ",", ""))+1, Klantgegevens_A!G6)</f>
        <v>1</v>
      </c>
      <c r="G7">
        <f>IF(Klantgegevens_B!G6&lt;&gt;"", 0, Klantgegevens_A!H6)</f>
        <v>0</v>
      </c>
      <c r="H7">
        <f>IF(Klantgegevens_B!H6&lt;&gt;"", Klantgegevens_B!H6, Klantgegevens_A!I6)</f>
        <v>5</v>
      </c>
      <c r="I7" t="str">
        <f>IF(Klantgegevens_B!I6&lt;&gt;"", Klantgegevens_B!I6, SWITCH(Klantgegevens_A!J6, "Zelden", 1, "Af en toe", 4, "Regelmatig", 8, "Vaak", 12))</f>
        <v>Payconiq</v>
      </c>
      <c r="J7" t="str">
        <f>IF(Klantgegevens_B!J6&lt;&gt;"", Klantgegevens_B!J6, Klantgegevens_A!K6)</f>
        <v>ja</v>
      </c>
      <c r="K7">
        <f>IF(Klantgegevens_B!K6&lt;&gt;"", AVERAGE(--(Klantgegevens_B!K6="ja"), --(Klantgegevens_B!L6="ja"), --(Klantgegevens_B!M6="ja"), --(Klantgegevens_B!N6="ja"), --(Klantgegevens_B!O6="ja"))*10, Klantgegevens_A!L6)</f>
        <v>8</v>
      </c>
      <c r="L7" t="str">
        <f>IF(Klantgegevens_B!K6&lt;&gt;"", Klantgegevens_B!K6, IF(Klantgegevens_A!L6&gt;=7, "ja", "nee"))</f>
        <v>ja</v>
      </c>
      <c r="M7" t="str">
        <f>IF(Klantgegevens_B!L6&lt;&gt;"", Klantgegevens_B!L6, IF(Klantgegevens_A!L6&gt;=7, "ja", "nee"))</f>
        <v>ja</v>
      </c>
      <c r="N7" t="str">
        <f>IF(Klantgegevens_B!M6&lt;&gt;"", Klantgegevens_B!M6, IF(Klantgegevens_A!L6&gt;=7, "ja", "nee"))</f>
        <v>ja</v>
      </c>
      <c r="O7" t="str">
        <f>IF(Klantgegevens_B!N6&lt;&gt;"", Klantgegevens_B!N6, IF(Klantgegevens_A!L6&gt;=7, "ja", "nee"))</f>
        <v>ja</v>
      </c>
      <c r="P7" t="str">
        <f>IF(Klantgegevens_B!O6&lt;&gt;"", Klantgegevens_B!O6, IF(Klantgegevens_A!L6&gt;=7, "ja", "nee"))</f>
        <v>Geen dieet</v>
      </c>
      <c r="Q7" t="str">
        <f>IF(Klantgegevens_B!P6&lt;&gt;"", Klantgegevens_B!P6, Klantgegevens_A!M6)</f>
        <v>Geen dieet</v>
      </c>
      <c r="R7" t="str">
        <f>IF(Klantgegevens_B!A6&lt;&gt;"", "B", "A")</f>
        <v>B</v>
      </c>
    </row>
    <row r="8" spans="1:18" x14ac:dyDescent="0.3">
      <c r="A8" t="str">
        <f>IF(Klantgegevens_B!A7&lt;&gt;"", Klantgegevens_B!A7, MID(Klantgegevens_A!A7, FIND(",", Klantgegevens_A!A7)+2, LEN(Klantgegevens_A!A7)))</f>
        <v>Maria</v>
      </c>
      <c r="B8" t="str">
        <f>IF(Klantgegevens_B!B7&lt;&gt;"", Klantgegevens_B!B7, LEFT(Klantgegevens_A!A7, FIND(",", Klantgegevens_A!A7)-1))</f>
        <v>Dierckx</v>
      </c>
      <c r="C8" t="str">
        <f t="shared" ca="1" si="0"/>
        <v/>
      </c>
      <c r="D8" t="str">
        <f>IF(Klantgegevens_B!F7&lt;&gt;"", Klantgegevens_B!F7, Klantgegevens_A!D7 &amp; " " &amp; Klantgegevens_A!E7 &amp; ", " &amp; Klantgegevens_A!F7)</f>
        <v>Maria,Leana</v>
      </c>
      <c r="E8">
        <f>IF(Klantgegevens_B!G7&lt;&gt;"", Klantgegevens_B!G7, TEXTJOIN(",", TRUE, REPT("Volwassene,", Klantgegevens_A!G7), REPT("Kind,", Klantgegevens_A!H7)))</f>
        <v>128.06</v>
      </c>
      <c r="F8">
        <f>IF(Klantgegevens_B!G7&lt;&gt;"", LEN(Klantgegevens_B!G7)-LEN(SUBSTITUTE(Klantgegevens_B!G7, ",", ""))+1, Klantgegevens_A!G7)</f>
        <v>1</v>
      </c>
      <c r="G8">
        <f>IF(Klantgegevens_B!G7&lt;&gt;"", 0, Klantgegevens_A!H7)</f>
        <v>0</v>
      </c>
      <c r="H8">
        <f>IF(Klantgegevens_B!H7&lt;&gt;"", Klantgegevens_B!H7, Klantgegevens_A!I7)</f>
        <v>7</v>
      </c>
      <c r="I8" t="str">
        <f>IF(Klantgegevens_B!I7&lt;&gt;"", Klantgegevens_B!I7, SWITCH(Klantgegevens_A!J7, "Zelden", 1, "Af en toe", 4, "Regelmatig", 8, "Vaak", 12))</f>
        <v>Payconiq</v>
      </c>
      <c r="J8" t="str">
        <f>IF(Klantgegevens_B!J7&lt;&gt;"", Klantgegevens_B!J7, Klantgegevens_A!K7)</f>
        <v>nee</v>
      </c>
      <c r="K8">
        <f>IF(Klantgegevens_B!K7&lt;&gt;"", AVERAGE(--(Klantgegevens_B!K7="ja"), --(Klantgegevens_B!L7="ja"), --(Klantgegevens_B!M7="ja"), --(Klantgegevens_B!N7="ja"), --(Klantgegevens_B!O7="ja"))*10, Klantgegevens_A!L7)</f>
        <v>6</v>
      </c>
      <c r="L8" t="str">
        <f>IF(Klantgegevens_B!K7&lt;&gt;"", Klantgegevens_B!K7, IF(Klantgegevens_A!L7&gt;=7, "ja", "nee"))</f>
        <v>ja</v>
      </c>
      <c r="M8" t="str">
        <f>IF(Klantgegevens_B!L7&lt;&gt;"", Klantgegevens_B!L7, IF(Klantgegevens_A!L7&gt;=7, "ja", "nee"))</f>
        <v>ja</v>
      </c>
      <c r="N8" t="str">
        <f>IF(Klantgegevens_B!M7&lt;&gt;"", Klantgegevens_B!M7, IF(Klantgegevens_A!L7&gt;=7, "ja", "nee"))</f>
        <v>ja</v>
      </c>
      <c r="O8" t="str">
        <f>IF(Klantgegevens_B!N7&lt;&gt;"", Klantgegevens_B!N7, IF(Klantgegevens_A!L7&gt;=7, "ja", "nee"))</f>
        <v>nee</v>
      </c>
      <c r="P8" t="str">
        <f>IF(Klantgegevens_B!O7&lt;&gt;"", Klantgegevens_B!O7, IF(Klantgegevens_A!L7&gt;=7, "ja", "nee"))</f>
        <v>Geen dieet</v>
      </c>
      <c r="Q8" t="str">
        <f>IF(Klantgegevens_B!P7&lt;&gt;"", Klantgegevens_B!P7, Klantgegevens_A!M7)</f>
        <v>Geen dieet</v>
      </c>
      <c r="R8" t="str">
        <f>IF(Klantgegevens_B!A7&lt;&gt;"", "B", "A")</f>
        <v>B</v>
      </c>
    </row>
    <row r="9" spans="1:18" x14ac:dyDescent="0.3">
      <c r="A9" t="str">
        <f>IF(Klantgegevens_B!A8&lt;&gt;"", Klantgegevens_B!A8, MID(Klantgegevens_A!A8, FIND(",", Klantgegevens_A!A8)+2, LEN(Klantgegevens_A!A8)))</f>
        <v>Généviève</v>
      </c>
      <c r="B9" t="str">
        <f>IF(Klantgegevens_B!B8&lt;&gt;"", Klantgegevens_B!B8, LEFT(Klantgegevens_A!A8, FIND(",", Klantgegevens_A!A8)-1))</f>
        <v>Heymans</v>
      </c>
      <c r="C9" t="str">
        <f t="shared" ca="1" si="0"/>
        <v/>
      </c>
      <c r="D9" t="str">
        <f>IF(Klantgegevens_B!F8&lt;&gt;"", Klantgegevens_B!F8, Klantgegevens_A!D8 &amp; " " &amp; Klantgegevens_A!E8 &amp; ", " &amp; Klantgegevens_A!F8)</f>
        <v>Généviève,Karel,Pascal,Tom</v>
      </c>
      <c r="E9">
        <f>IF(Klantgegevens_B!G8&lt;&gt;"", Klantgegevens_B!G8, TEXTJOIN(",", TRUE, REPT("Volwassene,", Klantgegevens_A!G8), REPT("Kind,", Klantgegevens_A!H8)))</f>
        <v>169.77</v>
      </c>
      <c r="F9">
        <f>IF(Klantgegevens_B!G8&lt;&gt;"", LEN(Klantgegevens_B!G8)-LEN(SUBSTITUTE(Klantgegevens_B!G8, ",", ""))+1, Klantgegevens_A!G8)</f>
        <v>1</v>
      </c>
      <c r="G9">
        <f>IF(Klantgegevens_B!G8&lt;&gt;"", 0, Klantgegevens_A!H8)</f>
        <v>0</v>
      </c>
      <c r="H9">
        <f>IF(Klantgegevens_B!H8&lt;&gt;"", Klantgegevens_B!H8, Klantgegevens_A!I8)</f>
        <v>15</v>
      </c>
      <c r="I9" t="str">
        <f>IF(Klantgegevens_B!I8&lt;&gt;"", Klantgegevens_B!I8, SWITCH(Klantgegevens_A!J8, "Zelden", 1, "Af en toe", 4, "Regelmatig", 8, "Vaak", 12))</f>
        <v>Payconiq</v>
      </c>
      <c r="J9" t="str">
        <f>IF(Klantgegevens_B!J8&lt;&gt;"", Klantgegevens_B!J8, Klantgegevens_A!K8)</f>
        <v>ja</v>
      </c>
      <c r="K9">
        <f>IF(Klantgegevens_B!K8&lt;&gt;"", AVERAGE(--(Klantgegevens_B!K8="ja"), --(Klantgegevens_B!L8="ja"), --(Klantgegevens_B!M8="ja"), --(Klantgegevens_B!N8="ja"), --(Klantgegevens_B!O8="ja"))*10, Klantgegevens_A!L8)</f>
        <v>6</v>
      </c>
      <c r="L9" t="str">
        <f>IF(Klantgegevens_B!K8&lt;&gt;"", Klantgegevens_B!K8, IF(Klantgegevens_A!L8&gt;=7, "ja", "nee"))</f>
        <v>ja</v>
      </c>
      <c r="M9" t="str">
        <f>IF(Klantgegevens_B!L8&lt;&gt;"", Klantgegevens_B!L8, IF(Klantgegevens_A!L8&gt;=7, "ja", "nee"))</f>
        <v>ja</v>
      </c>
      <c r="N9" t="str">
        <f>IF(Klantgegevens_B!M8&lt;&gt;"", Klantgegevens_B!M8, IF(Klantgegevens_A!L8&gt;=7, "ja", "nee"))</f>
        <v>nee</v>
      </c>
      <c r="O9" t="str">
        <f>IF(Klantgegevens_B!N8&lt;&gt;"", Klantgegevens_B!N8, IF(Klantgegevens_A!L8&gt;=7, "ja", "nee"))</f>
        <v>ja</v>
      </c>
      <c r="P9" t="str">
        <f>IF(Klantgegevens_B!O8&lt;&gt;"", Klantgegevens_B!O8, IF(Klantgegevens_A!L8&gt;=7, "ja", "nee"))</f>
        <v>Geen dieet</v>
      </c>
      <c r="Q9" t="str">
        <f>IF(Klantgegevens_B!P8&lt;&gt;"", Klantgegevens_B!P8, Klantgegevens_A!M8)</f>
        <v>Geen dieet</v>
      </c>
      <c r="R9" t="str">
        <f>IF(Klantgegevens_B!A8&lt;&gt;"", "B", "A")</f>
        <v>B</v>
      </c>
    </row>
    <row r="10" spans="1:18" x14ac:dyDescent="0.3">
      <c r="A10" t="str">
        <f>IF(Klantgegevens_B!A9&lt;&gt;"", Klantgegevens_B!A9, MID(Klantgegevens_A!A9, FIND(",", Klantgegevens_A!A9)+2, LEN(Klantgegevens_A!A9)))</f>
        <v>Hugo</v>
      </c>
      <c r="B10" t="str">
        <f>IF(Klantgegevens_B!B9&lt;&gt;"", Klantgegevens_B!B9, LEFT(Klantgegevens_A!A9, FIND(",", Klantgegevens_A!A9)-1))</f>
        <v>Moreau</v>
      </c>
      <c r="C10" t="str">
        <f t="shared" ca="1" si="0"/>
        <v/>
      </c>
      <c r="D10" t="str">
        <f>IF(Klantgegevens_B!F9&lt;&gt;"", Klantgegevens_B!F9, Klantgegevens_A!D9 &amp; " " &amp; Klantgegevens_A!E9 &amp; ", " &amp; Klantgegevens_A!F9)</f>
        <v>Hugo,Cecilia</v>
      </c>
      <c r="E10">
        <f>IF(Klantgegevens_B!G9&lt;&gt;"", Klantgegevens_B!G9, TEXTJOIN(",", TRUE, REPT("Volwassene,", Klantgegevens_A!G9), REPT("Kind,", Klantgegevens_A!H9)))</f>
        <v>140.41999999999999</v>
      </c>
      <c r="F10">
        <f>IF(Klantgegevens_B!G9&lt;&gt;"", LEN(Klantgegevens_B!G9)-LEN(SUBSTITUTE(Klantgegevens_B!G9, ",", ""))+1, Klantgegevens_A!G9)</f>
        <v>1</v>
      </c>
      <c r="G10">
        <f>IF(Klantgegevens_B!G9&lt;&gt;"", 0, Klantgegevens_A!H9)</f>
        <v>0</v>
      </c>
      <c r="H10">
        <f>IF(Klantgegevens_B!H9&lt;&gt;"", Klantgegevens_B!H9, Klantgegevens_A!I9)</f>
        <v>6</v>
      </c>
      <c r="I10" t="str">
        <f>IF(Klantgegevens_B!I9&lt;&gt;"", Klantgegevens_B!I9, SWITCH(Klantgegevens_A!J9, "Zelden", 1, "Af en toe", 4, "Regelmatig", 8, "Vaak", 12))</f>
        <v>Cash</v>
      </c>
      <c r="J10" t="str">
        <f>IF(Klantgegevens_B!J9&lt;&gt;"", Klantgegevens_B!J9, Klantgegevens_A!K9)</f>
        <v>nee</v>
      </c>
      <c r="K10">
        <f>IF(Klantgegevens_B!K9&lt;&gt;"", AVERAGE(--(Klantgegevens_B!K9="ja"), --(Klantgegevens_B!L9="ja"), --(Klantgegevens_B!M9="ja"), --(Klantgegevens_B!N9="ja"), --(Klantgegevens_B!O9="ja"))*10, Klantgegevens_A!L9)</f>
        <v>2</v>
      </c>
      <c r="L10" t="str">
        <f>IF(Klantgegevens_B!K9&lt;&gt;"", Klantgegevens_B!K9, IF(Klantgegevens_A!L9&gt;=7, "ja", "nee"))</f>
        <v>ja</v>
      </c>
      <c r="M10" t="str">
        <f>IF(Klantgegevens_B!L9&lt;&gt;"", Klantgegevens_B!L9, IF(Klantgegevens_A!L9&gt;=7, "ja", "nee"))</f>
        <v>nee</v>
      </c>
      <c r="N10" t="str">
        <f>IF(Klantgegevens_B!M9&lt;&gt;"", Klantgegevens_B!M9, IF(Klantgegevens_A!L9&gt;=7, "ja", "nee"))</f>
        <v>nee</v>
      </c>
      <c r="O10" t="str">
        <f>IF(Klantgegevens_B!N9&lt;&gt;"", Klantgegevens_B!N9, IF(Klantgegevens_A!L9&gt;=7, "ja", "nee"))</f>
        <v>nee</v>
      </c>
      <c r="P10" t="str">
        <f>IF(Klantgegevens_B!O9&lt;&gt;"", Klantgegevens_B!O9, IF(Klantgegevens_A!L9&gt;=7, "ja", "nee"))</f>
        <v>Geen dieet</v>
      </c>
      <c r="Q10" t="str">
        <f>IF(Klantgegevens_B!P9&lt;&gt;"", Klantgegevens_B!P9, Klantgegevens_A!M9)</f>
        <v>Geen dieet</v>
      </c>
      <c r="R10" t="str">
        <f>IF(Klantgegevens_B!A9&lt;&gt;"", "B", "A")</f>
        <v>B</v>
      </c>
    </row>
    <row r="11" spans="1:18" x14ac:dyDescent="0.3">
      <c r="A11" t="str">
        <f>IF(Klantgegevens_B!A10&lt;&gt;"", Klantgegevens_B!A10, MID(Klantgegevens_A!A10, FIND(",", Klantgegevens_A!A10)+2, LEN(Klantgegevens_A!A10)))</f>
        <v>Jozef</v>
      </c>
      <c r="B11" t="str">
        <f>IF(Klantgegevens_B!B10&lt;&gt;"", Klantgegevens_B!B10, LEFT(Klantgegevens_A!A10, FIND(",", Klantgegevens_A!A10)-1))</f>
        <v>Lemmens</v>
      </c>
      <c r="C11" t="str">
        <f t="shared" ca="1" si="0"/>
        <v/>
      </c>
      <c r="D11" t="str">
        <f>IF(Klantgegevens_B!F10&lt;&gt;"", Klantgegevens_B!F10, Klantgegevens_A!D10 &amp; " " &amp; Klantgegevens_A!E10 &amp; ", " &amp; Klantgegevens_A!F10)</f>
        <v>Jozef,Jeff</v>
      </c>
      <c r="E11">
        <f>IF(Klantgegevens_B!G10&lt;&gt;"", Klantgegevens_B!G10, TEXTJOIN(",", TRUE, REPT("Volwassene,", Klantgegevens_A!G10), REPT("Kind,", Klantgegevens_A!H10)))</f>
        <v>113.21</v>
      </c>
      <c r="F11">
        <f>IF(Klantgegevens_B!G10&lt;&gt;"", LEN(Klantgegevens_B!G10)-LEN(SUBSTITUTE(Klantgegevens_B!G10, ",", ""))+1, Klantgegevens_A!G10)</f>
        <v>1</v>
      </c>
      <c r="G11">
        <f>IF(Klantgegevens_B!G10&lt;&gt;"", 0, Klantgegevens_A!H10)</f>
        <v>0</v>
      </c>
      <c r="H11">
        <f>IF(Klantgegevens_B!H10&lt;&gt;"", Klantgegevens_B!H10, Klantgegevens_A!I10)</f>
        <v>11</v>
      </c>
      <c r="I11" t="str">
        <f>IF(Klantgegevens_B!I10&lt;&gt;"", Klantgegevens_B!I10, SWITCH(Klantgegevens_A!J10, "Zelden", 1, "Af en toe", 4, "Regelmatig", 8, "Vaak", 12))</f>
        <v>Payconiq</v>
      </c>
      <c r="J11" t="str">
        <f>IF(Klantgegevens_B!J10&lt;&gt;"", Klantgegevens_B!J10, Klantgegevens_A!K10)</f>
        <v>ja</v>
      </c>
      <c r="K11">
        <f>IF(Klantgegevens_B!K10&lt;&gt;"", AVERAGE(--(Klantgegevens_B!K10="ja"), --(Klantgegevens_B!L10="ja"), --(Klantgegevens_B!M10="ja"), --(Klantgegevens_B!N10="ja"), --(Klantgegevens_B!O10="ja"))*10, Klantgegevens_A!L10)</f>
        <v>6</v>
      </c>
      <c r="L11" t="str">
        <f>IF(Klantgegevens_B!K10&lt;&gt;"", Klantgegevens_B!K10, IF(Klantgegevens_A!L10&gt;=7, "ja", "nee"))</f>
        <v>nee</v>
      </c>
      <c r="M11" t="str">
        <f>IF(Klantgegevens_B!L10&lt;&gt;"", Klantgegevens_B!L10, IF(Klantgegevens_A!L10&gt;=7, "ja", "nee"))</f>
        <v>ja</v>
      </c>
      <c r="N11" t="str">
        <f>IF(Klantgegevens_B!M10&lt;&gt;"", Klantgegevens_B!M10, IF(Klantgegevens_A!L10&gt;=7, "ja", "nee"))</f>
        <v>ja</v>
      </c>
      <c r="O11" t="str">
        <f>IF(Klantgegevens_B!N10&lt;&gt;"", Klantgegevens_B!N10, IF(Klantgegevens_A!L10&gt;=7, "ja", "nee"))</f>
        <v>ja</v>
      </c>
      <c r="P11" t="str">
        <f>IF(Klantgegevens_B!O10&lt;&gt;"", Klantgegevens_B!O10, IF(Klantgegevens_A!L10&gt;=7, "ja", "nee"))</f>
        <v>Geen dieet</v>
      </c>
      <c r="Q11" t="str">
        <f>IF(Klantgegevens_B!P10&lt;&gt;"", Klantgegevens_B!P10, Klantgegevens_A!M10)</f>
        <v>Vegetarisch</v>
      </c>
      <c r="R11" t="str">
        <f>IF(Klantgegevens_B!A10&lt;&gt;"", "B", "A")</f>
        <v>B</v>
      </c>
    </row>
    <row r="12" spans="1:18" x14ac:dyDescent="0.3">
      <c r="A12" t="str">
        <f>IF(Klantgegevens_B!A11&lt;&gt;"", Klantgegevens_B!A11, MID(Klantgegevens_A!A11, FIND(",", Klantgegevens_A!A11)+2, LEN(Klantgegevens_A!A11)))</f>
        <v>Jan</v>
      </c>
      <c r="B12" t="str">
        <f>IF(Klantgegevens_B!B11&lt;&gt;"", Klantgegevens_B!B11, LEFT(Klantgegevens_A!A11, FIND(",", Klantgegevens_A!A11)-1))</f>
        <v>Etienne</v>
      </c>
      <c r="C12" t="str">
        <f t="shared" ca="1" si="0"/>
        <v/>
      </c>
      <c r="D12" t="str">
        <f>IF(Klantgegevens_B!F11&lt;&gt;"", Klantgegevens_B!F11, Klantgegevens_A!D11 &amp; " " &amp; Klantgegevens_A!E11 &amp; ", " &amp; Klantgegevens_A!F11)</f>
        <v>Jan,Hatice,Maria,Youssef</v>
      </c>
      <c r="E12">
        <f>IF(Klantgegevens_B!G11&lt;&gt;"", Klantgegevens_B!G11, TEXTJOIN(",", TRUE, REPT("Volwassene,", Klantgegevens_A!G11), REPT("Kind,", Klantgegevens_A!H11)))</f>
        <v>199.74</v>
      </c>
      <c r="F12">
        <f>IF(Klantgegevens_B!G11&lt;&gt;"", LEN(Klantgegevens_B!G11)-LEN(SUBSTITUTE(Klantgegevens_B!G11, ",", ""))+1, Klantgegevens_A!G11)</f>
        <v>1</v>
      </c>
      <c r="G12">
        <f>IF(Klantgegevens_B!G11&lt;&gt;"", 0, Klantgegevens_A!H11)</f>
        <v>0</v>
      </c>
      <c r="H12">
        <f>IF(Klantgegevens_B!H11&lt;&gt;"", Klantgegevens_B!H11, Klantgegevens_A!I11)</f>
        <v>16</v>
      </c>
      <c r="I12" t="str">
        <f>IF(Klantgegevens_B!I11&lt;&gt;"", Klantgegevens_B!I11, SWITCH(Klantgegevens_A!J11, "Zelden", 1, "Af en toe", 4, "Regelmatig", 8, "Vaak", 12))</f>
        <v>Bancontact</v>
      </c>
      <c r="J12" t="str">
        <f>IF(Klantgegevens_B!J11&lt;&gt;"", Klantgegevens_B!J11, Klantgegevens_A!K11)</f>
        <v>ja</v>
      </c>
      <c r="K12">
        <f>IF(Klantgegevens_B!K11&lt;&gt;"", AVERAGE(--(Klantgegevens_B!K11="ja"), --(Klantgegevens_B!L11="ja"), --(Klantgegevens_B!M11="ja"), --(Klantgegevens_B!N11="ja"), --(Klantgegevens_B!O11="ja"))*10, Klantgegevens_A!L11)</f>
        <v>8</v>
      </c>
      <c r="L12" t="str">
        <f>IF(Klantgegevens_B!K11&lt;&gt;"", Klantgegevens_B!K11, IF(Klantgegevens_A!L11&gt;=7, "ja", "nee"))</f>
        <v>ja</v>
      </c>
      <c r="M12" t="str">
        <f>IF(Klantgegevens_B!L11&lt;&gt;"", Klantgegevens_B!L11, IF(Klantgegevens_A!L11&gt;=7, "ja", "nee"))</f>
        <v>ja</v>
      </c>
      <c r="N12" t="str">
        <f>IF(Klantgegevens_B!M11&lt;&gt;"", Klantgegevens_B!M11, IF(Klantgegevens_A!L11&gt;=7, "ja", "nee"))</f>
        <v>ja</v>
      </c>
      <c r="O12" t="str">
        <f>IF(Klantgegevens_B!N11&lt;&gt;"", Klantgegevens_B!N11, IF(Klantgegevens_A!L11&gt;=7, "ja", "nee"))</f>
        <v>ja</v>
      </c>
      <c r="P12" t="str">
        <f>IF(Klantgegevens_B!O11&lt;&gt;"", Klantgegevens_B!O11, IF(Klantgegevens_A!L11&gt;=7, "ja", "nee"))</f>
        <v>Geen dieet</v>
      </c>
      <c r="Q12" t="str">
        <f>IF(Klantgegevens_B!P11&lt;&gt;"", Klantgegevens_B!P11, Klantgegevens_A!M11)</f>
        <v>Geen dieet</v>
      </c>
      <c r="R12" t="str">
        <f>IF(Klantgegevens_B!A11&lt;&gt;"", "B", "A")</f>
        <v>B</v>
      </c>
    </row>
    <row r="13" spans="1:18" x14ac:dyDescent="0.3">
      <c r="A13" t="str">
        <f>IF(Klantgegevens_B!A12&lt;&gt;"", Klantgegevens_B!A12, MID(Klantgegevens_A!A12, FIND(",", Klantgegevens_A!A12)+2, LEN(Klantgegevens_A!A12)))</f>
        <v>Tony</v>
      </c>
      <c r="B13" t="str">
        <f>IF(Klantgegevens_B!B12&lt;&gt;"", Klantgegevens_B!B12, LEFT(Klantgegevens_A!A12, FIND(",", Klantgegevens_A!A12)-1))</f>
        <v>Lecomte</v>
      </c>
      <c r="C13" t="str">
        <f t="shared" ca="1" si="0"/>
        <v/>
      </c>
      <c r="D13" t="str">
        <f>IF(Klantgegevens_B!F12&lt;&gt;"", Klantgegevens_B!F12, Klantgegevens_A!D12 &amp; " " &amp; Klantgegevens_A!E12 &amp; ", " &amp; Klantgegevens_A!F12)</f>
        <v>Tony,Abdelatif,Vittorio,Boudewijn</v>
      </c>
      <c r="E13">
        <f>IF(Klantgegevens_B!G12&lt;&gt;"", Klantgegevens_B!G12, TEXTJOIN(",", TRUE, REPT("Volwassene,", Klantgegevens_A!G12), REPT("Kind,", Klantgegevens_A!H12)))</f>
        <v>49.87</v>
      </c>
      <c r="F13">
        <f>IF(Klantgegevens_B!G12&lt;&gt;"", LEN(Klantgegevens_B!G12)-LEN(SUBSTITUTE(Klantgegevens_B!G12, ",", ""))+1, Klantgegevens_A!G12)</f>
        <v>1</v>
      </c>
      <c r="G13">
        <f>IF(Klantgegevens_B!G12&lt;&gt;"", 0, Klantgegevens_A!H12)</f>
        <v>0</v>
      </c>
      <c r="H13">
        <f>IF(Klantgegevens_B!H12&lt;&gt;"", Klantgegevens_B!H12, Klantgegevens_A!I12)</f>
        <v>11</v>
      </c>
      <c r="I13" t="str">
        <f>IF(Klantgegevens_B!I12&lt;&gt;"", Klantgegevens_B!I12, SWITCH(Klantgegevens_A!J12, "Zelden", 1, "Af en toe", 4, "Regelmatig", 8, "Vaak", 12))</f>
        <v>Payconiq</v>
      </c>
      <c r="J13" t="str">
        <f>IF(Klantgegevens_B!J12&lt;&gt;"", Klantgegevens_B!J12, Klantgegevens_A!K12)</f>
        <v>ja</v>
      </c>
      <c r="K13">
        <f>IF(Klantgegevens_B!K12&lt;&gt;"", AVERAGE(--(Klantgegevens_B!K12="ja"), --(Klantgegevens_B!L12="ja"), --(Klantgegevens_B!M12="ja"), --(Klantgegevens_B!N12="ja"), --(Klantgegevens_B!O12="ja"))*10, Klantgegevens_A!L12)</f>
        <v>6</v>
      </c>
      <c r="L13" t="str">
        <f>IF(Klantgegevens_B!K12&lt;&gt;"", Klantgegevens_B!K12, IF(Klantgegevens_A!L12&gt;=7, "ja", "nee"))</f>
        <v>ja</v>
      </c>
      <c r="M13" t="str">
        <f>IF(Klantgegevens_B!L12&lt;&gt;"", Klantgegevens_B!L12, IF(Klantgegevens_A!L12&gt;=7, "ja", "nee"))</f>
        <v>ja</v>
      </c>
      <c r="N13" t="str">
        <f>IF(Klantgegevens_B!M12&lt;&gt;"", Klantgegevens_B!M12, IF(Klantgegevens_A!L12&gt;=7, "ja", "nee"))</f>
        <v>ja</v>
      </c>
      <c r="O13" t="str">
        <f>IF(Klantgegevens_B!N12&lt;&gt;"", Klantgegevens_B!N12, IF(Klantgegevens_A!L12&gt;=7, "ja", "nee"))</f>
        <v>nee</v>
      </c>
      <c r="P13" t="str">
        <f>IF(Klantgegevens_B!O12&lt;&gt;"", Klantgegevens_B!O12, IF(Klantgegevens_A!L12&gt;=7, "ja", "nee"))</f>
        <v>Geen dieet</v>
      </c>
      <c r="Q13" t="str">
        <f>IF(Klantgegevens_B!P12&lt;&gt;"", Klantgegevens_B!P12, Klantgegevens_A!M12)</f>
        <v>Geen dieet</v>
      </c>
      <c r="R13" t="str">
        <f>IF(Klantgegevens_B!A12&lt;&gt;"", "B", "A")</f>
        <v>B</v>
      </c>
    </row>
    <row r="14" spans="1:18" x14ac:dyDescent="0.3">
      <c r="A14" t="str">
        <f>IF(Klantgegevens_B!A13&lt;&gt;"", Klantgegevens_B!A13, MID(Klantgegevens_A!A13, FIND(",", Klantgegevens_A!A13)+2, LEN(Klantgegevens_A!A13)))</f>
        <v>Ruth</v>
      </c>
      <c r="B14" t="str">
        <f>IF(Klantgegevens_B!B13&lt;&gt;"", Klantgegevens_B!B13, LEFT(Klantgegevens_A!A13, FIND(",", Klantgegevens_A!A13)-1))</f>
        <v>De bruyn</v>
      </c>
      <c r="C14" t="str">
        <f t="shared" ca="1" si="0"/>
        <v/>
      </c>
      <c r="D14" t="str">
        <f>IF(Klantgegevens_B!F13&lt;&gt;"", Klantgegevens_B!F13, Klantgegevens_A!D13 &amp; " " &amp; Klantgegevens_A!E13 &amp; ", " &amp; Klantgegevens_A!F13)</f>
        <v>Ruth,Brigitte</v>
      </c>
      <c r="E14">
        <f>IF(Klantgegevens_B!G13&lt;&gt;"", Klantgegevens_B!G13, TEXTJOIN(",", TRUE, REPT("Volwassene,", Klantgegevens_A!G13), REPT("Kind,", Klantgegevens_A!H13)))</f>
        <v>128.28</v>
      </c>
      <c r="F14">
        <f>IF(Klantgegevens_B!G13&lt;&gt;"", LEN(Klantgegevens_B!G13)-LEN(SUBSTITUTE(Klantgegevens_B!G13, ",", ""))+1, Klantgegevens_A!G13)</f>
        <v>1</v>
      </c>
      <c r="G14">
        <f>IF(Klantgegevens_B!G13&lt;&gt;"", 0, Klantgegevens_A!H13)</f>
        <v>0</v>
      </c>
      <c r="H14">
        <f>IF(Klantgegevens_B!H13&lt;&gt;"", Klantgegevens_B!H13, Klantgegevens_A!I13)</f>
        <v>6</v>
      </c>
      <c r="I14" t="str">
        <f>IF(Klantgegevens_B!I13&lt;&gt;"", Klantgegevens_B!I13, SWITCH(Klantgegevens_A!J13, "Zelden", 1, "Af en toe", 4, "Regelmatig", 8, "Vaak", 12))</f>
        <v>Bancontact</v>
      </c>
      <c r="J14" t="str">
        <f>IF(Klantgegevens_B!J13&lt;&gt;"", Klantgegevens_B!J13, Klantgegevens_A!K13)</f>
        <v>nee</v>
      </c>
      <c r="K14">
        <f>IF(Klantgegevens_B!K13&lt;&gt;"", AVERAGE(--(Klantgegevens_B!K13="ja"), --(Klantgegevens_B!L13="ja"), --(Klantgegevens_B!M13="ja"), --(Klantgegevens_B!N13="ja"), --(Klantgegevens_B!O13="ja"))*10, Klantgegevens_A!L13)</f>
        <v>4</v>
      </c>
      <c r="L14" t="str">
        <f>IF(Klantgegevens_B!K13&lt;&gt;"", Klantgegevens_B!K13, IF(Klantgegevens_A!L13&gt;=7, "ja", "nee"))</f>
        <v>nee</v>
      </c>
      <c r="M14" t="str">
        <f>IF(Klantgegevens_B!L13&lt;&gt;"", Klantgegevens_B!L13, IF(Klantgegevens_A!L13&gt;=7, "ja", "nee"))</f>
        <v>ja</v>
      </c>
      <c r="N14" t="str">
        <f>IF(Klantgegevens_B!M13&lt;&gt;"", Klantgegevens_B!M13, IF(Klantgegevens_A!L13&gt;=7, "ja", "nee"))</f>
        <v>nee</v>
      </c>
      <c r="O14" t="str">
        <f>IF(Klantgegevens_B!N13&lt;&gt;"", Klantgegevens_B!N13, IF(Klantgegevens_A!L13&gt;=7, "ja", "nee"))</f>
        <v>ja</v>
      </c>
      <c r="P14" t="str">
        <f>IF(Klantgegevens_B!O13&lt;&gt;"", Klantgegevens_B!O13, IF(Klantgegevens_A!L13&gt;=7, "ja", "nee"))</f>
        <v>Vegetarisch</v>
      </c>
      <c r="Q14" t="str">
        <f>IF(Klantgegevens_B!P13&lt;&gt;"", Klantgegevens_B!P13, Klantgegevens_A!M13)</f>
        <v>Geen dieet</v>
      </c>
      <c r="R14" t="str">
        <f>IF(Klantgegevens_B!A13&lt;&gt;"", "B", "A")</f>
        <v>B</v>
      </c>
    </row>
    <row r="15" spans="1:18" x14ac:dyDescent="0.3">
      <c r="A15" t="str">
        <f>IF(Klantgegevens_B!A14&lt;&gt;"", Klantgegevens_B!A14, MID(Klantgegevens_A!A14, FIND(",", Klantgegevens_A!A14)+2, LEN(Klantgegevens_A!A14)))</f>
        <v>Amber</v>
      </c>
      <c r="B15" t="str">
        <f>IF(Klantgegevens_B!B14&lt;&gt;"", Klantgegevens_B!B14, LEFT(Klantgegevens_A!A14, FIND(",", Klantgegevens_A!A14)-1))</f>
        <v>Parmentier</v>
      </c>
      <c r="C15" t="str">
        <f t="shared" ca="1" si="0"/>
        <v/>
      </c>
      <c r="D15" t="str">
        <f>IF(Klantgegevens_B!F14&lt;&gt;"", Klantgegevens_B!F14, Klantgegevens_A!D14 &amp; " " &amp; Klantgegevens_A!E14 &amp; ", " &amp; Klantgegevens_A!F14)</f>
        <v>Amber,Leen</v>
      </c>
      <c r="E15">
        <f>IF(Klantgegevens_B!G14&lt;&gt;"", Klantgegevens_B!G14, TEXTJOIN(",", TRUE, REPT("Volwassene,", Klantgegevens_A!G14), REPT("Kind,", Klantgegevens_A!H14)))</f>
        <v>40.51</v>
      </c>
      <c r="F15">
        <f>IF(Klantgegevens_B!G14&lt;&gt;"", LEN(Klantgegevens_B!G14)-LEN(SUBSTITUTE(Klantgegevens_B!G14, ",", ""))+1, Klantgegevens_A!G14)</f>
        <v>1</v>
      </c>
      <c r="G15">
        <f>IF(Klantgegevens_B!G14&lt;&gt;"", 0, Klantgegevens_A!H14)</f>
        <v>0</v>
      </c>
      <c r="H15">
        <f>IF(Klantgegevens_B!H14&lt;&gt;"", Klantgegevens_B!H14, Klantgegevens_A!I14)</f>
        <v>12</v>
      </c>
      <c r="I15" t="str">
        <f>IF(Klantgegevens_B!I14&lt;&gt;"", Klantgegevens_B!I14, SWITCH(Klantgegevens_A!J14, "Zelden", 1, "Af en toe", 4, "Regelmatig", 8, "Vaak", 12))</f>
        <v>Payconiq</v>
      </c>
      <c r="J15" t="str">
        <f>IF(Klantgegevens_B!J14&lt;&gt;"", Klantgegevens_B!J14, Klantgegevens_A!K14)</f>
        <v>ja</v>
      </c>
      <c r="K15">
        <f>IF(Klantgegevens_B!K14&lt;&gt;"", AVERAGE(--(Klantgegevens_B!K14="ja"), --(Klantgegevens_B!L14="ja"), --(Klantgegevens_B!M14="ja"), --(Klantgegevens_B!N14="ja"), --(Klantgegevens_B!O14="ja"))*10, Klantgegevens_A!L14)</f>
        <v>8</v>
      </c>
      <c r="L15" t="str">
        <f>IF(Klantgegevens_B!K14&lt;&gt;"", Klantgegevens_B!K14, IF(Klantgegevens_A!L14&gt;=7, "ja", "nee"))</f>
        <v>ja</v>
      </c>
      <c r="M15" t="str">
        <f>IF(Klantgegevens_B!L14&lt;&gt;"", Klantgegevens_B!L14, IF(Klantgegevens_A!L14&gt;=7, "ja", "nee"))</f>
        <v>ja</v>
      </c>
      <c r="N15" t="str">
        <f>IF(Klantgegevens_B!M14&lt;&gt;"", Klantgegevens_B!M14, IF(Klantgegevens_A!L14&gt;=7, "ja", "nee"))</f>
        <v>ja</v>
      </c>
      <c r="O15" t="str">
        <f>IF(Klantgegevens_B!N14&lt;&gt;"", Klantgegevens_B!N14, IF(Klantgegevens_A!L14&gt;=7, "ja", "nee"))</f>
        <v>ja</v>
      </c>
      <c r="P15" t="str">
        <f>IF(Klantgegevens_B!O14&lt;&gt;"", Klantgegevens_B!O14, IF(Klantgegevens_A!L14&gt;=7, "ja", "nee"))</f>
        <v>Geen dieet</v>
      </c>
      <c r="Q15" t="str">
        <f>IF(Klantgegevens_B!P14&lt;&gt;"", Klantgegevens_B!P14, Klantgegevens_A!M14)</f>
        <v>Veganistisch</v>
      </c>
      <c r="R15" t="str">
        <f>IF(Klantgegevens_B!A14&lt;&gt;"", "B", "A")</f>
        <v>B</v>
      </c>
    </row>
    <row r="16" spans="1:18" x14ac:dyDescent="0.3">
      <c r="A16" t="str">
        <f>IF(Klantgegevens_B!A15&lt;&gt;"", Klantgegevens_B!A15, MID(Klantgegevens_A!A15, FIND(",", Klantgegevens_A!A15)+2, LEN(Klantgegevens_A!A15)))</f>
        <v>Stijn</v>
      </c>
      <c r="B16" t="str">
        <f>IF(Klantgegevens_B!B15&lt;&gt;"", Klantgegevens_B!B15, LEFT(Klantgegevens_A!A15, FIND(",", Klantgegevens_A!A15)-1))</f>
        <v>Van den bergh</v>
      </c>
      <c r="C16" t="str">
        <f t="shared" ca="1" si="0"/>
        <v/>
      </c>
      <c r="D16" t="str">
        <f>IF(Klantgegevens_B!F15&lt;&gt;"", Klantgegevens_B!F15, Klantgegevens_A!D15 &amp; " " &amp; Klantgegevens_A!E15 &amp; ", " &amp; Klantgegevens_A!F15)</f>
        <v>Stijn,Diana</v>
      </c>
      <c r="E16">
        <f>IF(Klantgegevens_B!G15&lt;&gt;"", Klantgegevens_B!G15, TEXTJOIN(",", TRUE, REPT("Volwassene,", Klantgegevens_A!G15), REPT("Kind,", Klantgegevens_A!H15)))</f>
        <v>144.63999999999999</v>
      </c>
      <c r="F16">
        <f>IF(Klantgegevens_B!G15&lt;&gt;"", LEN(Klantgegevens_B!G15)-LEN(SUBSTITUTE(Klantgegevens_B!G15, ",", ""))+1, Klantgegevens_A!G15)</f>
        <v>1</v>
      </c>
      <c r="G16">
        <f>IF(Klantgegevens_B!G15&lt;&gt;"", 0, Klantgegevens_A!H15)</f>
        <v>0</v>
      </c>
      <c r="H16">
        <f>IF(Klantgegevens_B!H15&lt;&gt;"", Klantgegevens_B!H15, Klantgegevens_A!I15)</f>
        <v>8</v>
      </c>
      <c r="I16" t="str">
        <f>IF(Klantgegevens_B!I15&lt;&gt;"", Klantgegevens_B!I15, SWITCH(Klantgegevens_A!J15, "Zelden", 1, "Af en toe", 4, "Regelmatig", 8, "Vaak", 12))</f>
        <v>Payconiq</v>
      </c>
      <c r="J16" t="str">
        <f>IF(Klantgegevens_B!J15&lt;&gt;"", Klantgegevens_B!J15, Klantgegevens_A!K15)</f>
        <v>ja</v>
      </c>
      <c r="K16">
        <f>IF(Klantgegevens_B!K15&lt;&gt;"", AVERAGE(--(Klantgegevens_B!K15="ja"), --(Klantgegevens_B!L15="ja"), --(Klantgegevens_B!M15="ja"), --(Klantgegevens_B!N15="ja"), --(Klantgegevens_B!O15="ja"))*10, Klantgegevens_A!L15)</f>
        <v>4</v>
      </c>
      <c r="L16" t="str">
        <f>IF(Klantgegevens_B!K15&lt;&gt;"", Klantgegevens_B!K15, IF(Klantgegevens_A!L15&gt;=7, "ja", "nee"))</f>
        <v>nee</v>
      </c>
      <c r="M16" t="str">
        <f>IF(Klantgegevens_B!L15&lt;&gt;"", Klantgegevens_B!L15, IF(Klantgegevens_A!L15&gt;=7, "ja", "nee"))</f>
        <v>nee</v>
      </c>
      <c r="N16" t="str">
        <f>IF(Klantgegevens_B!M15&lt;&gt;"", Klantgegevens_B!M15, IF(Klantgegevens_A!L15&gt;=7, "ja", "nee"))</f>
        <v>ja</v>
      </c>
      <c r="O16" t="str">
        <f>IF(Klantgegevens_B!N15&lt;&gt;"", Klantgegevens_B!N15, IF(Klantgegevens_A!L15&gt;=7, "ja", "nee"))</f>
        <v>ja</v>
      </c>
      <c r="P16" t="str">
        <f>IF(Klantgegevens_B!O15&lt;&gt;"", Klantgegevens_B!O15, IF(Klantgegevens_A!L15&gt;=7, "ja", "nee"))</f>
        <v>Geen dieet</v>
      </c>
      <c r="Q16" t="str">
        <f>IF(Klantgegevens_B!P15&lt;&gt;"", Klantgegevens_B!P15, Klantgegevens_A!M15)</f>
        <v>Vegetarisch</v>
      </c>
      <c r="R16" t="str">
        <f>IF(Klantgegevens_B!A15&lt;&gt;"", "B", "A")</f>
        <v>B</v>
      </c>
    </row>
    <row r="17" spans="1:18" x14ac:dyDescent="0.3">
      <c r="A17" t="str">
        <f>IF(Klantgegevens_B!A16&lt;&gt;"", Klantgegevens_B!A16, MID(Klantgegevens_A!A16, FIND(",", Klantgegevens_A!A16)+2, LEN(Klantgegevens_A!A16)))</f>
        <v>Thomas</v>
      </c>
      <c r="B17" t="str">
        <f>IF(Klantgegevens_B!B16&lt;&gt;"", Klantgegevens_B!B16, LEFT(Klantgegevens_A!A16, FIND(",", Klantgegevens_A!A16)-1))</f>
        <v>Simons</v>
      </c>
      <c r="C17" t="str">
        <f t="shared" ca="1" si="0"/>
        <v/>
      </c>
      <c r="D17" t="str">
        <f>IF(Klantgegevens_B!F16&lt;&gt;"", Klantgegevens_B!F16, Klantgegevens_A!D16 &amp; " " &amp; Klantgegevens_A!E16 &amp; ", " &amp; Klantgegevens_A!F16)</f>
        <v>Thomas,Boas,Milagros,Kemal</v>
      </c>
      <c r="E17">
        <f>IF(Klantgegevens_B!G16&lt;&gt;"", Klantgegevens_B!G16, TEXTJOIN(",", TRUE, REPT("Volwassene,", Klantgegevens_A!G16), REPT("Kind,", Klantgegevens_A!H16)))</f>
        <v>86.75</v>
      </c>
      <c r="F17">
        <f>IF(Klantgegevens_B!G16&lt;&gt;"", LEN(Klantgegevens_B!G16)-LEN(SUBSTITUTE(Klantgegevens_B!G16, ",", ""))+1, Klantgegevens_A!G16)</f>
        <v>1</v>
      </c>
      <c r="G17">
        <f>IF(Klantgegevens_B!G16&lt;&gt;"", 0, Klantgegevens_A!H16)</f>
        <v>0</v>
      </c>
      <c r="H17">
        <f>IF(Klantgegevens_B!H16&lt;&gt;"", Klantgegevens_B!H16, Klantgegevens_A!I16)</f>
        <v>2</v>
      </c>
      <c r="I17" t="str">
        <f>IF(Klantgegevens_B!I16&lt;&gt;"", Klantgegevens_B!I16, SWITCH(Klantgegevens_A!J16, "Zelden", 1, "Af en toe", 4, "Regelmatig", 8, "Vaak", 12))</f>
        <v>Payconiq</v>
      </c>
      <c r="J17" t="str">
        <f>IF(Klantgegevens_B!J16&lt;&gt;"", Klantgegevens_B!J16, Klantgegevens_A!K16)</f>
        <v>ja</v>
      </c>
      <c r="K17">
        <f>IF(Klantgegevens_B!K16&lt;&gt;"", AVERAGE(--(Klantgegevens_B!K16="ja"), --(Klantgegevens_B!L16="ja"), --(Klantgegevens_B!M16="ja"), --(Klantgegevens_B!N16="ja"), --(Klantgegevens_B!O16="ja"))*10, Klantgegevens_A!L16)</f>
        <v>8</v>
      </c>
      <c r="L17" t="str">
        <f>IF(Klantgegevens_B!K16&lt;&gt;"", Klantgegevens_B!K16, IF(Klantgegevens_A!L16&gt;=7, "ja", "nee"))</f>
        <v>ja</v>
      </c>
      <c r="M17" t="str">
        <f>IF(Klantgegevens_B!L16&lt;&gt;"", Klantgegevens_B!L16, IF(Klantgegevens_A!L16&gt;=7, "ja", "nee"))</f>
        <v>ja</v>
      </c>
      <c r="N17" t="str">
        <f>IF(Klantgegevens_B!M16&lt;&gt;"", Klantgegevens_B!M16, IF(Klantgegevens_A!L16&gt;=7, "ja", "nee"))</f>
        <v>ja</v>
      </c>
      <c r="O17" t="str">
        <f>IF(Klantgegevens_B!N16&lt;&gt;"", Klantgegevens_B!N16, IF(Klantgegevens_A!L16&gt;=7, "ja", "nee"))</f>
        <v>ja</v>
      </c>
      <c r="P17" t="str">
        <f>IF(Klantgegevens_B!O16&lt;&gt;"", Klantgegevens_B!O16, IF(Klantgegevens_A!L16&gt;=7, "ja", "nee"))</f>
        <v>Geen dieet</v>
      </c>
      <c r="Q17" t="str">
        <f>IF(Klantgegevens_B!P16&lt;&gt;"", Klantgegevens_B!P16, Klantgegevens_A!M16)</f>
        <v>Geen dieet</v>
      </c>
      <c r="R17" t="str">
        <f>IF(Klantgegevens_B!A16&lt;&gt;"", "B", "A")</f>
        <v>B</v>
      </c>
    </row>
    <row r="18" spans="1:18" x14ac:dyDescent="0.3">
      <c r="A18" t="str">
        <f>IF(Klantgegevens_B!A17&lt;&gt;"", Klantgegevens_B!A17, MID(Klantgegevens_A!A17, FIND(",", Klantgegevens_A!A17)+2, LEN(Klantgegevens_A!A17)))</f>
        <v>Aïcha</v>
      </c>
      <c r="B18" t="str">
        <f>IF(Klantgegevens_B!B17&lt;&gt;"", Klantgegevens_B!B17, LEFT(Klantgegevens_A!A17, FIND(",", Klantgegevens_A!A17)-1))</f>
        <v>Beckers</v>
      </c>
      <c r="C18" t="str">
        <f t="shared" ca="1" si="0"/>
        <v/>
      </c>
      <c r="D18" t="str">
        <f>IF(Klantgegevens_B!F17&lt;&gt;"", Klantgegevens_B!F17, Klantgegevens_A!D17 &amp; " " &amp; Klantgegevens_A!E17 &amp; ", " &amp; Klantgegevens_A!F17)</f>
        <v>Aïcha,Eva</v>
      </c>
      <c r="E18">
        <f>IF(Klantgegevens_B!G17&lt;&gt;"", Klantgegevens_B!G17, TEXTJOIN(",", TRUE, REPT("Volwassene,", Klantgegevens_A!G17), REPT("Kind,", Klantgegevens_A!H17)))</f>
        <v>61.43</v>
      </c>
      <c r="F18">
        <f>IF(Klantgegevens_B!G17&lt;&gt;"", LEN(Klantgegevens_B!G17)-LEN(SUBSTITUTE(Klantgegevens_B!G17, ",", ""))+1, Klantgegevens_A!G17)</f>
        <v>1</v>
      </c>
      <c r="G18">
        <f>IF(Klantgegevens_B!G17&lt;&gt;"", 0, Klantgegevens_A!H17)</f>
        <v>0</v>
      </c>
      <c r="H18">
        <f>IF(Klantgegevens_B!H17&lt;&gt;"", Klantgegevens_B!H17, Klantgegevens_A!I17)</f>
        <v>8</v>
      </c>
      <c r="I18" t="str">
        <f>IF(Klantgegevens_B!I17&lt;&gt;"", Klantgegevens_B!I17, SWITCH(Klantgegevens_A!J17, "Zelden", 1, "Af en toe", 4, "Regelmatig", 8, "Vaak", 12))</f>
        <v>Payconiq</v>
      </c>
      <c r="J18" t="str">
        <f>IF(Klantgegevens_B!J17&lt;&gt;"", Klantgegevens_B!J17, Klantgegevens_A!K17)</f>
        <v>nee</v>
      </c>
      <c r="K18">
        <f>IF(Klantgegevens_B!K17&lt;&gt;"", AVERAGE(--(Klantgegevens_B!K17="ja"), --(Klantgegevens_B!L17="ja"), --(Klantgegevens_B!M17="ja"), --(Klantgegevens_B!N17="ja"), --(Klantgegevens_B!O17="ja"))*10, Klantgegevens_A!L17)</f>
        <v>8</v>
      </c>
      <c r="L18" t="str">
        <f>IF(Klantgegevens_B!K17&lt;&gt;"", Klantgegevens_B!K17, IF(Klantgegevens_A!L17&gt;=7, "ja", "nee"))</f>
        <v>ja</v>
      </c>
      <c r="M18" t="str">
        <f>IF(Klantgegevens_B!L17&lt;&gt;"", Klantgegevens_B!L17, IF(Klantgegevens_A!L17&gt;=7, "ja", "nee"))</f>
        <v>ja</v>
      </c>
      <c r="N18" t="str">
        <f>IF(Klantgegevens_B!M17&lt;&gt;"", Klantgegevens_B!M17, IF(Klantgegevens_A!L17&gt;=7, "ja", "nee"))</f>
        <v>ja</v>
      </c>
      <c r="O18" t="str">
        <f>IF(Klantgegevens_B!N17&lt;&gt;"", Klantgegevens_B!N17, IF(Klantgegevens_A!L17&gt;=7, "ja", "nee"))</f>
        <v>ja</v>
      </c>
      <c r="P18" t="str">
        <f>IF(Klantgegevens_B!O17&lt;&gt;"", Klantgegevens_B!O17, IF(Klantgegevens_A!L17&gt;=7, "ja", "nee"))</f>
        <v>Geen dieet</v>
      </c>
      <c r="Q18" t="str">
        <f>IF(Klantgegevens_B!P17&lt;&gt;"", Klantgegevens_B!P17, Klantgegevens_A!M17)</f>
        <v>Geen dieet</v>
      </c>
      <c r="R18" t="str">
        <f>IF(Klantgegevens_B!A17&lt;&gt;"", "B", "A")</f>
        <v>B</v>
      </c>
    </row>
    <row r="19" spans="1:18" x14ac:dyDescent="0.3">
      <c r="A19" t="str">
        <f>IF(Klantgegevens_B!A18&lt;&gt;"", Klantgegevens_B!A18, MID(Klantgegevens_A!A18, FIND(",", Klantgegevens_A!A18)+2, LEN(Klantgegevens_A!A18)))</f>
        <v>Sybille</v>
      </c>
      <c r="B19" t="str">
        <f>IF(Klantgegevens_B!B18&lt;&gt;"", Klantgegevens_B!B18, LEFT(Klantgegevens_A!A18, FIND(",", Klantgegevens_A!A18)-1))</f>
        <v>Bogaert</v>
      </c>
      <c r="C19" t="str">
        <f t="shared" ca="1" si="0"/>
        <v/>
      </c>
      <c r="D19" t="str">
        <f>IF(Klantgegevens_B!F18&lt;&gt;"", Klantgegevens_B!F18, Klantgegevens_A!D18 &amp; " " &amp; Klantgegevens_A!E18 &amp; ", " &amp; Klantgegevens_A!F18)</f>
        <v>Sybille,Eric</v>
      </c>
      <c r="E19">
        <f>IF(Klantgegevens_B!G18&lt;&gt;"", Klantgegevens_B!G18, TEXTJOIN(",", TRUE, REPT("Volwassene,", Klantgegevens_A!G18), REPT("Kind,", Klantgegevens_A!H18)))</f>
        <v>70.459999999999994</v>
      </c>
      <c r="F19">
        <f>IF(Klantgegevens_B!G18&lt;&gt;"", LEN(Klantgegevens_B!G18)-LEN(SUBSTITUTE(Klantgegevens_B!G18, ",", ""))+1, Klantgegevens_A!G18)</f>
        <v>1</v>
      </c>
      <c r="G19">
        <f>IF(Klantgegevens_B!G18&lt;&gt;"", 0, Klantgegevens_A!H18)</f>
        <v>0</v>
      </c>
      <c r="H19">
        <f>IF(Klantgegevens_B!H18&lt;&gt;"", Klantgegevens_B!H18, Klantgegevens_A!I18)</f>
        <v>1</v>
      </c>
      <c r="I19" t="str">
        <f>IF(Klantgegevens_B!I18&lt;&gt;"", Klantgegevens_B!I18, SWITCH(Klantgegevens_A!J18, "Zelden", 1, "Af en toe", 4, "Regelmatig", 8, "Vaak", 12))</f>
        <v>Bancontact</v>
      </c>
      <c r="J19" t="str">
        <f>IF(Klantgegevens_B!J18&lt;&gt;"", Klantgegevens_B!J18, Klantgegevens_A!K18)</f>
        <v>nee</v>
      </c>
      <c r="K19">
        <f>IF(Klantgegevens_B!K18&lt;&gt;"", AVERAGE(--(Klantgegevens_B!K18="ja"), --(Klantgegevens_B!L18="ja"), --(Klantgegevens_B!M18="ja"), --(Klantgegevens_B!N18="ja"), --(Klantgegevens_B!O18="ja"))*10, Klantgegevens_A!L18)</f>
        <v>6</v>
      </c>
      <c r="L19" t="str">
        <f>IF(Klantgegevens_B!K18&lt;&gt;"", Klantgegevens_B!K18, IF(Klantgegevens_A!L18&gt;=7, "ja", "nee"))</f>
        <v>ja</v>
      </c>
      <c r="M19" t="str">
        <f>IF(Klantgegevens_B!L18&lt;&gt;"", Klantgegevens_B!L18, IF(Klantgegevens_A!L18&gt;=7, "ja", "nee"))</f>
        <v>ja</v>
      </c>
      <c r="N19" t="str">
        <f>IF(Klantgegevens_B!M18&lt;&gt;"", Klantgegevens_B!M18, IF(Klantgegevens_A!L18&gt;=7, "ja", "nee"))</f>
        <v>ja</v>
      </c>
      <c r="O19" t="str">
        <f>IF(Klantgegevens_B!N18&lt;&gt;"", Klantgegevens_B!N18, IF(Klantgegevens_A!L18&gt;=7, "ja", "nee"))</f>
        <v>nee</v>
      </c>
      <c r="P19" t="str">
        <f>IF(Klantgegevens_B!O18&lt;&gt;"", Klantgegevens_B!O18, IF(Klantgegevens_A!L18&gt;=7, "ja", "nee"))</f>
        <v>Vegetarisch</v>
      </c>
      <c r="Q19" t="str">
        <f>IF(Klantgegevens_B!P18&lt;&gt;"", Klantgegevens_B!P18, Klantgegevens_A!M18)</f>
        <v>Geen dieet</v>
      </c>
      <c r="R19" t="str">
        <f>IF(Klantgegevens_B!A18&lt;&gt;"", "B", "A")</f>
        <v>B</v>
      </c>
    </row>
    <row r="20" spans="1:18" x14ac:dyDescent="0.3">
      <c r="A20" t="str">
        <f>IF(Klantgegevens_B!A19&lt;&gt;"", Klantgegevens_B!A19, MID(Klantgegevens_A!A19, FIND(",", Klantgegevens_A!A19)+2, LEN(Klantgegevens_A!A19)))</f>
        <v>Cécile</v>
      </c>
      <c r="B20" t="str">
        <f>IF(Klantgegevens_B!B19&lt;&gt;"", Klantgegevens_B!B19, LEFT(Klantgegevens_A!A19, FIND(",", Klantgegevens_A!A19)-1))</f>
        <v>Goossens</v>
      </c>
      <c r="C20" t="str">
        <f t="shared" ca="1" si="0"/>
        <v/>
      </c>
      <c r="D20" t="str">
        <f>IF(Klantgegevens_B!F19&lt;&gt;"", Klantgegevens_B!F19, Klantgegevens_A!D19 &amp; " " &amp; Klantgegevens_A!E19 &amp; ", " &amp; Klantgegevens_A!F19)</f>
        <v>Cécile,Hesham,Yusuf</v>
      </c>
      <c r="E20">
        <f>IF(Klantgegevens_B!G19&lt;&gt;"", Klantgegevens_B!G19, TEXTJOIN(",", TRUE, REPT("Volwassene,", Klantgegevens_A!G19), REPT("Kind,", Klantgegevens_A!H19)))</f>
        <v>64.22</v>
      </c>
      <c r="F20">
        <f>IF(Klantgegevens_B!G19&lt;&gt;"", LEN(Klantgegevens_B!G19)-LEN(SUBSTITUTE(Klantgegevens_B!G19, ",", ""))+1, Klantgegevens_A!G19)</f>
        <v>1</v>
      </c>
      <c r="G20">
        <f>IF(Klantgegevens_B!G19&lt;&gt;"", 0, Klantgegevens_A!H19)</f>
        <v>0</v>
      </c>
      <c r="H20">
        <f>IF(Klantgegevens_B!H19&lt;&gt;"", Klantgegevens_B!H19, Klantgegevens_A!I19)</f>
        <v>11</v>
      </c>
      <c r="I20" t="str">
        <f>IF(Klantgegevens_B!I19&lt;&gt;"", Klantgegevens_B!I19, SWITCH(Klantgegevens_A!J19, "Zelden", 1, "Af en toe", 4, "Regelmatig", 8, "Vaak", 12))</f>
        <v>Bancontact</v>
      </c>
      <c r="J20" t="str">
        <f>IF(Klantgegevens_B!J19&lt;&gt;"", Klantgegevens_B!J19, Klantgegevens_A!K19)</f>
        <v>ja</v>
      </c>
      <c r="K20">
        <f>IF(Klantgegevens_B!K19&lt;&gt;"", AVERAGE(--(Klantgegevens_B!K19="ja"), --(Klantgegevens_B!L19="ja"), --(Klantgegevens_B!M19="ja"), --(Klantgegevens_B!N19="ja"), --(Klantgegevens_B!O19="ja"))*10, Klantgegevens_A!L19)</f>
        <v>8</v>
      </c>
      <c r="L20" t="str">
        <f>IF(Klantgegevens_B!K19&lt;&gt;"", Klantgegevens_B!K19, IF(Klantgegevens_A!L19&gt;=7, "ja", "nee"))</f>
        <v>ja</v>
      </c>
      <c r="M20" t="str">
        <f>IF(Klantgegevens_B!L19&lt;&gt;"", Klantgegevens_B!L19, IF(Klantgegevens_A!L19&gt;=7, "ja", "nee"))</f>
        <v>ja</v>
      </c>
      <c r="N20" t="str">
        <f>IF(Klantgegevens_B!M19&lt;&gt;"", Klantgegevens_B!M19, IF(Klantgegevens_A!L19&gt;=7, "ja", "nee"))</f>
        <v>ja</v>
      </c>
      <c r="O20" t="str">
        <f>IF(Klantgegevens_B!N19&lt;&gt;"", Klantgegevens_B!N19, IF(Klantgegevens_A!L19&gt;=7, "ja", "nee"))</f>
        <v>ja</v>
      </c>
      <c r="P20" t="str">
        <f>IF(Klantgegevens_B!O19&lt;&gt;"", Klantgegevens_B!O19, IF(Klantgegevens_A!L19&gt;=7, "ja", "nee"))</f>
        <v>Geen dieet</v>
      </c>
      <c r="Q20" t="str">
        <f>IF(Klantgegevens_B!P19&lt;&gt;"", Klantgegevens_B!P19, Klantgegevens_A!M19)</f>
        <v>Geen dieet</v>
      </c>
      <c r="R20" t="str">
        <f>IF(Klantgegevens_B!A19&lt;&gt;"", "B", "A")</f>
        <v>B</v>
      </c>
    </row>
    <row r="21" spans="1:18" x14ac:dyDescent="0.3">
      <c r="A21" t="str">
        <f>IF(Klantgegevens_B!A20&lt;&gt;"", Klantgegevens_B!A20, MID(Klantgegevens_A!A20, FIND(",", Klantgegevens_A!A20)+2, LEN(Klantgegevens_A!A20)))</f>
        <v>Alexandra</v>
      </c>
      <c r="B21" t="str">
        <f>IF(Klantgegevens_B!B20&lt;&gt;"", Klantgegevens_B!B20, LEFT(Klantgegevens_A!A20, FIND(",", Klantgegevens_A!A20)-1))</f>
        <v>Martin</v>
      </c>
      <c r="C21" t="str">
        <f t="shared" ca="1" si="0"/>
        <v/>
      </c>
      <c r="D21" t="str">
        <f>IF(Klantgegevens_B!F20&lt;&gt;"", Klantgegevens_B!F20, Klantgegevens_A!D20 &amp; " " &amp; Klantgegevens_A!E20 &amp; ", " &amp; Klantgegevens_A!F20)</f>
        <v>Alexandra,Sabine,Franscine</v>
      </c>
      <c r="E21">
        <f>IF(Klantgegevens_B!G20&lt;&gt;"", Klantgegevens_B!G20, TEXTJOIN(",", TRUE, REPT("Volwassene,", Klantgegevens_A!G20), REPT("Kind,", Klantgegevens_A!H20)))</f>
        <v>112.34</v>
      </c>
      <c r="F21">
        <f>IF(Klantgegevens_B!G20&lt;&gt;"", LEN(Klantgegevens_B!G20)-LEN(SUBSTITUTE(Klantgegevens_B!G20, ",", ""))+1, Klantgegevens_A!G20)</f>
        <v>1</v>
      </c>
      <c r="G21">
        <f>IF(Klantgegevens_B!G20&lt;&gt;"", 0, Klantgegevens_A!H20)</f>
        <v>0</v>
      </c>
      <c r="H21">
        <f>IF(Klantgegevens_B!H20&lt;&gt;"", Klantgegevens_B!H20, Klantgegevens_A!I20)</f>
        <v>19</v>
      </c>
      <c r="I21" t="str">
        <f>IF(Klantgegevens_B!I20&lt;&gt;"", Klantgegevens_B!I20, SWITCH(Klantgegevens_A!J20, "Zelden", 1, "Af en toe", 4, "Regelmatig", 8, "Vaak", 12))</f>
        <v>Bancontact</v>
      </c>
      <c r="J21" t="str">
        <f>IF(Klantgegevens_B!J20&lt;&gt;"", Klantgegevens_B!J20, Klantgegevens_A!K20)</f>
        <v>ja</v>
      </c>
      <c r="K21">
        <f>IF(Klantgegevens_B!K20&lt;&gt;"", AVERAGE(--(Klantgegevens_B!K20="ja"), --(Klantgegevens_B!L20="ja"), --(Klantgegevens_B!M20="ja"), --(Klantgegevens_B!N20="ja"), --(Klantgegevens_B!O20="ja"))*10, Klantgegevens_A!L20)</f>
        <v>4</v>
      </c>
      <c r="L21" t="str">
        <f>IF(Klantgegevens_B!K20&lt;&gt;"", Klantgegevens_B!K20, IF(Klantgegevens_A!L20&gt;=7, "ja", "nee"))</f>
        <v>ja</v>
      </c>
      <c r="M21" t="str">
        <f>IF(Klantgegevens_B!L20&lt;&gt;"", Klantgegevens_B!L20, IF(Klantgegevens_A!L20&gt;=7, "ja", "nee"))</f>
        <v>nee</v>
      </c>
      <c r="N21" t="str">
        <f>IF(Klantgegevens_B!M20&lt;&gt;"", Klantgegevens_B!M20, IF(Klantgegevens_A!L20&gt;=7, "ja", "nee"))</f>
        <v>nee</v>
      </c>
      <c r="O21" t="str">
        <f>IF(Klantgegevens_B!N20&lt;&gt;"", Klantgegevens_B!N20, IF(Klantgegevens_A!L20&gt;=7, "ja", "nee"))</f>
        <v>ja</v>
      </c>
      <c r="P21" t="str">
        <f>IF(Klantgegevens_B!O20&lt;&gt;"", Klantgegevens_B!O20, IF(Klantgegevens_A!L20&gt;=7, "ja", "nee"))</f>
        <v>Geen dieet</v>
      </c>
      <c r="Q21" t="str">
        <f>IF(Klantgegevens_B!P20&lt;&gt;"", Klantgegevens_B!P20, Klantgegevens_A!M20)</f>
        <v>Geen dieet</v>
      </c>
      <c r="R21" t="str">
        <f>IF(Klantgegevens_B!A20&lt;&gt;"", "B", "A")</f>
        <v>B</v>
      </c>
    </row>
    <row r="22" spans="1:18" x14ac:dyDescent="0.3">
      <c r="A22" t="str">
        <f>IF(Klantgegevens_B!A21&lt;&gt;"", Klantgegevens_B!A21, MID(Klantgegevens_A!A21, FIND(",", Klantgegevens_A!A21)+2, LEN(Klantgegevens_A!A21)))</f>
        <v>Sabrina</v>
      </c>
      <c r="B22" t="str">
        <f>IF(Klantgegevens_B!B21&lt;&gt;"", Klantgegevens_B!B21, LEFT(Klantgegevens_A!A21, FIND(",", Klantgegevens_A!A21)-1))</f>
        <v>Gilles</v>
      </c>
      <c r="C22" t="str">
        <f t="shared" ca="1" si="0"/>
        <v/>
      </c>
      <c r="D22" t="str">
        <f>IF(Klantgegevens_B!F21&lt;&gt;"", Klantgegevens_B!F21, Klantgegevens_A!D21 &amp; " " &amp; Klantgegevens_A!E21 &amp; ", " &amp; Klantgegevens_A!F21)</f>
        <v>Sabrina,Jimmy,Patrick,Maïté</v>
      </c>
      <c r="E22">
        <f>IF(Klantgegevens_B!G21&lt;&gt;"", Klantgegevens_B!G21, TEXTJOIN(",", TRUE, REPT("Volwassene,", Klantgegevens_A!G21), REPT("Kind,", Klantgegevens_A!H21)))</f>
        <v>212.66</v>
      </c>
      <c r="F22">
        <f>IF(Klantgegevens_B!G21&lt;&gt;"", LEN(Klantgegevens_B!G21)-LEN(SUBSTITUTE(Klantgegevens_B!G21, ",", ""))+1, Klantgegevens_A!G21)</f>
        <v>1</v>
      </c>
      <c r="G22">
        <f>IF(Klantgegevens_B!G21&lt;&gt;"", 0, Klantgegevens_A!H21)</f>
        <v>0</v>
      </c>
      <c r="H22">
        <f>IF(Klantgegevens_B!H21&lt;&gt;"", Klantgegevens_B!H21, Klantgegevens_A!I21)</f>
        <v>14</v>
      </c>
      <c r="I22" t="str">
        <f>IF(Klantgegevens_B!I21&lt;&gt;"", Klantgegevens_B!I21, SWITCH(Klantgegevens_A!J21, "Zelden", 1, "Af en toe", 4, "Regelmatig", 8, "Vaak", 12))</f>
        <v>Payconiq</v>
      </c>
      <c r="J22" t="str">
        <f>IF(Klantgegevens_B!J21&lt;&gt;"", Klantgegevens_B!J21, Klantgegevens_A!K21)</f>
        <v>ja</v>
      </c>
      <c r="K22">
        <f>IF(Klantgegevens_B!K21&lt;&gt;"", AVERAGE(--(Klantgegevens_B!K21="ja"), --(Klantgegevens_B!L21="ja"), --(Klantgegevens_B!M21="ja"), --(Klantgegevens_B!N21="ja"), --(Klantgegevens_B!O21="ja"))*10, Klantgegevens_A!L21)</f>
        <v>8</v>
      </c>
      <c r="L22" t="str">
        <f>IF(Klantgegevens_B!K21&lt;&gt;"", Klantgegevens_B!K21, IF(Klantgegevens_A!L21&gt;=7, "ja", "nee"))</f>
        <v>ja</v>
      </c>
      <c r="M22" t="str">
        <f>IF(Klantgegevens_B!L21&lt;&gt;"", Klantgegevens_B!L21, IF(Klantgegevens_A!L21&gt;=7, "ja", "nee"))</f>
        <v>ja</v>
      </c>
      <c r="N22" t="str">
        <f>IF(Klantgegevens_B!M21&lt;&gt;"", Klantgegevens_B!M21, IF(Klantgegevens_A!L21&gt;=7, "ja", "nee"))</f>
        <v>ja</v>
      </c>
      <c r="O22" t="str">
        <f>IF(Klantgegevens_B!N21&lt;&gt;"", Klantgegevens_B!N21, IF(Klantgegevens_A!L21&gt;=7, "ja", "nee"))</f>
        <v>ja</v>
      </c>
      <c r="P22" t="str">
        <f>IF(Klantgegevens_B!O21&lt;&gt;"", Klantgegevens_B!O21, IF(Klantgegevens_A!L21&gt;=7, "ja", "nee"))</f>
        <v>Geen dieet</v>
      </c>
      <c r="Q22" t="str">
        <f>IF(Klantgegevens_B!P21&lt;&gt;"", Klantgegevens_B!P21, Klantgegevens_A!M21)</f>
        <v>Geen dieet</v>
      </c>
      <c r="R22" t="str">
        <f>IF(Klantgegevens_B!A21&lt;&gt;"", "B", "A")</f>
        <v>B</v>
      </c>
    </row>
    <row r="23" spans="1:18" x14ac:dyDescent="0.3">
      <c r="A23" t="str">
        <f>IF(Klantgegevens_B!A22&lt;&gt;"", Klantgegevens_B!A22, MID(Klantgegevens_A!A22, FIND(",", Klantgegevens_A!A22)+2, LEN(Klantgegevens_A!A22)))</f>
        <v>Cornelis</v>
      </c>
      <c r="B23" t="str">
        <f>IF(Klantgegevens_B!B22&lt;&gt;"", Klantgegevens_B!B22, LEFT(Klantgegevens_A!A22, FIND(",", Klantgegevens_A!A22)-1))</f>
        <v>Fernandez</v>
      </c>
      <c r="C23" t="str">
        <f t="shared" ca="1" si="0"/>
        <v/>
      </c>
      <c r="D23" t="str">
        <f>IF(Klantgegevens_B!F22&lt;&gt;"", Klantgegevens_B!F22, Klantgegevens_A!D22 &amp; " " &amp; Klantgegevens_A!E22 &amp; ", " &amp; Klantgegevens_A!F22)</f>
        <v>Cornelis,Shany,Frans,Fatima,Thomas</v>
      </c>
      <c r="E23">
        <f>IF(Klantgegevens_B!G22&lt;&gt;"", Klantgegevens_B!G22, TEXTJOIN(",", TRUE, REPT("Volwassene,", Klantgegevens_A!G22), REPT("Kind,", Klantgegevens_A!H22)))</f>
        <v>110.65</v>
      </c>
      <c r="F23">
        <f>IF(Klantgegevens_B!G22&lt;&gt;"", LEN(Klantgegevens_B!G22)-LEN(SUBSTITUTE(Klantgegevens_B!G22, ",", ""))+1, Klantgegevens_A!G22)</f>
        <v>1</v>
      </c>
      <c r="G23">
        <f>IF(Klantgegevens_B!G22&lt;&gt;"", 0, Klantgegevens_A!H22)</f>
        <v>0</v>
      </c>
      <c r="H23">
        <f>IF(Klantgegevens_B!H22&lt;&gt;"", Klantgegevens_B!H22, Klantgegevens_A!I22)</f>
        <v>12</v>
      </c>
      <c r="I23" t="str">
        <f>IF(Klantgegevens_B!I22&lt;&gt;"", Klantgegevens_B!I22, SWITCH(Klantgegevens_A!J22, "Zelden", 1, "Af en toe", 4, "Regelmatig", 8, "Vaak", 12))</f>
        <v>Bancontact</v>
      </c>
      <c r="J23" t="str">
        <f>IF(Klantgegevens_B!J22&lt;&gt;"", Klantgegevens_B!J22, Klantgegevens_A!K22)</f>
        <v>ja</v>
      </c>
      <c r="K23">
        <f>IF(Klantgegevens_B!K22&lt;&gt;"", AVERAGE(--(Klantgegevens_B!K22="ja"), --(Klantgegevens_B!L22="ja"), --(Klantgegevens_B!M22="ja"), --(Klantgegevens_B!N22="ja"), --(Klantgegevens_B!O22="ja"))*10, Klantgegevens_A!L22)</f>
        <v>6</v>
      </c>
      <c r="L23" t="str">
        <f>IF(Klantgegevens_B!K22&lt;&gt;"", Klantgegevens_B!K22, IF(Klantgegevens_A!L22&gt;=7, "ja", "nee"))</f>
        <v>ja</v>
      </c>
      <c r="M23" t="str">
        <f>IF(Klantgegevens_B!L22&lt;&gt;"", Klantgegevens_B!L22, IF(Klantgegevens_A!L22&gt;=7, "ja", "nee"))</f>
        <v>nee</v>
      </c>
      <c r="N23" t="str">
        <f>IF(Klantgegevens_B!M22&lt;&gt;"", Klantgegevens_B!M22, IF(Klantgegevens_A!L22&gt;=7, "ja", "nee"))</f>
        <v>ja</v>
      </c>
      <c r="O23" t="str">
        <f>IF(Klantgegevens_B!N22&lt;&gt;"", Klantgegevens_B!N22, IF(Klantgegevens_A!L22&gt;=7, "ja", "nee"))</f>
        <v>ja</v>
      </c>
      <c r="P23" t="str">
        <f>IF(Klantgegevens_B!O22&lt;&gt;"", Klantgegevens_B!O22, IF(Klantgegevens_A!L22&gt;=7, "ja", "nee"))</f>
        <v>Geen dieet</v>
      </c>
      <c r="Q23" t="str">
        <f>IF(Klantgegevens_B!P22&lt;&gt;"", Klantgegevens_B!P22, Klantgegevens_A!M22)</f>
        <v>Vegetarisch</v>
      </c>
      <c r="R23" t="str">
        <f>IF(Klantgegevens_B!A22&lt;&gt;"", "B", "A")</f>
        <v>B</v>
      </c>
    </row>
    <row r="24" spans="1:18" x14ac:dyDescent="0.3">
      <c r="A24" t="str">
        <f>IF(Klantgegevens_B!A23&lt;&gt;"", Klantgegevens_B!A23, MID(Klantgegevens_A!A23, FIND(",", Klantgegevens_A!A23)+2, LEN(Klantgegevens_A!A23)))</f>
        <v>Constantin</v>
      </c>
      <c r="B24" t="str">
        <f>IF(Klantgegevens_B!B23&lt;&gt;"", Klantgegevens_B!B23, LEFT(Klantgegevens_A!A23, FIND(",", Klantgegevens_A!A23)-1))</f>
        <v>Smets</v>
      </c>
      <c r="C24" t="str">
        <f t="shared" ca="1" si="0"/>
        <v/>
      </c>
      <c r="D24" t="str">
        <f>IF(Klantgegevens_B!F23&lt;&gt;"", Klantgegevens_B!F23, Klantgegevens_A!D23 &amp; " " &amp; Klantgegevens_A!E23 &amp; ", " &amp; Klantgegevens_A!F23)</f>
        <v>Constantin,Mélina,Johan,Chantal</v>
      </c>
      <c r="E24">
        <f>IF(Klantgegevens_B!G23&lt;&gt;"", Klantgegevens_B!G23, TEXTJOIN(",", TRUE, REPT("Volwassene,", Klantgegevens_A!G23), REPT("Kind,", Klantgegevens_A!H23)))</f>
        <v>266.45999999999998</v>
      </c>
      <c r="F24">
        <f>IF(Klantgegevens_B!G23&lt;&gt;"", LEN(Klantgegevens_B!G23)-LEN(SUBSTITUTE(Klantgegevens_B!G23, ",", ""))+1, Klantgegevens_A!G23)</f>
        <v>1</v>
      </c>
      <c r="G24">
        <f>IF(Klantgegevens_B!G23&lt;&gt;"", 0, Klantgegevens_A!H23)</f>
        <v>0</v>
      </c>
      <c r="H24">
        <f>IF(Klantgegevens_B!H23&lt;&gt;"", Klantgegevens_B!H23, Klantgegevens_A!I23)</f>
        <v>8</v>
      </c>
      <c r="I24" t="str">
        <f>IF(Klantgegevens_B!I23&lt;&gt;"", Klantgegevens_B!I23, SWITCH(Klantgegevens_A!J23, "Zelden", 1, "Af en toe", 4, "Regelmatig", 8, "Vaak", 12))</f>
        <v>Creditcard</v>
      </c>
      <c r="J24" t="str">
        <f>IF(Klantgegevens_B!J23&lt;&gt;"", Klantgegevens_B!J23, Klantgegevens_A!K23)</f>
        <v>ja</v>
      </c>
      <c r="K24">
        <f>IF(Klantgegevens_B!K23&lt;&gt;"", AVERAGE(--(Klantgegevens_B!K23="ja"), --(Klantgegevens_B!L23="ja"), --(Klantgegevens_B!M23="ja"), --(Klantgegevens_B!N23="ja"), --(Klantgegevens_B!O23="ja"))*10, Klantgegevens_A!L23)</f>
        <v>4</v>
      </c>
      <c r="L24" t="str">
        <f>IF(Klantgegevens_B!K23&lt;&gt;"", Klantgegevens_B!K23, IF(Klantgegevens_A!L23&gt;=7, "ja", "nee"))</f>
        <v>nee</v>
      </c>
      <c r="M24" t="str">
        <f>IF(Klantgegevens_B!L23&lt;&gt;"", Klantgegevens_B!L23, IF(Klantgegevens_A!L23&gt;=7, "ja", "nee"))</f>
        <v>nee</v>
      </c>
      <c r="N24" t="str">
        <f>IF(Klantgegevens_B!M23&lt;&gt;"", Klantgegevens_B!M23, IF(Klantgegevens_A!L23&gt;=7, "ja", "nee"))</f>
        <v>ja</v>
      </c>
      <c r="O24" t="str">
        <f>IF(Klantgegevens_B!N23&lt;&gt;"", Klantgegevens_B!N23, IF(Klantgegevens_A!L23&gt;=7, "ja", "nee"))</f>
        <v>ja</v>
      </c>
      <c r="P24" t="str">
        <f>IF(Klantgegevens_B!O23&lt;&gt;"", Klantgegevens_B!O23, IF(Klantgegevens_A!L23&gt;=7, "ja", "nee"))</f>
        <v>Geen dieet</v>
      </c>
      <c r="Q24" t="str">
        <f>IF(Klantgegevens_B!P23&lt;&gt;"", Klantgegevens_B!P23, Klantgegevens_A!M23)</f>
        <v>Geen dieet</v>
      </c>
      <c r="R24" t="str">
        <f>IF(Klantgegevens_B!A23&lt;&gt;"", "B", "A")</f>
        <v>B</v>
      </c>
    </row>
    <row r="25" spans="1:18" x14ac:dyDescent="0.3">
      <c r="A25" t="str">
        <f>IF(Klantgegevens_B!A24&lt;&gt;"", Klantgegevens_B!A24, MID(Klantgegevens_A!A24, FIND(",", Klantgegevens_A!A24)+2, LEN(Klantgegevens_A!A24)))</f>
        <v>Ivo</v>
      </c>
      <c r="B25" t="str">
        <f>IF(Klantgegevens_B!B24&lt;&gt;"", Klantgegevens_B!B24, LEFT(Klantgegevens_A!A24, FIND(",", Klantgegevens_A!A24)-1))</f>
        <v>Dewaele</v>
      </c>
      <c r="C25" t="str">
        <f t="shared" ca="1" si="0"/>
        <v/>
      </c>
      <c r="D25" t="str">
        <f>IF(Klantgegevens_B!F24&lt;&gt;"", Klantgegevens_B!F24, Klantgegevens_A!D24 &amp; " " &amp; Klantgegevens_A!E24 &amp; ", " &amp; Klantgegevens_A!F24)</f>
        <v>Ivo,Liliane,Michèle</v>
      </c>
      <c r="E25">
        <f>IF(Klantgegevens_B!G24&lt;&gt;"", Klantgegevens_B!G24, TEXTJOIN(",", TRUE, REPT("Volwassene,", Klantgegevens_A!G24), REPT("Kind,", Klantgegevens_A!H24)))</f>
        <v>142.5</v>
      </c>
      <c r="F25">
        <f>IF(Klantgegevens_B!G24&lt;&gt;"", LEN(Klantgegevens_B!G24)-LEN(SUBSTITUTE(Klantgegevens_B!G24, ",", ""))+1, Klantgegevens_A!G24)</f>
        <v>1</v>
      </c>
      <c r="G25">
        <f>IF(Klantgegevens_B!G24&lt;&gt;"", 0, Klantgegevens_A!H24)</f>
        <v>0</v>
      </c>
      <c r="H25">
        <f>IF(Klantgegevens_B!H24&lt;&gt;"", Klantgegevens_B!H24, Klantgegevens_A!I24)</f>
        <v>13</v>
      </c>
      <c r="I25" t="str">
        <f>IF(Klantgegevens_B!I24&lt;&gt;"", Klantgegevens_B!I24, SWITCH(Klantgegevens_A!J24, "Zelden", 1, "Af en toe", 4, "Regelmatig", 8, "Vaak", 12))</f>
        <v>Bancontact</v>
      </c>
      <c r="J25" t="str">
        <f>IF(Klantgegevens_B!J24&lt;&gt;"", Klantgegevens_B!J24, Klantgegevens_A!K24)</f>
        <v>nee</v>
      </c>
      <c r="K25">
        <f>IF(Klantgegevens_B!K24&lt;&gt;"", AVERAGE(--(Klantgegevens_B!K24="ja"), --(Klantgegevens_B!L24="ja"), --(Klantgegevens_B!M24="ja"), --(Klantgegevens_B!N24="ja"), --(Klantgegevens_B!O24="ja"))*10, Klantgegevens_A!L24)</f>
        <v>8</v>
      </c>
      <c r="L25" t="str">
        <f>IF(Klantgegevens_B!K24&lt;&gt;"", Klantgegevens_B!K24, IF(Klantgegevens_A!L24&gt;=7, "ja", "nee"))</f>
        <v>ja</v>
      </c>
      <c r="M25" t="str">
        <f>IF(Klantgegevens_B!L24&lt;&gt;"", Klantgegevens_B!L24, IF(Klantgegevens_A!L24&gt;=7, "ja", "nee"))</f>
        <v>ja</v>
      </c>
      <c r="N25" t="str">
        <f>IF(Klantgegevens_B!M24&lt;&gt;"", Klantgegevens_B!M24, IF(Klantgegevens_A!L24&gt;=7, "ja", "nee"))</f>
        <v>ja</v>
      </c>
      <c r="O25" t="str">
        <f>IF(Klantgegevens_B!N24&lt;&gt;"", Klantgegevens_B!N24, IF(Klantgegevens_A!L24&gt;=7, "ja", "nee"))</f>
        <v>ja</v>
      </c>
      <c r="P25" t="str">
        <f>IF(Klantgegevens_B!O24&lt;&gt;"", Klantgegevens_B!O24, IF(Klantgegevens_A!L24&gt;=7, "ja", "nee"))</f>
        <v>Geen dieet</v>
      </c>
      <c r="Q25" t="str">
        <f>IF(Klantgegevens_B!P24&lt;&gt;"", Klantgegevens_B!P24, Klantgegevens_A!M24)</f>
        <v>Geen dieet</v>
      </c>
      <c r="R25" t="str">
        <f>IF(Klantgegevens_B!A24&lt;&gt;"", "B", "A")</f>
        <v>B</v>
      </c>
    </row>
    <row r="26" spans="1:18" x14ac:dyDescent="0.3">
      <c r="A26" t="str">
        <f>IF(Klantgegevens_B!A25&lt;&gt;"", Klantgegevens_B!A25, MID(Klantgegevens_A!A25, FIND(",", Klantgegevens_A!A25)+2, LEN(Klantgegevens_A!A25)))</f>
        <v>Leen</v>
      </c>
      <c r="B26" t="str">
        <f>IF(Klantgegevens_B!B25&lt;&gt;"", Klantgegevens_B!B25, LEFT(Klantgegevens_A!A25, FIND(",", Klantgegevens_A!A25)-1))</f>
        <v>Blomme</v>
      </c>
      <c r="C26" t="str">
        <f t="shared" ca="1" si="0"/>
        <v/>
      </c>
      <c r="D26" t="str">
        <f>IF(Klantgegevens_B!F25&lt;&gt;"", Klantgegevens_B!F25, Klantgegevens_A!D25 &amp; " " &amp; Klantgegevens_A!E25 &amp; ", " &amp; Klantgegevens_A!F25)</f>
        <v>Leen,Bibiche</v>
      </c>
      <c r="E26">
        <f>IF(Klantgegevens_B!G25&lt;&gt;"", Klantgegevens_B!G25, TEXTJOIN(",", TRUE, REPT("Volwassene,", Klantgegevens_A!G25), REPT("Kind,", Klantgegevens_A!H25)))</f>
        <v>156.93</v>
      </c>
      <c r="F26">
        <f>IF(Klantgegevens_B!G25&lt;&gt;"", LEN(Klantgegevens_B!G25)-LEN(SUBSTITUTE(Klantgegevens_B!G25, ",", ""))+1, Klantgegevens_A!G25)</f>
        <v>1</v>
      </c>
      <c r="G26">
        <f>IF(Klantgegevens_B!G25&lt;&gt;"", 0, Klantgegevens_A!H25)</f>
        <v>0</v>
      </c>
      <c r="H26">
        <f>IF(Klantgegevens_B!H25&lt;&gt;"", Klantgegevens_B!H25, Klantgegevens_A!I25)</f>
        <v>5</v>
      </c>
      <c r="I26" t="str">
        <f>IF(Klantgegevens_B!I25&lt;&gt;"", Klantgegevens_B!I25, SWITCH(Klantgegevens_A!J25, "Zelden", 1, "Af en toe", 4, "Regelmatig", 8, "Vaak", 12))</f>
        <v>Payconiq</v>
      </c>
      <c r="J26" t="str">
        <f>IF(Klantgegevens_B!J25&lt;&gt;"", Klantgegevens_B!J25, Klantgegevens_A!K25)</f>
        <v>nee</v>
      </c>
      <c r="K26">
        <f>IF(Klantgegevens_B!K25&lt;&gt;"", AVERAGE(--(Klantgegevens_B!K25="ja"), --(Klantgegevens_B!L25="ja"), --(Klantgegevens_B!M25="ja"), --(Klantgegevens_B!N25="ja"), --(Klantgegevens_B!O25="ja"))*10, Klantgegevens_A!L25)</f>
        <v>6</v>
      </c>
      <c r="L26" t="str">
        <f>IF(Klantgegevens_B!K25&lt;&gt;"", Klantgegevens_B!K25, IF(Klantgegevens_A!L25&gt;=7, "ja", "nee"))</f>
        <v>ja</v>
      </c>
      <c r="M26" t="str">
        <f>IF(Klantgegevens_B!L25&lt;&gt;"", Klantgegevens_B!L25, IF(Klantgegevens_A!L25&gt;=7, "ja", "nee"))</f>
        <v>ja</v>
      </c>
      <c r="N26" t="str">
        <f>IF(Klantgegevens_B!M25&lt;&gt;"", Klantgegevens_B!M25, IF(Klantgegevens_A!L25&gt;=7, "ja", "nee"))</f>
        <v>nee</v>
      </c>
      <c r="O26" t="str">
        <f>IF(Klantgegevens_B!N25&lt;&gt;"", Klantgegevens_B!N25, IF(Klantgegevens_A!L25&gt;=7, "ja", "nee"))</f>
        <v>ja</v>
      </c>
      <c r="P26" t="str">
        <f>IF(Klantgegevens_B!O25&lt;&gt;"", Klantgegevens_B!O25, IF(Klantgegevens_A!L25&gt;=7, "ja", "nee"))</f>
        <v>Geen dieet</v>
      </c>
      <c r="Q26" t="str">
        <f>IF(Klantgegevens_B!P25&lt;&gt;"", Klantgegevens_B!P25, Klantgegevens_A!M25)</f>
        <v>Geen dieet</v>
      </c>
      <c r="R26" t="str">
        <f>IF(Klantgegevens_B!A25&lt;&gt;"", "B", "A")</f>
        <v>B</v>
      </c>
    </row>
    <row r="27" spans="1:18" x14ac:dyDescent="0.3">
      <c r="A27" t="str">
        <f>IF(Klantgegevens_B!A26&lt;&gt;"", Klantgegevens_B!A26, MID(Klantgegevens_A!A26, FIND(",", Klantgegevens_A!A26)+2, LEN(Klantgegevens_A!A26)))</f>
        <v>Kelly</v>
      </c>
      <c r="B27" t="str">
        <f>IF(Klantgegevens_B!B26&lt;&gt;"", Klantgegevens_B!B26, LEFT(Klantgegevens_A!A26, FIND(",", Klantgegevens_A!A26)-1))</f>
        <v>Marchal</v>
      </c>
      <c r="C27" t="str">
        <f t="shared" ca="1" si="0"/>
        <v/>
      </c>
      <c r="D27" t="str">
        <f>IF(Klantgegevens_B!F26&lt;&gt;"", Klantgegevens_B!F26, Klantgegevens_A!D26 &amp; " " &amp; Klantgegevens_A!E26 &amp; ", " &amp; Klantgegevens_A!F26)</f>
        <v>Kelly,Arcangelo</v>
      </c>
      <c r="E27">
        <f>IF(Klantgegevens_B!G26&lt;&gt;"", Klantgegevens_B!G26, TEXTJOIN(",", TRUE, REPT("Volwassene,", Klantgegevens_A!G26), REPT("Kind,", Klantgegevens_A!H26)))</f>
        <v>31.97</v>
      </c>
      <c r="F27">
        <f>IF(Klantgegevens_B!G26&lt;&gt;"", LEN(Klantgegevens_B!G26)-LEN(SUBSTITUTE(Klantgegevens_B!G26, ",", ""))+1, Klantgegevens_A!G26)</f>
        <v>1</v>
      </c>
      <c r="G27">
        <f>IF(Klantgegevens_B!G26&lt;&gt;"", 0, Klantgegevens_A!H26)</f>
        <v>0</v>
      </c>
      <c r="H27">
        <f>IF(Klantgegevens_B!H26&lt;&gt;"", Klantgegevens_B!H26, Klantgegevens_A!I26)</f>
        <v>8</v>
      </c>
      <c r="I27" t="str">
        <f>IF(Klantgegevens_B!I26&lt;&gt;"", Klantgegevens_B!I26, SWITCH(Klantgegevens_A!J26, "Zelden", 1, "Af en toe", 4, "Regelmatig", 8, "Vaak", 12))</f>
        <v>Bancontact</v>
      </c>
      <c r="J27" t="str">
        <f>IF(Klantgegevens_B!J26&lt;&gt;"", Klantgegevens_B!J26, Klantgegevens_A!K26)</f>
        <v>nee</v>
      </c>
      <c r="K27">
        <f>IF(Klantgegevens_B!K26&lt;&gt;"", AVERAGE(--(Klantgegevens_B!K26="ja"), --(Klantgegevens_B!L26="ja"), --(Klantgegevens_B!M26="ja"), --(Klantgegevens_B!N26="ja"), --(Klantgegevens_B!O26="ja"))*10, Klantgegevens_A!L26)</f>
        <v>6</v>
      </c>
      <c r="L27" t="str">
        <f>IF(Klantgegevens_B!K26&lt;&gt;"", Klantgegevens_B!K26, IF(Klantgegevens_A!L26&gt;=7, "ja", "nee"))</f>
        <v>nee</v>
      </c>
      <c r="M27" t="str">
        <f>IF(Klantgegevens_B!L26&lt;&gt;"", Klantgegevens_B!L26, IF(Klantgegevens_A!L26&gt;=7, "ja", "nee"))</f>
        <v>ja</v>
      </c>
      <c r="N27" t="str">
        <f>IF(Klantgegevens_B!M26&lt;&gt;"", Klantgegevens_B!M26, IF(Klantgegevens_A!L26&gt;=7, "ja", "nee"))</f>
        <v>ja</v>
      </c>
      <c r="O27" t="str">
        <f>IF(Klantgegevens_B!N26&lt;&gt;"", Klantgegevens_B!N26, IF(Klantgegevens_A!L26&gt;=7, "ja", "nee"))</f>
        <v>ja</v>
      </c>
      <c r="P27" t="str">
        <f>IF(Klantgegevens_B!O26&lt;&gt;"", Klantgegevens_B!O26, IF(Klantgegevens_A!L26&gt;=7, "ja", "nee"))</f>
        <v>Geen dieet</v>
      </c>
      <c r="Q27" t="str">
        <f>IF(Klantgegevens_B!P26&lt;&gt;"", Klantgegevens_B!P26, Klantgegevens_A!M26)</f>
        <v>Geen dieet</v>
      </c>
      <c r="R27" t="str">
        <f>IF(Klantgegevens_B!A26&lt;&gt;"", "B", "A")</f>
        <v>B</v>
      </c>
    </row>
    <row r="28" spans="1:18" x14ac:dyDescent="0.3">
      <c r="A28" t="str">
        <f>IF(Klantgegevens_B!A27&lt;&gt;"", Klantgegevens_B!A27, MID(Klantgegevens_A!A27, FIND(",", Klantgegevens_A!A27)+2, LEN(Klantgegevens_A!A27)))</f>
        <v>Kaat</v>
      </c>
      <c r="B28" t="str">
        <f>IF(Klantgegevens_B!B27&lt;&gt;"", Klantgegevens_B!B27, LEFT(Klantgegevens_A!A27, FIND(",", Klantgegevens_A!A27)-1))</f>
        <v>Dewaele</v>
      </c>
      <c r="C28" t="str">
        <f t="shared" ca="1" si="0"/>
        <v/>
      </c>
      <c r="D28" t="str">
        <f>IF(Klantgegevens_B!F27&lt;&gt;"", Klantgegevens_B!F27, Klantgegevens_A!D27 &amp; " " &amp; Klantgegevens_A!E27 &amp; ", " &amp; Klantgegevens_A!F27)</f>
        <v>Kaat,Mireille</v>
      </c>
      <c r="E28">
        <f>IF(Klantgegevens_B!G27&lt;&gt;"", Klantgegevens_B!G27, TEXTJOIN(",", TRUE, REPT("Volwassene,", Klantgegevens_A!G27), REPT("Kind,", Klantgegevens_A!H27)))</f>
        <v>96.23</v>
      </c>
      <c r="F28">
        <f>IF(Klantgegevens_B!G27&lt;&gt;"", LEN(Klantgegevens_B!G27)-LEN(SUBSTITUTE(Klantgegevens_B!G27, ",", ""))+1, Klantgegevens_A!G27)</f>
        <v>1</v>
      </c>
      <c r="G28">
        <f>IF(Klantgegevens_B!G27&lt;&gt;"", 0, Klantgegevens_A!H27)</f>
        <v>0</v>
      </c>
      <c r="H28">
        <f>IF(Klantgegevens_B!H27&lt;&gt;"", Klantgegevens_B!H27, Klantgegevens_A!I27)</f>
        <v>1</v>
      </c>
      <c r="I28" t="str">
        <f>IF(Klantgegevens_B!I27&lt;&gt;"", Klantgegevens_B!I27, SWITCH(Klantgegevens_A!J27, "Zelden", 1, "Af en toe", 4, "Regelmatig", 8, "Vaak", 12))</f>
        <v>Bancontact</v>
      </c>
      <c r="J28" t="str">
        <f>IF(Klantgegevens_B!J27&lt;&gt;"", Klantgegevens_B!J27, Klantgegevens_A!K27)</f>
        <v>ja</v>
      </c>
      <c r="K28">
        <f>IF(Klantgegevens_B!K27&lt;&gt;"", AVERAGE(--(Klantgegevens_B!K27="ja"), --(Klantgegevens_B!L27="ja"), --(Klantgegevens_B!M27="ja"), --(Klantgegevens_B!N27="ja"), --(Klantgegevens_B!O27="ja"))*10, Klantgegevens_A!L27)</f>
        <v>4</v>
      </c>
      <c r="L28" t="str">
        <f>IF(Klantgegevens_B!K27&lt;&gt;"", Klantgegevens_B!K27, IF(Klantgegevens_A!L27&gt;=7, "ja", "nee"))</f>
        <v>ja</v>
      </c>
      <c r="M28" t="str">
        <f>IF(Klantgegevens_B!L27&lt;&gt;"", Klantgegevens_B!L27, IF(Klantgegevens_A!L27&gt;=7, "ja", "nee"))</f>
        <v>ja</v>
      </c>
      <c r="N28" t="str">
        <f>IF(Klantgegevens_B!M27&lt;&gt;"", Klantgegevens_B!M27, IF(Klantgegevens_A!L27&gt;=7, "ja", "nee"))</f>
        <v>nee</v>
      </c>
      <c r="O28" t="str">
        <f>IF(Klantgegevens_B!N27&lt;&gt;"", Klantgegevens_B!N27, IF(Klantgegevens_A!L27&gt;=7, "ja", "nee"))</f>
        <v>nee</v>
      </c>
      <c r="P28" t="str">
        <f>IF(Klantgegevens_B!O27&lt;&gt;"", Klantgegevens_B!O27, IF(Klantgegevens_A!L27&gt;=7, "ja", "nee"))</f>
        <v>Geen dieet</v>
      </c>
      <c r="Q28" t="str">
        <f>IF(Klantgegevens_B!P27&lt;&gt;"", Klantgegevens_B!P27, Klantgegevens_A!M27)</f>
        <v>Geen dieet</v>
      </c>
      <c r="R28" t="str">
        <f>IF(Klantgegevens_B!A27&lt;&gt;"", "B", "A")</f>
        <v>B</v>
      </c>
    </row>
    <row r="29" spans="1:18" x14ac:dyDescent="0.3">
      <c r="A29" t="str">
        <f>IF(Klantgegevens_B!A28&lt;&gt;"", Klantgegevens_B!A28, MID(Klantgegevens_A!A28, FIND(",", Klantgegevens_A!A28)+2, LEN(Klantgegevens_A!A28)))</f>
        <v>Eric</v>
      </c>
      <c r="B29" t="str">
        <f>IF(Klantgegevens_B!B28&lt;&gt;"", Klantgegevens_B!B28, LEFT(Klantgegevens_A!A28, FIND(",", Klantgegevens_A!A28)-1))</f>
        <v>Geens</v>
      </c>
      <c r="C29" t="str">
        <f t="shared" ca="1" si="0"/>
        <v/>
      </c>
      <c r="D29" t="str">
        <f>IF(Klantgegevens_B!F28&lt;&gt;"", Klantgegevens_B!F28, Klantgegevens_A!D28 &amp; " " &amp; Klantgegevens_A!E28 &amp; ", " &amp; Klantgegevens_A!F28)</f>
        <v>Eric,Maya,Ema</v>
      </c>
      <c r="E29">
        <f>IF(Klantgegevens_B!G28&lt;&gt;"", Klantgegevens_B!G28, TEXTJOIN(",", TRUE, REPT("Volwassene,", Klantgegevens_A!G28), REPT("Kind,", Klantgegevens_A!H28)))</f>
        <v>48.24</v>
      </c>
      <c r="F29">
        <f>IF(Klantgegevens_B!G28&lt;&gt;"", LEN(Klantgegevens_B!G28)-LEN(SUBSTITUTE(Klantgegevens_B!G28, ",", ""))+1, Klantgegevens_A!G28)</f>
        <v>1</v>
      </c>
      <c r="G29">
        <f>IF(Klantgegevens_B!G28&lt;&gt;"", 0, Klantgegevens_A!H28)</f>
        <v>0</v>
      </c>
      <c r="H29">
        <f>IF(Klantgegevens_B!H28&lt;&gt;"", Klantgegevens_B!H28, Klantgegevens_A!I28)</f>
        <v>10</v>
      </c>
      <c r="I29" t="str">
        <f>IF(Klantgegevens_B!I28&lt;&gt;"", Klantgegevens_B!I28, SWITCH(Klantgegevens_A!J28, "Zelden", 1, "Af en toe", 4, "Regelmatig", 8, "Vaak", 12))</f>
        <v>Cash</v>
      </c>
      <c r="J29" t="str">
        <f>IF(Klantgegevens_B!J28&lt;&gt;"", Klantgegevens_B!J28, Klantgegevens_A!K28)</f>
        <v>ja</v>
      </c>
      <c r="K29">
        <f>IF(Klantgegevens_B!K28&lt;&gt;"", AVERAGE(--(Klantgegevens_B!K28="ja"), --(Klantgegevens_B!L28="ja"), --(Klantgegevens_B!M28="ja"), --(Klantgegevens_B!N28="ja"), --(Klantgegevens_B!O28="ja"))*10, Klantgegevens_A!L28)</f>
        <v>6</v>
      </c>
      <c r="L29" t="str">
        <f>IF(Klantgegevens_B!K28&lt;&gt;"", Klantgegevens_B!K28, IF(Klantgegevens_A!L28&gt;=7, "ja", "nee"))</f>
        <v>nee</v>
      </c>
      <c r="M29" t="str">
        <f>IF(Klantgegevens_B!L28&lt;&gt;"", Klantgegevens_B!L28, IF(Klantgegevens_A!L28&gt;=7, "ja", "nee"))</f>
        <v>ja</v>
      </c>
      <c r="N29" t="str">
        <f>IF(Klantgegevens_B!M28&lt;&gt;"", Klantgegevens_B!M28, IF(Klantgegevens_A!L28&gt;=7, "ja", "nee"))</f>
        <v>ja</v>
      </c>
      <c r="O29" t="str">
        <f>IF(Klantgegevens_B!N28&lt;&gt;"", Klantgegevens_B!N28, IF(Klantgegevens_A!L28&gt;=7, "ja", "nee"))</f>
        <v>ja</v>
      </c>
      <c r="P29" t="str">
        <f>IF(Klantgegevens_B!O28&lt;&gt;"", Klantgegevens_B!O28, IF(Klantgegevens_A!L28&gt;=7, "ja", "nee"))</f>
        <v>Geen dieet</v>
      </c>
      <c r="Q29" t="str">
        <f>IF(Klantgegevens_B!P28&lt;&gt;"", Klantgegevens_B!P28, Klantgegevens_A!M28)</f>
        <v>Geen dieet</v>
      </c>
      <c r="R29" t="str">
        <f>IF(Klantgegevens_B!A28&lt;&gt;"", "B", "A")</f>
        <v>B</v>
      </c>
    </row>
    <row r="30" spans="1:18" x14ac:dyDescent="0.3">
      <c r="A30" t="str">
        <f>IF(Klantgegevens_B!A29&lt;&gt;"", Klantgegevens_B!A29, MID(Klantgegevens_A!A29, FIND(",", Klantgegevens_A!A29)+2, LEN(Klantgegevens_A!A29)))</f>
        <v>Laurence</v>
      </c>
      <c r="B30" t="str">
        <f>IF(Klantgegevens_B!B29&lt;&gt;"", Klantgegevens_B!B29, LEFT(Klantgegevens_A!A29, FIND(",", Klantgegevens_A!A29)-1))</f>
        <v>Moens</v>
      </c>
      <c r="C30" t="str">
        <f t="shared" ca="1" si="0"/>
        <v/>
      </c>
      <c r="D30" t="str">
        <f>IF(Klantgegevens_B!F29&lt;&gt;"", Klantgegevens_B!F29, Klantgegevens_A!D29 &amp; " " &amp; Klantgegevens_A!E29 &amp; ", " &amp; Klantgegevens_A!F29)</f>
        <v>Laurence,Brigitte,François</v>
      </c>
      <c r="E30">
        <f>IF(Klantgegevens_B!G29&lt;&gt;"", Klantgegevens_B!G29, TEXTJOIN(",", TRUE, REPT("Volwassene,", Klantgegevens_A!G29), REPT("Kind,", Klantgegevens_A!H29)))</f>
        <v>133.68</v>
      </c>
      <c r="F30">
        <f>IF(Klantgegevens_B!G29&lt;&gt;"", LEN(Klantgegevens_B!G29)-LEN(SUBSTITUTE(Klantgegevens_B!G29, ",", ""))+1, Klantgegevens_A!G29)</f>
        <v>1</v>
      </c>
      <c r="G30">
        <f>IF(Klantgegevens_B!G29&lt;&gt;"", 0, Klantgegevens_A!H29)</f>
        <v>0</v>
      </c>
      <c r="H30">
        <f>IF(Klantgegevens_B!H29&lt;&gt;"", Klantgegevens_B!H29, Klantgegevens_A!I29)</f>
        <v>2</v>
      </c>
      <c r="I30" t="str">
        <f>IF(Klantgegevens_B!I29&lt;&gt;"", Klantgegevens_B!I29, SWITCH(Klantgegevens_A!J29, "Zelden", 1, "Af en toe", 4, "Regelmatig", 8, "Vaak", 12))</f>
        <v>Bancontact</v>
      </c>
      <c r="J30" t="str">
        <f>IF(Klantgegevens_B!J29&lt;&gt;"", Klantgegevens_B!J29, Klantgegevens_A!K29)</f>
        <v>ja</v>
      </c>
      <c r="K30">
        <f>IF(Klantgegevens_B!K29&lt;&gt;"", AVERAGE(--(Klantgegevens_B!K29="ja"), --(Klantgegevens_B!L29="ja"), --(Klantgegevens_B!M29="ja"), --(Klantgegevens_B!N29="ja"), --(Klantgegevens_B!O29="ja"))*10, Klantgegevens_A!L29)</f>
        <v>6</v>
      </c>
      <c r="L30" t="str">
        <f>IF(Klantgegevens_B!K29&lt;&gt;"", Klantgegevens_B!K29, IF(Klantgegevens_A!L29&gt;=7, "ja", "nee"))</f>
        <v>ja</v>
      </c>
      <c r="M30" t="str">
        <f>IF(Klantgegevens_B!L29&lt;&gt;"", Klantgegevens_B!L29, IF(Klantgegevens_A!L29&gt;=7, "ja", "nee"))</f>
        <v>ja</v>
      </c>
      <c r="N30" t="str">
        <f>IF(Klantgegevens_B!M29&lt;&gt;"", Klantgegevens_B!M29, IF(Klantgegevens_A!L29&gt;=7, "ja", "nee"))</f>
        <v>nee</v>
      </c>
      <c r="O30" t="str">
        <f>IF(Klantgegevens_B!N29&lt;&gt;"", Klantgegevens_B!N29, IF(Klantgegevens_A!L29&gt;=7, "ja", "nee"))</f>
        <v>ja</v>
      </c>
      <c r="P30" t="str">
        <f>IF(Klantgegevens_B!O29&lt;&gt;"", Klantgegevens_B!O29, IF(Klantgegevens_A!L29&gt;=7, "ja", "nee"))</f>
        <v>Geen dieet</v>
      </c>
      <c r="Q30" t="str">
        <f>IF(Klantgegevens_B!P29&lt;&gt;"", Klantgegevens_B!P29, Klantgegevens_A!M29)</f>
        <v>Geen dieet</v>
      </c>
      <c r="R30" t="str">
        <f>IF(Klantgegevens_B!A29&lt;&gt;"", "B", "A")</f>
        <v>B</v>
      </c>
    </row>
    <row r="31" spans="1:18" x14ac:dyDescent="0.3">
      <c r="A31" t="str">
        <f>IF(Klantgegevens_B!A30&lt;&gt;"", Klantgegevens_B!A30, MID(Klantgegevens_A!A30, FIND(",", Klantgegevens_A!A30)+2, LEN(Klantgegevens_A!A30)))</f>
        <v>Ahmad</v>
      </c>
      <c r="B31" t="str">
        <f>IF(Klantgegevens_B!B30&lt;&gt;"", Klantgegevens_B!B30, LEFT(Klantgegevens_A!A30, FIND(",", Klantgegevens_A!A30)-1))</f>
        <v>De backer</v>
      </c>
      <c r="C31" t="str">
        <f t="shared" ca="1" si="0"/>
        <v/>
      </c>
      <c r="D31" t="str">
        <f>IF(Klantgegevens_B!F30&lt;&gt;"", Klantgegevens_B!F30, Klantgegevens_A!D30 &amp; " " &amp; Klantgegevens_A!E30 &amp; ", " &amp; Klantgegevens_A!F30)</f>
        <v>Ahmad,Arlette,Eric,Boubaker</v>
      </c>
      <c r="E31">
        <f>IF(Klantgegevens_B!G30&lt;&gt;"", Klantgegevens_B!G30, TEXTJOIN(",", TRUE, REPT("Volwassene,", Klantgegevens_A!G30), REPT("Kind,", Klantgegevens_A!H30)))</f>
        <v>122.74</v>
      </c>
      <c r="F31">
        <f>IF(Klantgegevens_B!G30&lt;&gt;"", LEN(Klantgegevens_B!G30)-LEN(SUBSTITUTE(Klantgegevens_B!G30, ",", ""))+1, Klantgegevens_A!G30)</f>
        <v>1</v>
      </c>
      <c r="G31">
        <f>IF(Klantgegevens_B!G30&lt;&gt;"", 0, Klantgegevens_A!H30)</f>
        <v>0</v>
      </c>
      <c r="H31">
        <f>IF(Klantgegevens_B!H30&lt;&gt;"", Klantgegevens_B!H30, Klantgegevens_A!I30)</f>
        <v>12</v>
      </c>
      <c r="I31" t="str">
        <f>IF(Klantgegevens_B!I30&lt;&gt;"", Klantgegevens_B!I30, SWITCH(Klantgegevens_A!J30, "Zelden", 1, "Af en toe", 4, "Regelmatig", 8, "Vaak", 12))</f>
        <v>Bancontact</v>
      </c>
      <c r="J31" t="str">
        <f>IF(Klantgegevens_B!J30&lt;&gt;"", Klantgegevens_B!J30, Klantgegevens_A!K30)</f>
        <v>ja</v>
      </c>
      <c r="K31">
        <f>IF(Klantgegevens_B!K30&lt;&gt;"", AVERAGE(--(Klantgegevens_B!K30="ja"), --(Klantgegevens_B!L30="ja"), --(Klantgegevens_B!M30="ja"), --(Klantgegevens_B!N30="ja"), --(Klantgegevens_B!O30="ja"))*10, Klantgegevens_A!L30)</f>
        <v>8</v>
      </c>
      <c r="L31" t="str">
        <f>IF(Klantgegevens_B!K30&lt;&gt;"", Klantgegevens_B!K30, IF(Klantgegevens_A!L30&gt;=7, "ja", "nee"))</f>
        <v>ja</v>
      </c>
      <c r="M31" t="str">
        <f>IF(Klantgegevens_B!L30&lt;&gt;"", Klantgegevens_B!L30, IF(Klantgegevens_A!L30&gt;=7, "ja", "nee"))</f>
        <v>ja</v>
      </c>
      <c r="N31" t="str">
        <f>IF(Klantgegevens_B!M30&lt;&gt;"", Klantgegevens_B!M30, IF(Klantgegevens_A!L30&gt;=7, "ja", "nee"))</f>
        <v>ja</v>
      </c>
      <c r="O31" t="str">
        <f>IF(Klantgegevens_B!N30&lt;&gt;"", Klantgegevens_B!N30, IF(Klantgegevens_A!L30&gt;=7, "ja", "nee"))</f>
        <v>ja</v>
      </c>
      <c r="P31" t="str">
        <f>IF(Klantgegevens_B!O30&lt;&gt;"", Klantgegevens_B!O30, IF(Klantgegevens_A!L30&gt;=7, "ja", "nee"))</f>
        <v>Vegetarisch</v>
      </c>
      <c r="Q31" t="str">
        <f>IF(Klantgegevens_B!P30&lt;&gt;"", Klantgegevens_B!P30, Klantgegevens_A!M30)</f>
        <v>Veganistisch</v>
      </c>
      <c r="R31" t="str">
        <f>IF(Klantgegevens_B!A30&lt;&gt;"", "B", "A")</f>
        <v>B</v>
      </c>
    </row>
    <row r="32" spans="1:18" x14ac:dyDescent="0.3">
      <c r="A32" t="str">
        <f>IF(Klantgegevens_B!A31&lt;&gt;"", Klantgegevens_B!A31, MID(Klantgegevens_A!A31, FIND(",", Klantgegevens_A!A31)+2, LEN(Klantgegevens_A!A31)))</f>
        <v>Jonathan</v>
      </c>
      <c r="B32" t="str">
        <f>IF(Klantgegevens_B!B31&lt;&gt;"", Klantgegevens_B!B31, LEFT(Klantgegevens_A!A31, FIND(",", Klantgegevens_A!A31)-1))</f>
        <v>Van dijck</v>
      </c>
      <c r="C32" t="str">
        <f t="shared" ca="1" si="0"/>
        <v/>
      </c>
      <c r="D32" t="str">
        <f>IF(Klantgegevens_B!F31&lt;&gt;"", Klantgegevens_B!F31, Klantgegevens_A!D31 &amp; " " &amp; Klantgegevens_A!E31 &amp; ", " &amp; Klantgegevens_A!F31)</f>
        <v>Jonathan,João,Luna,Jean-Pierre</v>
      </c>
      <c r="E32">
        <f>IF(Klantgegevens_B!G31&lt;&gt;"", Klantgegevens_B!G31, TEXTJOIN(",", TRUE, REPT("Volwassene,", Klantgegevens_A!G31), REPT("Kind,", Klantgegevens_A!H31)))</f>
        <v>97.11</v>
      </c>
      <c r="F32">
        <f>IF(Klantgegevens_B!G31&lt;&gt;"", LEN(Klantgegevens_B!G31)-LEN(SUBSTITUTE(Klantgegevens_B!G31, ",", ""))+1, Klantgegevens_A!G31)</f>
        <v>1</v>
      </c>
      <c r="G32">
        <f>IF(Klantgegevens_B!G31&lt;&gt;"", 0, Klantgegevens_A!H31)</f>
        <v>0</v>
      </c>
      <c r="H32">
        <f>IF(Klantgegevens_B!H31&lt;&gt;"", Klantgegevens_B!H31, Klantgegevens_A!I31)</f>
        <v>1</v>
      </c>
      <c r="I32" t="str">
        <f>IF(Klantgegevens_B!I31&lt;&gt;"", Klantgegevens_B!I31, SWITCH(Klantgegevens_A!J31, "Zelden", 1, "Af en toe", 4, "Regelmatig", 8, "Vaak", 12))</f>
        <v>Bancontact</v>
      </c>
      <c r="J32" t="str">
        <f>IF(Klantgegevens_B!J31&lt;&gt;"", Klantgegevens_B!J31, Klantgegevens_A!K31)</f>
        <v>ja</v>
      </c>
      <c r="K32">
        <f>IF(Klantgegevens_B!K31&lt;&gt;"", AVERAGE(--(Klantgegevens_B!K31="ja"), --(Klantgegevens_B!L31="ja"), --(Klantgegevens_B!M31="ja"), --(Klantgegevens_B!N31="ja"), --(Klantgegevens_B!O31="ja"))*10, Klantgegevens_A!L31)</f>
        <v>4</v>
      </c>
      <c r="L32" t="str">
        <f>IF(Klantgegevens_B!K31&lt;&gt;"", Klantgegevens_B!K31, IF(Klantgegevens_A!L31&gt;=7, "ja", "nee"))</f>
        <v>nee</v>
      </c>
      <c r="M32" t="str">
        <f>IF(Klantgegevens_B!L31&lt;&gt;"", Klantgegevens_B!L31, IF(Klantgegevens_A!L31&gt;=7, "ja", "nee"))</f>
        <v>ja</v>
      </c>
      <c r="N32" t="str">
        <f>IF(Klantgegevens_B!M31&lt;&gt;"", Klantgegevens_B!M31, IF(Klantgegevens_A!L31&gt;=7, "ja", "nee"))</f>
        <v>nee</v>
      </c>
      <c r="O32" t="str">
        <f>IF(Klantgegevens_B!N31&lt;&gt;"", Klantgegevens_B!N31, IF(Klantgegevens_A!L31&gt;=7, "ja", "nee"))</f>
        <v>ja</v>
      </c>
      <c r="P32" t="str">
        <f>IF(Klantgegevens_B!O31&lt;&gt;"", Klantgegevens_B!O31, IF(Klantgegevens_A!L31&gt;=7, "ja", "nee"))</f>
        <v>Geen dieet</v>
      </c>
      <c r="Q32" t="str">
        <f>IF(Klantgegevens_B!P31&lt;&gt;"", Klantgegevens_B!P31, Klantgegevens_A!M31)</f>
        <v>Geen dieet</v>
      </c>
      <c r="R32" t="str">
        <f>IF(Klantgegevens_B!A31&lt;&gt;"", "B", "A")</f>
        <v>B</v>
      </c>
    </row>
    <row r="33" spans="1:18" x14ac:dyDescent="0.3">
      <c r="A33" t="str">
        <f>IF(Klantgegevens_B!A32&lt;&gt;"", Klantgegevens_B!A32, MID(Klantgegevens_A!A32, FIND(",", Klantgegevens_A!A32)+2, LEN(Klantgegevens_A!A32)))</f>
        <v>Francis</v>
      </c>
      <c r="B33" t="str">
        <f>IF(Klantgegevens_B!B32&lt;&gt;"", Klantgegevens_B!B32, LEFT(Klantgegevens_A!A32, FIND(",", Klantgegevens_A!A32)-1))</f>
        <v>Mathieu</v>
      </c>
      <c r="C33" t="str">
        <f t="shared" ca="1" si="0"/>
        <v/>
      </c>
      <c r="D33" t="str">
        <f>IF(Klantgegevens_B!F32&lt;&gt;"", Klantgegevens_B!F32, Klantgegevens_A!D32 &amp; " " &amp; Klantgegevens_A!E32 &amp; ", " &amp; Klantgegevens_A!F32)</f>
        <v>Francis,Ibrahim,Chantal</v>
      </c>
      <c r="E33">
        <f>IF(Klantgegevens_B!G32&lt;&gt;"", Klantgegevens_B!G32, TEXTJOIN(",", TRUE, REPT("Volwassene,", Klantgegevens_A!G32), REPT("Kind,", Klantgegevens_A!H32)))</f>
        <v>157.52000000000001</v>
      </c>
      <c r="F33">
        <f>IF(Klantgegevens_B!G32&lt;&gt;"", LEN(Klantgegevens_B!G32)-LEN(SUBSTITUTE(Klantgegevens_B!G32, ",", ""))+1, Klantgegevens_A!G32)</f>
        <v>1</v>
      </c>
      <c r="G33">
        <f>IF(Klantgegevens_B!G32&lt;&gt;"", 0, Klantgegevens_A!H32)</f>
        <v>0</v>
      </c>
      <c r="H33">
        <f>IF(Klantgegevens_B!H32&lt;&gt;"", Klantgegevens_B!H32, Klantgegevens_A!I32)</f>
        <v>23</v>
      </c>
      <c r="I33" t="str">
        <f>IF(Klantgegevens_B!I32&lt;&gt;"", Klantgegevens_B!I32, SWITCH(Klantgegevens_A!J32, "Zelden", 1, "Af en toe", 4, "Regelmatig", 8, "Vaak", 12))</f>
        <v>Payconiq</v>
      </c>
      <c r="J33" t="str">
        <f>IF(Klantgegevens_B!J32&lt;&gt;"", Klantgegevens_B!J32, Klantgegevens_A!K32)</f>
        <v>ja</v>
      </c>
      <c r="K33">
        <f>IF(Klantgegevens_B!K32&lt;&gt;"", AVERAGE(--(Klantgegevens_B!K32="ja"), --(Klantgegevens_B!L32="ja"), --(Klantgegevens_B!M32="ja"), --(Klantgegevens_B!N32="ja"), --(Klantgegevens_B!O32="ja"))*10, Klantgegevens_A!L32)</f>
        <v>6</v>
      </c>
      <c r="L33" t="str">
        <f>IF(Klantgegevens_B!K32&lt;&gt;"", Klantgegevens_B!K32, IF(Klantgegevens_A!L32&gt;=7, "ja", "nee"))</f>
        <v>nee</v>
      </c>
      <c r="M33" t="str">
        <f>IF(Klantgegevens_B!L32&lt;&gt;"", Klantgegevens_B!L32, IF(Klantgegevens_A!L32&gt;=7, "ja", "nee"))</f>
        <v>ja</v>
      </c>
      <c r="N33" t="str">
        <f>IF(Klantgegevens_B!M32&lt;&gt;"", Klantgegevens_B!M32, IF(Klantgegevens_A!L32&gt;=7, "ja", "nee"))</f>
        <v>ja</v>
      </c>
      <c r="O33" t="str">
        <f>IF(Klantgegevens_B!N32&lt;&gt;"", Klantgegevens_B!N32, IF(Klantgegevens_A!L32&gt;=7, "ja", "nee"))</f>
        <v>ja</v>
      </c>
      <c r="P33" t="str">
        <f>IF(Klantgegevens_B!O32&lt;&gt;"", Klantgegevens_B!O32, IF(Klantgegevens_A!L32&gt;=7, "ja", "nee"))</f>
        <v>Geen dieet</v>
      </c>
      <c r="Q33" t="str">
        <f>IF(Klantgegevens_B!P32&lt;&gt;"", Klantgegevens_B!P32, Klantgegevens_A!M32)</f>
        <v>Geen dieet</v>
      </c>
      <c r="R33" t="str">
        <f>IF(Klantgegevens_B!A32&lt;&gt;"", "B", "A")</f>
        <v>B</v>
      </c>
    </row>
    <row r="34" spans="1:18" x14ac:dyDescent="0.3">
      <c r="A34" t="str">
        <f>IF(Klantgegevens_B!A33&lt;&gt;"", Klantgegevens_B!A33, MID(Klantgegevens_A!A33, FIND(",", Klantgegevens_A!A33)+2, LEN(Klantgegevens_A!A33)))</f>
        <v>Alicia</v>
      </c>
      <c r="B34" t="str">
        <f>IF(Klantgegevens_B!B33&lt;&gt;"", Klantgegevens_B!B33, LEFT(Klantgegevens_A!A33, FIND(",", Klantgegevens_A!A33)-1))</f>
        <v>Claus</v>
      </c>
      <c r="C34" t="str">
        <f t="shared" ca="1" si="0"/>
        <v/>
      </c>
      <c r="D34" t="str">
        <f>IF(Klantgegevens_B!F33&lt;&gt;"", Klantgegevens_B!F33, Klantgegevens_A!D33 &amp; " " &amp; Klantgegevens_A!E33 &amp; ", " &amp; Klantgegevens_A!F33)</f>
        <v>Alicia,Wilsan,Esther,Bregtje</v>
      </c>
      <c r="E34">
        <f>IF(Klantgegevens_B!G33&lt;&gt;"", Klantgegevens_B!G33, TEXTJOIN(",", TRUE, REPT("Volwassene,", Klantgegevens_A!G33), REPT("Kind,", Klantgegevens_A!H33)))</f>
        <v>228.67</v>
      </c>
      <c r="F34">
        <f>IF(Klantgegevens_B!G33&lt;&gt;"", LEN(Klantgegevens_B!G33)-LEN(SUBSTITUTE(Klantgegevens_B!G33, ",", ""))+1, Klantgegevens_A!G33)</f>
        <v>1</v>
      </c>
      <c r="G34">
        <f>IF(Klantgegevens_B!G33&lt;&gt;"", 0, Klantgegevens_A!H33)</f>
        <v>0</v>
      </c>
      <c r="H34">
        <f>IF(Klantgegevens_B!H33&lt;&gt;"", Klantgegevens_B!H33, Klantgegevens_A!I33)</f>
        <v>6</v>
      </c>
      <c r="I34" t="str">
        <f>IF(Klantgegevens_B!I33&lt;&gt;"", Klantgegevens_B!I33, SWITCH(Klantgegevens_A!J33, "Zelden", 1, "Af en toe", 4, "Regelmatig", 8, "Vaak", 12))</f>
        <v>Payconiq</v>
      </c>
      <c r="J34" t="str">
        <f>IF(Klantgegevens_B!J33&lt;&gt;"", Klantgegevens_B!J33, Klantgegevens_A!K33)</f>
        <v>ja</v>
      </c>
      <c r="K34">
        <f>IF(Klantgegevens_B!K33&lt;&gt;"", AVERAGE(--(Klantgegevens_B!K33="ja"), --(Klantgegevens_B!L33="ja"), --(Klantgegevens_B!M33="ja"), --(Klantgegevens_B!N33="ja"), --(Klantgegevens_B!O33="ja"))*10, Klantgegevens_A!L33)</f>
        <v>6</v>
      </c>
      <c r="L34" t="str">
        <f>IF(Klantgegevens_B!K33&lt;&gt;"", Klantgegevens_B!K33, IF(Klantgegevens_A!L33&gt;=7, "ja", "nee"))</f>
        <v>nee</v>
      </c>
      <c r="M34" t="str">
        <f>IF(Klantgegevens_B!L33&lt;&gt;"", Klantgegevens_B!L33, IF(Klantgegevens_A!L33&gt;=7, "ja", "nee"))</f>
        <v>ja</v>
      </c>
      <c r="N34" t="str">
        <f>IF(Klantgegevens_B!M33&lt;&gt;"", Klantgegevens_B!M33, IF(Klantgegevens_A!L33&gt;=7, "ja", "nee"))</f>
        <v>ja</v>
      </c>
      <c r="O34" t="str">
        <f>IF(Klantgegevens_B!N33&lt;&gt;"", Klantgegevens_B!N33, IF(Klantgegevens_A!L33&gt;=7, "ja", "nee"))</f>
        <v>ja</v>
      </c>
      <c r="P34" t="str">
        <f>IF(Klantgegevens_B!O33&lt;&gt;"", Klantgegevens_B!O33, IF(Klantgegevens_A!L33&gt;=7, "ja", "nee"))</f>
        <v>Geen dieet</v>
      </c>
      <c r="Q34" t="str">
        <f>IF(Klantgegevens_B!P33&lt;&gt;"", Klantgegevens_B!P33, Klantgegevens_A!M33)</f>
        <v>Geen dieet</v>
      </c>
      <c r="R34" t="str">
        <f>IF(Klantgegevens_B!A33&lt;&gt;"", "B", "A")</f>
        <v>B</v>
      </c>
    </row>
    <row r="35" spans="1:18" x14ac:dyDescent="0.3">
      <c r="A35" t="str">
        <f>IF(Klantgegevens_B!A34&lt;&gt;"", Klantgegevens_B!A34, MID(Klantgegevens_A!A34, FIND(",", Klantgegevens_A!A34)+2, LEN(Klantgegevens_A!A34)))</f>
        <v>Xander</v>
      </c>
      <c r="B35" t="str">
        <f>IF(Klantgegevens_B!B34&lt;&gt;"", Klantgegevens_B!B34, LEFT(Klantgegevens_A!A34, FIND(",", Klantgegevens_A!A34)-1))</f>
        <v>Adam</v>
      </c>
      <c r="C35" t="str">
        <f t="shared" ca="1" si="0"/>
        <v/>
      </c>
      <c r="D35" t="str">
        <f>IF(Klantgegevens_B!F34&lt;&gt;"", Klantgegevens_B!F34, Klantgegevens_A!D34 &amp; " " &amp; Klantgegevens_A!E34 &amp; ", " &amp; Klantgegevens_A!F34)</f>
        <v>Xander,Bérengère,Apolonia,Yves</v>
      </c>
      <c r="E35">
        <f>IF(Klantgegevens_B!G34&lt;&gt;"", Klantgegevens_B!G34, TEXTJOIN(",", TRUE, REPT("Volwassene,", Klantgegevens_A!G34), REPT("Kind,", Klantgegevens_A!H34)))</f>
        <v>131.61000000000001</v>
      </c>
      <c r="F35">
        <f>IF(Klantgegevens_B!G34&lt;&gt;"", LEN(Klantgegevens_B!G34)-LEN(SUBSTITUTE(Klantgegevens_B!G34, ",", ""))+1, Klantgegevens_A!G34)</f>
        <v>1</v>
      </c>
      <c r="G35">
        <f>IF(Klantgegevens_B!G34&lt;&gt;"", 0, Klantgegevens_A!H34)</f>
        <v>0</v>
      </c>
      <c r="H35">
        <f>IF(Klantgegevens_B!H34&lt;&gt;"", Klantgegevens_B!H34, Klantgegevens_A!I34)</f>
        <v>15</v>
      </c>
      <c r="I35" t="str">
        <f>IF(Klantgegevens_B!I34&lt;&gt;"", Klantgegevens_B!I34, SWITCH(Klantgegevens_A!J34, "Zelden", 1, "Af en toe", 4, "Regelmatig", 8, "Vaak", 12))</f>
        <v>Payconiq</v>
      </c>
      <c r="J35" t="str">
        <f>IF(Klantgegevens_B!J34&lt;&gt;"", Klantgegevens_B!J34, Klantgegevens_A!K34)</f>
        <v>ja</v>
      </c>
      <c r="K35">
        <f>IF(Klantgegevens_B!K34&lt;&gt;"", AVERAGE(--(Klantgegevens_B!K34="ja"), --(Klantgegevens_B!L34="ja"), --(Klantgegevens_B!M34="ja"), --(Klantgegevens_B!N34="ja"), --(Klantgegevens_B!O34="ja"))*10, Klantgegevens_A!L34)</f>
        <v>2</v>
      </c>
      <c r="L35" t="str">
        <f>IF(Klantgegevens_B!K34&lt;&gt;"", Klantgegevens_B!K34, IF(Klantgegevens_A!L34&gt;=7, "ja", "nee"))</f>
        <v>nee</v>
      </c>
      <c r="M35" t="str">
        <f>IF(Klantgegevens_B!L34&lt;&gt;"", Klantgegevens_B!L34, IF(Klantgegevens_A!L34&gt;=7, "ja", "nee"))</f>
        <v>nee</v>
      </c>
      <c r="N35" t="str">
        <f>IF(Klantgegevens_B!M34&lt;&gt;"", Klantgegevens_B!M34, IF(Klantgegevens_A!L34&gt;=7, "ja", "nee"))</f>
        <v>nee</v>
      </c>
      <c r="O35" t="str">
        <f>IF(Klantgegevens_B!N34&lt;&gt;"", Klantgegevens_B!N34, IF(Klantgegevens_A!L34&gt;=7, "ja", "nee"))</f>
        <v>ja</v>
      </c>
      <c r="P35" t="str">
        <f>IF(Klantgegevens_B!O34&lt;&gt;"", Klantgegevens_B!O34, IF(Klantgegevens_A!L34&gt;=7, "ja", "nee"))</f>
        <v>Veganistisch</v>
      </c>
      <c r="Q35" t="str">
        <f>IF(Klantgegevens_B!P34&lt;&gt;"", Klantgegevens_B!P34, Klantgegevens_A!M34)</f>
        <v>Geen dieet</v>
      </c>
      <c r="R35" t="str">
        <f>IF(Klantgegevens_B!A34&lt;&gt;"", "B", "A")</f>
        <v>B</v>
      </c>
    </row>
    <row r="36" spans="1:18" x14ac:dyDescent="0.3">
      <c r="A36" t="str">
        <f>IF(Klantgegevens_B!A35&lt;&gt;"", Klantgegevens_B!A35, MID(Klantgegevens_A!A35, FIND(",", Klantgegevens_A!A35)+2, LEN(Klantgegevens_A!A35)))</f>
        <v>Enora</v>
      </c>
      <c r="B36" t="str">
        <f>IF(Klantgegevens_B!B35&lt;&gt;"", Klantgegevens_B!B35, LEFT(Klantgegevens_A!A35, FIND(",", Klantgegevens_A!A35)-1))</f>
        <v>Delvaux</v>
      </c>
      <c r="C36" t="str">
        <f t="shared" ca="1" si="0"/>
        <v/>
      </c>
      <c r="D36" t="str">
        <f>IF(Klantgegevens_B!F35&lt;&gt;"", Klantgegevens_B!F35, Klantgegevens_A!D35 &amp; " " &amp; Klantgegevens_A!E35 &amp; ", " &amp; Klantgegevens_A!F35)</f>
        <v>Enora,Robert,Eric,Dominik,Carine</v>
      </c>
      <c r="E36">
        <f>IF(Klantgegevens_B!G35&lt;&gt;"", Klantgegevens_B!G35, TEXTJOIN(",", TRUE, REPT("Volwassene,", Klantgegevens_A!G35), REPT("Kind,", Klantgegevens_A!H35)))</f>
        <v>195.99</v>
      </c>
      <c r="F36">
        <f>IF(Klantgegevens_B!G35&lt;&gt;"", LEN(Klantgegevens_B!G35)-LEN(SUBSTITUTE(Klantgegevens_B!G35, ",", ""))+1, Klantgegevens_A!G35)</f>
        <v>1</v>
      </c>
      <c r="G36">
        <f>IF(Klantgegevens_B!G35&lt;&gt;"", 0, Klantgegevens_A!H35)</f>
        <v>0</v>
      </c>
      <c r="H36">
        <f>IF(Klantgegevens_B!H35&lt;&gt;"", Klantgegevens_B!H35, Klantgegevens_A!I35)</f>
        <v>26</v>
      </c>
      <c r="I36" t="str">
        <f>IF(Klantgegevens_B!I35&lt;&gt;"", Klantgegevens_B!I35, SWITCH(Klantgegevens_A!J35, "Zelden", 1, "Af en toe", 4, "Regelmatig", 8, "Vaak", 12))</f>
        <v>Bancontact</v>
      </c>
      <c r="J36" t="str">
        <f>IF(Klantgegevens_B!J35&lt;&gt;"", Klantgegevens_B!J35, Klantgegevens_A!K35)</f>
        <v>ja</v>
      </c>
      <c r="K36">
        <f>IF(Klantgegevens_B!K35&lt;&gt;"", AVERAGE(--(Klantgegevens_B!K35="ja"), --(Klantgegevens_B!L35="ja"), --(Klantgegevens_B!M35="ja"), --(Klantgegevens_B!N35="ja"), --(Klantgegevens_B!O35="ja"))*10, Klantgegevens_A!L35)</f>
        <v>8</v>
      </c>
      <c r="L36" t="str">
        <f>IF(Klantgegevens_B!K35&lt;&gt;"", Klantgegevens_B!K35, IF(Klantgegevens_A!L35&gt;=7, "ja", "nee"))</f>
        <v>ja</v>
      </c>
      <c r="M36" t="str">
        <f>IF(Klantgegevens_B!L35&lt;&gt;"", Klantgegevens_B!L35, IF(Klantgegevens_A!L35&gt;=7, "ja", "nee"))</f>
        <v>ja</v>
      </c>
      <c r="N36" t="str">
        <f>IF(Klantgegevens_B!M35&lt;&gt;"", Klantgegevens_B!M35, IF(Klantgegevens_A!L35&gt;=7, "ja", "nee"))</f>
        <v>ja</v>
      </c>
      <c r="O36" t="str">
        <f>IF(Klantgegevens_B!N35&lt;&gt;"", Klantgegevens_B!N35, IF(Klantgegevens_A!L35&gt;=7, "ja", "nee"))</f>
        <v>ja</v>
      </c>
      <c r="P36" t="str">
        <f>IF(Klantgegevens_B!O35&lt;&gt;"", Klantgegevens_B!O35, IF(Klantgegevens_A!L35&gt;=7, "ja", "nee"))</f>
        <v>Vegetarisch</v>
      </c>
      <c r="Q36" t="str">
        <f>IF(Klantgegevens_B!P35&lt;&gt;"", Klantgegevens_B!P35, Klantgegevens_A!M35)</f>
        <v>Geen dieet</v>
      </c>
      <c r="R36" t="str">
        <f>IF(Klantgegevens_B!A35&lt;&gt;"", "B", "A")</f>
        <v>B</v>
      </c>
    </row>
    <row r="37" spans="1:18" x14ac:dyDescent="0.3">
      <c r="A37" t="str">
        <f>IF(Klantgegevens_B!A36&lt;&gt;"", Klantgegevens_B!A36, MID(Klantgegevens_A!A36, FIND(",", Klantgegevens_A!A36)+2, LEN(Klantgegevens_A!A36)))</f>
        <v>Kato</v>
      </c>
      <c r="B37" t="str">
        <f>IF(Klantgegevens_B!B36&lt;&gt;"", Klantgegevens_B!B36, LEFT(Klantgegevens_A!A36, FIND(",", Klantgegevens_A!A36)-1))</f>
        <v>De jonghe</v>
      </c>
      <c r="C37" t="str">
        <f t="shared" ca="1" si="0"/>
        <v/>
      </c>
      <c r="D37" t="str">
        <f>IF(Klantgegevens_B!F36&lt;&gt;"", Klantgegevens_B!F36, Klantgegevens_A!D36 &amp; " " &amp; Klantgegevens_A!E36 &amp; ", " &amp; Klantgegevens_A!F36)</f>
        <v>Kato,Pierre</v>
      </c>
      <c r="E37">
        <f>IF(Klantgegevens_B!G36&lt;&gt;"", Klantgegevens_B!G36, TEXTJOIN(",", TRUE, REPT("Volwassene,", Klantgegevens_A!G36), REPT("Kind,", Klantgegevens_A!H36)))</f>
        <v>35.83</v>
      </c>
      <c r="F37">
        <f>IF(Klantgegevens_B!G36&lt;&gt;"", LEN(Klantgegevens_B!G36)-LEN(SUBSTITUTE(Klantgegevens_B!G36, ",", ""))+1, Klantgegevens_A!G36)</f>
        <v>1</v>
      </c>
      <c r="G37">
        <f>IF(Klantgegevens_B!G36&lt;&gt;"", 0, Klantgegevens_A!H36)</f>
        <v>0</v>
      </c>
      <c r="H37">
        <f>IF(Klantgegevens_B!H36&lt;&gt;"", Klantgegevens_B!H36, Klantgegevens_A!I36)</f>
        <v>11</v>
      </c>
      <c r="I37" t="str">
        <f>IF(Klantgegevens_B!I36&lt;&gt;"", Klantgegevens_B!I36, SWITCH(Klantgegevens_A!J36, "Zelden", 1, "Af en toe", 4, "Regelmatig", 8, "Vaak", 12))</f>
        <v>Cash</v>
      </c>
      <c r="J37" t="str">
        <f>IF(Klantgegevens_B!J36&lt;&gt;"", Klantgegevens_B!J36, Klantgegevens_A!K36)</f>
        <v>ja</v>
      </c>
      <c r="K37">
        <f>IF(Klantgegevens_B!K36&lt;&gt;"", AVERAGE(--(Klantgegevens_B!K36="ja"), --(Klantgegevens_B!L36="ja"), --(Klantgegevens_B!M36="ja"), --(Klantgegevens_B!N36="ja"), --(Klantgegevens_B!O36="ja"))*10, Klantgegevens_A!L36)</f>
        <v>4</v>
      </c>
      <c r="L37" t="str">
        <f>IF(Klantgegevens_B!K36&lt;&gt;"", Klantgegevens_B!K36, IF(Klantgegevens_A!L36&gt;=7, "ja", "nee"))</f>
        <v>ja</v>
      </c>
      <c r="M37" t="str">
        <f>IF(Klantgegevens_B!L36&lt;&gt;"", Klantgegevens_B!L36, IF(Klantgegevens_A!L36&gt;=7, "ja", "nee"))</f>
        <v>ja</v>
      </c>
      <c r="N37" t="str">
        <f>IF(Klantgegevens_B!M36&lt;&gt;"", Klantgegevens_B!M36, IF(Klantgegevens_A!L36&gt;=7, "ja", "nee"))</f>
        <v>nee</v>
      </c>
      <c r="O37" t="str">
        <f>IF(Klantgegevens_B!N36&lt;&gt;"", Klantgegevens_B!N36, IF(Klantgegevens_A!L36&gt;=7, "ja", "nee"))</f>
        <v>nee</v>
      </c>
      <c r="P37" t="str">
        <f>IF(Klantgegevens_B!O36&lt;&gt;"", Klantgegevens_B!O36, IF(Klantgegevens_A!L36&gt;=7, "ja", "nee"))</f>
        <v>Geen dieet</v>
      </c>
      <c r="Q37" t="str">
        <f>IF(Klantgegevens_B!P36&lt;&gt;"", Klantgegevens_B!P36, Klantgegevens_A!M36)</f>
        <v>Vegetarisch</v>
      </c>
      <c r="R37" t="str">
        <f>IF(Klantgegevens_B!A36&lt;&gt;"", "B", "A")</f>
        <v>B</v>
      </c>
    </row>
    <row r="38" spans="1:18" x14ac:dyDescent="0.3">
      <c r="A38" t="str">
        <f>IF(Klantgegevens_B!A37&lt;&gt;"", Klantgegevens_B!A37, MID(Klantgegevens_A!A37, FIND(",", Klantgegevens_A!A37)+2, LEN(Klantgegevens_A!A37)))</f>
        <v>Salim</v>
      </c>
      <c r="B38" t="str">
        <f>IF(Klantgegevens_B!B37&lt;&gt;"", Klantgegevens_B!B37, LEFT(Klantgegevens_A!A37, FIND(",", Klantgegevens_A!A37)-1))</f>
        <v>De vos</v>
      </c>
      <c r="C38" t="str">
        <f t="shared" ca="1" si="0"/>
        <v/>
      </c>
      <c r="D38" t="str">
        <f>IF(Klantgegevens_B!F37&lt;&gt;"", Klantgegevens_B!F37, Klantgegevens_A!D37 &amp; " " &amp; Klantgegevens_A!E37 &amp; ", " &amp; Klantgegevens_A!F37)</f>
        <v>Salim,Eva</v>
      </c>
      <c r="E38">
        <f>IF(Klantgegevens_B!G37&lt;&gt;"", Klantgegevens_B!G37, TEXTJOIN(",", TRUE, REPT("Volwassene,", Klantgegevens_A!G37), REPT("Kind,", Klantgegevens_A!H37)))</f>
        <v>187.81</v>
      </c>
      <c r="F38">
        <f>IF(Klantgegevens_B!G37&lt;&gt;"", LEN(Klantgegevens_B!G37)-LEN(SUBSTITUTE(Klantgegevens_B!G37, ",", ""))+1, Klantgegevens_A!G37)</f>
        <v>1</v>
      </c>
      <c r="G38">
        <f>IF(Klantgegevens_B!G37&lt;&gt;"", 0, Klantgegevens_A!H37)</f>
        <v>0</v>
      </c>
      <c r="H38">
        <f>IF(Klantgegevens_B!H37&lt;&gt;"", Klantgegevens_B!H37, Klantgegevens_A!I37)</f>
        <v>10</v>
      </c>
      <c r="I38" t="str">
        <f>IF(Klantgegevens_B!I37&lt;&gt;"", Klantgegevens_B!I37, SWITCH(Klantgegevens_A!J37, "Zelden", 1, "Af en toe", 4, "Regelmatig", 8, "Vaak", 12))</f>
        <v>Bancontact</v>
      </c>
      <c r="J38" t="str">
        <f>IF(Klantgegevens_B!J37&lt;&gt;"", Klantgegevens_B!J37, Klantgegevens_A!K37)</f>
        <v>ja</v>
      </c>
      <c r="K38">
        <f>IF(Klantgegevens_B!K37&lt;&gt;"", AVERAGE(--(Klantgegevens_B!K37="ja"), --(Klantgegevens_B!L37="ja"), --(Klantgegevens_B!M37="ja"), --(Klantgegevens_B!N37="ja"), --(Klantgegevens_B!O37="ja"))*10, Klantgegevens_A!L37)</f>
        <v>8</v>
      </c>
      <c r="L38" t="str">
        <f>IF(Klantgegevens_B!K37&lt;&gt;"", Klantgegevens_B!K37, IF(Klantgegevens_A!L37&gt;=7, "ja", "nee"))</f>
        <v>ja</v>
      </c>
      <c r="M38" t="str">
        <f>IF(Klantgegevens_B!L37&lt;&gt;"", Klantgegevens_B!L37, IF(Klantgegevens_A!L37&gt;=7, "ja", "nee"))</f>
        <v>ja</v>
      </c>
      <c r="N38" t="str">
        <f>IF(Klantgegevens_B!M37&lt;&gt;"", Klantgegevens_B!M37, IF(Klantgegevens_A!L37&gt;=7, "ja", "nee"))</f>
        <v>ja</v>
      </c>
      <c r="O38" t="str">
        <f>IF(Klantgegevens_B!N37&lt;&gt;"", Klantgegevens_B!N37, IF(Klantgegevens_A!L37&gt;=7, "ja", "nee"))</f>
        <v>ja</v>
      </c>
      <c r="P38" t="str">
        <f>IF(Klantgegevens_B!O37&lt;&gt;"", Klantgegevens_B!O37, IF(Klantgegevens_A!L37&gt;=7, "ja", "nee"))</f>
        <v>Geen dieet</v>
      </c>
      <c r="Q38" t="str">
        <f>IF(Klantgegevens_B!P37&lt;&gt;"", Klantgegevens_B!P37, Klantgegevens_A!M37)</f>
        <v>Geen dieet</v>
      </c>
      <c r="R38" t="str">
        <f>IF(Klantgegevens_B!A37&lt;&gt;"", "B", "A")</f>
        <v>B</v>
      </c>
    </row>
    <row r="39" spans="1:18" x14ac:dyDescent="0.3">
      <c r="A39" t="str">
        <f>IF(Klantgegevens_B!A38&lt;&gt;"", Klantgegevens_B!A38, MID(Klantgegevens_A!A38, FIND(",", Klantgegevens_A!A38)+2, LEN(Klantgegevens_A!A38)))</f>
        <v>Stéphane</v>
      </c>
      <c r="B39" t="str">
        <f>IF(Klantgegevens_B!B38&lt;&gt;"", Klantgegevens_B!B38, LEFT(Klantgegevens_A!A38, FIND(",", Klantgegevens_A!A38)-1))</f>
        <v>Eeckhout</v>
      </c>
      <c r="C39" t="str">
        <f t="shared" ca="1" si="0"/>
        <v/>
      </c>
      <c r="D39" t="str">
        <f>IF(Klantgegevens_B!F38&lt;&gt;"", Klantgegevens_B!F38, Klantgegevens_A!D38 &amp; " " &amp; Klantgegevens_A!E38 &amp; ", " &amp; Klantgegevens_A!F38)</f>
        <v>Stéphane,Laudine,Frans,Maaika</v>
      </c>
      <c r="E39">
        <f>IF(Klantgegevens_B!G38&lt;&gt;"", Klantgegevens_B!G38, TEXTJOIN(",", TRUE, REPT("Volwassene,", Klantgegevens_A!G38), REPT("Kind,", Klantgegevens_A!H38)))</f>
        <v>165.65</v>
      </c>
      <c r="F39">
        <f>IF(Klantgegevens_B!G38&lt;&gt;"", LEN(Klantgegevens_B!G38)-LEN(SUBSTITUTE(Klantgegevens_B!G38, ",", ""))+1, Klantgegevens_A!G38)</f>
        <v>1</v>
      </c>
      <c r="G39">
        <f>IF(Klantgegevens_B!G38&lt;&gt;"", 0, Klantgegevens_A!H38)</f>
        <v>0</v>
      </c>
      <c r="H39">
        <f>IF(Klantgegevens_B!H38&lt;&gt;"", Klantgegevens_B!H38, Klantgegevens_A!I38)</f>
        <v>1</v>
      </c>
      <c r="I39" t="str">
        <f>IF(Klantgegevens_B!I38&lt;&gt;"", Klantgegevens_B!I38, SWITCH(Klantgegevens_A!J38, "Zelden", 1, "Af en toe", 4, "Regelmatig", 8, "Vaak", 12))</f>
        <v>Bancontact</v>
      </c>
      <c r="J39" t="str">
        <f>IF(Klantgegevens_B!J38&lt;&gt;"", Klantgegevens_B!J38, Klantgegevens_A!K38)</f>
        <v>ja</v>
      </c>
      <c r="K39">
        <f>IF(Klantgegevens_B!K38&lt;&gt;"", AVERAGE(--(Klantgegevens_B!K38="ja"), --(Klantgegevens_B!L38="ja"), --(Klantgegevens_B!M38="ja"), --(Klantgegevens_B!N38="ja"), --(Klantgegevens_B!O38="ja"))*10, Klantgegevens_A!L38)</f>
        <v>8</v>
      </c>
      <c r="L39" t="str">
        <f>IF(Klantgegevens_B!K38&lt;&gt;"", Klantgegevens_B!K38, IF(Klantgegevens_A!L38&gt;=7, "ja", "nee"))</f>
        <v>ja</v>
      </c>
      <c r="M39" t="str">
        <f>IF(Klantgegevens_B!L38&lt;&gt;"", Klantgegevens_B!L38, IF(Klantgegevens_A!L38&gt;=7, "ja", "nee"))</f>
        <v>ja</v>
      </c>
      <c r="N39" t="str">
        <f>IF(Klantgegevens_B!M38&lt;&gt;"", Klantgegevens_B!M38, IF(Klantgegevens_A!L38&gt;=7, "ja", "nee"))</f>
        <v>ja</v>
      </c>
      <c r="O39" t="str">
        <f>IF(Klantgegevens_B!N38&lt;&gt;"", Klantgegevens_B!N38, IF(Klantgegevens_A!L38&gt;=7, "ja", "nee"))</f>
        <v>ja</v>
      </c>
      <c r="P39" t="str">
        <f>IF(Klantgegevens_B!O38&lt;&gt;"", Klantgegevens_B!O38, IF(Klantgegevens_A!L38&gt;=7, "ja", "nee"))</f>
        <v>Geen dieet</v>
      </c>
      <c r="Q39" t="str">
        <f>IF(Klantgegevens_B!P38&lt;&gt;"", Klantgegevens_B!P38, Klantgegevens_A!M38)</f>
        <v>Veganistisch</v>
      </c>
      <c r="R39" t="str">
        <f>IF(Klantgegevens_B!A38&lt;&gt;"", "B", "A")</f>
        <v>B</v>
      </c>
    </row>
    <row r="40" spans="1:18" x14ac:dyDescent="0.3">
      <c r="A40" t="str">
        <f>IF(Klantgegevens_B!A39&lt;&gt;"", Klantgegevens_B!A39, MID(Klantgegevens_A!A39, FIND(",", Klantgegevens_A!A39)+2, LEN(Klantgegevens_A!A39)))</f>
        <v>Nicolaus</v>
      </c>
      <c r="B40" t="str">
        <f>IF(Klantgegevens_B!B39&lt;&gt;"", Klantgegevens_B!B39, LEFT(Klantgegevens_A!A39, FIND(",", Klantgegevens_A!A39)-1))</f>
        <v>Somers</v>
      </c>
      <c r="C40" t="str">
        <f t="shared" ca="1" si="0"/>
        <v/>
      </c>
      <c r="D40" t="str">
        <f>IF(Klantgegevens_B!F39&lt;&gt;"", Klantgegevens_B!F39, Klantgegevens_A!D39 &amp; " " &amp; Klantgegevens_A!E39 &amp; ", " &amp; Klantgegevens_A!F39)</f>
        <v>Nicolaus,Jetty,Dieter,Boris</v>
      </c>
      <c r="E40">
        <f>IF(Klantgegevens_B!G39&lt;&gt;"", Klantgegevens_B!G39, TEXTJOIN(",", TRUE, REPT("Volwassene,", Klantgegevens_A!G39), REPT("Kind,", Klantgegevens_A!H39)))</f>
        <v>169.31</v>
      </c>
      <c r="F40">
        <f>IF(Klantgegevens_B!G39&lt;&gt;"", LEN(Klantgegevens_B!G39)-LEN(SUBSTITUTE(Klantgegevens_B!G39, ",", ""))+1, Klantgegevens_A!G39)</f>
        <v>1</v>
      </c>
      <c r="G40">
        <f>IF(Klantgegevens_B!G39&lt;&gt;"", 0, Klantgegevens_A!H39)</f>
        <v>0</v>
      </c>
      <c r="H40">
        <f>IF(Klantgegevens_B!H39&lt;&gt;"", Klantgegevens_B!H39, Klantgegevens_A!I39)</f>
        <v>5</v>
      </c>
      <c r="I40" t="str">
        <f>IF(Klantgegevens_B!I39&lt;&gt;"", Klantgegevens_B!I39, SWITCH(Klantgegevens_A!J39, "Zelden", 1, "Af en toe", 4, "Regelmatig", 8, "Vaak", 12))</f>
        <v>Cash</v>
      </c>
      <c r="J40" t="str">
        <f>IF(Klantgegevens_B!J39&lt;&gt;"", Klantgegevens_B!J39, Klantgegevens_A!K39)</f>
        <v>ja</v>
      </c>
      <c r="K40">
        <f>IF(Klantgegevens_B!K39&lt;&gt;"", AVERAGE(--(Klantgegevens_B!K39="ja"), --(Klantgegevens_B!L39="ja"), --(Klantgegevens_B!M39="ja"), --(Klantgegevens_B!N39="ja"), --(Klantgegevens_B!O39="ja"))*10, Klantgegevens_A!L39)</f>
        <v>8</v>
      </c>
      <c r="L40" t="str">
        <f>IF(Klantgegevens_B!K39&lt;&gt;"", Klantgegevens_B!K39, IF(Klantgegevens_A!L39&gt;=7, "ja", "nee"))</f>
        <v>ja</v>
      </c>
      <c r="M40" t="str">
        <f>IF(Klantgegevens_B!L39&lt;&gt;"", Klantgegevens_B!L39, IF(Klantgegevens_A!L39&gt;=7, "ja", "nee"))</f>
        <v>ja</v>
      </c>
      <c r="N40" t="str">
        <f>IF(Klantgegevens_B!M39&lt;&gt;"", Klantgegevens_B!M39, IF(Klantgegevens_A!L39&gt;=7, "ja", "nee"))</f>
        <v>ja</v>
      </c>
      <c r="O40" t="str">
        <f>IF(Klantgegevens_B!N39&lt;&gt;"", Klantgegevens_B!N39, IF(Klantgegevens_A!L39&gt;=7, "ja", "nee"))</f>
        <v>ja</v>
      </c>
      <c r="P40" t="str">
        <f>IF(Klantgegevens_B!O39&lt;&gt;"", Klantgegevens_B!O39, IF(Klantgegevens_A!L39&gt;=7, "ja", "nee"))</f>
        <v>Geen dieet</v>
      </c>
      <c r="Q40" t="str">
        <f>IF(Klantgegevens_B!P39&lt;&gt;"", Klantgegevens_B!P39, Klantgegevens_A!M39)</f>
        <v>Geen dieet</v>
      </c>
      <c r="R40" t="str">
        <f>IF(Klantgegevens_B!A39&lt;&gt;"", "B", "A")</f>
        <v>B</v>
      </c>
    </row>
    <row r="41" spans="1:18" x14ac:dyDescent="0.3">
      <c r="A41" t="str">
        <f>IF(Klantgegevens_B!A40&lt;&gt;"", Klantgegevens_B!A40, MID(Klantgegevens_A!A40, FIND(",", Klantgegevens_A!A40)+2, LEN(Klantgegevens_A!A40)))</f>
        <v>Maarten</v>
      </c>
      <c r="B41" t="str">
        <f>IF(Klantgegevens_B!B40&lt;&gt;"", Klantgegevens_B!B40, LEFT(Klantgegevens_A!A40, FIND(",", Klantgegevens_A!A40)-1))</f>
        <v>Wouters</v>
      </c>
      <c r="C41" t="str">
        <f t="shared" ca="1" si="0"/>
        <v/>
      </c>
      <c r="D41" t="str">
        <f>IF(Klantgegevens_B!F40&lt;&gt;"", Klantgegevens_B!F40, Klantgegevens_A!D40 &amp; " " &amp; Klantgegevens_A!E40 &amp; ", " &amp; Klantgegevens_A!F40)</f>
        <v>Maarten,Leonardo</v>
      </c>
      <c r="E41">
        <f>IF(Klantgegevens_B!G40&lt;&gt;"", Klantgegevens_B!G40, TEXTJOIN(",", TRUE, REPT("Volwassene,", Klantgegevens_A!G40), REPT("Kind,", Klantgegevens_A!H40)))</f>
        <v>133.4</v>
      </c>
      <c r="F41">
        <f>IF(Klantgegevens_B!G40&lt;&gt;"", LEN(Klantgegevens_B!G40)-LEN(SUBSTITUTE(Klantgegevens_B!G40, ",", ""))+1, Klantgegevens_A!G40)</f>
        <v>1</v>
      </c>
      <c r="G41">
        <f>IF(Klantgegevens_B!G40&lt;&gt;"", 0, Klantgegevens_A!H40)</f>
        <v>0</v>
      </c>
      <c r="H41">
        <f>IF(Klantgegevens_B!H40&lt;&gt;"", Klantgegevens_B!H40, Klantgegevens_A!I40)</f>
        <v>3</v>
      </c>
      <c r="I41" t="str">
        <f>IF(Klantgegevens_B!I40&lt;&gt;"", Klantgegevens_B!I40, SWITCH(Klantgegevens_A!J40, "Zelden", 1, "Af en toe", 4, "Regelmatig", 8, "Vaak", 12))</f>
        <v>Payconiq</v>
      </c>
      <c r="J41" t="str">
        <f>IF(Klantgegevens_B!J40&lt;&gt;"", Klantgegevens_B!J40, Klantgegevens_A!K40)</f>
        <v>ja</v>
      </c>
      <c r="K41">
        <f>IF(Klantgegevens_B!K40&lt;&gt;"", AVERAGE(--(Klantgegevens_B!K40="ja"), --(Klantgegevens_B!L40="ja"), --(Klantgegevens_B!M40="ja"), --(Klantgegevens_B!N40="ja"), --(Klantgegevens_B!O40="ja"))*10, Klantgegevens_A!L40)</f>
        <v>2</v>
      </c>
      <c r="L41" t="str">
        <f>IF(Klantgegevens_B!K40&lt;&gt;"", Klantgegevens_B!K40, IF(Klantgegevens_A!L40&gt;=7, "ja", "nee"))</f>
        <v>nee</v>
      </c>
      <c r="M41" t="str">
        <f>IF(Klantgegevens_B!L40&lt;&gt;"", Klantgegevens_B!L40, IF(Klantgegevens_A!L40&gt;=7, "ja", "nee"))</f>
        <v>nee</v>
      </c>
      <c r="N41" t="str">
        <f>IF(Klantgegevens_B!M40&lt;&gt;"", Klantgegevens_B!M40, IF(Klantgegevens_A!L40&gt;=7, "ja", "nee"))</f>
        <v>nee</v>
      </c>
      <c r="O41" t="str">
        <f>IF(Klantgegevens_B!N40&lt;&gt;"", Klantgegevens_B!N40, IF(Klantgegevens_A!L40&gt;=7, "ja", "nee"))</f>
        <v>ja</v>
      </c>
      <c r="P41" t="str">
        <f>IF(Klantgegevens_B!O40&lt;&gt;"", Klantgegevens_B!O40, IF(Klantgegevens_A!L40&gt;=7, "ja", "nee"))</f>
        <v>Veganistisch</v>
      </c>
      <c r="Q41" t="str">
        <f>IF(Klantgegevens_B!P40&lt;&gt;"", Klantgegevens_B!P40, Klantgegevens_A!M40)</f>
        <v>Geen dieet</v>
      </c>
      <c r="R41" t="str">
        <f>IF(Klantgegevens_B!A40&lt;&gt;"", "B", "A")</f>
        <v>B</v>
      </c>
    </row>
    <row r="42" spans="1:18" x14ac:dyDescent="0.3">
      <c r="A42" t="str">
        <f>IF(Klantgegevens_B!A41&lt;&gt;"", Klantgegevens_B!A41, MID(Klantgegevens_A!A41, FIND(",", Klantgegevens_A!A41)+2, LEN(Klantgegevens_A!A41)))</f>
        <v>Gerda</v>
      </c>
      <c r="B42" t="str">
        <f>IF(Klantgegevens_B!B41&lt;&gt;"", Klantgegevens_B!B41, LEFT(Klantgegevens_A!A41, FIND(",", Klantgegevens_A!A41)-1))</f>
        <v>Maes</v>
      </c>
      <c r="C42" t="str">
        <f t="shared" ca="1" si="0"/>
        <v/>
      </c>
      <c r="D42" t="str">
        <f>IF(Klantgegevens_B!F41&lt;&gt;"", Klantgegevens_B!F41, Klantgegevens_A!D41 &amp; " " &amp; Klantgegevens_A!E41 &amp; ", " &amp; Klantgegevens_A!F41)</f>
        <v>Gerda,Cindy</v>
      </c>
      <c r="E42">
        <f>IF(Klantgegevens_B!G41&lt;&gt;"", Klantgegevens_B!G41, TEXTJOIN(",", TRUE, REPT("Volwassene,", Klantgegevens_A!G41), REPT("Kind,", Klantgegevens_A!H41)))</f>
        <v>75.28</v>
      </c>
      <c r="F42">
        <f>IF(Klantgegevens_B!G41&lt;&gt;"", LEN(Klantgegevens_B!G41)-LEN(SUBSTITUTE(Klantgegevens_B!G41, ",", ""))+1, Klantgegevens_A!G41)</f>
        <v>1</v>
      </c>
      <c r="G42">
        <f>IF(Klantgegevens_B!G41&lt;&gt;"", 0, Klantgegevens_A!H41)</f>
        <v>0</v>
      </c>
      <c r="H42">
        <f>IF(Klantgegevens_B!H41&lt;&gt;"", Klantgegevens_B!H41, Klantgegevens_A!I41)</f>
        <v>8</v>
      </c>
      <c r="I42" t="str">
        <f>IF(Klantgegevens_B!I41&lt;&gt;"", Klantgegevens_B!I41, SWITCH(Klantgegevens_A!J41, "Zelden", 1, "Af en toe", 4, "Regelmatig", 8, "Vaak", 12))</f>
        <v>Payconiq</v>
      </c>
      <c r="J42" t="str">
        <f>IF(Klantgegevens_B!J41&lt;&gt;"", Klantgegevens_B!J41, Klantgegevens_A!K41)</f>
        <v>ja</v>
      </c>
      <c r="K42">
        <f>IF(Klantgegevens_B!K41&lt;&gt;"", AVERAGE(--(Klantgegevens_B!K41="ja"), --(Klantgegevens_B!L41="ja"), --(Klantgegevens_B!M41="ja"), --(Klantgegevens_B!N41="ja"), --(Klantgegevens_B!O41="ja"))*10, Klantgegevens_A!L41)</f>
        <v>6</v>
      </c>
      <c r="L42" t="str">
        <f>IF(Klantgegevens_B!K41&lt;&gt;"", Klantgegevens_B!K41, IF(Klantgegevens_A!L41&gt;=7, "ja", "nee"))</f>
        <v>ja</v>
      </c>
      <c r="M42" t="str">
        <f>IF(Klantgegevens_B!L41&lt;&gt;"", Klantgegevens_B!L41, IF(Klantgegevens_A!L41&gt;=7, "ja", "nee"))</f>
        <v>ja</v>
      </c>
      <c r="N42" t="str">
        <f>IF(Klantgegevens_B!M41&lt;&gt;"", Klantgegevens_B!M41, IF(Klantgegevens_A!L41&gt;=7, "ja", "nee"))</f>
        <v>ja</v>
      </c>
      <c r="O42" t="str">
        <f>IF(Klantgegevens_B!N41&lt;&gt;"", Klantgegevens_B!N41, IF(Klantgegevens_A!L41&gt;=7, "ja", "nee"))</f>
        <v>nee</v>
      </c>
      <c r="P42" t="str">
        <f>IF(Klantgegevens_B!O41&lt;&gt;"", Klantgegevens_B!O41, IF(Klantgegevens_A!L41&gt;=7, "ja", "nee"))</f>
        <v>Vegetarisch</v>
      </c>
      <c r="Q42" t="str">
        <f>IF(Klantgegevens_B!P41&lt;&gt;"", Klantgegevens_B!P41, Klantgegevens_A!M41)</f>
        <v>Geen dieet</v>
      </c>
      <c r="R42" t="str">
        <f>IF(Klantgegevens_B!A41&lt;&gt;"", "B", "A")</f>
        <v>B</v>
      </c>
    </row>
    <row r="43" spans="1:18" x14ac:dyDescent="0.3">
      <c r="A43" t="str">
        <f>IF(Klantgegevens_B!A42&lt;&gt;"", Klantgegevens_B!A42, MID(Klantgegevens_A!A42, FIND(",", Klantgegevens_A!A42)+2, LEN(Klantgegevens_A!A42)))</f>
        <v>Soufiane</v>
      </c>
      <c r="B43" t="str">
        <f>IF(Klantgegevens_B!B42&lt;&gt;"", Klantgegevens_B!B42, LEFT(Klantgegevens_A!A42, FIND(",", Klantgegevens_A!A42)-1))</f>
        <v>Aerts</v>
      </c>
      <c r="C43" t="str">
        <f t="shared" ca="1" si="0"/>
        <v/>
      </c>
      <c r="D43" t="str">
        <f>IF(Klantgegevens_B!F42&lt;&gt;"", Klantgegevens_B!F42, Klantgegevens_A!D42 &amp; " " &amp; Klantgegevens_A!E42 &amp; ", " &amp; Klantgegevens_A!F42)</f>
        <v>Soufiane,Yasmine,Paolino</v>
      </c>
      <c r="E43">
        <f>IF(Klantgegevens_B!G42&lt;&gt;"", Klantgegevens_B!G42, TEXTJOIN(",", TRUE, REPT("Volwassene,", Klantgegevens_A!G42), REPT("Kind,", Klantgegevens_A!H42)))</f>
        <v>158.52000000000001</v>
      </c>
      <c r="F43">
        <f>IF(Klantgegevens_B!G42&lt;&gt;"", LEN(Klantgegevens_B!G42)-LEN(SUBSTITUTE(Klantgegevens_B!G42, ",", ""))+1, Klantgegevens_A!G42)</f>
        <v>1</v>
      </c>
      <c r="G43">
        <f>IF(Klantgegevens_B!G42&lt;&gt;"", 0, Klantgegevens_A!H42)</f>
        <v>0</v>
      </c>
      <c r="H43">
        <f>IF(Klantgegevens_B!H42&lt;&gt;"", Klantgegevens_B!H42, Klantgegevens_A!I42)</f>
        <v>2</v>
      </c>
      <c r="I43" t="str">
        <f>IF(Klantgegevens_B!I42&lt;&gt;"", Klantgegevens_B!I42, SWITCH(Klantgegevens_A!J42, "Zelden", 1, "Af en toe", 4, "Regelmatig", 8, "Vaak", 12))</f>
        <v>Bancontact</v>
      </c>
      <c r="J43" t="str">
        <f>IF(Klantgegevens_B!J42&lt;&gt;"", Klantgegevens_B!J42, Klantgegevens_A!K42)</f>
        <v>nee</v>
      </c>
      <c r="K43">
        <f>IF(Klantgegevens_B!K42&lt;&gt;"", AVERAGE(--(Klantgegevens_B!K42="ja"), --(Klantgegevens_B!L42="ja"), --(Klantgegevens_B!M42="ja"), --(Klantgegevens_B!N42="ja"), --(Klantgegevens_B!O42="ja"))*10, Klantgegevens_A!L42)</f>
        <v>8</v>
      </c>
      <c r="L43" t="str">
        <f>IF(Klantgegevens_B!K42&lt;&gt;"", Klantgegevens_B!K42, IF(Klantgegevens_A!L42&gt;=7, "ja", "nee"))</f>
        <v>ja</v>
      </c>
      <c r="M43" t="str">
        <f>IF(Klantgegevens_B!L42&lt;&gt;"", Klantgegevens_B!L42, IF(Klantgegevens_A!L42&gt;=7, "ja", "nee"))</f>
        <v>ja</v>
      </c>
      <c r="N43" t="str">
        <f>IF(Klantgegevens_B!M42&lt;&gt;"", Klantgegevens_B!M42, IF(Klantgegevens_A!L42&gt;=7, "ja", "nee"))</f>
        <v>ja</v>
      </c>
      <c r="O43" t="str">
        <f>IF(Klantgegevens_B!N42&lt;&gt;"", Klantgegevens_B!N42, IF(Klantgegevens_A!L42&gt;=7, "ja", "nee"))</f>
        <v>ja</v>
      </c>
      <c r="P43" t="str">
        <f>IF(Klantgegevens_B!O42&lt;&gt;"", Klantgegevens_B!O42, IF(Klantgegevens_A!L42&gt;=7, "ja", "nee"))</f>
        <v>Vegetarisch</v>
      </c>
      <c r="Q43" t="str">
        <f>IF(Klantgegevens_B!P42&lt;&gt;"", Klantgegevens_B!P42, Klantgegevens_A!M42)</f>
        <v>Geen dieet</v>
      </c>
      <c r="R43" t="str">
        <f>IF(Klantgegevens_B!A42&lt;&gt;"", "B", "A")</f>
        <v>B</v>
      </c>
    </row>
    <row r="44" spans="1:18" x14ac:dyDescent="0.3">
      <c r="A44" t="str">
        <f>IF(Klantgegevens_B!A43&lt;&gt;"", Klantgegevens_B!A43, MID(Klantgegevens_A!A43, FIND(",", Klantgegevens_A!A43)+2, LEN(Klantgegevens_A!A43)))</f>
        <v>Maria</v>
      </c>
      <c r="B44" t="str">
        <f>IF(Klantgegevens_B!B43&lt;&gt;"", Klantgegevens_B!B43, LEFT(Klantgegevens_A!A43, FIND(",", Klantgegevens_A!A43)-1))</f>
        <v>Henry</v>
      </c>
      <c r="C44" t="str">
        <f t="shared" ca="1" si="0"/>
        <v/>
      </c>
      <c r="D44" t="str">
        <f>IF(Klantgegevens_B!F43&lt;&gt;"", Klantgegevens_B!F43, Klantgegevens_A!D43 &amp; " " &amp; Klantgegevens_A!E43 &amp; ", " &amp; Klantgegevens_A!F43)</f>
        <v>Maria,Regina,Maria-Pia</v>
      </c>
      <c r="E44">
        <f>IF(Klantgegevens_B!G43&lt;&gt;"", Klantgegevens_B!G43, TEXTJOIN(",", TRUE, REPT("Volwassene,", Klantgegevens_A!G43), REPT("Kind,", Klantgegevens_A!H43)))</f>
        <v>115.1</v>
      </c>
      <c r="F44">
        <f>IF(Klantgegevens_B!G43&lt;&gt;"", LEN(Klantgegevens_B!G43)-LEN(SUBSTITUTE(Klantgegevens_B!G43, ",", ""))+1, Klantgegevens_A!G43)</f>
        <v>1</v>
      </c>
      <c r="G44">
        <f>IF(Klantgegevens_B!G43&lt;&gt;"", 0, Klantgegevens_A!H43)</f>
        <v>0</v>
      </c>
      <c r="H44">
        <f>IF(Klantgegevens_B!H43&lt;&gt;"", Klantgegevens_B!H43, Klantgegevens_A!I43)</f>
        <v>7</v>
      </c>
      <c r="I44" t="str">
        <f>IF(Klantgegevens_B!I43&lt;&gt;"", Klantgegevens_B!I43, SWITCH(Klantgegevens_A!J43, "Zelden", 1, "Af en toe", 4, "Regelmatig", 8, "Vaak", 12))</f>
        <v>Bancontact</v>
      </c>
      <c r="J44" t="str">
        <f>IF(Klantgegevens_B!J43&lt;&gt;"", Klantgegevens_B!J43, Klantgegevens_A!K43)</f>
        <v>ja</v>
      </c>
      <c r="K44">
        <f>IF(Klantgegevens_B!K43&lt;&gt;"", AVERAGE(--(Klantgegevens_B!K43="ja"), --(Klantgegevens_B!L43="ja"), --(Klantgegevens_B!M43="ja"), --(Klantgegevens_B!N43="ja"), --(Klantgegevens_B!O43="ja"))*10, Klantgegevens_A!L43)</f>
        <v>6</v>
      </c>
      <c r="L44" t="str">
        <f>IF(Klantgegevens_B!K43&lt;&gt;"", Klantgegevens_B!K43, IF(Klantgegevens_A!L43&gt;=7, "ja", "nee"))</f>
        <v>ja</v>
      </c>
      <c r="M44" t="str">
        <f>IF(Klantgegevens_B!L43&lt;&gt;"", Klantgegevens_B!L43, IF(Klantgegevens_A!L43&gt;=7, "ja", "nee"))</f>
        <v>ja</v>
      </c>
      <c r="N44" t="str">
        <f>IF(Klantgegevens_B!M43&lt;&gt;"", Klantgegevens_B!M43, IF(Klantgegevens_A!L43&gt;=7, "ja", "nee"))</f>
        <v>ja</v>
      </c>
      <c r="O44" t="str">
        <f>IF(Klantgegevens_B!N43&lt;&gt;"", Klantgegevens_B!N43, IF(Klantgegevens_A!L43&gt;=7, "ja", "nee"))</f>
        <v>nee</v>
      </c>
      <c r="P44" t="str">
        <f>IF(Klantgegevens_B!O43&lt;&gt;"", Klantgegevens_B!O43, IF(Klantgegevens_A!L43&gt;=7, "ja", "nee"))</f>
        <v>Geen dieet</v>
      </c>
      <c r="Q44" t="str">
        <f>IF(Klantgegevens_B!P43&lt;&gt;"", Klantgegevens_B!P43, Klantgegevens_A!M43)</f>
        <v>Geen dieet</v>
      </c>
      <c r="R44" t="str">
        <f>IF(Klantgegevens_B!A43&lt;&gt;"", "B", "A")</f>
        <v>B</v>
      </c>
    </row>
    <row r="45" spans="1:18" x14ac:dyDescent="0.3">
      <c r="A45" t="str">
        <f>IF(Klantgegevens_B!A44&lt;&gt;"", Klantgegevens_B!A44, MID(Klantgegevens_A!A44, FIND(",", Klantgegevens_A!A44)+2, LEN(Klantgegevens_A!A44)))</f>
        <v>Théotime</v>
      </c>
      <c r="B45" t="str">
        <f>IF(Klantgegevens_B!B44&lt;&gt;"", Klantgegevens_B!B44, LEFT(Klantgegevens_A!A44, FIND(",", Klantgegevens_A!A44)-1))</f>
        <v>Diallo</v>
      </c>
      <c r="C45" t="str">
        <f t="shared" ca="1" si="0"/>
        <v/>
      </c>
      <c r="D45" t="str">
        <f>IF(Klantgegevens_B!F44&lt;&gt;"", Klantgegevens_B!F44, Klantgegevens_A!D44 &amp; " " &amp; Klantgegevens_A!E44 &amp; ", " &amp; Klantgegevens_A!F44)</f>
        <v>Théotime,Ingeborg</v>
      </c>
      <c r="E45">
        <f>IF(Klantgegevens_B!G44&lt;&gt;"", Klantgegevens_B!G44, TEXTJOIN(",", TRUE, REPT("Volwassene,", Klantgegevens_A!G44), REPT("Kind,", Klantgegevens_A!H44)))</f>
        <v>105.16</v>
      </c>
      <c r="F45">
        <f>IF(Klantgegevens_B!G44&lt;&gt;"", LEN(Klantgegevens_B!G44)-LEN(SUBSTITUTE(Klantgegevens_B!G44, ",", ""))+1, Klantgegevens_A!G44)</f>
        <v>1</v>
      </c>
      <c r="G45">
        <f>IF(Klantgegevens_B!G44&lt;&gt;"", 0, Klantgegevens_A!H44)</f>
        <v>0</v>
      </c>
      <c r="H45">
        <f>IF(Klantgegevens_B!H44&lt;&gt;"", Klantgegevens_B!H44, Klantgegevens_A!I44)</f>
        <v>6</v>
      </c>
      <c r="I45" t="str">
        <f>IF(Klantgegevens_B!I44&lt;&gt;"", Klantgegevens_B!I44, SWITCH(Klantgegevens_A!J44, "Zelden", 1, "Af en toe", 4, "Regelmatig", 8, "Vaak", 12))</f>
        <v>Payconiq</v>
      </c>
      <c r="J45" t="str">
        <f>IF(Klantgegevens_B!J44&lt;&gt;"", Klantgegevens_B!J44, Klantgegevens_A!K44)</f>
        <v>nee</v>
      </c>
      <c r="K45">
        <f>IF(Klantgegevens_B!K44&lt;&gt;"", AVERAGE(--(Klantgegevens_B!K44="ja"), --(Klantgegevens_B!L44="ja"), --(Klantgegevens_B!M44="ja"), --(Klantgegevens_B!N44="ja"), --(Klantgegevens_B!O44="ja"))*10, Klantgegevens_A!L44)</f>
        <v>8</v>
      </c>
      <c r="L45" t="str">
        <f>IF(Klantgegevens_B!K44&lt;&gt;"", Klantgegevens_B!K44, IF(Klantgegevens_A!L44&gt;=7, "ja", "nee"))</f>
        <v>ja</v>
      </c>
      <c r="M45" t="str">
        <f>IF(Klantgegevens_B!L44&lt;&gt;"", Klantgegevens_B!L44, IF(Klantgegevens_A!L44&gt;=7, "ja", "nee"))</f>
        <v>ja</v>
      </c>
      <c r="N45" t="str">
        <f>IF(Klantgegevens_B!M44&lt;&gt;"", Klantgegevens_B!M44, IF(Klantgegevens_A!L44&gt;=7, "ja", "nee"))</f>
        <v>ja</v>
      </c>
      <c r="O45" t="str">
        <f>IF(Klantgegevens_B!N44&lt;&gt;"", Klantgegevens_B!N44, IF(Klantgegevens_A!L44&gt;=7, "ja", "nee"))</f>
        <v>ja</v>
      </c>
      <c r="P45" t="str">
        <f>IF(Klantgegevens_B!O44&lt;&gt;"", Klantgegevens_B!O44, IF(Klantgegevens_A!L44&gt;=7, "ja", "nee"))</f>
        <v>Vegetarisch</v>
      </c>
      <c r="Q45" t="str">
        <f>IF(Klantgegevens_B!P44&lt;&gt;"", Klantgegevens_B!P44, Klantgegevens_A!M44)</f>
        <v>Geen dieet</v>
      </c>
      <c r="R45" t="str">
        <f>IF(Klantgegevens_B!A44&lt;&gt;"", "B", "A")</f>
        <v>B</v>
      </c>
    </row>
    <row r="46" spans="1:18" x14ac:dyDescent="0.3">
      <c r="A46" t="str">
        <f>IF(Klantgegevens_B!A45&lt;&gt;"", Klantgegevens_B!A45, MID(Klantgegevens_A!A45, FIND(",", Klantgegevens_A!A45)+2, LEN(Klantgegevens_A!A45)))</f>
        <v>Siebe</v>
      </c>
      <c r="B46" t="str">
        <f>IF(Klantgegevens_B!B45&lt;&gt;"", Klantgegevens_B!B45, LEFT(Klantgegevens_A!A45, FIND(",", Klantgegevens_A!A45)-1))</f>
        <v>Devos</v>
      </c>
      <c r="C46" t="str">
        <f t="shared" ca="1" si="0"/>
        <v/>
      </c>
      <c r="D46" t="str">
        <f>IF(Klantgegevens_B!F45&lt;&gt;"", Klantgegevens_B!F45, Klantgegevens_A!D45 &amp; " " &amp; Klantgegevens_A!E45 &amp; ", " &amp; Klantgegevens_A!F45)</f>
        <v>Siebe</v>
      </c>
      <c r="E46">
        <f>IF(Klantgegevens_B!G45&lt;&gt;"", Klantgegevens_B!G45, TEXTJOIN(",", TRUE, REPT("Volwassene,", Klantgegevens_A!G45), REPT("Kind,", Klantgegevens_A!H45)))</f>
        <v>68.56</v>
      </c>
      <c r="F46">
        <f>IF(Klantgegevens_B!G45&lt;&gt;"", LEN(Klantgegevens_B!G45)-LEN(SUBSTITUTE(Klantgegevens_B!G45, ",", ""))+1, Klantgegevens_A!G45)</f>
        <v>1</v>
      </c>
      <c r="G46">
        <f>IF(Klantgegevens_B!G45&lt;&gt;"", 0, Klantgegevens_A!H45)</f>
        <v>0</v>
      </c>
      <c r="H46">
        <f>IF(Klantgegevens_B!H45&lt;&gt;"", Klantgegevens_B!H45, Klantgegevens_A!I45)</f>
        <v>7</v>
      </c>
      <c r="I46" t="str">
        <f>IF(Klantgegevens_B!I45&lt;&gt;"", Klantgegevens_B!I45, SWITCH(Klantgegevens_A!J45, "Zelden", 1, "Af en toe", 4, "Regelmatig", 8, "Vaak", 12))</f>
        <v>Payconiq</v>
      </c>
      <c r="J46" t="str">
        <f>IF(Klantgegevens_B!J45&lt;&gt;"", Klantgegevens_B!J45, Klantgegevens_A!K45)</f>
        <v>nee</v>
      </c>
      <c r="K46">
        <f>IF(Klantgegevens_B!K45&lt;&gt;"", AVERAGE(--(Klantgegevens_B!K45="ja"), --(Klantgegevens_B!L45="ja"), --(Klantgegevens_B!M45="ja"), --(Klantgegevens_B!N45="ja"), --(Klantgegevens_B!O45="ja"))*10, Klantgegevens_A!L45)</f>
        <v>2</v>
      </c>
      <c r="L46" t="str">
        <f>IF(Klantgegevens_B!K45&lt;&gt;"", Klantgegevens_B!K45, IF(Klantgegevens_A!L45&gt;=7, "ja", "nee"))</f>
        <v>nee</v>
      </c>
      <c r="M46" t="str">
        <f>IF(Klantgegevens_B!L45&lt;&gt;"", Klantgegevens_B!L45, IF(Klantgegevens_A!L45&gt;=7, "ja", "nee"))</f>
        <v>nee</v>
      </c>
      <c r="N46" t="str">
        <f>IF(Klantgegevens_B!M45&lt;&gt;"", Klantgegevens_B!M45, IF(Klantgegevens_A!L45&gt;=7, "ja", "nee"))</f>
        <v>nee</v>
      </c>
      <c r="O46" t="str">
        <f>IF(Klantgegevens_B!N45&lt;&gt;"", Klantgegevens_B!N45, IF(Klantgegevens_A!L45&gt;=7, "ja", "nee"))</f>
        <v>ja</v>
      </c>
      <c r="P46" t="str">
        <f>IF(Klantgegevens_B!O45&lt;&gt;"", Klantgegevens_B!O45, IF(Klantgegevens_A!L45&gt;=7, "ja", "nee"))</f>
        <v>Veganistisch</v>
      </c>
      <c r="Q46" t="str">
        <f>IF(Klantgegevens_B!P45&lt;&gt;"", Klantgegevens_B!P45, Klantgegevens_A!M45)</f>
        <v>Geen dieet</v>
      </c>
      <c r="R46" t="str">
        <f>IF(Klantgegevens_B!A45&lt;&gt;"", "B", "A")</f>
        <v>B</v>
      </c>
    </row>
    <row r="47" spans="1:18" x14ac:dyDescent="0.3">
      <c r="A47" t="str">
        <f>IF(Klantgegevens_B!A46&lt;&gt;"", Klantgegevens_B!A46, MID(Klantgegevens_A!A46, FIND(",", Klantgegevens_A!A46)+2, LEN(Klantgegevens_A!A46)))</f>
        <v>Joffrey</v>
      </c>
      <c r="B47" t="str">
        <f>IF(Klantgegevens_B!B46&lt;&gt;"", Klantgegevens_B!B46, LEFT(Klantgegevens_A!A46, FIND(",", Klantgegevens_A!A46)-1))</f>
        <v>Peeters</v>
      </c>
      <c r="C47" t="str">
        <f t="shared" ca="1" si="0"/>
        <v/>
      </c>
      <c r="D47" t="str">
        <f>IF(Klantgegevens_B!F46&lt;&gt;"", Klantgegevens_B!F46, Klantgegevens_A!D46 &amp; " " &amp; Klantgegevens_A!E46 &amp; ", " &amp; Klantgegevens_A!F46)</f>
        <v>Joffrey,Bianca</v>
      </c>
      <c r="E47">
        <f>IF(Klantgegevens_B!G46&lt;&gt;"", Klantgegevens_B!G46, TEXTJOIN(",", TRUE, REPT("Volwassene,", Klantgegevens_A!G46), REPT("Kind,", Klantgegevens_A!H46)))</f>
        <v>67.38</v>
      </c>
      <c r="F47">
        <f>IF(Klantgegevens_B!G46&lt;&gt;"", LEN(Klantgegevens_B!G46)-LEN(SUBSTITUTE(Klantgegevens_B!G46, ",", ""))+1, Klantgegevens_A!G46)</f>
        <v>1</v>
      </c>
      <c r="G47">
        <f>IF(Klantgegevens_B!G46&lt;&gt;"", 0, Klantgegevens_A!H46)</f>
        <v>0</v>
      </c>
      <c r="H47">
        <f>IF(Klantgegevens_B!H46&lt;&gt;"", Klantgegevens_B!H46, Klantgegevens_A!I46)</f>
        <v>14</v>
      </c>
      <c r="I47" t="str">
        <f>IF(Klantgegevens_B!I46&lt;&gt;"", Klantgegevens_B!I46, SWITCH(Klantgegevens_A!J46, "Zelden", 1, "Af en toe", 4, "Regelmatig", 8, "Vaak", 12))</f>
        <v>Bancontact</v>
      </c>
      <c r="J47" t="str">
        <f>IF(Klantgegevens_B!J46&lt;&gt;"", Klantgegevens_B!J46, Klantgegevens_A!K46)</f>
        <v>ja</v>
      </c>
      <c r="K47">
        <f>IF(Klantgegevens_B!K46&lt;&gt;"", AVERAGE(--(Klantgegevens_B!K46="ja"), --(Klantgegevens_B!L46="ja"), --(Klantgegevens_B!M46="ja"), --(Klantgegevens_B!N46="ja"), --(Klantgegevens_B!O46="ja"))*10, Klantgegevens_A!L46)</f>
        <v>6</v>
      </c>
      <c r="L47" t="str">
        <f>IF(Klantgegevens_B!K46&lt;&gt;"", Klantgegevens_B!K46, IF(Klantgegevens_A!L46&gt;=7, "ja", "nee"))</f>
        <v>ja</v>
      </c>
      <c r="M47" t="str">
        <f>IF(Klantgegevens_B!L46&lt;&gt;"", Klantgegevens_B!L46, IF(Klantgegevens_A!L46&gt;=7, "ja", "nee"))</f>
        <v>ja</v>
      </c>
      <c r="N47" t="str">
        <f>IF(Klantgegevens_B!M46&lt;&gt;"", Klantgegevens_B!M46, IF(Klantgegevens_A!L46&gt;=7, "ja", "nee"))</f>
        <v>ja</v>
      </c>
      <c r="O47" t="str">
        <f>IF(Klantgegevens_B!N46&lt;&gt;"", Klantgegevens_B!N46, IF(Klantgegevens_A!L46&gt;=7, "ja", "nee"))</f>
        <v>nee</v>
      </c>
      <c r="P47" t="str">
        <f>IF(Klantgegevens_B!O46&lt;&gt;"", Klantgegevens_B!O46, IF(Klantgegevens_A!L46&gt;=7, "ja", "nee"))</f>
        <v>Geen dieet</v>
      </c>
      <c r="Q47" t="str">
        <f>IF(Klantgegevens_B!P46&lt;&gt;"", Klantgegevens_B!P46, Klantgegevens_A!M46)</f>
        <v>Geen dieet</v>
      </c>
      <c r="R47" t="str">
        <f>IF(Klantgegevens_B!A46&lt;&gt;"", "B", "A")</f>
        <v>B</v>
      </c>
    </row>
    <row r="48" spans="1:18" x14ac:dyDescent="0.3">
      <c r="A48" t="str">
        <f>IF(Klantgegevens_B!A47&lt;&gt;"", Klantgegevens_B!A47, MID(Klantgegevens_A!A47, FIND(",", Klantgegevens_A!A47)+2, LEN(Klantgegevens_A!A47)))</f>
        <v>Régis</v>
      </c>
      <c r="B48" t="str">
        <f>IF(Klantgegevens_B!B47&lt;&gt;"", Klantgegevens_B!B47, LEFT(Klantgegevens_A!A47, FIND(",", Klantgegevens_A!A47)-1))</f>
        <v>Lambrecht</v>
      </c>
      <c r="C48" t="str">
        <f t="shared" ca="1" si="0"/>
        <v/>
      </c>
      <c r="D48" t="str">
        <f>IF(Klantgegevens_B!F47&lt;&gt;"", Klantgegevens_B!F47, Klantgegevens_A!D47 &amp; " " &amp; Klantgegevens_A!E47 &amp; ", " &amp; Klantgegevens_A!F47)</f>
        <v>Régis,Jef,Frédine</v>
      </c>
      <c r="E48">
        <f>IF(Klantgegevens_B!G47&lt;&gt;"", Klantgegevens_B!G47, TEXTJOIN(",", TRUE, REPT("Volwassene,", Klantgegevens_A!G47), REPT("Kind,", Klantgegevens_A!H47)))</f>
        <v>86.65</v>
      </c>
      <c r="F48">
        <f>IF(Klantgegevens_B!G47&lt;&gt;"", LEN(Klantgegevens_B!G47)-LEN(SUBSTITUTE(Klantgegevens_B!G47, ",", ""))+1, Klantgegevens_A!G47)</f>
        <v>1</v>
      </c>
      <c r="G48">
        <f>IF(Klantgegevens_B!G47&lt;&gt;"", 0, Klantgegevens_A!H47)</f>
        <v>0</v>
      </c>
      <c r="H48">
        <f>IF(Klantgegevens_B!H47&lt;&gt;"", Klantgegevens_B!H47, Klantgegevens_A!I47)</f>
        <v>1</v>
      </c>
      <c r="I48" t="str">
        <f>IF(Klantgegevens_B!I47&lt;&gt;"", Klantgegevens_B!I47, SWITCH(Klantgegevens_A!J47, "Zelden", 1, "Af en toe", 4, "Regelmatig", 8, "Vaak", 12))</f>
        <v>Cash</v>
      </c>
      <c r="J48" t="str">
        <f>IF(Klantgegevens_B!J47&lt;&gt;"", Klantgegevens_B!J47, Klantgegevens_A!K47)</f>
        <v>nee</v>
      </c>
      <c r="K48">
        <f>IF(Klantgegevens_B!K47&lt;&gt;"", AVERAGE(--(Klantgegevens_B!K47="ja"), --(Klantgegevens_B!L47="ja"), --(Klantgegevens_B!M47="ja"), --(Klantgegevens_B!N47="ja"), --(Klantgegevens_B!O47="ja"))*10, Klantgegevens_A!L47)</f>
        <v>4</v>
      </c>
      <c r="L48" t="str">
        <f>IF(Klantgegevens_B!K47&lt;&gt;"", Klantgegevens_B!K47, IF(Klantgegevens_A!L47&gt;=7, "ja", "nee"))</f>
        <v>ja</v>
      </c>
      <c r="M48" t="str">
        <f>IF(Klantgegevens_B!L47&lt;&gt;"", Klantgegevens_B!L47, IF(Klantgegevens_A!L47&gt;=7, "ja", "nee"))</f>
        <v>nee</v>
      </c>
      <c r="N48" t="str">
        <f>IF(Klantgegevens_B!M47&lt;&gt;"", Klantgegevens_B!M47, IF(Klantgegevens_A!L47&gt;=7, "ja", "nee"))</f>
        <v>nee</v>
      </c>
      <c r="O48" t="str">
        <f>IF(Klantgegevens_B!N47&lt;&gt;"", Klantgegevens_B!N47, IF(Klantgegevens_A!L47&gt;=7, "ja", "nee"))</f>
        <v>ja</v>
      </c>
      <c r="P48" t="str">
        <f>IF(Klantgegevens_B!O47&lt;&gt;"", Klantgegevens_B!O47, IF(Klantgegevens_A!L47&gt;=7, "ja", "nee"))</f>
        <v>Geen dieet</v>
      </c>
      <c r="Q48" t="str">
        <f>IF(Klantgegevens_B!P47&lt;&gt;"", Klantgegevens_B!P47, Klantgegevens_A!M47)</f>
        <v>Geen dieet</v>
      </c>
      <c r="R48" t="str">
        <f>IF(Klantgegevens_B!A47&lt;&gt;"", "B", "A")</f>
        <v>B</v>
      </c>
    </row>
    <row r="49" spans="1:18" x14ac:dyDescent="0.3">
      <c r="A49" t="str">
        <f>IF(Klantgegevens_B!A48&lt;&gt;"", Klantgegevens_B!A48, MID(Klantgegevens_A!A48, FIND(",", Klantgegevens_A!A48)+2, LEN(Klantgegevens_A!A48)))</f>
        <v>Liz</v>
      </c>
      <c r="B49" t="str">
        <f>IF(Klantgegevens_B!B48&lt;&gt;"", Klantgegevens_B!B48, LEFT(Klantgegevens_A!A48, FIND(",", Klantgegevens_A!A48)-1))</f>
        <v>Stevens</v>
      </c>
      <c r="C49" t="str">
        <f t="shared" ca="1" si="0"/>
        <v/>
      </c>
      <c r="D49" t="str">
        <f>IF(Klantgegevens_B!F48&lt;&gt;"", Klantgegevens_B!F48, Klantgegevens_A!D48 &amp; " " &amp; Klantgegevens_A!E48 &amp; ", " &amp; Klantgegevens_A!F48)</f>
        <v>Liz,Godelieve,Amy,Laurens</v>
      </c>
      <c r="E49">
        <f>IF(Klantgegevens_B!G48&lt;&gt;"", Klantgegevens_B!G48, TEXTJOIN(",", TRUE, REPT("Volwassene,", Klantgegevens_A!G48), REPT("Kind,", Klantgegevens_A!H48)))</f>
        <v>131.32</v>
      </c>
      <c r="F49">
        <f>IF(Klantgegevens_B!G48&lt;&gt;"", LEN(Klantgegevens_B!G48)-LEN(SUBSTITUTE(Klantgegevens_B!G48, ",", ""))+1, Klantgegevens_A!G48)</f>
        <v>1</v>
      </c>
      <c r="G49">
        <f>IF(Klantgegevens_B!G48&lt;&gt;"", 0, Klantgegevens_A!H48)</f>
        <v>0</v>
      </c>
      <c r="H49">
        <f>IF(Klantgegevens_B!H48&lt;&gt;"", Klantgegevens_B!H48, Klantgegevens_A!I48)</f>
        <v>12</v>
      </c>
      <c r="I49" t="str">
        <f>IF(Klantgegevens_B!I48&lt;&gt;"", Klantgegevens_B!I48, SWITCH(Klantgegevens_A!J48, "Zelden", 1, "Af en toe", 4, "Regelmatig", 8, "Vaak", 12))</f>
        <v>Payconiq</v>
      </c>
      <c r="J49" t="str">
        <f>IF(Klantgegevens_B!J48&lt;&gt;"", Klantgegevens_B!J48, Klantgegevens_A!K48)</f>
        <v>nee</v>
      </c>
      <c r="K49">
        <f>IF(Klantgegevens_B!K48&lt;&gt;"", AVERAGE(--(Klantgegevens_B!K48="ja"), --(Klantgegevens_B!L48="ja"), --(Klantgegevens_B!M48="ja"), --(Klantgegevens_B!N48="ja"), --(Klantgegevens_B!O48="ja"))*10, Klantgegevens_A!L48)</f>
        <v>4</v>
      </c>
      <c r="L49" t="str">
        <f>IF(Klantgegevens_B!K48&lt;&gt;"", Klantgegevens_B!K48, IF(Klantgegevens_A!L48&gt;=7, "ja", "nee"))</f>
        <v>nee</v>
      </c>
      <c r="M49" t="str">
        <f>IF(Klantgegevens_B!L48&lt;&gt;"", Klantgegevens_B!L48, IF(Klantgegevens_A!L48&gt;=7, "ja", "nee"))</f>
        <v>nee</v>
      </c>
      <c r="N49" t="str">
        <f>IF(Klantgegevens_B!M48&lt;&gt;"", Klantgegevens_B!M48, IF(Klantgegevens_A!L48&gt;=7, "ja", "nee"))</f>
        <v>ja</v>
      </c>
      <c r="O49" t="str">
        <f>IF(Klantgegevens_B!N48&lt;&gt;"", Klantgegevens_B!N48, IF(Klantgegevens_A!L48&gt;=7, "ja", "nee"))</f>
        <v>ja</v>
      </c>
      <c r="P49" t="str">
        <f>IF(Klantgegevens_B!O48&lt;&gt;"", Klantgegevens_B!O48, IF(Klantgegevens_A!L48&gt;=7, "ja", "nee"))</f>
        <v>Geen dieet</v>
      </c>
      <c r="Q49" t="str">
        <f>IF(Klantgegevens_B!P48&lt;&gt;"", Klantgegevens_B!P48, Klantgegevens_A!M48)</f>
        <v>Geen dieet</v>
      </c>
      <c r="R49" t="str">
        <f>IF(Klantgegevens_B!A48&lt;&gt;"", "B", "A")</f>
        <v>B</v>
      </c>
    </row>
    <row r="50" spans="1:18" x14ac:dyDescent="0.3">
      <c r="A50" t="str">
        <f>IF(Klantgegevens_B!A49&lt;&gt;"", Klantgegevens_B!A49, MID(Klantgegevens_A!A49, FIND(",", Klantgegevens_A!A49)+2, LEN(Klantgegevens_A!A49)))</f>
        <v>Helena</v>
      </c>
      <c r="B50" t="str">
        <f>IF(Klantgegevens_B!B49&lt;&gt;"", Klantgegevens_B!B49, LEFT(Klantgegevens_A!A49, FIND(",", Klantgegevens_A!A49)-1))</f>
        <v>Huyghe</v>
      </c>
      <c r="C50" t="str">
        <f t="shared" ca="1" si="0"/>
        <v/>
      </c>
      <c r="D50" t="str">
        <f>IF(Klantgegevens_B!F49&lt;&gt;"", Klantgegevens_B!F49, Klantgegevens_A!D49 &amp; " " &amp; Klantgegevens_A!E49 &amp; ", " &amp; Klantgegevens_A!F49)</f>
        <v>Helena,Auguste</v>
      </c>
      <c r="E50">
        <f>IF(Klantgegevens_B!G49&lt;&gt;"", Klantgegevens_B!G49, TEXTJOIN(",", TRUE, REPT("Volwassene,", Klantgegevens_A!G49), REPT("Kind,", Klantgegevens_A!H49)))</f>
        <v>89.62</v>
      </c>
      <c r="F50">
        <f>IF(Klantgegevens_B!G49&lt;&gt;"", LEN(Klantgegevens_B!G49)-LEN(SUBSTITUTE(Klantgegevens_B!G49, ",", ""))+1, Klantgegevens_A!G49)</f>
        <v>1</v>
      </c>
      <c r="G50">
        <f>IF(Klantgegevens_B!G49&lt;&gt;"", 0, Klantgegevens_A!H49)</f>
        <v>0</v>
      </c>
      <c r="H50">
        <f>IF(Klantgegevens_B!H49&lt;&gt;"", Klantgegevens_B!H49, Klantgegevens_A!I49)</f>
        <v>1</v>
      </c>
      <c r="I50" t="str">
        <f>IF(Klantgegevens_B!I49&lt;&gt;"", Klantgegevens_B!I49, SWITCH(Klantgegevens_A!J49, "Zelden", 1, "Af en toe", 4, "Regelmatig", 8, "Vaak", 12))</f>
        <v>Cash</v>
      </c>
      <c r="J50" t="str">
        <f>IF(Klantgegevens_B!J49&lt;&gt;"", Klantgegevens_B!J49, Klantgegevens_A!K49)</f>
        <v>ja</v>
      </c>
      <c r="K50">
        <f>IF(Klantgegevens_B!K49&lt;&gt;"", AVERAGE(--(Klantgegevens_B!K49="ja"), --(Klantgegevens_B!L49="ja"), --(Klantgegevens_B!M49="ja"), --(Klantgegevens_B!N49="ja"), --(Klantgegevens_B!O49="ja"))*10, Klantgegevens_A!L49)</f>
        <v>8</v>
      </c>
      <c r="L50" t="str">
        <f>IF(Klantgegevens_B!K49&lt;&gt;"", Klantgegevens_B!K49, IF(Klantgegevens_A!L49&gt;=7, "ja", "nee"))</f>
        <v>ja</v>
      </c>
      <c r="M50" t="str">
        <f>IF(Klantgegevens_B!L49&lt;&gt;"", Klantgegevens_B!L49, IF(Klantgegevens_A!L49&gt;=7, "ja", "nee"))</f>
        <v>ja</v>
      </c>
      <c r="N50" t="str">
        <f>IF(Klantgegevens_B!M49&lt;&gt;"", Klantgegevens_B!M49, IF(Klantgegevens_A!L49&gt;=7, "ja", "nee"))</f>
        <v>ja</v>
      </c>
      <c r="O50" t="str">
        <f>IF(Klantgegevens_B!N49&lt;&gt;"", Klantgegevens_B!N49, IF(Klantgegevens_A!L49&gt;=7, "ja", "nee"))</f>
        <v>ja</v>
      </c>
      <c r="P50" t="str">
        <f>IF(Klantgegevens_B!O49&lt;&gt;"", Klantgegevens_B!O49, IF(Klantgegevens_A!L49&gt;=7, "ja", "nee"))</f>
        <v>Vegetarisch</v>
      </c>
      <c r="Q50" t="str">
        <f>IF(Klantgegevens_B!P49&lt;&gt;"", Klantgegevens_B!P49, Klantgegevens_A!M49)</f>
        <v>Geen dieet</v>
      </c>
      <c r="R50" t="str">
        <f>IF(Klantgegevens_B!A49&lt;&gt;"", "B", "A")</f>
        <v>B</v>
      </c>
    </row>
    <row r="51" spans="1:18" x14ac:dyDescent="0.3">
      <c r="A51" t="str">
        <f>IF(Klantgegevens_B!A50&lt;&gt;"", Klantgegevens_B!A50, MID(Klantgegevens_A!A50, FIND(",", Klantgegevens_A!A50)+2, LEN(Klantgegevens_A!A50)))</f>
        <v>Nicky</v>
      </c>
      <c r="B51" t="str">
        <f>IF(Klantgegevens_B!B50&lt;&gt;"", Klantgegevens_B!B50, LEFT(Klantgegevens_A!A50, FIND(",", Klantgegevens_A!A50)-1))</f>
        <v>Borremans</v>
      </c>
      <c r="C51" t="str">
        <f t="shared" ca="1" si="0"/>
        <v/>
      </c>
      <c r="D51" t="str">
        <f>IF(Klantgegevens_B!F50&lt;&gt;"", Klantgegevens_B!F50, Klantgegevens_A!D50 &amp; " " &amp; Klantgegevens_A!E50 &amp; ", " &amp; Klantgegevens_A!F50)</f>
        <v>Nicky,Florent</v>
      </c>
      <c r="E51">
        <f>IF(Klantgegevens_B!G50&lt;&gt;"", Klantgegevens_B!G50, TEXTJOIN(",", TRUE, REPT("Volwassene,", Klantgegevens_A!G50), REPT("Kind,", Klantgegevens_A!H50)))</f>
        <v>18.37</v>
      </c>
      <c r="F51">
        <f>IF(Klantgegevens_B!G50&lt;&gt;"", LEN(Klantgegevens_B!G50)-LEN(SUBSTITUTE(Klantgegevens_B!G50, ",", ""))+1, Klantgegevens_A!G50)</f>
        <v>1</v>
      </c>
      <c r="G51">
        <f>IF(Klantgegevens_B!G50&lt;&gt;"", 0, Klantgegevens_A!H50)</f>
        <v>0</v>
      </c>
      <c r="H51">
        <f>IF(Klantgegevens_B!H50&lt;&gt;"", Klantgegevens_B!H50, Klantgegevens_A!I50)</f>
        <v>15</v>
      </c>
      <c r="I51" t="str">
        <f>IF(Klantgegevens_B!I50&lt;&gt;"", Klantgegevens_B!I50, SWITCH(Klantgegevens_A!J50, "Zelden", 1, "Af en toe", 4, "Regelmatig", 8, "Vaak", 12))</f>
        <v>Payconiq</v>
      </c>
      <c r="J51" t="str">
        <f>IF(Klantgegevens_B!J50&lt;&gt;"", Klantgegevens_B!J50, Klantgegevens_A!K50)</f>
        <v>ja</v>
      </c>
      <c r="K51">
        <f>IF(Klantgegevens_B!K50&lt;&gt;"", AVERAGE(--(Klantgegevens_B!K50="ja"), --(Klantgegevens_B!L50="ja"), --(Klantgegevens_B!M50="ja"), --(Klantgegevens_B!N50="ja"), --(Klantgegevens_B!O50="ja"))*10, Klantgegevens_A!L50)</f>
        <v>4</v>
      </c>
      <c r="L51" t="str">
        <f>IF(Klantgegevens_B!K50&lt;&gt;"", Klantgegevens_B!K50, IF(Klantgegevens_A!L50&gt;=7, "ja", "nee"))</f>
        <v>nee</v>
      </c>
      <c r="M51" t="str">
        <f>IF(Klantgegevens_B!L50&lt;&gt;"", Klantgegevens_B!L50, IF(Klantgegevens_A!L50&gt;=7, "ja", "nee"))</f>
        <v>ja</v>
      </c>
      <c r="N51" t="str">
        <f>IF(Klantgegevens_B!M50&lt;&gt;"", Klantgegevens_B!M50, IF(Klantgegevens_A!L50&gt;=7, "ja", "nee"))</f>
        <v>ja</v>
      </c>
      <c r="O51" t="str">
        <f>IF(Klantgegevens_B!N50&lt;&gt;"", Klantgegevens_B!N50, IF(Klantgegevens_A!L50&gt;=7, "ja", "nee"))</f>
        <v>nee</v>
      </c>
      <c r="P51" t="str">
        <f>IF(Klantgegevens_B!O50&lt;&gt;"", Klantgegevens_B!O50, IF(Klantgegevens_A!L50&gt;=7, "ja", "nee"))</f>
        <v>Geen dieet</v>
      </c>
      <c r="Q51" t="str">
        <f>IF(Klantgegevens_B!P50&lt;&gt;"", Klantgegevens_B!P50, Klantgegevens_A!M50)</f>
        <v>Geen dieet</v>
      </c>
      <c r="R51" t="str">
        <f>IF(Klantgegevens_B!A50&lt;&gt;"", "B", "A")</f>
        <v>B</v>
      </c>
    </row>
    <row r="52" spans="1:18" x14ac:dyDescent="0.3">
      <c r="A52" t="str">
        <f>IF(Klantgegevens_B!A51&lt;&gt;"", Klantgegevens_B!A51, MID(Klantgegevens_A!A51, FIND(",", Klantgegevens_A!A51)+2, LEN(Klantgegevens_A!A51)))</f>
        <v>Marc</v>
      </c>
      <c r="B52" t="str">
        <f>IF(Klantgegevens_B!B51&lt;&gt;"", Klantgegevens_B!B51, LEFT(Klantgegevens_A!A51, FIND(",", Klantgegevens_A!A51)-1))</f>
        <v>Engels</v>
      </c>
      <c r="C52" t="str">
        <f t="shared" ca="1" si="0"/>
        <v/>
      </c>
      <c r="D52" t="str">
        <f>IF(Klantgegevens_B!F51&lt;&gt;"", Klantgegevens_B!F51, Klantgegevens_A!D51 &amp; " " &amp; Klantgegevens_A!E51 &amp; ", " &amp; Klantgegevens_A!F51)</f>
        <v>Marc,Rosette,Michaël,Magali,Anna</v>
      </c>
      <c r="E52">
        <f>IF(Klantgegevens_B!G51&lt;&gt;"", Klantgegevens_B!G51, TEXTJOIN(",", TRUE, REPT("Volwassene,", Klantgegevens_A!G51), REPT("Kind,", Klantgegevens_A!H51)))</f>
        <v>176.39</v>
      </c>
      <c r="F52">
        <f>IF(Klantgegevens_B!G51&lt;&gt;"", LEN(Klantgegevens_B!G51)-LEN(SUBSTITUTE(Klantgegevens_B!G51, ",", ""))+1, Klantgegevens_A!G51)</f>
        <v>1</v>
      </c>
      <c r="G52">
        <f>IF(Klantgegevens_B!G51&lt;&gt;"", 0, Klantgegevens_A!H51)</f>
        <v>0</v>
      </c>
      <c r="H52">
        <f>IF(Klantgegevens_B!H51&lt;&gt;"", Klantgegevens_B!H51, Klantgegevens_A!I51)</f>
        <v>13</v>
      </c>
      <c r="I52" t="str">
        <f>IF(Klantgegevens_B!I51&lt;&gt;"", Klantgegevens_B!I51, SWITCH(Klantgegevens_A!J51, "Zelden", 1, "Af en toe", 4, "Regelmatig", 8, "Vaak", 12))</f>
        <v>Payconiq</v>
      </c>
      <c r="J52" t="str">
        <f>IF(Klantgegevens_B!J51&lt;&gt;"", Klantgegevens_B!J51, Klantgegevens_A!K51)</f>
        <v>ja</v>
      </c>
      <c r="K52">
        <f>IF(Klantgegevens_B!K51&lt;&gt;"", AVERAGE(--(Klantgegevens_B!K51="ja"), --(Klantgegevens_B!L51="ja"), --(Klantgegevens_B!M51="ja"), --(Klantgegevens_B!N51="ja"), --(Klantgegevens_B!O51="ja"))*10, Klantgegevens_A!L51)</f>
        <v>4</v>
      </c>
      <c r="L52" t="str">
        <f>IF(Klantgegevens_B!K51&lt;&gt;"", Klantgegevens_B!K51, IF(Klantgegevens_A!L51&gt;=7, "ja", "nee"))</f>
        <v>ja</v>
      </c>
      <c r="M52" t="str">
        <f>IF(Klantgegevens_B!L51&lt;&gt;"", Klantgegevens_B!L51, IF(Klantgegevens_A!L51&gt;=7, "ja", "nee"))</f>
        <v>nee</v>
      </c>
      <c r="N52" t="str">
        <f>IF(Klantgegevens_B!M51&lt;&gt;"", Klantgegevens_B!M51, IF(Klantgegevens_A!L51&gt;=7, "ja", "nee"))</f>
        <v>nee</v>
      </c>
      <c r="O52" t="str">
        <f>IF(Klantgegevens_B!N51&lt;&gt;"", Klantgegevens_B!N51, IF(Klantgegevens_A!L51&gt;=7, "ja", "nee"))</f>
        <v>ja</v>
      </c>
      <c r="P52" t="str">
        <f>IF(Klantgegevens_B!O51&lt;&gt;"", Klantgegevens_B!O51, IF(Klantgegevens_A!L51&gt;=7, "ja", "nee"))</f>
        <v>Veganistisch</v>
      </c>
      <c r="Q52" t="str">
        <f>IF(Klantgegevens_B!P51&lt;&gt;"", Klantgegevens_B!P51, Klantgegevens_A!M51)</f>
        <v>Vegetarisch</v>
      </c>
      <c r="R52" t="str">
        <f>IF(Klantgegevens_B!A51&lt;&gt;"", "B", "A")</f>
        <v>B</v>
      </c>
    </row>
    <row r="53" spans="1:18" x14ac:dyDescent="0.3">
      <c r="A53" t="str">
        <f>IF(Klantgegevens_B!A52&lt;&gt;"", Klantgegevens_B!A52, MID(Klantgegevens_A!A52, FIND(",", Klantgegevens_A!A52)+2, LEN(Klantgegevens_A!A52)))</f>
        <v>Sara</v>
      </c>
      <c r="B53" t="str">
        <f>IF(Klantgegevens_B!B52&lt;&gt;"", Klantgegevens_B!B52, LEFT(Klantgegevens_A!A52, FIND(",", Klantgegevens_A!A52)-1))</f>
        <v>Lenaerts</v>
      </c>
      <c r="C53" t="str">
        <f t="shared" ca="1" si="0"/>
        <v/>
      </c>
      <c r="D53" t="str">
        <f>IF(Klantgegevens_B!F52&lt;&gt;"", Klantgegevens_B!F52, Klantgegevens_A!D52 &amp; " " &amp; Klantgegevens_A!E52 &amp; ", " &amp; Klantgegevens_A!F52)</f>
        <v>Sara,Noreddine</v>
      </c>
      <c r="E53">
        <f>IF(Klantgegevens_B!G52&lt;&gt;"", Klantgegevens_B!G52, TEXTJOIN(",", TRUE, REPT("Volwassene,", Klantgegevens_A!G52), REPT("Kind,", Klantgegevens_A!H52)))</f>
        <v>176.27</v>
      </c>
      <c r="F53">
        <f>IF(Klantgegevens_B!G52&lt;&gt;"", LEN(Klantgegevens_B!G52)-LEN(SUBSTITUTE(Klantgegevens_B!G52, ",", ""))+1, Klantgegevens_A!G52)</f>
        <v>1</v>
      </c>
      <c r="G53">
        <f>IF(Klantgegevens_B!G52&lt;&gt;"", 0, Klantgegevens_A!H52)</f>
        <v>0</v>
      </c>
      <c r="H53">
        <f>IF(Klantgegevens_B!H52&lt;&gt;"", Klantgegevens_B!H52, Klantgegevens_A!I52)</f>
        <v>10</v>
      </c>
      <c r="I53" t="str">
        <f>IF(Klantgegevens_B!I52&lt;&gt;"", Klantgegevens_B!I52, SWITCH(Klantgegevens_A!J52, "Zelden", 1, "Af en toe", 4, "Regelmatig", 8, "Vaak", 12))</f>
        <v>Payconiq</v>
      </c>
      <c r="J53" t="str">
        <f>IF(Klantgegevens_B!J52&lt;&gt;"", Klantgegevens_B!J52, Klantgegevens_A!K52)</f>
        <v>ja</v>
      </c>
      <c r="K53">
        <f>IF(Klantgegevens_B!K52&lt;&gt;"", AVERAGE(--(Klantgegevens_B!K52="ja"), --(Klantgegevens_B!L52="ja"), --(Klantgegevens_B!M52="ja"), --(Klantgegevens_B!N52="ja"), --(Klantgegevens_B!O52="ja"))*10, Klantgegevens_A!L52)</f>
        <v>4</v>
      </c>
      <c r="L53" t="str">
        <f>IF(Klantgegevens_B!K52&lt;&gt;"", Klantgegevens_B!K52, IF(Klantgegevens_A!L52&gt;=7, "ja", "nee"))</f>
        <v>nee</v>
      </c>
      <c r="M53" t="str">
        <f>IF(Klantgegevens_B!L52&lt;&gt;"", Klantgegevens_B!L52, IF(Klantgegevens_A!L52&gt;=7, "ja", "nee"))</f>
        <v>ja</v>
      </c>
      <c r="N53" t="str">
        <f>IF(Klantgegevens_B!M52&lt;&gt;"", Klantgegevens_B!M52, IF(Klantgegevens_A!L52&gt;=7, "ja", "nee"))</f>
        <v>nee</v>
      </c>
      <c r="O53" t="str">
        <f>IF(Klantgegevens_B!N52&lt;&gt;"", Klantgegevens_B!N52, IF(Klantgegevens_A!L52&gt;=7, "ja", "nee"))</f>
        <v>ja</v>
      </c>
      <c r="P53" t="str">
        <f>IF(Klantgegevens_B!O52&lt;&gt;"", Klantgegevens_B!O52, IF(Klantgegevens_A!L52&gt;=7, "ja", "nee"))</f>
        <v>Geen dieet</v>
      </c>
      <c r="Q53" t="str">
        <f>IF(Klantgegevens_B!P52&lt;&gt;"", Klantgegevens_B!P52, Klantgegevens_A!M52)</f>
        <v>Geen dieet</v>
      </c>
      <c r="R53" t="str">
        <f>IF(Klantgegevens_B!A52&lt;&gt;"", "B", "A")</f>
        <v>B</v>
      </c>
    </row>
    <row r="54" spans="1:18" x14ac:dyDescent="0.3">
      <c r="A54" t="str">
        <f>IF(Klantgegevens_B!A53&lt;&gt;"", Klantgegevens_B!A53, MID(Klantgegevens_A!A53, FIND(",", Klantgegevens_A!A53)+2, LEN(Klantgegevens_A!A53)))</f>
        <v>Jean-Claude</v>
      </c>
      <c r="B54" t="str">
        <f>IF(Klantgegevens_B!B53&lt;&gt;"", Klantgegevens_B!B53, LEFT(Klantgegevens_A!A53, FIND(",", Klantgegevens_A!A53)-1))</f>
        <v>De smedt</v>
      </c>
      <c r="C54" t="str">
        <f t="shared" ca="1" si="0"/>
        <v/>
      </c>
      <c r="D54" t="str">
        <f>IF(Klantgegevens_B!F53&lt;&gt;"", Klantgegevens_B!F53, Klantgegevens_A!D53 &amp; " " &amp; Klantgegevens_A!E53 &amp; ", " &amp; Klantgegevens_A!F53)</f>
        <v>Jean-Claude,Aldo</v>
      </c>
      <c r="E54">
        <f>IF(Klantgegevens_B!G53&lt;&gt;"", Klantgegevens_B!G53, TEXTJOIN(",", TRUE, REPT("Volwassene,", Klantgegevens_A!G53), REPT("Kind,", Klantgegevens_A!H53)))</f>
        <v>70.61</v>
      </c>
      <c r="F54">
        <f>IF(Klantgegevens_B!G53&lt;&gt;"", LEN(Klantgegevens_B!G53)-LEN(SUBSTITUTE(Klantgegevens_B!G53, ",", ""))+1, Klantgegevens_A!G53)</f>
        <v>1</v>
      </c>
      <c r="G54">
        <f>IF(Klantgegevens_B!G53&lt;&gt;"", 0, Klantgegevens_A!H53)</f>
        <v>0</v>
      </c>
      <c r="H54">
        <f>IF(Klantgegevens_B!H53&lt;&gt;"", Klantgegevens_B!H53, Klantgegevens_A!I53)</f>
        <v>6</v>
      </c>
      <c r="I54" t="str">
        <f>IF(Klantgegevens_B!I53&lt;&gt;"", Klantgegevens_B!I53, SWITCH(Klantgegevens_A!J53, "Zelden", 1, "Af en toe", 4, "Regelmatig", 8, "Vaak", 12))</f>
        <v>Cash</v>
      </c>
      <c r="J54" t="str">
        <f>IF(Klantgegevens_B!J53&lt;&gt;"", Klantgegevens_B!J53, Klantgegevens_A!K53)</f>
        <v>ja</v>
      </c>
      <c r="K54">
        <f>IF(Klantgegevens_B!K53&lt;&gt;"", AVERAGE(--(Klantgegevens_B!K53="ja"), --(Klantgegevens_B!L53="ja"), --(Klantgegevens_B!M53="ja"), --(Klantgegevens_B!N53="ja"), --(Klantgegevens_B!O53="ja"))*10, Klantgegevens_A!L53)</f>
        <v>6</v>
      </c>
      <c r="L54" t="str">
        <f>IF(Klantgegevens_B!K53&lt;&gt;"", Klantgegevens_B!K53, IF(Klantgegevens_A!L53&gt;=7, "ja", "nee"))</f>
        <v>ja</v>
      </c>
      <c r="M54" t="str">
        <f>IF(Klantgegevens_B!L53&lt;&gt;"", Klantgegevens_B!L53, IF(Klantgegevens_A!L53&gt;=7, "ja", "nee"))</f>
        <v>ja</v>
      </c>
      <c r="N54" t="str">
        <f>IF(Klantgegevens_B!M53&lt;&gt;"", Klantgegevens_B!M53, IF(Klantgegevens_A!L53&gt;=7, "ja", "nee"))</f>
        <v>nee</v>
      </c>
      <c r="O54" t="str">
        <f>IF(Klantgegevens_B!N53&lt;&gt;"", Klantgegevens_B!N53, IF(Klantgegevens_A!L53&gt;=7, "ja", "nee"))</f>
        <v>ja</v>
      </c>
      <c r="P54" t="str">
        <f>IF(Klantgegevens_B!O53&lt;&gt;"", Klantgegevens_B!O53, IF(Klantgegevens_A!L53&gt;=7, "ja", "nee"))</f>
        <v>Geen dieet</v>
      </c>
      <c r="Q54" t="str">
        <f>IF(Klantgegevens_B!P53&lt;&gt;"", Klantgegevens_B!P53, Klantgegevens_A!M53)</f>
        <v>Geen dieet</v>
      </c>
      <c r="R54" t="str">
        <f>IF(Klantgegevens_B!A53&lt;&gt;"", "B", "A")</f>
        <v>B</v>
      </c>
    </row>
    <row r="55" spans="1:18" x14ac:dyDescent="0.3">
      <c r="A55" t="str">
        <f>IF(Klantgegevens_B!A54&lt;&gt;"", Klantgegevens_B!A54, MID(Klantgegevens_A!A54, FIND(",", Klantgegevens_A!A54)+2, LEN(Klantgegevens_A!A54)))</f>
        <v>Sonja</v>
      </c>
      <c r="B55" t="str">
        <f>IF(Klantgegevens_B!B54&lt;&gt;"", Klantgegevens_B!B54, LEFT(Klantgegevens_A!A54, FIND(",", Klantgegevens_A!A54)-1))</f>
        <v>De jonghe</v>
      </c>
      <c r="C55" t="str">
        <f t="shared" ca="1" si="0"/>
        <v/>
      </c>
      <c r="D55" t="str">
        <f>IF(Klantgegevens_B!F54&lt;&gt;"", Klantgegevens_B!F54, Klantgegevens_A!D54 &amp; " " &amp; Klantgegevens_A!E54 &amp; ", " &amp; Klantgegevens_A!F54)</f>
        <v>Sonja</v>
      </c>
      <c r="E55">
        <f>IF(Klantgegevens_B!G54&lt;&gt;"", Klantgegevens_B!G54, TEXTJOIN(",", TRUE, REPT("Volwassene,", Klantgegevens_A!G54), REPT("Kind,", Klantgegevens_A!H54)))</f>
        <v>108.41</v>
      </c>
      <c r="F55">
        <f>IF(Klantgegevens_B!G54&lt;&gt;"", LEN(Klantgegevens_B!G54)-LEN(SUBSTITUTE(Klantgegevens_B!G54, ",", ""))+1, Klantgegevens_A!G54)</f>
        <v>1</v>
      </c>
      <c r="G55">
        <f>IF(Klantgegevens_B!G54&lt;&gt;"", 0, Klantgegevens_A!H54)</f>
        <v>0</v>
      </c>
      <c r="H55">
        <f>IF(Klantgegevens_B!H54&lt;&gt;"", Klantgegevens_B!H54, Klantgegevens_A!I54)</f>
        <v>15</v>
      </c>
      <c r="I55" t="str">
        <f>IF(Klantgegevens_B!I54&lt;&gt;"", Klantgegevens_B!I54, SWITCH(Klantgegevens_A!J54, "Zelden", 1, "Af en toe", 4, "Regelmatig", 8, "Vaak", 12))</f>
        <v>Cash</v>
      </c>
      <c r="J55" t="str">
        <f>IF(Klantgegevens_B!J54&lt;&gt;"", Klantgegevens_B!J54, Klantgegevens_A!K54)</f>
        <v>nee</v>
      </c>
      <c r="K55">
        <f>IF(Klantgegevens_B!K54&lt;&gt;"", AVERAGE(--(Klantgegevens_B!K54="ja"), --(Klantgegevens_B!L54="ja"), --(Klantgegevens_B!M54="ja"), --(Klantgegevens_B!N54="ja"), --(Klantgegevens_B!O54="ja"))*10, Klantgegevens_A!L54)</f>
        <v>8</v>
      </c>
      <c r="L55" t="str">
        <f>IF(Klantgegevens_B!K54&lt;&gt;"", Klantgegevens_B!K54, IF(Klantgegevens_A!L54&gt;=7, "ja", "nee"))</f>
        <v>ja</v>
      </c>
      <c r="M55" t="str">
        <f>IF(Klantgegevens_B!L54&lt;&gt;"", Klantgegevens_B!L54, IF(Klantgegevens_A!L54&gt;=7, "ja", "nee"))</f>
        <v>ja</v>
      </c>
      <c r="N55" t="str">
        <f>IF(Klantgegevens_B!M54&lt;&gt;"", Klantgegevens_B!M54, IF(Klantgegevens_A!L54&gt;=7, "ja", "nee"))</f>
        <v>ja</v>
      </c>
      <c r="O55" t="str">
        <f>IF(Klantgegevens_B!N54&lt;&gt;"", Klantgegevens_B!N54, IF(Klantgegevens_A!L54&gt;=7, "ja", "nee"))</f>
        <v>ja</v>
      </c>
      <c r="P55" t="str">
        <f>IF(Klantgegevens_B!O54&lt;&gt;"", Klantgegevens_B!O54, IF(Klantgegevens_A!L54&gt;=7, "ja", "nee"))</f>
        <v>Veganistisch</v>
      </c>
      <c r="Q55" t="str">
        <f>IF(Klantgegevens_B!P54&lt;&gt;"", Klantgegevens_B!P54, Klantgegevens_A!M54)</f>
        <v>Geen dieet</v>
      </c>
      <c r="R55" t="str">
        <f>IF(Klantgegevens_B!A54&lt;&gt;"", "B", "A")</f>
        <v>B</v>
      </c>
    </row>
    <row r="56" spans="1:18" x14ac:dyDescent="0.3">
      <c r="A56" t="str">
        <f>IF(Klantgegevens_B!A55&lt;&gt;"", Klantgegevens_B!A55, MID(Klantgegevens_A!A55, FIND(",", Klantgegevens_A!A55)+2, LEN(Klantgegevens_A!A55)))</f>
        <v>Chisom</v>
      </c>
      <c r="B56" t="str">
        <f>IF(Klantgegevens_B!B55&lt;&gt;"", Klantgegevens_B!B55, LEFT(Klantgegevens_A!A55, FIND(",", Klantgegevens_A!A55)-1))</f>
        <v>Simons</v>
      </c>
      <c r="C56" t="str">
        <f t="shared" ca="1" si="0"/>
        <v/>
      </c>
      <c r="D56" t="str">
        <f>IF(Klantgegevens_B!F55&lt;&gt;"", Klantgegevens_B!F55, Klantgegevens_A!D55 &amp; " " &amp; Klantgegevens_A!E55 &amp; ", " &amp; Klantgegevens_A!F55)</f>
        <v>Chisom,Dario,Matthias</v>
      </c>
      <c r="E56">
        <f>IF(Klantgegevens_B!G55&lt;&gt;"", Klantgegevens_B!G55, TEXTJOIN(",", TRUE, REPT("Volwassene,", Klantgegevens_A!G55), REPT("Kind,", Klantgegevens_A!H55)))</f>
        <v>165.38</v>
      </c>
      <c r="F56">
        <f>IF(Klantgegevens_B!G55&lt;&gt;"", LEN(Klantgegevens_B!G55)-LEN(SUBSTITUTE(Klantgegevens_B!G55, ",", ""))+1, Klantgegevens_A!G55)</f>
        <v>1</v>
      </c>
      <c r="G56">
        <f>IF(Klantgegevens_B!G55&lt;&gt;"", 0, Klantgegevens_A!H55)</f>
        <v>0</v>
      </c>
      <c r="H56">
        <f>IF(Klantgegevens_B!H55&lt;&gt;"", Klantgegevens_B!H55, Klantgegevens_A!I55)</f>
        <v>6</v>
      </c>
      <c r="I56" t="str">
        <f>IF(Klantgegevens_B!I55&lt;&gt;"", Klantgegevens_B!I55, SWITCH(Klantgegevens_A!J55, "Zelden", 1, "Af en toe", 4, "Regelmatig", 8, "Vaak", 12))</f>
        <v>Bancontact</v>
      </c>
      <c r="J56" t="str">
        <f>IF(Klantgegevens_B!J55&lt;&gt;"", Klantgegevens_B!J55, Klantgegevens_A!K55)</f>
        <v>ja</v>
      </c>
      <c r="K56">
        <f>IF(Klantgegevens_B!K55&lt;&gt;"", AVERAGE(--(Klantgegevens_B!K55="ja"), --(Klantgegevens_B!L55="ja"), --(Klantgegevens_B!M55="ja"), --(Klantgegevens_B!N55="ja"), --(Klantgegevens_B!O55="ja"))*10, Klantgegevens_A!L55)</f>
        <v>4</v>
      </c>
      <c r="L56" t="str">
        <f>IF(Klantgegevens_B!K55&lt;&gt;"", Klantgegevens_B!K55, IF(Klantgegevens_A!L55&gt;=7, "ja", "nee"))</f>
        <v>nee</v>
      </c>
      <c r="M56" t="str">
        <f>IF(Klantgegevens_B!L55&lt;&gt;"", Klantgegevens_B!L55, IF(Klantgegevens_A!L55&gt;=7, "ja", "nee"))</f>
        <v>ja</v>
      </c>
      <c r="N56" t="str">
        <f>IF(Klantgegevens_B!M55&lt;&gt;"", Klantgegevens_B!M55, IF(Klantgegevens_A!L55&gt;=7, "ja", "nee"))</f>
        <v>ja</v>
      </c>
      <c r="O56" t="str">
        <f>IF(Klantgegevens_B!N55&lt;&gt;"", Klantgegevens_B!N55, IF(Klantgegevens_A!L55&gt;=7, "ja", "nee"))</f>
        <v>nee</v>
      </c>
      <c r="P56" t="str">
        <f>IF(Klantgegevens_B!O55&lt;&gt;"", Klantgegevens_B!O55, IF(Klantgegevens_A!L55&gt;=7, "ja", "nee"))</f>
        <v>Geen dieet</v>
      </c>
      <c r="Q56" t="str">
        <f>IF(Klantgegevens_B!P55&lt;&gt;"", Klantgegevens_B!P55, Klantgegevens_A!M55)</f>
        <v>Geen dieet</v>
      </c>
      <c r="R56" t="str">
        <f>IF(Klantgegevens_B!A55&lt;&gt;"", "B", "A")</f>
        <v>B</v>
      </c>
    </row>
    <row r="57" spans="1:18" x14ac:dyDescent="0.3">
      <c r="A57" t="str">
        <f>IF(Klantgegevens_B!A56&lt;&gt;"", Klantgegevens_B!A56, MID(Klantgegevens_A!A56, FIND(",", Klantgegevens_A!A56)+2, LEN(Klantgegevens_A!A56)))</f>
        <v>Hugo</v>
      </c>
      <c r="B57" t="str">
        <f>IF(Klantgegevens_B!B56&lt;&gt;"", Klantgegevens_B!B56, LEFT(Klantgegevens_A!A56, FIND(",", Klantgegevens_A!A56)-1))</f>
        <v>Vervoort</v>
      </c>
      <c r="C57" t="str">
        <f t="shared" ca="1" si="0"/>
        <v/>
      </c>
      <c r="D57" t="str">
        <f>IF(Klantgegevens_B!F56&lt;&gt;"", Klantgegevens_B!F56, Klantgegevens_A!D56 &amp; " " &amp; Klantgegevens_A!E56 &amp; ", " &amp; Klantgegevens_A!F56)</f>
        <v>Hugo</v>
      </c>
      <c r="E57">
        <f>IF(Klantgegevens_B!G56&lt;&gt;"", Klantgegevens_B!G56, TEXTJOIN(",", TRUE, REPT("Volwassene,", Klantgegevens_A!G56), REPT("Kind,", Klantgegevens_A!H56)))</f>
        <v>58.77</v>
      </c>
      <c r="F57">
        <f>IF(Klantgegevens_B!G56&lt;&gt;"", LEN(Klantgegevens_B!G56)-LEN(SUBSTITUTE(Klantgegevens_B!G56, ",", ""))+1, Klantgegevens_A!G56)</f>
        <v>1</v>
      </c>
      <c r="G57">
        <f>IF(Klantgegevens_B!G56&lt;&gt;"", 0, Klantgegevens_A!H56)</f>
        <v>0</v>
      </c>
      <c r="H57">
        <f>IF(Klantgegevens_B!H56&lt;&gt;"", Klantgegevens_B!H56, Klantgegevens_A!I56)</f>
        <v>7</v>
      </c>
      <c r="I57" t="str">
        <f>IF(Klantgegevens_B!I56&lt;&gt;"", Klantgegevens_B!I56, SWITCH(Klantgegevens_A!J56, "Zelden", 1, "Af en toe", 4, "Regelmatig", 8, "Vaak", 12))</f>
        <v>Payconiq</v>
      </c>
      <c r="J57" t="str">
        <f>IF(Klantgegevens_B!J56&lt;&gt;"", Klantgegevens_B!J56, Klantgegevens_A!K56)</f>
        <v>ja</v>
      </c>
      <c r="K57">
        <f>IF(Klantgegevens_B!K56&lt;&gt;"", AVERAGE(--(Klantgegevens_B!K56="ja"), --(Klantgegevens_B!L56="ja"), --(Klantgegevens_B!M56="ja"), --(Klantgegevens_B!N56="ja"), --(Klantgegevens_B!O56="ja"))*10, Klantgegevens_A!L56)</f>
        <v>8</v>
      </c>
      <c r="L57" t="str">
        <f>IF(Klantgegevens_B!K56&lt;&gt;"", Klantgegevens_B!K56, IF(Klantgegevens_A!L56&gt;=7, "ja", "nee"))</f>
        <v>ja</v>
      </c>
      <c r="M57" t="str">
        <f>IF(Klantgegevens_B!L56&lt;&gt;"", Klantgegevens_B!L56, IF(Klantgegevens_A!L56&gt;=7, "ja", "nee"))</f>
        <v>ja</v>
      </c>
      <c r="N57" t="str">
        <f>IF(Klantgegevens_B!M56&lt;&gt;"", Klantgegevens_B!M56, IF(Klantgegevens_A!L56&gt;=7, "ja", "nee"))</f>
        <v>ja</v>
      </c>
      <c r="O57" t="str">
        <f>IF(Klantgegevens_B!N56&lt;&gt;"", Klantgegevens_B!N56, IF(Klantgegevens_A!L56&gt;=7, "ja", "nee"))</f>
        <v>ja</v>
      </c>
      <c r="P57" t="str">
        <f>IF(Klantgegevens_B!O56&lt;&gt;"", Klantgegevens_B!O56, IF(Klantgegevens_A!L56&gt;=7, "ja", "nee"))</f>
        <v>Vegetarisch</v>
      </c>
      <c r="Q57" t="str">
        <f>IF(Klantgegevens_B!P56&lt;&gt;"", Klantgegevens_B!P56, Klantgegevens_A!M56)</f>
        <v>Veganistisch</v>
      </c>
      <c r="R57" t="str">
        <f>IF(Klantgegevens_B!A56&lt;&gt;"", "B", "A")</f>
        <v>B</v>
      </c>
    </row>
    <row r="58" spans="1:18" x14ac:dyDescent="0.3">
      <c r="A58" t="str">
        <f>IF(Klantgegevens_B!A57&lt;&gt;"", Klantgegevens_B!A57, MID(Klantgegevens_A!A57, FIND(",", Klantgegevens_A!A57)+2, LEN(Klantgegevens_A!A57)))</f>
        <v>Maria</v>
      </c>
      <c r="B58" t="str">
        <f>IF(Klantgegevens_B!B57&lt;&gt;"", Klantgegevens_B!B57, LEFT(Klantgegevens_A!A57, FIND(",", Klantgegevens_A!A57)-1))</f>
        <v>Moons</v>
      </c>
      <c r="C58" t="str">
        <f t="shared" ca="1" si="0"/>
        <v/>
      </c>
      <c r="D58" t="str">
        <f>IF(Klantgegevens_B!F57&lt;&gt;"", Klantgegevens_B!F57, Klantgegevens_A!D57 &amp; " " &amp; Klantgegevens_A!E57 &amp; ", " &amp; Klantgegevens_A!F57)</f>
        <v>Maria</v>
      </c>
      <c r="E58">
        <f>IF(Klantgegevens_B!G57&lt;&gt;"", Klantgegevens_B!G57, TEXTJOIN(",", TRUE, REPT("Volwassene,", Klantgegevens_A!G57), REPT("Kind,", Klantgegevens_A!H57)))</f>
        <v>132.15</v>
      </c>
      <c r="F58">
        <f>IF(Klantgegevens_B!G57&lt;&gt;"", LEN(Klantgegevens_B!G57)-LEN(SUBSTITUTE(Klantgegevens_B!G57, ",", ""))+1, Klantgegevens_A!G57)</f>
        <v>1</v>
      </c>
      <c r="G58">
        <f>IF(Klantgegevens_B!G57&lt;&gt;"", 0, Klantgegevens_A!H57)</f>
        <v>0</v>
      </c>
      <c r="H58">
        <f>IF(Klantgegevens_B!H57&lt;&gt;"", Klantgegevens_B!H57, Klantgegevens_A!I57)</f>
        <v>10</v>
      </c>
      <c r="I58" t="str">
        <f>IF(Klantgegevens_B!I57&lt;&gt;"", Klantgegevens_B!I57, SWITCH(Klantgegevens_A!J57, "Zelden", 1, "Af en toe", 4, "Regelmatig", 8, "Vaak", 12))</f>
        <v>Payconiq</v>
      </c>
      <c r="J58" t="str">
        <f>IF(Klantgegevens_B!J57&lt;&gt;"", Klantgegevens_B!J57, Klantgegevens_A!K57)</f>
        <v>ja</v>
      </c>
      <c r="K58">
        <f>IF(Klantgegevens_B!K57&lt;&gt;"", AVERAGE(--(Klantgegevens_B!K57="ja"), --(Klantgegevens_B!L57="ja"), --(Klantgegevens_B!M57="ja"), --(Klantgegevens_B!N57="ja"), --(Klantgegevens_B!O57="ja"))*10, Klantgegevens_A!L57)</f>
        <v>8</v>
      </c>
      <c r="L58" t="str">
        <f>IF(Klantgegevens_B!K57&lt;&gt;"", Klantgegevens_B!K57, IF(Klantgegevens_A!L57&gt;=7, "ja", "nee"))</f>
        <v>ja</v>
      </c>
      <c r="M58" t="str">
        <f>IF(Klantgegevens_B!L57&lt;&gt;"", Klantgegevens_B!L57, IF(Klantgegevens_A!L57&gt;=7, "ja", "nee"))</f>
        <v>ja</v>
      </c>
      <c r="N58" t="str">
        <f>IF(Klantgegevens_B!M57&lt;&gt;"", Klantgegevens_B!M57, IF(Klantgegevens_A!L57&gt;=7, "ja", "nee"))</f>
        <v>ja</v>
      </c>
      <c r="O58" t="str">
        <f>IF(Klantgegevens_B!N57&lt;&gt;"", Klantgegevens_B!N57, IF(Klantgegevens_A!L57&gt;=7, "ja", "nee"))</f>
        <v>ja</v>
      </c>
      <c r="P58" t="str">
        <f>IF(Klantgegevens_B!O57&lt;&gt;"", Klantgegevens_B!O57, IF(Klantgegevens_A!L57&gt;=7, "ja", "nee"))</f>
        <v>Vegetarisch</v>
      </c>
      <c r="Q58" t="str">
        <f>IF(Klantgegevens_B!P57&lt;&gt;"", Klantgegevens_B!P57, Klantgegevens_A!M57)</f>
        <v>Geen dieet</v>
      </c>
      <c r="R58" t="str">
        <f>IF(Klantgegevens_B!A57&lt;&gt;"", "B", "A")</f>
        <v>B</v>
      </c>
    </row>
    <row r="59" spans="1:18" x14ac:dyDescent="0.3">
      <c r="A59" t="str">
        <f>IF(Klantgegevens_B!A58&lt;&gt;"", Klantgegevens_B!A58, MID(Klantgegevens_A!A58, FIND(",", Klantgegevens_A!A58)+2, LEN(Klantgegevens_A!A58)))</f>
        <v>Bjorn</v>
      </c>
      <c r="B59" t="str">
        <f>IF(Klantgegevens_B!B58&lt;&gt;"", Klantgegevens_B!B58, LEFT(Klantgegevens_A!A58, FIND(",", Klantgegevens_A!A58)-1))</f>
        <v>Dhondt</v>
      </c>
      <c r="C59" t="str">
        <f t="shared" ca="1" si="0"/>
        <v/>
      </c>
      <c r="D59" t="str">
        <f>IF(Klantgegevens_B!F58&lt;&gt;"", Klantgegevens_B!F58, Klantgegevens_A!D58 &amp; " " &amp; Klantgegevens_A!E58 &amp; ", " &amp; Klantgegevens_A!F58)</f>
        <v>Bjorn</v>
      </c>
      <c r="E59">
        <f>IF(Klantgegevens_B!G58&lt;&gt;"", Klantgegevens_B!G58, TEXTJOIN(",", TRUE, REPT("Volwassene,", Klantgegevens_A!G58), REPT("Kind,", Klantgegevens_A!H58)))</f>
        <v>78.05</v>
      </c>
      <c r="F59">
        <f>IF(Klantgegevens_B!G58&lt;&gt;"", LEN(Klantgegevens_B!G58)-LEN(SUBSTITUTE(Klantgegevens_B!G58, ",", ""))+1, Klantgegevens_A!G58)</f>
        <v>1</v>
      </c>
      <c r="G59">
        <f>IF(Klantgegevens_B!G58&lt;&gt;"", 0, Klantgegevens_A!H58)</f>
        <v>0</v>
      </c>
      <c r="H59">
        <f>IF(Klantgegevens_B!H58&lt;&gt;"", Klantgegevens_B!H58, Klantgegevens_A!I58)</f>
        <v>1</v>
      </c>
      <c r="I59" t="str">
        <f>IF(Klantgegevens_B!I58&lt;&gt;"", Klantgegevens_B!I58, SWITCH(Klantgegevens_A!J58, "Zelden", 1, "Af en toe", 4, "Regelmatig", 8, "Vaak", 12))</f>
        <v>Payconiq</v>
      </c>
      <c r="J59" t="str">
        <f>IF(Klantgegevens_B!J58&lt;&gt;"", Klantgegevens_B!J58, Klantgegevens_A!K58)</f>
        <v>ja</v>
      </c>
      <c r="K59">
        <f>IF(Klantgegevens_B!K58&lt;&gt;"", AVERAGE(--(Klantgegevens_B!K58="ja"), --(Klantgegevens_B!L58="ja"), --(Klantgegevens_B!M58="ja"), --(Klantgegevens_B!N58="ja"), --(Klantgegevens_B!O58="ja"))*10, Klantgegevens_A!L58)</f>
        <v>6</v>
      </c>
      <c r="L59" t="str">
        <f>IF(Klantgegevens_B!K58&lt;&gt;"", Klantgegevens_B!K58, IF(Klantgegevens_A!L58&gt;=7, "ja", "nee"))</f>
        <v>nee</v>
      </c>
      <c r="M59" t="str">
        <f>IF(Klantgegevens_B!L58&lt;&gt;"", Klantgegevens_B!L58, IF(Klantgegevens_A!L58&gt;=7, "ja", "nee"))</f>
        <v>ja</v>
      </c>
      <c r="N59" t="str">
        <f>IF(Klantgegevens_B!M58&lt;&gt;"", Klantgegevens_B!M58, IF(Klantgegevens_A!L58&gt;=7, "ja", "nee"))</f>
        <v>ja</v>
      </c>
      <c r="O59" t="str">
        <f>IF(Klantgegevens_B!N58&lt;&gt;"", Klantgegevens_B!N58, IF(Klantgegevens_A!L58&gt;=7, "ja", "nee"))</f>
        <v>ja</v>
      </c>
      <c r="P59" t="str">
        <f>IF(Klantgegevens_B!O58&lt;&gt;"", Klantgegevens_B!O58, IF(Klantgegevens_A!L58&gt;=7, "ja", "nee"))</f>
        <v>Geen dieet</v>
      </c>
      <c r="Q59" t="str">
        <f>IF(Klantgegevens_B!P58&lt;&gt;"", Klantgegevens_B!P58, Klantgegevens_A!M58)</f>
        <v>Geen dieet</v>
      </c>
      <c r="R59" t="str">
        <f>IF(Klantgegevens_B!A58&lt;&gt;"", "B", "A")</f>
        <v>B</v>
      </c>
    </row>
    <row r="60" spans="1:18" x14ac:dyDescent="0.3">
      <c r="A60" t="str">
        <f>IF(Klantgegevens_B!A59&lt;&gt;"", Klantgegevens_B!A59, MID(Klantgegevens_A!A59, FIND(",", Klantgegevens_A!A59)+2, LEN(Klantgegevens_A!A59)))</f>
        <v>Yamina</v>
      </c>
      <c r="B60" t="str">
        <f>IF(Klantgegevens_B!B59&lt;&gt;"", Klantgegevens_B!B59, LEFT(Klantgegevens_A!A59, FIND(",", Klantgegevens_A!A59)-1))</f>
        <v>Peeters</v>
      </c>
      <c r="C60" t="str">
        <f t="shared" ca="1" si="0"/>
        <v/>
      </c>
      <c r="D60" t="str">
        <f>IF(Klantgegevens_B!F59&lt;&gt;"", Klantgegevens_B!F59, Klantgegevens_A!D59 &amp; " " &amp; Klantgegevens_A!E59 &amp; ", " &amp; Klantgegevens_A!F59)</f>
        <v>Yamina,Nele</v>
      </c>
      <c r="E60">
        <f>IF(Klantgegevens_B!G59&lt;&gt;"", Klantgegevens_B!G59, TEXTJOIN(",", TRUE, REPT("Volwassene,", Klantgegevens_A!G59), REPT("Kind,", Klantgegevens_A!H59)))</f>
        <v>47.41</v>
      </c>
      <c r="F60">
        <f>IF(Klantgegevens_B!G59&lt;&gt;"", LEN(Klantgegevens_B!G59)-LEN(SUBSTITUTE(Klantgegevens_B!G59, ",", ""))+1, Klantgegevens_A!G59)</f>
        <v>1</v>
      </c>
      <c r="G60">
        <f>IF(Klantgegevens_B!G59&lt;&gt;"", 0, Klantgegevens_A!H59)</f>
        <v>0</v>
      </c>
      <c r="H60">
        <f>IF(Klantgegevens_B!H59&lt;&gt;"", Klantgegevens_B!H59, Klantgegevens_A!I59)</f>
        <v>12</v>
      </c>
      <c r="I60" t="str">
        <f>IF(Klantgegevens_B!I59&lt;&gt;"", Klantgegevens_B!I59, SWITCH(Klantgegevens_A!J59, "Zelden", 1, "Af en toe", 4, "Regelmatig", 8, "Vaak", 12))</f>
        <v>Bancontact</v>
      </c>
      <c r="J60" t="str">
        <f>IF(Klantgegevens_B!J59&lt;&gt;"", Klantgegevens_B!J59, Klantgegevens_A!K59)</f>
        <v>nee</v>
      </c>
      <c r="K60">
        <f>IF(Klantgegevens_B!K59&lt;&gt;"", AVERAGE(--(Klantgegevens_B!K59="ja"), --(Klantgegevens_B!L59="ja"), --(Klantgegevens_B!M59="ja"), --(Klantgegevens_B!N59="ja"), --(Klantgegevens_B!O59="ja"))*10, Klantgegevens_A!L59)</f>
        <v>2</v>
      </c>
      <c r="L60" t="str">
        <f>IF(Klantgegevens_B!K59&lt;&gt;"", Klantgegevens_B!K59, IF(Klantgegevens_A!L59&gt;=7, "ja", "nee"))</f>
        <v>nee</v>
      </c>
      <c r="M60" t="str">
        <f>IF(Klantgegevens_B!L59&lt;&gt;"", Klantgegevens_B!L59, IF(Klantgegevens_A!L59&gt;=7, "ja", "nee"))</f>
        <v>ja</v>
      </c>
      <c r="N60" t="str">
        <f>IF(Klantgegevens_B!M59&lt;&gt;"", Klantgegevens_B!M59, IF(Klantgegevens_A!L59&gt;=7, "ja", "nee"))</f>
        <v>nee</v>
      </c>
      <c r="O60" t="str">
        <f>IF(Klantgegevens_B!N59&lt;&gt;"", Klantgegevens_B!N59, IF(Klantgegevens_A!L59&gt;=7, "ja", "nee"))</f>
        <v>nee</v>
      </c>
      <c r="P60" t="str">
        <f>IF(Klantgegevens_B!O59&lt;&gt;"", Klantgegevens_B!O59, IF(Klantgegevens_A!L59&gt;=7, "ja", "nee"))</f>
        <v>Vegetarisch</v>
      </c>
      <c r="Q60" t="str">
        <f>IF(Klantgegevens_B!P59&lt;&gt;"", Klantgegevens_B!P59, Klantgegevens_A!M59)</f>
        <v>Geen dieet</v>
      </c>
      <c r="R60" t="str">
        <f>IF(Klantgegevens_B!A59&lt;&gt;"", "B", "A")</f>
        <v>B</v>
      </c>
    </row>
    <row r="61" spans="1:18" x14ac:dyDescent="0.3">
      <c r="A61" t="str">
        <f>IF(Klantgegevens_B!A60&lt;&gt;"", Klantgegevens_B!A60, MID(Klantgegevens_A!A60, FIND(",", Klantgegevens_A!A60)+2, LEN(Klantgegevens_A!A60)))</f>
        <v>Wendy</v>
      </c>
      <c r="B61" t="str">
        <f>IF(Klantgegevens_B!B60&lt;&gt;"", Klantgegevens_B!B60, LEFT(Klantgegevens_A!A60, FIND(",", Klantgegevens_A!A60)-1))</f>
        <v>Michiels</v>
      </c>
      <c r="C61" t="str">
        <f t="shared" ca="1" si="0"/>
        <v/>
      </c>
      <c r="D61" t="str">
        <f>IF(Klantgegevens_B!F60&lt;&gt;"", Klantgegevens_B!F60, Klantgegevens_A!D60 &amp; " " &amp; Klantgegevens_A!E60 &amp; ", " &amp; Klantgegevens_A!F60)</f>
        <v>Wendy,Hamid,Dany</v>
      </c>
      <c r="E61">
        <f>IF(Klantgegevens_B!G60&lt;&gt;"", Klantgegevens_B!G60, TEXTJOIN(",", TRUE, REPT("Volwassene,", Klantgegevens_A!G60), REPT("Kind,", Klantgegevens_A!H60)))</f>
        <v>67.400000000000006</v>
      </c>
      <c r="F61">
        <f>IF(Klantgegevens_B!G60&lt;&gt;"", LEN(Klantgegevens_B!G60)-LEN(SUBSTITUTE(Klantgegevens_B!G60, ",", ""))+1, Klantgegevens_A!G60)</f>
        <v>1</v>
      </c>
      <c r="G61">
        <f>IF(Klantgegevens_B!G60&lt;&gt;"", 0, Klantgegevens_A!H60)</f>
        <v>0</v>
      </c>
      <c r="H61">
        <f>IF(Klantgegevens_B!H60&lt;&gt;"", Klantgegevens_B!H60, Klantgegevens_A!I60)</f>
        <v>18</v>
      </c>
      <c r="I61" t="str">
        <f>IF(Klantgegevens_B!I60&lt;&gt;"", Klantgegevens_B!I60, SWITCH(Klantgegevens_A!J60, "Zelden", 1, "Af en toe", 4, "Regelmatig", 8, "Vaak", 12))</f>
        <v>Cash</v>
      </c>
      <c r="J61" t="str">
        <f>IF(Klantgegevens_B!J60&lt;&gt;"", Klantgegevens_B!J60, Klantgegevens_A!K60)</f>
        <v>nee</v>
      </c>
      <c r="K61">
        <f>IF(Klantgegevens_B!K60&lt;&gt;"", AVERAGE(--(Klantgegevens_B!K60="ja"), --(Klantgegevens_B!L60="ja"), --(Klantgegevens_B!M60="ja"), --(Klantgegevens_B!N60="ja"), --(Klantgegevens_B!O60="ja"))*10, Klantgegevens_A!L60)</f>
        <v>6</v>
      </c>
      <c r="L61" t="str">
        <f>IF(Klantgegevens_B!K60&lt;&gt;"", Klantgegevens_B!K60, IF(Klantgegevens_A!L60&gt;=7, "ja", "nee"))</f>
        <v>ja</v>
      </c>
      <c r="M61" t="str">
        <f>IF(Klantgegevens_B!L60&lt;&gt;"", Klantgegevens_B!L60, IF(Klantgegevens_A!L60&gt;=7, "ja", "nee"))</f>
        <v>ja</v>
      </c>
      <c r="N61" t="str">
        <f>IF(Klantgegevens_B!M60&lt;&gt;"", Klantgegevens_B!M60, IF(Klantgegevens_A!L60&gt;=7, "ja", "nee"))</f>
        <v>nee</v>
      </c>
      <c r="O61" t="str">
        <f>IF(Klantgegevens_B!N60&lt;&gt;"", Klantgegevens_B!N60, IF(Klantgegevens_A!L60&gt;=7, "ja", "nee"))</f>
        <v>ja</v>
      </c>
      <c r="P61" t="str">
        <f>IF(Klantgegevens_B!O60&lt;&gt;"", Klantgegevens_B!O60, IF(Klantgegevens_A!L60&gt;=7, "ja", "nee"))</f>
        <v>Geen dieet</v>
      </c>
      <c r="Q61" t="str">
        <f>IF(Klantgegevens_B!P60&lt;&gt;"", Klantgegevens_B!P60, Klantgegevens_A!M60)</f>
        <v>Geen dieet</v>
      </c>
      <c r="R61" t="str">
        <f>IF(Klantgegevens_B!A60&lt;&gt;"", "B", "A")</f>
        <v>B</v>
      </c>
    </row>
    <row r="62" spans="1:18" x14ac:dyDescent="0.3">
      <c r="A62" t="str">
        <f>IF(Klantgegevens_B!A61&lt;&gt;"", Klantgegevens_B!A61, MID(Klantgegevens_A!A61, FIND(",", Klantgegevens_A!A61)+2, LEN(Klantgegevens_A!A61)))</f>
        <v>Vitali</v>
      </c>
      <c r="B62" t="str">
        <f>IF(Klantgegevens_B!B61&lt;&gt;"", Klantgegevens_B!B61, LEFT(Klantgegevens_A!A61, FIND(",", Klantgegevens_A!A61)-1))</f>
        <v>Michiels</v>
      </c>
      <c r="C62" t="str">
        <f t="shared" ca="1" si="0"/>
        <v/>
      </c>
      <c r="D62" t="str">
        <f>IF(Klantgegevens_B!F61&lt;&gt;"", Klantgegevens_B!F61, Klantgegevens_A!D61 &amp; " " &amp; Klantgegevens_A!E61 &amp; ", " &amp; Klantgegevens_A!F61)</f>
        <v>Vitali,Mohamed,Stijn</v>
      </c>
      <c r="E62">
        <f>IF(Klantgegevens_B!G61&lt;&gt;"", Klantgegevens_B!G61, TEXTJOIN(",", TRUE, REPT("Volwassene,", Klantgegevens_A!G61), REPT("Kind,", Klantgegevens_A!H61)))</f>
        <v>86.65</v>
      </c>
      <c r="F62">
        <f>IF(Klantgegevens_B!G61&lt;&gt;"", LEN(Klantgegevens_B!G61)-LEN(SUBSTITUTE(Klantgegevens_B!G61, ",", ""))+1, Klantgegevens_A!G61)</f>
        <v>1</v>
      </c>
      <c r="G62">
        <f>IF(Klantgegevens_B!G61&lt;&gt;"", 0, Klantgegevens_A!H61)</f>
        <v>0</v>
      </c>
      <c r="H62">
        <f>IF(Klantgegevens_B!H61&lt;&gt;"", Klantgegevens_B!H61, Klantgegevens_A!I61)</f>
        <v>16</v>
      </c>
      <c r="I62" t="str">
        <f>IF(Klantgegevens_B!I61&lt;&gt;"", Klantgegevens_B!I61, SWITCH(Klantgegevens_A!J61, "Zelden", 1, "Af en toe", 4, "Regelmatig", 8, "Vaak", 12))</f>
        <v>Payconiq</v>
      </c>
      <c r="J62" t="str">
        <f>IF(Klantgegevens_B!J61&lt;&gt;"", Klantgegevens_B!J61, Klantgegevens_A!K61)</f>
        <v>ja</v>
      </c>
      <c r="K62">
        <f>IF(Klantgegevens_B!K61&lt;&gt;"", AVERAGE(--(Klantgegevens_B!K61="ja"), --(Klantgegevens_B!L61="ja"), --(Klantgegevens_B!M61="ja"), --(Klantgegevens_B!N61="ja"), --(Klantgegevens_B!O61="ja"))*10, Klantgegevens_A!L61)</f>
        <v>6</v>
      </c>
      <c r="L62" t="str">
        <f>IF(Klantgegevens_B!K61&lt;&gt;"", Klantgegevens_B!K61, IF(Klantgegevens_A!L61&gt;=7, "ja", "nee"))</f>
        <v>ja</v>
      </c>
      <c r="M62" t="str">
        <f>IF(Klantgegevens_B!L61&lt;&gt;"", Klantgegevens_B!L61, IF(Klantgegevens_A!L61&gt;=7, "ja", "nee"))</f>
        <v>ja</v>
      </c>
      <c r="N62" t="str">
        <f>IF(Klantgegevens_B!M61&lt;&gt;"", Klantgegevens_B!M61, IF(Klantgegevens_A!L61&gt;=7, "ja", "nee"))</f>
        <v>ja</v>
      </c>
      <c r="O62" t="str">
        <f>IF(Klantgegevens_B!N61&lt;&gt;"", Klantgegevens_B!N61, IF(Klantgegevens_A!L61&gt;=7, "ja", "nee"))</f>
        <v>nee</v>
      </c>
      <c r="P62" t="str">
        <f>IF(Klantgegevens_B!O61&lt;&gt;"", Klantgegevens_B!O61, IF(Klantgegevens_A!L61&gt;=7, "ja", "nee"))</f>
        <v>Vegetarisch</v>
      </c>
      <c r="Q62" t="str">
        <f>IF(Klantgegevens_B!P61&lt;&gt;"", Klantgegevens_B!P61, Klantgegevens_A!M61)</f>
        <v>Geen dieet</v>
      </c>
      <c r="R62" t="str">
        <f>IF(Klantgegevens_B!A61&lt;&gt;"", "B", "A")</f>
        <v>B</v>
      </c>
    </row>
    <row r="63" spans="1:18" x14ac:dyDescent="0.3">
      <c r="A63" t="str">
        <f>IF(Klantgegevens_B!A62&lt;&gt;"", Klantgegevens_B!A62, MID(Klantgegevens_A!A62, FIND(",", Klantgegevens_A!A62)+2, LEN(Klantgegevens_A!A62)))</f>
        <v>Sandrine</v>
      </c>
      <c r="B63" t="str">
        <f>IF(Klantgegevens_B!B62&lt;&gt;"", Klantgegevens_B!B62, LEFT(Klantgegevens_A!A62, FIND(",", Klantgegevens_A!A62)-1))</f>
        <v>De block</v>
      </c>
      <c r="C63" t="str">
        <f t="shared" ca="1" si="0"/>
        <v/>
      </c>
      <c r="D63" t="str">
        <f>IF(Klantgegevens_B!F62&lt;&gt;"", Klantgegevens_B!F62, Klantgegevens_A!D62 &amp; " " &amp; Klantgegevens_A!E62 &amp; ", " &amp; Klantgegevens_A!F62)</f>
        <v>Sandrine</v>
      </c>
      <c r="E63">
        <f>IF(Klantgegevens_B!G62&lt;&gt;"", Klantgegevens_B!G62, TEXTJOIN(",", TRUE, REPT("Volwassene,", Klantgegevens_A!G62), REPT("Kind,", Klantgegevens_A!H62)))</f>
        <v>18.37</v>
      </c>
      <c r="F63">
        <f>IF(Klantgegevens_B!G62&lt;&gt;"", LEN(Klantgegevens_B!G62)-LEN(SUBSTITUTE(Klantgegevens_B!G62, ",", ""))+1, Klantgegevens_A!G62)</f>
        <v>1</v>
      </c>
      <c r="G63">
        <f>IF(Klantgegevens_B!G62&lt;&gt;"", 0, Klantgegevens_A!H62)</f>
        <v>0</v>
      </c>
      <c r="H63">
        <f>IF(Klantgegevens_B!H62&lt;&gt;"", Klantgegevens_B!H62, Klantgegevens_A!I62)</f>
        <v>1</v>
      </c>
      <c r="I63" t="str">
        <f>IF(Klantgegevens_B!I62&lt;&gt;"", Klantgegevens_B!I62, SWITCH(Klantgegevens_A!J62, "Zelden", 1, "Af en toe", 4, "Regelmatig", 8, "Vaak", 12))</f>
        <v>Bancontact</v>
      </c>
      <c r="J63" t="str">
        <f>IF(Klantgegevens_B!J62&lt;&gt;"", Klantgegevens_B!J62, Klantgegevens_A!K62)</f>
        <v>nee</v>
      </c>
      <c r="K63">
        <f>IF(Klantgegevens_B!K62&lt;&gt;"", AVERAGE(--(Klantgegevens_B!K62="ja"), --(Klantgegevens_B!L62="ja"), --(Klantgegevens_B!M62="ja"), --(Klantgegevens_B!N62="ja"), --(Klantgegevens_B!O62="ja"))*10, Klantgegevens_A!L62)</f>
        <v>6</v>
      </c>
      <c r="L63" t="str">
        <f>IF(Klantgegevens_B!K62&lt;&gt;"", Klantgegevens_B!K62, IF(Klantgegevens_A!L62&gt;=7, "ja", "nee"))</f>
        <v>ja</v>
      </c>
      <c r="M63" t="str">
        <f>IF(Klantgegevens_B!L62&lt;&gt;"", Klantgegevens_B!L62, IF(Klantgegevens_A!L62&gt;=7, "ja", "nee"))</f>
        <v>nee</v>
      </c>
      <c r="N63" t="str">
        <f>IF(Klantgegevens_B!M62&lt;&gt;"", Klantgegevens_B!M62, IF(Klantgegevens_A!L62&gt;=7, "ja", "nee"))</f>
        <v>ja</v>
      </c>
      <c r="O63" t="str">
        <f>IF(Klantgegevens_B!N62&lt;&gt;"", Klantgegevens_B!N62, IF(Klantgegevens_A!L62&gt;=7, "ja", "nee"))</f>
        <v>ja</v>
      </c>
      <c r="P63" t="str">
        <f>IF(Klantgegevens_B!O62&lt;&gt;"", Klantgegevens_B!O62, IF(Klantgegevens_A!L62&gt;=7, "ja", "nee"))</f>
        <v>Geen dieet</v>
      </c>
      <c r="Q63" t="str">
        <f>IF(Klantgegevens_B!P62&lt;&gt;"", Klantgegevens_B!P62, Klantgegevens_A!M62)</f>
        <v>Veganistisch</v>
      </c>
      <c r="R63" t="str">
        <f>IF(Klantgegevens_B!A62&lt;&gt;"", "B", "A")</f>
        <v>B</v>
      </c>
    </row>
    <row r="64" spans="1:18" x14ac:dyDescent="0.3">
      <c r="A64" t="str">
        <f>IF(Klantgegevens_B!A63&lt;&gt;"", Klantgegevens_B!A63, MID(Klantgegevens_A!A63, FIND(",", Klantgegevens_A!A63)+2, LEN(Klantgegevens_A!A63)))</f>
        <v>Charles</v>
      </c>
      <c r="B64" t="str">
        <f>IF(Klantgegevens_B!B63&lt;&gt;"", Klantgegevens_B!B63, LEFT(Klantgegevens_A!A63, FIND(",", Klantgegevens_A!A63)-1))</f>
        <v>Vercruysse</v>
      </c>
      <c r="C64" t="str">
        <f t="shared" ca="1" si="0"/>
        <v/>
      </c>
      <c r="D64" t="str">
        <f>IF(Klantgegevens_B!F63&lt;&gt;"", Klantgegevens_B!F63, Klantgegevens_A!D63 &amp; " " &amp; Klantgegevens_A!E63 &amp; ", " &amp; Klantgegevens_A!F63)</f>
        <v>Charles,Miranda,Xavier,José</v>
      </c>
      <c r="E64">
        <f>IF(Klantgegevens_B!G63&lt;&gt;"", Klantgegevens_B!G63, TEXTJOIN(",", TRUE, REPT("Volwassene,", Klantgegevens_A!G63), REPT("Kind,", Klantgegevens_A!H63)))</f>
        <v>108.53</v>
      </c>
      <c r="F64">
        <f>IF(Klantgegevens_B!G63&lt;&gt;"", LEN(Klantgegevens_B!G63)-LEN(SUBSTITUTE(Klantgegevens_B!G63, ",", ""))+1, Klantgegevens_A!G63)</f>
        <v>1</v>
      </c>
      <c r="G64">
        <f>IF(Klantgegevens_B!G63&lt;&gt;"", 0, Klantgegevens_A!H63)</f>
        <v>0</v>
      </c>
      <c r="H64">
        <f>IF(Klantgegevens_B!H63&lt;&gt;"", Klantgegevens_B!H63, Klantgegevens_A!I63)</f>
        <v>5</v>
      </c>
      <c r="I64" t="str">
        <f>IF(Klantgegevens_B!I63&lt;&gt;"", Klantgegevens_B!I63, SWITCH(Klantgegevens_A!J63, "Zelden", 1, "Af en toe", 4, "Regelmatig", 8, "Vaak", 12))</f>
        <v>Payconiq</v>
      </c>
      <c r="J64" t="str">
        <f>IF(Klantgegevens_B!J63&lt;&gt;"", Klantgegevens_B!J63, Klantgegevens_A!K63)</f>
        <v>nee</v>
      </c>
      <c r="K64">
        <f>IF(Klantgegevens_B!K63&lt;&gt;"", AVERAGE(--(Klantgegevens_B!K63="ja"), --(Klantgegevens_B!L63="ja"), --(Klantgegevens_B!M63="ja"), --(Klantgegevens_B!N63="ja"), --(Klantgegevens_B!O63="ja"))*10, Klantgegevens_A!L63)</f>
        <v>6</v>
      </c>
      <c r="L64" t="str">
        <f>IF(Klantgegevens_B!K63&lt;&gt;"", Klantgegevens_B!K63, IF(Klantgegevens_A!L63&gt;=7, "ja", "nee"))</f>
        <v>ja</v>
      </c>
      <c r="M64" t="str">
        <f>IF(Klantgegevens_B!L63&lt;&gt;"", Klantgegevens_B!L63, IF(Klantgegevens_A!L63&gt;=7, "ja", "nee"))</f>
        <v>nee</v>
      </c>
      <c r="N64" t="str">
        <f>IF(Klantgegevens_B!M63&lt;&gt;"", Klantgegevens_B!M63, IF(Klantgegevens_A!L63&gt;=7, "ja", "nee"))</f>
        <v>ja</v>
      </c>
      <c r="O64" t="str">
        <f>IF(Klantgegevens_B!N63&lt;&gt;"", Klantgegevens_B!N63, IF(Klantgegevens_A!L63&gt;=7, "ja", "nee"))</f>
        <v>ja</v>
      </c>
      <c r="P64" t="str">
        <f>IF(Klantgegevens_B!O63&lt;&gt;"", Klantgegevens_B!O63, IF(Klantgegevens_A!L63&gt;=7, "ja", "nee"))</f>
        <v>Vegetarisch</v>
      </c>
      <c r="Q64" t="str">
        <f>IF(Klantgegevens_B!P63&lt;&gt;"", Klantgegevens_B!P63, Klantgegevens_A!M63)</f>
        <v>Veganistisch</v>
      </c>
      <c r="R64" t="str">
        <f>IF(Klantgegevens_B!A63&lt;&gt;"", "B", "A")</f>
        <v>B</v>
      </c>
    </row>
    <row r="65" spans="1:18" x14ac:dyDescent="0.3">
      <c r="A65" t="str">
        <f>IF(Klantgegevens_B!A64&lt;&gt;"", Klantgegevens_B!A64, MID(Klantgegevens_A!A64, FIND(",", Klantgegevens_A!A64)+2, LEN(Klantgegevens_A!A64)))</f>
        <v>Jennifer</v>
      </c>
      <c r="B65" t="str">
        <f>IF(Klantgegevens_B!B64&lt;&gt;"", Klantgegevens_B!B64, LEFT(Klantgegevens_A!A64, FIND(",", Klantgegevens_A!A64)-1))</f>
        <v>Thijs</v>
      </c>
      <c r="C65" t="str">
        <f t="shared" ca="1" si="0"/>
        <v/>
      </c>
      <c r="D65" t="str">
        <f>IF(Klantgegevens_B!F64&lt;&gt;"", Klantgegevens_B!F64, Klantgegevens_A!D64 &amp; " " &amp; Klantgegevens_A!E64 &amp; ", " &amp; Klantgegevens_A!F64)</f>
        <v>Jennifer,Carolien,Niels,Qefser,Dirk</v>
      </c>
      <c r="E65">
        <f>IF(Klantgegevens_B!G64&lt;&gt;"", Klantgegevens_B!G64, TEXTJOIN(",", TRUE, REPT("Volwassene,", Klantgegevens_A!G64), REPT("Kind,", Klantgegevens_A!H64)))</f>
        <v>169.41</v>
      </c>
      <c r="F65">
        <f>IF(Klantgegevens_B!G64&lt;&gt;"", LEN(Klantgegevens_B!G64)-LEN(SUBSTITUTE(Klantgegevens_B!G64, ",", ""))+1, Klantgegevens_A!G64)</f>
        <v>1</v>
      </c>
      <c r="G65">
        <f>IF(Klantgegevens_B!G64&lt;&gt;"", 0, Klantgegevens_A!H64)</f>
        <v>0</v>
      </c>
      <c r="H65">
        <f>IF(Klantgegevens_B!H64&lt;&gt;"", Klantgegevens_B!H64, Klantgegevens_A!I64)</f>
        <v>12</v>
      </c>
      <c r="I65" t="str">
        <f>IF(Klantgegevens_B!I64&lt;&gt;"", Klantgegevens_B!I64, SWITCH(Klantgegevens_A!J64, "Zelden", 1, "Af en toe", 4, "Regelmatig", 8, "Vaak", 12))</f>
        <v>Payconiq</v>
      </c>
      <c r="J65" t="str">
        <f>IF(Klantgegevens_B!J64&lt;&gt;"", Klantgegevens_B!J64, Klantgegevens_A!K64)</f>
        <v>ja</v>
      </c>
      <c r="K65">
        <f>IF(Klantgegevens_B!K64&lt;&gt;"", AVERAGE(--(Klantgegevens_B!K64="ja"), --(Klantgegevens_B!L64="ja"), --(Klantgegevens_B!M64="ja"), --(Klantgegevens_B!N64="ja"), --(Klantgegevens_B!O64="ja"))*10, Klantgegevens_A!L64)</f>
        <v>8</v>
      </c>
      <c r="L65" t="str">
        <f>IF(Klantgegevens_B!K64&lt;&gt;"", Klantgegevens_B!K64, IF(Klantgegevens_A!L64&gt;=7, "ja", "nee"))</f>
        <v>ja</v>
      </c>
      <c r="M65" t="str">
        <f>IF(Klantgegevens_B!L64&lt;&gt;"", Klantgegevens_B!L64, IF(Klantgegevens_A!L64&gt;=7, "ja", "nee"))</f>
        <v>ja</v>
      </c>
      <c r="N65" t="str">
        <f>IF(Klantgegevens_B!M64&lt;&gt;"", Klantgegevens_B!M64, IF(Klantgegevens_A!L64&gt;=7, "ja", "nee"))</f>
        <v>ja</v>
      </c>
      <c r="O65" t="str">
        <f>IF(Klantgegevens_B!N64&lt;&gt;"", Klantgegevens_B!N64, IF(Klantgegevens_A!L64&gt;=7, "ja", "nee"))</f>
        <v>ja</v>
      </c>
      <c r="P65" t="str">
        <f>IF(Klantgegevens_B!O64&lt;&gt;"", Klantgegevens_B!O64, IF(Klantgegevens_A!L64&gt;=7, "ja", "nee"))</f>
        <v>Geen dieet</v>
      </c>
      <c r="Q65" t="str">
        <f>IF(Klantgegevens_B!P64&lt;&gt;"", Klantgegevens_B!P64, Klantgegevens_A!M64)</f>
        <v>Geen dieet</v>
      </c>
      <c r="R65" t="str">
        <f>IF(Klantgegevens_B!A64&lt;&gt;"", "B", "A")</f>
        <v>B</v>
      </c>
    </row>
    <row r="66" spans="1:18" x14ac:dyDescent="0.3">
      <c r="A66" t="str">
        <f>IF(Klantgegevens_B!A65&lt;&gt;"", Klantgegevens_B!A65, MID(Klantgegevens_A!A65, FIND(",", Klantgegevens_A!A65)+2, LEN(Klantgegevens_A!A65)))</f>
        <v>Christiana</v>
      </c>
      <c r="B66" t="str">
        <f>IF(Klantgegevens_B!B65&lt;&gt;"", Klantgegevens_B!B65, LEFT(Klantgegevens_A!A65, FIND(",", Klantgegevens_A!A65)-1))</f>
        <v>Lejeune</v>
      </c>
      <c r="C66" t="str">
        <f t="shared" ca="1" si="0"/>
        <v/>
      </c>
      <c r="D66" t="str">
        <f>IF(Klantgegevens_B!F65&lt;&gt;"", Klantgegevens_B!F65, Klantgegevens_A!D65 &amp; " " &amp; Klantgegevens_A!E65 &amp; ", " &amp; Klantgegevens_A!F65)</f>
        <v>Christiana,Ignace,Ludo,Nuriye,Marie</v>
      </c>
      <c r="E66">
        <f>IF(Klantgegevens_B!G65&lt;&gt;"", Klantgegevens_B!G65, TEXTJOIN(",", TRUE, REPT("Volwassene,", Klantgegevens_A!G65), REPT("Kind,", Klantgegevens_A!H65)))</f>
        <v>200.41</v>
      </c>
      <c r="F66">
        <f>IF(Klantgegevens_B!G65&lt;&gt;"", LEN(Klantgegevens_B!G65)-LEN(SUBSTITUTE(Klantgegevens_B!G65, ",", ""))+1, Klantgegevens_A!G65)</f>
        <v>1</v>
      </c>
      <c r="G66">
        <f>IF(Klantgegevens_B!G65&lt;&gt;"", 0, Klantgegevens_A!H65)</f>
        <v>0</v>
      </c>
      <c r="H66">
        <f>IF(Klantgegevens_B!H65&lt;&gt;"", Klantgegevens_B!H65, Klantgegevens_A!I65)</f>
        <v>4</v>
      </c>
      <c r="I66" t="str">
        <f>IF(Klantgegevens_B!I65&lt;&gt;"", Klantgegevens_B!I65, SWITCH(Klantgegevens_A!J65, "Zelden", 1, "Af en toe", 4, "Regelmatig", 8, "Vaak", 12))</f>
        <v>Cash</v>
      </c>
      <c r="J66" t="str">
        <f>IF(Klantgegevens_B!J65&lt;&gt;"", Klantgegevens_B!J65, Klantgegevens_A!K65)</f>
        <v>nee</v>
      </c>
      <c r="K66">
        <f>IF(Klantgegevens_B!K65&lt;&gt;"", AVERAGE(--(Klantgegevens_B!K65="ja"), --(Klantgegevens_B!L65="ja"), --(Klantgegevens_B!M65="ja"), --(Klantgegevens_B!N65="ja"), --(Klantgegevens_B!O65="ja"))*10, Klantgegevens_A!L65)</f>
        <v>8</v>
      </c>
      <c r="L66" t="str">
        <f>IF(Klantgegevens_B!K65&lt;&gt;"", Klantgegevens_B!K65, IF(Klantgegevens_A!L65&gt;=7, "ja", "nee"))</f>
        <v>ja</v>
      </c>
      <c r="M66" t="str">
        <f>IF(Klantgegevens_B!L65&lt;&gt;"", Klantgegevens_B!L65, IF(Klantgegevens_A!L65&gt;=7, "ja", "nee"))</f>
        <v>ja</v>
      </c>
      <c r="N66" t="str">
        <f>IF(Klantgegevens_B!M65&lt;&gt;"", Klantgegevens_B!M65, IF(Klantgegevens_A!L65&gt;=7, "ja", "nee"))</f>
        <v>ja</v>
      </c>
      <c r="O66" t="str">
        <f>IF(Klantgegevens_B!N65&lt;&gt;"", Klantgegevens_B!N65, IF(Klantgegevens_A!L65&gt;=7, "ja", "nee"))</f>
        <v>ja</v>
      </c>
      <c r="P66" t="str">
        <f>IF(Klantgegevens_B!O65&lt;&gt;"", Klantgegevens_B!O65, IF(Klantgegevens_A!L65&gt;=7, "ja", "nee"))</f>
        <v>Geen dieet</v>
      </c>
      <c r="Q66" t="str">
        <f>IF(Klantgegevens_B!P65&lt;&gt;"", Klantgegevens_B!P65, Klantgegevens_A!M65)</f>
        <v>Geen dieet</v>
      </c>
      <c r="R66" t="str">
        <f>IF(Klantgegevens_B!A65&lt;&gt;"", "B", "A")</f>
        <v>B</v>
      </c>
    </row>
    <row r="67" spans="1:18" x14ac:dyDescent="0.3">
      <c r="A67" t="str">
        <f>IF(Klantgegevens_B!A66&lt;&gt;"", Klantgegevens_B!A66, MID(Klantgegevens_A!A66, FIND(",", Klantgegevens_A!A66)+2, LEN(Klantgegevens_A!A66)))</f>
        <v>Jessy</v>
      </c>
      <c r="B67" t="str">
        <f>IF(Klantgegevens_B!B66&lt;&gt;"", Klantgegevens_B!B66, LEFT(Klantgegevens_A!A66, FIND(",", Klantgegevens_A!A66)-1))</f>
        <v>Simons</v>
      </c>
      <c r="C67" t="str">
        <f t="shared" ref="C67:C130" ca="1" si="1">C66 &amp; ", " &amp; B66</f>
        <v/>
      </c>
      <c r="D67" t="str">
        <f>IF(Klantgegevens_B!F66&lt;&gt;"", Klantgegevens_B!F66, Klantgegevens_A!D66 &amp; " " &amp; Klantgegevens_A!E66 &amp; ", " &amp; Klantgegevens_A!F66)</f>
        <v>Jessy,Lea</v>
      </c>
      <c r="E67">
        <f>IF(Klantgegevens_B!G66&lt;&gt;"", Klantgegevens_B!G66, TEXTJOIN(",", TRUE, REPT("Volwassene,", Klantgegevens_A!G66), REPT("Kind,", Klantgegevens_A!H66)))</f>
        <v>161.44999999999999</v>
      </c>
      <c r="F67">
        <f>IF(Klantgegevens_B!G66&lt;&gt;"", LEN(Klantgegevens_B!G66)-LEN(SUBSTITUTE(Klantgegevens_B!G66, ",", ""))+1, Klantgegevens_A!G66)</f>
        <v>1</v>
      </c>
      <c r="G67">
        <f>IF(Klantgegevens_B!G66&lt;&gt;"", 0, Klantgegevens_A!H66)</f>
        <v>0</v>
      </c>
      <c r="H67">
        <f>IF(Klantgegevens_B!H66&lt;&gt;"", Klantgegevens_B!H66, Klantgegevens_A!I66)</f>
        <v>15</v>
      </c>
      <c r="I67" t="str">
        <f>IF(Klantgegevens_B!I66&lt;&gt;"", Klantgegevens_B!I66, SWITCH(Klantgegevens_A!J66, "Zelden", 1, "Af en toe", 4, "Regelmatig", 8, "Vaak", 12))</f>
        <v>Bancontact</v>
      </c>
      <c r="J67" t="str">
        <f>IF(Klantgegevens_B!J66&lt;&gt;"", Klantgegevens_B!J66, Klantgegevens_A!K66)</f>
        <v>nee</v>
      </c>
      <c r="K67">
        <f>IF(Klantgegevens_B!K66&lt;&gt;"", AVERAGE(--(Klantgegevens_B!K66="ja"), --(Klantgegevens_B!L66="ja"), --(Klantgegevens_B!M66="ja"), --(Klantgegevens_B!N66="ja"), --(Klantgegevens_B!O66="ja"))*10, Klantgegevens_A!L66)</f>
        <v>6</v>
      </c>
      <c r="L67" t="str">
        <f>IF(Klantgegevens_B!K66&lt;&gt;"", Klantgegevens_B!K66, IF(Klantgegevens_A!L66&gt;=7, "ja", "nee"))</f>
        <v>ja</v>
      </c>
      <c r="M67" t="str">
        <f>IF(Klantgegevens_B!L66&lt;&gt;"", Klantgegevens_B!L66, IF(Klantgegevens_A!L66&gt;=7, "ja", "nee"))</f>
        <v>ja</v>
      </c>
      <c r="N67" t="str">
        <f>IF(Klantgegevens_B!M66&lt;&gt;"", Klantgegevens_B!M66, IF(Klantgegevens_A!L66&gt;=7, "ja", "nee"))</f>
        <v>nee</v>
      </c>
      <c r="O67" t="str">
        <f>IF(Klantgegevens_B!N66&lt;&gt;"", Klantgegevens_B!N66, IF(Klantgegevens_A!L66&gt;=7, "ja", "nee"))</f>
        <v>ja</v>
      </c>
      <c r="P67" t="str">
        <f>IF(Klantgegevens_B!O66&lt;&gt;"", Klantgegevens_B!O66, IF(Klantgegevens_A!L66&gt;=7, "ja", "nee"))</f>
        <v>Geen dieet</v>
      </c>
      <c r="Q67" t="str">
        <f>IF(Klantgegevens_B!P66&lt;&gt;"", Klantgegevens_B!P66, Klantgegevens_A!M66)</f>
        <v>Geen dieet</v>
      </c>
      <c r="R67" t="str">
        <f>IF(Klantgegevens_B!A66&lt;&gt;"", "B", "A")</f>
        <v>B</v>
      </c>
    </row>
    <row r="68" spans="1:18" x14ac:dyDescent="0.3">
      <c r="A68" t="str">
        <f>IF(Klantgegevens_B!A67&lt;&gt;"", Klantgegevens_B!A67, MID(Klantgegevens_A!A67, FIND(",", Klantgegevens_A!A67)+2, LEN(Klantgegevens_A!A67)))</f>
        <v>Grégoire</v>
      </c>
      <c r="B68" t="str">
        <f>IF(Klantgegevens_B!B67&lt;&gt;"", Klantgegevens_B!B67, LEFT(Klantgegevens_A!A67, FIND(",", Klantgegevens_A!A67)-1))</f>
        <v>Willems</v>
      </c>
      <c r="C68" t="str">
        <f t="shared" ca="1" si="1"/>
        <v/>
      </c>
      <c r="D68" t="str">
        <f>IF(Klantgegevens_B!F67&lt;&gt;"", Klantgegevens_B!F67, Klantgegevens_A!D67 &amp; " " &amp; Klantgegevens_A!E67 &amp; ", " &amp; Klantgegevens_A!F67)</f>
        <v>Grégoire,Anca,Marie-Claire</v>
      </c>
      <c r="E68">
        <f>IF(Klantgegevens_B!G67&lt;&gt;"", Klantgegevens_B!G67, TEXTJOIN(",", TRUE, REPT("Volwassene,", Klantgegevens_A!G67), REPT("Kind,", Klantgegevens_A!H67)))</f>
        <v>80.13</v>
      </c>
      <c r="F68">
        <f>IF(Klantgegevens_B!G67&lt;&gt;"", LEN(Klantgegevens_B!G67)-LEN(SUBSTITUTE(Klantgegevens_B!G67, ",", ""))+1, Klantgegevens_A!G67)</f>
        <v>1</v>
      </c>
      <c r="G68">
        <f>IF(Klantgegevens_B!G67&lt;&gt;"", 0, Klantgegevens_A!H67)</f>
        <v>0</v>
      </c>
      <c r="H68">
        <f>IF(Klantgegevens_B!H67&lt;&gt;"", Klantgegevens_B!H67, Klantgegevens_A!I67)</f>
        <v>4</v>
      </c>
      <c r="I68" t="str">
        <f>IF(Klantgegevens_B!I67&lt;&gt;"", Klantgegevens_B!I67, SWITCH(Klantgegevens_A!J67, "Zelden", 1, "Af en toe", 4, "Regelmatig", 8, "Vaak", 12))</f>
        <v>Cash</v>
      </c>
      <c r="J68" t="str">
        <f>IF(Klantgegevens_B!J67&lt;&gt;"", Klantgegevens_B!J67, Klantgegevens_A!K67)</f>
        <v>nee</v>
      </c>
      <c r="K68">
        <f>IF(Klantgegevens_B!K67&lt;&gt;"", AVERAGE(--(Klantgegevens_B!K67="ja"), --(Klantgegevens_B!L67="ja"), --(Klantgegevens_B!M67="ja"), --(Klantgegevens_B!N67="ja"), --(Klantgegevens_B!O67="ja"))*10, Klantgegevens_A!L67)</f>
        <v>4</v>
      </c>
      <c r="L68" t="str">
        <f>IF(Klantgegevens_B!K67&lt;&gt;"", Klantgegevens_B!K67, IF(Klantgegevens_A!L67&gt;=7, "ja", "nee"))</f>
        <v>ja</v>
      </c>
      <c r="M68" t="str">
        <f>IF(Klantgegevens_B!L67&lt;&gt;"", Klantgegevens_B!L67, IF(Klantgegevens_A!L67&gt;=7, "ja", "nee"))</f>
        <v>nee</v>
      </c>
      <c r="N68" t="str">
        <f>IF(Klantgegevens_B!M67&lt;&gt;"", Klantgegevens_B!M67, IF(Klantgegevens_A!L67&gt;=7, "ja", "nee"))</f>
        <v>ja</v>
      </c>
      <c r="O68" t="str">
        <f>IF(Klantgegevens_B!N67&lt;&gt;"", Klantgegevens_B!N67, IF(Klantgegevens_A!L67&gt;=7, "ja", "nee"))</f>
        <v>nee</v>
      </c>
      <c r="P68" t="str">
        <f>IF(Klantgegevens_B!O67&lt;&gt;"", Klantgegevens_B!O67, IF(Klantgegevens_A!L67&gt;=7, "ja", "nee"))</f>
        <v>Geen dieet</v>
      </c>
      <c r="Q68" t="str">
        <f>IF(Klantgegevens_B!P67&lt;&gt;"", Klantgegevens_B!P67, Klantgegevens_A!M67)</f>
        <v>Geen dieet</v>
      </c>
      <c r="R68" t="str">
        <f>IF(Klantgegevens_B!A67&lt;&gt;"", "B", "A")</f>
        <v>B</v>
      </c>
    </row>
    <row r="69" spans="1:18" x14ac:dyDescent="0.3">
      <c r="A69" t="str">
        <f>IF(Klantgegevens_B!A68&lt;&gt;"", Klantgegevens_B!A68, MID(Klantgegevens_A!A68, FIND(",", Klantgegevens_A!A68)+2, LEN(Klantgegevens_A!A68)))</f>
        <v>Emiel</v>
      </c>
      <c r="B69" t="str">
        <f>IF(Klantgegevens_B!B68&lt;&gt;"", Klantgegevens_B!B68, LEFT(Klantgegevens_A!A68, FIND(",", Klantgegevens_A!A68)-1))</f>
        <v>Hardy</v>
      </c>
      <c r="C69" t="str">
        <f t="shared" ca="1" si="1"/>
        <v/>
      </c>
      <c r="D69" t="str">
        <f>IF(Klantgegevens_B!F68&lt;&gt;"", Klantgegevens_B!F68, Klantgegevens_A!D68 &amp; " " &amp; Klantgegevens_A!E68 &amp; ", " &amp; Klantgegevens_A!F68)</f>
        <v>Emiel,Léon</v>
      </c>
      <c r="E69">
        <f>IF(Klantgegevens_B!G68&lt;&gt;"", Klantgegevens_B!G68, TEXTJOIN(",", TRUE, REPT("Volwassene,", Klantgegevens_A!G68), REPT("Kind,", Klantgegevens_A!H68)))</f>
        <v>92.63</v>
      </c>
      <c r="F69">
        <f>IF(Klantgegevens_B!G68&lt;&gt;"", LEN(Klantgegevens_B!G68)-LEN(SUBSTITUTE(Klantgegevens_B!G68, ",", ""))+1, Klantgegevens_A!G68)</f>
        <v>1</v>
      </c>
      <c r="G69">
        <f>IF(Klantgegevens_B!G68&lt;&gt;"", 0, Klantgegevens_A!H68)</f>
        <v>0</v>
      </c>
      <c r="H69">
        <f>IF(Klantgegevens_B!H68&lt;&gt;"", Klantgegevens_B!H68, Klantgegevens_A!I68)</f>
        <v>1</v>
      </c>
      <c r="I69" t="str">
        <f>IF(Klantgegevens_B!I68&lt;&gt;"", Klantgegevens_B!I68, SWITCH(Klantgegevens_A!J68, "Zelden", 1, "Af en toe", 4, "Regelmatig", 8, "Vaak", 12))</f>
        <v>Cash</v>
      </c>
      <c r="J69" t="str">
        <f>IF(Klantgegevens_B!J68&lt;&gt;"", Klantgegevens_B!J68, Klantgegevens_A!K68)</f>
        <v>nee</v>
      </c>
      <c r="K69">
        <f>IF(Klantgegevens_B!K68&lt;&gt;"", AVERAGE(--(Klantgegevens_B!K68="ja"), --(Klantgegevens_B!L68="ja"), --(Klantgegevens_B!M68="ja"), --(Klantgegevens_B!N68="ja"), --(Klantgegevens_B!O68="ja"))*10, Klantgegevens_A!L68)</f>
        <v>0</v>
      </c>
      <c r="L69" t="str">
        <f>IF(Klantgegevens_B!K68&lt;&gt;"", Klantgegevens_B!K68, IF(Klantgegevens_A!L68&gt;=7, "ja", "nee"))</f>
        <v>nee</v>
      </c>
      <c r="M69" t="str">
        <f>IF(Klantgegevens_B!L68&lt;&gt;"", Klantgegevens_B!L68, IF(Klantgegevens_A!L68&gt;=7, "ja", "nee"))</f>
        <v>nee</v>
      </c>
      <c r="N69" t="str">
        <f>IF(Klantgegevens_B!M68&lt;&gt;"", Klantgegevens_B!M68, IF(Klantgegevens_A!L68&gt;=7, "ja", "nee"))</f>
        <v>nee</v>
      </c>
      <c r="O69" t="str">
        <f>IF(Klantgegevens_B!N68&lt;&gt;"", Klantgegevens_B!N68, IF(Klantgegevens_A!L68&gt;=7, "ja", "nee"))</f>
        <v>nee</v>
      </c>
      <c r="P69" t="str">
        <f>IF(Klantgegevens_B!O68&lt;&gt;"", Klantgegevens_B!O68, IF(Klantgegevens_A!L68&gt;=7, "ja", "nee"))</f>
        <v>Veganistisch</v>
      </c>
      <c r="Q69" t="str">
        <f>IF(Klantgegevens_B!P68&lt;&gt;"", Klantgegevens_B!P68, Klantgegevens_A!M68)</f>
        <v>Geen dieet</v>
      </c>
      <c r="R69" t="str">
        <f>IF(Klantgegevens_B!A68&lt;&gt;"", "B", "A")</f>
        <v>B</v>
      </c>
    </row>
    <row r="70" spans="1:18" x14ac:dyDescent="0.3">
      <c r="A70" t="str">
        <f>IF(Klantgegevens_B!A69&lt;&gt;"", Klantgegevens_B!A69, MID(Klantgegevens_A!A69, FIND(",", Klantgegevens_A!A69)+2, LEN(Klantgegevens_A!A69)))</f>
        <v>Letitia</v>
      </c>
      <c r="B70" t="str">
        <f>IF(Klantgegevens_B!B69&lt;&gt;"", Klantgegevens_B!B69, LEFT(Klantgegevens_A!A69, FIND(",", Klantgegevens_A!A69)-1))</f>
        <v>Dujardin</v>
      </c>
      <c r="C70" t="str">
        <f t="shared" ca="1" si="1"/>
        <v/>
      </c>
      <c r="D70" t="str">
        <f>IF(Klantgegevens_B!F69&lt;&gt;"", Klantgegevens_B!F69, Klantgegevens_A!D69 &amp; " " &amp; Klantgegevens_A!E69 &amp; ", " &amp; Klantgegevens_A!F69)</f>
        <v>Letitia,Marie</v>
      </c>
      <c r="E70">
        <f>IF(Klantgegevens_B!G69&lt;&gt;"", Klantgegevens_B!G69, TEXTJOIN(",", TRUE, REPT("Volwassene,", Klantgegevens_A!G69), REPT("Kind,", Klantgegevens_A!H69)))</f>
        <v>122.3</v>
      </c>
      <c r="F70">
        <f>IF(Klantgegevens_B!G69&lt;&gt;"", LEN(Klantgegevens_B!G69)-LEN(SUBSTITUTE(Klantgegevens_B!G69, ",", ""))+1, Klantgegevens_A!G69)</f>
        <v>1</v>
      </c>
      <c r="G70">
        <f>IF(Klantgegevens_B!G69&lt;&gt;"", 0, Klantgegevens_A!H69)</f>
        <v>0</v>
      </c>
      <c r="H70">
        <f>IF(Klantgegevens_B!H69&lt;&gt;"", Klantgegevens_B!H69, Klantgegevens_A!I69)</f>
        <v>2</v>
      </c>
      <c r="I70" t="str">
        <f>IF(Klantgegevens_B!I69&lt;&gt;"", Klantgegevens_B!I69, SWITCH(Klantgegevens_A!J69, "Zelden", 1, "Af en toe", 4, "Regelmatig", 8, "Vaak", 12))</f>
        <v>Cash</v>
      </c>
      <c r="J70" t="str">
        <f>IF(Klantgegevens_B!J69&lt;&gt;"", Klantgegevens_B!J69, Klantgegevens_A!K69)</f>
        <v>ja</v>
      </c>
      <c r="K70">
        <f>IF(Klantgegevens_B!K69&lt;&gt;"", AVERAGE(--(Klantgegevens_B!K69="ja"), --(Klantgegevens_B!L69="ja"), --(Klantgegevens_B!M69="ja"), --(Klantgegevens_B!N69="ja"), --(Klantgegevens_B!O69="ja"))*10, Klantgegevens_A!L69)</f>
        <v>8</v>
      </c>
      <c r="L70" t="str">
        <f>IF(Klantgegevens_B!K69&lt;&gt;"", Klantgegevens_B!K69, IF(Klantgegevens_A!L69&gt;=7, "ja", "nee"))</f>
        <v>ja</v>
      </c>
      <c r="M70" t="str">
        <f>IF(Klantgegevens_B!L69&lt;&gt;"", Klantgegevens_B!L69, IF(Klantgegevens_A!L69&gt;=7, "ja", "nee"))</f>
        <v>ja</v>
      </c>
      <c r="N70" t="str">
        <f>IF(Klantgegevens_B!M69&lt;&gt;"", Klantgegevens_B!M69, IF(Klantgegevens_A!L69&gt;=7, "ja", "nee"))</f>
        <v>ja</v>
      </c>
      <c r="O70" t="str">
        <f>IF(Klantgegevens_B!N69&lt;&gt;"", Klantgegevens_B!N69, IF(Klantgegevens_A!L69&gt;=7, "ja", "nee"))</f>
        <v>ja</v>
      </c>
      <c r="P70" t="str">
        <f>IF(Klantgegevens_B!O69&lt;&gt;"", Klantgegevens_B!O69, IF(Klantgegevens_A!L69&gt;=7, "ja", "nee"))</f>
        <v>Vegetarisch</v>
      </c>
      <c r="Q70" t="str">
        <f>IF(Klantgegevens_B!P69&lt;&gt;"", Klantgegevens_B!P69, Klantgegevens_A!M69)</f>
        <v>Geen dieet</v>
      </c>
      <c r="R70" t="str">
        <f>IF(Klantgegevens_B!A69&lt;&gt;"", "B", "A")</f>
        <v>B</v>
      </c>
    </row>
    <row r="71" spans="1:18" x14ac:dyDescent="0.3">
      <c r="A71" t="str">
        <f>IF(Klantgegevens_B!A70&lt;&gt;"", Klantgegevens_B!A70, MID(Klantgegevens_A!A70, FIND(",", Klantgegevens_A!A70)+2, LEN(Klantgegevens_A!A70)))</f>
        <v>Amina</v>
      </c>
      <c r="B71" t="str">
        <f>IF(Klantgegevens_B!B70&lt;&gt;"", Klantgegevens_B!B70, LEFT(Klantgegevens_A!A70, FIND(",", Klantgegevens_A!A70)-1))</f>
        <v>Delfosse</v>
      </c>
      <c r="C71" t="str">
        <f t="shared" ca="1" si="1"/>
        <v/>
      </c>
      <c r="D71" t="str">
        <f>IF(Klantgegevens_B!F70&lt;&gt;"", Klantgegevens_B!F70, Klantgegevens_A!D70 &amp; " " &amp; Klantgegevens_A!E70 &amp; ", " &amp; Klantgegevens_A!F70)</f>
        <v>Amina</v>
      </c>
      <c r="E71">
        <f>IF(Klantgegevens_B!G70&lt;&gt;"", Klantgegevens_B!G70, TEXTJOIN(",", TRUE, REPT("Volwassene,", Klantgegevens_A!G70), REPT("Kind,", Klantgegevens_A!H70)))</f>
        <v>100.34</v>
      </c>
      <c r="F71">
        <f>IF(Klantgegevens_B!G70&lt;&gt;"", LEN(Klantgegevens_B!G70)-LEN(SUBSTITUTE(Klantgegevens_B!G70, ",", ""))+1, Klantgegevens_A!G70)</f>
        <v>1</v>
      </c>
      <c r="G71">
        <f>IF(Klantgegevens_B!G70&lt;&gt;"", 0, Klantgegevens_A!H70)</f>
        <v>0</v>
      </c>
      <c r="H71">
        <f>IF(Klantgegevens_B!H70&lt;&gt;"", Klantgegevens_B!H70, Klantgegevens_A!I70)</f>
        <v>5</v>
      </c>
      <c r="I71" t="str">
        <f>IF(Klantgegevens_B!I70&lt;&gt;"", Klantgegevens_B!I70, SWITCH(Klantgegevens_A!J70, "Zelden", 1, "Af en toe", 4, "Regelmatig", 8, "Vaak", 12))</f>
        <v>Payconiq</v>
      </c>
      <c r="J71" t="str">
        <f>IF(Klantgegevens_B!J70&lt;&gt;"", Klantgegevens_B!J70, Klantgegevens_A!K70)</f>
        <v>nee</v>
      </c>
      <c r="K71">
        <f>IF(Klantgegevens_B!K70&lt;&gt;"", AVERAGE(--(Klantgegevens_B!K70="ja"), --(Klantgegevens_B!L70="ja"), --(Klantgegevens_B!M70="ja"), --(Klantgegevens_B!N70="ja"), --(Klantgegevens_B!O70="ja"))*10, Klantgegevens_A!L70)</f>
        <v>8</v>
      </c>
      <c r="L71" t="str">
        <f>IF(Klantgegevens_B!K70&lt;&gt;"", Klantgegevens_B!K70, IF(Klantgegevens_A!L70&gt;=7, "ja", "nee"))</f>
        <v>ja</v>
      </c>
      <c r="M71" t="str">
        <f>IF(Klantgegevens_B!L70&lt;&gt;"", Klantgegevens_B!L70, IF(Klantgegevens_A!L70&gt;=7, "ja", "nee"))</f>
        <v>ja</v>
      </c>
      <c r="N71" t="str">
        <f>IF(Klantgegevens_B!M70&lt;&gt;"", Klantgegevens_B!M70, IF(Klantgegevens_A!L70&gt;=7, "ja", "nee"))</f>
        <v>ja</v>
      </c>
      <c r="O71" t="str">
        <f>IF(Klantgegevens_B!N70&lt;&gt;"", Klantgegevens_B!N70, IF(Klantgegevens_A!L70&gt;=7, "ja", "nee"))</f>
        <v>ja</v>
      </c>
      <c r="P71" t="str">
        <f>IF(Klantgegevens_B!O70&lt;&gt;"", Klantgegevens_B!O70, IF(Klantgegevens_A!L70&gt;=7, "ja", "nee"))</f>
        <v>Geen dieet</v>
      </c>
      <c r="Q71" t="str">
        <f>IF(Klantgegevens_B!P70&lt;&gt;"", Klantgegevens_B!P70, Klantgegevens_A!M70)</f>
        <v>Geen dieet</v>
      </c>
      <c r="R71" t="str">
        <f>IF(Klantgegevens_B!A70&lt;&gt;"", "B", "A")</f>
        <v>B</v>
      </c>
    </row>
    <row r="72" spans="1:18" x14ac:dyDescent="0.3">
      <c r="A72" t="str">
        <f>IF(Klantgegevens_B!A71&lt;&gt;"", Klantgegevens_B!A71, MID(Klantgegevens_A!A71, FIND(",", Klantgegevens_A!A71)+2, LEN(Klantgegevens_A!A71)))</f>
        <v>Jade</v>
      </c>
      <c r="B72" t="str">
        <f>IF(Klantgegevens_B!B71&lt;&gt;"", Klantgegevens_B!B71, LEFT(Klantgegevens_A!A71, FIND(",", Klantgegevens_A!A71)-1))</f>
        <v>Rousseau</v>
      </c>
      <c r="C72" t="str">
        <f t="shared" ca="1" si="1"/>
        <v/>
      </c>
      <c r="D72" t="str">
        <f>IF(Klantgegevens_B!F71&lt;&gt;"", Klantgegevens_B!F71, Klantgegevens_A!D71 &amp; " " &amp; Klantgegevens_A!E71 &amp; ", " &amp; Klantgegevens_A!F71)</f>
        <v>Jade,Cindy,Marie-Rose</v>
      </c>
      <c r="E72">
        <f>IF(Klantgegevens_B!G71&lt;&gt;"", Klantgegevens_B!G71, TEXTJOIN(",", TRUE, REPT("Volwassene,", Klantgegevens_A!G71), REPT("Kind,", Klantgegevens_A!H71)))</f>
        <v>163.69</v>
      </c>
      <c r="F72">
        <f>IF(Klantgegevens_B!G71&lt;&gt;"", LEN(Klantgegevens_B!G71)-LEN(SUBSTITUTE(Klantgegevens_B!G71, ",", ""))+1, Klantgegevens_A!G71)</f>
        <v>1</v>
      </c>
      <c r="G72">
        <f>IF(Klantgegevens_B!G71&lt;&gt;"", 0, Klantgegevens_A!H71)</f>
        <v>0</v>
      </c>
      <c r="H72">
        <f>IF(Klantgegevens_B!H71&lt;&gt;"", Klantgegevens_B!H71, Klantgegevens_A!I71)</f>
        <v>9</v>
      </c>
      <c r="I72" t="str">
        <f>IF(Klantgegevens_B!I71&lt;&gt;"", Klantgegevens_B!I71, SWITCH(Klantgegevens_A!J71, "Zelden", 1, "Af en toe", 4, "Regelmatig", 8, "Vaak", 12))</f>
        <v>Payconiq</v>
      </c>
      <c r="J72" t="str">
        <f>IF(Klantgegevens_B!J71&lt;&gt;"", Klantgegevens_B!J71, Klantgegevens_A!K71)</f>
        <v>ja</v>
      </c>
      <c r="K72">
        <f>IF(Klantgegevens_B!K71&lt;&gt;"", AVERAGE(--(Klantgegevens_B!K71="ja"), --(Klantgegevens_B!L71="ja"), --(Klantgegevens_B!M71="ja"), --(Klantgegevens_B!N71="ja"), --(Klantgegevens_B!O71="ja"))*10, Klantgegevens_A!L71)</f>
        <v>6</v>
      </c>
      <c r="L72" t="str">
        <f>IF(Klantgegevens_B!K71&lt;&gt;"", Klantgegevens_B!K71, IF(Klantgegevens_A!L71&gt;=7, "ja", "nee"))</f>
        <v>nee</v>
      </c>
      <c r="M72" t="str">
        <f>IF(Klantgegevens_B!L71&lt;&gt;"", Klantgegevens_B!L71, IF(Klantgegevens_A!L71&gt;=7, "ja", "nee"))</f>
        <v>ja</v>
      </c>
      <c r="N72" t="str">
        <f>IF(Klantgegevens_B!M71&lt;&gt;"", Klantgegevens_B!M71, IF(Klantgegevens_A!L71&gt;=7, "ja", "nee"))</f>
        <v>ja</v>
      </c>
      <c r="O72" t="str">
        <f>IF(Klantgegevens_B!N71&lt;&gt;"", Klantgegevens_B!N71, IF(Klantgegevens_A!L71&gt;=7, "ja", "nee"))</f>
        <v>ja</v>
      </c>
      <c r="P72" t="str">
        <f>IF(Klantgegevens_B!O71&lt;&gt;"", Klantgegevens_B!O71, IF(Klantgegevens_A!L71&gt;=7, "ja", "nee"))</f>
        <v>Geen dieet</v>
      </c>
      <c r="Q72" t="str">
        <f>IF(Klantgegevens_B!P71&lt;&gt;"", Klantgegevens_B!P71, Klantgegevens_A!M71)</f>
        <v>Geen dieet</v>
      </c>
      <c r="R72" t="str">
        <f>IF(Klantgegevens_B!A71&lt;&gt;"", "B", "A")</f>
        <v>B</v>
      </c>
    </row>
    <row r="73" spans="1:18" x14ac:dyDescent="0.3">
      <c r="A73" t="str">
        <f>IF(Klantgegevens_B!A72&lt;&gt;"", Klantgegevens_B!A72, MID(Klantgegevens_A!A72, FIND(",", Klantgegevens_A!A72)+2, LEN(Klantgegevens_A!A72)))</f>
        <v>Monica</v>
      </c>
      <c r="B73" t="str">
        <f>IF(Klantgegevens_B!B72&lt;&gt;"", Klantgegevens_B!B72, LEFT(Klantgegevens_A!A72, FIND(",", Klantgegevens_A!A72)-1))</f>
        <v>Verbeke</v>
      </c>
      <c r="C73" t="str">
        <f t="shared" ca="1" si="1"/>
        <v/>
      </c>
      <c r="D73" t="str">
        <f>IF(Klantgegevens_B!F72&lt;&gt;"", Klantgegevens_B!F72, Klantgegevens_A!D72 &amp; " " &amp; Klantgegevens_A!E72 &amp; ", " &amp; Klantgegevens_A!F72)</f>
        <v>Monica,Alice,Ofelia,Zoé</v>
      </c>
      <c r="E73">
        <f>IF(Klantgegevens_B!G72&lt;&gt;"", Klantgegevens_B!G72, TEXTJOIN(",", TRUE, REPT("Volwassene,", Klantgegevens_A!G72), REPT("Kind,", Klantgegevens_A!H72)))</f>
        <v>175.01</v>
      </c>
      <c r="F73">
        <f>IF(Klantgegevens_B!G72&lt;&gt;"", LEN(Klantgegevens_B!G72)-LEN(SUBSTITUTE(Klantgegevens_B!G72, ",", ""))+1, Klantgegevens_A!G72)</f>
        <v>1</v>
      </c>
      <c r="G73">
        <f>IF(Klantgegevens_B!G72&lt;&gt;"", 0, Klantgegevens_A!H72)</f>
        <v>0</v>
      </c>
      <c r="H73">
        <f>IF(Klantgegevens_B!H72&lt;&gt;"", Klantgegevens_B!H72, Klantgegevens_A!I72)</f>
        <v>7</v>
      </c>
      <c r="I73" t="str">
        <f>IF(Klantgegevens_B!I72&lt;&gt;"", Klantgegevens_B!I72, SWITCH(Klantgegevens_A!J72, "Zelden", 1, "Af en toe", 4, "Regelmatig", 8, "Vaak", 12))</f>
        <v>Bancontact</v>
      </c>
      <c r="J73" t="str">
        <f>IF(Klantgegevens_B!J72&lt;&gt;"", Klantgegevens_B!J72, Klantgegevens_A!K72)</f>
        <v>ja</v>
      </c>
      <c r="K73">
        <f>IF(Klantgegevens_B!K72&lt;&gt;"", AVERAGE(--(Klantgegevens_B!K72="ja"), --(Klantgegevens_B!L72="ja"), --(Klantgegevens_B!M72="ja"), --(Klantgegevens_B!N72="ja"), --(Klantgegevens_B!O72="ja"))*10, Klantgegevens_A!L72)</f>
        <v>8</v>
      </c>
      <c r="L73" t="str">
        <f>IF(Klantgegevens_B!K72&lt;&gt;"", Klantgegevens_B!K72, IF(Klantgegevens_A!L72&gt;=7, "ja", "nee"))</f>
        <v>ja</v>
      </c>
      <c r="M73" t="str">
        <f>IF(Klantgegevens_B!L72&lt;&gt;"", Klantgegevens_B!L72, IF(Klantgegevens_A!L72&gt;=7, "ja", "nee"))</f>
        <v>ja</v>
      </c>
      <c r="N73" t="str">
        <f>IF(Klantgegevens_B!M72&lt;&gt;"", Klantgegevens_B!M72, IF(Klantgegevens_A!L72&gt;=7, "ja", "nee"))</f>
        <v>ja</v>
      </c>
      <c r="O73" t="str">
        <f>IF(Klantgegevens_B!N72&lt;&gt;"", Klantgegevens_B!N72, IF(Klantgegevens_A!L72&gt;=7, "ja", "nee"))</f>
        <v>ja</v>
      </c>
      <c r="P73" t="str">
        <f>IF(Klantgegevens_B!O72&lt;&gt;"", Klantgegevens_B!O72, IF(Klantgegevens_A!L72&gt;=7, "ja", "nee"))</f>
        <v>Vegetarisch</v>
      </c>
      <c r="Q73" t="str">
        <f>IF(Klantgegevens_B!P72&lt;&gt;"", Klantgegevens_B!P72, Klantgegevens_A!M72)</f>
        <v>Geen dieet</v>
      </c>
      <c r="R73" t="str">
        <f>IF(Klantgegevens_B!A72&lt;&gt;"", "B", "A")</f>
        <v>B</v>
      </c>
    </row>
    <row r="74" spans="1:18" x14ac:dyDescent="0.3">
      <c r="A74" t="str">
        <f>IF(Klantgegevens_B!A73&lt;&gt;"", Klantgegevens_B!A73, MID(Klantgegevens_A!A73, FIND(",", Klantgegevens_A!A73)+2, LEN(Klantgegevens_A!A73)))</f>
        <v>Clélia</v>
      </c>
      <c r="B74" t="str">
        <f>IF(Klantgegevens_B!B73&lt;&gt;"", Klantgegevens_B!B73, LEFT(Klantgegevens_A!A73, FIND(",", Klantgegevens_A!A73)-1))</f>
        <v>Luyten</v>
      </c>
      <c r="C74" t="str">
        <f t="shared" ca="1" si="1"/>
        <v/>
      </c>
      <c r="D74" t="str">
        <f>IF(Klantgegevens_B!F73&lt;&gt;"", Klantgegevens_B!F73, Klantgegevens_A!D73 &amp; " " &amp; Klantgegevens_A!E73 &amp; ", " &amp; Klantgegevens_A!F73)</f>
        <v>Clélia,Jeanninne</v>
      </c>
      <c r="E74">
        <f>IF(Klantgegevens_B!G73&lt;&gt;"", Klantgegevens_B!G73, TEXTJOIN(",", TRUE, REPT("Volwassene,", Klantgegevens_A!G73), REPT("Kind,", Klantgegevens_A!H73)))</f>
        <v>81.19</v>
      </c>
      <c r="F74">
        <f>IF(Klantgegevens_B!G73&lt;&gt;"", LEN(Klantgegevens_B!G73)-LEN(SUBSTITUTE(Klantgegevens_B!G73, ",", ""))+1, Klantgegevens_A!G73)</f>
        <v>1</v>
      </c>
      <c r="G74">
        <f>IF(Klantgegevens_B!G73&lt;&gt;"", 0, Klantgegevens_A!H73)</f>
        <v>0</v>
      </c>
      <c r="H74">
        <f>IF(Klantgegevens_B!H73&lt;&gt;"", Klantgegevens_B!H73, Klantgegevens_A!I73)</f>
        <v>9</v>
      </c>
      <c r="I74" t="str">
        <f>IF(Klantgegevens_B!I73&lt;&gt;"", Klantgegevens_B!I73, SWITCH(Klantgegevens_A!J73, "Zelden", 1, "Af en toe", 4, "Regelmatig", 8, "Vaak", 12))</f>
        <v>Payconiq</v>
      </c>
      <c r="J74" t="str">
        <f>IF(Klantgegevens_B!J73&lt;&gt;"", Klantgegevens_B!J73, Klantgegevens_A!K73)</f>
        <v>ja</v>
      </c>
      <c r="K74">
        <f>IF(Klantgegevens_B!K73&lt;&gt;"", AVERAGE(--(Klantgegevens_B!K73="ja"), --(Klantgegevens_B!L73="ja"), --(Klantgegevens_B!M73="ja"), --(Klantgegevens_B!N73="ja"), --(Klantgegevens_B!O73="ja"))*10, Klantgegevens_A!L73)</f>
        <v>6</v>
      </c>
      <c r="L74" t="str">
        <f>IF(Klantgegevens_B!K73&lt;&gt;"", Klantgegevens_B!K73, IF(Klantgegevens_A!L73&gt;=7, "ja", "nee"))</f>
        <v>ja</v>
      </c>
      <c r="M74" t="str">
        <f>IF(Klantgegevens_B!L73&lt;&gt;"", Klantgegevens_B!L73, IF(Klantgegevens_A!L73&gt;=7, "ja", "nee"))</f>
        <v>nee</v>
      </c>
      <c r="N74" t="str">
        <f>IF(Klantgegevens_B!M73&lt;&gt;"", Klantgegevens_B!M73, IF(Klantgegevens_A!L73&gt;=7, "ja", "nee"))</f>
        <v>ja</v>
      </c>
      <c r="O74" t="str">
        <f>IF(Klantgegevens_B!N73&lt;&gt;"", Klantgegevens_B!N73, IF(Klantgegevens_A!L73&gt;=7, "ja", "nee"))</f>
        <v>ja</v>
      </c>
      <c r="P74" t="str">
        <f>IF(Klantgegevens_B!O73&lt;&gt;"", Klantgegevens_B!O73, IF(Klantgegevens_A!L73&gt;=7, "ja", "nee"))</f>
        <v>Geen dieet</v>
      </c>
      <c r="Q74" t="str">
        <f>IF(Klantgegevens_B!P73&lt;&gt;"", Klantgegevens_B!P73, Klantgegevens_A!M73)</f>
        <v>Geen dieet</v>
      </c>
      <c r="R74" t="str">
        <f>IF(Klantgegevens_B!A73&lt;&gt;"", "B", "A")</f>
        <v>B</v>
      </c>
    </row>
    <row r="75" spans="1:18" x14ac:dyDescent="0.3">
      <c r="A75" t="str">
        <f>IF(Klantgegevens_B!A74&lt;&gt;"", Klantgegevens_B!A74, MID(Klantgegevens_A!A74, FIND(",", Klantgegevens_A!A74)+2, LEN(Klantgegevens_A!A74)))</f>
        <v>Teo</v>
      </c>
      <c r="B75" t="str">
        <f>IF(Klantgegevens_B!B74&lt;&gt;"", Klantgegevens_B!B74, LEFT(Klantgegevens_A!A74, FIND(",", Klantgegevens_A!A74)-1))</f>
        <v>Bertrand</v>
      </c>
      <c r="C75" t="str">
        <f t="shared" ca="1" si="1"/>
        <v/>
      </c>
      <c r="D75" t="str">
        <f>IF(Klantgegevens_B!F74&lt;&gt;"", Klantgegevens_B!F74, Klantgegevens_A!D74 &amp; " " &amp; Klantgegevens_A!E74 &amp; ", " &amp; Klantgegevens_A!F74)</f>
        <v>Teo,Martine</v>
      </c>
      <c r="E75">
        <f>IF(Klantgegevens_B!G74&lt;&gt;"", Klantgegevens_B!G74, TEXTJOIN(",", TRUE, REPT("Volwassene,", Klantgegevens_A!G74), REPT("Kind,", Klantgegevens_A!H74)))</f>
        <v>46.98</v>
      </c>
      <c r="F75">
        <f>IF(Klantgegevens_B!G74&lt;&gt;"", LEN(Klantgegevens_B!G74)-LEN(SUBSTITUTE(Klantgegevens_B!G74, ",", ""))+1, Klantgegevens_A!G74)</f>
        <v>1</v>
      </c>
      <c r="G75">
        <f>IF(Klantgegevens_B!G74&lt;&gt;"", 0, Klantgegevens_A!H74)</f>
        <v>0</v>
      </c>
      <c r="H75">
        <f>IF(Klantgegevens_B!H74&lt;&gt;"", Klantgegevens_B!H74, Klantgegevens_A!I74)</f>
        <v>3</v>
      </c>
      <c r="I75" t="str">
        <f>IF(Klantgegevens_B!I74&lt;&gt;"", Klantgegevens_B!I74, SWITCH(Klantgegevens_A!J74, "Zelden", 1, "Af en toe", 4, "Regelmatig", 8, "Vaak", 12))</f>
        <v>Bancontact</v>
      </c>
      <c r="J75" t="str">
        <f>IF(Klantgegevens_B!J74&lt;&gt;"", Klantgegevens_B!J74, Klantgegevens_A!K74)</f>
        <v>ja</v>
      </c>
      <c r="K75">
        <f>IF(Klantgegevens_B!K74&lt;&gt;"", AVERAGE(--(Klantgegevens_B!K74="ja"), --(Klantgegevens_B!L74="ja"), --(Klantgegevens_B!M74="ja"), --(Klantgegevens_B!N74="ja"), --(Klantgegevens_B!O74="ja"))*10, Klantgegevens_A!L74)</f>
        <v>8</v>
      </c>
      <c r="L75" t="str">
        <f>IF(Klantgegevens_B!K74&lt;&gt;"", Klantgegevens_B!K74, IF(Klantgegevens_A!L74&gt;=7, "ja", "nee"))</f>
        <v>ja</v>
      </c>
      <c r="M75" t="str">
        <f>IF(Klantgegevens_B!L74&lt;&gt;"", Klantgegevens_B!L74, IF(Klantgegevens_A!L74&gt;=7, "ja", "nee"))</f>
        <v>ja</v>
      </c>
      <c r="N75" t="str">
        <f>IF(Klantgegevens_B!M74&lt;&gt;"", Klantgegevens_B!M74, IF(Klantgegevens_A!L74&gt;=7, "ja", "nee"))</f>
        <v>ja</v>
      </c>
      <c r="O75" t="str">
        <f>IF(Klantgegevens_B!N74&lt;&gt;"", Klantgegevens_B!N74, IF(Klantgegevens_A!L74&gt;=7, "ja", "nee"))</f>
        <v>ja</v>
      </c>
      <c r="P75" t="str">
        <f>IF(Klantgegevens_B!O74&lt;&gt;"", Klantgegevens_B!O74, IF(Klantgegevens_A!L74&gt;=7, "ja", "nee"))</f>
        <v>Geen dieet</v>
      </c>
      <c r="Q75" t="str">
        <f>IF(Klantgegevens_B!P74&lt;&gt;"", Klantgegevens_B!P74, Klantgegevens_A!M74)</f>
        <v>Geen dieet</v>
      </c>
      <c r="R75" t="str">
        <f>IF(Klantgegevens_B!A74&lt;&gt;"", "B", "A")</f>
        <v>B</v>
      </c>
    </row>
    <row r="76" spans="1:18" x14ac:dyDescent="0.3">
      <c r="A76" t="str">
        <f>IF(Klantgegevens_B!A75&lt;&gt;"", Klantgegevens_B!A75, MID(Klantgegevens_A!A75, FIND(",", Klantgegevens_A!A75)+2, LEN(Klantgegevens_A!A75)))</f>
        <v>Jeannique</v>
      </c>
      <c r="B76" t="str">
        <f>IF(Klantgegevens_B!B75&lt;&gt;"", Klantgegevens_B!B75, LEFT(Klantgegevens_A!A75, FIND(",", Klantgegevens_A!A75)-1))</f>
        <v>Petit</v>
      </c>
      <c r="C76" t="str">
        <f t="shared" ca="1" si="1"/>
        <v/>
      </c>
      <c r="D76" t="str">
        <f>IF(Klantgegevens_B!F75&lt;&gt;"", Klantgegevens_B!F75, Klantgegevens_A!D75 &amp; " " &amp; Klantgegevens_A!E75 &amp; ", " &amp; Klantgegevens_A!F75)</f>
        <v>Jeannique,Mathis,Melanie</v>
      </c>
      <c r="E76">
        <f>IF(Klantgegevens_B!G75&lt;&gt;"", Klantgegevens_B!G75, TEXTJOIN(",", TRUE, REPT("Volwassene,", Klantgegevens_A!G75), REPT("Kind,", Klantgegevens_A!H75)))</f>
        <v>141.31</v>
      </c>
      <c r="F76">
        <f>IF(Klantgegevens_B!G75&lt;&gt;"", LEN(Klantgegevens_B!G75)-LEN(SUBSTITUTE(Klantgegevens_B!G75, ",", ""))+1, Klantgegevens_A!G75)</f>
        <v>1</v>
      </c>
      <c r="G76">
        <f>IF(Klantgegevens_B!G75&lt;&gt;"", 0, Klantgegevens_A!H75)</f>
        <v>0</v>
      </c>
      <c r="H76">
        <f>IF(Klantgegevens_B!H75&lt;&gt;"", Klantgegevens_B!H75, Klantgegevens_A!I75)</f>
        <v>14</v>
      </c>
      <c r="I76" t="str">
        <f>IF(Klantgegevens_B!I75&lt;&gt;"", Klantgegevens_B!I75, SWITCH(Klantgegevens_A!J75, "Zelden", 1, "Af en toe", 4, "Regelmatig", 8, "Vaak", 12))</f>
        <v>Payconiq</v>
      </c>
      <c r="J76" t="str">
        <f>IF(Klantgegevens_B!J75&lt;&gt;"", Klantgegevens_B!J75, Klantgegevens_A!K75)</f>
        <v>nee</v>
      </c>
      <c r="K76">
        <f>IF(Klantgegevens_B!K75&lt;&gt;"", AVERAGE(--(Klantgegevens_B!K75="ja"), --(Klantgegevens_B!L75="ja"), --(Klantgegevens_B!M75="ja"), --(Klantgegevens_B!N75="ja"), --(Klantgegevens_B!O75="ja"))*10, Klantgegevens_A!L75)</f>
        <v>4</v>
      </c>
      <c r="L76" t="str">
        <f>IF(Klantgegevens_B!K75&lt;&gt;"", Klantgegevens_B!K75, IF(Klantgegevens_A!L75&gt;=7, "ja", "nee"))</f>
        <v>ja</v>
      </c>
      <c r="M76" t="str">
        <f>IF(Klantgegevens_B!L75&lt;&gt;"", Klantgegevens_B!L75, IF(Klantgegevens_A!L75&gt;=7, "ja", "nee"))</f>
        <v>nee</v>
      </c>
      <c r="N76" t="str">
        <f>IF(Klantgegevens_B!M75&lt;&gt;"", Klantgegevens_B!M75, IF(Klantgegevens_A!L75&gt;=7, "ja", "nee"))</f>
        <v>ja</v>
      </c>
      <c r="O76" t="str">
        <f>IF(Klantgegevens_B!N75&lt;&gt;"", Klantgegevens_B!N75, IF(Klantgegevens_A!L75&gt;=7, "ja", "nee"))</f>
        <v>nee</v>
      </c>
      <c r="P76" t="str">
        <f>IF(Klantgegevens_B!O75&lt;&gt;"", Klantgegevens_B!O75, IF(Klantgegevens_A!L75&gt;=7, "ja", "nee"))</f>
        <v>Geen dieet</v>
      </c>
      <c r="Q76" t="str">
        <f>IF(Klantgegevens_B!P75&lt;&gt;"", Klantgegevens_B!P75, Klantgegevens_A!M75)</f>
        <v>Vegetarisch</v>
      </c>
      <c r="R76" t="str">
        <f>IF(Klantgegevens_B!A75&lt;&gt;"", "B", "A")</f>
        <v>B</v>
      </c>
    </row>
    <row r="77" spans="1:18" x14ac:dyDescent="0.3">
      <c r="A77" t="str">
        <f>IF(Klantgegevens_B!A76&lt;&gt;"", Klantgegevens_B!A76, MID(Klantgegevens_A!A76, FIND(",", Klantgegevens_A!A76)+2, LEN(Klantgegevens_A!A76)))</f>
        <v>Geneviève</v>
      </c>
      <c r="B77" t="str">
        <f>IF(Klantgegevens_B!B76&lt;&gt;"", Klantgegevens_B!B76, LEFT(Klantgegevens_A!A76, FIND(",", Klantgegevens_A!A76)-1))</f>
        <v>De wilde</v>
      </c>
      <c r="C77" t="str">
        <f t="shared" ca="1" si="1"/>
        <v/>
      </c>
      <c r="D77" t="str">
        <f>IF(Klantgegevens_B!F76&lt;&gt;"", Klantgegevens_B!F76, Klantgegevens_A!D76 &amp; " " &amp; Klantgegevens_A!E76 &amp; ", " &amp; Klantgegevens_A!F76)</f>
        <v>Geneviève,Brigitte,Claire,Margaux</v>
      </c>
      <c r="E77">
        <f>IF(Klantgegevens_B!G76&lt;&gt;"", Klantgegevens_B!G76, TEXTJOIN(",", TRUE, REPT("Volwassene,", Klantgegevens_A!G76), REPT("Kind,", Klantgegevens_A!H76)))</f>
        <v>170.12</v>
      </c>
      <c r="F77">
        <f>IF(Klantgegevens_B!G76&lt;&gt;"", LEN(Klantgegevens_B!G76)-LEN(SUBSTITUTE(Klantgegevens_B!G76, ",", ""))+1, Klantgegevens_A!G76)</f>
        <v>1</v>
      </c>
      <c r="G77">
        <f>IF(Klantgegevens_B!G76&lt;&gt;"", 0, Klantgegevens_A!H76)</f>
        <v>0</v>
      </c>
      <c r="H77">
        <f>IF(Klantgegevens_B!H76&lt;&gt;"", Klantgegevens_B!H76, Klantgegevens_A!I76)</f>
        <v>6</v>
      </c>
      <c r="I77" t="str">
        <f>IF(Klantgegevens_B!I76&lt;&gt;"", Klantgegevens_B!I76, SWITCH(Klantgegevens_A!J76, "Zelden", 1, "Af en toe", 4, "Regelmatig", 8, "Vaak", 12))</f>
        <v>Cash</v>
      </c>
      <c r="J77" t="str">
        <f>IF(Klantgegevens_B!J76&lt;&gt;"", Klantgegevens_B!J76, Klantgegevens_A!K76)</f>
        <v>nee</v>
      </c>
      <c r="K77">
        <f>IF(Klantgegevens_B!K76&lt;&gt;"", AVERAGE(--(Klantgegevens_B!K76="ja"), --(Klantgegevens_B!L76="ja"), --(Klantgegevens_B!M76="ja"), --(Klantgegevens_B!N76="ja"), --(Klantgegevens_B!O76="ja"))*10, Klantgegevens_A!L76)</f>
        <v>8</v>
      </c>
      <c r="L77" t="str">
        <f>IF(Klantgegevens_B!K76&lt;&gt;"", Klantgegevens_B!K76, IF(Klantgegevens_A!L76&gt;=7, "ja", "nee"))</f>
        <v>ja</v>
      </c>
      <c r="M77" t="str">
        <f>IF(Klantgegevens_B!L76&lt;&gt;"", Klantgegevens_B!L76, IF(Klantgegevens_A!L76&gt;=7, "ja", "nee"))</f>
        <v>ja</v>
      </c>
      <c r="N77" t="str">
        <f>IF(Klantgegevens_B!M76&lt;&gt;"", Klantgegevens_B!M76, IF(Klantgegevens_A!L76&gt;=7, "ja", "nee"))</f>
        <v>ja</v>
      </c>
      <c r="O77" t="str">
        <f>IF(Klantgegevens_B!N76&lt;&gt;"", Klantgegevens_B!N76, IF(Klantgegevens_A!L76&gt;=7, "ja", "nee"))</f>
        <v>ja</v>
      </c>
      <c r="P77" t="str">
        <f>IF(Klantgegevens_B!O76&lt;&gt;"", Klantgegevens_B!O76, IF(Klantgegevens_A!L76&gt;=7, "ja", "nee"))</f>
        <v>Geen dieet</v>
      </c>
      <c r="Q77" t="str">
        <f>IF(Klantgegevens_B!P76&lt;&gt;"", Klantgegevens_B!P76, Klantgegevens_A!M76)</f>
        <v>Vegetarisch</v>
      </c>
      <c r="R77" t="str">
        <f>IF(Klantgegevens_B!A76&lt;&gt;"", "B", "A")</f>
        <v>B</v>
      </c>
    </row>
    <row r="78" spans="1:18" x14ac:dyDescent="0.3">
      <c r="A78" t="str">
        <f>IF(Klantgegevens_B!A77&lt;&gt;"", Klantgegevens_B!A77, MID(Klantgegevens_A!A77, FIND(",", Klantgegevens_A!A77)+2, LEN(Klantgegevens_A!A77)))</f>
        <v>Christiana</v>
      </c>
      <c r="B78" t="str">
        <f>IF(Klantgegevens_B!B77&lt;&gt;"", Klantgegevens_B!B77, LEFT(Klantgegevens_A!A77, FIND(",", Klantgegevens_A!A77)-1))</f>
        <v>De vos</v>
      </c>
      <c r="C78" t="str">
        <f t="shared" ca="1" si="1"/>
        <v/>
      </c>
      <c r="D78" t="str">
        <f>IF(Klantgegevens_B!F77&lt;&gt;"", Klantgegevens_B!F77, Klantgegevens_A!D77 &amp; " " &amp; Klantgegevens_A!E77 &amp; ", " &amp; Klantgegevens_A!F77)</f>
        <v>Christiana,Freddy</v>
      </c>
      <c r="E78">
        <f>IF(Klantgegevens_B!G77&lt;&gt;"", Klantgegevens_B!G77, TEXTJOIN(",", TRUE, REPT("Volwassene,", Klantgegevens_A!G77), REPT("Kind,", Klantgegevens_A!H77)))</f>
        <v>68.150000000000006</v>
      </c>
      <c r="F78">
        <f>IF(Klantgegevens_B!G77&lt;&gt;"", LEN(Klantgegevens_B!G77)-LEN(SUBSTITUTE(Klantgegevens_B!G77, ",", ""))+1, Klantgegevens_A!G77)</f>
        <v>1</v>
      </c>
      <c r="G78">
        <f>IF(Klantgegevens_B!G77&lt;&gt;"", 0, Klantgegevens_A!H77)</f>
        <v>0</v>
      </c>
      <c r="H78">
        <f>IF(Klantgegevens_B!H77&lt;&gt;"", Klantgegevens_B!H77, Klantgegevens_A!I77)</f>
        <v>4</v>
      </c>
      <c r="I78" t="str">
        <f>IF(Klantgegevens_B!I77&lt;&gt;"", Klantgegevens_B!I77, SWITCH(Klantgegevens_A!J77, "Zelden", 1, "Af en toe", 4, "Regelmatig", 8, "Vaak", 12))</f>
        <v>Payconiq</v>
      </c>
      <c r="J78" t="str">
        <f>IF(Klantgegevens_B!J77&lt;&gt;"", Klantgegevens_B!J77, Klantgegevens_A!K77)</f>
        <v>ja</v>
      </c>
      <c r="K78">
        <f>IF(Klantgegevens_B!K77&lt;&gt;"", AVERAGE(--(Klantgegevens_B!K77="ja"), --(Klantgegevens_B!L77="ja"), --(Klantgegevens_B!M77="ja"), --(Klantgegevens_B!N77="ja"), --(Klantgegevens_B!O77="ja"))*10, Klantgegevens_A!L77)</f>
        <v>8</v>
      </c>
      <c r="L78" t="str">
        <f>IF(Klantgegevens_B!K77&lt;&gt;"", Klantgegevens_B!K77, IF(Klantgegevens_A!L77&gt;=7, "ja", "nee"))</f>
        <v>ja</v>
      </c>
      <c r="M78" t="str">
        <f>IF(Klantgegevens_B!L77&lt;&gt;"", Klantgegevens_B!L77, IF(Klantgegevens_A!L77&gt;=7, "ja", "nee"))</f>
        <v>ja</v>
      </c>
      <c r="N78" t="str">
        <f>IF(Klantgegevens_B!M77&lt;&gt;"", Klantgegevens_B!M77, IF(Klantgegevens_A!L77&gt;=7, "ja", "nee"))</f>
        <v>ja</v>
      </c>
      <c r="O78" t="str">
        <f>IF(Klantgegevens_B!N77&lt;&gt;"", Klantgegevens_B!N77, IF(Klantgegevens_A!L77&gt;=7, "ja", "nee"))</f>
        <v>ja</v>
      </c>
      <c r="P78" t="str">
        <f>IF(Klantgegevens_B!O77&lt;&gt;"", Klantgegevens_B!O77, IF(Klantgegevens_A!L77&gt;=7, "ja", "nee"))</f>
        <v>Vegetarisch</v>
      </c>
      <c r="Q78" t="str">
        <f>IF(Klantgegevens_B!P77&lt;&gt;"", Klantgegevens_B!P77, Klantgegevens_A!M77)</f>
        <v>Geen dieet</v>
      </c>
      <c r="R78" t="str">
        <f>IF(Klantgegevens_B!A77&lt;&gt;"", "B", "A")</f>
        <v>B</v>
      </c>
    </row>
    <row r="79" spans="1:18" x14ac:dyDescent="0.3">
      <c r="A79" t="str">
        <f>IF(Klantgegevens_B!A78&lt;&gt;"", Klantgegevens_B!A78, MID(Klantgegevens_A!A78, FIND(",", Klantgegevens_A!A78)+2, LEN(Klantgegevens_A!A78)))</f>
        <v>Rens</v>
      </c>
      <c r="B79" t="str">
        <f>IF(Klantgegevens_B!B78&lt;&gt;"", Klantgegevens_B!B78, LEFT(Klantgegevens_A!A78, FIND(",", Klantgegevens_A!A78)-1))</f>
        <v>Cuvelier</v>
      </c>
      <c r="C79" t="str">
        <f t="shared" ca="1" si="1"/>
        <v/>
      </c>
      <c r="D79" t="str">
        <f>IF(Klantgegevens_B!F78&lt;&gt;"", Klantgegevens_B!F78, Klantgegevens_A!D78 &amp; " " &amp; Klantgegevens_A!E78 &amp; ", " &amp; Klantgegevens_A!F78)</f>
        <v>Rens,Fien</v>
      </c>
      <c r="E79">
        <f>IF(Klantgegevens_B!G78&lt;&gt;"", Klantgegevens_B!G78, TEXTJOIN(",", TRUE, REPT("Volwassene,", Klantgegevens_A!G78), REPT("Kind,", Klantgegevens_A!H78)))</f>
        <v>77.849999999999994</v>
      </c>
      <c r="F79">
        <f>IF(Klantgegevens_B!G78&lt;&gt;"", LEN(Klantgegevens_B!G78)-LEN(SUBSTITUTE(Klantgegevens_B!G78, ",", ""))+1, Klantgegevens_A!G78)</f>
        <v>1</v>
      </c>
      <c r="G79">
        <f>IF(Klantgegevens_B!G78&lt;&gt;"", 0, Klantgegevens_A!H78)</f>
        <v>0</v>
      </c>
      <c r="H79">
        <f>IF(Klantgegevens_B!H78&lt;&gt;"", Klantgegevens_B!H78, Klantgegevens_A!I78)</f>
        <v>9</v>
      </c>
      <c r="I79" t="str">
        <f>IF(Klantgegevens_B!I78&lt;&gt;"", Klantgegevens_B!I78, SWITCH(Klantgegevens_A!J78, "Zelden", 1, "Af en toe", 4, "Regelmatig", 8, "Vaak", 12))</f>
        <v>Cash</v>
      </c>
      <c r="J79" t="str">
        <f>IF(Klantgegevens_B!J78&lt;&gt;"", Klantgegevens_B!J78, Klantgegevens_A!K78)</f>
        <v>ja</v>
      </c>
      <c r="K79">
        <f>IF(Klantgegevens_B!K78&lt;&gt;"", AVERAGE(--(Klantgegevens_B!K78="ja"), --(Klantgegevens_B!L78="ja"), --(Klantgegevens_B!M78="ja"), --(Klantgegevens_B!N78="ja"), --(Klantgegevens_B!O78="ja"))*10, Klantgegevens_A!L78)</f>
        <v>4</v>
      </c>
      <c r="L79" t="str">
        <f>IF(Klantgegevens_B!K78&lt;&gt;"", Klantgegevens_B!K78, IF(Klantgegevens_A!L78&gt;=7, "ja", "nee"))</f>
        <v>ja</v>
      </c>
      <c r="M79" t="str">
        <f>IF(Klantgegevens_B!L78&lt;&gt;"", Klantgegevens_B!L78, IF(Klantgegevens_A!L78&gt;=7, "ja", "nee"))</f>
        <v>nee</v>
      </c>
      <c r="N79" t="str">
        <f>IF(Klantgegevens_B!M78&lt;&gt;"", Klantgegevens_B!M78, IF(Klantgegevens_A!L78&gt;=7, "ja", "nee"))</f>
        <v>nee</v>
      </c>
      <c r="O79" t="str">
        <f>IF(Klantgegevens_B!N78&lt;&gt;"", Klantgegevens_B!N78, IF(Klantgegevens_A!L78&gt;=7, "ja", "nee"))</f>
        <v>ja</v>
      </c>
      <c r="P79" t="str">
        <f>IF(Klantgegevens_B!O78&lt;&gt;"", Klantgegevens_B!O78, IF(Klantgegevens_A!L78&gt;=7, "ja", "nee"))</f>
        <v>Vegetarisch</v>
      </c>
      <c r="Q79" t="str">
        <f>IF(Klantgegevens_B!P78&lt;&gt;"", Klantgegevens_B!P78, Klantgegevens_A!M78)</f>
        <v>Geen dieet</v>
      </c>
      <c r="R79" t="str">
        <f>IF(Klantgegevens_B!A78&lt;&gt;"", "B", "A")</f>
        <v>B</v>
      </c>
    </row>
    <row r="80" spans="1:18" x14ac:dyDescent="0.3">
      <c r="A80" t="str">
        <f>IF(Klantgegevens_B!A79&lt;&gt;"", Klantgegevens_B!A79, MID(Klantgegevens_A!A79, FIND(",", Klantgegevens_A!A79)+2, LEN(Klantgegevens_A!A79)))</f>
        <v>Khalifa</v>
      </c>
      <c r="B80" t="str">
        <f>IF(Klantgegevens_B!B79&lt;&gt;"", Klantgegevens_B!B79, LEFT(Klantgegevens_A!A79, FIND(",", Klantgegevens_A!A79)-1))</f>
        <v>Robert</v>
      </c>
      <c r="C80" t="str">
        <f t="shared" ca="1" si="1"/>
        <v/>
      </c>
      <c r="D80" t="str">
        <f>IF(Klantgegevens_B!F79&lt;&gt;"", Klantgegevens_B!F79, Klantgegevens_A!D79 &amp; " " &amp; Klantgegevens_A!E79 &amp; ", " &amp; Klantgegevens_A!F79)</f>
        <v>Khalifa</v>
      </c>
      <c r="E80">
        <f>IF(Klantgegevens_B!G79&lt;&gt;"", Klantgegevens_B!G79, TEXTJOIN(",", TRUE, REPT("Volwassene,", Klantgegevens_A!G79), REPT("Kind,", Klantgegevens_A!H79)))</f>
        <v>94.68</v>
      </c>
      <c r="F80">
        <f>IF(Klantgegevens_B!G79&lt;&gt;"", LEN(Klantgegevens_B!G79)-LEN(SUBSTITUTE(Klantgegevens_B!G79, ",", ""))+1, Klantgegevens_A!G79)</f>
        <v>1</v>
      </c>
      <c r="G80">
        <f>IF(Klantgegevens_B!G79&lt;&gt;"", 0, Klantgegevens_A!H79)</f>
        <v>0</v>
      </c>
      <c r="H80">
        <f>IF(Klantgegevens_B!H79&lt;&gt;"", Klantgegevens_B!H79, Klantgegevens_A!I79)</f>
        <v>3</v>
      </c>
      <c r="I80" t="str">
        <f>IF(Klantgegevens_B!I79&lt;&gt;"", Klantgegevens_B!I79, SWITCH(Klantgegevens_A!J79, "Zelden", 1, "Af en toe", 4, "Regelmatig", 8, "Vaak", 12))</f>
        <v>Bancontact</v>
      </c>
      <c r="J80" t="str">
        <f>IF(Klantgegevens_B!J79&lt;&gt;"", Klantgegevens_B!J79, Klantgegevens_A!K79)</f>
        <v>ja</v>
      </c>
      <c r="K80">
        <f>IF(Klantgegevens_B!K79&lt;&gt;"", AVERAGE(--(Klantgegevens_B!K79="ja"), --(Klantgegevens_B!L79="ja"), --(Klantgegevens_B!M79="ja"), --(Klantgegevens_B!N79="ja"), --(Klantgegevens_B!O79="ja"))*10, Klantgegevens_A!L79)</f>
        <v>6</v>
      </c>
      <c r="L80" t="str">
        <f>IF(Klantgegevens_B!K79&lt;&gt;"", Klantgegevens_B!K79, IF(Klantgegevens_A!L79&gt;=7, "ja", "nee"))</f>
        <v>ja</v>
      </c>
      <c r="M80" t="str">
        <f>IF(Klantgegevens_B!L79&lt;&gt;"", Klantgegevens_B!L79, IF(Klantgegevens_A!L79&gt;=7, "ja", "nee"))</f>
        <v>ja</v>
      </c>
      <c r="N80" t="str">
        <f>IF(Klantgegevens_B!M79&lt;&gt;"", Klantgegevens_B!M79, IF(Klantgegevens_A!L79&gt;=7, "ja", "nee"))</f>
        <v>nee</v>
      </c>
      <c r="O80" t="str">
        <f>IF(Klantgegevens_B!N79&lt;&gt;"", Klantgegevens_B!N79, IF(Klantgegevens_A!L79&gt;=7, "ja", "nee"))</f>
        <v>ja</v>
      </c>
      <c r="P80" t="str">
        <f>IF(Klantgegevens_B!O79&lt;&gt;"", Klantgegevens_B!O79, IF(Klantgegevens_A!L79&gt;=7, "ja", "nee"))</f>
        <v>Geen dieet</v>
      </c>
      <c r="Q80" t="str">
        <f>IF(Klantgegevens_B!P79&lt;&gt;"", Klantgegevens_B!P79, Klantgegevens_A!M79)</f>
        <v>Vegetarisch</v>
      </c>
      <c r="R80" t="str">
        <f>IF(Klantgegevens_B!A79&lt;&gt;"", "B", "A")</f>
        <v>B</v>
      </c>
    </row>
    <row r="81" spans="1:18" x14ac:dyDescent="0.3">
      <c r="A81" t="str">
        <f>IF(Klantgegevens_B!A80&lt;&gt;"", Klantgegevens_B!A80, MID(Klantgegevens_A!A80, FIND(",", Klantgegevens_A!A80)+2, LEN(Klantgegevens_A!A80)))</f>
        <v>Christelle</v>
      </c>
      <c r="B81" t="str">
        <f>IF(Klantgegevens_B!B80&lt;&gt;"", Klantgegevens_B!B80, LEFT(Klantgegevens_A!A80, FIND(",", Klantgegevens_A!A80)-1))</f>
        <v>Cuypers</v>
      </c>
      <c r="C81" t="str">
        <f t="shared" ca="1" si="1"/>
        <v/>
      </c>
      <c r="D81" t="str">
        <f>IF(Klantgegevens_B!F80&lt;&gt;"", Klantgegevens_B!F80, Klantgegevens_A!D80 &amp; " " &amp; Klantgegevens_A!E80 &amp; ", " &amp; Klantgegevens_A!F80)</f>
        <v>Christelle,Salim</v>
      </c>
      <c r="E81">
        <f>IF(Klantgegevens_B!G80&lt;&gt;"", Klantgegevens_B!G80, TEXTJOIN(",", TRUE, REPT("Volwassene,", Klantgegevens_A!G80), REPT("Kind,", Klantgegevens_A!H80)))</f>
        <v>88.08</v>
      </c>
      <c r="F81">
        <f>IF(Klantgegevens_B!G80&lt;&gt;"", LEN(Klantgegevens_B!G80)-LEN(SUBSTITUTE(Klantgegevens_B!G80, ",", ""))+1, Klantgegevens_A!G80)</f>
        <v>1</v>
      </c>
      <c r="G81">
        <f>IF(Klantgegevens_B!G80&lt;&gt;"", 0, Klantgegevens_A!H80)</f>
        <v>0</v>
      </c>
      <c r="H81">
        <f>IF(Klantgegevens_B!H80&lt;&gt;"", Klantgegevens_B!H80, Klantgegevens_A!I80)</f>
        <v>2</v>
      </c>
      <c r="I81" t="str">
        <f>IF(Klantgegevens_B!I80&lt;&gt;"", Klantgegevens_B!I80, SWITCH(Klantgegevens_A!J80, "Zelden", 1, "Af en toe", 4, "Regelmatig", 8, "Vaak", 12))</f>
        <v>Bancontact</v>
      </c>
      <c r="J81" t="str">
        <f>IF(Klantgegevens_B!J80&lt;&gt;"", Klantgegevens_B!J80, Klantgegevens_A!K80)</f>
        <v>ja</v>
      </c>
      <c r="K81">
        <f>IF(Klantgegevens_B!K80&lt;&gt;"", AVERAGE(--(Klantgegevens_B!K80="ja"), --(Klantgegevens_B!L80="ja"), --(Klantgegevens_B!M80="ja"), --(Klantgegevens_B!N80="ja"), --(Klantgegevens_B!O80="ja"))*10, Klantgegevens_A!L80)</f>
        <v>6</v>
      </c>
      <c r="L81" t="str">
        <f>IF(Klantgegevens_B!K80&lt;&gt;"", Klantgegevens_B!K80, IF(Klantgegevens_A!L80&gt;=7, "ja", "nee"))</f>
        <v>nee</v>
      </c>
      <c r="M81" t="str">
        <f>IF(Klantgegevens_B!L80&lt;&gt;"", Klantgegevens_B!L80, IF(Klantgegevens_A!L80&gt;=7, "ja", "nee"))</f>
        <v>ja</v>
      </c>
      <c r="N81" t="str">
        <f>IF(Klantgegevens_B!M80&lt;&gt;"", Klantgegevens_B!M80, IF(Klantgegevens_A!L80&gt;=7, "ja", "nee"))</f>
        <v>ja</v>
      </c>
      <c r="O81" t="str">
        <f>IF(Klantgegevens_B!N80&lt;&gt;"", Klantgegevens_B!N80, IF(Klantgegevens_A!L80&gt;=7, "ja", "nee"))</f>
        <v>ja</v>
      </c>
      <c r="P81" t="str">
        <f>IF(Klantgegevens_B!O80&lt;&gt;"", Klantgegevens_B!O80, IF(Klantgegevens_A!L80&gt;=7, "ja", "nee"))</f>
        <v>Geen dieet</v>
      </c>
      <c r="Q81" t="str">
        <f>IF(Klantgegevens_B!P80&lt;&gt;"", Klantgegevens_B!P80, Klantgegevens_A!M80)</f>
        <v>Geen dieet</v>
      </c>
      <c r="R81" t="str">
        <f>IF(Klantgegevens_B!A80&lt;&gt;"", "B", "A")</f>
        <v>B</v>
      </c>
    </row>
    <row r="82" spans="1:18" x14ac:dyDescent="0.3">
      <c r="A82" t="str">
        <f>IF(Klantgegevens_B!A81&lt;&gt;"", Klantgegevens_B!A81, MID(Klantgegevens_A!A81, FIND(",", Klantgegevens_A!A81)+2, LEN(Klantgegevens_A!A81)))</f>
        <v>Shanna</v>
      </c>
      <c r="B82" t="str">
        <f>IF(Klantgegevens_B!B81&lt;&gt;"", Klantgegevens_B!B81, LEFT(Klantgegevens_A!A81, FIND(",", Klantgegevens_A!A81)-1))</f>
        <v>Van den brande</v>
      </c>
      <c r="C82" t="str">
        <f t="shared" ca="1" si="1"/>
        <v/>
      </c>
      <c r="D82" t="str">
        <f>IF(Klantgegevens_B!F81&lt;&gt;"", Klantgegevens_B!F81, Klantgegevens_A!D81 &amp; " " &amp; Klantgegevens_A!E81 &amp; ", " &amp; Klantgegevens_A!F81)</f>
        <v>Shanna,Roland,Thomas</v>
      </c>
      <c r="E82">
        <f>IF(Klantgegevens_B!G81&lt;&gt;"", Klantgegevens_B!G81, TEXTJOIN(",", TRUE, REPT("Volwassene,", Klantgegevens_A!G81), REPT("Kind,", Klantgegevens_A!H81)))</f>
        <v>178.04</v>
      </c>
      <c r="F82">
        <f>IF(Klantgegevens_B!G81&lt;&gt;"", LEN(Klantgegevens_B!G81)-LEN(SUBSTITUTE(Klantgegevens_B!G81, ",", ""))+1, Klantgegevens_A!G81)</f>
        <v>1</v>
      </c>
      <c r="G82">
        <f>IF(Klantgegevens_B!G81&lt;&gt;"", 0, Klantgegevens_A!H81)</f>
        <v>0</v>
      </c>
      <c r="H82">
        <f>IF(Klantgegevens_B!H81&lt;&gt;"", Klantgegevens_B!H81, Klantgegevens_A!I81)</f>
        <v>16</v>
      </c>
      <c r="I82" t="str">
        <f>IF(Klantgegevens_B!I81&lt;&gt;"", Klantgegevens_B!I81, SWITCH(Klantgegevens_A!J81, "Zelden", 1, "Af en toe", 4, "Regelmatig", 8, "Vaak", 12))</f>
        <v>Payconiq</v>
      </c>
      <c r="J82" t="str">
        <f>IF(Klantgegevens_B!J81&lt;&gt;"", Klantgegevens_B!J81, Klantgegevens_A!K81)</f>
        <v>ja</v>
      </c>
      <c r="K82">
        <f>IF(Klantgegevens_B!K81&lt;&gt;"", AVERAGE(--(Klantgegevens_B!K81="ja"), --(Klantgegevens_B!L81="ja"), --(Klantgegevens_B!M81="ja"), --(Klantgegevens_B!N81="ja"), --(Klantgegevens_B!O81="ja"))*10, Klantgegevens_A!L81)</f>
        <v>2</v>
      </c>
      <c r="L82" t="str">
        <f>IF(Klantgegevens_B!K81&lt;&gt;"", Klantgegevens_B!K81, IF(Klantgegevens_A!L81&gt;=7, "ja", "nee"))</f>
        <v>nee</v>
      </c>
      <c r="M82" t="str">
        <f>IF(Klantgegevens_B!L81&lt;&gt;"", Klantgegevens_B!L81, IF(Klantgegevens_A!L81&gt;=7, "ja", "nee"))</f>
        <v>nee</v>
      </c>
      <c r="N82" t="str">
        <f>IF(Klantgegevens_B!M81&lt;&gt;"", Klantgegevens_B!M81, IF(Klantgegevens_A!L81&gt;=7, "ja", "nee"))</f>
        <v>ja</v>
      </c>
      <c r="O82" t="str">
        <f>IF(Klantgegevens_B!N81&lt;&gt;"", Klantgegevens_B!N81, IF(Klantgegevens_A!L81&gt;=7, "ja", "nee"))</f>
        <v>nee</v>
      </c>
      <c r="P82" t="str">
        <f>IF(Klantgegevens_B!O81&lt;&gt;"", Klantgegevens_B!O81, IF(Klantgegevens_A!L81&gt;=7, "ja", "nee"))</f>
        <v>Geen dieet</v>
      </c>
      <c r="Q82" t="str">
        <f>IF(Klantgegevens_B!P81&lt;&gt;"", Klantgegevens_B!P81, Klantgegevens_A!M81)</f>
        <v>Geen dieet</v>
      </c>
      <c r="R82" t="str">
        <f>IF(Klantgegevens_B!A81&lt;&gt;"", "B", "A")</f>
        <v>B</v>
      </c>
    </row>
    <row r="83" spans="1:18" x14ac:dyDescent="0.3">
      <c r="A83" t="str">
        <f>IF(Klantgegevens_B!A82&lt;&gt;"", Klantgegevens_B!A82, MID(Klantgegevens_A!A82, FIND(",", Klantgegevens_A!A82)+2, LEN(Klantgegevens_A!A82)))</f>
        <v>Bjarni</v>
      </c>
      <c r="B83" t="str">
        <f>IF(Klantgegevens_B!B82&lt;&gt;"", Klantgegevens_B!B82, LEFT(Klantgegevens_A!A82, FIND(",", Klantgegevens_A!A82)-1))</f>
        <v>Goossens</v>
      </c>
      <c r="C83" t="str">
        <f t="shared" ca="1" si="1"/>
        <v/>
      </c>
      <c r="D83" t="str">
        <f>IF(Klantgegevens_B!F82&lt;&gt;"", Klantgegevens_B!F82, Klantgegevens_A!D82 &amp; " " &amp; Klantgegevens_A!E82 &amp; ", " &amp; Klantgegevens_A!F82)</f>
        <v>Bjarni,William</v>
      </c>
      <c r="E83">
        <f>IF(Klantgegevens_B!G82&lt;&gt;"", Klantgegevens_B!G82, TEXTJOIN(",", TRUE, REPT("Volwassene,", Klantgegevens_A!G82), REPT("Kind,", Klantgegevens_A!H82)))</f>
        <v>97.84</v>
      </c>
      <c r="F83">
        <f>IF(Klantgegevens_B!G82&lt;&gt;"", LEN(Klantgegevens_B!G82)-LEN(SUBSTITUTE(Klantgegevens_B!G82, ",", ""))+1, Klantgegevens_A!G82)</f>
        <v>1</v>
      </c>
      <c r="G83">
        <f>IF(Klantgegevens_B!G82&lt;&gt;"", 0, Klantgegevens_A!H82)</f>
        <v>0</v>
      </c>
      <c r="H83">
        <f>IF(Klantgegevens_B!H82&lt;&gt;"", Klantgegevens_B!H82, Klantgegevens_A!I82)</f>
        <v>18</v>
      </c>
      <c r="I83" t="str">
        <f>IF(Klantgegevens_B!I82&lt;&gt;"", Klantgegevens_B!I82, SWITCH(Klantgegevens_A!J82, "Zelden", 1, "Af en toe", 4, "Regelmatig", 8, "Vaak", 12))</f>
        <v>Bancontact</v>
      </c>
      <c r="J83" t="str">
        <f>IF(Klantgegevens_B!J82&lt;&gt;"", Klantgegevens_B!J82, Klantgegevens_A!K82)</f>
        <v>ja</v>
      </c>
      <c r="K83">
        <f>IF(Klantgegevens_B!K82&lt;&gt;"", AVERAGE(--(Klantgegevens_B!K82="ja"), --(Klantgegevens_B!L82="ja"), --(Klantgegevens_B!M82="ja"), --(Klantgegevens_B!N82="ja"), --(Klantgegevens_B!O82="ja"))*10, Klantgegevens_A!L82)</f>
        <v>6</v>
      </c>
      <c r="L83" t="str">
        <f>IF(Klantgegevens_B!K82&lt;&gt;"", Klantgegevens_B!K82, IF(Klantgegevens_A!L82&gt;=7, "ja", "nee"))</f>
        <v>ja</v>
      </c>
      <c r="M83" t="str">
        <f>IF(Klantgegevens_B!L82&lt;&gt;"", Klantgegevens_B!L82, IF(Klantgegevens_A!L82&gt;=7, "ja", "nee"))</f>
        <v>ja</v>
      </c>
      <c r="N83" t="str">
        <f>IF(Klantgegevens_B!M82&lt;&gt;"", Klantgegevens_B!M82, IF(Klantgegevens_A!L82&gt;=7, "ja", "nee"))</f>
        <v>nee</v>
      </c>
      <c r="O83" t="str">
        <f>IF(Klantgegevens_B!N82&lt;&gt;"", Klantgegevens_B!N82, IF(Klantgegevens_A!L82&gt;=7, "ja", "nee"))</f>
        <v>ja</v>
      </c>
      <c r="P83" t="str">
        <f>IF(Klantgegevens_B!O82&lt;&gt;"", Klantgegevens_B!O82, IF(Klantgegevens_A!L82&gt;=7, "ja", "nee"))</f>
        <v>Geen dieet</v>
      </c>
      <c r="Q83" t="str">
        <f>IF(Klantgegevens_B!P82&lt;&gt;"", Klantgegevens_B!P82, Klantgegevens_A!M82)</f>
        <v>Geen dieet</v>
      </c>
      <c r="R83" t="str">
        <f>IF(Klantgegevens_B!A82&lt;&gt;"", "B", "A")</f>
        <v>B</v>
      </c>
    </row>
    <row r="84" spans="1:18" x14ac:dyDescent="0.3">
      <c r="A84" t="str">
        <f>IF(Klantgegevens_B!A83&lt;&gt;"", Klantgegevens_B!A83, MID(Klantgegevens_A!A83, FIND(",", Klantgegevens_A!A83)+2, LEN(Klantgegevens_A!A83)))</f>
        <v>Maria</v>
      </c>
      <c r="B84" t="str">
        <f>IF(Klantgegevens_B!B83&lt;&gt;"", Klantgegevens_B!B83, LEFT(Klantgegevens_A!A83, FIND(",", Klantgegevens_A!A83)-1))</f>
        <v>Aerts</v>
      </c>
      <c r="C84" t="str">
        <f t="shared" ca="1" si="1"/>
        <v/>
      </c>
      <c r="D84" t="str">
        <f>IF(Klantgegevens_B!F83&lt;&gt;"", Klantgegevens_B!F83, Klantgegevens_A!D83 &amp; " " &amp; Klantgegevens_A!E83 &amp; ", " &amp; Klantgegevens_A!F83)</f>
        <v>Maria,Peter,Abdellatif,Justin,Sandra,Febe</v>
      </c>
      <c r="E84">
        <f>IF(Klantgegevens_B!G83&lt;&gt;"", Klantgegevens_B!G83, TEXTJOIN(",", TRUE, REPT("Volwassene,", Klantgegevens_A!G83), REPT("Kind,", Klantgegevens_A!H83)))</f>
        <v>201.42</v>
      </c>
      <c r="F84">
        <f>IF(Klantgegevens_B!G83&lt;&gt;"", LEN(Klantgegevens_B!G83)-LEN(SUBSTITUTE(Klantgegevens_B!G83, ",", ""))+1, Klantgegevens_A!G83)</f>
        <v>1</v>
      </c>
      <c r="G84">
        <f>IF(Klantgegevens_B!G83&lt;&gt;"", 0, Klantgegevens_A!H83)</f>
        <v>0</v>
      </c>
      <c r="H84">
        <f>IF(Klantgegevens_B!H83&lt;&gt;"", Klantgegevens_B!H83, Klantgegevens_A!I83)</f>
        <v>1</v>
      </c>
      <c r="I84" t="str">
        <f>IF(Klantgegevens_B!I83&lt;&gt;"", Klantgegevens_B!I83, SWITCH(Klantgegevens_A!J83, "Zelden", 1, "Af en toe", 4, "Regelmatig", 8, "Vaak", 12))</f>
        <v>Payconiq</v>
      </c>
      <c r="J84" t="str">
        <f>IF(Klantgegevens_B!J83&lt;&gt;"", Klantgegevens_B!J83, Klantgegevens_A!K83)</f>
        <v>ja</v>
      </c>
      <c r="K84">
        <f>IF(Klantgegevens_B!K83&lt;&gt;"", AVERAGE(--(Klantgegevens_B!K83="ja"), --(Klantgegevens_B!L83="ja"), --(Klantgegevens_B!M83="ja"), --(Klantgegevens_B!N83="ja"), --(Klantgegevens_B!O83="ja"))*10, Klantgegevens_A!L83)</f>
        <v>8</v>
      </c>
      <c r="L84" t="str">
        <f>IF(Klantgegevens_B!K83&lt;&gt;"", Klantgegevens_B!K83, IF(Klantgegevens_A!L83&gt;=7, "ja", "nee"))</f>
        <v>ja</v>
      </c>
      <c r="M84" t="str">
        <f>IF(Klantgegevens_B!L83&lt;&gt;"", Klantgegevens_B!L83, IF(Klantgegevens_A!L83&gt;=7, "ja", "nee"))</f>
        <v>ja</v>
      </c>
      <c r="N84" t="str">
        <f>IF(Klantgegevens_B!M83&lt;&gt;"", Klantgegevens_B!M83, IF(Klantgegevens_A!L83&gt;=7, "ja", "nee"))</f>
        <v>ja</v>
      </c>
      <c r="O84" t="str">
        <f>IF(Klantgegevens_B!N83&lt;&gt;"", Klantgegevens_B!N83, IF(Klantgegevens_A!L83&gt;=7, "ja", "nee"))</f>
        <v>ja</v>
      </c>
      <c r="P84" t="str">
        <f>IF(Klantgegevens_B!O83&lt;&gt;"", Klantgegevens_B!O83, IF(Klantgegevens_A!L83&gt;=7, "ja", "nee"))</f>
        <v>Geen dieet</v>
      </c>
      <c r="Q84" t="str">
        <f>IF(Klantgegevens_B!P83&lt;&gt;"", Klantgegevens_B!P83, Klantgegevens_A!M83)</f>
        <v>Veganistisch</v>
      </c>
      <c r="R84" t="str">
        <f>IF(Klantgegevens_B!A83&lt;&gt;"", "B", "A")</f>
        <v>B</v>
      </c>
    </row>
    <row r="85" spans="1:18" x14ac:dyDescent="0.3">
      <c r="A85" t="str">
        <f>IF(Klantgegevens_B!A84&lt;&gt;"", Klantgegevens_B!A84, MID(Klantgegevens_A!A84, FIND(",", Klantgegevens_A!A84)+2, LEN(Klantgegevens_A!A84)))</f>
        <v>Jacqueline</v>
      </c>
      <c r="B85" t="str">
        <f>IF(Klantgegevens_B!B84&lt;&gt;"", Klantgegevens_B!B84, LEFT(Klantgegevens_A!A84, FIND(",", Klantgegevens_A!A84)-1))</f>
        <v>Garcia</v>
      </c>
      <c r="C85" t="str">
        <f t="shared" ca="1" si="1"/>
        <v/>
      </c>
      <c r="D85" t="str">
        <f>IF(Klantgegevens_B!F84&lt;&gt;"", Klantgegevens_B!F84, Klantgegevens_A!D84 &amp; " " &amp; Klantgegevens_A!E84 &amp; ", " &amp; Klantgegevens_A!F84)</f>
        <v>Jacqueline,Carolien,Thomas</v>
      </c>
      <c r="E85">
        <f>IF(Klantgegevens_B!G84&lt;&gt;"", Klantgegevens_B!G84, TEXTJOIN(",", TRUE, REPT("Volwassene,", Klantgegevens_A!G84), REPT("Kind,", Klantgegevens_A!H84)))</f>
        <v>80.540000000000006</v>
      </c>
      <c r="F85">
        <f>IF(Klantgegevens_B!G84&lt;&gt;"", LEN(Klantgegevens_B!G84)-LEN(SUBSTITUTE(Klantgegevens_B!G84, ",", ""))+1, Klantgegevens_A!G84)</f>
        <v>1</v>
      </c>
      <c r="G85">
        <f>IF(Klantgegevens_B!G84&lt;&gt;"", 0, Klantgegevens_A!H84)</f>
        <v>0</v>
      </c>
      <c r="H85">
        <f>IF(Klantgegevens_B!H84&lt;&gt;"", Klantgegevens_B!H84, Klantgegevens_A!I84)</f>
        <v>4</v>
      </c>
      <c r="I85" t="str">
        <f>IF(Klantgegevens_B!I84&lt;&gt;"", Klantgegevens_B!I84, SWITCH(Klantgegevens_A!J84, "Zelden", 1, "Af en toe", 4, "Regelmatig", 8, "Vaak", 12))</f>
        <v>Payconiq</v>
      </c>
      <c r="J85" t="str">
        <f>IF(Klantgegevens_B!J84&lt;&gt;"", Klantgegevens_B!J84, Klantgegevens_A!K84)</f>
        <v>ja</v>
      </c>
      <c r="K85">
        <f>IF(Klantgegevens_B!K84&lt;&gt;"", AVERAGE(--(Klantgegevens_B!K84="ja"), --(Klantgegevens_B!L84="ja"), --(Klantgegevens_B!M84="ja"), --(Klantgegevens_B!N84="ja"), --(Klantgegevens_B!O84="ja"))*10, Klantgegevens_A!L84)</f>
        <v>8</v>
      </c>
      <c r="L85" t="str">
        <f>IF(Klantgegevens_B!K84&lt;&gt;"", Klantgegevens_B!K84, IF(Klantgegevens_A!L84&gt;=7, "ja", "nee"))</f>
        <v>ja</v>
      </c>
      <c r="M85" t="str">
        <f>IF(Klantgegevens_B!L84&lt;&gt;"", Klantgegevens_B!L84, IF(Klantgegevens_A!L84&gt;=7, "ja", "nee"))</f>
        <v>ja</v>
      </c>
      <c r="N85" t="str">
        <f>IF(Klantgegevens_B!M84&lt;&gt;"", Klantgegevens_B!M84, IF(Klantgegevens_A!L84&gt;=7, "ja", "nee"))</f>
        <v>ja</v>
      </c>
      <c r="O85" t="str">
        <f>IF(Klantgegevens_B!N84&lt;&gt;"", Klantgegevens_B!N84, IF(Klantgegevens_A!L84&gt;=7, "ja", "nee"))</f>
        <v>ja</v>
      </c>
      <c r="P85" t="str">
        <f>IF(Klantgegevens_B!O84&lt;&gt;"", Klantgegevens_B!O84, IF(Klantgegevens_A!L84&gt;=7, "ja", "nee"))</f>
        <v>Geen dieet</v>
      </c>
      <c r="Q85" t="str">
        <f>IF(Klantgegevens_B!P84&lt;&gt;"", Klantgegevens_B!P84, Klantgegevens_A!M84)</f>
        <v>Geen dieet</v>
      </c>
      <c r="R85" t="str">
        <f>IF(Klantgegevens_B!A84&lt;&gt;"", "B", "A")</f>
        <v>B</v>
      </c>
    </row>
    <row r="86" spans="1:18" x14ac:dyDescent="0.3">
      <c r="A86" t="str">
        <f>IF(Klantgegevens_B!A85&lt;&gt;"", Klantgegevens_B!A85, MID(Klantgegevens_A!A85, FIND(",", Klantgegevens_A!A85)+2, LEN(Klantgegevens_A!A85)))</f>
        <v>Valerius</v>
      </c>
      <c r="B86" t="str">
        <f>IF(Klantgegevens_B!B85&lt;&gt;"", Klantgegevens_B!B85, LEFT(Klantgegevens_A!A85, FIND(",", Klantgegevens_A!A85)-1))</f>
        <v>Verbruggen</v>
      </c>
      <c r="C86" t="str">
        <f t="shared" ca="1" si="1"/>
        <v/>
      </c>
      <c r="D86" t="str">
        <f>IF(Klantgegevens_B!F85&lt;&gt;"", Klantgegevens_B!F85, Klantgegevens_A!D85 &amp; " " &amp; Klantgegevens_A!E85 &amp; ", " &amp; Klantgegevens_A!F85)</f>
        <v>Valerius,Baby,Jurgen</v>
      </c>
      <c r="E86">
        <f>IF(Klantgegevens_B!G85&lt;&gt;"", Klantgegevens_B!G85, TEXTJOIN(",", TRUE, REPT("Volwassene,", Klantgegevens_A!G85), REPT("Kind,", Klantgegevens_A!H85)))</f>
        <v>163.13999999999999</v>
      </c>
      <c r="F86">
        <f>IF(Klantgegevens_B!G85&lt;&gt;"", LEN(Klantgegevens_B!G85)-LEN(SUBSTITUTE(Klantgegevens_B!G85, ",", ""))+1, Klantgegevens_A!G85)</f>
        <v>1</v>
      </c>
      <c r="G86">
        <f>IF(Klantgegevens_B!G85&lt;&gt;"", 0, Klantgegevens_A!H85)</f>
        <v>0</v>
      </c>
      <c r="H86">
        <f>IF(Klantgegevens_B!H85&lt;&gt;"", Klantgegevens_B!H85, Klantgegevens_A!I85)</f>
        <v>22</v>
      </c>
      <c r="I86" t="str">
        <f>IF(Klantgegevens_B!I85&lt;&gt;"", Klantgegevens_B!I85, SWITCH(Klantgegevens_A!J85, "Zelden", 1, "Af en toe", 4, "Regelmatig", 8, "Vaak", 12))</f>
        <v>Payconiq</v>
      </c>
      <c r="J86" t="str">
        <f>IF(Klantgegevens_B!J85&lt;&gt;"", Klantgegevens_B!J85, Klantgegevens_A!K85)</f>
        <v>nee</v>
      </c>
      <c r="K86">
        <f>IF(Klantgegevens_B!K85&lt;&gt;"", AVERAGE(--(Klantgegevens_B!K85="ja"), --(Klantgegevens_B!L85="ja"), --(Klantgegevens_B!M85="ja"), --(Klantgegevens_B!N85="ja"), --(Klantgegevens_B!O85="ja"))*10, Klantgegevens_A!L85)</f>
        <v>8</v>
      </c>
      <c r="L86" t="str">
        <f>IF(Klantgegevens_B!K85&lt;&gt;"", Klantgegevens_B!K85, IF(Klantgegevens_A!L85&gt;=7, "ja", "nee"))</f>
        <v>ja</v>
      </c>
      <c r="M86" t="str">
        <f>IF(Klantgegevens_B!L85&lt;&gt;"", Klantgegevens_B!L85, IF(Klantgegevens_A!L85&gt;=7, "ja", "nee"))</f>
        <v>ja</v>
      </c>
      <c r="N86" t="str">
        <f>IF(Klantgegevens_B!M85&lt;&gt;"", Klantgegevens_B!M85, IF(Klantgegevens_A!L85&gt;=7, "ja", "nee"))</f>
        <v>ja</v>
      </c>
      <c r="O86" t="str">
        <f>IF(Klantgegevens_B!N85&lt;&gt;"", Klantgegevens_B!N85, IF(Klantgegevens_A!L85&gt;=7, "ja", "nee"))</f>
        <v>ja</v>
      </c>
      <c r="P86" t="str">
        <f>IF(Klantgegevens_B!O85&lt;&gt;"", Klantgegevens_B!O85, IF(Klantgegevens_A!L85&gt;=7, "ja", "nee"))</f>
        <v>Vegetarisch</v>
      </c>
      <c r="Q86" t="str">
        <f>IF(Klantgegevens_B!P85&lt;&gt;"", Klantgegevens_B!P85, Klantgegevens_A!M85)</f>
        <v>Geen dieet</v>
      </c>
      <c r="R86" t="str">
        <f>IF(Klantgegevens_B!A85&lt;&gt;"", "B", "A")</f>
        <v>B</v>
      </c>
    </row>
    <row r="87" spans="1:18" x14ac:dyDescent="0.3">
      <c r="A87" t="str">
        <f>IF(Klantgegevens_B!A86&lt;&gt;"", Klantgegevens_B!A86, MID(Klantgegevens_A!A86, FIND(",", Klantgegevens_A!A86)+2, LEN(Klantgegevens_A!A86)))</f>
        <v>Nadia</v>
      </c>
      <c r="B87" t="str">
        <f>IF(Klantgegevens_B!B86&lt;&gt;"", Klantgegevens_B!B86, LEFT(Klantgegevens_A!A86, FIND(",", Klantgegevens_A!A86)-1))</f>
        <v>Peeters</v>
      </c>
      <c r="C87" t="str">
        <f t="shared" ca="1" si="1"/>
        <v/>
      </c>
      <c r="D87" t="str">
        <f>IF(Klantgegevens_B!F86&lt;&gt;"", Klantgegevens_B!F86, Klantgegevens_A!D86 &amp; " " &amp; Klantgegevens_A!E86 &amp; ", " &amp; Klantgegevens_A!F86)</f>
        <v>Nadia,Elyas,François</v>
      </c>
      <c r="E87">
        <f>IF(Klantgegevens_B!G86&lt;&gt;"", Klantgegevens_B!G86, TEXTJOIN(",", TRUE, REPT("Volwassene,", Klantgegevens_A!G86), REPT("Kind,", Klantgegevens_A!H86)))</f>
        <v>115.12</v>
      </c>
      <c r="F87">
        <f>IF(Klantgegevens_B!G86&lt;&gt;"", LEN(Klantgegevens_B!G86)-LEN(SUBSTITUTE(Klantgegevens_B!G86, ",", ""))+1, Klantgegevens_A!G86)</f>
        <v>1</v>
      </c>
      <c r="G87">
        <f>IF(Klantgegevens_B!G86&lt;&gt;"", 0, Klantgegevens_A!H86)</f>
        <v>0</v>
      </c>
      <c r="H87">
        <f>IF(Klantgegevens_B!H86&lt;&gt;"", Klantgegevens_B!H86, Klantgegevens_A!I86)</f>
        <v>13</v>
      </c>
      <c r="I87" t="str">
        <f>IF(Klantgegevens_B!I86&lt;&gt;"", Klantgegevens_B!I86, SWITCH(Klantgegevens_A!J86, "Zelden", 1, "Af en toe", 4, "Regelmatig", 8, "Vaak", 12))</f>
        <v>Bancontact</v>
      </c>
      <c r="J87" t="str">
        <f>IF(Klantgegevens_B!J86&lt;&gt;"", Klantgegevens_B!J86, Klantgegevens_A!K86)</f>
        <v>nee</v>
      </c>
      <c r="K87">
        <f>IF(Klantgegevens_B!K86&lt;&gt;"", AVERAGE(--(Klantgegevens_B!K86="ja"), --(Klantgegevens_B!L86="ja"), --(Klantgegevens_B!M86="ja"), --(Klantgegevens_B!N86="ja"), --(Klantgegevens_B!O86="ja"))*10, Klantgegevens_A!L86)</f>
        <v>8</v>
      </c>
      <c r="L87" t="str">
        <f>IF(Klantgegevens_B!K86&lt;&gt;"", Klantgegevens_B!K86, IF(Klantgegevens_A!L86&gt;=7, "ja", "nee"))</f>
        <v>ja</v>
      </c>
      <c r="M87" t="str">
        <f>IF(Klantgegevens_B!L86&lt;&gt;"", Klantgegevens_B!L86, IF(Klantgegevens_A!L86&gt;=7, "ja", "nee"))</f>
        <v>ja</v>
      </c>
      <c r="N87" t="str">
        <f>IF(Klantgegevens_B!M86&lt;&gt;"", Klantgegevens_B!M86, IF(Klantgegevens_A!L86&gt;=7, "ja", "nee"))</f>
        <v>ja</v>
      </c>
      <c r="O87" t="str">
        <f>IF(Klantgegevens_B!N86&lt;&gt;"", Klantgegevens_B!N86, IF(Klantgegevens_A!L86&gt;=7, "ja", "nee"))</f>
        <v>ja</v>
      </c>
      <c r="P87" t="str">
        <f>IF(Klantgegevens_B!O86&lt;&gt;"", Klantgegevens_B!O86, IF(Klantgegevens_A!L86&gt;=7, "ja", "nee"))</f>
        <v>Geen dieet</v>
      </c>
      <c r="Q87" t="str">
        <f>IF(Klantgegevens_B!P86&lt;&gt;"", Klantgegevens_B!P86, Klantgegevens_A!M86)</f>
        <v>Geen dieet</v>
      </c>
      <c r="R87" t="str">
        <f>IF(Klantgegevens_B!A86&lt;&gt;"", "B", "A")</f>
        <v>B</v>
      </c>
    </row>
    <row r="88" spans="1:18" x14ac:dyDescent="0.3">
      <c r="A88" t="str">
        <f>IF(Klantgegevens_B!A87&lt;&gt;"", Klantgegevens_B!A87, MID(Klantgegevens_A!A87, FIND(",", Klantgegevens_A!A87)+2, LEN(Klantgegevens_A!A87)))</f>
        <v>Lailla</v>
      </c>
      <c r="B88" t="str">
        <f>IF(Klantgegevens_B!B87&lt;&gt;"", Klantgegevens_B!B87, LEFT(Klantgegevens_A!A87, FIND(",", Klantgegevens_A!A87)-1))</f>
        <v>Van den broeck</v>
      </c>
      <c r="C88" t="str">
        <f t="shared" ca="1" si="1"/>
        <v/>
      </c>
      <c r="D88" t="str">
        <f>IF(Klantgegevens_B!F87&lt;&gt;"", Klantgegevens_B!F87, Klantgegevens_A!D87 &amp; " " &amp; Klantgegevens_A!E87 &amp; ", " &amp; Klantgegevens_A!F87)</f>
        <v>Lailla,Françoise</v>
      </c>
      <c r="E88">
        <f>IF(Klantgegevens_B!G87&lt;&gt;"", Klantgegevens_B!G87, TEXTJOIN(",", TRUE, REPT("Volwassene,", Klantgegevens_A!G87), REPT("Kind,", Klantgegevens_A!H87)))</f>
        <v>152.25</v>
      </c>
      <c r="F88">
        <f>IF(Klantgegevens_B!G87&lt;&gt;"", LEN(Klantgegevens_B!G87)-LEN(SUBSTITUTE(Klantgegevens_B!G87, ",", ""))+1, Klantgegevens_A!G87)</f>
        <v>1</v>
      </c>
      <c r="G88">
        <f>IF(Klantgegevens_B!G87&lt;&gt;"", 0, Klantgegevens_A!H87)</f>
        <v>0</v>
      </c>
      <c r="H88">
        <f>IF(Klantgegevens_B!H87&lt;&gt;"", Klantgegevens_B!H87, Klantgegevens_A!I87)</f>
        <v>13</v>
      </c>
      <c r="I88" t="str">
        <f>IF(Klantgegevens_B!I87&lt;&gt;"", Klantgegevens_B!I87, SWITCH(Klantgegevens_A!J87, "Zelden", 1, "Af en toe", 4, "Regelmatig", 8, "Vaak", 12))</f>
        <v>Payconiq</v>
      </c>
      <c r="J88" t="str">
        <f>IF(Klantgegevens_B!J87&lt;&gt;"", Klantgegevens_B!J87, Klantgegevens_A!K87)</f>
        <v>ja</v>
      </c>
      <c r="K88">
        <f>IF(Klantgegevens_B!K87&lt;&gt;"", AVERAGE(--(Klantgegevens_B!K87="ja"), --(Klantgegevens_B!L87="ja"), --(Klantgegevens_B!M87="ja"), --(Klantgegevens_B!N87="ja"), --(Klantgegevens_B!O87="ja"))*10, Klantgegevens_A!L87)</f>
        <v>8</v>
      </c>
      <c r="L88" t="str">
        <f>IF(Klantgegevens_B!K87&lt;&gt;"", Klantgegevens_B!K87, IF(Klantgegevens_A!L87&gt;=7, "ja", "nee"))</f>
        <v>ja</v>
      </c>
      <c r="M88" t="str">
        <f>IF(Klantgegevens_B!L87&lt;&gt;"", Klantgegevens_B!L87, IF(Klantgegevens_A!L87&gt;=7, "ja", "nee"))</f>
        <v>ja</v>
      </c>
      <c r="N88" t="str">
        <f>IF(Klantgegevens_B!M87&lt;&gt;"", Klantgegevens_B!M87, IF(Klantgegevens_A!L87&gt;=7, "ja", "nee"))</f>
        <v>ja</v>
      </c>
      <c r="O88" t="str">
        <f>IF(Klantgegevens_B!N87&lt;&gt;"", Klantgegevens_B!N87, IF(Klantgegevens_A!L87&gt;=7, "ja", "nee"))</f>
        <v>ja</v>
      </c>
      <c r="P88" t="str">
        <f>IF(Klantgegevens_B!O87&lt;&gt;"", Klantgegevens_B!O87, IF(Klantgegevens_A!L87&gt;=7, "ja", "nee"))</f>
        <v>Geen dieet</v>
      </c>
      <c r="Q88" t="str">
        <f>IF(Klantgegevens_B!P87&lt;&gt;"", Klantgegevens_B!P87, Klantgegevens_A!M87)</f>
        <v>Vegetarisch</v>
      </c>
      <c r="R88" t="str">
        <f>IF(Klantgegevens_B!A87&lt;&gt;"", "B", "A")</f>
        <v>B</v>
      </c>
    </row>
    <row r="89" spans="1:18" x14ac:dyDescent="0.3">
      <c r="A89" t="str">
        <f>IF(Klantgegevens_B!A88&lt;&gt;"", Klantgegevens_B!A88, MID(Klantgegevens_A!A88, FIND(",", Klantgegevens_A!A88)+2, LEN(Klantgegevens_A!A88)))</f>
        <v>Yvette</v>
      </c>
      <c r="B89" t="str">
        <f>IF(Klantgegevens_B!B88&lt;&gt;"", Klantgegevens_B!B88, LEFT(Klantgegevens_A!A88, FIND(",", Klantgegevens_A!A88)-1))</f>
        <v>Marchal</v>
      </c>
      <c r="C89" t="str">
        <f t="shared" ca="1" si="1"/>
        <v/>
      </c>
      <c r="D89" t="str">
        <f>IF(Klantgegevens_B!F88&lt;&gt;"", Klantgegevens_B!F88, Klantgegevens_A!D88 &amp; " " &amp; Klantgegevens_A!E88 &amp; ", " &amp; Klantgegevens_A!F88)</f>
        <v>Yvette,Jean,Jan,Marie-Hélène</v>
      </c>
      <c r="E89">
        <f>IF(Klantgegevens_B!G88&lt;&gt;"", Klantgegevens_B!G88, TEXTJOIN(",", TRUE, REPT("Volwassene,", Klantgegevens_A!G88), REPT("Kind,", Klantgegevens_A!H88)))</f>
        <v>116.06</v>
      </c>
      <c r="F89">
        <f>IF(Klantgegevens_B!G88&lt;&gt;"", LEN(Klantgegevens_B!G88)-LEN(SUBSTITUTE(Klantgegevens_B!G88, ",", ""))+1, Klantgegevens_A!G88)</f>
        <v>1</v>
      </c>
      <c r="G89">
        <f>IF(Klantgegevens_B!G88&lt;&gt;"", 0, Klantgegevens_A!H88)</f>
        <v>0</v>
      </c>
      <c r="H89">
        <f>IF(Klantgegevens_B!H88&lt;&gt;"", Klantgegevens_B!H88, Klantgegevens_A!I88)</f>
        <v>12</v>
      </c>
      <c r="I89" t="str">
        <f>IF(Klantgegevens_B!I88&lt;&gt;"", Klantgegevens_B!I88, SWITCH(Klantgegevens_A!J88, "Zelden", 1, "Af en toe", 4, "Regelmatig", 8, "Vaak", 12))</f>
        <v>Payconiq</v>
      </c>
      <c r="J89" t="str">
        <f>IF(Klantgegevens_B!J88&lt;&gt;"", Klantgegevens_B!J88, Klantgegevens_A!K88)</f>
        <v>ja</v>
      </c>
      <c r="K89">
        <f>IF(Klantgegevens_B!K88&lt;&gt;"", AVERAGE(--(Klantgegevens_B!K88="ja"), --(Klantgegevens_B!L88="ja"), --(Klantgegevens_B!M88="ja"), --(Klantgegevens_B!N88="ja"), --(Klantgegevens_B!O88="ja"))*10, Klantgegevens_A!L88)</f>
        <v>6</v>
      </c>
      <c r="L89" t="str">
        <f>IF(Klantgegevens_B!K88&lt;&gt;"", Klantgegevens_B!K88, IF(Klantgegevens_A!L88&gt;=7, "ja", "nee"))</f>
        <v>ja</v>
      </c>
      <c r="M89" t="str">
        <f>IF(Klantgegevens_B!L88&lt;&gt;"", Klantgegevens_B!L88, IF(Klantgegevens_A!L88&gt;=7, "ja", "nee"))</f>
        <v>ja</v>
      </c>
      <c r="N89" t="str">
        <f>IF(Klantgegevens_B!M88&lt;&gt;"", Klantgegevens_B!M88, IF(Klantgegevens_A!L88&gt;=7, "ja", "nee"))</f>
        <v>ja</v>
      </c>
      <c r="O89" t="str">
        <f>IF(Klantgegevens_B!N88&lt;&gt;"", Klantgegevens_B!N88, IF(Klantgegevens_A!L88&gt;=7, "ja", "nee"))</f>
        <v>nee</v>
      </c>
      <c r="P89" t="str">
        <f>IF(Klantgegevens_B!O88&lt;&gt;"", Klantgegevens_B!O88, IF(Klantgegevens_A!L88&gt;=7, "ja", "nee"))</f>
        <v>Geen dieet</v>
      </c>
      <c r="Q89" t="str">
        <f>IF(Klantgegevens_B!P88&lt;&gt;"", Klantgegevens_B!P88, Klantgegevens_A!M88)</f>
        <v>Geen dieet</v>
      </c>
      <c r="R89" t="str">
        <f>IF(Klantgegevens_B!A88&lt;&gt;"", "B", "A")</f>
        <v>B</v>
      </c>
    </row>
    <row r="90" spans="1:18" x14ac:dyDescent="0.3">
      <c r="A90" t="str">
        <f>IF(Klantgegevens_B!A89&lt;&gt;"", Klantgegevens_B!A89, MID(Klantgegevens_A!A89, FIND(",", Klantgegevens_A!A89)+2, LEN(Klantgegevens_A!A89)))</f>
        <v>Nassim</v>
      </c>
      <c r="B90" t="str">
        <f>IF(Klantgegevens_B!B89&lt;&gt;"", Klantgegevens_B!B89, LEFT(Klantgegevens_A!A89, FIND(",", Klantgegevens_A!A89)-1))</f>
        <v>Verhelst</v>
      </c>
      <c r="C90" t="str">
        <f t="shared" ca="1" si="1"/>
        <v/>
      </c>
      <c r="D90" t="str">
        <f>IF(Klantgegevens_B!F89&lt;&gt;"", Klantgegevens_B!F89, Klantgegevens_A!D89 &amp; " " &amp; Klantgegevens_A!E89 &amp; ", " &amp; Klantgegevens_A!F89)</f>
        <v>Nassim,Maria,Marcelle,Murielle</v>
      </c>
      <c r="E90">
        <f>IF(Klantgegevens_B!G89&lt;&gt;"", Klantgegevens_B!G89, TEXTJOIN(",", TRUE, REPT("Volwassene,", Klantgegevens_A!G89), REPT("Kind,", Klantgegevens_A!H89)))</f>
        <v>140.32</v>
      </c>
      <c r="F90">
        <f>IF(Klantgegevens_B!G89&lt;&gt;"", LEN(Klantgegevens_B!G89)-LEN(SUBSTITUTE(Klantgegevens_B!G89, ",", ""))+1, Klantgegevens_A!G89)</f>
        <v>1</v>
      </c>
      <c r="G90">
        <f>IF(Klantgegevens_B!G89&lt;&gt;"", 0, Klantgegevens_A!H89)</f>
        <v>0</v>
      </c>
      <c r="H90">
        <f>IF(Klantgegevens_B!H89&lt;&gt;"", Klantgegevens_B!H89, Klantgegevens_A!I89)</f>
        <v>16</v>
      </c>
      <c r="I90" t="str">
        <f>IF(Klantgegevens_B!I89&lt;&gt;"", Klantgegevens_B!I89, SWITCH(Klantgegevens_A!J89, "Zelden", 1, "Af en toe", 4, "Regelmatig", 8, "Vaak", 12))</f>
        <v>Payconiq</v>
      </c>
      <c r="J90" t="str">
        <f>IF(Klantgegevens_B!J89&lt;&gt;"", Klantgegevens_B!J89, Klantgegevens_A!K89)</f>
        <v>ja</v>
      </c>
      <c r="K90">
        <f>IF(Klantgegevens_B!K89&lt;&gt;"", AVERAGE(--(Klantgegevens_B!K89="ja"), --(Klantgegevens_B!L89="ja"), --(Klantgegevens_B!M89="ja"), --(Klantgegevens_B!N89="ja"), --(Klantgegevens_B!O89="ja"))*10, Klantgegevens_A!L89)</f>
        <v>8</v>
      </c>
      <c r="L90" t="str">
        <f>IF(Klantgegevens_B!K89&lt;&gt;"", Klantgegevens_B!K89, IF(Klantgegevens_A!L89&gt;=7, "ja", "nee"))</f>
        <v>ja</v>
      </c>
      <c r="M90" t="str">
        <f>IF(Klantgegevens_B!L89&lt;&gt;"", Klantgegevens_B!L89, IF(Klantgegevens_A!L89&gt;=7, "ja", "nee"))</f>
        <v>ja</v>
      </c>
      <c r="N90" t="str">
        <f>IF(Klantgegevens_B!M89&lt;&gt;"", Klantgegevens_B!M89, IF(Klantgegevens_A!L89&gt;=7, "ja", "nee"))</f>
        <v>ja</v>
      </c>
      <c r="O90" t="str">
        <f>IF(Klantgegevens_B!N89&lt;&gt;"", Klantgegevens_B!N89, IF(Klantgegevens_A!L89&gt;=7, "ja", "nee"))</f>
        <v>ja</v>
      </c>
      <c r="P90" t="str">
        <f>IF(Klantgegevens_B!O89&lt;&gt;"", Klantgegevens_B!O89, IF(Klantgegevens_A!L89&gt;=7, "ja", "nee"))</f>
        <v>Geen dieet</v>
      </c>
      <c r="Q90" t="str">
        <f>IF(Klantgegevens_B!P89&lt;&gt;"", Klantgegevens_B!P89, Klantgegevens_A!M89)</f>
        <v>Geen dieet</v>
      </c>
      <c r="R90" t="str">
        <f>IF(Klantgegevens_B!A89&lt;&gt;"", "B", "A")</f>
        <v>B</v>
      </c>
    </row>
    <row r="91" spans="1:18" x14ac:dyDescent="0.3">
      <c r="A91" t="str">
        <f>IF(Klantgegevens_B!A90&lt;&gt;"", Klantgegevens_B!A90, MID(Klantgegevens_A!A90, FIND(",", Klantgegevens_A!A90)+2, LEN(Klantgegevens_A!A90)))</f>
        <v>Geoffrey</v>
      </c>
      <c r="B91" t="str">
        <f>IF(Klantgegevens_B!B90&lt;&gt;"", Klantgegevens_B!B90, LEFT(Klantgegevens_A!A90, FIND(",", Klantgegevens_A!A90)-1))</f>
        <v>Merckx</v>
      </c>
      <c r="C91" t="str">
        <f t="shared" ca="1" si="1"/>
        <v/>
      </c>
      <c r="D91" t="str">
        <f>IF(Klantgegevens_B!F90&lt;&gt;"", Klantgegevens_B!F90, Klantgegevens_A!D90 &amp; " " &amp; Klantgegevens_A!E90 &amp; ", " &amp; Klantgegevens_A!F90)</f>
        <v>Geoffrey,Marie-Laure,Rita,Emma,Martine</v>
      </c>
      <c r="E91">
        <f>IF(Klantgegevens_B!G90&lt;&gt;"", Klantgegevens_B!G90, TEXTJOIN(",", TRUE, REPT("Volwassene,", Klantgegevens_A!G90), REPT("Kind,", Klantgegevens_A!H90)))</f>
        <v>96.25</v>
      </c>
      <c r="F91">
        <f>IF(Klantgegevens_B!G90&lt;&gt;"", LEN(Klantgegevens_B!G90)-LEN(SUBSTITUTE(Klantgegevens_B!G90, ",", ""))+1, Klantgegevens_A!G90)</f>
        <v>1</v>
      </c>
      <c r="G91">
        <f>IF(Klantgegevens_B!G90&lt;&gt;"", 0, Klantgegevens_A!H90)</f>
        <v>0</v>
      </c>
      <c r="H91">
        <f>IF(Klantgegevens_B!H90&lt;&gt;"", Klantgegevens_B!H90, Klantgegevens_A!I90)</f>
        <v>3</v>
      </c>
      <c r="I91" t="str">
        <f>IF(Klantgegevens_B!I90&lt;&gt;"", Klantgegevens_B!I90, SWITCH(Klantgegevens_A!J90, "Zelden", 1, "Af en toe", 4, "Regelmatig", 8, "Vaak", 12))</f>
        <v>Bancontact</v>
      </c>
      <c r="J91" t="str">
        <f>IF(Klantgegevens_B!J90&lt;&gt;"", Klantgegevens_B!J90, Klantgegevens_A!K90)</f>
        <v>ja</v>
      </c>
      <c r="K91">
        <f>IF(Klantgegevens_B!K90&lt;&gt;"", AVERAGE(--(Klantgegevens_B!K90="ja"), --(Klantgegevens_B!L90="ja"), --(Klantgegevens_B!M90="ja"), --(Klantgegevens_B!N90="ja"), --(Klantgegevens_B!O90="ja"))*10, Klantgegevens_A!L90)</f>
        <v>8</v>
      </c>
      <c r="L91" t="str">
        <f>IF(Klantgegevens_B!K90&lt;&gt;"", Klantgegevens_B!K90, IF(Klantgegevens_A!L90&gt;=7, "ja", "nee"))</f>
        <v>ja</v>
      </c>
      <c r="M91" t="str">
        <f>IF(Klantgegevens_B!L90&lt;&gt;"", Klantgegevens_B!L90, IF(Klantgegevens_A!L90&gt;=7, "ja", "nee"))</f>
        <v>ja</v>
      </c>
      <c r="N91" t="str">
        <f>IF(Klantgegevens_B!M90&lt;&gt;"", Klantgegevens_B!M90, IF(Klantgegevens_A!L90&gt;=7, "ja", "nee"))</f>
        <v>ja</v>
      </c>
      <c r="O91" t="str">
        <f>IF(Klantgegevens_B!N90&lt;&gt;"", Klantgegevens_B!N90, IF(Klantgegevens_A!L90&gt;=7, "ja", "nee"))</f>
        <v>ja</v>
      </c>
      <c r="P91" t="str">
        <f>IF(Klantgegevens_B!O90&lt;&gt;"", Klantgegevens_B!O90, IF(Klantgegevens_A!L90&gt;=7, "ja", "nee"))</f>
        <v>Veganistisch</v>
      </c>
      <c r="Q91" t="str">
        <f>IF(Klantgegevens_B!P90&lt;&gt;"", Klantgegevens_B!P90, Klantgegevens_A!M90)</f>
        <v>Geen dieet</v>
      </c>
      <c r="R91" t="str">
        <f>IF(Klantgegevens_B!A90&lt;&gt;"", "B", "A")</f>
        <v>B</v>
      </c>
    </row>
    <row r="92" spans="1:18" x14ac:dyDescent="0.3">
      <c r="A92" t="str">
        <f>IF(Klantgegevens_B!A91&lt;&gt;"", Klantgegevens_B!A91, MID(Klantgegevens_A!A91, FIND(",", Klantgegevens_A!A91)+2, LEN(Klantgegevens_A!A91)))</f>
        <v>Willem</v>
      </c>
      <c r="B92" t="str">
        <f>IF(Klantgegevens_B!B91&lt;&gt;"", Klantgegevens_B!B91, LEFT(Klantgegevens_A!A91, FIND(",", Klantgegevens_A!A91)-1))</f>
        <v>De backer</v>
      </c>
      <c r="C92" t="str">
        <f t="shared" ca="1" si="1"/>
        <v/>
      </c>
      <c r="D92" t="str">
        <f>IF(Klantgegevens_B!F91&lt;&gt;"", Klantgegevens_B!F91, Klantgegevens_A!D91 &amp; " " &amp; Klantgegevens_A!E91 &amp; ", " &amp; Klantgegevens_A!F91)</f>
        <v>Willem</v>
      </c>
      <c r="E92">
        <f>IF(Klantgegevens_B!G91&lt;&gt;"", Klantgegevens_B!G91, TEXTJOIN(",", TRUE, REPT("Volwassene,", Klantgegevens_A!G91), REPT("Kind,", Klantgegevens_A!H91)))</f>
        <v>104.7</v>
      </c>
      <c r="F92">
        <f>IF(Klantgegevens_B!G91&lt;&gt;"", LEN(Klantgegevens_B!G91)-LEN(SUBSTITUTE(Klantgegevens_B!G91, ",", ""))+1, Klantgegevens_A!G91)</f>
        <v>1</v>
      </c>
      <c r="G92">
        <f>IF(Klantgegevens_B!G91&lt;&gt;"", 0, Klantgegevens_A!H91)</f>
        <v>0</v>
      </c>
      <c r="H92">
        <f>IF(Klantgegevens_B!H91&lt;&gt;"", Klantgegevens_B!H91, Klantgegevens_A!I91)</f>
        <v>16</v>
      </c>
      <c r="I92" t="str">
        <f>IF(Klantgegevens_B!I91&lt;&gt;"", Klantgegevens_B!I91, SWITCH(Klantgegevens_A!J91, "Zelden", 1, "Af en toe", 4, "Regelmatig", 8, "Vaak", 12))</f>
        <v>Bancontact</v>
      </c>
      <c r="J92" t="str">
        <f>IF(Klantgegevens_B!J91&lt;&gt;"", Klantgegevens_B!J91, Klantgegevens_A!K91)</f>
        <v>ja</v>
      </c>
      <c r="K92">
        <f>IF(Klantgegevens_B!K91&lt;&gt;"", AVERAGE(--(Klantgegevens_B!K91="ja"), --(Klantgegevens_B!L91="ja"), --(Klantgegevens_B!M91="ja"), --(Klantgegevens_B!N91="ja"), --(Klantgegevens_B!O91="ja"))*10, Klantgegevens_A!L91)</f>
        <v>4</v>
      </c>
      <c r="L92" t="str">
        <f>IF(Klantgegevens_B!K91&lt;&gt;"", Klantgegevens_B!K91, IF(Klantgegevens_A!L91&gt;=7, "ja", "nee"))</f>
        <v>ja</v>
      </c>
      <c r="M92" t="str">
        <f>IF(Klantgegevens_B!L91&lt;&gt;"", Klantgegevens_B!L91, IF(Klantgegevens_A!L91&gt;=7, "ja", "nee"))</f>
        <v>ja</v>
      </c>
      <c r="N92" t="str">
        <f>IF(Klantgegevens_B!M91&lt;&gt;"", Klantgegevens_B!M91, IF(Klantgegevens_A!L91&gt;=7, "ja", "nee"))</f>
        <v>nee</v>
      </c>
      <c r="O92" t="str">
        <f>IF(Klantgegevens_B!N91&lt;&gt;"", Klantgegevens_B!N91, IF(Klantgegevens_A!L91&gt;=7, "ja", "nee"))</f>
        <v>nee</v>
      </c>
      <c r="P92" t="str">
        <f>IF(Klantgegevens_B!O91&lt;&gt;"", Klantgegevens_B!O91, IF(Klantgegevens_A!L91&gt;=7, "ja", "nee"))</f>
        <v>Geen dieet</v>
      </c>
      <c r="Q92" t="str">
        <f>IF(Klantgegevens_B!P91&lt;&gt;"", Klantgegevens_B!P91, Klantgegevens_A!M91)</f>
        <v>Geen dieet</v>
      </c>
      <c r="R92" t="str">
        <f>IF(Klantgegevens_B!A91&lt;&gt;"", "B", "A")</f>
        <v>B</v>
      </c>
    </row>
    <row r="93" spans="1:18" x14ac:dyDescent="0.3">
      <c r="A93" t="str">
        <f>IF(Klantgegevens_B!A92&lt;&gt;"", Klantgegevens_B!A92, MID(Klantgegevens_A!A92, FIND(",", Klantgegevens_A!A92)+2, LEN(Klantgegevens_A!A92)))</f>
        <v>Carine</v>
      </c>
      <c r="B93" t="str">
        <f>IF(Klantgegevens_B!B92&lt;&gt;"", Klantgegevens_B!B92, LEFT(Klantgegevens_A!A92, FIND(",", Klantgegevens_A!A92)-1))</f>
        <v>Van goethem</v>
      </c>
      <c r="C93" t="str">
        <f t="shared" ca="1" si="1"/>
        <v/>
      </c>
      <c r="D93" t="str">
        <f>IF(Klantgegevens_B!F92&lt;&gt;"", Klantgegevens_B!F92, Klantgegevens_A!D92 &amp; " " &amp; Klantgegevens_A!E92 &amp; ", " &amp; Klantgegevens_A!F92)</f>
        <v>Carine,Marie-Jeanne,Léa</v>
      </c>
      <c r="E93">
        <f>IF(Klantgegevens_B!G92&lt;&gt;"", Klantgegevens_B!G92, TEXTJOIN(",", TRUE, REPT("Volwassene,", Klantgegevens_A!G92), REPT("Kind,", Klantgegevens_A!H92)))</f>
        <v>75.09</v>
      </c>
      <c r="F93">
        <f>IF(Klantgegevens_B!G92&lt;&gt;"", LEN(Klantgegevens_B!G92)-LEN(SUBSTITUTE(Klantgegevens_B!G92, ",", ""))+1, Klantgegevens_A!G92)</f>
        <v>1</v>
      </c>
      <c r="G93">
        <f>IF(Klantgegevens_B!G92&lt;&gt;"", 0, Klantgegevens_A!H92)</f>
        <v>0</v>
      </c>
      <c r="H93">
        <f>IF(Klantgegevens_B!H92&lt;&gt;"", Klantgegevens_B!H92, Klantgegevens_A!I92)</f>
        <v>9</v>
      </c>
      <c r="I93" t="str">
        <f>IF(Klantgegevens_B!I92&lt;&gt;"", Klantgegevens_B!I92, SWITCH(Klantgegevens_A!J92, "Zelden", 1, "Af en toe", 4, "Regelmatig", 8, "Vaak", 12))</f>
        <v>Payconiq</v>
      </c>
      <c r="J93" t="str">
        <f>IF(Klantgegevens_B!J92&lt;&gt;"", Klantgegevens_B!J92, Klantgegevens_A!K92)</f>
        <v>ja</v>
      </c>
      <c r="K93">
        <f>IF(Klantgegevens_B!K92&lt;&gt;"", AVERAGE(--(Klantgegevens_B!K92="ja"), --(Klantgegevens_B!L92="ja"), --(Klantgegevens_B!M92="ja"), --(Klantgegevens_B!N92="ja"), --(Klantgegevens_B!O92="ja"))*10, Klantgegevens_A!L92)</f>
        <v>8</v>
      </c>
      <c r="L93" t="str">
        <f>IF(Klantgegevens_B!K92&lt;&gt;"", Klantgegevens_B!K92, IF(Klantgegevens_A!L92&gt;=7, "ja", "nee"))</f>
        <v>ja</v>
      </c>
      <c r="M93" t="str">
        <f>IF(Klantgegevens_B!L92&lt;&gt;"", Klantgegevens_B!L92, IF(Klantgegevens_A!L92&gt;=7, "ja", "nee"))</f>
        <v>ja</v>
      </c>
      <c r="N93" t="str">
        <f>IF(Klantgegevens_B!M92&lt;&gt;"", Klantgegevens_B!M92, IF(Klantgegevens_A!L92&gt;=7, "ja", "nee"))</f>
        <v>ja</v>
      </c>
      <c r="O93" t="str">
        <f>IF(Klantgegevens_B!N92&lt;&gt;"", Klantgegevens_B!N92, IF(Klantgegevens_A!L92&gt;=7, "ja", "nee"))</f>
        <v>ja</v>
      </c>
      <c r="P93" t="str">
        <f>IF(Klantgegevens_B!O92&lt;&gt;"", Klantgegevens_B!O92, IF(Klantgegevens_A!L92&gt;=7, "ja", "nee"))</f>
        <v>Geen dieet</v>
      </c>
      <c r="Q93" t="str">
        <f>IF(Klantgegevens_B!P92&lt;&gt;"", Klantgegevens_B!P92, Klantgegevens_A!M92)</f>
        <v>Geen dieet</v>
      </c>
      <c r="R93" t="str">
        <f>IF(Klantgegevens_B!A92&lt;&gt;"", "B", "A")</f>
        <v>B</v>
      </c>
    </row>
    <row r="94" spans="1:18" x14ac:dyDescent="0.3">
      <c r="A94" t="str">
        <f>IF(Klantgegevens_B!A93&lt;&gt;"", Klantgegevens_B!A93, MID(Klantgegevens_A!A93, FIND(",", Klantgegevens_A!A93)+2, LEN(Klantgegevens_A!A93)))</f>
        <v>Timéo</v>
      </c>
      <c r="B94" t="str">
        <f>IF(Klantgegevens_B!B93&lt;&gt;"", Klantgegevens_B!B93, LEFT(Klantgegevens_A!A93, FIND(",", Klantgegevens_A!A93)-1))</f>
        <v>De smet</v>
      </c>
      <c r="C94" t="str">
        <f t="shared" ca="1" si="1"/>
        <v/>
      </c>
      <c r="D94" t="str">
        <f>IF(Klantgegevens_B!F93&lt;&gt;"", Klantgegevens_B!F93, Klantgegevens_A!D93 &amp; " " &amp; Klantgegevens_A!E93 &amp; ", " &amp; Klantgegevens_A!F93)</f>
        <v>Timéo,Davy,Mauro</v>
      </c>
      <c r="E94">
        <f>IF(Klantgegevens_B!G93&lt;&gt;"", Klantgegevens_B!G93, TEXTJOIN(",", TRUE, REPT("Volwassene,", Klantgegevens_A!G93), REPT("Kind,", Klantgegevens_A!H93)))</f>
        <v>131.33000000000001</v>
      </c>
      <c r="F94">
        <f>IF(Klantgegevens_B!G93&lt;&gt;"", LEN(Klantgegevens_B!G93)-LEN(SUBSTITUTE(Klantgegevens_B!G93, ",", ""))+1, Klantgegevens_A!G93)</f>
        <v>1</v>
      </c>
      <c r="G94">
        <f>IF(Klantgegevens_B!G93&lt;&gt;"", 0, Klantgegevens_A!H93)</f>
        <v>0</v>
      </c>
      <c r="H94">
        <f>IF(Klantgegevens_B!H93&lt;&gt;"", Klantgegevens_B!H93, Klantgegevens_A!I93)</f>
        <v>3</v>
      </c>
      <c r="I94" t="str">
        <f>IF(Klantgegevens_B!I93&lt;&gt;"", Klantgegevens_B!I93, SWITCH(Klantgegevens_A!J93, "Zelden", 1, "Af en toe", 4, "Regelmatig", 8, "Vaak", 12))</f>
        <v>Bancontact</v>
      </c>
      <c r="J94" t="str">
        <f>IF(Klantgegevens_B!J93&lt;&gt;"", Klantgegevens_B!J93, Klantgegevens_A!K93)</f>
        <v>nee</v>
      </c>
      <c r="K94">
        <f>IF(Klantgegevens_B!K93&lt;&gt;"", AVERAGE(--(Klantgegevens_B!K93="ja"), --(Klantgegevens_B!L93="ja"), --(Klantgegevens_B!M93="ja"), --(Klantgegevens_B!N93="ja"), --(Klantgegevens_B!O93="ja"))*10, Klantgegevens_A!L93)</f>
        <v>8</v>
      </c>
      <c r="L94" t="str">
        <f>IF(Klantgegevens_B!K93&lt;&gt;"", Klantgegevens_B!K93, IF(Klantgegevens_A!L93&gt;=7, "ja", "nee"))</f>
        <v>ja</v>
      </c>
      <c r="M94" t="str">
        <f>IF(Klantgegevens_B!L93&lt;&gt;"", Klantgegevens_B!L93, IF(Klantgegevens_A!L93&gt;=7, "ja", "nee"))</f>
        <v>ja</v>
      </c>
      <c r="N94" t="str">
        <f>IF(Klantgegevens_B!M93&lt;&gt;"", Klantgegevens_B!M93, IF(Klantgegevens_A!L93&gt;=7, "ja", "nee"))</f>
        <v>ja</v>
      </c>
      <c r="O94" t="str">
        <f>IF(Klantgegevens_B!N93&lt;&gt;"", Klantgegevens_B!N93, IF(Klantgegevens_A!L93&gt;=7, "ja", "nee"))</f>
        <v>ja</v>
      </c>
      <c r="P94" t="str">
        <f>IF(Klantgegevens_B!O93&lt;&gt;"", Klantgegevens_B!O93, IF(Klantgegevens_A!L93&gt;=7, "ja", "nee"))</f>
        <v>Geen dieet</v>
      </c>
      <c r="Q94" t="str">
        <f>IF(Klantgegevens_B!P93&lt;&gt;"", Klantgegevens_B!P93, Klantgegevens_A!M93)</f>
        <v>Geen dieet</v>
      </c>
      <c r="R94" t="str">
        <f>IF(Klantgegevens_B!A93&lt;&gt;"", "B", "A")</f>
        <v>B</v>
      </c>
    </row>
    <row r="95" spans="1:18" x14ac:dyDescent="0.3">
      <c r="A95" t="str">
        <f>IF(Klantgegevens_B!A94&lt;&gt;"", Klantgegevens_B!A94, MID(Klantgegevens_A!A94, FIND(",", Klantgegevens_A!A94)+2, LEN(Klantgegevens_A!A94)))</f>
        <v>Mégane</v>
      </c>
      <c r="B95" t="str">
        <f>IF(Klantgegevens_B!B94&lt;&gt;"", Klantgegevens_B!B94, LEFT(Klantgegevens_A!A94, FIND(",", Klantgegevens_A!A94)-1))</f>
        <v>Verbruggen</v>
      </c>
      <c r="C95" t="str">
        <f t="shared" ca="1" si="1"/>
        <v/>
      </c>
      <c r="D95" t="str">
        <f>IF(Klantgegevens_B!F94&lt;&gt;"", Klantgegevens_B!F94, Klantgegevens_A!D94 &amp; " " &amp; Klantgegevens_A!E94 &amp; ", " &amp; Klantgegevens_A!F94)</f>
        <v>Mégane,Mourad</v>
      </c>
      <c r="E95">
        <f>IF(Klantgegevens_B!G94&lt;&gt;"", Klantgegevens_B!G94, TEXTJOIN(",", TRUE, REPT("Volwassene,", Klantgegevens_A!G94), REPT("Kind,", Klantgegevens_A!H94)))</f>
        <v>201.56</v>
      </c>
      <c r="F95">
        <f>IF(Klantgegevens_B!G94&lt;&gt;"", LEN(Klantgegevens_B!G94)-LEN(SUBSTITUTE(Klantgegevens_B!G94, ",", ""))+1, Klantgegevens_A!G94)</f>
        <v>1</v>
      </c>
      <c r="G95">
        <f>IF(Klantgegevens_B!G94&lt;&gt;"", 0, Klantgegevens_A!H94)</f>
        <v>0</v>
      </c>
      <c r="H95">
        <f>IF(Klantgegevens_B!H94&lt;&gt;"", Klantgegevens_B!H94, Klantgegevens_A!I94)</f>
        <v>12</v>
      </c>
      <c r="I95" t="str">
        <f>IF(Klantgegevens_B!I94&lt;&gt;"", Klantgegevens_B!I94, SWITCH(Klantgegevens_A!J94, "Zelden", 1, "Af en toe", 4, "Regelmatig", 8, "Vaak", 12))</f>
        <v>Payconiq</v>
      </c>
      <c r="J95" t="str">
        <f>IF(Klantgegevens_B!J94&lt;&gt;"", Klantgegevens_B!J94, Klantgegevens_A!K94)</f>
        <v>ja</v>
      </c>
      <c r="K95">
        <f>IF(Klantgegevens_B!K94&lt;&gt;"", AVERAGE(--(Klantgegevens_B!K94="ja"), --(Klantgegevens_B!L94="ja"), --(Klantgegevens_B!M94="ja"), --(Klantgegevens_B!N94="ja"), --(Klantgegevens_B!O94="ja"))*10, Klantgegevens_A!L94)</f>
        <v>6</v>
      </c>
      <c r="L95" t="str">
        <f>IF(Klantgegevens_B!K94&lt;&gt;"", Klantgegevens_B!K94, IF(Klantgegevens_A!L94&gt;=7, "ja", "nee"))</f>
        <v>ja</v>
      </c>
      <c r="M95" t="str">
        <f>IF(Klantgegevens_B!L94&lt;&gt;"", Klantgegevens_B!L94, IF(Klantgegevens_A!L94&gt;=7, "ja", "nee"))</f>
        <v>ja</v>
      </c>
      <c r="N95" t="str">
        <f>IF(Klantgegevens_B!M94&lt;&gt;"", Klantgegevens_B!M94, IF(Klantgegevens_A!L94&gt;=7, "ja", "nee"))</f>
        <v>nee</v>
      </c>
      <c r="O95" t="str">
        <f>IF(Klantgegevens_B!N94&lt;&gt;"", Klantgegevens_B!N94, IF(Klantgegevens_A!L94&gt;=7, "ja", "nee"))</f>
        <v>ja</v>
      </c>
      <c r="P95" t="str">
        <f>IF(Klantgegevens_B!O94&lt;&gt;"", Klantgegevens_B!O94, IF(Klantgegevens_A!L94&gt;=7, "ja", "nee"))</f>
        <v>Geen dieet</v>
      </c>
      <c r="Q95" t="str">
        <f>IF(Klantgegevens_B!P94&lt;&gt;"", Klantgegevens_B!P94, Klantgegevens_A!M94)</f>
        <v>Geen dieet</v>
      </c>
      <c r="R95" t="str">
        <f>IF(Klantgegevens_B!A94&lt;&gt;"", "B", "A")</f>
        <v>B</v>
      </c>
    </row>
    <row r="96" spans="1:18" x14ac:dyDescent="0.3">
      <c r="A96" t="str">
        <f>IF(Klantgegevens_B!A95&lt;&gt;"", Klantgegevens_B!A95, MID(Klantgegevens_A!A95, FIND(",", Klantgegevens_A!A95)+2, LEN(Klantgegevens_A!A95)))</f>
        <v>Pelle</v>
      </c>
      <c r="B96" t="str">
        <f>IF(Klantgegevens_B!B95&lt;&gt;"", Klantgegevens_B!B95, LEFT(Klantgegevens_A!A95, FIND(",", Klantgegevens_A!A95)-1))</f>
        <v>Moens</v>
      </c>
      <c r="C96" t="str">
        <f t="shared" ca="1" si="1"/>
        <v/>
      </c>
      <c r="D96" t="str">
        <f>IF(Klantgegevens_B!F95&lt;&gt;"", Klantgegevens_B!F95, Klantgegevens_A!D95 &amp; " " &amp; Klantgegevens_A!E95 &amp; ", " &amp; Klantgegevens_A!F95)</f>
        <v>Pelle,Shlomo,Mathis</v>
      </c>
      <c r="E96">
        <f>IF(Klantgegevens_B!G95&lt;&gt;"", Klantgegevens_B!G95, TEXTJOIN(",", TRUE, REPT("Volwassene,", Klantgegevens_A!G95), REPT("Kind,", Klantgegevens_A!H95)))</f>
        <v>129.97</v>
      </c>
      <c r="F96">
        <f>IF(Klantgegevens_B!G95&lt;&gt;"", LEN(Klantgegevens_B!G95)-LEN(SUBSTITUTE(Klantgegevens_B!G95, ",", ""))+1, Klantgegevens_A!G95)</f>
        <v>1</v>
      </c>
      <c r="G96">
        <f>IF(Klantgegevens_B!G95&lt;&gt;"", 0, Klantgegevens_A!H95)</f>
        <v>0</v>
      </c>
      <c r="H96">
        <f>IF(Klantgegevens_B!H95&lt;&gt;"", Klantgegevens_B!H95, Klantgegevens_A!I95)</f>
        <v>12</v>
      </c>
      <c r="I96" t="str">
        <f>IF(Klantgegevens_B!I95&lt;&gt;"", Klantgegevens_B!I95, SWITCH(Klantgegevens_A!J95, "Zelden", 1, "Af en toe", 4, "Regelmatig", 8, "Vaak", 12))</f>
        <v>Bancontact</v>
      </c>
      <c r="J96" t="str">
        <f>IF(Klantgegevens_B!J95&lt;&gt;"", Klantgegevens_B!J95, Klantgegevens_A!K95)</f>
        <v>ja</v>
      </c>
      <c r="K96">
        <f>IF(Klantgegevens_B!K95&lt;&gt;"", AVERAGE(--(Klantgegevens_B!K95="ja"), --(Klantgegevens_B!L95="ja"), --(Klantgegevens_B!M95="ja"), --(Klantgegevens_B!N95="ja"), --(Klantgegevens_B!O95="ja"))*10, Klantgegevens_A!L95)</f>
        <v>6</v>
      </c>
      <c r="L96" t="str">
        <f>IF(Klantgegevens_B!K95&lt;&gt;"", Klantgegevens_B!K95, IF(Klantgegevens_A!L95&gt;=7, "ja", "nee"))</f>
        <v>ja</v>
      </c>
      <c r="M96" t="str">
        <f>IF(Klantgegevens_B!L95&lt;&gt;"", Klantgegevens_B!L95, IF(Klantgegevens_A!L95&gt;=7, "ja", "nee"))</f>
        <v>ja</v>
      </c>
      <c r="N96" t="str">
        <f>IF(Klantgegevens_B!M95&lt;&gt;"", Klantgegevens_B!M95, IF(Klantgegevens_A!L95&gt;=7, "ja", "nee"))</f>
        <v>nee</v>
      </c>
      <c r="O96" t="str">
        <f>IF(Klantgegevens_B!N95&lt;&gt;"", Klantgegevens_B!N95, IF(Klantgegevens_A!L95&gt;=7, "ja", "nee"))</f>
        <v>ja</v>
      </c>
      <c r="P96" t="str">
        <f>IF(Klantgegevens_B!O95&lt;&gt;"", Klantgegevens_B!O95, IF(Klantgegevens_A!L95&gt;=7, "ja", "nee"))</f>
        <v>Geen dieet</v>
      </c>
      <c r="Q96" t="str">
        <f>IF(Klantgegevens_B!P95&lt;&gt;"", Klantgegevens_B!P95, Klantgegevens_A!M95)</f>
        <v>Geen dieet</v>
      </c>
      <c r="R96" t="str">
        <f>IF(Klantgegevens_B!A95&lt;&gt;"", "B", "A")</f>
        <v>B</v>
      </c>
    </row>
    <row r="97" spans="1:18" x14ac:dyDescent="0.3">
      <c r="A97" t="str">
        <f>IF(Klantgegevens_B!A96&lt;&gt;"", Klantgegevens_B!A96, MID(Klantgegevens_A!A96, FIND(",", Klantgegevens_A!A96)+2, LEN(Klantgegevens_A!A96)))</f>
        <v>Gabriela</v>
      </c>
      <c r="B97" t="str">
        <f>IF(Klantgegevens_B!B96&lt;&gt;"", Klantgegevens_B!B96, LEFT(Klantgegevens_A!A96, FIND(",", Klantgegevens_A!A96)-1))</f>
        <v>Jansen</v>
      </c>
      <c r="C97" t="str">
        <f t="shared" ca="1" si="1"/>
        <v/>
      </c>
      <c r="D97" t="str">
        <f>IF(Klantgegevens_B!F96&lt;&gt;"", Klantgegevens_B!F96, Klantgegevens_A!D96 &amp; " " &amp; Klantgegevens_A!E96 &amp; ", " &amp; Klantgegevens_A!F96)</f>
        <v>Gabriela,Béatrice,Melissa</v>
      </c>
      <c r="E97">
        <f>IF(Klantgegevens_B!G96&lt;&gt;"", Klantgegevens_B!G96, TEXTJOIN(",", TRUE, REPT("Volwassene,", Klantgegevens_A!G96), REPT("Kind,", Klantgegevens_A!H96)))</f>
        <v>120.91</v>
      </c>
      <c r="F97">
        <f>IF(Klantgegevens_B!G96&lt;&gt;"", LEN(Klantgegevens_B!G96)-LEN(SUBSTITUTE(Klantgegevens_B!G96, ",", ""))+1, Klantgegevens_A!G96)</f>
        <v>1</v>
      </c>
      <c r="G97">
        <f>IF(Klantgegevens_B!G96&lt;&gt;"", 0, Klantgegevens_A!H96)</f>
        <v>0</v>
      </c>
      <c r="H97">
        <f>IF(Klantgegevens_B!H96&lt;&gt;"", Klantgegevens_B!H96, Klantgegevens_A!I96)</f>
        <v>12</v>
      </c>
      <c r="I97" t="str">
        <f>IF(Klantgegevens_B!I96&lt;&gt;"", Klantgegevens_B!I96, SWITCH(Klantgegevens_A!J96, "Zelden", 1, "Af en toe", 4, "Regelmatig", 8, "Vaak", 12))</f>
        <v>Bancontact</v>
      </c>
      <c r="J97" t="str">
        <f>IF(Klantgegevens_B!J96&lt;&gt;"", Klantgegevens_B!J96, Klantgegevens_A!K96)</f>
        <v>ja</v>
      </c>
      <c r="K97">
        <f>IF(Klantgegevens_B!K96&lt;&gt;"", AVERAGE(--(Klantgegevens_B!K96="ja"), --(Klantgegevens_B!L96="ja"), --(Klantgegevens_B!M96="ja"), --(Klantgegevens_B!N96="ja"), --(Klantgegevens_B!O96="ja"))*10, Klantgegevens_A!L96)</f>
        <v>6</v>
      </c>
      <c r="L97" t="str">
        <f>IF(Klantgegevens_B!K96&lt;&gt;"", Klantgegevens_B!K96, IF(Klantgegevens_A!L96&gt;=7, "ja", "nee"))</f>
        <v>ja</v>
      </c>
      <c r="M97" t="str">
        <f>IF(Klantgegevens_B!L96&lt;&gt;"", Klantgegevens_B!L96, IF(Klantgegevens_A!L96&gt;=7, "ja", "nee"))</f>
        <v>ja</v>
      </c>
      <c r="N97" t="str">
        <f>IF(Klantgegevens_B!M96&lt;&gt;"", Klantgegevens_B!M96, IF(Klantgegevens_A!L96&gt;=7, "ja", "nee"))</f>
        <v>nee</v>
      </c>
      <c r="O97" t="str">
        <f>IF(Klantgegevens_B!N96&lt;&gt;"", Klantgegevens_B!N96, IF(Klantgegevens_A!L96&gt;=7, "ja", "nee"))</f>
        <v>ja</v>
      </c>
      <c r="P97" t="str">
        <f>IF(Klantgegevens_B!O96&lt;&gt;"", Klantgegevens_B!O96, IF(Klantgegevens_A!L96&gt;=7, "ja", "nee"))</f>
        <v>Geen dieet</v>
      </c>
      <c r="Q97" t="str">
        <f>IF(Klantgegevens_B!P96&lt;&gt;"", Klantgegevens_B!P96, Klantgegevens_A!M96)</f>
        <v>Geen dieet</v>
      </c>
      <c r="R97" t="str">
        <f>IF(Klantgegevens_B!A96&lt;&gt;"", "B", "A")</f>
        <v>B</v>
      </c>
    </row>
    <row r="98" spans="1:18" x14ac:dyDescent="0.3">
      <c r="A98" t="str">
        <f>IF(Klantgegevens_B!A97&lt;&gt;"", Klantgegevens_B!A97, MID(Klantgegevens_A!A97, FIND(",", Klantgegevens_A!A97)+2, LEN(Klantgegevens_A!A97)))</f>
        <v>Gaëlle</v>
      </c>
      <c r="B98" t="str">
        <f>IF(Klantgegevens_B!B97&lt;&gt;"", Klantgegevens_B!B97, LEFT(Klantgegevens_A!A97, FIND(",", Klantgegevens_A!A97)-1))</f>
        <v>Bernard</v>
      </c>
      <c r="C98" t="str">
        <f t="shared" ca="1" si="1"/>
        <v/>
      </c>
      <c r="D98" t="str">
        <f>IF(Klantgegevens_B!F97&lt;&gt;"", Klantgegevens_B!F97, Klantgegevens_A!D97 &amp; " " &amp; Klantgegevens_A!E97 &amp; ", " &amp; Klantgegevens_A!F97)</f>
        <v>Gaëlle</v>
      </c>
      <c r="E98">
        <f>IF(Klantgegevens_B!G97&lt;&gt;"", Klantgegevens_B!G97, TEXTJOIN(",", TRUE, REPT("Volwassene,", Klantgegevens_A!G97), REPT("Kind,", Klantgegevens_A!H97)))</f>
        <v>61.45</v>
      </c>
      <c r="F98">
        <f>IF(Klantgegevens_B!G97&lt;&gt;"", LEN(Klantgegevens_B!G97)-LEN(SUBSTITUTE(Klantgegevens_B!G97, ",", ""))+1, Klantgegevens_A!G97)</f>
        <v>1</v>
      </c>
      <c r="G98">
        <f>IF(Klantgegevens_B!G97&lt;&gt;"", 0, Klantgegevens_A!H97)</f>
        <v>0</v>
      </c>
      <c r="H98">
        <f>IF(Klantgegevens_B!H97&lt;&gt;"", Klantgegevens_B!H97, Klantgegevens_A!I97)</f>
        <v>10</v>
      </c>
      <c r="I98" t="str">
        <f>IF(Klantgegevens_B!I97&lt;&gt;"", Klantgegevens_B!I97, SWITCH(Klantgegevens_A!J97, "Zelden", 1, "Af en toe", 4, "Regelmatig", 8, "Vaak", 12))</f>
        <v>Payconiq</v>
      </c>
      <c r="J98" t="str">
        <f>IF(Klantgegevens_B!J97&lt;&gt;"", Klantgegevens_B!J97, Klantgegevens_A!K97)</f>
        <v>nee</v>
      </c>
      <c r="K98">
        <f>IF(Klantgegevens_B!K97&lt;&gt;"", AVERAGE(--(Klantgegevens_B!K97="ja"), --(Klantgegevens_B!L97="ja"), --(Klantgegevens_B!M97="ja"), --(Klantgegevens_B!N97="ja"), --(Klantgegevens_B!O97="ja"))*10, Klantgegevens_A!L97)</f>
        <v>4</v>
      </c>
      <c r="L98" t="str">
        <f>IF(Klantgegevens_B!K97&lt;&gt;"", Klantgegevens_B!K97, IF(Klantgegevens_A!L97&gt;=7, "ja", "nee"))</f>
        <v>nee</v>
      </c>
      <c r="M98" t="str">
        <f>IF(Klantgegevens_B!L97&lt;&gt;"", Klantgegevens_B!L97, IF(Klantgegevens_A!L97&gt;=7, "ja", "nee"))</f>
        <v>ja</v>
      </c>
      <c r="N98" t="str">
        <f>IF(Klantgegevens_B!M97&lt;&gt;"", Klantgegevens_B!M97, IF(Klantgegevens_A!L97&gt;=7, "ja", "nee"))</f>
        <v>nee</v>
      </c>
      <c r="O98" t="str">
        <f>IF(Klantgegevens_B!N97&lt;&gt;"", Klantgegevens_B!N97, IF(Klantgegevens_A!L97&gt;=7, "ja", "nee"))</f>
        <v>ja</v>
      </c>
      <c r="P98" t="str">
        <f>IF(Klantgegevens_B!O97&lt;&gt;"", Klantgegevens_B!O97, IF(Klantgegevens_A!L97&gt;=7, "ja", "nee"))</f>
        <v>Geen dieet</v>
      </c>
      <c r="Q98" t="str">
        <f>IF(Klantgegevens_B!P97&lt;&gt;"", Klantgegevens_B!P97, Klantgegevens_A!M97)</f>
        <v>Vegetarisch</v>
      </c>
      <c r="R98" t="str">
        <f>IF(Klantgegevens_B!A97&lt;&gt;"", "B", "A")</f>
        <v>B</v>
      </c>
    </row>
    <row r="99" spans="1:18" x14ac:dyDescent="0.3">
      <c r="A99" t="str">
        <f>IF(Klantgegevens_B!A98&lt;&gt;"", Klantgegevens_B!A98, MID(Klantgegevens_A!A98, FIND(",", Klantgegevens_A!A98)+2, LEN(Klantgegevens_A!A98)))</f>
        <v>Freddy</v>
      </c>
      <c r="B99" t="str">
        <f>IF(Klantgegevens_B!B98&lt;&gt;"", Klantgegevens_B!B98, LEFT(Klantgegevens_A!A98, FIND(",", Klantgegevens_A!A98)-1))</f>
        <v>Fontaine</v>
      </c>
      <c r="C99" t="str">
        <f t="shared" ca="1" si="1"/>
        <v/>
      </c>
      <c r="D99" t="str">
        <f>IF(Klantgegevens_B!F98&lt;&gt;"", Klantgegevens_B!F98, Klantgegevens_A!D98 &amp; " " &amp; Klantgegevens_A!E98 &amp; ", " &amp; Klantgegevens_A!F98)</f>
        <v>Freddy,Relinda,Marwa,Juliette</v>
      </c>
      <c r="E99">
        <f>IF(Klantgegevens_B!G98&lt;&gt;"", Klantgegevens_B!G98, TEXTJOIN(",", TRUE, REPT("Volwassene,", Klantgegevens_A!G98), REPT("Kind,", Klantgegevens_A!H98)))</f>
        <v>105.64</v>
      </c>
      <c r="F99">
        <f>IF(Klantgegevens_B!G98&lt;&gt;"", LEN(Klantgegevens_B!G98)-LEN(SUBSTITUTE(Klantgegevens_B!G98, ",", ""))+1, Klantgegevens_A!G98)</f>
        <v>1</v>
      </c>
      <c r="G99">
        <f>IF(Klantgegevens_B!G98&lt;&gt;"", 0, Klantgegevens_A!H98)</f>
        <v>0</v>
      </c>
      <c r="H99">
        <f>IF(Klantgegevens_B!H98&lt;&gt;"", Klantgegevens_B!H98, Klantgegevens_A!I98)</f>
        <v>11</v>
      </c>
      <c r="I99" t="str">
        <f>IF(Klantgegevens_B!I98&lt;&gt;"", Klantgegevens_B!I98, SWITCH(Klantgegevens_A!J98, "Zelden", 1, "Af en toe", 4, "Regelmatig", 8, "Vaak", 12))</f>
        <v>Bancontact</v>
      </c>
      <c r="J99" t="str">
        <f>IF(Klantgegevens_B!J98&lt;&gt;"", Klantgegevens_B!J98, Klantgegevens_A!K98)</f>
        <v>ja</v>
      </c>
      <c r="K99">
        <f>IF(Klantgegevens_B!K98&lt;&gt;"", AVERAGE(--(Klantgegevens_B!K98="ja"), --(Klantgegevens_B!L98="ja"), --(Klantgegevens_B!M98="ja"), --(Klantgegevens_B!N98="ja"), --(Klantgegevens_B!O98="ja"))*10, Klantgegevens_A!L98)</f>
        <v>6</v>
      </c>
      <c r="L99" t="str">
        <f>IF(Klantgegevens_B!K98&lt;&gt;"", Klantgegevens_B!K98, IF(Klantgegevens_A!L98&gt;=7, "ja", "nee"))</f>
        <v>ja</v>
      </c>
      <c r="M99" t="str">
        <f>IF(Klantgegevens_B!L98&lt;&gt;"", Klantgegevens_B!L98, IF(Klantgegevens_A!L98&gt;=7, "ja", "nee"))</f>
        <v>ja</v>
      </c>
      <c r="N99" t="str">
        <f>IF(Klantgegevens_B!M98&lt;&gt;"", Klantgegevens_B!M98, IF(Klantgegevens_A!L98&gt;=7, "ja", "nee"))</f>
        <v>nee</v>
      </c>
      <c r="O99" t="str">
        <f>IF(Klantgegevens_B!N98&lt;&gt;"", Klantgegevens_B!N98, IF(Klantgegevens_A!L98&gt;=7, "ja", "nee"))</f>
        <v>ja</v>
      </c>
      <c r="P99" t="str">
        <f>IF(Klantgegevens_B!O98&lt;&gt;"", Klantgegevens_B!O98, IF(Klantgegevens_A!L98&gt;=7, "ja", "nee"))</f>
        <v>Geen dieet</v>
      </c>
      <c r="Q99" t="str">
        <f>IF(Klantgegevens_B!P98&lt;&gt;"", Klantgegevens_B!P98, Klantgegevens_A!M98)</f>
        <v>Geen dieet</v>
      </c>
      <c r="R99" t="str">
        <f>IF(Klantgegevens_B!A98&lt;&gt;"", "B", "A")</f>
        <v>B</v>
      </c>
    </row>
    <row r="100" spans="1:18" x14ac:dyDescent="0.3">
      <c r="A100" t="str">
        <f>IF(Klantgegevens_B!A99&lt;&gt;"", Klantgegevens_B!A99, MID(Klantgegevens_A!A99, FIND(",", Klantgegevens_A!A99)+2, LEN(Klantgegevens_A!A99)))</f>
        <v>Anna</v>
      </c>
      <c r="B100" t="str">
        <f>IF(Klantgegevens_B!B99&lt;&gt;"", Klantgegevens_B!B99, LEFT(Klantgegevens_A!A99, FIND(",", Klantgegevens_A!A99)-1))</f>
        <v>Parmentier</v>
      </c>
      <c r="C100" t="str">
        <f t="shared" ca="1" si="1"/>
        <v/>
      </c>
      <c r="D100" t="str">
        <f>IF(Klantgegevens_B!F99&lt;&gt;"", Klantgegevens_B!F99, Klantgegevens_A!D99 &amp; " " &amp; Klantgegevens_A!E99 &amp; ", " &amp; Klantgegevens_A!F99)</f>
        <v>Anna</v>
      </c>
      <c r="E100">
        <f>IF(Klantgegevens_B!G99&lt;&gt;"", Klantgegevens_B!G99, TEXTJOIN(",", TRUE, REPT("Volwassene,", Klantgegevens_A!G99), REPT("Kind,", Klantgegevens_A!H99)))</f>
        <v>34.200000000000003</v>
      </c>
      <c r="F100">
        <f>IF(Klantgegevens_B!G99&lt;&gt;"", LEN(Klantgegevens_B!G99)-LEN(SUBSTITUTE(Klantgegevens_B!G99, ",", ""))+1, Klantgegevens_A!G99)</f>
        <v>1</v>
      </c>
      <c r="G100">
        <f>IF(Klantgegevens_B!G99&lt;&gt;"", 0, Klantgegevens_A!H99)</f>
        <v>0</v>
      </c>
      <c r="H100">
        <f>IF(Klantgegevens_B!H99&lt;&gt;"", Klantgegevens_B!H99, Klantgegevens_A!I99)</f>
        <v>4</v>
      </c>
      <c r="I100" t="str">
        <f>IF(Klantgegevens_B!I99&lt;&gt;"", Klantgegevens_B!I99, SWITCH(Klantgegevens_A!J99, "Zelden", 1, "Af en toe", 4, "Regelmatig", 8, "Vaak", 12))</f>
        <v>Cash</v>
      </c>
      <c r="J100" t="str">
        <f>IF(Klantgegevens_B!J99&lt;&gt;"", Klantgegevens_B!J99, Klantgegevens_A!K99)</f>
        <v>nee</v>
      </c>
      <c r="K100">
        <f>IF(Klantgegevens_B!K99&lt;&gt;"", AVERAGE(--(Klantgegevens_B!K99="ja"), --(Klantgegevens_B!L99="ja"), --(Klantgegevens_B!M99="ja"), --(Klantgegevens_B!N99="ja"), --(Klantgegevens_B!O99="ja"))*10, Klantgegevens_A!L99)</f>
        <v>4</v>
      </c>
      <c r="L100" t="str">
        <f>IF(Klantgegevens_B!K99&lt;&gt;"", Klantgegevens_B!K99, IF(Klantgegevens_A!L99&gt;=7, "ja", "nee"))</f>
        <v>nee</v>
      </c>
      <c r="M100" t="str">
        <f>IF(Klantgegevens_B!L99&lt;&gt;"", Klantgegevens_B!L99, IF(Klantgegevens_A!L99&gt;=7, "ja", "nee"))</f>
        <v>ja</v>
      </c>
      <c r="N100" t="str">
        <f>IF(Klantgegevens_B!M99&lt;&gt;"", Klantgegevens_B!M99, IF(Klantgegevens_A!L99&gt;=7, "ja", "nee"))</f>
        <v>nee</v>
      </c>
      <c r="O100" t="str">
        <f>IF(Klantgegevens_B!N99&lt;&gt;"", Klantgegevens_B!N99, IF(Klantgegevens_A!L99&gt;=7, "ja", "nee"))</f>
        <v>ja</v>
      </c>
      <c r="P100" t="str">
        <f>IF(Klantgegevens_B!O99&lt;&gt;"", Klantgegevens_B!O99, IF(Klantgegevens_A!L99&gt;=7, "ja", "nee"))</f>
        <v>Geen dieet</v>
      </c>
      <c r="Q100" t="str">
        <f>IF(Klantgegevens_B!P99&lt;&gt;"", Klantgegevens_B!P99, Klantgegevens_A!M99)</f>
        <v>Geen dieet</v>
      </c>
      <c r="R100" t="str">
        <f>IF(Klantgegevens_B!A99&lt;&gt;"", "B", "A")</f>
        <v>B</v>
      </c>
    </row>
    <row r="101" spans="1:18" x14ac:dyDescent="0.3">
      <c r="A101" t="str">
        <f>IF(Klantgegevens_B!A100&lt;&gt;"", Klantgegevens_B!A100, MID(Klantgegevens_A!A100, FIND(",", Klantgegevens_A!A100)+2, LEN(Klantgegevens_A!A100)))</f>
        <v>John</v>
      </c>
      <c r="B101" t="str">
        <f>IF(Klantgegevens_B!B100&lt;&gt;"", Klantgegevens_B!B100, LEFT(Klantgegevens_A!A100, FIND(",", Klantgegevens_A!A100)-1))</f>
        <v>De cock</v>
      </c>
      <c r="C101" t="str">
        <f t="shared" ca="1" si="1"/>
        <v/>
      </c>
      <c r="D101" t="str">
        <f>IF(Klantgegevens_B!F100&lt;&gt;"", Klantgegevens_B!F100, Klantgegevens_A!D100 &amp; " " &amp; Klantgegevens_A!E100 &amp; ", " &amp; Klantgegevens_A!F100)</f>
        <v>John</v>
      </c>
      <c r="E101">
        <f>IF(Klantgegevens_B!G100&lt;&gt;"", Klantgegevens_B!G100, TEXTJOIN(",", TRUE, REPT("Volwassene,", Klantgegevens_A!G100), REPT("Kind,", Klantgegevens_A!H100)))</f>
        <v>97.47</v>
      </c>
      <c r="F101">
        <f>IF(Klantgegevens_B!G100&lt;&gt;"", LEN(Klantgegevens_B!G100)-LEN(SUBSTITUTE(Klantgegevens_B!G100, ",", ""))+1, Klantgegevens_A!G100)</f>
        <v>1</v>
      </c>
      <c r="G101">
        <f>IF(Klantgegevens_B!G100&lt;&gt;"", 0, Klantgegevens_A!H100)</f>
        <v>0</v>
      </c>
      <c r="H101">
        <f>IF(Klantgegevens_B!H100&lt;&gt;"", Klantgegevens_B!H100, Klantgegevens_A!I100)</f>
        <v>9</v>
      </c>
      <c r="I101" t="str">
        <f>IF(Klantgegevens_B!I100&lt;&gt;"", Klantgegevens_B!I100, SWITCH(Klantgegevens_A!J100, "Zelden", 1, "Af en toe", 4, "Regelmatig", 8, "Vaak", 12))</f>
        <v>Payconiq</v>
      </c>
      <c r="J101" t="str">
        <f>IF(Klantgegevens_B!J100&lt;&gt;"", Klantgegevens_B!J100, Klantgegevens_A!K100)</f>
        <v>ja</v>
      </c>
      <c r="K101">
        <f>IF(Klantgegevens_B!K100&lt;&gt;"", AVERAGE(--(Klantgegevens_B!K100="ja"), --(Klantgegevens_B!L100="ja"), --(Klantgegevens_B!M100="ja"), --(Klantgegevens_B!N100="ja"), --(Klantgegevens_B!O100="ja"))*10, Klantgegevens_A!L100)</f>
        <v>6</v>
      </c>
      <c r="L101" t="str">
        <f>IF(Klantgegevens_B!K100&lt;&gt;"", Klantgegevens_B!K100, IF(Klantgegevens_A!L100&gt;=7, "ja", "nee"))</f>
        <v>ja</v>
      </c>
      <c r="M101" t="str">
        <f>IF(Klantgegevens_B!L100&lt;&gt;"", Klantgegevens_B!L100, IF(Klantgegevens_A!L100&gt;=7, "ja", "nee"))</f>
        <v>nee</v>
      </c>
      <c r="N101" t="str">
        <f>IF(Klantgegevens_B!M100&lt;&gt;"", Klantgegevens_B!M100, IF(Klantgegevens_A!L100&gt;=7, "ja", "nee"))</f>
        <v>ja</v>
      </c>
      <c r="O101" t="str">
        <f>IF(Klantgegevens_B!N100&lt;&gt;"", Klantgegevens_B!N100, IF(Klantgegevens_A!L100&gt;=7, "ja", "nee"))</f>
        <v>ja</v>
      </c>
      <c r="P101" t="str">
        <f>IF(Klantgegevens_B!O100&lt;&gt;"", Klantgegevens_B!O100, IF(Klantgegevens_A!L100&gt;=7, "ja", "nee"))</f>
        <v>Vegetarisch</v>
      </c>
      <c r="Q101" t="str">
        <f>IF(Klantgegevens_B!P100&lt;&gt;"", Klantgegevens_B!P100, Klantgegevens_A!M100)</f>
        <v>Geen dieet</v>
      </c>
      <c r="R101" t="str">
        <f>IF(Klantgegevens_B!A100&lt;&gt;"", "B", "A")</f>
        <v>B</v>
      </c>
    </row>
    <row r="102" spans="1:18" x14ac:dyDescent="0.3">
      <c r="A102" t="str">
        <f>IF(Klantgegevens_B!A101&lt;&gt;"", Klantgegevens_B!A101, MID(Klantgegevens_A!A101, FIND(",", Klantgegevens_A!A101)+2, LEN(Klantgegevens_A!A101)))</f>
        <v>Maarten</v>
      </c>
      <c r="B102" t="str">
        <f>IF(Klantgegevens_B!B101&lt;&gt;"", Klantgegevens_B!B101, LEFT(Klantgegevens_A!A101, FIND(",", Klantgegevens_A!A101)-1))</f>
        <v>Vandeputte</v>
      </c>
      <c r="C102" t="str">
        <f t="shared" ca="1" si="1"/>
        <v/>
      </c>
      <c r="D102" t="str">
        <f>IF(Klantgegevens_B!F101&lt;&gt;"", Klantgegevens_B!F101, Klantgegevens_A!D101 &amp; " " &amp; Klantgegevens_A!E101 &amp; ", " &amp; Klantgegevens_A!F101)</f>
        <v>Maarten</v>
      </c>
      <c r="E102">
        <f>IF(Klantgegevens_B!G101&lt;&gt;"", Klantgegevens_B!G101, TEXTJOIN(",", TRUE, REPT("Volwassene,", Klantgegevens_A!G101), REPT("Kind,", Klantgegevens_A!H101)))</f>
        <v>64.78</v>
      </c>
      <c r="F102">
        <f>IF(Klantgegevens_B!G101&lt;&gt;"", LEN(Klantgegevens_B!G101)-LEN(SUBSTITUTE(Klantgegevens_B!G101, ",", ""))+1, Klantgegevens_A!G101)</f>
        <v>1</v>
      </c>
      <c r="G102">
        <f>IF(Klantgegevens_B!G101&lt;&gt;"", 0, Klantgegevens_A!H101)</f>
        <v>0</v>
      </c>
      <c r="H102">
        <f>IF(Klantgegevens_B!H101&lt;&gt;"", Klantgegevens_B!H101, Klantgegevens_A!I101)</f>
        <v>5</v>
      </c>
      <c r="I102" t="str">
        <f>IF(Klantgegevens_B!I101&lt;&gt;"", Klantgegevens_B!I101, SWITCH(Klantgegevens_A!J101, "Zelden", 1, "Af en toe", 4, "Regelmatig", 8, "Vaak", 12))</f>
        <v>Payconiq</v>
      </c>
      <c r="J102" t="str">
        <f>IF(Klantgegevens_B!J101&lt;&gt;"", Klantgegevens_B!J101, Klantgegevens_A!K101)</f>
        <v>nee</v>
      </c>
      <c r="K102">
        <f>IF(Klantgegevens_B!K101&lt;&gt;"", AVERAGE(--(Klantgegevens_B!K101="ja"), --(Klantgegevens_B!L101="ja"), --(Klantgegevens_B!M101="ja"), --(Klantgegevens_B!N101="ja"), --(Klantgegevens_B!O101="ja"))*10, Klantgegevens_A!L101)</f>
        <v>8</v>
      </c>
      <c r="L102" t="str">
        <f>IF(Klantgegevens_B!K101&lt;&gt;"", Klantgegevens_B!K101, IF(Klantgegevens_A!L101&gt;=7, "ja", "nee"))</f>
        <v>ja</v>
      </c>
      <c r="M102" t="str">
        <f>IF(Klantgegevens_B!L101&lt;&gt;"", Klantgegevens_B!L101, IF(Klantgegevens_A!L101&gt;=7, "ja", "nee"))</f>
        <v>ja</v>
      </c>
      <c r="N102" t="str">
        <f>IF(Klantgegevens_B!M101&lt;&gt;"", Klantgegevens_B!M101, IF(Klantgegevens_A!L101&gt;=7, "ja", "nee"))</f>
        <v>ja</v>
      </c>
      <c r="O102" t="str">
        <f>IF(Klantgegevens_B!N101&lt;&gt;"", Klantgegevens_B!N101, IF(Klantgegevens_A!L101&gt;=7, "ja", "nee"))</f>
        <v>ja</v>
      </c>
      <c r="P102" t="str">
        <f>IF(Klantgegevens_B!O101&lt;&gt;"", Klantgegevens_B!O101, IF(Klantgegevens_A!L101&gt;=7, "ja", "nee"))</f>
        <v>Geen dieet</v>
      </c>
      <c r="Q102" t="str">
        <f>IF(Klantgegevens_B!P101&lt;&gt;"", Klantgegevens_B!P101, Klantgegevens_A!M101)</f>
        <v>Geen dieet</v>
      </c>
      <c r="R102" t="str">
        <f>IF(Klantgegevens_B!A101&lt;&gt;"", "B", "A")</f>
        <v>B</v>
      </c>
    </row>
    <row r="103" spans="1:18" x14ac:dyDescent="0.3">
      <c r="A103" t="str">
        <f>IF(Klantgegevens_B!A102&lt;&gt;"", Klantgegevens_B!A102, MID(Klantgegevens_A!A102, FIND(",", Klantgegevens_A!A102)+2, LEN(Klantgegevens_A!A102)))</f>
        <v>Farah</v>
      </c>
      <c r="B103" t="str">
        <f>IF(Klantgegevens_B!B102&lt;&gt;"", Klantgegevens_B!B102, LEFT(Klantgegevens_A!A102, FIND(",", Klantgegevens_A!A102)-1))</f>
        <v>Heylen</v>
      </c>
      <c r="C103" t="str">
        <f t="shared" ca="1" si="1"/>
        <v/>
      </c>
      <c r="D103" t="str">
        <f>IF(Klantgegevens_B!F102&lt;&gt;"", Klantgegevens_B!F102, Klantgegevens_A!D102 &amp; " " &amp; Klantgegevens_A!E102 &amp; ", " &amp; Klantgegevens_A!F102)</f>
        <v>Farah,Carolus,Ovidiu,Jade</v>
      </c>
      <c r="E103">
        <f>IF(Klantgegevens_B!G102&lt;&gt;"", Klantgegevens_B!G102, TEXTJOIN(",", TRUE, REPT("Volwassene,", Klantgegevens_A!G102), REPT("Kind,", Klantgegevens_A!H102)))</f>
        <v>119.16</v>
      </c>
      <c r="F103">
        <f>IF(Klantgegevens_B!G102&lt;&gt;"", LEN(Klantgegevens_B!G102)-LEN(SUBSTITUTE(Klantgegevens_B!G102, ",", ""))+1, Klantgegevens_A!G102)</f>
        <v>1</v>
      </c>
      <c r="G103">
        <f>IF(Klantgegevens_B!G102&lt;&gt;"", 0, Klantgegevens_A!H102)</f>
        <v>0</v>
      </c>
      <c r="H103">
        <f>IF(Klantgegevens_B!H102&lt;&gt;"", Klantgegevens_B!H102, Klantgegevens_A!I102)</f>
        <v>10</v>
      </c>
      <c r="I103" t="str">
        <f>IF(Klantgegevens_B!I102&lt;&gt;"", Klantgegevens_B!I102, SWITCH(Klantgegevens_A!J102, "Zelden", 1, "Af en toe", 4, "Regelmatig", 8, "Vaak", 12))</f>
        <v>Payconiq</v>
      </c>
      <c r="J103" t="str">
        <f>IF(Klantgegevens_B!J102&lt;&gt;"", Klantgegevens_B!J102, Klantgegevens_A!K102)</f>
        <v>ja</v>
      </c>
      <c r="K103">
        <f>IF(Klantgegevens_B!K102&lt;&gt;"", AVERAGE(--(Klantgegevens_B!K102="ja"), --(Klantgegevens_B!L102="ja"), --(Klantgegevens_B!M102="ja"), --(Klantgegevens_B!N102="ja"), --(Klantgegevens_B!O102="ja"))*10, Klantgegevens_A!L102)</f>
        <v>4</v>
      </c>
      <c r="L103" t="str">
        <f>IF(Klantgegevens_B!K102&lt;&gt;"", Klantgegevens_B!K102, IF(Klantgegevens_A!L102&gt;=7, "ja", "nee"))</f>
        <v>nee</v>
      </c>
      <c r="M103" t="str">
        <f>IF(Klantgegevens_B!L102&lt;&gt;"", Klantgegevens_B!L102, IF(Klantgegevens_A!L102&gt;=7, "ja", "nee"))</f>
        <v>ja</v>
      </c>
      <c r="N103" t="str">
        <f>IF(Klantgegevens_B!M102&lt;&gt;"", Klantgegevens_B!M102, IF(Klantgegevens_A!L102&gt;=7, "ja", "nee"))</f>
        <v>nee</v>
      </c>
      <c r="O103" t="str">
        <f>IF(Klantgegevens_B!N102&lt;&gt;"", Klantgegevens_B!N102, IF(Klantgegevens_A!L102&gt;=7, "ja", "nee"))</f>
        <v>ja</v>
      </c>
      <c r="P103" t="str">
        <f>IF(Klantgegevens_B!O102&lt;&gt;"", Klantgegevens_B!O102, IF(Klantgegevens_A!L102&gt;=7, "ja", "nee"))</f>
        <v>Geen dieet</v>
      </c>
      <c r="Q103" t="str">
        <f>IF(Klantgegevens_B!P102&lt;&gt;"", Klantgegevens_B!P102, Klantgegevens_A!M102)</f>
        <v>Geen dieet</v>
      </c>
      <c r="R103" t="str">
        <f>IF(Klantgegevens_B!A102&lt;&gt;"", "B", "A")</f>
        <v>B</v>
      </c>
    </row>
    <row r="104" spans="1:18" x14ac:dyDescent="0.3">
      <c r="A104" t="str">
        <f>IF(Klantgegevens_B!A103&lt;&gt;"", Klantgegevens_B!A103, MID(Klantgegevens_A!A103, FIND(",", Klantgegevens_A!A103)+2, LEN(Klantgegevens_A!A103)))</f>
        <v>Aurore</v>
      </c>
      <c r="B104" t="str">
        <f>IF(Klantgegevens_B!B103&lt;&gt;"", Klantgegevens_B!B103, LEFT(Klantgegevens_A!A103, FIND(",", Klantgegevens_A!A103)-1))</f>
        <v>Verheyen</v>
      </c>
      <c r="C104" t="str">
        <f t="shared" ca="1" si="1"/>
        <v/>
      </c>
      <c r="D104" t="str">
        <f>IF(Klantgegevens_B!F103&lt;&gt;"", Klantgegevens_B!F103, Klantgegevens_A!D103 &amp; " " &amp; Klantgegevens_A!E103 &amp; ", " &amp; Klantgegevens_A!F103)</f>
        <v>Aurore,Bob,Tareq</v>
      </c>
      <c r="E104">
        <f>IF(Klantgegevens_B!G103&lt;&gt;"", Klantgegevens_B!G103, TEXTJOIN(",", TRUE, REPT("Volwassene,", Klantgegevens_A!G103), REPT("Kind,", Klantgegevens_A!H103)))</f>
        <v>59.93</v>
      </c>
      <c r="F104">
        <f>IF(Klantgegevens_B!G103&lt;&gt;"", LEN(Klantgegevens_B!G103)-LEN(SUBSTITUTE(Klantgegevens_B!G103, ",", ""))+1, Klantgegevens_A!G103)</f>
        <v>1</v>
      </c>
      <c r="G104">
        <f>IF(Klantgegevens_B!G103&lt;&gt;"", 0, Klantgegevens_A!H103)</f>
        <v>0</v>
      </c>
      <c r="H104">
        <f>IF(Klantgegevens_B!H103&lt;&gt;"", Klantgegevens_B!H103, Klantgegevens_A!I103)</f>
        <v>6</v>
      </c>
      <c r="I104" t="str">
        <f>IF(Klantgegevens_B!I103&lt;&gt;"", Klantgegevens_B!I103, SWITCH(Klantgegevens_A!J103, "Zelden", 1, "Af en toe", 4, "Regelmatig", 8, "Vaak", 12))</f>
        <v>Payconiq</v>
      </c>
      <c r="J104" t="str">
        <f>IF(Klantgegevens_B!J103&lt;&gt;"", Klantgegevens_B!J103, Klantgegevens_A!K103)</f>
        <v>ja</v>
      </c>
      <c r="K104">
        <f>IF(Klantgegevens_B!K103&lt;&gt;"", AVERAGE(--(Klantgegevens_B!K103="ja"), --(Klantgegevens_B!L103="ja"), --(Klantgegevens_B!M103="ja"), --(Klantgegevens_B!N103="ja"), --(Klantgegevens_B!O103="ja"))*10, Klantgegevens_A!L103)</f>
        <v>8</v>
      </c>
      <c r="L104" t="str">
        <f>IF(Klantgegevens_B!K103&lt;&gt;"", Klantgegevens_B!K103, IF(Klantgegevens_A!L103&gt;=7, "ja", "nee"))</f>
        <v>ja</v>
      </c>
      <c r="M104" t="str">
        <f>IF(Klantgegevens_B!L103&lt;&gt;"", Klantgegevens_B!L103, IF(Klantgegevens_A!L103&gt;=7, "ja", "nee"))</f>
        <v>ja</v>
      </c>
      <c r="N104" t="str">
        <f>IF(Klantgegevens_B!M103&lt;&gt;"", Klantgegevens_B!M103, IF(Klantgegevens_A!L103&gt;=7, "ja", "nee"))</f>
        <v>ja</v>
      </c>
      <c r="O104" t="str">
        <f>IF(Klantgegevens_B!N103&lt;&gt;"", Klantgegevens_B!N103, IF(Klantgegevens_A!L103&gt;=7, "ja", "nee"))</f>
        <v>ja</v>
      </c>
      <c r="P104" t="str">
        <f>IF(Klantgegevens_B!O103&lt;&gt;"", Klantgegevens_B!O103, IF(Klantgegevens_A!L103&gt;=7, "ja", "nee"))</f>
        <v>Vegetarisch</v>
      </c>
      <c r="Q104" t="str">
        <f>IF(Klantgegevens_B!P103&lt;&gt;"", Klantgegevens_B!P103, Klantgegevens_A!M103)</f>
        <v>Vegetarisch</v>
      </c>
      <c r="R104" t="str">
        <f>IF(Klantgegevens_B!A103&lt;&gt;"", "B", "A")</f>
        <v>B</v>
      </c>
    </row>
    <row r="105" spans="1:18" x14ac:dyDescent="0.3">
      <c r="A105" t="str">
        <f>IF(Klantgegevens_B!A104&lt;&gt;"", Klantgegevens_B!A104, MID(Klantgegevens_A!A104, FIND(",", Klantgegevens_A!A104)+2, LEN(Klantgegevens_A!A104)))</f>
        <v>Vincenzo</v>
      </c>
      <c r="B105" t="str">
        <f>IF(Klantgegevens_B!B104&lt;&gt;"", Klantgegevens_B!B104, LEFT(Klantgegevens_A!A104, FIND(",", Klantgegevens_A!A104)-1))</f>
        <v>Marchal</v>
      </c>
      <c r="C105" t="str">
        <f t="shared" ca="1" si="1"/>
        <v/>
      </c>
      <c r="D105" t="str">
        <f>IF(Klantgegevens_B!F104&lt;&gt;"", Klantgegevens_B!F104, Klantgegevens_A!D104 &amp; " " &amp; Klantgegevens_A!E104 &amp; ", " &amp; Klantgegevens_A!F104)</f>
        <v>Vincenzo,Bo,Mélissa</v>
      </c>
      <c r="E105">
        <f>IF(Klantgegevens_B!G104&lt;&gt;"", Klantgegevens_B!G104, TEXTJOIN(",", TRUE, REPT("Volwassene,", Klantgegevens_A!G104), REPT("Kind,", Klantgegevens_A!H104)))</f>
        <v>145.79</v>
      </c>
      <c r="F105">
        <f>IF(Klantgegevens_B!G104&lt;&gt;"", LEN(Klantgegevens_B!G104)-LEN(SUBSTITUTE(Klantgegevens_B!G104, ",", ""))+1, Klantgegevens_A!G104)</f>
        <v>1</v>
      </c>
      <c r="G105">
        <f>IF(Klantgegevens_B!G104&lt;&gt;"", 0, Klantgegevens_A!H104)</f>
        <v>0</v>
      </c>
      <c r="H105">
        <f>IF(Klantgegevens_B!H104&lt;&gt;"", Klantgegevens_B!H104, Klantgegevens_A!I104)</f>
        <v>17</v>
      </c>
      <c r="I105" t="str">
        <f>IF(Klantgegevens_B!I104&lt;&gt;"", Klantgegevens_B!I104, SWITCH(Klantgegevens_A!J104, "Zelden", 1, "Af en toe", 4, "Regelmatig", 8, "Vaak", 12))</f>
        <v>Bancontact</v>
      </c>
      <c r="J105" t="str">
        <f>IF(Klantgegevens_B!J104&lt;&gt;"", Klantgegevens_B!J104, Klantgegevens_A!K104)</f>
        <v>ja</v>
      </c>
      <c r="K105">
        <f>IF(Klantgegevens_B!K104&lt;&gt;"", AVERAGE(--(Klantgegevens_B!K104="ja"), --(Klantgegevens_B!L104="ja"), --(Klantgegevens_B!M104="ja"), --(Klantgegevens_B!N104="ja"), --(Klantgegevens_B!O104="ja"))*10, Klantgegevens_A!L104)</f>
        <v>6</v>
      </c>
      <c r="L105" t="str">
        <f>IF(Klantgegevens_B!K104&lt;&gt;"", Klantgegevens_B!K104, IF(Klantgegevens_A!L104&gt;=7, "ja", "nee"))</f>
        <v>ja</v>
      </c>
      <c r="M105" t="str">
        <f>IF(Klantgegevens_B!L104&lt;&gt;"", Klantgegevens_B!L104, IF(Klantgegevens_A!L104&gt;=7, "ja", "nee"))</f>
        <v>ja</v>
      </c>
      <c r="N105" t="str">
        <f>IF(Klantgegevens_B!M104&lt;&gt;"", Klantgegevens_B!M104, IF(Klantgegevens_A!L104&gt;=7, "ja", "nee"))</f>
        <v>nee</v>
      </c>
      <c r="O105" t="str">
        <f>IF(Klantgegevens_B!N104&lt;&gt;"", Klantgegevens_B!N104, IF(Klantgegevens_A!L104&gt;=7, "ja", "nee"))</f>
        <v>ja</v>
      </c>
      <c r="P105" t="str">
        <f>IF(Klantgegevens_B!O104&lt;&gt;"", Klantgegevens_B!O104, IF(Klantgegevens_A!L104&gt;=7, "ja", "nee"))</f>
        <v>Geen dieet</v>
      </c>
      <c r="Q105" t="str">
        <f>IF(Klantgegevens_B!P104&lt;&gt;"", Klantgegevens_B!P104, Klantgegevens_A!M104)</f>
        <v>Vegetarisch</v>
      </c>
      <c r="R105" t="str">
        <f>IF(Klantgegevens_B!A104&lt;&gt;"", "B", "A")</f>
        <v>B</v>
      </c>
    </row>
    <row r="106" spans="1:18" x14ac:dyDescent="0.3">
      <c r="A106" t="str">
        <f>IF(Klantgegevens_B!A105&lt;&gt;"", Klantgegevens_B!A105, MID(Klantgegevens_A!A105, FIND(",", Klantgegevens_A!A105)+2, LEN(Klantgegevens_A!A105)))</f>
        <v>Free</v>
      </c>
      <c r="B106" t="str">
        <f>IF(Klantgegevens_B!B105&lt;&gt;"", Klantgegevens_B!B105, LEFT(Klantgegevens_A!A105, FIND(",", Klantgegevens_A!A105)-1))</f>
        <v>Stevens</v>
      </c>
      <c r="C106" t="str">
        <f t="shared" ca="1" si="1"/>
        <v/>
      </c>
      <c r="D106" t="str">
        <f>IF(Klantgegevens_B!F105&lt;&gt;"", Klantgegevens_B!F105, Klantgegevens_A!D105 &amp; " " &amp; Klantgegevens_A!E105 &amp; ", " &amp; Klantgegevens_A!F105)</f>
        <v>Free,Patrick,Geneviève,Muhammet</v>
      </c>
      <c r="E106">
        <f>IF(Klantgegevens_B!G105&lt;&gt;"", Klantgegevens_B!G105, TEXTJOIN(",", TRUE, REPT("Volwassene,", Klantgegevens_A!G105), REPT("Kind,", Klantgegevens_A!H105)))</f>
        <v>122.43</v>
      </c>
      <c r="F106">
        <f>IF(Klantgegevens_B!G105&lt;&gt;"", LEN(Klantgegevens_B!G105)-LEN(SUBSTITUTE(Klantgegevens_B!G105, ",", ""))+1, Klantgegevens_A!G105)</f>
        <v>1</v>
      </c>
      <c r="G106">
        <f>IF(Klantgegevens_B!G105&lt;&gt;"", 0, Klantgegevens_A!H105)</f>
        <v>0</v>
      </c>
      <c r="H106">
        <f>IF(Klantgegevens_B!H105&lt;&gt;"", Klantgegevens_B!H105, Klantgegevens_A!I105)</f>
        <v>1</v>
      </c>
      <c r="I106" t="str">
        <f>IF(Klantgegevens_B!I105&lt;&gt;"", Klantgegevens_B!I105, SWITCH(Klantgegevens_A!J105, "Zelden", 1, "Af en toe", 4, "Regelmatig", 8, "Vaak", 12))</f>
        <v>Bancontact</v>
      </c>
      <c r="J106" t="str">
        <f>IF(Klantgegevens_B!J105&lt;&gt;"", Klantgegevens_B!J105, Klantgegevens_A!K105)</f>
        <v>ja</v>
      </c>
      <c r="K106">
        <f>IF(Klantgegevens_B!K105&lt;&gt;"", AVERAGE(--(Klantgegevens_B!K105="ja"), --(Klantgegevens_B!L105="ja"), --(Klantgegevens_B!M105="ja"), --(Klantgegevens_B!N105="ja"), --(Klantgegevens_B!O105="ja"))*10, Klantgegevens_A!L105)</f>
        <v>4</v>
      </c>
      <c r="L106" t="str">
        <f>IF(Klantgegevens_B!K105&lt;&gt;"", Klantgegevens_B!K105, IF(Klantgegevens_A!L105&gt;=7, "ja", "nee"))</f>
        <v>ja</v>
      </c>
      <c r="M106" t="str">
        <f>IF(Klantgegevens_B!L105&lt;&gt;"", Klantgegevens_B!L105, IF(Klantgegevens_A!L105&gt;=7, "ja", "nee"))</f>
        <v>nee</v>
      </c>
      <c r="N106" t="str">
        <f>IF(Klantgegevens_B!M105&lt;&gt;"", Klantgegevens_B!M105, IF(Klantgegevens_A!L105&gt;=7, "ja", "nee"))</f>
        <v>ja</v>
      </c>
      <c r="O106" t="str">
        <f>IF(Klantgegevens_B!N105&lt;&gt;"", Klantgegevens_B!N105, IF(Klantgegevens_A!L105&gt;=7, "ja", "nee"))</f>
        <v>nee</v>
      </c>
      <c r="P106" t="str">
        <f>IF(Klantgegevens_B!O105&lt;&gt;"", Klantgegevens_B!O105, IF(Klantgegevens_A!L105&gt;=7, "ja", "nee"))</f>
        <v>Geen dieet</v>
      </c>
      <c r="Q106" t="str">
        <f>IF(Klantgegevens_B!P105&lt;&gt;"", Klantgegevens_B!P105, Klantgegevens_A!M105)</f>
        <v>Geen dieet</v>
      </c>
      <c r="R106" t="str">
        <f>IF(Klantgegevens_B!A105&lt;&gt;"", "B", "A")</f>
        <v>B</v>
      </c>
    </row>
    <row r="107" spans="1:18" x14ac:dyDescent="0.3">
      <c r="A107" t="str">
        <f>IF(Klantgegevens_B!A106&lt;&gt;"", Klantgegevens_B!A106, MID(Klantgegevens_A!A106, FIND(",", Klantgegevens_A!A106)+2, LEN(Klantgegevens_A!A106)))</f>
        <v>Marie-Lou</v>
      </c>
      <c r="B107" t="str">
        <f>IF(Klantgegevens_B!B106&lt;&gt;"", Klantgegevens_B!B106, LEFT(Klantgegevens_A!A106, FIND(",", Klantgegevens_A!A106)-1))</f>
        <v>De wolf</v>
      </c>
      <c r="C107" t="str">
        <f t="shared" ca="1" si="1"/>
        <v/>
      </c>
      <c r="D107" t="str">
        <f>IF(Klantgegevens_B!F106&lt;&gt;"", Klantgegevens_B!F106, Klantgegevens_A!D106 &amp; " " &amp; Klantgegevens_A!E106 &amp; ", " &amp; Klantgegevens_A!F106)</f>
        <v>Marie-Lou,Sandra,Xavier</v>
      </c>
      <c r="E107">
        <f>IF(Klantgegevens_B!G106&lt;&gt;"", Klantgegevens_B!G106, TEXTJOIN(",", TRUE, REPT("Volwassene,", Klantgegevens_A!G106), REPT("Kind,", Klantgegevens_A!H106)))</f>
        <v>136.28</v>
      </c>
      <c r="F107">
        <f>IF(Klantgegevens_B!G106&lt;&gt;"", LEN(Klantgegevens_B!G106)-LEN(SUBSTITUTE(Klantgegevens_B!G106, ",", ""))+1, Klantgegevens_A!G106)</f>
        <v>1</v>
      </c>
      <c r="G107">
        <f>IF(Klantgegevens_B!G106&lt;&gt;"", 0, Klantgegevens_A!H106)</f>
        <v>0</v>
      </c>
      <c r="H107">
        <f>IF(Klantgegevens_B!H106&lt;&gt;"", Klantgegevens_B!H106, Klantgegevens_A!I106)</f>
        <v>2</v>
      </c>
      <c r="I107" t="str">
        <f>IF(Klantgegevens_B!I106&lt;&gt;"", Klantgegevens_B!I106, SWITCH(Klantgegevens_A!J106, "Zelden", 1, "Af en toe", 4, "Regelmatig", 8, "Vaak", 12))</f>
        <v>Payconiq</v>
      </c>
      <c r="J107" t="str">
        <f>IF(Klantgegevens_B!J106&lt;&gt;"", Klantgegevens_B!J106, Klantgegevens_A!K106)</f>
        <v>ja</v>
      </c>
      <c r="K107">
        <f>IF(Klantgegevens_B!K106&lt;&gt;"", AVERAGE(--(Klantgegevens_B!K106="ja"), --(Klantgegevens_B!L106="ja"), --(Klantgegevens_B!M106="ja"), --(Klantgegevens_B!N106="ja"), --(Klantgegevens_B!O106="ja"))*10, Klantgegevens_A!L106)</f>
        <v>6</v>
      </c>
      <c r="L107" t="str">
        <f>IF(Klantgegevens_B!K106&lt;&gt;"", Klantgegevens_B!K106, IF(Klantgegevens_A!L106&gt;=7, "ja", "nee"))</f>
        <v>nee</v>
      </c>
      <c r="M107" t="str">
        <f>IF(Klantgegevens_B!L106&lt;&gt;"", Klantgegevens_B!L106, IF(Klantgegevens_A!L106&gt;=7, "ja", "nee"))</f>
        <v>ja</v>
      </c>
      <c r="N107" t="str">
        <f>IF(Klantgegevens_B!M106&lt;&gt;"", Klantgegevens_B!M106, IF(Klantgegevens_A!L106&gt;=7, "ja", "nee"))</f>
        <v>ja</v>
      </c>
      <c r="O107" t="str">
        <f>IF(Klantgegevens_B!N106&lt;&gt;"", Klantgegevens_B!N106, IF(Klantgegevens_A!L106&gt;=7, "ja", "nee"))</f>
        <v>ja</v>
      </c>
      <c r="P107" t="str">
        <f>IF(Klantgegevens_B!O106&lt;&gt;"", Klantgegevens_B!O106, IF(Klantgegevens_A!L106&gt;=7, "ja", "nee"))</f>
        <v>Geen dieet</v>
      </c>
      <c r="Q107" t="str">
        <f>IF(Klantgegevens_B!P106&lt;&gt;"", Klantgegevens_B!P106, Klantgegevens_A!M106)</f>
        <v>Geen dieet</v>
      </c>
      <c r="R107" t="str">
        <f>IF(Klantgegevens_B!A106&lt;&gt;"", "B", "A")</f>
        <v>B</v>
      </c>
    </row>
    <row r="108" spans="1:18" x14ac:dyDescent="0.3">
      <c r="A108" t="str">
        <f>IF(Klantgegevens_B!A107&lt;&gt;"", Klantgegevens_B!A107, MID(Klantgegevens_A!A107, FIND(",", Klantgegevens_A!A107)+2, LEN(Klantgegevens_A!A107)))</f>
        <v>Luigi</v>
      </c>
      <c r="B108" t="str">
        <f>IF(Klantgegevens_B!B107&lt;&gt;"", Klantgegevens_B!B107, LEFT(Klantgegevens_A!A107, FIND(",", Klantgegevens_A!A107)-1))</f>
        <v>Deprez</v>
      </c>
      <c r="C108" t="str">
        <f t="shared" ca="1" si="1"/>
        <v/>
      </c>
      <c r="D108" t="str">
        <f>IF(Klantgegevens_B!F107&lt;&gt;"", Klantgegevens_B!F107, Klantgegevens_A!D107 &amp; " " &amp; Klantgegevens_A!E107 &amp; ", " &amp; Klantgegevens_A!F107)</f>
        <v>Luigi</v>
      </c>
      <c r="E108">
        <f>IF(Klantgegevens_B!G107&lt;&gt;"", Klantgegevens_B!G107, TEXTJOIN(",", TRUE, REPT("Volwassene,", Klantgegevens_A!G107), REPT("Kind,", Klantgegevens_A!H107)))</f>
        <v>56.79</v>
      </c>
      <c r="F108">
        <f>IF(Klantgegevens_B!G107&lt;&gt;"", LEN(Klantgegevens_B!G107)-LEN(SUBSTITUTE(Klantgegevens_B!G107, ",", ""))+1, Klantgegevens_A!G107)</f>
        <v>1</v>
      </c>
      <c r="G108">
        <f>IF(Klantgegevens_B!G107&lt;&gt;"", 0, Klantgegevens_A!H107)</f>
        <v>0</v>
      </c>
      <c r="H108">
        <f>IF(Klantgegevens_B!H107&lt;&gt;"", Klantgegevens_B!H107, Klantgegevens_A!I107)</f>
        <v>4</v>
      </c>
      <c r="I108" t="str">
        <f>IF(Klantgegevens_B!I107&lt;&gt;"", Klantgegevens_B!I107, SWITCH(Klantgegevens_A!J107, "Zelden", 1, "Af en toe", 4, "Regelmatig", 8, "Vaak", 12))</f>
        <v>Bancontact</v>
      </c>
      <c r="J108" t="str">
        <f>IF(Klantgegevens_B!J107&lt;&gt;"", Klantgegevens_B!J107, Klantgegevens_A!K107)</f>
        <v>nee</v>
      </c>
      <c r="K108">
        <f>IF(Klantgegevens_B!K107&lt;&gt;"", AVERAGE(--(Klantgegevens_B!K107="ja"), --(Klantgegevens_B!L107="ja"), --(Klantgegevens_B!M107="ja"), --(Klantgegevens_B!N107="ja"), --(Klantgegevens_B!O107="ja"))*10, Klantgegevens_A!L107)</f>
        <v>4</v>
      </c>
      <c r="L108" t="str">
        <f>IF(Klantgegevens_B!K107&lt;&gt;"", Klantgegevens_B!K107, IF(Klantgegevens_A!L107&gt;=7, "ja", "nee"))</f>
        <v>ja</v>
      </c>
      <c r="M108" t="str">
        <f>IF(Klantgegevens_B!L107&lt;&gt;"", Klantgegevens_B!L107, IF(Klantgegevens_A!L107&gt;=7, "ja", "nee"))</f>
        <v>nee</v>
      </c>
      <c r="N108" t="str">
        <f>IF(Klantgegevens_B!M107&lt;&gt;"", Klantgegevens_B!M107, IF(Klantgegevens_A!L107&gt;=7, "ja", "nee"))</f>
        <v>ja</v>
      </c>
      <c r="O108" t="str">
        <f>IF(Klantgegevens_B!N107&lt;&gt;"", Klantgegevens_B!N107, IF(Klantgegevens_A!L107&gt;=7, "ja", "nee"))</f>
        <v>nee</v>
      </c>
      <c r="P108" t="str">
        <f>IF(Klantgegevens_B!O107&lt;&gt;"", Klantgegevens_B!O107, IF(Klantgegevens_A!L107&gt;=7, "ja", "nee"))</f>
        <v>Geen dieet</v>
      </c>
      <c r="Q108" t="str">
        <f>IF(Klantgegevens_B!P107&lt;&gt;"", Klantgegevens_B!P107, Klantgegevens_A!M107)</f>
        <v>Vegetarisch</v>
      </c>
      <c r="R108" t="str">
        <f>IF(Klantgegevens_B!A107&lt;&gt;"", "B", "A")</f>
        <v>B</v>
      </c>
    </row>
    <row r="109" spans="1:18" x14ac:dyDescent="0.3">
      <c r="A109" t="str">
        <f>IF(Klantgegevens_B!A108&lt;&gt;"", Klantgegevens_B!A108, MID(Klantgegevens_A!A108, FIND(",", Klantgegevens_A!A108)+2, LEN(Klantgegevens_A!A108)))</f>
        <v>Andreas</v>
      </c>
      <c r="B109" t="str">
        <f>IF(Klantgegevens_B!B108&lt;&gt;"", Klantgegevens_B!B108, LEFT(Klantgegevens_A!A108, FIND(",", Klantgegevens_A!A108)-1))</f>
        <v>Meert</v>
      </c>
      <c r="C109" t="str">
        <f t="shared" ca="1" si="1"/>
        <v/>
      </c>
      <c r="D109" t="str">
        <f>IF(Klantgegevens_B!F108&lt;&gt;"", Klantgegevens_B!F108, Klantgegevens_A!D108 &amp; " " &amp; Klantgegevens_A!E108 &amp; ", " &amp; Klantgegevens_A!F108)</f>
        <v>Andreas</v>
      </c>
      <c r="E109">
        <f>IF(Klantgegevens_B!G108&lt;&gt;"", Klantgegevens_B!G108, TEXTJOIN(",", TRUE, REPT("Volwassene,", Klantgegevens_A!G108), REPT("Kind,", Klantgegevens_A!H108)))</f>
        <v>78</v>
      </c>
      <c r="F109">
        <f>IF(Klantgegevens_B!G108&lt;&gt;"", LEN(Klantgegevens_B!G108)-LEN(SUBSTITUTE(Klantgegevens_B!G108, ",", ""))+1, Klantgegevens_A!G108)</f>
        <v>1</v>
      </c>
      <c r="G109">
        <f>IF(Klantgegevens_B!G108&lt;&gt;"", 0, Klantgegevens_A!H108)</f>
        <v>0</v>
      </c>
      <c r="H109">
        <f>IF(Klantgegevens_B!H108&lt;&gt;"", Klantgegevens_B!H108, Klantgegevens_A!I108)</f>
        <v>17</v>
      </c>
      <c r="I109" t="str">
        <f>IF(Klantgegevens_B!I108&lt;&gt;"", Klantgegevens_B!I108, SWITCH(Klantgegevens_A!J108, "Zelden", 1, "Af en toe", 4, "Regelmatig", 8, "Vaak", 12))</f>
        <v>Payconiq</v>
      </c>
      <c r="J109" t="str">
        <f>IF(Klantgegevens_B!J108&lt;&gt;"", Klantgegevens_B!J108, Klantgegevens_A!K108)</f>
        <v>nee</v>
      </c>
      <c r="K109">
        <f>IF(Klantgegevens_B!K108&lt;&gt;"", AVERAGE(--(Klantgegevens_B!K108="ja"), --(Klantgegevens_B!L108="ja"), --(Klantgegevens_B!M108="ja"), --(Klantgegevens_B!N108="ja"), --(Klantgegevens_B!O108="ja"))*10, Klantgegevens_A!L108)</f>
        <v>4</v>
      </c>
      <c r="L109" t="str">
        <f>IF(Klantgegevens_B!K108&lt;&gt;"", Klantgegevens_B!K108, IF(Klantgegevens_A!L108&gt;=7, "ja", "nee"))</f>
        <v>ja</v>
      </c>
      <c r="M109" t="str">
        <f>IF(Klantgegevens_B!L108&lt;&gt;"", Klantgegevens_B!L108, IF(Klantgegevens_A!L108&gt;=7, "ja", "nee"))</f>
        <v>nee</v>
      </c>
      <c r="N109" t="str">
        <f>IF(Klantgegevens_B!M108&lt;&gt;"", Klantgegevens_B!M108, IF(Klantgegevens_A!L108&gt;=7, "ja", "nee"))</f>
        <v>ja</v>
      </c>
      <c r="O109" t="str">
        <f>IF(Klantgegevens_B!N108&lt;&gt;"", Klantgegevens_B!N108, IF(Klantgegevens_A!L108&gt;=7, "ja", "nee"))</f>
        <v>nee</v>
      </c>
      <c r="P109" t="str">
        <f>IF(Klantgegevens_B!O108&lt;&gt;"", Klantgegevens_B!O108, IF(Klantgegevens_A!L108&gt;=7, "ja", "nee"))</f>
        <v>Geen dieet</v>
      </c>
      <c r="Q109" t="str">
        <f>IF(Klantgegevens_B!P108&lt;&gt;"", Klantgegevens_B!P108, Klantgegevens_A!M108)</f>
        <v>Geen dieet</v>
      </c>
      <c r="R109" t="str">
        <f>IF(Klantgegevens_B!A108&lt;&gt;"", "B", "A")</f>
        <v>B</v>
      </c>
    </row>
    <row r="110" spans="1:18" x14ac:dyDescent="0.3">
      <c r="A110" t="str">
        <f>IF(Klantgegevens_B!A109&lt;&gt;"", Klantgegevens_B!A109, MID(Klantgegevens_A!A109, FIND(",", Klantgegevens_A!A109)+2, LEN(Klantgegevens_A!A109)))</f>
        <v>Bram</v>
      </c>
      <c r="B110" t="str">
        <f>IF(Klantgegevens_B!B109&lt;&gt;"", Klantgegevens_B!B109, LEFT(Klantgegevens_A!A109, FIND(",", Klantgegevens_A!A109)-1))</f>
        <v>Lambert</v>
      </c>
      <c r="C110" t="str">
        <f t="shared" ca="1" si="1"/>
        <v/>
      </c>
      <c r="D110" t="str">
        <f>IF(Klantgegevens_B!F109&lt;&gt;"", Klantgegevens_B!F109, Klantgegevens_A!D109 &amp; " " &amp; Klantgegevens_A!E109 &amp; ", " &amp; Klantgegevens_A!F109)</f>
        <v>Bram,Anna,Jennifer,Kathleen</v>
      </c>
      <c r="E110">
        <f>IF(Klantgegevens_B!G109&lt;&gt;"", Klantgegevens_B!G109, TEXTJOIN(",", TRUE, REPT("Volwassene,", Klantgegevens_A!G109), REPT("Kind,", Klantgegevens_A!H109)))</f>
        <v>84.86</v>
      </c>
      <c r="F110">
        <f>IF(Klantgegevens_B!G109&lt;&gt;"", LEN(Klantgegevens_B!G109)-LEN(SUBSTITUTE(Klantgegevens_B!G109, ",", ""))+1, Klantgegevens_A!G109)</f>
        <v>1</v>
      </c>
      <c r="G110">
        <f>IF(Klantgegevens_B!G109&lt;&gt;"", 0, Klantgegevens_A!H109)</f>
        <v>0</v>
      </c>
      <c r="H110">
        <f>IF(Klantgegevens_B!H109&lt;&gt;"", Klantgegevens_B!H109, Klantgegevens_A!I109)</f>
        <v>17</v>
      </c>
      <c r="I110" t="str">
        <f>IF(Klantgegevens_B!I109&lt;&gt;"", Klantgegevens_B!I109, SWITCH(Klantgegevens_A!J109, "Zelden", 1, "Af en toe", 4, "Regelmatig", 8, "Vaak", 12))</f>
        <v>Cash</v>
      </c>
      <c r="J110" t="str">
        <f>IF(Klantgegevens_B!J109&lt;&gt;"", Klantgegevens_B!J109, Klantgegevens_A!K109)</f>
        <v>ja</v>
      </c>
      <c r="K110">
        <f>IF(Klantgegevens_B!K109&lt;&gt;"", AVERAGE(--(Klantgegevens_B!K109="ja"), --(Klantgegevens_B!L109="ja"), --(Klantgegevens_B!M109="ja"), --(Klantgegevens_B!N109="ja"), --(Klantgegevens_B!O109="ja"))*10, Klantgegevens_A!L109)</f>
        <v>6</v>
      </c>
      <c r="L110" t="str">
        <f>IF(Klantgegevens_B!K109&lt;&gt;"", Klantgegevens_B!K109, IF(Klantgegevens_A!L109&gt;=7, "ja", "nee"))</f>
        <v>nee</v>
      </c>
      <c r="M110" t="str">
        <f>IF(Klantgegevens_B!L109&lt;&gt;"", Klantgegevens_B!L109, IF(Klantgegevens_A!L109&gt;=7, "ja", "nee"))</f>
        <v>ja</v>
      </c>
      <c r="N110" t="str">
        <f>IF(Klantgegevens_B!M109&lt;&gt;"", Klantgegevens_B!M109, IF(Klantgegevens_A!L109&gt;=7, "ja", "nee"))</f>
        <v>ja</v>
      </c>
      <c r="O110" t="str">
        <f>IF(Klantgegevens_B!N109&lt;&gt;"", Klantgegevens_B!N109, IF(Klantgegevens_A!L109&gt;=7, "ja", "nee"))</f>
        <v>ja</v>
      </c>
      <c r="P110" t="str">
        <f>IF(Klantgegevens_B!O109&lt;&gt;"", Klantgegevens_B!O109, IF(Klantgegevens_A!L109&gt;=7, "ja", "nee"))</f>
        <v>Geen dieet</v>
      </c>
      <c r="Q110" t="str">
        <f>IF(Klantgegevens_B!P109&lt;&gt;"", Klantgegevens_B!P109, Klantgegevens_A!M109)</f>
        <v>Geen dieet</v>
      </c>
      <c r="R110" t="str">
        <f>IF(Klantgegevens_B!A109&lt;&gt;"", "B", "A")</f>
        <v>B</v>
      </c>
    </row>
    <row r="111" spans="1:18" x14ac:dyDescent="0.3">
      <c r="A111" t="str">
        <f>IF(Klantgegevens_B!A110&lt;&gt;"", Klantgegevens_B!A110, MID(Klantgegevens_A!A110, FIND(",", Klantgegevens_A!A110)+2, LEN(Klantgegevens_A!A110)))</f>
        <v>Safae</v>
      </c>
      <c r="B111" t="str">
        <f>IF(Klantgegevens_B!B110&lt;&gt;"", Klantgegevens_B!B110, LEFT(Klantgegevens_A!A110, FIND(",", Klantgegevens_A!A110)-1))</f>
        <v>Van looy</v>
      </c>
      <c r="C111" t="str">
        <f t="shared" ca="1" si="1"/>
        <v/>
      </c>
      <c r="D111" t="str">
        <f>IF(Klantgegevens_B!F110&lt;&gt;"", Klantgegevens_B!F110, Klantgegevens_A!D110 &amp; " " &amp; Klantgegevens_A!E110 &amp; ", " &amp; Klantgegevens_A!F110)</f>
        <v>Safae,Sonja,Franck,Josiane,Tom,Susana,Vedat</v>
      </c>
      <c r="E111">
        <f>IF(Klantgegevens_B!G110&lt;&gt;"", Klantgegevens_B!G110, TEXTJOIN(",", TRUE, REPT("Volwassene,", Klantgegevens_A!G110), REPT("Kind,", Klantgegevens_A!H110)))</f>
        <v>185.26</v>
      </c>
      <c r="F111">
        <f>IF(Klantgegevens_B!G110&lt;&gt;"", LEN(Klantgegevens_B!G110)-LEN(SUBSTITUTE(Klantgegevens_B!G110, ",", ""))+1, Klantgegevens_A!G110)</f>
        <v>1</v>
      </c>
      <c r="G111">
        <f>IF(Klantgegevens_B!G110&lt;&gt;"", 0, Klantgegevens_A!H110)</f>
        <v>0</v>
      </c>
      <c r="H111">
        <f>IF(Klantgegevens_B!H110&lt;&gt;"", Klantgegevens_B!H110, Klantgegevens_A!I110)</f>
        <v>13</v>
      </c>
      <c r="I111" t="str">
        <f>IF(Klantgegevens_B!I110&lt;&gt;"", Klantgegevens_B!I110, SWITCH(Klantgegevens_A!J110, "Zelden", 1, "Af en toe", 4, "Regelmatig", 8, "Vaak", 12))</f>
        <v>Cash</v>
      </c>
      <c r="J111" t="str">
        <f>IF(Klantgegevens_B!J110&lt;&gt;"", Klantgegevens_B!J110, Klantgegevens_A!K110)</f>
        <v>ja</v>
      </c>
      <c r="K111">
        <f>IF(Klantgegevens_B!K110&lt;&gt;"", AVERAGE(--(Klantgegevens_B!K110="ja"), --(Klantgegevens_B!L110="ja"), --(Klantgegevens_B!M110="ja"), --(Klantgegevens_B!N110="ja"), --(Klantgegevens_B!O110="ja"))*10, Klantgegevens_A!L110)</f>
        <v>8</v>
      </c>
      <c r="L111" t="str">
        <f>IF(Klantgegevens_B!K110&lt;&gt;"", Klantgegevens_B!K110, IF(Klantgegevens_A!L110&gt;=7, "ja", "nee"))</f>
        <v>ja</v>
      </c>
      <c r="M111" t="str">
        <f>IF(Klantgegevens_B!L110&lt;&gt;"", Klantgegevens_B!L110, IF(Klantgegevens_A!L110&gt;=7, "ja", "nee"))</f>
        <v>ja</v>
      </c>
      <c r="N111" t="str">
        <f>IF(Klantgegevens_B!M110&lt;&gt;"", Klantgegevens_B!M110, IF(Klantgegevens_A!L110&gt;=7, "ja", "nee"))</f>
        <v>ja</v>
      </c>
      <c r="O111" t="str">
        <f>IF(Klantgegevens_B!N110&lt;&gt;"", Klantgegevens_B!N110, IF(Klantgegevens_A!L110&gt;=7, "ja", "nee"))</f>
        <v>ja</v>
      </c>
      <c r="P111" t="str">
        <f>IF(Klantgegevens_B!O110&lt;&gt;"", Klantgegevens_B!O110, IF(Klantgegevens_A!L110&gt;=7, "ja", "nee"))</f>
        <v>Vegetarisch</v>
      </c>
      <c r="Q111" t="str">
        <f>IF(Klantgegevens_B!P110&lt;&gt;"", Klantgegevens_B!P110, Klantgegevens_A!M110)</f>
        <v>Vegetarisch</v>
      </c>
      <c r="R111" t="str">
        <f>IF(Klantgegevens_B!A110&lt;&gt;"", "B", "A")</f>
        <v>B</v>
      </c>
    </row>
    <row r="112" spans="1:18" x14ac:dyDescent="0.3">
      <c r="A112" t="str">
        <f>IF(Klantgegevens_B!A111&lt;&gt;"", Klantgegevens_B!A111, MID(Klantgegevens_A!A111, FIND(",", Klantgegevens_A!A111)+2, LEN(Klantgegevens_A!A111)))</f>
        <v>Victor</v>
      </c>
      <c r="B112" t="str">
        <f>IF(Klantgegevens_B!B111&lt;&gt;"", Klantgegevens_B!B111, LEFT(Klantgegevens_A!A111, FIND(",", Klantgegevens_A!A111)-1))</f>
        <v>Vandenbroucke</v>
      </c>
      <c r="C112" t="str">
        <f t="shared" ca="1" si="1"/>
        <v/>
      </c>
      <c r="D112" t="str">
        <f>IF(Klantgegevens_B!F111&lt;&gt;"", Klantgegevens_B!F111, Klantgegevens_A!D111 &amp; " " &amp; Klantgegevens_A!E111 &amp; ", " &amp; Klantgegevens_A!F111)</f>
        <v>Victor,Gust,Christine,Caroline</v>
      </c>
      <c r="E112">
        <f>IF(Klantgegevens_B!G111&lt;&gt;"", Klantgegevens_B!G111, TEXTJOIN(",", TRUE, REPT("Volwassene,", Klantgegevens_A!G111), REPT("Kind,", Klantgegevens_A!H111)))</f>
        <v>186.37</v>
      </c>
      <c r="F112">
        <f>IF(Klantgegevens_B!G111&lt;&gt;"", LEN(Klantgegevens_B!G111)-LEN(SUBSTITUTE(Klantgegevens_B!G111, ",", ""))+1, Klantgegevens_A!G111)</f>
        <v>1</v>
      </c>
      <c r="G112">
        <f>IF(Klantgegevens_B!G111&lt;&gt;"", 0, Klantgegevens_A!H111)</f>
        <v>0</v>
      </c>
      <c r="H112">
        <f>IF(Klantgegevens_B!H111&lt;&gt;"", Klantgegevens_B!H111, Klantgegevens_A!I111)</f>
        <v>7</v>
      </c>
      <c r="I112" t="str">
        <f>IF(Klantgegevens_B!I111&lt;&gt;"", Klantgegevens_B!I111, SWITCH(Klantgegevens_A!J111, "Zelden", 1, "Af en toe", 4, "Regelmatig", 8, "Vaak", 12))</f>
        <v>Bancontact</v>
      </c>
      <c r="J112" t="str">
        <f>IF(Klantgegevens_B!J111&lt;&gt;"", Klantgegevens_B!J111, Klantgegevens_A!K111)</f>
        <v>ja</v>
      </c>
      <c r="K112">
        <f>IF(Klantgegevens_B!K111&lt;&gt;"", AVERAGE(--(Klantgegevens_B!K111="ja"), --(Klantgegevens_B!L111="ja"), --(Klantgegevens_B!M111="ja"), --(Klantgegevens_B!N111="ja"), --(Klantgegevens_B!O111="ja"))*10, Klantgegevens_A!L111)</f>
        <v>4</v>
      </c>
      <c r="L112" t="str">
        <f>IF(Klantgegevens_B!K111&lt;&gt;"", Klantgegevens_B!K111, IF(Klantgegevens_A!L111&gt;=7, "ja", "nee"))</f>
        <v>nee</v>
      </c>
      <c r="M112" t="str">
        <f>IF(Klantgegevens_B!L111&lt;&gt;"", Klantgegevens_B!L111, IF(Klantgegevens_A!L111&gt;=7, "ja", "nee"))</f>
        <v>nee</v>
      </c>
      <c r="N112" t="str">
        <f>IF(Klantgegevens_B!M111&lt;&gt;"", Klantgegevens_B!M111, IF(Klantgegevens_A!L111&gt;=7, "ja", "nee"))</f>
        <v>ja</v>
      </c>
      <c r="O112" t="str">
        <f>IF(Klantgegevens_B!N111&lt;&gt;"", Klantgegevens_B!N111, IF(Klantgegevens_A!L111&gt;=7, "ja", "nee"))</f>
        <v>ja</v>
      </c>
      <c r="P112" t="str">
        <f>IF(Klantgegevens_B!O111&lt;&gt;"", Klantgegevens_B!O111, IF(Klantgegevens_A!L111&gt;=7, "ja", "nee"))</f>
        <v>Veganistisch</v>
      </c>
      <c r="Q112" t="str">
        <f>IF(Klantgegevens_B!P111&lt;&gt;"", Klantgegevens_B!P111, Klantgegevens_A!M111)</f>
        <v>Geen dieet</v>
      </c>
      <c r="R112" t="str">
        <f>IF(Klantgegevens_B!A111&lt;&gt;"", "B", "A")</f>
        <v>B</v>
      </c>
    </row>
    <row r="113" spans="1:18" x14ac:dyDescent="0.3">
      <c r="A113" t="str">
        <f>IF(Klantgegevens_B!A112&lt;&gt;"", Klantgegevens_B!A112, MID(Klantgegevens_A!A112, FIND(",", Klantgegevens_A!A112)+2, LEN(Klantgegevens_A!A112)))</f>
        <v>Godelieve</v>
      </c>
      <c r="B113" t="str">
        <f>IF(Klantgegevens_B!B112&lt;&gt;"", Klantgegevens_B!B112, LEFT(Klantgegevens_A!A112, FIND(",", Klantgegevens_A!A112)-1))</f>
        <v>Goossens</v>
      </c>
      <c r="C113" t="str">
        <f t="shared" ca="1" si="1"/>
        <v/>
      </c>
      <c r="D113" t="str">
        <f>IF(Klantgegevens_B!F112&lt;&gt;"", Klantgegevens_B!F112, Klantgegevens_A!D112 &amp; " " &amp; Klantgegevens_A!E112 &amp; ", " &amp; Klantgegevens_A!F112)</f>
        <v>Godelieve,Lauren,Patrick,Robin,Gabriele</v>
      </c>
      <c r="E113">
        <f>IF(Klantgegevens_B!G112&lt;&gt;"", Klantgegevens_B!G112, TEXTJOIN(",", TRUE, REPT("Volwassene,", Klantgegevens_A!G112), REPT("Kind,", Klantgegevens_A!H112)))</f>
        <v>150.19999999999999</v>
      </c>
      <c r="F113">
        <f>IF(Klantgegevens_B!G112&lt;&gt;"", LEN(Klantgegevens_B!G112)-LEN(SUBSTITUTE(Klantgegevens_B!G112, ",", ""))+1, Klantgegevens_A!G112)</f>
        <v>1</v>
      </c>
      <c r="G113">
        <f>IF(Klantgegevens_B!G112&lt;&gt;"", 0, Klantgegevens_A!H112)</f>
        <v>0</v>
      </c>
      <c r="H113">
        <f>IF(Klantgegevens_B!H112&lt;&gt;"", Klantgegevens_B!H112, Klantgegevens_A!I112)</f>
        <v>13</v>
      </c>
      <c r="I113" t="str">
        <f>IF(Klantgegevens_B!I112&lt;&gt;"", Klantgegevens_B!I112, SWITCH(Klantgegevens_A!J112, "Zelden", 1, "Af en toe", 4, "Regelmatig", 8, "Vaak", 12))</f>
        <v>Bancontact</v>
      </c>
      <c r="J113" t="str">
        <f>IF(Klantgegevens_B!J112&lt;&gt;"", Klantgegevens_B!J112, Klantgegevens_A!K112)</f>
        <v>nee</v>
      </c>
      <c r="K113">
        <f>IF(Klantgegevens_B!K112&lt;&gt;"", AVERAGE(--(Klantgegevens_B!K112="ja"), --(Klantgegevens_B!L112="ja"), --(Klantgegevens_B!M112="ja"), --(Klantgegevens_B!N112="ja"), --(Klantgegevens_B!O112="ja"))*10, Klantgegevens_A!L112)</f>
        <v>6</v>
      </c>
      <c r="L113" t="str">
        <f>IF(Klantgegevens_B!K112&lt;&gt;"", Klantgegevens_B!K112, IF(Klantgegevens_A!L112&gt;=7, "ja", "nee"))</f>
        <v>ja</v>
      </c>
      <c r="M113" t="str">
        <f>IF(Klantgegevens_B!L112&lt;&gt;"", Klantgegevens_B!L112, IF(Klantgegevens_A!L112&gt;=7, "ja", "nee"))</f>
        <v>ja</v>
      </c>
      <c r="N113" t="str">
        <f>IF(Klantgegevens_B!M112&lt;&gt;"", Klantgegevens_B!M112, IF(Klantgegevens_A!L112&gt;=7, "ja", "nee"))</f>
        <v>ja</v>
      </c>
      <c r="O113" t="str">
        <f>IF(Klantgegevens_B!N112&lt;&gt;"", Klantgegevens_B!N112, IF(Klantgegevens_A!L112&gt;=7, "ja", "nee"))</f>
        <v>nee</v>
      </c>
      <c r="P113" t="str">
        <f>IF(Klantgegevens_B!O112&lt;&gt;"", Klantgegevens_B!O112, IF(Klantgegevens_A!L112&gt;=7, "ja", "nee"))</f>
        <v>Veganistisch</v>
      </c>
      <c r="Q113" t="str">
        <f>IF(Klantgegevens_B!P112&lt;&gt;"", Klantgegevens_B!P112, Klantgegevens_A!M112)</f>
        <v>Geen dieet</v>
      </c>
      <c r="R113" t="str">
        <f>IF(Klantgegevens_B!A112&lt;&gt;"", "B", "A")</f>
        <v>B</v>
      </c>
    </row>
    <row r="114" spans="1:18" x14ac:dyDescent="0.3">
      <c r="A114" t="str">
        <f>IF(Klantgegevens_B!A113&lt;&gt;"", Klantgegevens_B!A113, MID(Klantgegevens_A!A113, FIND(",", Klantgegevens_A!A113)+2, LEN(Klantgegevens_A!A113)))</f>
        <v>Guy</v>
      </c>
      <c r="B114" t="str">
        <f>IF(Klantgegevens_B!B113&lt;&gt;"", Klantgegevens_B!B113, LEFT(Klantgegevens_A!A113, FIND(",", Klantgegevens_A!A113)-1))</f>
        <v>Driesen</v>
      </c>
      <c r="C114" t="str">
        <f t="shared" ca="1" si="1"/>
        <v/>
      </c>
      <c r="D114" t="str">
        <f>IF(Klantgegevens_B!F113&lt;&gt;"", Klantgegevens_B!F113, Klantgegevens_A!D113 &amp; " " &amp; Klantgegevens_A!E113 &amp; ", " &amp; Klantgegevens_A!F113)</f>
        <v>Guy,Anaïs,Suzanne</v>
      </c>
      <c r="E114">
        <f>IF(Klantgegevens_B!G113&lt;&gt;"", Klantgegevens_B!G113, TEXTJOIN(",", TRUE, REPT("Volwassene,", Klantgegevens_A!G113), REPT("Kind,", Klantgegevens_A!H113)))</f>
        <v>96.06</v>
      </c>
      <c r="F114">
        <f>IF(Klantgegevens_B!G113&lt;&gt;"", LEN(Klantgegevens_B!G113)-LEN(SUBSTITUTE(Klantgegevens_B!G113, ",", ""))+1, Klantgegevens_A!G113)</f>
        <v>1</v>
      </c>
      <c r="G114">
        <f>IF(Klantgegevens_B!G113&lt;&gt;"", 0, Klantgegevens_A!H113)</f>
        <v>0</v>
      </c>
      <c r="H114">
        <f>IF(Klantgegevens_B!H113&lt;&gt;"", Klantgegevens_B!H113, Klantgegevens_A!I113)</f>
        <v>1</v>
      </c>
      <c r="I114" t="str">
        <f>IF(Klantgegevens_B!I113&lt;&gt;"", Klantgegevens_B!I113, SWITCH(Klantgegevens_A!J113, "Zelden", 1, "Af en toe", 4, "Regelmatig", 8, "Vaak", 12))</f>
        <v>Payconiq</v>
      </c>
      <c r="J114" t="str">
        <f>IF(Klantgegevens_B!J113&lt;&gt;"", Klantgegevens_B!J113, Klantgegevens_A!K113)</f>
        <v>nee</v>
      </c>
      <c r="K114">
        <f>IF(Klantgegevens_B!K113&lt;&gt;"", AVERAGE(--(Klantgegevens_B!K113="ja"), --(Klantgegevens_B!L113="ja"), --(Klantgegevens_B!M113="ja"), --(Klantgegevens_B!N113="ja"), --(Klantgegevens_B!O113="ja"))*10, Klantgegevens_A!L113)</f>
        <v>2</v>
      </c>
      <c r="L114" t="str">
        <f>IF(Klantgegevens_B!K113&lt;&gt;"", Klantgegevens_B!K113, IF(Klantgegevens_A!L113&gt;=7, "ja", "nee"))</f>
        <v>nee</v>
      </c>
      <c r="M114" t="str">
        <f>IF(Klantgegevens_B!L113&lt;&gt;"", Klantgegevens_B!L113, IF(Klantgegevens_A!L113&gt;=7, "ja", "nee"))</f>
        <v>nee</v>
      </c>
      <c r="N114" t="str">
        <f>IF(Klantgegevens_B!M113&lt;&gt;"", Klantgegevens_B!M113, IF(Klantgegevens_A!L113&gt;=7, "ja", "nee"))</f>
        <v>ja</v>
      </c>
      <c r="O114" t="str">
        <f>IF(Klantgegevens_B!N113&lt;&gt;"", Klantgegevens_B!N113, IF(Klantgegevens_A!L113&gt;=7, "ja", "nee"))</f>
        <v>nee</v>
      </c>
      <c r="P114" t="str">
        <f>IF(Klantgegevens_B!O113&lt;&gt;"", Klantgegevens_B!O113, IF(Klantgegevens_A!L113&gt;=7, "ja", "nee"))</f>
        <v>Geen dieet</v>
      </c>
      <c r="Q114" t="str">
        <f>IF(Klantgegevens_B!P113&lt;&gt;"", Klantgegevens_B!P113, Klantgegevens_A!M113)</f>
        <v>Geen dieet</v>
      </c>
      <c r="R114" t="str">
        <f>IF(Klantgegevens_B!A113&lt;&gt;"", "B", "A")</f>
        <v>B</v>
      </c>
    </row>
    <row r="115" spans="1:18" x14ac:dyDescent="0.3">
      <c r="A115" t="str">
        <f>IF(Klantgegevens_B!A114&lt;&gt;"", Klantgegevens_B!A114, MID(Klantgegevens_A!A114, FIND(",", Klantgegevens_A!A114)+2, LEN(Klantgegevens_A!A114)))</f>
        <v>Ciel</v>
      </c>
      <c r="B115" t="str">
        <f>IF(Klantgegevens_B!B114&lt;&gt;"", Klantgegevens_B!B114, LEFT(Klantgegevens_A!A114, FIND(",", Klantgegevens_A!A114)-1))</f>
        <v>Dubois</v>
      </c>
      <c r="C115" t="str">
        <f t="shared" ca="1" si="1"/>
        <v/>
      </c>
      <c r="D115" t="str">
        <f>IF(Klantgegevens_B!F114&lt;&gt;"", Klantgegevens_B!F114, Klantgegevens_A!D114 &amp; " " &amp; Klantgegevens_A!E114 &amp; ", " &amp; Klantgegevens_A!F114)</f>
        <v>Ciel,Juliette,Daniel,Caroline</v>
      </c>
      <c r="E115">
        <f>IF(Klantgegevens_B!G114&lt;&gt;"", Klantgegevens_B!G114, TEXTJOIN(",", TRUE, REPT("Volwassene,", Klantgegevens_A!G114), REPT("Kind,", Klantgegevens_A!H114)))</f>
        <v>181.45</v>
      </c>
      <c r="F115">
        <f>IF(Klantgegevens_B!G114&lt;&gt;"", LEN(Klantgegevens_B!G114)-LEN(SUBSTITUTE(Klantgegevens_B!G114, ",", ""))+1, Klantgegevens_A!G114)</f>
        <v>1</v>
      </c>
      <c r="G115">
        <f>IF(Klantgegevens_B!G114&lt;&gt;"", 0, Klantgegevens_A!H114)</f>
        <v>0</v>
      </c>
      <c r="H115">
        <f>IF(Klantgegevens_B!H114&lt;&gt;"", Klantgegevens_B!H114, Klantgegevens_A!I114)</f>
        <v>2</v>
      </c>
      <c r="I115" t="str">
        <f>IF(Klantgegevens_B!I114&lt;&gt;"", Klantgegevens_B!I114, SWITCH(Klantgegevens_A!J114, "Zelden", 1, "Af en toe", 4, "Regelmatig", 8, "Vaak", 12))</f>
        <v>Cash</v>
      </c>
      <c r="J115" t="str">
        <f>IF(Klantgegevens_B!J114&lt;&gt;"", Klantgegevens_B!J114, Klantgegevens_A!K114)</f>
        <v>nee</v>
      </c>
      <c r="K115">
        <f>IF(Klantgegevens_B!K114&lt;&gt;"", AVERAGE(--(Klantgegevens_B!K114="ja"), --(Klantgegevens_B!L114="ja"), --(Klantgegevens_B!M114="ja"), --(Klantgegevens_B!N114="ja"), --(Klantgegevens_B!O114="ja"))*10, Klantgegevens_A!L114)</f>
        <v>6</v>
      </c>
      <c r="L115" t="str">
        <f>IF(Klantgegevens_B!K114&lt;&gt;"", Klantgegevens_B!K114, IF(Klantgegevens_A!L114&gt;=7, "ja", "nee"))</f>
        <v>nee</v>
      </c>
      <c r="M115" t="str">
        <f>IF(Klantgegevens_B!L114&lt;&gt;"", Klantgegevens_B!L114, IF(Klantgegevens_A!L114&gt;=7, "ja", "nee"))</f>
        <v>ja</v>
      </c>
      <c r="N115" t="str">
        <f>IF(Klantgegevens_B!M114&lt;&gt;"", Klantgegevens_B!M114, IF(Klantgegevens_A!L114&gt;=7, "ja", "nee"))</f>
        <v>ja</v>
      </c>
      <c r="O115" t="str">
        <f>IF(Klantgegevens_B!N114&lt;&gt;"", Klantgegevens_B!N114, IF(Klantgegevens_A!L114&gt;=7, "ja", "nee"))</f>
        <v>ja</v>
      </c>
      <c r="P115" t="str">
        <f>IF(Klantgegevens_B!O114&lt;&gt;"", Klantgegevens_B!O114, IF(Klantgegevens_A!L114&gt;=7, "ja", "nee"))</f>
        <v>Geen dieet</v>
      </c>
      <c r="Q115" t="str">
        <f>IF(Klantgegevens_B!P114&lt;&gt;"", Klantgegevens_B!P114, Klantgegevens_A!M114)</f>
        <v>Geen dieet</v>
      </c>
      <c r="R115" t="str">
        <f>IF(Klantgegevens_B!A114&lt;&gt;"", "B", "A")</f>
        <v>B</v>
      </c>
    </row>
    <row r="116" spans="1:18" x14ac:dyDescent="0.3">
      <c r="A116" t="str">
        <f>IF(Klantgegevens_B!A115&lt;&gt;"", Klantgegevens_B!A115, MID(Klantgegevens_A!A115, FIND(",", Klantgegevens_A!A115)+2, LEN(Klantgegevens_A!A115)))</f>
        <v>Christelle</v>
      </c>
      <c r="B116" t="str">
        <f>IF(Klantgegevens_B!B115&lt;&gt;"", Klantgegevens_B!B115, LEFT(Klantgegevens_A!A115, FIND(",", Klantgegevens_A!A115)-1))</f>
        <v>Vandenbussche</v>
      </c>
      <c r="C116" t="str">
        <f t="shared" ca="1" si="1"/>
        <v/>
      </c>
      <c r="D116" t="str">
        <f>IF(Klantgegevens_B!F115&lt;&gt;"", Klantgegevens_B!F115, Klantgegevens_A!D115 &amp; " " &amp; Klantgegevens_A!E115 &amp; ", " &amp; Klantgegevens_A!F115)</f>
        <v>Christelle,Davy,Lutgarde</v>
      </c>
      <c r="E116">
        <f>IF(Klantgegevens_B!G115&lt;&gt;"", Klantgegevens_B!G115, TEXTJOIN(",", TRUE, REPT("Volwassene,", Klantgegevens_A!G115), REPT("Kind,", Klantgegevens_A!H115)))</f>
        <v>207.07</v>
      </c>
      <c r="F116">
        <f>IF(Klantgegevens_B!G115&lt;&gt;"", LEN(Klantgegevens_B!G115)-LEN(SUBSTITUTE(Klantgegevens_B!G115, ",", ""))+1, Klantgegevens_A!G115)</f>
        <v>1</v>
      </c>
      <c r="G116">
        <f>IF(Klantgegevens_B!G115&lt;&gt;"", 0, Klantgegevens_A!H115)</f>
        <v>0</v>
      </c>
      <c r="H116">
        <f>IF(Klantgegevens_B!H115&lt;&gt;"", Klantgegevens_B!H115, Klantgegevens_A!I115)</f>
        <v>3</v>
      </c>
      <c r="I116" t="str">
        <f>IF(Klantgegevens_B!I115&lt;&gt;"", Klantgegevens_B!I115, SWITCH(Klantgegevens_A!J115, "Zelden", 1, "Af en toe", 4, "Regelmatig", 8, "Vaak", 12))</f>
        <v>Bancontact</v>
      </c>
      <c r="J116" t="str">
        <f>IF(Klantgegevens_B!J115&lt;&gt;"", Klantgegevens_B!J115, Klantgegevens_A!K115)</f>
        <v>nee</v>
      </c>
      <c r="K116">
        <f>IF(Klantgegevens_B!K115&lt;&gt;"", AVERAGE(--(Klantgegevens_B!K115="ja"), --(Klantgegevens_B!L115="ja"), --(Klantgegevens_B!M115="ja"), --(Klantgegevens_B!N115="ja"), --(Klantgegevens_B!O115="ja"))*10, Klantgegevens_A!L115)</f>
        <v>6</v>
      </c>
      <c r="L116" t="str">
        <f>IF(Klantgegevens_B!K115&lt;&gt;"", Klantgegevens_B!K115, IF(Klantgegevens_A!L115&gt;=7, "ja", "nee"))</f>
        <v>ja</v>
      </c>
      <c r="M116" t="str">
        <f>IF(Klantgegevens_B!L115&lt;&gt;"", Klantgegevens_B!L115, IF(Klantgegevens_A!L115&gt;=7, "ja", "nee"))</f>
        <v>ja</v>
      </c>
      <c r="N116" t="str">
        <f>IF(Klantgegevens_B!M115&lt;&gt;"", Klantgegevens_B!M115, IF(Klantgegevens_A!L115&gt;=7, "ja", "nee"))</f>
        <v>nee</v>
      </c>
      <c r="O116" t="str">
        <f>IF(Klantgegevens_B!N115&lt;&gt;"", Klantgegevens_B!N115, IF(Klantgegevens_A!L115&gt;=7, "ja", "nee"))</f>
        <v>ja</v>
      </c>
      <c r="P116" t="str">
        <f>IF(Klantgegevens_B!O115&lt;&gt;"", Klantgegevens_B!O115, IF(Klantgegevens_A!L115&gt;=7, "ja", "nee"))</f>
        <v>Geen dieet</v>
      </c>
      <c r="Q116" t="str">
        <f>IF(Klantgegevens_B!P115&lt;&gt;"", Klantgegevens_B!P115, Klantgegevens_A!M115)</f>
        <v>Geen dieet</v>
      </c>
      <c r="R116" t="str">
        <f>IF(Klantgegevens_B!A115&lt;&gt;"", "B", "A")</f>
        <v>B</v>
      </c>
    </row>
    <row r="117" spans="1:18" x14ac:dyDescent="0.3">
      <c r="A117" t="str">
        <f>IF(Klantgegevens_B!A116&lt;&gt;"", Klantgegevens_B!A116, MID(Klantgegevens_A!A116, FIND(",", Klantgegevens_A!A116)+2, LEN(Klantgegevens_A!A116)))</f>
        <v>Kurt</v>
      </c>
      <c r="B117" t="str">
        <f>IF(Klantgegevens_B!B116&lt;&gt;"", Klantgegevens_B!B116, LEFT(Klantgegevens_A!A116, FIND(",", Klantgegevens_A!A116)-1))</f>
        <v>Vrancken</v>
      </c>
      <c r="C117" t="str">
        <f t="shared" ca="1" si="1"/>
        <v/>
      </c>
      <c r="D117" t="str">
        <f>IF(Klantgegevens_B!F116&lt;&gt;"", Klantgegevens_B!F116, Klantgegevens_A!D116 &amp; " " &amp; Klantgegevens_A!E116 &amp; ", " &amp; Klantgegevens_A!F116)</f>
        <v>Kurt,Bertrand</v>
      </c>
      <c r="E117">
        <f>IF(Klantgegevens_B!G116&lt;&gt;"", Klantgegevens_B!G116, TEXTJOIN(",", TRUE, REPT("Volwassene,", Klantgegevens_A!G116), REPT("Kind,", Klantgegevens_A!H116)))</f>
        <v>159.5</v>
      </c>
      <c r="F117">
        <f>IF(Klantgegevens_B!G116&lt;&gt;"", LEN(Klantgegevens_B!G116)-LEN(SUBSTITUTE(Klantgegevens_B!G116, ",", ""))+1, Klantgegevens_A!G116)</f>
        <v>1</v>
      </c>
      <c r="G117">
        <f>IF(Klantgegevens_B!G116&lt;&gt;"", 0, Klantgegevens_A!H116)</f>
        <v>0</v>
      </c>
      <c r="H117">
        <f>IF(Klantgegevens_B!H116&lt;&gt;"", Klantgegevens_B!H116, Klantgegevens_A!I116)</f>
        <v>6</v>
      </c>
      <c r="I117" t="str">
        <f>IF(Klantgegevens_B!I116&lt;&gt;"", Klantgegevens_B!I116, SWITCH(Klantgegevens_A!J116, "Zelden", 1, "Af en toe", 4, "Regelmatig", 8, "Vaak", 12))</f>
        <v>Bancontact</v>
      </c>
      <c r="J117" t="str">
        <f>IF(Klantgegevens_B!J116&lt;&gt;"", Klantgegevens_B!J116, Klantgegevens_A!K116)</f>
        <v>ja</v>
      </c>
      <c r="K117">
        <f>IF(Klantgegevens_B!K116&lt;&gt;"", AVERAGE(--(Klantgegevens_B!K116="ja"), --(Klantgegevens_B!L116="ja"), --(Klantgegevens_B!M116="ja"), --(Klantgegevens_B!N116="ja"), --(Klantgegevens_B!O116="ja"))*10, Klantgegevens_A!L116)</f>
        <v>6</v>
      </c>
      <c r="L117" t="str">
        <f>IF(Klantgegevens_B!K116&lt;&gt;"", Klantgegevens_B!K116, IF(Klantgegevens_A!L116&gt;=7, "ja", "nee"))</f>
        <v>nee</v>
      </c>
      <c r="M117" t="str">
        <f>IF(Klantgegevens_B!L116&lt;&gt;"", Klantgegevens_B!L116, IF(Klantgegevens_A!L116&gt;=7, "ja", "nee"))</f>
        <v>ja</v>
      </c>
      <c r="N117" t="str">
        <f>IF(Klantgegevens_B!M116&lt;&gt;"", Klantgegevens_B!M116, IF(Klantgegevens_A!L116&gt;=7, "ja", "nee"))</f>
        <v>ja</v>
      </c>
      <c r="O117" t="str">
        <f>IF(Klantgegevens_B!N116&lt;&gt;"", Klantgegevens_B!N116, IF(Klantgegevens_A!L116&gt;=7, "ja", "nee"))</f>
        <v>ja</v>
      </c>
      <c r="P117" t="str">
        <f>IF(Klantgegevens_B!O116&lt;&gt;"", Klantgegevens_B!O116, IF(Klantgegevens_A!L116&gt;=7, "ja", "nee"))</f>
        <v>Vegetarisch</v>
      </c>
      <c r="Q117" t="str">
        <f>IF(Klantgegevens_B!P116&lt;&gt;"", Klantgegevens_B!P116, Klantgegevens_A!M116)</f>
        <v>Geen dieet</v>
      </c>
      <c r="R117" t="str">
        <f>IF(Klantgegevens_B!A116&lt;&gt;"", "B", "A")</f>
        <v>B</v>
      </c>
    </row>
    <row r="118" spans="1:18" x14ac:dyDescent="0.3">
      <c r="A118" t="str">
        <f>IF(Klantgegevens_B!A117&lt;&gt;"", Klantgegevens_B!A117, MID(Klantgegevens_A!A117, FIND(",", Klantgegevens_A!A117)+2, LEN(Klantgegevens_A!A117)))</f>
        <v>Alison</v>
      </c>
      <c r="B118" t="str">
        <f>IF(Klantgegevens_B!B117&lt;&gt;"", Klantgegevens_B!B117, LEFT(Klantgegevens_A!A117, FIND(",", Klantgegevens_A!A117)-1))</f>
        <v>Verhaeghe</v>
      </c>
      <c r="C118" t="str">
        <f t="shared" ca="1" si="1"/>
        <v/>
      </c>
      <c r="D118" t="str">
        <f>IF(Klantgegevens_B!F117&lt;&gt;"", Klantgegevens_B!F117, Klantgegevens_A!D117 &amp; " " &amp; Klantgegevens_A!E117 &amp; ", " &amp; Klantgegevens_A!F117)</f>
        <v>Alison,Laura</v>
      </c>
      <c r="E118">
        <f>IF(Klantgegevens_B!G117&lt;&gt;"", Klantgegevens_B!G117, TEXTJOIN(",", TRUE, REPT("Volwassene,", Klantgegevens_A!G117), REPT("Kind,", Klantgegevens_A!H117)))</f>
        <v>68.33</v>
      </c>
      <c r="F118">
        <f>IF(Klantgegevens_B!G117&lt;&gt;"", LEN(Klantgegevens_B!G117)-LEN(SUBSTITUTE(Klantgegevens_B!G117, ",", ""))+1, Klantgegevens_A!G117)</f>
        <v>1</v>
      </c>
      <c r="G118">
        <f>IF(Klantgegevens_B!G117&lt;&gt;"", 0, Klantgegevens_A!H117)</f>
        <v>0</v>
      </c>
      <c r="H118">
        <f>IF(Klantgegevens_B!H117&lt;&gt;"", Klantgegevens_B!H117, Klantgegevens_A!I117)</f>
        <v>4</v>
      </c>
      <c r="I118" t="str">
        <f>IF(Klantgegevens_B!I117&lt;&gt;"", Klantgegevens_B!I117, SWITCH(Klantgegevens_A!J117, "Zelden", 1, "Af en toe", 4, "Regelmatig", 8, "Vaak", 12))</f>
        <v>Payconiq</v>
      </c>
      <c r="J118" t="str">
        <f>IF(Klantgegevens_B!J117&lt;&gt;"", Klantgegevens_B!J117, Klantgegevens_A!K117)</f>
        <v>ja</v>
      </c>
      <c r="K118">
        <f>IF(Klantgegevens_B!K117&lt;&gt;"", AVERAGE(--(Klantgegevens_B!K117="ja"), --(Klantgegevens_B!L117="ja"), --(Klantgegevens_B!M117="ja"), --(Klantgegevens_B!N117="ja"), --(Klantgegevens_B!O117="ja"))*10, Klantgegevens_A!L117)</f>
        <v>6</v>
      </c>
      <c r="L118" t="str">
        <f>IF(Klantgegevens_B!K117&lt;&gt;"", Klantgegevens_B!K117, IF(Klantgegevens_A!L117&gt;=7, "ja", "nee"))</f>
        <v>ja</v>
      </c>
      <c r="M118" t="str">
        <f>IF(Klantgegevens_B!L117&lt;&gt;"", Klantgegevens_B!L117, IF(Klantgegevens_A!L117&gt;=7, "ja", "nee"))</f>
        <v>nee</v>
      </c>
      <c r="N118" t="str">
        <f>IF(Klantgegevens_B!M117&lt;&gt;"", Klantgegevens_B!M117, IF(Klantgegevens_A!L117&gt;=7, "ja", "nee"))</f>
        <v>ja</v>
      </c>
      <c r="O118" t="str">
        <f>IF(Klantgegevens_B!N117&lt;&gt;"", Klantgegevens_B!N117, IF(Klantgegevens_A!L117&gt;=7, "ja", "nee"))</f>
        <v>ja</v>
      </c>
      <c r="P118" t="str">
        <f>IF(Klantgegevens_B!O117&lt;&gt;"", Klantgegevens_B!O117, IF(Klantgegevens_A!L117&gt;=7, "ja", "nee"))</f>
        <v>Geen dieet</v>
      </c>
      <c r="Q118" t="str">
        <f>IF(Klantgegevens_B!P117&lt;&gt;"", Klantgegevens_B!P117, Klantgegevens_A!M117)</f>
        <v>Vegetarisch</v>
      </c>
      <c r="R118" t="str">
        <f>IF(Klantgegevens_B!A117&lt;&gt;"", "B", "A")</f>
        <v>B</v>
      </c>
    </row>
    <row r="119" spans="1:18" x14ac:dyDescent="0.3">
      <c r="A119" t="str">
        <f>IF(Klantgegevens_B!A118&lt;&gt;"", Klantgegevens_B!A118, MID(Klantgegevens_A!A118, FIND(",", Klantgegevens_A!A118)+2, LEN(Klantgegevens_A!A118)))</f>
        <v>Nicolas</v>
      </c>
      <c r="B119" t="str">
        <f>IF(Klantgegevens_B!B118&lt;&gt;"", Klantgegevens_B!B118, LEFT(Klantgegevens_A!A118, FIND(",", Klantgegevens_A!A118)-1))</f>
        <v>Temmerman</v>
      </c>
      <c r="C119" t="str">
        <f t="shared" ca="1" si="1"/>
        <v/>
      </c>
      <c r="D119" t="str">
        <f>IF(Klantgegevens_B!F118&lt;&gt;"", Klantgegevens_B!F118, Klantgegevens_A!D118 &amp; " " &amp; Klantgegevens_A!E118 &amp; ", " &amp; Klantgegevens_A!F118)</f>
        <v>Nicolas,Malika</v>
      </c>
      <c r="E119">
        <f>IF(Klantgegevens_B!G118&lt;&gt;"", Klantgegevens_B!G118, TEXTJOIN(",", TRUE, REPT("Volwassene,", Klantgegevens_A!G118), REPT("Kind,", Klantgegevens_A!H118)))</f>
        <v>109</v>
      </c>
      <c r="F119">
        <f>IF(Klantgegevens_B!G118&lt;&gt;"", LEN(Klantgegevens_B!G118)-LEN(SUBSTITUTE(Klantgegevens_B!G118, ",", ""))+1, Klantgegevens_A!G118)</f>
        <v>1</v>
      </c>
      <c r="G119">
        <f>IF(Klantgegevens_B!G118&lt;&gt;"", 0, Klantgegevens_A!H118)</f>
        <v>0</v>
      </c>
      <c r="H119">
        <f>IF(Klantgegevens_B!H118&lt;&gt;"", Klantgegevens_B!H118, Klantgegevens_A!I118)</f>
        <v>11</v>
      </c>
      <c r="I119" t="str">
        <f>IF(Klantgegevens_B!I118&lt;&gt;"", Klantgegevens_B!I118, SWITCH(Klantgegevens_A!J118, "Zelden", 1, "Af en toe", 4, "Regelmatig", 8, "Vaak", 12))</f>
        <v>Bancontact</v>
      </c>
      <c r="J119" t="str">
        <f>IF(Klantgegevens_B!J118&lt;&gt;"", Klantgegevens_B!J118, Klantgegevens_A!K118)</f>
        <v>ja</v>
      </c>
      <c r="K119">
        <f>IF(Klantgegevens_B!K118&lt;&gt;"", AVERAGE(--(Klantgegevens_B!K118="ja"), --(Klantgegevens_B!L118="ja"), --(Klantgegevens_B!M118="ja"), --(Klantgegevens_B!N118="ja"), --(Klantgegevens_B!O118="ja"))*10, Klantgegevens_A!L118)</f>
        <v>4</v>
      </c>
      <c r="L119" t="str">
        <f>IF(Klantgegevens_B!K118&lt;&gt;"", Klantgegevens_B!K118, IF(Klantgegevens_A!L118&gt;=7, "ja", "nee"))</f>
        <v>ja</v>
      </c>
      <c r="M119" t="str">
        <f>IF(Klantgegevens_B!L118&lt;&gt;"", Klantgegevens_B!L118, IF(Klantgegevens_A!L118&gt;=7, "ja", "nee"))</f>
        <v>nee</v>
      </c>
      <c r="N119" t="str">
        <f>IF(Klantgegevens_B!M118&lt;&gt;"", Klantgegevens_B!M118, IF(Klantgegevens_A!L118&gt;=7, "ja", "nee"))</f>
        <v>nee</v>
      </c>
      <c r="O119" t="str">
        <f>IF(Klantgegevens_B!N118&lt;&gt;"", Klantgegevens_B!N118, IF(Klantgegevens_A!L118&gt;=7, "ja", "nee"))</f>
        <v>ja</v>
      </c>
      <c r="P119" t="str">
        <f>IF(Klantgegevens_B!O118&lt;&gt;"", Klantgegevens_B!O118, IF(Klantgegevens_A!L118&gt;=7, "ja", "nee"))</f>
        <v>Geen dieet</v>
      </c>
      <c r="Q119" t="str">
        <f>IF(Klantgegevens_B!P118&lt;&gt;"", Klantgegevens_B!P118, Klantgegevens_A!M118)</f>
        <v>Geen dieet</v>
      </c>
      <c r="R119" t="str">
        <f>IF(Klantgegevens_B!A118&lt;&gt;"", "B", "A")</f>
        <v>B</v>
      </c>
    </row>
    <row r="120" spans="1:18" x14ac:dyDescent="0.3">
      <c r="A120" t="str">
        <f>IF(Klantgegevens_B!A119&lt;&gt;"", Klantgegevens_B!A119, MID(Klantgegevens_A!A119, FIND(",", Klantgegevens_A!A119)+2, LEN(Klantgegevens_A!A119)))</f>
        <v>Marianne</v>
      </c>
      <c r="B120" t="str">
        <f>IF(Klantgegevens_B!B119&lt;&gt;"", Klantgegevens_B!B119, LEFT(Klantgegevens_A!A119, FIND(",", Klantgegevens_A!A119)-1))</f>
        <v>De coster</v>
      </c>
      <c r="C120" t="str">
        <f t="shared" ca="1" si="1"/>
        <v/>
      </c>
      <c r="D120" t="str">
        <f>IF(Klantgegevens_B!F119&lt;&gt;"", Klantgegevens_B!F119, Klantgegevens_A!D119 &amp; " " &amp; Klantgegevens_A!E119 &amp; ", " &amp; Klantgegevens_A!F119)</f>
        <v>Marianne</v>
      </c>
      <c r="E120">
        <f>IF(Klantgegevens_B!G119&lt;&gt;"", Klantgegevens_B!G119, TEXTJOIN(",", TRUE, REPT("Volwassene,", Klantgegevens_A!G119), REPT("Kind,", Klantgegevens_A!H119)))</f>
        <v>105.93</v>
      </c>
      <c r="F120">
        <f>IF(Klantgegevens_B!G119&lt;&gt;"", LEN(Klantgegevens_B!G119)-LEN(SUBSTITUTE(Klantgegevens_B!G119, ",", ""))+1, Klantgegevens_A!G119)</f>
        <v>1</v>
      </c>
      <c r="G120">
        <f>IF(Klantgegevens_B!G119&lt;&gt;"", 0, Klantgegevens_A!H119)</f>
        <v>0</v>
      </c>
      <c r="H120">
        <f>IF(Klantgegevens_B!H119&lt;&gt;"", Klantgegevens_B!H119, Klantgegevens_A!I119)</f>
        <v>18</v>
      </c>
      <c r="I120" t="str">
        <f>IF(Klantgegevens_B!I119&lt;&gt;"", Klantgegevens_B!I119, SWITCH(Klantgegevens_A!J119, "Zelden", 1, "Af en toe", 4, "Regelmatig", 8, "Vaak", 12))</f>
        <v>Cash</v>
      </c>
      <c r="J120" t="str">
        <f>IF(Klantgegevens_B!J119&lt;&gt;"", Klantgegevens_B!J119, Klantgegevens_A!K119)</f>
        <v>ja</v>
      </c>
      <c r="K120">
        <f>IF(Klantgegevens_B!K119&lt;&gt;"", AVERAGE(--(Klantgegevens_B!K119="ja"), --(Klantgegevens_B!L119="ja"), --(Klantgegevens_B!M119="ja"), --(Klantgegevens_B!N119="ja"), --(Klantgegevens_B!O119="ja"))*10, Klantgegevens_A!L119)</f>
        <v>8</v>
      </c>
      <c r="L120" t="str">
        <f>IF(Klantgegevens_B!K119&lt;&gt;"", Klantgegevens_B!K119, IF(Klantgegevens_A!L119&gt;=7, "ja", "nee"))</f>
        <v>ja</v>
      </c>
      <c r="M120" t="str">
        <f>IF(Klantgegevens_B!L119&lt;&gt;"", Klantgegevens_B!L119, IF(Klantgegevens_A!L119&gt;=7, "ja", "nee"))</f>
        <v>ja</v>
      </c>
      <c r="N120" t="str">
        <f>IF(Klantgegevens_B!M119&lt;&gt;"", Klantgegevens_B!M119, IF(Klantgegevens_A!L119&gt;=7, "ja", "nee"))</f>
        <v>ja</v>
      </c>
      <c r="O120" t="str">
        <f>IF(Klantgegevens_B!N119&lt;&gt;"", Klantgegevens_B!N119, IF(Klantgegevens_A!L119&gt;=7, "ja", "nee"))</f>
        <v>ja</v>
      </c>
      <c r="P120" t="str">
        <f>IF(Klantgegevens_B!O119&lt;&gt;"", Klantgegevens_B!O119, IF(Klantgegevens_A!L119&gt;=7, "ja", "nee"))</f>
        <v>Geen dieet</v>
      </c>
      <c r="Q120" t="str">
        <f>IF(Klantgegevens_B!P119&lt;&gt;"", Klantgegevens_B!P119, Klantgegevens_A!M119)</f>
        <v>Vegetarisch</v>
      </c>
      <c r="R120" t="str">
        <f>IF(Klantgegevens_B!A119&lt;&gt;"", "B", "A")</f>
        <v>B</v>
      </c>
    </row>
    <row r="121" spans="1:18" x14ac:dyDescent="0.3">
      <c r="A121" t="str">
        <f>IF(Klantgegevens_B!A120&lt;&gt;"", Klantgegevens_B!A120, MID(Klantgegevens_A!A120, FIND(",", Klantgegevens_A!A120)+2, LEN(Klantgegevens_A!A120)))</f>
        <v>Glenn</v>
      </c>
      <c r="B121" t="str">
        <f>IF(Klantgegevens_B!B120&lt;&gt;"", Klantgegevens_B!B120, LEFT(Klantgegevens_A!A120, FIND(",", Klantgegevens_A!A120)-1))</f>
        <v>Dupont</v>
      </c>
      <c r="C121" t="str">
        <f t="shared" ca="1" si="1"/>
        <v/>
      </c>
      <c r="D121" t="str">
        <f>IF(Klantgegevens_B!F120&lt;&gt;"", Klantgegevens_B!F120, Klantgegevens_A!D120 &amp; " " &amp; Klantgegevens_A!E120 &amp; ", " &amp; Klantgegevens_A!F120)</f>
        <v>Glenn,Anne,Wannes,Tom</v>
      </c>
      <c r="E121">
        <f>IF(Klantgegevens_B!G120&lt;&gt;"", Klantgegevens_B!G120, TEXTJOIN(",", TRUE, REPT("Volwassene,", Klantgegevens_A!G120), REPT("Kind,", Klantgegevens_A!H120)))</f>
        <v>131.04</v>
      </c>
      <c r="F121">
        <f>IF(Klantgegevens_B!G120&lt;&gt;"", LEN(Klantgegevens_B!G120)-LEN(SUBSTITUTE(Klantgegevens_B!G120, ",", ""))+1, Klantgegevens_A!G120)</f>
        <v>1</v>
      </c>
      <c r="G121">
        <f>IF(Klantgegevens_B!G120&lt;&gt;"", 0, Klantgegevens_A!H120)</f>
        <v>0</v>
      </c>
      <c r="H121">
        <f>IF(Klantgegevens_B!H120&lt;&gt;"", Klantgegevens_B!H120, Klantgegevens_A!I120)</f>
        <v>16</v>
      </c>
      <c r="I121" t="str">
        <f>IF(Klantgegevens_B!I120&lt;&gt;"", Klantgegevens_B!I120, SWITCH(Klantgegevens_A!J120, "Zelden", 1, "Af en toe", 4, "Regelmatig", 8, "Vaak", 12))</f>
        <v>Payconiq</v>
      </c>
      <c r="J121" t="str">
        <f>IF(Klantgegevens_B!J120&lt;&gt;"", Klantgegevens_B!J120, Klantgegevens_A!K120)</f>
        <v>ja</v>
      </c>
      <c r="K121">
        <f>IF(Klantgegevens_B!K120&lt;&gt;"", AVERAGE(--(Klantgegevens_B!K120="ja"), --(Klantgegevens_B!L120="ja"), --(Klantgegevens_B!M120="ja"), --(Klantgegevens_B!N120="ja"), --(Klantgegevens_B!O120="ja"))*10, Klantgegevens_A!L120)</f>
        <v>8</v>
      </c>
      <c r="L121" t="str">
        <f>IF(Klantgegevens_B!K120&lt;&gt;"", Klantgegevens_B!K120, IF(Klantgegevens_A!L120&gt;=7, "ja", "nee"))</f>
        <v>ja</v>
      </c>
      <c r="M121" t="str">
        <f>IF(Klantgegevens_B!L120&lt;&gt;"", Klantgegevens_B!L120, IF(Klantgegevens_A!L120&gt;=7, "ja", "nee"))</f>
        <v>ja</v>
      </c>
      <c r="N121" t="str">
        <f>IF(Klantgegevens_B!M120&lt;&gt;"", Klantgegevens_B!M120, IF(Klantgegevens_A!L120&gt;=7, "ja", "nee"))</f>
        <v>ja</v>
      </c>
      <c r="O121" t="str">
        <f>IF(Klantgegevens_B!N120&lt;&gt;"", Klantgegevens_B!N120, IF(Klantgegevens_A!L120&gt;=7, "ja", "nee"))</f>
        <v>ja</v>
      </c>
      <c r="P121" t="str">
        <f>IF(Klantgegevens_B!O120&lt;&gt;"", Klantgegevens_B!O120, IF(Klantgegevens_A!L120&gt;=7, "ja", "nee"))</f>
        <v>Geen dieet</v>
      </c>
      <c r="Q121" t="str">
        <f>IF(Klantgegevens_B!P120&lt;&gt;"", Klantgegevens_B!P120, Klantgegevens_A!M120)</f>
        <v>Geen dieet</v>
      </c>
      <c r="R121" t="str">
        <f>IF(Klantgegevens_B!A120&lt;&gt;"", "B", "A")</f>
        <v>B</v>
      </c>
    </row>
    <row r="122" spans="1:18" x14ac:dyDescent="0.3">
      <c r="A122" t="str">
        <f>IF(Klantgegevens_B!A121&lt;&gt;"", Klantgegevens_B!A121, MID(Klantgegevens_A!A121, FIND(",", Klantgegevens_A!A121)+2, LEN(Klantgegevens_A!A121)))</f>
        <v>Tom</v>
      </c>
      <c r="B122" t="str">
        <f>IF(Klantgegevens_B!B121&lt;&gt;"", Klantgegevens_B!B121, LEFT(Klantgegevens_A!A121, FIND(",", Klantgegevens_A!A121)-1))</f>
        <v>Eeckhout</v>
      </c>
      <c r="C122" t="str">
        <f t="shared" ca="1" si="1"/>
        <v/>
      </c>
      <c r="D122" t="str">
        <f>IF(Klantgegevens_B!F121&lt;&gt;"", Klantgegevens_B!F121, Klantgegevens_A!D121 &amp; " " &amp; Klantgegevens_A!E121 &amp; ", " &amp; Klantgegevens_A!F121)</f>
        <v>Tom,Moustafa,Ronald,Cédric,Jelle</v>
      </c>
      <c r="E122">
        <f>IF(Klantgegevens_B!G121&lt;&gt;"", Klantgegevens_B!G121, TEXTJOIN(",", TRUE, REPT("Volwassene,", Klantgegevens_A!G121), REPT("Kind,", Klantgegevens_A!H121)))</f>
        <v>171.84</v>
      </c>
      <c r="F122">
        <f>IF(Klantgegevens_B!G121&lt;&gt;"", LEN(Klantgegevens_B!G121)-LEN(SUBSTITUTE(Klantgegevens_B!G121, ",", ""))+1, Klantgegevens_A!G121)</f>
        <v>1</v>
      </c>
      <c r="G122">
        <f>IF(Klantgegevens_B!G121&lt;&gt;"", 0, Klantgegevens_A!H121)</f>
        <v>0</v>
      </c>
      <c r="H122">
        <f>IF(Klantgegevens_B!H121&lt;&gt;"", Klantgegevens_B!H121, Klantgegevens_A!I121)</f>
        <v>8</v>
      </c>
      <c r="I122" t="str">
        <f>IF(Klantgegevens_B!I121&lt;&gt;"", Klantgegevens_B!I121, SWITCH(Klantgegevens_A!J121, "Zelden", 1, "Af en toe", 4, "Regelmatig", 8, "Vaak", 12))</f>
        <v>Bancontact</v>
      </c>
      <c r="J122" t="str">
        <f>IF(Klantgegevens_B!J121&lt;&gt;"", Klantgegevens_B!J121, Klantgegevens_A!K121)</f>
        <v>ja</v>
      </c>
      <c r="K122">
        <f>IF(Klantgegevens_B!K121&lt;&gt;"", AVERAGE(--(Klantgegevens_B!K121="ja"), --(Klantgegevens_B!L121="ja"), --(Klantgegevens_B!M121="ja"), --(Klantgegevens_B!N121="ja"), --(Klantgegevens_B!O121="ja"))*10, Klantgegevens_A!L121)</f>
        <v>8</v>
      </c>
      <c r="L122" t="str">
        <f>IF(Klantgegevens_B!K121&lt;&gt;"", Klantgegevens_B!K121, IF(Klantgegevens_A!L121&gt;=7, "ja", "nee"))</f>
        <v>ja</v>
      </c>
      <c r="M122" t="str">
        <f>IF(Klantgegevens_B!L121&lt;&gt;"", Klantgegevens_B!L121, IF(Klantgegevens_A!L121&gt;=7, "ja", "nee"))</f>
        <v>ja</v>
      </c>
      <c r="N122" t="str">
        <f>IF(Klantgegevens_B!M121&lt;&gt;"", Klantgegevens_B!M121, IF(Klantgegevens_A!L121&gt;=7, "ja", "nee"))</f>
        <v>ja</v>
      </c>
      <c r="O122" t="str">
        <f>IF(Klantgegevens_B!N121&lt;&gt;"", Klantgegevens_B!N121, IF(Klantgegevens_A!L121&gt;=7, "ja", "nee"))</f>
        <v>ja</v>
      </c>
      <c r="P122" t="str">
        <f>IF(Klantgegevens_B!O121&lt;&gt;"", Klantgegevens_B!O121, IF(Klantgegevens_A!L121&gt;=7, "ja", "nee"))</f>
        <v>Geen dieet</v>
      </c>
      <c r="Q122" t="str">
        <f>IF(Klantgegevens_B!P121&lt;&gt;"", Klantgegevens_B!P121, Klantgegevens_A!M121)</f>
        <v>Geen dieet</v>
      </c>
      <c r="R122" t="str">
        <f>IF(Klantgegevens_B!A121&lt;&gt;"", "B", "A")</f>
        <v>B</v>
      </c>
    </row>
    <row r="123" spans="1:18" x14ac:dyDescent="0.3">
      <c r="A123" t="str">
        <f>IF(Klantgegevens_B!A122&lt;&gt;"", Klantgegevens_B!A122, MID(Klantgegevens_A!A122, FIND(",", Klantgegevens_A!A122)+2, LEN(Klantgegevens_A!A122)))</f>
        <v>Maria</v>
      </c>
      <c r="B123" t="str">
        <f>IF(Klantgegevens_B!B122&lt;&gt;"", Klantgegevens_B!B122, LEFT(Klantgegevens_A!A122, FIND(",", Klantgegevens_A!A122)-1))</f>
        <v>Somers</v>
      </c>
      <c r="C123" t="str">
        <f t="shared" ca="1" si="1"/>
        <v/>
      </c>
      <c r="D123" t="str">
        <f>IF(Klantgegevens_B!F122&lt;&gt;"", Klantgegevens_B!F122, Klantgegevens_A!D122 &amp; " " &amp; Klantgegevens_A!E122 &amp; ", " &amp; Klantgegevens_A!F122)</f>
        <v>Maria</v>
      </c>
      <c r="E123">
        <f>IF(Klantgegevens_B!G122&lt;&gt;"", Klantgegevens_B!G122, TEXTJOIN(",", TRUE, REPT("Volwassene,", Klantgegevens_A!G122), REPT("Kind,", Klantgegevens_A!H122)))</f>
        <v>21.3</v>
      </c>
      <c r="F123">
        <f>IF(Klantgegevens_B!G122&lt;&gt;"", LEN(Klantgegevens_B!G122)-LEN(SUBSTITUTE(Klantgegevens_B!G122, ",", ""))+1, Klantgegevens_A!G122)</f>
        <v>1</v>
      </c>
      <c r="G123">
        <f>IF(Klantgegevens_B!G122&lt;&gt;"", 0, Klantgegevens_A!H122)</f>
        <v>0</v>
      </c>
      <c r="H123">
        <f>IF(Klantgegevens_B!H122&lt;&gt;"", Klantgegevens_B!H122, Klantgegevens_A!I122)</f>
        <v>3</v>
      </c>
      <c r="I123" t="str">
        <f>IF(Klantgegevens_B!I122&lt;&gt;"", Klantgegevens_B!I122, SWITCH(Klantgegevens_A!J122, "Zelden", 1, "Af en toe", 4, "Regelmatig", 8, "Vaak", 12))</f>
        <v>Bancontact</v>
      </c>
      <c r="J123" t="str">
        <f>IF(Klantgegevens_B!J122&lt;&gt;"", Klantgegevens_B!J122, Klantgegevens_A!K122)</f>
        <v>ja</v>
      </c>
      <c r="K123">
        <f>IF(Klantgegevens_B!K122&lt;&gt;"", AVERAGE(--(Klantgegevens_B!K122="ja"), --(Klantgegevens_B!L122="ja"), --(Klantgegevens_B!M122="ja"), --(Klantgegevens_B!N122="ja"), --(Klantgegevens_B!O122="ja"))*10, Klantgegevens_A!L122)</f>
        <v>6</v>
      </c>
      <c r="L123" t="str">
        <f>IF(Klantgegevens_B!K122&lt;&gt;"", Klantgegevens_B!K122, IF(Klantgegevens_A!L122&gt;=7, "ja", "nee"))</f>
        <v>ja</v>
      </c>
      <c r="M123" t="str">
        <f>IF(Klantgegevens_B!L122&lt;&gt;"", Klantgegevens_B!L122, IF(Klantgegevens_A!L122&gt;=7, "ja", "nee"))</f>
        <v>nee</v>
      </c>
      <c r="N123" t="str">
        <f>IF(Klantgegevens_B!M122&lt;&gt;"", Klantgegevens_B!M122, IF(Klantgegevens_A!L122&gt;=7, "ja", "nee"))</f>
        <v>ja</v>
      </c>
      <c r="O123" t="str">
        <f>IF(Klantgegevens_B!N122&lt;&gt;"", Klantgegevens_B!N122, IF(Klantgegevens_A!L122&gt;=7, "ja", "nee"))</f>
        <v>ja</v>
      </c>
      <c r="P123" t="str">
        <f>IF(Klantgegevens_B!O122&lt;&gt;"", Klantgegevens_B!O122, IF(Klantgegevens_A!L122&gt;=7, "ja", "nee"))</f>
        <v>Veganistisch</v>
      </c>
      <c r="Q123" t="str">
        <f>IF(Klantgegevens_B!P122&lt;&gt;"", Klantgegevens_B!P122, Klantgegevens_A!M122)</f>
        <v>Geen dieet</v>
      </c>
      <c r="R123" t="str">
        <f>IF(Klantgegevens_B!A122&lt;&gt;"", "B", "A")</f>
        <v>B</v>
      </c>
    </row>
    <row r="124" spans="1:18" x14ac:dyDescent="0.3">
      <c r="A124" t="str">
        <f>IF(Klantgegevens_B!A123&lt;&gt;"", Klantgegevens_B!A123, MID(Klantgegevens_A!A123, FIND(",", Klantgegevens_A!A123)+2, LEN(Klantgegevens_A!A123)))</f>
        <v>Fatima</v>
      </c>
      <c r="B124" t="str">
        <f>IF(Klantgegevens_B!B123&lt;&gt;"", Klantgegevens_B!B123, LEFT(Klantgegevens_A!A123, FIND(",", Klantgegevens_A!A123)-1))</f>
        <v>Thys</v>
      </c>
      <c r="C124" t="str">
        <f t="shared" ca="1" si="1"/>
        <v/>
      </c>
      <c r="D124" t="str">
        <f>IF(Klantgegevens_B!F123&lt;&gt;"", Klantgegevens_B!F123, Klantgegevens_A!D123 &amp; " " &amp; Klantgegevens_A!E123 &amp; ", " &amp; Klantgegevens_A!F123)</f>
        <v>Fatima,Paul,Jacob,Mehdi</v>
      </c>
      <c r="E124">
        <f>IF(Klantgegevens_B!G123&lt;&gt;"", Klantgegevens_B!G123, TEXTJOIN(",", TRUE, REPT("Volwassene,", Klantgegevens_A!G123), REPT("Kind,", Klantgegevens_A!H123)))</f>
        <v>121.49</v>
      </c>
      <c r="F124">
        <f>IF(Klantgegevens_B!G123&lt;&gt;"", LEN(Klantgegevens_B!G123)-LEN(SUBSTITUTE(Klantgegevens_B!G123, ",", ""))+1, Klantgegevens_A!G123)</f>
        <v>1</v>
      </c>
      <c r="G124">
        <f>IF(Klantgegevens_B!G123&lt;&gt;"", 0, Klantgegevens_A!H123)</f>
        <v>0</v>
      </c>
      <c r="H124">
        <f>IF(Klantgegevens_B!H123&lt;&gt;"", Klantgegevens_B!H123, Klantgegevens_A!I123)</f>
        <v>8</v>
      </c>
      <c r="I124" t="str">
        <f>IF(Klantgegevens_B!I123&lt;&gt;"", Klantgegevens_B!I123, SWITCH(Klantgegevens_A!J123, "Zelden", 1, "Af en toe", 4, "Regelmatig", 8, "Vaak", 12))</f>
        <v>Creditcard</v>
      </c>
      <c r="J124" t="str">
        <f>IF(Klantgegevens_B!J123&lt;&gt;"", Klantgegevens_B!J123, Klantgegevens_A!K123)</f>
        <v>ja</v>
      </c>
      <c r="K124">
        <f>IF(Klantgegevens_B!K123&lt;&gt;"", AVERAGE(--(Klantgegevens_B!K123="ja"), --(Klantgegevens_B!L123="ja"), --(Klantgegevens_B!M123="ja"), --(Klantgegevens_B!N123="ja"), --(Klantgegevens_B!O123="ja"))*10, Klantgegevens_A!L123)</f>
        <v>4</v>
      </c>
      <c r="L124" t="str">
        <f>IF(Klantgegevens_B!K123&lt;&gt;"", Klantgegevens_B!K123, IF(Klantgegevens_A!L123&gt;=7, "ja", "nee"))</f>
        <v>nee</v>
      </c>
      <c r="M124" t="str">
        <f>IF(Klantgegevens_B!L123&lt;&gt;"", Klantgegevens_B!L123, IF(Klantgegevens_A!L123&gt;=7, "ja", "nee"))</f>
        <v>ja</v>
      </c>
      <c r="N124" t="str">
        <f>IF(Klantgegevens_B!M123&lt;&gt;"", Klantgegevens_B!M123, IF(Klantgegevens_A!L123&gt;=7, "ja", "nee"))</f>
        <v>ja</v>
      </c>
      <c r="O124" t="str">
        <f>IF(Klantgegevens_B!N123&lt;&gt;"", Klantgegevens_B!N123, IF(Klantgegevens_A!L123&gt;=7, "ja", "nee"))</f>
        <v>nee</v>
      </c>
      <c r="P124" t="str">
        <f>IF(Klantgegevens_B!O123&lt;&gt;"", Klantgegevens_B!O123, IF(Klantgegevens_A!L123&gt;=7, "ja", "nee"))</f>
        <v>Geen dieet</v>
      </c>
      <c r="Q124" t="str">
        <f>IF(Klantgegevens_B!P123&lt;&gt;"", Klantgegevens_B!P123, Klantgegevens_A!M123)</f>
        <v>Geen dieet</v>
      </c>
      <c r="R124" t="str">
        <f>IF(Klantgegevens_B!A123&lt;&gt;"", "B", "A")</f>
        <v>B</v>
      </c>
    </row>
    <row r="125" spans="1:18" x14ac:dyDescent="0.3">
      <c r="A125" t="str">
        <f>IF(Klantgegevens_B!A124&lt;&gt;"", Klantgegevens_B!A124, MID(Klantgegevens_A!A124, FIND(",", Klantgegevens_A!A124)+2, LEN(Klantgegevens_A!A124)))</f>
        <v>Erik</v>
      </c>
      <c r="B125" t="str">
        <f>IF(Klantgegevens_B!B124&lt;&gt;"", Klantgegevens_B!B124, LEFT(Klantgegevens_A!A124, FIND(",", Klantgegevens_A!A124)-1))</f>
        <v>Vermeiren</v>
      </c>
      <c r="C125" t="str">
        <f t="shared" ca="1" si="1"/>
        <v/>
      </c>
      <c r="D125" t="str">
        <f>IF(Klantgegevens_B!F124&lt;&gt;"", Klantgegevens_B!F124, Klantgegevens_A!D124 &amp; " " &amp; Klantgegevens_A!E124 &amp; ", " &amp; Klantgegevens_A!F124)</f>
        <v>Erik,Franca</v>
      </c>
      <c r="E125">
        <f>IF(Klantgegevens_B!G124&lt;&gt;"", Klantgegevens_B!G124, TEXTJOIN(",", TRUE, REPT("Volwassene,", Klantgegevens_A!G124), REPT("Kind,", Klantgegevens_A!H124)))</f>
        <v>146.72999999999999</v>
      </c>
      <c r="F125">
        <f>IF(Klantgegevens_B!G124&lt;&gt;"", LEN(Klantgegevens_B!G124)-LEN(SUBSTITUTE(Klantgegevens_B!G124, ",", ""))+1, Klantgegevens_A!G124)</f>
        <v>1</v>
      </c>
      <c r="G125">
        <f>IF(Klantgegevens_B!G124&lt;&gt;"", 0, Klantgegevens_A!H124)</f>
        <v>0</v>
      </c>
      <c r="H125">
        <f>IF(Klantgegevens_B!H124&lt;&gt;"", Klantgegevens_B!H124, Klantgegevens_A!I124)</f>
        <v>4</v>
      </c>
      <c r="I125" t="str">
        <f>IF(Klantgegevens_B!I124&lt;&gt;"", Klantgegevens_B!I124, SWITCH(Klantgegevens_A!J124, "Zelden", 1, "Af en toe", 4, "Regelmatig", 8, "Vaak", 12))</f>
        <v>Payconiq</v>
      </c>
      <c r="J125" t="str">
        <f>IF(Klantgegevens_B!J124&lt;&gt;"", Klantgegevens_B!J124, Klantgegevens_A!K124)</f>
        <v>ja</v>
      </c>
      <c r="K125">
        <f>IF(Klantgegevens_B!K124&lt;&gt;"", AVERAGE(--(Klantgegevens_B!K124="ja"), --(Klantgegevens_B!L124="ja"), --(Klantgegevens_B!M124="ja"), --(Klantgegevens_B!N124="ja"), --(Klantgegevens_B!O124="ja"))*10, Klantgegevens_A!L124)</f>
        <v>8</v>
      </c>
      <c r="L125" t="str">
        <f>IF(Klantgegevens_B!K124&lt;&gt;"", Klantgegevens_B!K124, IF(Klantgegevens_A!L124&gt;=7, "ja", "nee"))</f>
        <v>ja</v>
      </c>
      <c r="M125" t="str">
        <f>IF(Klantgegevens_B!L124&lt;&gt;"", Klantgegevens_B!L124, IF(Klantgegevens_A!L124&gt;=7, "ja", "nee"))</f>
        <v>ja</v>
      </c>
      <c r="N125" t="str">
        <f>IF(Klantgegevens_B!M124&lt;&gt;"", Klantgegevens_B!M124, IF(Klantgegevens_A!L124&gt;=7, "ja", "nee"))</f>
        <v>ja</v>
      </c>
      <c r="O125" t="str">
        <f>IF(Klantgegevens_B!N124&lt;&gt;"", Klantgegevens_B!N124, IF(Klantgegevens_A!L124&gt;=7, "ja", "nee"))</f>
        <v>ja</v>
      </c>
      <c r="P125" t="str">
        <f>IF(Klantgegevens_B!O124&lt;&gt;"", Klantgegevens_B!O124, IF(Klantgegevens_A!L124&gt;=7, "ja", "nee"))</f>
        <v>Geen dieet</v>
      </c>
      <c r="Q125" t="str">
        <f>IF(Klantgegevens_B!P124&lt;&gt;"", Klantgegevens_B!P124, Klantgegevens_A!M124)</f>
        <v>Geen dieet</v>
      </c>
      <c r="R125" t="str">
        <f>IF(Klantgegevens_B!A124&lt;&gt;"", "B", "A")</f>
        <v>B</v>
      </c>
    </row>
    <row r="126" spans="1:18" x14ac:dyDescent="0.3">
      <c r="A126" t="str">
        <f>IF(Klantgegevens_B!A125&lt;&gt;"", Klantgegevens_B!A125, MID(Klantgegevens_A!A125, FIND(",", Klantgegevens_A!A125)+2, LEN(Klantgegevens_A!A125)))</f>
        <v>Samuel</v>
      </c>
      <c r="B126" t="str">
        <f>IF(Klantgegevens_B!B125&lt;&gt;"", Klantgegevens_B!B125, LEFT(Klantgegevens_A!A125, FIND(",", Klantgegevens_A!A125)-1))</f>
        <v>De block</v>
      </c>
      <c r="C126" t="str">
        <f t="shared" ca="1" si="1"/>
        <v/>
      </c>
      <c r="D126" t="str">
        <f>IF(Klantgegevens_B!F125&lt;&gt;"", Klantgegevens_B!F125, Klantgegevens_A!D125 &amp; " " &amp; Klantgegevens_A!E125 &amp; ", " &amp; Klantgegevens_A!F125)</f>
        <v>Samuel</v>
      </c>
      <c r="E126">
        <f>IF(Klantgegevens_B!G125&lt;&gt;"", Klantgegevens_B!G125, TEXTJOIN(",", TRUE, REPT("Volwassene,", Klantgegevens_A!G125), REPT("Kind,", Klantgegevens_A!H125)))</f>
        <v>89.82</v>
      </c>
      <c r="F126">
        <f>IF(Klantgegevens_B!G125&lt;&gt;"", LEN(Klantgegevens_B!G125)-LEN(SUBSTITUTE(Klantgegevens_B!G125, ",", ""))+1, Klantgegevens_A!G125)</f>
        <v>1</v>
      </c>
      <c r="G126">
        <f>IF(Klantgegevens_B!G125&lt;&gt;"", 0, Klantgegevens_A!H125)</f>
        <v>0</v>
      </c>
      <c r="H126">
        <f>IF(Klantgegevens_B!H125&lt;&gt;"", Klantgegevens_B!H125, Klantgegevens_A!I125)</f>
        <v>9</v>
      </c>
      <c r="I126" t="str">
        <f>IF(Klantgegevens_B!I125&lt;&gt;"", Klantgegevens_B!I125, SWITCH(Klantgegevens_A!J125, "Zelden", 1, "Af en toe", 4, "Regelmatig", 8, "Vaak", 12))</f>
        <v>Payconiq</v>
      </c>
      <c r="J126" t="str">
        <f>IF(Klantgegevens_B!J125&lt;&gt;"", Klantgegevens_B!J125, Klantgegevens_A!K125)</f>
        <v>nee</v>
      </c>
      <c r="K126">
        <f>IF(Klantgegevens_B!K125&lt;&gt;"", AVERAGE(--(Klantgegevens_B!K125="ja"), --(Klantgegevens_B!L125="ja"), --(Klantgegevens_B!M125="ja"), --(Klantgegevens_B!N125="ja"), --(Klantgegevens_B!O125="ja"))*10, Klantgegevens_A!L125)</f>
        <v>4</v>
      </c>
      <c r="L126" t="str">
        <f>IF(Klantgegevens_B!K125&lt;&gt;"", Klantgegevens_B!K125, IF(Klantgegevens_A!L125&gt;=7, "ja", "nee"))</f>
        <v>nee</v>
      </c>
      <c r="M126" t="str">
        <f>IF(Klantgegevens_B!L125&lt;&gt;"", Klantgegevens_B!L125, IF(Klantgegevens_A!L125&gt;=7, "ja", "nee"))</f>
        <v>ja</v>
      </c>
      <c r="N126" t="str">
        <f>IF(Klantgegevens_B!M125&lt;&gt;"", Klantgegevens_B!M125, IF(Klantgegevens_A!L125&gt;=7, "ja", "nee"))</f>
        <v>ja</v>
      </c>
      <c r="O126" t="str">
        <f>IF(Klantgegevens_B!N125&lt;&gt;"", Klantgegevens_B!N125, IF(Klantgegevens_A!L125&gt;=7, "ja", "nee"))</f>
        <v>nee</v>
      </c>
      <c r="P126" t="str">
        <f>IF(Klantgegevens_B!O125&lt;&gt;"", Klantgegevens_B!O125, IF(Klantgegevens_A!L125&gt;=7, "ja", "nee"))</f>
        <v>Geen dieet</v>
      </c>
      <c r="Q126" t="str">
        <f>IF(Klantgegevens_B!P125&lt;&gt;"", Klantgegevens_B!P125, Klantgegevens_A!M125)</f>
        <v>Vegetarisch</v>
      </c>
      <c r="R126" t="str">
        <f>IF(Klantgegevens_B!A125&lt;&gt;"", "B", "A")</f>
        <v>B</v>
      </c>
    </row>
    <row r="127" spans="1:18" x14ac:dyDescent="0.3">
      <c r="A127" t="str">
        <f>IF(Klantgegevens_B!A126&lt;&gt;"", Klantgegevens_B!A126, MID(Klantgegevens_A!A126, FIND(",", Klantgegevens_A!A126)+2, LEN(Klantgegevens_A!A126)))</f>
        <v>Billie</v>
      </c>
      <c r="B127" t="str">
        <f>IF(Klantgegevens_B!B126&lt;&gt;"", Klantgegevens_B!B126, LEFT(Klantgegevens_A!A126, FIND(",", Klantgegevens_A!A126)-1))</f>
        <v>Vermeersch</v>
      </c>
      <c r="C127" t="str">
        <f t="shared" ca="1" si="1"/>
        <v/>
      </c>
      <c r="D127" t="str">
        <f>IF(Klantgegevens_B!F126&lt;&gt;"", Klantgegevens_B!F126, Klantgegevens_A!D126 &amp; " " &amp; Klantgegevens_A!E126 &amp; ", " &amp; Klantgegevens_A!F126)</f>
        <v>Billie,Wouter,Magdalena</v>
      </c>
      <c r="E127">
        <f>IF(Klantgegevens_B!G126&lt;&gt;"", Klantgegevens_B!G126, TEXTJOIN(",", TRUE, REPT("Volwassene,", Klantgegevens_A!G126), REPT("Kind,", Klantgegevens_A!H126)))</f>
        <v>158.13999999999999</v>
      </c>
      <c r="F127">
        <f>IF(Klantgegevens_B!G126&lt;&gt;"", LEN(Klantgegevens_B!G126)-LEN(SUBSTITUTE(Klantgegevens_B!G126, ",", ""))+1, Klantgegevens_A!G126)</f>
        <v>1</v>
      </c>
      <c r="G127">
        <f>IF(Klantgegevens_B!G126&lt;&gt;"", 0, Klantgegevens_A!H126)</f>
        <v>0</v>
      </c>
      <c r="H127">
        <f>IF(Klantgegevens_B!H126&lt;&gt;"", Klantgegevens_B!H126, Klantgegevens_A!I126)</f>
        <v>12</v>
      </c>
      <c r="I127" t="str">
        <f>IF(Klantgegevens_B!I126&lt;&gt;"", Klantgegevens_B!I126, SWITCH(Klantgegevens_A!J126, "Zelden", 1, "Af en toe", 4, "Regelmatig", 8, "Vaak", 12))</f>
        <v>Bancontact</v>
      </c>
      <c r="J127" t="str">
        <f>IF(Klantgegevens_B!J126&lt;&gt;"", Klantgegevens_B!J126, Klantgegevens_A!K126)</f>
        <v>ja</v>
      </c>
      <c r="K127">
        <f>IF(Klantgegevens_B!K126&lt;&gt;"", AVERAGE(--(Klantgegevens_B!K126="ja"), --(Klantgegevens_B!L126="ja"), --(Klantgegevens_B!M126="ja"), --(Klantgegevens_B!N126="ja"), --(Klantgegevens_B!O126="ja"))*10, Klantgegevens_A!L126)</f>
        <v>4</v>
      </c>
      <c r="L127" t="str">
        <f>IF(Klantgegevens_B!K126&lt;&gt;"", Klantgegevens_B!K126, IF(Klantgegevens_A!L126&gt;=7, "ja", "nee"))</f>
        <v>nee</v>
      </c>
      <c r="M127" t="str">
        <f>IF(Klantgegevens_B!L126&lt;&gt;"", Klantgegevens_B!L126, IF(Klantgegevens_A!L126&gt;=7, "ja", "nee"))</f>
        <v>nee</v>
      </c>
      <c r="N127" t="str">
        <f>IF(Klantgegevens_B!M126&lt;&gt;"", Klantgegevens_B!M126, IF(Klantgegevens_A!L126&gt;=7, "ja", "nee"))</f>
        <v>ja</v>
      </c>
      <c r="O127" t="str">
        <f>IF(Klantgegevens_B!N126&lt;&gt;"", Klantgegevens_B!N126, IF(Klantgegevens_A!L126&gt;=7, "ja", "nee"))</f>
        <v>ja</v>
      </c>
      <c r="P127" t="str">
        <f>IF(Klantgegevens_B!O126&lt;&gt;"", Klantgegevens_B!O126, IF(Klantgegevens_A!L126&gt;=7, "ja", "nee"))</f>
        <v>Geen dieet</v>
      </c>
      <c r="Q127" t="str">
        <f>IF(Klantgegevens_B!P126&lt;&gt;"", Klantgegevens_B!P126, Klantgegevens_A!M126)</f>
        <v>Geen dieet</v>
      </c>
      <c r="R127" t="str">
        <f>IF(Klantgegevens_B!A126&lt;&gt;"", "B", "A")</f>
        <v>B</v>
      </c>
    </row>
    <row r="128" spans="1:18" x14ac:dyDescent="0.3">
      <c r="A128" t="str">
        <f>IF(Klantgegevens_B!A127&lt;&gt;"", Klantgegevens_B!A127, MID(Klantgegevens_A!A127, FIND(",", Klantgegevens_A!A127)+2, LEN(Klantgegevens_A!A127)))</f>
        <v>Hermine</v>
      </c>
      <c r="B128" t="str">
        <f>IF(Klantgegevens_B!B127&lt;&gt;"", Klantgegevens_B!B127, LEFT(Klantgegevens_A!A127, FIND(",", Klantgegevens_A!A127)-1))</f>
        <v>Dufour</v>
      </c>
      <c r="C128" t="str">
        <f t="shared" ca="1" si="1"/>
        <v/>
      </c>
      <c r="D128" t="str">
        <f>IF(Klantgegevens_B!F127&lt;&gt;"", Klantgegevens_B!F127, Klantgegevens_A!D127 &amp; " " &amp; Klantgegevens_A!E127 &amp; ", " &amp; Klantgegevens_A!F127)</f>
        <v>Hermine</v>
      </c>
      <c r="E128">
        <f>IF(Klantgegevens_B!G127&lt;&gt;"", Klantgegevens_B!G127, TEXTJOIN(",", TRUE, REPT("Volwassene,", Klantgegevens_A!G127), REPT("Kind,", Klantgegevens_A!H127)))</f>
        <v>107.11</v>
      </c>
      <c r="F128">
        <f>IF(Klantgegevens_B!G127&lt;&gt;"", LEN(Klantgegevens_B!G127)-LEN(SUBSTITUTE(Klantgegevens_B!G127, ",", ""))+1, Klantgegevens_A!G127)</f>
        <v>1</v>
      </c>
      <c r="G128">
        <f>IF(Klantgegevens_B!G127&lt;&gt;"", 0, Klantgegevens_A!H127)</f>
        <v>0</v>
      </c>
      <c r="H128">
        <f>IF(Klantgegevens_B!H127&lt;&gt;"", Klantgegevens_B!H127, Klantgegevens_A!I127)</f>
        <v>23</v>
      </c>
      <c r="I128" t="str">
        <f>IF(Klantgegevens_B!I127&lt;&gt;"", Klantgegevens_B!I127, SWITCH(Klantgegevens_A!J127, "Zelden", 1, "Af en toe", 4, "Regelmatig", 8, "Vaak", 12))</f>
        <v>Bancontact</v>
      </c>
      <c r="J128" t="str">
        <f>IF(Klantgegevens_B!J127&lt;&gt;"", Klantgegevens_B!J127, Klantgegevens_A!K127)</f>
        <v>ja</v>
      </c>
      <c r="K128">
        <f>IF(Klantgegevens_B!K127&lt;&gt;"", AVERAGE(--(Klantgegevens_B!K127="ja"), --(Klantgegevens_B!L127="ja"), --(Klantgegevens_B!M127="ja"), --(Klantgegevens_B!N127="ja"), --(Klantgegevens_B!O127="ja"))*10, Klantgegevens_A!L127)</f>
        <v>8</v>
      </c>
      <c r="L128" t="str">
        <f>IF(Klantgegevens_B!K127&lt;&gt;"", Klantgegevens_B!K127, IF(Klantgegevens_A!L127&gt;=7, "ja", "nee"))</f>
        <v>ja</v>
      </c>
      <c r="M128" t="str">
        <f>IF(Klantgegevens_B!L127&lt;&gt;"", Klantgegevens_B!L127, IF(Klantgegevens_A!L127&gt;=7, "ja", "nee"))</f>
        <v>ja</v>
      </c>
      <c r="N128" t="str">
        <f>IF(Klantgegevens_B!M127&lt;&gt;"", Klantgegevens_B!M127, IF(Klantgegevens_A!L127&gt;=7, "ja", "nee"))</f>
        <v>ja</v>
      </c>
      <c r="O128" t="str">
        <f>IF(Klantgegevens_B!N127&lt;&gt;"", Klantgegevens_B!N127, IF(Klantgegevens_A!L127&gt;=7, "ja", "nee"))</f>
        <v>ja</v>
      </c>
      <c r="P128" t="str">
        <f>IF(Klantgegevens_B!O127&lt;&gt;"", Klantgegevens_B!O127, IF(Klantgegevens_A!L127&gt;=7, "ja", "nee"))</f>
        <v>Vegetarisch</v>
      </c>
      <c r="Q128" t="str">
        <f>IF(Klantgegevens_B!P127&lt;&gt;"", Klantgegevens_B!P127, Klantgegevens_A!M127)</f>
        <v>Vegetarisch</v>
      </c>
      <c r="R128" t="str">
        <f>IF(Klantgegevens_B!A127&lt;&gt;"", "B", "A")</f>
        <v>B</v>
      </c>
    </row>
    <row r="129" spans="1:18" x14ac:dyDescent="0.3">
      <c r="A129" t="str">
        <f>IF(Klantgegevens_B!A128&lt;&gt;"", Klantgegevens_B!A128, MID(Klantgegevens_A!A128, FIND(",", Klantgegevens_A!A128)+2, LEN(Klantgegevens_A!A128)))</f>
        <v>Abdullah</v>
      </c>
      <c r="B129" t="str">
        <f>IF(Klantgegevens_B!B128&lt;&gt;"", Klantgegevens_B!B128, LEFT(Klantgegevens_A!A128, FIND(",", Klantgegevens_A!A128)-1))</f>
        <v>Verschueren</v>
      </c>
      <c r="C129" t="str">
        <f t="shared" ca="1" si="1"/>
        <v/>
      </c>
      <c r="D129" t="str">
        <f>IF(Klantgegevens_B!F128&lt;&gt;"", Klantgegevens_B!F128, Klantgegevens_A!D128 &amp; " " &amp; Klantgegevens_A!E128 &amp; ", " &amp; Klantgegevens_A!F128)</f>
        <v>Abdullah,Yves</v>
      </c>
      <c r="E129">
        <f>IF(Klantgegevens_B!G128&lt;&gt;"", Klantgegevens_B!G128, TEXTJOIN(",", TRUE, REPT("Volwassene,", Klantgegevens_A!G128), REPT("Kind,", Klantgegevens_A!H128)))</f>
        <v>19.28</v>
      </c>
      <c r="F129">
        <f>IF(Klantgegevens_B!G128&lt;&gt;"", LEN(Klantgegevens_B!G128)-LEN(SUBSTITUTE(Klantgegevens_B!G128, ",", ""))+1, Klantgegevens_A!G128)</f>
        <v>1</v>
      </c>
      <c r="G129">
        <f>IF(Klantgegevens_B!G128&lt;&gt;"", 0, Klantgegevens_A!H128)</f>
        <v>0</v>
      </c>
      <c r="H129">
        <f>IF(Klantgegevens_B!H128&lt;&gt;"", Klantgegevens_B!H128, Klantgegevens_A!I128)</f>
        <v>2</v>
      </c>
      <c r="I129" t="str">
        <f>IF(Klantgegevens_B!I128&lt;&gt;"", Klantgegevens_B!I128, SWITCH(Klantgegevens_A!J128, "Zelden", 1, "Af en toe", 4, "Regelmatig", 8, "Vaak", 12))</f>
        <v>Bancontact</v>
      </c>
      <c r="J129" t="str">
        <f>IF(Klantgegevens_B!J128&lt;&gt;"", Klantgegevens_B!J128, Klantgegevens_A!K128)</f>
        <v>nee</v>
      </c>
      <c r="K129">
        <f>IF(Klantgegevens_B!K128&lt;&gt;"", AVERAGE(--(Klantgegevens_B!K128="ja"), --(Klantgegevens_B!L128="ja"), --(Klantgegevens_B!M128="ja"), --(Klantgegevens_B!N128="ja"), --(Klantgegevens_B!O128="ja"))*10, Klantgegevens_A!L128)</f>
        <v>6</v>
      </c>
      <c r="L129" t="str">
        <f>IF(Klantgegevens_B!K128&lt;&gt;"", Klantgegevens_B!K128, IF(Klantgegevens_A!L128&gt;=7, "ja", "nee"))</f>
        <v>ja</v>
      </c>
      <c r="M129" t="str">
        <f>IF(Klantgegevens_B!L128&lt;&gt;"", Klantgegevens_B!L128, IF(Klantgegevens_A!L128&gt;=7, "ja", "nee"))</f>
        <v>ja</v>
      </c>
      <c r="N129" t="str">
        <f>IF(Klantgegevens_B!M128&lt;&gt;"", Klantgegevens_B!M128, IF(Klantgegevens_A!L128&gt;=7, "ja", "nee"))</f>
        <v>ja</v>
      </c>
      <c r="O129" t="str">
        <f>IF(Klantgegevens_B!N128&lt;&gt;"", Klantgegevens_B!N128, IF(Klantgegevens_A!L128&gt;=7, "ja", "nee"))</f>
        <v>nee</v>
      </c>
      <c r="P129" t="str">
        <f>IF(Klantgegevens_B!O128&lt;&gt;"", Klantgegevens_B!O128, IF(Klantgegevens_A!L128&gt;=7, "ja", "nee"))</f>
        <v>Geen dieet</v>
      </c>
      <c r="Q129" t="str">
        <f>IF(Klantgegevens_B!P128&lt;&gt;"", Klantgegevens_B!P128, Klantgegevens_A!M128)</f>
        <v>Vegetarisch</v>
      </c>
      <c r="R129" t="str">
        <f>IF(Klantgegevens_B!A128&lt;&gt;"", "B", "A")</f>
        <v>B</v>
      </c>
    </row>
    <row r="130" spans="1:18" x14ac:dyDescent="0.3">
      <c r="A130" t="str">
        <f>IF(Klantgegevens_B!A129&lt;&gt;"", Klantgegevens_B!A129, MID(Klantgegevens_A!A129, FIND(",", Klantgegevens_A!A129)+2, LEN(Klantgegevens_A!A129)))</f>
        <v>Joëlle</v>
      </c>
      <c r="B130" t="str">
        <f>IF(Klantgegevens_B!B129&lt;&gt;"", Klantgegevens_B!B129, LEFT(Klantgegevens_A!A129, FIND(",", Klantgegevens_A!A129)-1))</f>
        <v>Michiels</v>
      </c>
      <c r="C130" t="str">
        <f t="shared" ca="1" si="1"/>
        <v/>
      </c>
      <c r="D130" t="str">
        <f>IF(Klantgegevens_B!F129&lt;&gt;"", Klantgegevens_B!F129, Klantgegevens_A!D129 &amp; " " &amp; Klantgegevens_A!E129 &amp; ", " &amp; Klantgegevens_A!F129)</f>
        <v>Joëlle,Etiennette,Raphaël,Frédéric</v>
      </c>
      <c r="E130">
        <f>IF(Klantgegevens_B!G129&lt;&gt;"", Klantgegevens_B!G129, TEXTJOIN(",", TRUE, REPT("Volwassene,", Klantgegevens_A!G129), REPT("Kind,", Klantgegevens_A!H129)))</f>
        <v>62.12</v>
      </c>
      <c r="F130">
        <f>IF(Klantgegevens_B!G129&lt;&gt;"", LEN(Klantgegevens_B!G129)-LEN(SUBSTITUTE(Klantgegevens_B!G129, ",", ""))+1, Klantgegevens_A!G129)</f>
        <v>1</v>
      </c>
      <c r="G130">
        <f>IF(Klantgegevens_B!G129&lt;&gt;"", 0, Klantgegevens_A!H129)</f>
        <v>0</v>
      </c>
      <c r="H130">
        <f>IF(Klantgegevens_B!H129&lt;&gt;"", Klantgegevens_B!H129, Klantgegevens_A!I129)</f>
        <v>21</v>
      </c>
      <c r="I130" t="str">
        <f>IF(Klantgegevens_B!I129&lt;&gt;"", Klantgegevens_B!I129, SWITCH(Klantgegevens_A!J129, "Zelden", 1, "Af en toe", 4, "Regelmatig", 8, "Vaak", 12))</f>
        <v>Payconiq</v>
      </c>
      <c r="J130" t="str">
        <f>IF(Klantgegevens_B!J129&lt;&gt;"", Klantgegevens_B!J129, Klantgegevens_A!K129)</f>
        <v>ja</v>
      </c>
      <c r="K130">
        <f>IF(Klantgegevens_B!K129&lt;&gt;"", AVERAGE(--(Klantgegevens_B!K129="ja"), --(Klantgegevens_B!L129="ja"), --(Klantgegevens_B!M129="ja"), --(Klantgegevens_B!N129="ja"), --(Klantgegevens_B!O129="ja"))*10, Klantgegevens_A!L129)</f>
        <v>6</v>
      </c>
      <c r="L130" t="str">
        <f>IF(Klantgegevens_B!K129&lt;&gt;"", Klantgegevens_B!K129, IF(Klantgegevens_A!L129&gt;=7, "ja", "nee"))</f>
        <v>ja</v>
      </c>
      <c r="M130" t="str">
        <f>IF(Klantgegevens_B!L129&lt;&gt;"", Klantgegevens_B!L129, IF(Klantgegevens_A!L129&gt;=7, "ja", "nee"))</f>
        <v>ja</v>
      </c>
      <c r="N130" t="str">
        <f>IF(Klantgegevens_B!M129&lt;&gt;"", Klantgegevens_B!M129, IF(Klantgegevens_A!L129&gt;=7, "ja", "nee"))</f>
        <v>nee</v>
      </c>
      <c r="O130" t="str">
        <f>IF(Klantgegevens_B!N129&lt;&gt;"", Klantgegevens_B!N129, IF(Klantgegevens_A!L129&gt;=7, "ja", "nee"))</f>
        <v>ja</v>
      </c>
      <c r="P130" t="str">
        <f>IF(Klantgegevens_B!O129&lt;&gt;"", Klantgegevens_B!O129, IF(Klantgegevens_A!L129&gt;=7, "ja", "nee"))</f>
        <v>Geen dieet</v>
      </c>
      <c r="Q130" t="str">
        <f>IF(Klantgegevens_B!P129&lt;&gt;"", Klantgegevens_B!P129, Klantgegevens_A!M129)</f>
        <v>Geen dieet</v>
      </c>
      <c r="R130" t="str">
        <f>IF(Klantgegevens_B!A129&lt;&gt;"", "B", "A")</f>
        <v>B</v>
      </c>
    </row>
    <row r="131" spans="1:18" x14ac:dyDescent="0.3">
      <c r="A131" t="str">
        <f>IF(Klantgegevens_B!A130&lt;&gt;"", Klantgegevens_B!A130, MID(Klantgegevens_A!A130, FIND(",", Klantgegevens_A!A130)+2, LEN(Klantgegevens_A!A130)))</f>
        <v>Marie</v>
      </c>
      <c r="B131" t="str">
        <f>IF(Klantgegevens_B!B130&lt;&gt;"", Klantgegevens_B!B130, LEFT(Klantgegevens_A!A130, FIND(",", Klantgegevens_A!A130)-1))</f>
        <v>Peeters</v>
      </c>
      <c r="C131" t="str">
        <f t="shared" ref="C131:C194" ca="1" si="2">C130 &amp; ", " &amp; B130</f>
        <v/>
      </c>
      <c r="D131" t="str">
        <f>IF(Klantgegevens_B!F130&lt;&gt;"", Klantgegevens_B!F130, Klantgegevens_A!D130 &amp; " " &amp; Klantgegevens_A!E130 &amp; ", " &amp; Klantgegevens_A!F130)</f>
        <v>Marie,Godelieve</v>
      </c>
      <c r="E131">
        <f>IF(Klantgegevens_B!G130&lt;&gt;"", Klantgegevens_B!G130, TEXTJOIN(",", TRUE, REPT("Volwassene,", Klantgegevens_A!G130), REPT("Kind,", Klantgegevens_A!H130)))</f>
        <v>57.41</v>
      </c>
      <c r="F131">
        <f>IF(Klantgegevens_B!G130&lt;&gt;"", LEN(Klantgegevens_B!G130)-LEN(SUBSTITUTE(Klantgegevens_B!G130, ",", ""))+1, Klantgegevens_A!G130)</f>
        <v>1</v>
      </c>
      <c r="G131">
        <f>IF(Klantgegevens_B!G130&lt;&gt;"", 0, Klantgegevens_A!H130)</f>
        <v>0</v>
      </c>
      <c r="H131">
        <f>IF(Klantgegevens_B!H130&lt;&gt;"", Klantgegevens_B!H130, Klantgegevens_A!I130)</f>
        <v>9</v>
      </c>
      <c r="I131" t="str">
        <f>IF(Klantgegevens_B!I130&lt;&gt;"", Klantgegevens_B!I130, SWITCH(Klantgegevens_A!J130, "Zelden", 1, "Af en toe", 4, "Regelmatig", 8, "Vaak", 12))</f>
        <v>Cash</v>
      </c>
      <c r="J131" t="str">
        <f>IF(Klantgegevens_B!J130&lt;&gt;"", Klantgegevens_B!J130, Klantgegevens_A!K130)</f>
        <v>ja</v>
      </c>
      <c r="K131">
        <f>IF(Klantgegevens_B!K130&lt;&gt;"", AVERAGE(--(Klantgegevens_B!K130="ja"), --(Klantgegevens_B!L130="ja"), --(Klantgegevens_B!M130="ja"), --(Klantgegevens_B!N130="ja"), --(Klantgegevens_B!O130="ja"))*10, Klantgegevens_A!L130)</f>
        <v>6</v>
      </c>
      <c r="L131" t="str">
        <f>IF(Klantgegevens_B!K130&lt;&gt;"", Klantgegevens_B!K130, IF(Klantgegevens_A!L130&gt;=7, "ja", "nee"))</f>
        <v>ja</v>
      </c>
      <c r="M131" t="str">
        <f>IF(Klantgegevens_B!L130&lt;&gt;"", Klantgegevens_B!L130, IF(Klantgegevens_A!L130&gt;=7, "ja", "nee"))</f>
        <v>nee</v>
      </c>
      <c r="N131" t="str">
        <f>IF(Klantgegevens_B!M130&lt;&gt;"", Klantgegevens_B!M130, IF(Klantgegevens_A!L130&gt;=7, "ja", "nee"))</f>
        <v>ja</v>
      </c>
      <c r="O131" t="str">
        <f>IF(Klantgegevens_B!N130&lt;&gt;"", Klantgegevens_B!N130, IF(Klantgegevens_A!L130&gt;=7, "ja", "nee"))</f>
        <v>ja</v>
      </c>
      <c r="P131" t="str">
        <f>IF(Klantgegevens_B!O130&lt;&gt;"", Klantgegevens_B!O130, IF(Klantgegevens_A!L130&gt;=7, "ja", "nee"))</f>
        <v>Geen dieet</v>
      </c>
      <c r="Q131" t="str">
        <f>IF(Klantgegevens_B!P130&lt;&gt;"", Klantgegevens_B!P130, Klantgegevens_A!M130)</f>
        <v>Geen dieet</v>
      </c>
      <c r="R131" t="str">
        <f>IF(Klantgegevens_B!A130&lt;&gt;"", "B", "A")</f>
        <v>B</v>
      </c>
    </row>
    <row r="132" spans="1:18" x14ac:dyDescent="0.3">
      <c r="A132" t="str">
        <f>IF(Klantgegevens_B!A131&lt;&gt;"", Klantgegevens_B!A131, MID(Klantgegevens_A!A131, FIND(",", Klantgegevens_A!A131)+2, LEN(Klantgegevens_A!A131)))</f>
        <v>Estelle</v>
      </c>
      <c r="B132" t="str">
        <f>IF(Klantgegevens_B!B131&lt;&gt;"", Klantgegevens_B!B131, LEFT(Klantgegevens_A!A131, FIND(",", Klantgegevens_A!A131)-1))</f>
        <v>Van den bossche</v>
      </c>
      <c r="C132" t="str">
        <f t="shared" ca="1" si="2"/>
        <v/>
      </c>
      <c r="D132" t="str">
        <f>IF(Klantgegevens_B!F131&lt;&gt;"", Klantgegevens_B!F131, Klantgegevens_A!D131 &amp; " " &amp; Klantgegevens_A!E131 &amp; ", " &amp; Klantgegevens_A!F131)</f>
        <v>Estelle,Timmy</v>
      </c>
      <c r="E132">
        <f>IF(Klantgegevens_B!G131&lt;&gt;"", Klantgegevens_B!G131, TEXTJOIN(",", TRUE, REPT("Volwassene,", Klantgegevens_A!G131), REPT("Kind,", Klantgegevens_A!H131)))</f>
        <v>165.3</v>
      </c>
      <c r="F132">
        <f>IF(Klantgegevens_B!G131&lt;&gt;"", LEN(Klantgegevens_B!G131)-LEN(SUBSTITUTE(Klantgegevens_B!G131, ",", ""))+1, Klantgegevens_A!G131)</f>
        <v>1</v>
      </c>
      <c r="G132">
        <f>IF(Klantgegevens_B!G131&lt;&gt;"", 0, Klantgegevens_A!H131)</f>
        <v>0</v>
      </c>
      <c r="H132">
        <f>IF(Klantgegevens_B!H131&lt;&gt;"", Klantgegevens_B!H131, Klantgegevens_A!I131)</f>
        <v>7</v>
      </c>
      <c r="I132" t="str">
        <f>IF(Klantgegevens_B!I131&lt;&gt;"", Klantgegevens_B!I131, SWITCH(Klantgegevens_A!J131, "Zelden", 1, "Af en toe", 4, "Regelmatig", 8, "Vaak", 12))</f>
        <v>Bancontact</v>
      </c>
      <c r="J132" t="str">
        <f>IF(Klantgegevens_B!J131&lt;&gt;"", Klantgegevens_B!J131, Klantgegevens_A!K131)</f>
        <v>nee</v>
      </c>
      <c r="K132">
        <f>IF(Klantgegevens_B!K131&lt;&gt;"", AVERAGE(--(Klantgegevens_B!K131="ja"), --(Klantgegevens_B!L131="ja"), --(Klantgegevens_B!M131="ja"), --(Klantgegevens_B!N131="ja"), --(Klantgegevens_B!O131="ja"))*10, Klantgegevens_A!L131)</f>
        <v>4</v>
      </c>
      <c r="L132" t="str">
        <f>IF(Klantgegevens_B!K131&lt;&gt;"", Klantgegevens_B!K131, IF(Klantgegevens_A!L131&gt;=7, "ja", "nee"))</f>
        <v>nee</v>
      </c>
      <c r="M132" t="str">
        <f>IF(Klantgegevens_B!L131&lt;&gt;"", Klantgegevens_B!L131, IF(Klantgegevens_A!L131&gt;=7, "ja", "nee"))</f>
        <v>ja</v>
      </c>
      <c r="N132" t="str">
        <f>IF(Klantgegevens_B!M131&lt;&gt;"", Klantgegevens_B!M131, IF(Klantgegevens_A!L131&gt;=7, "ja", "nee"))</f>
        <v>ja</v>
      </c>
      <c r="O132" t="str">
        <f>IF(Klantgegevens_B!N131&lt;&gt;"", Klantgegevens_B!N131, IF(Klantgegevens_A!L131&gt;=7, "ja", "nee"))</f>
        <v>nee</v>
      </c>
      <c r="P132" t="str">
        <f>IF(Klantgegevens_B!O131&lt;&gt;"", Klantgegevens_B!O131, IF(Klantgegevens_A!L131&gt;=7, "ja", "nee"))</f>
        <v>Geen dieet</v>
      </c>
      <c r="Q132" t="str">
        <f>IF(Klantgegevens_B!P131&lt;&gt;"", Klantgegevens_B!P131, Klantgegevens_A!M131)</f>
        <v>Geen dieet</v>
      </c>
      <c r="R132" t="str">
        <f>IF(Klantgegevens_B!A131&lt;&gt;"", "B", "A")</f>
        <v>B</v>
      </c>
    </row>
    <row r="133" spans="1:18" x14ac:dyDescent="0.3">
      <c r="A133" t="str">
        <f>IF(Klantgegevens_B!A132&lt;&gt;"", Klantgegevens_B!A132, MID(Klantgegevens_A!A132, FIND(",", Klantgegevens_A!A132)+2, LEN(Klantgegevens_A!A132)))</f>
        <v>Bram</v>
      </c>
      <c r="B133" t="str">
        <f>IF(Klantgegevens_B!B132&lt;&gt;"", Klantgegevens_B!B132, LEFT(Klantgegevens_A!A132, FIND(",", Klantgegevens_A!A132)-1))</f>
        <v>Deprez</v>
      </c>
      <c r="C133" t="str">
        <f t="shared" ca="1" si="2"/>
        <v/>
      </c>
      <c r="D133" t="str">
        <f>IF(Klantgegevens_B!F132&lt;&gt;"", Klantgegevens_B!F132, Klantgegevens_A!D132 &amp; " " &amp; Klantgegevens_A!E132 &amp; ", " &amp; Klantgegevens_A!F132)</f>
        <v>Bram,Pascale,Anas,Martine</v>
      </c>
      <c r="E133">
        <f>IF(Klantgegevens_B!G132&lt;&gt;"", Klantgegevens_B!G132, TEXTJOIN(",", TRUE, REPT("Volwassene,", Klantgegevens_A!G132), REPT("Kind,", Klantgegevens_A!H132)))</f>
        <v>157.28</v>
      </c>
      <c r="F133">
        <f>IF(Klantgegevens_B!G132&lt;&gt;"", LEN(Klantgegevens_B!G132)-LEN(SUBSTITUTE(Klantgegevens_B!G132, ",", ""))+1, Klantgegevens_A!G132)</f>
        <v>1</v>
      </c>
      <c r="G133">
        <f>IF(Klantgegevens_B!G132&lt;&gt;"", 0, Klantgegevens_A!H132)</f>
        <v>0</v>
      </c>
      <c r="H133">
        <f>IF(Klantgegevens_B!H132&lt;&gt;"", Klantgegevens_B!H132, Klantgegevens_A!I132)</f>
        <v>6</v>
      </c>
      <c r="I133" t="str">
        <f>IF(Klantgegevens_B!I132&lt;&gt;"", Klantgegevens_B!I132, SWITCH(Klantgegevens_A!J132, "Zelden", 1, "Af en toe", 4, "Regelmatig", 8, "Vaak", 12))</f>
        <v>Cash</v>
      </c>
      <c r="J133" t="str">
        <f>IF(Klantgegevens_B!J132&lt;&gt;"", Klantgegevens_B!J132, Klantgegevens_A!K132)</f>
        <v>ja</v>
      </c>
      <c r="K133">
        <f>IF(Klantgegevens_B!K132&lt;&gt;"", AVERAGE(--(Klantgegevens_B!K132="ja"), --(Klantgegevens_B!L132="ja"), --(Klantgegevens_B!M132="ja"), --(Klantgegevens_B!N132="ja"), --(Klantgegevens_B!O132="ja"))*10, Klantgegevens_A!L132)</f>
        <v>6</v>
      </c>
      <c r="L133" t="str">
        <f>IF(Klantgegevens_B!K132&lt;&gt;"", Klantgegevens_B!K132, IF(Klantgegevens_A!L132&gt;=7, "ja", "nee"))</f>
        <v>ja</v>
      </c>
      <c r="M133" t="str">
        <f>IF(Klantgegevens_B!L132&lt;&gt;"", Klantgegevens_B!L132, IF(Klantgegevens_A!L132&gt;=7, "ja", "nee"))</f>
        <v>ja</v>
      </c>
      <c r="N133" t="str">
        <f>IF(Klantgegevens_B!M132&lt;&gt;"", Klantgegevens_B!M132, IF(Klantgegevens_A!L132&gt;=7, "ja", "nee"))</f>
        <v>ja</v>
      </c>
      <c r="O133" t="str">
        <f>IF(Klantgegevens_B!N132&lt;&gt;"", Klantgegevens_B!N132, IF(Klantgegevens_A!L132&gt;=7, "ja", "nee"))</f>
        <v>nee</v>
      </c>
      <c r="P133" t="str">
        <f>IF(Klantgegevens_B!O132&lt;&gt;"", Klantgegevens_B!O132, IF(Klantgegevens_A!L132&gt;=7, "ja", "nee"))</f>
        <v>Geen dieet</v>
      </c>
      <c r="Q133" t="str">
        <f>IF(Klantgegevens_B!P132&lt;&gt;"", Klantgegevens_B!P132, Klantgegevens_A!M132)</f>
        <v>Geen dieet</v>
      </c>
      <c r="R133" t="str">
        <f>IF(Klantgegevens_B!A132&lt;&gt;"", "B", "A")</f>
        <v>B</v>
      </c>
    </row>
    <row r="134" spans="1:18" x14ac:dyDescent="0.3">
      <c r="A134" t="str">
        <f>IF(Klantgegevens_B!A133&lt;&gt;"", Klantgegevens_B!A133, MID(Klantgegevens_A!A133, FIND(",", Klantgegevens_A!A133)+2, LEN(Klantgegevens_A!A133)))</f>
        <v>Michèle</v>
      </c>
      <c r="B134" t="str">
        <f>IF(Klantgegevens_B!B133&lt;&gt;"", Klantgegevens_B!B133, LEFT(Klantgegevens_A!A133, FIND(",", Klantgegevens_A!A133)-1))</f>
        <v>Leroy</v>
      </c>
      <c r="C134" t="str">
        <f t="shared" ca="1" si="2"/>
        <v/>
      </c>
      <c r="D134" t="str">
        <f>IF(Klantgegevens_B!F133&lt;&gt;"", Klantgegevens_B!F133, Klantgegevens_A!D133 &amp; " " &amp; Klantgegevens_A!E133 &amp; ", " &amp; Klantgegevens_A!F133)</f>
        <v>Michèle,Nora,Gauthier,Christiane</v>
      </c>
      <c r="E134">
        <f>IF(Klantgegevens_B!G133&lt;&gt;"", Klantgegevens_B!G133, TEXTJOIN(",", TRUE, REPT("Volwassene,", Klantgegevens_A!G133), REPT("Kind,", Klantgegevens_A!H133)))</f>
        <v>168.38</v>
      </c>
      <c r="F134">
        <f>IF(Klantgegevens_B!G133&lt;&gt;"", LEN(Klantgegevens_B!G133)-LEN(SUBSTITUTE(Klantgegevens_B!G133, ",", ""))+1, Klantgegevens_A!G133)</f>
        <v>1</v>
      </c>
      <c r="G134">
        <f>IF(Klantgegevens_B!G133&lt;&gt;"", 0, Klantgegevens_A!H133)</f>
        <v>0</v>
      </c>
      <c r="H134">
        <f>IF(Klantgegevens_B!H133&lt;&gt;"", Klantgegevens_B!H133, Klantgegevens_A!I133)</f>
        <v>7</v>
      </c>
      <c r="I134" t="str">
        <f>IF(Klantgegevens_B!I133&lt;&gt;"", Klantgegevens_B!I133, SWITCH(Klantgegevens_A!J133, "Zelden", 1, "Af en toe", 4, "Regelmatig", 8, "Vaak", 12))</f>
        <v>Bancontact</v>
      </c>
      <c r="J134" t="str">
        <f>IF(Klantgegevens_B!J133&lt;&gt;"", Klantgegevens_B!J133, Klantgegevens_A!K133)</f>
        <v>nee</v>
      </c>
      <c r="K134">
        <f>IF(Klantgegevens_B!K133&lt;&gt;"", AVERAGE(--(Klantgegevens_B!K133="ja"), --(Klantgegevens_B!L133="ja"), --(Klantgegevens_B!M133="ja"), --(Klantgegevens_B!N133="ja"), --(Klantgegevens_B!O133="ja"))*10, Klantgegevens_A!L133)</f>
        <v>8</v>
      </c>
      <c r="L134" t="str">
        <f>IF(Klantgegevens_B!K133&lt;&gt;"", Klantgegevens_B!K133, IF(Klantgegevens_A!L133&gt;=7, "ja", "nee"))</f>
        <v>ja</v>
      </c>
      <c r="M134" t="str">
        <f>IF(Klantgegevens_B!L133&lt;&gt;"", Klantgegevens_B!L133, IF(Klantgegevens_A!L133&gt;=7, "ja", "nee"))</f>
        <v>ja</v>
      </c>
      <c r="N134" t="str">
        <f>IF(Klantgegevens_B!M133&lt;&gt;"", Klantgegevens_B!M133, IF(Klantgegevens_A!L133&gt;=7, "ja", "nee"))</f>
        <v>ja</v>
      </c>
      <c r="O134" t="str">
        <f>IF(Klantgegevens_B!N133&lt;&gt;"", Klantgegevens_B!N133, IF(Klantgegevens_A!L133&gt;=7, "ja", "nee"))</f>
        <v>ja</v>
      </c>
      <c r="P134" t="str">
        <f>IF(Klantgegevens_B!O133&lt;&gt;"", Klantgegevens_B!O133, IF(Klantgegevens_A!L133&gt;=7, "ja", "nee"))</f>
        <v>Geen dieet</v>
      </c>
      <c r="Q134" t="str">
        <f>IF(Klantgegevens_B!P133&lt;&gt;"", Klantgegevens_B!P133, Klantgegevens_A!M133)</f>
        <v>Geen dieet</v>
      </c>
      <c r="R134" t="str">
        <f>IF(Klantgegevens_B!A133&lt;&gt;"", "B", "A")</f>
        <v>B</v>
      </c>
    </row>
    <row r="135" spans="1:18" x14ac:dyDescent="0.3">
      <c r="A135" t="str">
        <f>IF(Klantgegevens_B!A134&lt;&gt;"", Klantgegevens_B!A134, MID(Klantgegevens_A!A134, FIND(",", Klantgegevens_A!A134)+2, LEN(Klantgegevens_A!A134)))</f>
        <v>Maria</v>
      </c>
      <c r="B135" t="str">
        <f>IF(Klantgegevens_B!B134&lt;&gt;"", Klantgegevens_B!B134, LEFT(Klantgegevens_A!A134, FIND(",", Klantgegevens_A!A134)-1))</f>
        <v>Verbeeck</v>
      </c>
      <c r="C135" t="str">
        <f t="shared" ca="1" si="2"/>
        <v/>
      </c>
      <c r="D135" t="str">
        <f>IF(Klantgegevens_B!F134&lt;&gt;"", Klantgegevens_B!F134, Klantgegevens_A!D134 &amp; " " &amp; Klantgegevens_A!E134 &amp; ", " &amp; Klantgegevens_A!F134)</f>
        <v>Maria,Adam</v>
      </c>
      <c r="E135">
        <f>IF(Klantgegevens_B!G134&lt;&gt;"", Klantgegevens_B!G134, TEXTJOIN(",", TRUE, REPT("Volwassene,", Klantgegevens_A!G134), REPT("Kind,", Klantgegevens_A!H134)))</f>
        <v>102.48</v>
      </c>
      <c r="F135">
        <f>IF(Klantgegevens_B!G134&lt;&gt;"", LEN(Klantgegevens_B!G134)-LEN(SUBSTITUTE(Klantgegevens_B!G134, ",", ""))+1, Klantgegevens_A!G134)</f>
        <v>1</v>
      </c>
      <c r="G135">
        <f>IF(Klantgegevens_B!G134&lt;&gt;"", 0, Klantgegevens_A!H134)</f>
        <v>0</v>
      </c>
      <c r="H135">
        <f>IF(Klantgegevens_B!H134&lt;&gt;"", Klantgegevens_B!H134, Klantgegevens_A!I134)</f>
        <v>12</v>
      </c>
      <c r="I135" t="str">
        <f>IF(Klantgegevens_B!I134&lt;&gt;"", Klantgegevens_B!I134, SWITCH(Klantgegevens_A!J134, "Zelden", 1, "Af en toe", 4, "Regelmatig", 8, "Vaak", 12))</f>
        <v>Payconiq</v>
      </c>
      <c r="J135" t="str">
        <f>IF(Klantgegevens_B!J134&lt;&gt;"", Klantgegevens_B!J134, Klantgegevens_A!K134)</f>
        <v>ja</v>
      </c>
      <c r="K135">
        <f>IF(Klantgegevens_B!K134&lt;&gt;"", AVERAGE(--(Klantgegevens_B!K134="ja"), --(Klantgegevens_B!L134="ja"), --(Klantgegevens_B!M134="ja"), --(Klantgegevens_B!N134="ja"), --(Klantgegevens_B!O134="ja"))*10, Klantgegevens_A!L134)</f>
        <v>4</v>
      </c>
      <c r="L135" t="str">
        <f>IF(Klantgegevens_B!K134&lt;&gt;"", Klantgegevens_B!K134, IF(Klantgegevens_A!L134&gt;=7, "ja", "nee"))</f>
        <v>nee</v>
      </c>
      <c r="M135" t="str">
        <f>IF(Klantgegevens_B!L134&lt;&gt;"", Klantgegevens_B!L134, IF(Klantgegevens_A!L134&gt;=7, "ja", "nee"))</f>
        <v>ja</v>
      </c>
      <c r="N135" t="str">
        <f>IF(Klantgegevens_B!M134&lt;&gt;"", Klantgegevens_B!M134, IF(Klantgegevens_A!L134&gt;=7, "ja", "nee"))</f>
        <v>ja</v>
      </c>
      <c r="O135" t="str">
        <f>IF(Klantgegevens_B!N134&lt;&gt;"", Klantgegevens_B!N134, IF(Klantgegevens_A!L134&gt;=7, "ja", "nee"))</f>
        <v>nee</v>
      </c>
      <c r="P135" t="str">
        <f>IF(Klantgegevens_B!O134&lt;&gt;"", Klantgegevens_B!O134, IF(Klantgegevens_A!L134&gt;=7, "ja", "nee"))</f>
        <v>Geen dieet</v>
      </c>
      <c r="Q135" t="str">
        <f>IF(Klantgegevens_B!P134&lt;&gt;"", Klantgegevens_B!P134, Klantgegevens_A!M134)</f>
        <v>Vegetarisch</v>
      </c>
      <c r="R135" t="str">
        <f>IF(Klantgegevens_B!A134&lt;&gt;"", "B", "A")</f>
        <v>B</v>
      </c>
    </row>
    <row r="136" spans="1:18" x14ac:dyDescent="0.3">
      <c r="A136" t="str">
        <f>IF(Klantgegevens_B!A135&lt;&gt;"", Klantgegevens_B!A135, MID(Klantgegevens_A!A135, FIND(",", Klantgegevens_A!A135)+2, LEN(Klantgegevens_A!A135)))</f>
        <v>Roland</v>
      </c>
      <c r="B136" t="str">
        <f>IF(Klantgegevens_B!B135&lt;&gt;"", Klantgegevens_B!B135, LEFT(Klantgegevens_A!A135, FIND(",", Klantgegevens_A!A135)-1))</f>
        <v>Dumont</v>
      </c>
      <c r="C136" t="str">
        <f t="shared" ca="1" si="2"/>
        <v/>
      </c>
      <c r="D136" t="str">
        <f>IF(Klantgegevens_B!F135&lt;&gt;"", Klantgegevens_B!F135, Klantgegevens_A!D135 &amp; " " &amp; Klantgegevens_A!E135 &amp; ", " &amp; Klantgegevens_A!F135)</f>
        <v>Roland,Oona</v>
      </c>
      <c r="E136">
        <f>IF(Klantgegevens_B!G135&lt;&gt;"", Klantgegevens_B!G135, TEXTJOIN(",", TRUE, REPT("Volwassene,", Klantgegevens_A!G135), REPT("Kind,", Klantgegevens_A!H135)))</f>
        <v>100.27</v>
      </c>
      <c r="F136">
        <f>IF(Klantgegevens_B!G135&lt;&gt;"", LEN(Klantgegevens_B!G135)-LEN(SUBSTITUTE(Klantgegevens_B!G135, ",", ""))+1, Klantgegevens_A!G135)</f>
        <v>1</v>
      </c>
      <c r="G136">
        <f>IF(Klantgegevens_B!G135&lt;&gt;"", 0, Klantgegevens_A!H135)</f>
        <v>0</v>
      </c>
      <c r="H136">
        <f>IF(Klantgegevens_B!H135&lt;&gt;"", Klantgegevens_B!H135, Klantgegevens_A!I135)</f>
        <v>14</v>
      </c>
      <c r="I136" t="str">
        <f>IF(Klantgegevens_B!I135&lt;&gt;"", Klantgegevens_B!I135, SWITCH(Klantgegevens_A!J135, "Zelden", 1, "Af en toe", 4, "Regelmatig", 8, "Vaak", 12))</f>
        <v>Cash</v>
      </c>
      <c r="J136" t="str">
        <f>IF(Klantgegevens_B!J135&lt;&gt;"", Klantgegevens_B!J135, Klantgegevens_A!K135)</f>
        <v>ja</v>
      </c>
      <c r="K136">
        <f>IF(Klantgegevens_B!K135&lt;&gt;"", AVERAGE(--(Klantgegevens_B!K135="ja"), --(Klantgegevens_B!L135="ja"), --(Klantgegevens_B!M135="ja"), --(Klantgegevens_B!N135="ja"), --(Klantgegevens_B!O135="ja"))*10, Klantgegevens_A!L135)</f>
        <v>2</v>
      </c>
      <c r="L136" t="str">
        <f>IF(Klantgegevens_B!K135&lt;&gt;"", Klantgegevens_B!K135, IF(Klantgegevens_A!L135&gt;=7, "ja", "nee"))</f>
        <v>nee</v>
      </c>
      <c r="M136" t="str">
        <f>IF(Klantgegevens_B!L135&lt;&gt;"", Klantgegevens_B!L135, IF(Klantgegevens_A!L135&gt;=7, "ja", "nee"))</f>
        <v>nee</v>
      </c>
      <c r="N136" t="str">
        <f>IF(Klantgegevens_B!M135&lt;&gt;"", Klantgegevens_B!M135, IF(Klantgegevens_A!L135&gt;=7, "ja", "nee"))</f>
        <v>ja</v>
      </c>
      <c r="O136" t="str">
        <f>IF(Klantgegevens_B!N135&lt;&gt;"", Klantgegevens_B!N135, IF(Klantgegevens_A!L135&gt;=7, "ja", "nee"))</f>
        <v>nee</v>
      </c>
      <c r="P136" t="str">
        <f>IF(Klantgegevens_B!O135&lt;&gt;"", Klantgegevens_B!O135, IF(Klantgegevens_A!L135&gt;=7, "ja", "nee"))</f>
        <v>Geen dieet</v>
      </c>
      <c r="Q136" t="str">
        <f>IF(Klantgegevens_B!P135&lt;&gt;"", Klantgegevens_B!P135, Klantgegevens_A!M135)</f>
        <v>Vegetarisch</v>
      </c>
      <c r="R136" t="str">
        <f>IF(Klantgegevens_B!A135&lt;&gt;"", "B", "A")</f>
        <v>B</v>
      </c>
    </row>
    <row r="137" spans="1:18" x14ac:dyDescent="0.3">
      <c r="A137" t="str">
        <f>IF(Klantgegevens_B!A136&lt;&gt;"", Klantgegevens_B!A136, MID(Klantgegevens_A!A136, FIND(",", Klantgegevens_A!A136)+2, LEN(Klantgegevens_A!A136)))</f>
        <v>Alexandra</v>
      </c>
      <c r="B137" t="str">
        <f>IF(Klantgegevens_B!B136&lt;&gt;"", Klantgegevens_B!B136, LEFT(Klantgegevens_A!A136, FIND(",", Klantgegevens_A!A136)-1))</f>
        <v>Carpentier</v>
      </c>
      <c r="C137" t="str">
        <f t="shared" ca="1" si="2"/>
        <v/>
      </c>
      <c r="D137" t="str">
        <f>IF(Klantgegevens_B!F136&lt;&gt;"", Klantgegevens_B!F136, Klantgegevens_A!D136 &amp; " " &amp; Klantgegevens_A!E136 &amp; ", " &amp; Klantgegevens_A!F136)</f>
        <v>Alexandra,Frédéric,Amy,Lisette</v>
      </c>
      <c r="E137">
        <f>IF(Klantgegevens_B!G136&lt;&gt;"", Klantgegevens_B!G136, TEXTJOIN(",", TRUE, REPT("Volwassene,", Klantgegevens_A!G136), REPT("Kind,", Klantgegevens_A!H136)))</f>
        <v>169.27</v>
      </c>
      <c r="F137">
        <f>IF(Klantgegevens_B!G136&lt;&gt;"", LEN(Klantgegevens_B!G136)-LEN(SUBSTITUTE(Klantgegevens_B!G136, ",", ""))+1, Klantgegevens_A!G136)</f>
        <v>1</v>
      </c>
      <c r="G137">
        <f>IF(Klantgegevens_B!G136&lt;&gt;"", 0, Klantgegevens_A!H136)</f>
        <v>0</v>
      </c>
      <c r="H137">
        <f>IF(Klantgegevens_B!H136&lt;&gt;"", Klantgegevens_B!H136, Klantgegevens_A!I136)</f>
        <v>5</v>
      </c>
      <c r="I137" t="str">
        <f>IF(Klantgegevens_B!I136&lt;&gt;"", Klantgegevens_B!I136, SWITCH(Klantgegevens_A!J136, "Zelden", 1, "Af en toe", 4, "Regelmatig", 8, "Vaak", 12))</f>
        <v>Bancontact</v>
      </c>
      <c r="J137" t="str">
        <f>IF(Klantgegevens_B!J136&lt;&gt;"", Klantgegevens_B!J136, Klantgegevens_A!K136)</f>
        <v>nee</v>
      </c>
      <c r="K137">
        <f>IF(Klantgegevens_B!K136&lt;&gt;"", AVERAGE(--(Klantgegevens_B!K136="ja"), --(Klantgegevens_B!L136="ja"), --(Klantgegevens_B!M136="ja"), --(Klantgegevens_B!N136="ja"), --(Klantgegevens_B!O136="ja"))*10, Klantgegevens_A!L136)</f>
        <v>6</v>
      </c>
      <c r="L137" t="str">
        <f>IF(Klantgegevens_B!K136&lt;&gt;"", Klantgegevens_B!K136, IF(Klantgegevens_A!L136&gt;=7, "ja", "nee"))</f>
        <v>ja</v>
      </c>
      <c r="M137" t="str">
        <f>IF(Klantgegevens_B!L136&lt;&gt;"", Klantgegevens_B!L136, IF(Klantgegevens_A!L136&gt;=7, "ja", "nee"))</f>
        <v>ja</v>
      </c>
      <c r="N137" t="str">
        <f>IF(Klantgegevens_B!M136&lt;&gt;"", Klantgegevens_B!M136, IF(Klantgegevens_A!L136&gt;=7, "ja", "nee"))</f>
        <v>nee</v>
      </c>
      <c r="O137" t="str">
        <f>IF(Klantgegevens_B!N136&lt;&gt;"", Klantgegevens_B!N136, IF(Klantgegevens_A!L136&gt;=7, "ja", "nee"))</f>
        <v>ja</v>
      </c>
      <c r="P137" t="str">
        <f>IF(Klantgegevens_B!O136&lt;&gt;"", Klantgegevens_B!O136, IF(Klantgegevens_A!L136&gt;=7, "ja", "nee"))</f>
        <v>Vegetarisch</v>
      </c>
      <c r="Q137" t="str">
        <f>IF(Klantgegevens_B!P136&lt;&gt;"", Klantgegevens_B!P136, Klantgegevens_A!M136)</f>
        <v>Geen dieet</v>
      </c>
      <c r="R137" t="str">
        <f>IF(Klantgegevens_B!A136&lt;&gt;"", "B", "A")</f>
        <v>B</v>
      </c>
    </row>
    <row r="138" spans="1:18" x14ac:dyDescent="0.3">
      <c r="A138" t="str">
        <f>IF(Klantgegevens_B!A137&lt;&gt;"", Klantgegevens_B!A137, MID(Klantgegevens_A!A137, FIND(",", Klantgegevens_A!A137)+2, LEN(Klantgegevens_A!A137)))</f>
        <v>Cornelia</v>
      </c>
      <c r="B138" t="str">
        <f>IF(Klantgegevens_B!B137&lt;&gt;"", Klantgegevens_B!B137, LEFT(Klantgegevens_A!A137, FIND(",", Klantgegevens_A!A137)-1))</f>
        <v>Janssens</v>
      </c>
      <c r="C138" t="str">
        <f t="shared" ca="1" si="2"/>
        <v/>
      </c>
      <c r="D138" t="str">
        <f>IF(Klantgegevens_B!F137&lt;&gt;"", Klantgegevens_B!F137, Klantgegevens_A!D137 &amp; " " &amp; Klantgegevens_A!E137 &amp; ", " &amp; Klantgegevens_A!F137)</f>
        <v>Cornelia</v>
      </c>
      <c r="E138">
        <f>IF(Klantgegevens_B!G137&lt;&gt;"", Klantgegevens_B!G137, TEXTJOIN(",", TRUE, REPT("Volwassene,", Klantgegevens_A!G137), REPT("Kind,", Klantgegevens_A!H137)))</f>
        <v>107.41</v>
      </c>
      <c r="F138">
        <f>IF(Klantgegevens_B!G137&lt;&gt;"", LEN(Klantgegevens_B!G137)-LEN(SUBSTITUTE(Klantgegevens_B!G137, ",", ""))+1, Klantgegevens_A!G137)</f>
        <v>1</v>
      </c>
      <c r="G138">
        <f>IF(Klantgegevens_B!G137&lt;&gt;"", 0, Klantgegevens_A!H137)</f>
        <v>0</v>
      </c>
      <c r="H138">
        <f>IF(Klantgegevens_B!H137&lt;&gt;"", Klantgegevens_B!H137, Klantgegevens_A!I137)</f>
        <v>11</v>
      </c>
      <c r="I138" t="str">
        <f>IF(Klantgegevens_B!I137&lt;&gt;"", Klantgegevens_B!I137, SWITCH(Klantgegevens_A!J137, "Zelden", 1, "Af en toe", 4, "Regelmatig", 8, "Vaak", 12))</f>
        <v>Bancontact</v>
      </c>
      <c r="J138" t="str">
        <f>IF(Klantgegevens_B!J137&lt;&gt;"", Klantgegevens_B!J137, Klantgegevens_A!K137)</f>
        <v>ja</v>
      </c>
      <c r="K138">
        <f>IF(Klantgegevens_B!K137&lt;&gt;"", AVERAGE(--(Klantgegevens_B!K137="ja"), --(Klantgegevens_B!L137="ja"), --(Klantgegevens_B!M137="ja"), --(Klantgegevens_B!N137="ja"), --(Klantgegevens_B!O137="ja"))*10, Klantgegevens_A!L137)</f>
        <v>6</v>
      </c>
      <c r="L138" t="str">
        <f>IF(Klantgegevens_B!K137&lt;&gt;"", Klantgegevens_B!K137, IF(Klantgegevens_A!L137&gt;=7, "ja", "nee"))</f>
        <v>ja</v>
      </c>
      <c r="M138" t="str">
        <f>IF(Klantgegevens_B!L137&lt;&gt;"", Klantgegevens_B!L137, IF(Klantgegevens_A!L137&gt;=7, "ja", "nee"))</f>
        <v>ja</v>
      </c>
      <c r="N138" t="str">
        <f>IF(Klantgegevens_B!M137&lt;&gt;"", Klantgegevens_B!M137, IF(Klantgegevens_A!L137&gt;=7, "ja", "nee"))</f>
        <v>ja</v>
      </c>
      <c r="O138" t="str">
        <f>IF(Klantgegevens_B!N137&lt;&gt;"", Klantgegevens_B!N137, IF(Klantgegevens_A!L137&gt;=7, "ja", "nee"))</f>
        <v>nee</v>
      </c>
      <c r="P138" t="str">
        <f>IF(Klantgegevens_B!O137&lt;&gt;"", Klantgegevens_B!O137, IF(Klantgegevens_A!L137&gt;=7, "ja", "nee"))</f>
        <v>Geen dieet</v>
      </c>
      <c r="Q138" t="str">
        <f>IF(Klantgegevens_B!P137&lt;&gt;"", Klantgegevens_B!P137, Klantgegevens_A!M137)</f>
        <v>Geen dieet</v>
      </c>
      <c r="R138" t="str">
        <f>IF(Klantgegevens_B!A137&lt;&gt;"", "B", "A")</f>
        <v>B</v>
      </c>
    </row>
    <row r="139" spans="1:18" x14ac:dyDescent="0.3">
      <c r="A139" t="str">
        <f>IF(Klantgegevens_B!A138&lt;&gt;"", Klantgegevens_B!A138, MID(Klantgegevens_A!A138, FIND(",", Klantgegevens_A!A138)+2, LEN(Klantgegevens_A!A138)))</f>
        <v>Julien</v>
      </c>
      <c r="B139" t="str">
        <f>IF(Klantgegevens_B!B138&lt;&gt;"", Klantgegevens_B!B138, LEFT(Klantgegevens_A!A138, FIND(",", Klantgegevens_A!A138)-1))</f>
        <v>Maes</v>
      </c>
      <c r="C139" t="str">
        <f t="shared" ca="1" si="2"/>
        <v/>
      </c>
      <c r="D139" t="str">
        <f>IF(Klantgegevens_B!F138&lt;&gt;"", Klantgegevens_B!F138, Klantgegevens_A!D138 &amp; " " &amp; Klantgegevens_A!E138 &amp; ", " &amp; Klantgegevens_A!F138)</f>
        <v>Julien,Nele,Jesse,Dominique,Rayane</v>
      </c>
      <c r="E139">
        <f>IF(Klantgegevens_B!G138&lt;&gt;"", Klantgegevens_B!G138, TEXTJOIN(",", TRUE, REPT("Volwassene,", Klantgegevens_A!G138), REPT("Kind,", Klantgegevens_A!H138)))</f>
        <v>223.53</v>
      </c>
      <c r="F139">
        <f>IF(Klantgegevens_B!G138&lt;&gt;"", LEN(Klantgegevens_B!G138)-LEN(SUBSTITUTE(Klantgegevens_B!G138, ",", ""))+1, Klantgegevens_A!G138)</f>
        <v>1</v>
      </c>
      <c r="G139">
        <f>IF(Klantgegevens_B!G138&lt;&gt;"", 0, Klantgegevens_A!H138)</f>
        <v>0</v>
      </c>
      <c r="H139">
        <f>IF(Klantgegevens_B!H138&lt;&gt;"", Klantgegevens_B!H138, Klantgegevens_A!I138)</f>
        <v>10</v>
      </c>
      <c r="I139" t="str">
        <f>IF(Klantgegevens_B!I138&lt;&gt;"", Klantgegevens_B!I138, SWITCH(Klantgegevens_A!J138, "Zelden", 1, "Af en toe", 4, "Regelmatig", 8, "Vaak", 12))</f>
        <v>Payconiq</v>
      </c>
      <c r="J139" t="str">
        <f>IF(Klantgegevens_B!J138&lt;&gt;"", Klantgegevens_B!J138, Klantgegevens_A!K138)</f>
        <v>ja</v>
      </c>
      <c r="K139">
        <f>IF(Klantgegevens_B!K138&lt;&gt;"", AVERAGE(--(Klantgegevens_B!K138="ja"), --(Klantgegevens_B!L138="ja"), --(Klantgegevens_B!M138="ja"), --(Klantgegevens_B!N138="ja"), --(Klantgegevens_B!O138="ja"))*10, Klantgegevens_A!L138)</f>
        <v>6</v>
      </c>
      <c r="L139" t="str">
        <f>IF(Klantgegevens_B!K138&lt;&gt;"", Klantgegevens_B!K138, IF(Klantgegevens_A!L138&gt;=7, "ja", "nee"))</f>
        <v>ja</v>
      </c>
      <c r="M139" t="str">
        <f>IF(Klantgegevens_B!L138&lt;&gt;"", Klantgegevens_B!L138, IF(Klantgegevens_A!L138&gt;=7, "ja", "nee"))</f>
        <v>ja</v>
      </c>
      <c r="N139" t="str">
        <f>IF(Klantgegevens_B!M138&lt;&gt;"", Klantgegevens_B!M138, IF(Klantgegevens_A!L138&gt;=7, "ja", "nee"))</f>
        <v>ja</v>
      </c>
      <c r="O139" t="str">
        <f>IF(Klantgegevens_B!N138&lt;&gt;"", Klantgegevens_B!N138, IF(Klantgegevens_A!L138&gt;=7, "ja", "nee"))</f>
        <v>nee</v>
      </c>
      <c r="P139" t="str">
        <f>IF(Klantgegevens_B!O138&lt;&gt;"", Klantgegevens_B!O138, IF(Klantgegevens_A!L138&gt;=7, "ja", "nee"))</f>
        <v>Geen dieet</v>
      </c>
      <c r="Q139" t="str">
        <f>IF(Klantgegevens_B!P138&lt;&gt;"", Klantgegevens_B!P138, Klantgegevens_A!M138)</f>
        <v>Geen dieet</v>
      </c>
      <c r="R139" t="str">
        <f>IF(Klantgegevens_B!A138&lt;&gt;"", "B", "A")</f>
        <v>B</v>
      </c>
    </row>
    <row r="140" spans="1:18" x14ac:dyDescent="0.3">
      <c r="A140" t="str">
        <f>IF(Klantgegevens_B!A139&lt;&gt;"", Klantgegevens_B!A139, MID(Klantgegevens_A!A139, FIND(",", Klantgegevens_A!A139)+2, LEN(Klantgegevens_A!A139)))</f>
        <v>Souheil</v>
      </c>
      <c r="B140" t="str">
        <f>IF(Klantgegevens_B!B139&lt;&gt;"", Klantgegevens_B!B139, LEFT(Klantgegevens_A!A139, FIND(",", Klantgegevens_A!A139)-1))</f>
        <v>Martin</v>
      </c>
      <c r="C140" t="str">
        <f t="shared" ca="1" si="2"/>
        <v/>
      </c>
      <c r="D140" t="str">
        <f>IF(Klantgegevens_B!F139&lt;&gt;"", Klantgegevens_B!F139, Klantgegevens_A!D139 &amp; " " &amp; Klantgegevens_A!E139 &amp; ", " &amp; Klantgegevens_A!F139)</f>
        <v>Souheil,Tatjana</v>
      </c>
      <c r="E140">
        <f>IF(Klantgegevens_B!G139&lt;&gt;"", Klantgegevens_B!G139, TEXTJOIN(",", TRUE, REPT("Volwassene,", Klantgegevens_A!G139), REPT("Kind,", Klantgegevens_A!H139)))</f>
        <v>41.38</v>
      </c>
      <c r="F140">
        <f>IF(Klantgegevens_B!G139&lt;&gt;"", LEN(Klantgegevens_B!G139)-LEN(SUBSTITUTE(Klantgegevens_B!G139, ",", ""))+1, Klantgegevens_A!G139)</f>
        <v>1</v>
      </c>
      <c r="G140">
        <f>IF(Klantgegevens_B!G139&lt;&gt;"", 0, Klantgegevens_A!H139)</f>
        <v>0</v>
      </c>
      <c r="H140">
        <f>IF(Klantgegevens_B!H139&lt;&gt;"", Klantgegevens_B!H139, Klantgegevens_A!I139)</f>
        <v>5</v>
      </c>
      <c r="I140" t="str">
        <f>IF(Klantgegevens_B!I139&lt;&gt;"", Klantgegevens_B!I139, SWITCH(Klantgegevens_A!J139, "Zelden", 1, "Af en toe", 4, "Regelmatig", 8, "Vaak", 12))</f>
        <v>Bancontact</v>
      </c>
      <c r="J140" t="str">
        <f>IF(Klantgegevens_B!J139&lt;&gt;"", Klantgegevens_B!J139, Klantgegevens_A!K139)</f>
        <v>ja</v>
      </c>
      <c r="K140">
        <f>IF(Klantgegevens_B!K139&lt;&gt;"", AVERAGE(--(Klantgegevens_B!K139="ja"), --(Klantgegevens_B!L139="ja"), --(Klantgegevens_B!M139="ja"), --(Klantgegevens_B!N139="ja"), --(Klantgegevens_B!O139="ja"))*10, Klantgegevens_A!L139)</f>
        <v>8</v>
      </c>
      <c r="L140" t="str">
        <f>IF(Klantgegevens_B!K139&lt;&gt;"", Klantgegevens_B!K139, IF(Klantgegevens_A!L139&gt;=7, "ja", "nee"))</f>
        <v>ja</v>
      </c>
      <c r="M140" t="str">
        <f>IF(Klantgegevens_B!L139&lt;&gt;"", Klantgegevens_B!L139, IF(Klantgegevens_A!L139&gt;=7, "ja", "nee"))</f>
        <v>ja</v>
      </c>
      <c r="N140" t="str">
        <f>IF(Klantgegevens_B!M139&lt;&gt;"", Klantgegevens_B!M139, IF(Klantgegevens_A!L139&gt;=7, "ja", "nee"))</f>
        <v>ja</v>
      </c>
      <c r="O140" t="str">
        <f>IF(Klantgegevens_B!N139&lt;&gt;"", Klantgegevens_B!N139, IF(Klantgegevens_A!L139&gt;=7, "ja", "nee"))</f>
        <v>ja</v>
      </c>
      <c r="P140" t="str">
        <f>IF(Klantgegevens_B!O139&lt;&gt;"", Klantgegevens_B!O139, IF(Klantgegevens_A!L139&gt;=7, "ja", "nee"))</f>
        <v>Geen dieet</v>
      </c>
      <c r="Q140" t="str">
        <f>IF(Klantgegevens_B!P139&lt;&gt;"", Klantgegevens_B!P139, Klantgegevens_A!M139)</f>
        <v>Geen dieet</v>
      </c>
      <c r="R140" t="str">
        <f>IF(Klantgegevens_B!A139&lt;&gt;"", "B", "A")</f>
        <v>B</v>
      </c>
    </row>
    <row r="141" spans="1:18" x14ac:dyDescent="0.3">
      <c r="A141" t="str">
        <f>IF(Klantgegevens_B!A140&lt;&gt;"", Klantgegevens_B!A140, MID(Klantgegevens_A!A140, FIND(",", Klantgegevens_A!A140)+2, LEN(Klantgegevens_A!A140)))</f>
        <v>Christophe</v>
      </c>
      <c r="B141" t="str">
        <f>IF(Klantgegevens_B!B140&lt;&gt;"", Klantgegevens_B!B140, LEFT(Klantgegevens_A!A140, FIND(",", Klantgegevens_A!A140)-1))</f>
        <v>De clercq</v>
      </c>
      <c r="C141" t="str">
        <f t="shared" ca="1" si="2"/>
        <v/>
      </c>
      <c r="D141" t="str">
        <f>IF(Klantgegevens_B!F140&lt;&gt;"", Klantgegevens_B!F140, Klantgegevens_A!D140 &amp; " " &amp; Klantgegevens_A!E140 &amp; ", " &amp; Klantgegevens_A!F140)</f>
        <v>Christophe,Nathalie,Logan</v>
      </c>
      <c r="E141">
        <f>IF(Klantgegevens_B!G140&lt;&gt;"", Klantgegevens_B!G140, TEXTJOIN(",", TRUE, REPT("Volwassene,", Klantgegevens_A!G140), REPT("Kind,", Klantgegevens_A!H140)))</f>
        <v>146.04</v>
      </c>
      <c r="F141">
        <f>IF(Klantgegevens_B!G140&lt;&gt;"", LEN(Klantgegevens_B!G140)-LEN(SUBSTITUTE(Klantgegevens_B!G140, ",", ""))+1, Klantgegevens_A!G140)</f>
        <v>1</v>
      </c>
      <c r="G141">
        <f>IF(Klantgegevens_B!G140&lt;&gt;"", 0, Klantgegevens_A!H140)</f>
        <v>0</v>
      </c>
      <c r="H141">
        <f>IF(Klantgegevens_B!H140&lt;&gt;"", Klantgegevens_B!H140, Klantgegevens_A!I140)</f>
        <v>16</v>
      </c>
      <c r="I141" t="str">
        <f>IF(Klantgegevens_B!I140&lt;&gt;"", Klantgegevens_B!I140, SWITCH(Klantgegevens_A!J140, "Zelden", 1, "Af en toe", 4, "Regelmatig", 8, "Vaak", 12))</f>
        <v>Bancontact</v>
      </c>
      <c r="J141" t="str">
        <f>IF(Klantgegevens_B!J140&lt;&gt;"", Klantgegevens_B!J140, Klantgegevens_A!K140)</f>
        <v>ja</v>
      </c>
      <c r="K141">
        <f>IF(Klantgegevens_B!K140&lt;&gt;"", AVERAGE(--(Klantgegevens_B!K140="ja"), --(Klantgegevens_B!L140="ja"), --(Klantgegevens_B!M140="ja"), --(Klantgegevens_B!N140="ja"), --(Klantgegevens_B!O140="ja"))*10, Klantgegevens_A!L140)</f>
        <v>6</v>
      </c>
      <c r="L141" t="str">
        <f>IF(Klantgegevens_B!K140&lt;&gt;"", Klantgegevens_B!K140, IF(Klantgegevens_A!L140&gt;=7, "ja", "nee"))</f>
        <v>ja</v>
      </c>
      <c r="M141" t="str">
        <f>IF(Klantgegevens_B!L140&lt;&gt;"", Klantgegevens_B!L140, IF(Klantgegevens_A!L140&gt;=7, "ja", "nee"))</f>
        <v>ja</v>
      </c>
      <c r="N141" t="str">
        <f>IF(Klantgegevens_B!M140&lt;&gt;"", Klantgegevens_B!M140, IF(Klantgegevens_A!L140&gt;=7, "ja", "nee"))</f>
        <v>nee</v>
      </c>
      <c r="O141" t="str">
        <f>IF(Klantgegevens_B!N140&lt;&gt;"", Klantgegevens_B!N140, IF(Klantgegevens_A!L140&gt;=7, "ja", "nee"))</f>
        <v>ja</v>
      </c>
      <c r="P141" t="str">
        <f>IF(Klantgegevens_B!O140&lt;&gt;"", Klantgegevens_B!O140, IF(Klantgegevens_A!L140&gt;=7, "ja", "nee"))</f>
        <v>Geen dieet</v>
      </c>
      <c r="Q141" t="str">
        <f>IF(Klantgegevens_B!P140&lt;&gt;"", Klantgegevens_B!P140, Klantgegevens_A!M140)</f>
        <v>Geen dieet</v>
      </c>
      <c r="R141" t="str">
        <f>IF(Klantgegevens_B!A140&lt;&gt;"", "B", "A")</f>
        <v>B</v>
      </c>
    </row>
    <row r="142" spans="1:18" x14ac:dyDescent="0.3">
      <c r="A142" t="str">
        <f>IF(Klantgegevens_B!A141&lt;&gt;"", Klantgegevens_B!A141, MID(Klantgegevens_A!A141, FIND(",", Klantgegevens_A!A141)+2, LEN(Klantgegevens_A!A141)))</f>
        <v>Maurice</v>
      </c>
      <c r="B142" t="str">
        <f>IF(Klantgegevens_B!B141&lt;&gt;"", Klantgegevens_B!B141, LEFT(Klantgegevens_A!A141, FIND(",", Klantgegevens_A!A141)-1))</f>
        <v>Charlier</v>
      </c>
      <c r="C142" t="str">
        <f t="shared" ca="1" si="2"/>
        <v/>
      </c>
      <c r="D142" t="str">
        <f>IF(Klantgegevens_B!F141&lt;&gt;"", Klantgegevens_B!F141, Klantgegevens_A!D141 &amp; " " &amp; Klantgegevens_A!E141 &amp; ", " &amp; Klantgegevens_A!F141)</f>
        <v>Maurice,Patrick,Suzanne,Aline,Vinz</v>
      </c>
      <c r="E142">
        <f>IF(Klantgegevens_B!G141&lt;&gt;"", Klantgegevens_B!G141, TEXTJOIN(",", TRUE, REPT("Volwassene,", Klantgegevens_A!G141), REPT("Kind,", Klantgegevens_A!H141)))</f>
        <v>103.74</v>
      </c>
      <c r="F142">
        <f>IF(Klantgegevens_B!G141&lt;&gt;"", LEN(Klantgegevens_B!G141)-LEN(SUBSTITUTE(Klantgegevens_B!G141, ",", ""))+1, Klantgegevens_A!G141)</f>
        <v>1</v>
      </c>
      <c r="G142">
        <f>IF(Klantgegevens_B!G141&lt;&gt;"", 0, Klantgegevens_A!H141)</f>
        <v>0</v>
      </c>
      <c r="H142">
        <f>IF(Klantgegevens_B!H141&lt;&gt;"", Klantgegevens_B!H141, Klantgegevens_A!I141)</f>
        <v>8</v>
      </c>
      <c r="I142" t="str">
        <f>IF(Klantgegevens_B!I141&lt;&gt;"", Klantgegevens_B!I141, SWITCH(Klantgegevens_A!J141, "Zelden", 1, "Af en toe", 4, "Regelmatig", 8, "Vaak", 12))</f>
        <v>Payconiq</v>
      </c>
      <c r="J142" t="str">
        <f>IF(Klantgegevens_B!J141&lt;&gt;"", Klantgegevens_B!J141, Klantgegevens_A!K141)</f>
        <v>ja</v>
      </c>
      <c r="K142">
        <f>IF(Klantgegevens_B!K141&lt;&gt;"", AVERAGE(--(Klantgegevens_B!K141="ja"), --(Klantgegevens_B!L141="ja"), --(Klantgegevens_B!M141="ja"), --(Klantgegevens_B!N141="ja"), --(Klantgegevens_B!O141="ja"))*10, Klantgegevens_A!L141)</f>
        <v>4</v>
      </c>
      <c r="L142" t="str">
        <f>IF(Klantgegevens_B!K141&lt;&gt;"", Klantgegevens_B!K141, IF(Klantgegevens_A!L141&gt;=7, "ja", "nee"))</f>
        <v>ja</v>
      </c>
      <c r="M142" t="str">
        <f>IF(Klantgegevens_B!L141&lt;&gt;"", Klantgegevens_B!L141, IF(Klantgegevens_A!L141&gt;=7, "ja", "nee"))</f>
        <v>nee</v>
      </c>
      <c r="N142" t="str">
        <f>IF(Klantgegevens_B!M141&lt;&gt;"", Klantgegevens_B!M141, IF(Klantgegevens_A!L141&gt;=7, "ja", "nee"))</f>
        <v>ja</v>
      </c>
      <c r="O142" t="str">
        <f>IF(Klantgegevens_B!N141&lt;&gt;"", Klantgegevens_B!N141, IF(Klantgegevens_A!L141&gt;=7, "ja", "nee"))</f>
        <v>nee</v>
      </c>
      <c r="P142" t="str">
        <f>IF(Klantgegevens_B!O141&lt;&gt;"", Klantgegevens_B!O141, IF(Klantgegevens_A!L141&gt;=7, "ja", "nee"))</f>
        <v>Vegetarisch</v>
      </c>
      <c r="Q142" t="str">
        <f>IF(Klantgegevens_B!P141&lt;&gt;"", Klantgegevens_B!P141, Klantgegevens_A!M141)</f>
        <v>Geen dieet</v>
      </c>
      <c r="R142" t="str">
        <f>IF(Klantgegevens_B!A141&lt;&gt;"", "B", "A")</f>
        <v>B</v>
      </c>
    </row>
    <row r="143" spans="1:18" x14ac:dyDescent="0.3">
      <c r="A143" t="str">
        <f>IF(Klantgegevens_B!A142&lt;&gt;"", Klantgegevens_B!A142, MID(Klantgegevens_A!A142, FIND(",", Klantgegevens_A!A142)+2, LEN(Klantgegevens_A!A142)))</f>
        <v>Dimitri</v>
      </c>
      <c r="B143" t="str">
        <f>IF(Klantgegevens_B!B142&lt;&gt;"", Klantgegevens_B!B142, LEFT(Klantgegevens_A!A142, FIND(",", Klantgegevens_A!A142)-1))</f>
        <v>Verlinden</v>
      </c>
      <c r="C143" t="str">
        <f t="shared" ca="1" si="2"/>
        <v/>
      </c>
      <c r="D143" t="str">
        <f>IF(Klantgegevens_B!F142&lt;&gt;"", Klantgegevens_B!F142, Klantgegevens_A!D142 &amp; " " &amp; Klantgegevens_A!E142 &amp; ", " &amp; Klantgegevens_A!F142)</f>
        <v>Dimitri,Nicolas</v>
      </c>
      <c r="E143">
        <f>IF(Klantgegevens_B!G142&lt;&gt;"", Klantgegevens_B!G142, TEXTJOIN(",", TRUE, REPT("Volwassene,", Klantgegevens_A!G142), REPT("Kind,", Klantgegevens_A!H142)))</f>
        <v>195.18</v>
      </c>
      <c r="F143">
        <f>IF(Klantgegevens_B!G142&lt;&gt;"", LEN(Klantgegevens_B!G142)-LEN(SUBSTITUTE(Klantgegevens_B!G142, ",", ""))+1, Klantgegevens_A!G142)</f>
        <v>1</v>
      </c>
      <c r="G143">
        <f>IF(Klantgegevens_B!G142&lt;&gt;"", 0, Klantgegevens_A!H142)</f>
        <v>0</v>
      </c>
      <c r="H143">
        <f>IF(Klantgegevens_B!H142&lt;&gt;"", Klantgegevens_B!H142, Klantgegevens_A!I142)</f>
        <v>18</v>
      </c>
      <c r="I143" t="str">
        <f>IF(Klantgegevens_B!I142&lt;&gt;"", Klantgegevens_B!I142, SWITCH(Klantgegevens_A!J142, "Zelden", 1, "Af en toe", 4, "Regelmatig", 8, "Vaak", 12))</f>
        <v>Cash</v>
      </c>
      <c r="J143" t="str">
        <f>IF(Klantgegevens_B!J142&lt;&gt;"", Klantgegevens_B!J142, Klantgegevens_A!K142)</f>
        <v>ja</v>
      </c>
      <c r="K143">
        <f>IF(Klantgegevens_B!K142&lt;&gt;"", AVERAGE(--(Klantgegevens_B!K142="ja"), --(Klantgegevens_B!L142="ja"), --(Klantgegevens_B!M142="ja"), --(Klantgegevens_B!N142="ja"), --(Klantgegevens_B!O142="ja"))*10, Klantgegevens_A!L142)</f>
        <v>6</v>
      </c>
      <c r="L143" t="str">
        <f>IF(Klantgegevens_B!K142&lt;&gt;"", Klantgegevens_B!K142, IF(Klantgegevens_A!L142&gt;=7, "ja", "nee"))</f>
        <v>ja</v>
      </c>
      <c r="M143" t="str">
        <f>IF(Klantgegevens_B!L142&lt;&gt;"", Klantgegevens_B!L142, IF(Klantgegevens_A!L142&gt;=7, "ja", "nee"))</f>
        <v>ja</v>
      </c>
      <c r="N143" t="str">
        <f>IF(Klantgegevens_B!M142&lt;&gt;"", Klantgegevens_B!M142, IF(Klantgegevens_A!L142&gt;=7, "ja", "nee"))</f>
        <v>ja</v>
      </c>
      <c r="O143" t="str">
        <f>IF(Klantgegevens_B!N142&lt;&gt;"", Klantgegevens_B!N142, IF(Klantgegevens_A!L142&gt;=7, "ja", "nee"))</f>
        <v>nee</v>
      </c>
      <c r="P143" t="str">
        <f>IF(Klantgegevens_B!O142&lt;&gt;"", Klantgegevens_B!O142, IF(Klantgegevens_A!L142&gt;=7, "ja", "nee"))</f>
        <v>Vegetarisch</v>
      </c>
      <c r="Q143" t="str">
        <f>IF(Klantgegevens_B!P142&lt;&gt;"", Klantgegevens_B!P142, Klantgegevens_A!M142)</f>
        <v>Geen dieet</v>
      </c>
      <c r="R143" t="str">
        <f>IF(Klantgegevens_B!A142&lt;&gt;"", "B", "A")</f>
        <v>B</v>
      </c>
    </row>
    <row r="144" spans="1:18" x14ac:dyDescent="0.3">
      <c r="A144" t="str">
        <f>IF(Klantgegevens_B!A143&lt;&gt;"", Klantgegevens_B!A143, MID(Klantgegevens_A!A143, FIND(",", Klantgegevens_A!A143)+2, LEN(Klantgegevens_A!A143)))</f>
        <v>Alessia</v>
      </c>
      <c r="B144" t="str">
        <f>IF(Klantgegevens_B!B143&lt;&gt;"", Klantgegevens_B!B143, LEFT(Klantgegevens_A!A143, FIND(",", Klantgegevens_A!A143)-1))</f>
        <v>Smets</v>
      </c>
      <c r="C144" t="str">
        <f t="shared" ca="1" si="2"/>
        <v/>
      </c>
      <c r="D144" t="str">
        <f>IF(Klantgegevens_B!F143&lt;&gt;"", Klantgegevens_B!F143, Klantgegevens_A!D143 &amp; " " &amp; Klantgegevens_A!E143 &amp; ", " &amp; Klantgegevens_A!F143)</f>
        <v>Alessia,Cathy</v>
      </c>
      <c r="E144">
        <f>IF(Klantgegevens_B!G143&lt;&gt;"", Klantgegevens_B!G143, TEXTJOIN(",", TRUE, REPT("Volwassene,", Klantgegevens_A!G143), REPT("Kind,", Klantgegevens_A!H143)))</f>
        <v>116.19</v>
      </c>
      <c r="F144">
        <f>IF(Klantgegevens_B!G143&lt;&gt;"", LEN(Klantgegevens_B!G143)-LEN(SUBSTITUTE(Klantgegevens_B!G143, ",", ""))+1, Klantgegevens_A!G143)</f>
        <v>1</v>
      </c>
      <c r="G144">
        <f>IF(Klantgegevens_B!G143&lt;&gt;"", 0, Klantgegevens_A!H143)</f>
        <v>0</v>
      </c>
      <c r="H144">
        <f>IF(Klantgegevens_B!H143&lt;&gt;"", Klantgegevens_B!H143, Klantgegevens_A!I143)</f>
        <v>7</v>
      </c>
      <c r="I144" t="str">
        <f>IF(Klantgegevens_B!I143&lt;&gt;"", Klantgegevens_B!I143, SWITCH(Klantgegevens_A!J143, "Zelden", 1, "Af en toe", 4, "Regelmatig", 8, "Vaak", 12))</f>
        <v>Bancontact</v>
      </c>
      <c r="J144" t="str">
        <f>IF(Klantgegevens_B!J143&lt;&gt;"", Klantgegevens_B!J143, Klantgegevens_A!K143)</f>
        <v>ja</v>
      </c>
      <c r="K144">
        <f>IF(Klantgegevens_B!K143&lt;&gt;"", AVERAGE(--(Klantgegevens_B!K143="ja"), --(Klantgegevens_B!L143="ja"), --(Klantgegevens_B!M143="ja"), --(Klantgegevens_B!N143="ja"), --(Klantgegevens_B!O143="ja"))*10, Klantgegevens_A!L143)</f>
        <v>6</v>
      </c>
      <c r="L144" t="str">
        <f>IF(Klantgegevens_B!K143&lt;&gt;"", Klantgegevens_B!K143, IF(Klantgegevens_A!L143&gt;=7, "ja", "nee"))</f>
        <v>ja</v>
      </c>
      <c r="M144" t="str">
        <f>IF(Klantgegevens_B!L143&lt;&gt;"", Klantgegevens_B!L143, IF(Klantgegevens_A!L143&gt;=7, "ja", "nee"))</f>
        <v>ja</v>
      </c>
      <c r="N144" t="str">
        <f>IF(Klantgegevens_B!M143&lt;&gt;"", Klantgegevens_B!M143, IF(Klantgegevens_A!L143&gt;=7, "ja", "nee"))</f>
        <v>ja</v>
      </c>
      <c r="O144" t="str">
        <f>IF(Klantgegevens_B!N143&lt;&gt;"", Klantgegevens_B!N143, IF(Klantgegevens_A!L143&gt;=7, "ja", "nee"))</f>
        <v>nee</v>
      </c>
      <c r="P144" t="str">
        <f>IF(Klantgegevens_B!O143&lt;&gt;"", Klantgegevens_B!O143, IF(Klantgegevens_A!L143&gt;=7, "ja", "nee"))</f>
        <v>Geen dieet</v>
      </c>
      <c r="Q144" t="str">
        <f>IF(Klantgegevens_B!P143&lt;&gt;"", Klantgegevens_B!P143, Klantgegevens_A!M143)</f>
        <v>Geen dieet</v>
      </c>
      <c r="R144" t="str">
        <f>IF(Klantgegevens_B!A143&lt;&gt;"", "B", "A")</f>
        <v>B</v>
      </c>
    </row>
    <row r="145" spans="1:18" x14ac:dyDescent="0.3">
      <c r="A145" t="str">
        <f>IF(Klantgegevens_B!A144&lt;&gt;"", Klantgegevens_B!A144, MID(Klantgegevens_A!A144, FIND(",", Klantgegevens_A!A144)+2, LEN(Klantgegevens_A!A144)))</f>
        <v>Giovanni</v>
      </c>
      <c r="B145" t="str">
        <f>IF(Klantgegevens_B!B144&lt;&gt;"", Klantgegevens_B!B144, LEFT(Klantgegevens_A!A144, FIND(",", Klantgegevens_A!A144)-1))</f>
        <v>Vranken</v>
      </c>
      <c r="C145" t="str">
        <f t="shared" ca="1" si="2"/>
        <v/>
      </c>
      <c r="D145" t="str">
        <f>IF(Klantgegevens_B!F144&lt;&gt;"", Klantgegevens_B!F144, Klantgegevens_A!D144 &amp; " " &amp; Klantgegevens_A!E144 &amp; ", " &amp; Klantgegevens_A!F144)</f>
        <v>Giovanni,Büra,Darius,Anne-Françoise</v>
      </c>
      <c r="E145">
        <f>IF(Klantgegevens_B!G144&lt;&gt;"", Klantgegevens_B!G144, TEXTJOIN(",", TRUE, REPT("Volwassene,", Klantgegevens_A!G144), REPT("Kind,", Klantgegevens_A!H144)))</f>
        <v>170.98</v>
      </c>
      <c r="F145">
        <f>IF(Klantgegevens_B!G144&lt;&gt;"", LEN(Klantgegevens_B!G144)-LEN(SUBSTITUTE(Klantgegevens_B!G144, ",", ""))+1, Klantgegevens_A!G144)</f>
        <v>1</v>
      </c>
      <c r="G145">
        <f>IF(Klantgegevens_B!G144&lt;&gt;"", 0, Klantgegevens_A!H144)</f>
        <v>0</v>
      </c>
      <c r="H145">
        <f>IF(Klantgegevens_B!H144&lt;&gt;"", Klantgegevens_B!H144, Klantgegevens_A!I144)</f>
        <v>11</v>
      </c>
      <c r="I145" t="str">
        <f>IF(Klantgegevens_B!I144&lt;&gt;"", Klantgegevens_B!I144, SWITCH(Klantgegevens_A!J144, "Zelden", 1, "Af en toe", 4, "Regelmatig", 8, "Vaak", 12))</f>
        <v>Cash</v>
      </c>
      <c r="J145" t="str">
        <f>IF(Klantgegevens_B!J144&lt;&gt;"", Klantgegevens_B!J144, Klantgegevens_A!K144)</f>
        <v>nee</v>
      </c>
      <c r="K145">
        <f>IF(Klantgegevens_B!K144&lt;&gt;"", AVERAGE(--(Klantgegevens_B!K144="ja"), --(Klantgegevens_B!L144="ja"), --(Klantgegevens_B!M144="ja"), --(Klantgegevens_B!N144="ja"), --(Klantgegevens_B!O144="ja"))*10, Klantgegevens_A!L144)</f>
        <v>8</v>
      </c>
      <c r="L145" t="str">
        <f>IF(Klantgegevens_B!K144&lt;&gt;"", Klantgegevens_B!K144, IF(Klantgegevens_A!L144&gt;=7, "ja", "nee"))</f>
        <v>ja</v>
      </c>
      <c r="M145" t="str">
        <f>IF(Klantgegevens_B!L144&lt;&gt;"", Klantgegevens_B!L144, IF(Klantgegevens_A!L144&gt;=7, "ja", "nee"))</f>
        <v>ja</v>
      </c>
      <c r="N145" t="str">
        <f>IF(Klantgegevens_B!M144&lt;&gt;"", Klantgegevens_B!M144, IF(Klantgegevens_A!L144&gt;=7, "ja", "nee"))</f>
        <v>ja</v>
      </c>
      <c r="O145" t="str">
        <f>IF(Klantgegevens_B!N144&lt;&gt;"", Klantgegevens_B!N144, IF(Klantgegevens_A!L144&gt;=7, "ja", "nee"))</f>
        <v>ja</v>
      </c>
      <c r="P145" t="str">
        <f>IF(Klantgegevens_B!O144&lt;&gt;"", Klantgegevens_B!O144, IF(Klantgegevens_A!L144&gt;=7, "ja", "nee"))</f>
        <v>Geen dieet</v>
      </c>
      <c r="Q145" t="str">
        <f>IF(Klantgegevens_B!P144&lt;&gt;"", Klantgegevens_B!P144, Klantgegevens_A!M144)</f>
        <v>Vegetarisch</v>
      </c>
      <c r="R145" t="str">
        <f>IF(Klantgegevens_B!A144&lt;&gt;"", "B", "A")</f>
        <v>B</v>
      </c>
    </row>
    <row r="146" spans="1:18" x14ac:dyDescent="0.3">
      <c r="A146" t="str">
        <f>IF(Klantgegevens_B!A145&lt;&gt;"", Klantgegevens_B!A145, MID(Klantgegevens_A!A145, FIND(",", Klantgegevens_A!A145)+2, LEN(Klantgegevens_A!A145)))</f>
        <v>Destiny</v>
      </c>
      <c r="B146" t="str">
        <f>IF(Klantgegevens_B!B145&lt;&gt;"", Klantgegevens_B!B145, LEFT(Klantgegevens_A!A145, FIND(",", Klantgegevens_A!A145)-1))</f>
        <v>Mertens</v>
      </c>
      <c r="C146" t="str">
        <f t="shared" ca="1" si="2"/>
        <v/>
      </c>
      <c r="D146" t="str">
        <f>IF(Klantgegevens_B!F145&lt;&gt;"", Klantgegevens_B!F145, Klantgegevens_A!D145 &amp; " " &amp; Klantgegevens_A!E145 &amp; ", " &amp; Klantgegevens_A!F145)</f>
        <v>Destiny,Sahar</v>
      </c>
      <c r="E146">
        <f>IF(Klantgegevens_B!G145&lt;&gt;"", Klantgegevens_B!G145, TEXTJOIN(",", TRUE, REPT("Volwassene,", Klantgegevens_A!G145), REPT("Kind,", Klantgegevens_A!H145)))</f>
        <v>88.11</v>
      </c>
      <c r="F146">
        <f>IF(Klantgegevens_B!G145&lt;&gt;"", LEN(Klantgegevens_B!G145)-LEN(SUBSTITUTE(Klantgegevens_B!G145, ",", ""))+1, Klantgegevens_A!G145)</f>
        <v>1</v>
      </c>
      <c r="G146">
        <f>IF(Klantgegevens_B!G145&lt;&gt;"", 0, Klantgegevens_A!H145)</f>
        <v>0</v>
      </c>
      <c r="H146">
        <f>IF(Klantgegevens_B!H145&lt;&gt;"", Klantgegevens_B!H145, Klantgegevens_A!I145)</f>
        <v>2</v>
      </c>
      <c r="I146" t="str">
        <f>IF(Klantgegevens_B!I145&lt;&gt;"", Klantgegevens_B!I145, SWITCH(Klantgegevens_A!J145, "Zelden", 1, "Af en toe", 4, "Regelmatig", 8, "Vaak", 12))</f>
        <v>Payconiq</v>
      </c>
      <c r="J146" t="str">
        <f>IF(Klantgegevens_B!J145&lt;&gt;"", Klantgegevens_B!J145, Klantgegevens_A!K145)</f>
        <v>ja</v>
      </c>
      <c r="K146">
        <f>IF(Klantgegevens_B!K145&lt;&gt;"", AVERAGE(--(Klantgegevens_B!K145="ja"), --(Klantgegevens_B!L145="ja"), --(Klantgegevens_B!M145="ja"), --(Klantgegevens_B!N145="ja"), --(Klantgegevens_B!O145="ja"))*10, Klantgegevens_A!L145)</f>
        <v>4</v>
      </c>
      <c r="L146" t="str">
        <f>IF(Klantgegevens_B!K145&lt;&gt;"", Klantgegevens_B!K145, IF(Klantgegevens_A!L145&gt;=7, "ja", "nee"))</f>
        <v>ja</v>
      </c>
      <c r="M146" t="str">
        <f>IF(Klantgegevens_B!L145&lt;&gt;"", Klantgegevens_B!L145, IF(Klantgegevens_A!L145&gt;=7, "ja", "nee"))</f>
        <v>nee</v>
      </c>
      <c r="N146" t="str">
        <f>IF(Klantgegevens_B!M145&lt;&gt;"", Klantgegevens_B!M145, IF(Klantgegevens_A!L145&gt;=7, "ja", "nee"))</f>
        <v>nee</v>
      </c>
      <c r="O146" t="str">
        <f>IF(Klantgegevens_B!N145&lt;&gt;"", Klantgegevens_B!N145, IF(Klantgegevens_A!L145&gt;=7, "ja", "nee"))</f>
        <v>ja</v>
      </c>
      <c r="P146" t="str">
        <f>IF(Klantgegevens_B!O145&lt;&gt;"", Klantgegevens_B!O145, IF(Klantgegevens_A!L145&gt;=7, "ja", "nee"))</f>
        <v>Geen dieet</v>
      </c>
      <c r="Q146" t="str">
        <f>IF(Klantgegevens_B!P145&lt;&gt;"", Klantgegevens_B!P145, Klantgegevens_A!M145)</f>
        <v>Geen dieet</v>
      </c>
      <c r="R146" t="str">
        <f>IF(Klantgegevens_B!A145&lt;&gt;"", "B", "A")</f>
        <v>B</v>
      </c>
    </row>
    <row r="147" spans="1:18" x14ac:dyDescent="0.3">
      <c r="A147" t="str">
        <f>IF(Klantgegevens_B!A146&lt;&gt;"", Klantgegevens_B!A146, MID(Klantgegevens_A!A146, FIND(",", Klantgegevens_A!A146)+2, LEN(Klantgegevens_A!A146)))</f>
        <v>Michaël</v>
      </c>
      <c r="B147" t="str">
        <f>IF(Klantgegevens_B!B146&lt;&gt;"", Klantgegevens_B!B146, LEFT(Klantgegevens_A!A146, FIND(",", Klantgegevens_A!A146)-1))</f>
        <v>Claessens</v>
      </c>
      <c r="C147" t="str">
        <f t="shared" ca="1" si="2"/>
        <v/>
      </c>
      <c r="D147" t="str">
        <f>IF(Klantgegevens_B!F146&lt;&gt;"", Klantgegevens_B!F146, Klantgegevens_A!D146 &amp; " " &amp; Klantgegevens_A!E146 &amp; ", " &amp; Klantgegevens_A!F146)</f>
        <v>Michaël,Philippe,Jean-Marie</v>
      </c>
      <c r="E147">
        <f>IF(Klantgegevens_B!G146&lt;&gt;"", Klantgegevens_B!G146, TEXTJOIN(",", TRUE, REPT("Volwassene,", Klantgegevens_A!G146), REPT("Kind,", Klantgegevens_A!H146)))</f>
        <v>115.22</v>
      </c>
      <c r="F147">
        <f>IF(Klantgegevens_B!G146&lt;&gt;"", LEN(Klantgegevens_B!G146)-LEN(SUBSTITUTE(Klantgegevens_B!G146, ",", ""))+1, Klantgegevens_A!G146)</f>
        <v>1</v>
      </c>
      <c r="G147">
        <f>IF(Klantgegevens_B!G146&lt;&gt;"", 0, Klantgegevens_A!H146)</f>
        <v>0</v>
      </c>
      <c r="H147">
        <f>IF(Klantgegevens_B!H146&lt;&gt;"", Klantgegevens_B!H146, Klantgegevens_A!I146)</f>
        <v>7</v>
      </c>
      <c r="I147" t="str">
        <f>IF(Klantgegevens_B!I146&lt;&gt;"", Klantgegevens_B!I146, SWITCH(Klantgegevens_A!J146, "Zelden", 1, "Af en toe", 4, "Regelmatig", 8, "Vaak", 12))</f>
        <v>Bancontact</v>
      </c>
      <c r="J147" t="str">
        <f>IF(Klantgegevens_B!J146&lt;&gt;"", Klantgegevens_B!J146, Klantgegevens_A!K146)</f>
        <v>ja</v>
      </c>
      <c r="K147">
        <f>IF(Klantgegevens_B!K146&lt;&gt;"", AVERAGE(--(Klantgegevens_B!K146="ja"), --(Klantgegevens_B!L146="ja"), --(Klantgegevens_B!M146="ja"), --(Klantgegevens_B!N146="ja"), --(Klantgegevens_B!O146="ja"))*10, Klantgegevens_A!L146)</f>
        <v>6</v>
      </c>
      <c r="L147" t="str">
        <f>IF(Klantgegevens_B!K146&lt;&gt;"", Klantgegevens_B!K146, IF(Klantgegevens_A!L146&gt;=7, "ja", "nee"))</f>
        <v>nee</v>
      </c>
      <c r="M147" t="str">
        <f>IF(Klantgegevens_B!L146&lt;&gt;"", Klantgegevens_B!L146, IF(Klantgegevens_A!L146&gt;=7, "ja", "nee"))</f>
        <v>ja</v>
      </c>
      <c r="N147" t="str">
        <f>IF(Klantgegevens_B!M146&lt;&gt;"", Klantgegevens_B!M146, IF(Klantgegevens_A!L146&gt;=7, "ja", "nee"))</f>
        <v>ja</v>
      </c>
      <c r="O147" t="str">
        <f>IF(Klantgegevens_B!N146&lt;&gt;"", Klantgegevens_B!N146, IF(Klantgegevens_A!L146&gt;=7, "ja", "nee"))</f>
        <v>ja</v>
      </c>
      <c r="P147" t="str">
        <f>IF(Klantgegevens_B!O146&lt;&gt;"", Klantgegevens_B!O146, IF(Klantgegevens_A!L146&gt;=7, "ja", "nee"))</f>
        <v>Geen dieet</v>
      </c>
      <c r="Q147" t="str">
        <f>IF(Klantgegevens_B!P146&lt;&gt;"", Klantgegevens_B!P146, Klantgegevens_A!M146)</f>
        <v>Geen dieet</v>
      </c>
      <c r="R147" t="str">
        <f>IF(Klantgegevens_B!A146&lt;&gt;"", "B", "A")</f>
        <v>B</v>
      </c>
    </row>
    <row r="148" spans="1:18" x14ac:dyDescent="0.3">
      <c r="A148" t="str">
        <f>IF(Klantgegevens_B!A147&lt;&gt;"", Klantgegevens_B!A147, MID(Klantgegevens_A!A147, FIND(",", Klantgegevens_A!A147)+2, LEN(Klantgegevens_A!A147)))</f>
        <v>Carlos</v>
      </c>
      <c r="B148" t="str">
        <f>IF(Klantgegevens_B!B147&lt;&gt;"", Klantgegevens_B!B147, LEFT(Klantgegevens_A!A147, FIND(",", Klantgegevens_A!A147)-1))</f>
        <v>Janssens</v>
      </c>
      <c r="C148" t="str">
        <f t="shared" ca="1" si="2"/>
        <v/>
      </c>
      <c r="D148" t="str">
        <f>IF(Klantgegevens_B!F147&lt;&gt;"", Klantgegevens_B!F147, Klantgegevens_A!D147 &amp; " " &amp; Klantgegevens_A!E147 &amp; ", " &amp; Klantgegevens_A!F147)</f>
        <v>Carlos,Josette,Romain</v>
      </c>
      <c r="E148">
        <f>IF(Klantgegevens_B!G147&lt;&gt;"", Klantgegevens_B!G147, TEXTJOIN(",", TRUE, REPT("Volwassene,", Klantgegevens_A!G147), REPT("Kind,", Klantgegevens_A!H147)))</f>
        <v>39.770000000000003</v>
      </c>
      <c r="F148">
        <f>IF(Klantgegevens_B!G147&lt;&gt;"", LEN(Klantgegevens_B!G147)-LEN(SUBSTITUTE(Klantgegevens_B!G147, ",", ""))+1, Klantgegevens_A!G147)</f>
        <v>1</v>
      </c>
      <c r="G148">
        <f>IF(Klantgegevens_B!G147&lt;&gt;"", 0, Klantgegevens_A!H147)</f>
        <v>0</v>
      </c>
      <c r="H148">
        <f>IF(Klantgegevens_B!H147&lt;&gt;"", Klantgegevens_B!H147, Klantgegevens_A!I147)</f>
        <v>3</v>
      </c>
      <c r="I148" t="str">
        <f>IF(Klantgegevens_B!I147&lt;&gt;"", Klantgegevens_B!I147, SWITCH(Klantgegevens_A!J147, "Zelden", 1, "Af en toe", 4, "Regelmatig", 8, "Vaak", 12))</f>
        <v>Bancontact</v>
      </c>
      <c r="J148" t="str">
        <f>IF(Klantgegevens_B!J147&lt;&gt;"", Klantgegevens_B!J147, Klantgegevens_A!K147)</f>
        <v>ja</v>
      </c>
      <c r="K148">
        <f>IF(Klantgegevens_B!K147&lt;&gt;"", AVERAGE(--(Klantgegevens_B!K147="ja"), --(Klantgegevens_B!L147="ja"), --(Klantgegevens_B!M147="ja"), --(Klantgegevens_B!N147="ja"), --(Klantgegevens_B!O147="ja"))*10, Klantgegevens_A!L147)</f>
        <v>8</v>
      </c>
      <c r="L148" t="str">
        <f>IF(Klantgegevens_B!K147&lt;&gt;"", Klantgegevens_B!K147, IF(Klantgegevens_A!L147&gt;=7, "ja", "nee"))</f>
        <v>ja</v>
      </c>
      <c r="M148" t="str">
        <f>IF(Klantgegevens_B!L147&lt;&gt;"", Klantgegevens_B!L147, IF(Klantgegevens_A!L147&gt;=7, "ja", "nee"))</f>
        <v>ja</v>
      </c>
      <c r="N148" t="str">
        <f>IF(Klantgegevens_B!M147&lt;&gt;"", Klantgegevens_B!M147, IF(Klantgegevens_A!L147&gt;=7, "ja", "nee"))</f>
        <v>ja</v>
      </c>
      <c r="O148" t="str">
        <f>IF(Klantgegevens_B!N147&lt;&gt;"", Klantgegevens_B!N147, IF(Klantgegevens_A!L147&gt;=7, "ja", "nee"))</f>
        <v>ja</v>
      </c>
      <c r="P148" t="str">
        <f>IF(Klantgegevens_B!O147&lt;&gt;"", Klantgegevens_B!O147, IF(Klantgegevens_A!L147&gt;=7, "ja", "nee"))</f>
        <v>Geen dieet</v>
      </c>
      <c r="Q148" t="str">
        <f>IF(Klantgegevens_B!P147&lt;&gt;"", Klantgegevens_B!P147, Klantgegevens_A!M147)</f>
        <v>Geen dieet</v>
      </c>
      <c r="R148" t="str">
        <f>IF(Klantgegevens_B!A147&lt;&gt;"", "B", "A")</f>
        <v>B</v>
      </c>
    </row>
    <row r="149" spans="1:18" x14ac:dyDescent="0.3">
      <c r="A149" t="str">
        <f>IF(Klantgegevens_B!A148&lt;&gt;"", Klantgegevens_B!A148, MID(Klantgegevens_A!A148, FIND(",", Klantgegevens_A!A148)+2, LEN(Klantgegevens_A!A148)))</f>
        <v>Romain</v>
      </c>
      <c r="B149" t="str">
        <f>IF(Klantgegevens_B!B148&lt;&gt;"", Klantgegevens_B!B148, LEFT(Klantgegevens_A!A148, FIND(",", Klantgegevens_A!A148)-1))</f>
        <v>Lejeune</v>
      </c>
      <c r="C149" t="str">
        <f t="shared" ca="1" si="2"/>
        <v/>
      </c>
      <c r="D149" t="str">
        <f>IF(Klantgegevens_B!F148&lt;&gt;"", Klantgegevens_B!F148, Klantgegevens_A!D148 &amp; " " &amp; Klantgegevens_A!E148 &amp; ", " &amp; Klantgegevens_A!F148)</f>
        <v>Romain,Raphaël,Mélissa,Paul</v>
      </c>
      <c r="E149">
        <f>IF(Klantgegevens_B!G148&lt;&gt;"", Klantgegevens_B!G148, TEXTJOIN(",", TRUE, REPT("Volwassene,", Klantgegevens_A!G148), REPT("Kind,", Klantgegevens_A!H148)))</f>
        <v>99.91</v>
      </c>
      <c r="F149">
        <f>IF(Klantgegevens_B!G148&lt;&gt;"", LEN(Klantgegevens_B!G148)-LEN(SUBSTITUTE(Klantgegevens_B!G148, ",", ""))+1, Klantgegevens_A!G148)</f>
        <v>1</v>
      </c>
      <c r="G149">
        <f>IF(Klantgegevens_B!G148&lt;&gt;"", 0, Klantgegevens_A!H148)</f>
        <v>0</v>
      </c>
      <c r="H149">
        <f>IF(Klantgegevens_B!H148&lt;&gt;"", Klantgegevens_B!H148, Klantgegevens_A!I148)</f>
        <v>5</v>
      </c>
      <c r="I149" t="str">
        <f>IF(Klantgegevens_B!I148&lt;&gt;"", Klantgegevens_B!I148, SWITCH(Klantgegevens_A!J148, "Zelden", 1, "Af en toe", 4, "Regelmatig", 8, "Vaak", 12))</f>
        <v>Bancontact</v>
      </c>
      <c r="J149" t="str">
        <f>IF(Klantgegevens_B!J148&lt;&gt;"", Klantgegevens_B!J148, Klantgegevens_A!K148)</f>
        <v>nee</v>
      </c>
      <c r="K149">
        <f>IF(Klantgegevens_B!K148&lt;&gt;"", AVERAGE(--(Klantgegevens_B!K148="ja"), --(Klantgegevens_B!L148="ja"), --(Klantgegevens_B!M148="ja"), --(Klantgegevens_B!N148="ja"), --(Klantgegevens_B!O148="ja"))*10, Klantgegevens_A!L148)</f>
        <v>6</v>
      </c>
      <c r="L149" t="str">
        <f>IF(Klantgegevens_B!K148&lt;&gt;"", Klantgegevens_B!K148, IF(Klantgegevens_A!L148&gt;=7, "ja", "nee"))</f>
        <v>nee</v>
      </c>
      <c r="M149" t="str">
        <f>IF(Klantgegevens_B!L148&lt;&gt;"", Klantgegevens_B!L148, IF(Klantgegevens_A!L148&gt;=7, "ja", "nee"))</f>
        <v>ja</v>
      </c>
      <c r="N149" t="str">
        <f>IF(Klantgegevens_B!M148&lt;&gt;"", Klantgegevens_B!M148, IF(Klantgegevens_A!L148&gt;=7, "ja", "nee"))</f>
        <v>ja</v>
      </c>
      <c r="O149" t="str">
        <f>IF(Klantgegevens_B!N148&lt;&gt;"", Klantgegevens_B!N148, IF(Klantgegevens_A!L148&gt;=7, "ja", "nee"))</f>
        <v>ja</v>
      </c>
      <c r="P149" t="str">
        <f>IF(Klantgegevens_B!O148&lt;&gt;"", Klantgegevens_B!O148, IF(Klantgegevens_A!L148&gt;=7, "ja", "nee"))</f>
        <v>Geen dieet</v>
      </c>
      <c r="Q149" t="str">
        <f>IF(Klantgegevens_B!P148&lt;&gt;"", Klantgegevens_B!P148, Klantgegevens_A!M148)</f>
        <v>Geen dieet</v>
      </c>
      <c r="R149" t="str">
        <f>IF(Klantgegevens_B!A148&lt;&gt;"", "B", "A")</f>
        <v>B</v>
      </c>
    </row>
    <row r="150" spans="1:18" x14ac:dyDescent="0.3">
      <c r="A150" t="str">
        <f>IF(Klantgegevens_B!A149&lt;&gt;"", Klantgegevens_B!A149, MID(Klantgegevens_A!A149, FIND(",", Klantgegevens_A!A149)+2, LEN(Klantgegevens_A!A149)))</f>
        <v>Anamaria</v>
      </c>
      <c r="B150" t="str">
        <f>IF(Klantgegevens_B!B149&lt;&gt;"", Klantgegevens_B!B149, LEFT(Klantgegevens_A!A149, FIND(",", Klantgegevens_A!A149)-1))</f>
        <v>Boulanger</v>
      </c>
      <c r="C150" t="str">
        <f t="shared" ca="1" si="2"/>
        <v/>
      </c>
      <c r="D150" t="str">
        <f>IF(Klantgegevens_B!F149&lt;&gt;"", Klantgegevens_B!F149, Klantgegevens_A!D149 &amp; " " &amp; Klantgegevens_A!E149 &amp; ", " &amp; Klantgegevens_A!F149)</f>
        <v>Anamaria,Monique,Mamadou</v>
      </c>
      <c r="E150">
        <f>IF(Klantgegevens_B!G149&lt;&gt;"", Klantgegevens_B!G149, TEXTJOIN(",", TRUE, REPT("Volwassene,", Klantgegevens_A!G149), REPT("Kind,", Klantgegevens_A!H149)))</f>
        <v>143.52000000000001</v>
      </c>
      <c r="F150">
        <f>IF(Klantgegevens_B!G149&lt;&gt;"", LEN(Klantgegevens_B!G149)-LEN(SUBSTITUTE(Klantgegevens_B!G149, ",", ""))+1, Klantgegevens_A!G149)</f>
        <v>1</v>
      </c>
      <c r="G150">
        <f>IF(Klantgegevens_B!G149&lt;&gt;"", 0, Klantgegevens_A!H149)</f>
        <v>0</v>
      </c>
      <c r="H150">
        <f>IF(Klantgegevens_B!H149&lt;&gt;"", Klantgegevens_B!H149, Klantgegevens_A!I149)</f>
        <v>18</v>
      </c>
      <c r="I150" t="str">
        <f>IF(Klantgegevens_B!I149&lt;&gt;"", Klantgegevens_B!I149, SWITCH(Klantgegevens_A!J149, "Zelden", 1, "Af en toe", 4, "Regelmatig", 8, "Vaak", 12))</f>
        <v>Payconiq</v>
      </c>
      <c r="J150" t="str">
        <f>IF(Klantgegevens_B!J149&lt;&gt;"", Klantgegevens_B!J149, Klantgegevens_A!K149)</f>
        <v>nee</v>
      </c>
      <c r="K150">
        <f>IF(Klantgegevens_B!K149&lt;&gt;"", AVERAGE(--(Klantgegevens_B!K149="ja"), --(Klantgegevens_B!L149="ja"), --(Klantgegevens_B!M149="ja"), --(Klantgegevens_B!N149="ja"), --(Klantgegevens_B!O149="ja"))*10, Klantgegevens_A!L149)</f>
        <v>8</v>
      </c>
      <c r="L150" t="str">
        <f>IF(Klantgegevens_B!K149&lt;&gt;"", Klantgegevens_B!K149, IF(Klantgegevens_A!L149&gt;=7, "ja", "nee"))</f>
        <v>ja</v>
      </c>
      <c r="M150" t="str">
        <f>IF(Klantgegevens_B!L149&lt;&gt;"", Klantgegevens_B!L149, IF(Klantgegevens_A!L149&gt;=7, "ja", "nee"))</f>
        <v>ja</v>
      </c>
      <c r="N150" t="str">
        <f>IF(Klantgegevens_B!M149&lt;&gt;"", Klantgegevens_B!M149, IF(Klantgegevens_A!L149&gt;=7, "ja", "nee"))</f>
        <v>ja</v>
      </c>
      <c r="O150" t="str">
        <f>IF(Klantgegevens_B!N149&lt;&gt;"", Klantgegevens_B!N149, IF(Klantgegevens_A!L149&gt;=7, "ja", "nee"))</f>
        <v>ja</v>
      </c>
      <c r="P150" t="str">
        <f>IF(Klantgegevens_B!O149&lt;&gt;"", Klantgegevens_B!O149, IF(Klantgegevens_A!L149&gt;=7, "ja", "nee"))</f>
        <v>Geen dieet</v>
      </c>
      <c r="Q150" t="str">
        <f>IF(Klantgegevens_B!P149&lt;&gt;"", Klantgegevens_B!P149, Klantgegevens_A!M149)</f>
        <v>Geen dieet</v>
      </c>
      <c r="R150" t="str">
        <f>IF(Klantgegevens_B!A149&lt;&gt;"", "B", "A")</f>
        <v>B</v>
      </c>
    </row>
    <row r="151" spans="1:18" x14ac:dyDescent="0.3">
      <c r="A151" t="str">
        <f>IF(Klantgegevens_B!A150&lt;&gt;"", Klantgegevens_B!A150, MID(Klantgegevens_A!A150, FIND(",", Klantgegevens_A!A150)+2, LEN(Klantgegevens_A!A150)))</f>
        <v>Simon</v>
      </c>
      <c r="B151" t="str">
        <f>IF(Klantgegevens_B!B150&lt;&gt;"", Klantgegevens_B!B150, LEFT(Klantgegevens_A!A150, FIND(",", Klantgegevens_A!A150)-1))</f>
        <v>Mertens</v>
      </c>
      <c r="C151" t="str">
        <f t="shared" ca="1" si="2"/>
        <v/>
      </c>
      <c r="D151" t="str">
        <f>IF(Klantgegevens_B!F150&lt;&gt;"", Klantgegevens_B!F150, Klantgegevens_A!D150 &amp; " " &amp; Klantgegevens_A!E150 &amp; ", " &amp; Klantgegevens_A!F150)</f>
        <v>Simon</v>
      </c>
      <c r="E151">
        <f>IF(Klantgegevens_B!G150&lt;&gt;"", Klantgegevens_B!G150, TEXTJOIN(",", TRUE, REPT("Volwassene,", Klantgegevens_A!G150), REPT("Kind,", Klantgegevens_A!H150)))</f>
        <v>77.099999999999994</v>
      </c>
      <c r="F151">
        <f>IF(Klantgegevens_B!G150&lt;&gt;"", LEN(Klantgegevens_B!G150)-LEN(SUBSTITUTE(Klantgegevens_B!G150, ",", ""))+1, Klantgegevens_A!G150)</f>
        <v>1</v>
      </c>
      <c r="G151">
        <f>IF(Klantgegevens_B!G150&lt;&gt;"", 0, Klantgegevens_A!H150)</f>
        <v>0</v>
      </c>
      <c r="H151">
        <f>IF(Klantgegevens_B!H150&lt;&gt;"", Klantgegevens_B!H150, Klantgegevens_A!I150)</f>
        <v>5</v>
      </c>
      <c r="I151" t="str">
        <f>IF(Klantgegevens_B!I150&lt;&gt;"", Klantgegevens_B!I150, SWITCH(Klantgegevens_A!J150, "Zelden", 1, "Af en toe", 4, "Regelmatig", 8, "Vaak", 12))</f>
        <v>Bancontact</v>
      </c>
      <c r="J151" t="str">
        <f>IF(Klantgegevens_B!J150&lt;&gt;"", Klantgegevens_B!J150, Klantgegevens_A!K150)</f>
        <v>ja</v>
      </c>
      <c r="K151">
        <f>IF(Klantgegevens_B!K150&lt;&gt;"", AVERAGE(--(Klantgegevens_B!K150="ja"), --(Klantgegevens_B!L150="ja"), --(Klantgegevens_B!M150="ja"), --(Klantgegevens_B!N150="ja"), --(Klantgegevens_B!O150="ja"))*10, Klantgegevens_A!L150)</f>
        <v>6</v>
      </c>
      <c r="L151" t="str">
        <f>IF(Klantgegevens_B!K150&lt;&gt;"", Klantgegevens_B!K150, IF(Klantgegevens_A!L150&gt;=7, "ja", "nee"))</f>
        <v>nee</v>
      </c>
      <c r="M151" t="str">
        <f>IF(Klantgegevens_B!L150&lt;&gt;"", Klantgegevens_B!L150, IF(Klantgegevens_A!L150&gt;=7, "ja", "nee"))</f>
        <v>ja</v>
      </c>
      <c r="N151" t="str">
        <f>IF(Klantgegevens_B!M150&lt;&gt;"", Klantgegevens_B!M150, IF(Klantgegevens_A!L150&gt;=7, "ja", "nee"))</f>
        <v>ja</v>
      </c>
      <c r="O151" t="str">
        <f>IF(Klantgegevens_B!N150&lt;&gt;"", Klantgegevens_B!N150, IF(Klantgegevens_A!L150&gt;=7, "ja", "nee"))</f>
        <v>ja</v>
      </c>
      <c r="P151" t="str">
        <f>IF(Klantgegevens_B!O150&lt;&gt;"", Klantgegevens_B!O150, IF(Klantgegevens_A!L150&gt;=7, "ja", "nee"))</f>
        <v>Geen dieet</v>
      </c>
      <c r="Q151" t="str">
        <f>IF(Klantgegevens_B!P150&lt;&gt;"", Klantgegevens_B!P150, Klantgegevens_A!M150)</f>
        <v>Vegetarisch</v>
      </c>
      <c r="R151" t="str">
        <f>IF(Klantgegevens_B!A150&lt;&gt;"", "B", "A")</f>
        <v>B</v>
      </c>
    </row>
    <row r="152" spans="1:18" x14ac:dyDescent="0.3">
      <c r="A152" t="str">
        <f>IF(Klantgegevens_B!A151&lt;&gt;"", Klantgegevens_B!A151, MID(Klantgegevens_A!A151, FIND(",", Klantgegevens_A!A151)+2, LEN(Klantgegevens_A!A151)))</f>
        <v>Willy</v>
      </c>
      <c r="B152" t="str">
        <f>IF(Klantgegevens_B!B151&lt;&gt;"", Klantgegevens_B!B151, LEFT(Klantgegevens_A!A151, FIND(",", Klantgegevens_A!A151)-1))</f>
        <v>Charlier</v>
      </c>
      <c r="C152" t="str">
        <f t="shared" ca="1" si="2"/>
        <v/>
      </c>
      <c r="D152" t="str">
        <f>IF(Klantgegevens_B!F151&lt;&gt;"", Klantgegevens_B!F151, Klantgegevens_A!D151 &amp; " " &amp; Klantgegevens_A!E151 &amp; ", " &amp; Klantgegevens_A!F151)</f>
        <v>Willy,Alain</v>
      </c>
      <c r="E152">
        <f>IF(Klantgegevens_B!G151&lt;&gt;"", Klantgegevens_B!G151, TEXTJOIN(",", TRUE, REPT("Volwassene,", Klantgegevens_A!G151), REPT("Kind,", Klantgegevens_A!H151)))</f>
        <v>58.31</v>
      </c>
      <c r="F152">
        <f>IF(Klantgegevens_B!G151&lt;&gt;"", LEN(Klantgegevens_B!G151)-LEN(SUBSTITUTE(Klantgegevens_B!G151, ",", ""))+1, Klantgegevens_A!G151)</f>
        <v>1</v>
      </c>
      <c r="G152">
        <f>IF(Klantgegevens_B!G151&lt;&gt;"", 0, Klantgegevens_A!H151)</f>
        <v>0</v>
      </c>
      <c r="H152">
        <f>IF(Klantgegevens_B!H151&lt;&gt;"", Klantgegevens_B!H151, Klantgegevens_A!I151)</f>
        <v>12</v>
      </c>
      <c r="I152" t="str">
        <f>IF(Klantgegevens_B!I151&lt;&gt;"", Klantgegevens_B!I151, SWITCH(Klantgegevens_A!J151, "Zelden", 1, "Af en toe", 4, "Regelmatig", 8, "Vaak", 12))</f>
        <v>Payconiq</v>
      </c>
      <c r="J152" t="str">
        <f>IF(Klantgegevens_B!J151&lt;&gt;"", Klantgegevens_B!J151, Klantgegevens_A!K151)</f>
        <v>nee</v>
      </c>
      <c r="K152">
        <f>IF(Klantgegevens_B!K151&lt;&gt;"", AVERAGE(--(Klantgegevens_B!K151="ja"), --(Klantgegevens_B!L151="ja"), --(Klantgegevens_B!M151="ja"), --(Klantgegevens_B!N151="ja"), --(Klantgegevens_B!O151="ja"))*10, Klantgegevens_A!L151)</f>
        <v>6</v>
      </c>
      <c r="L152" t="str">
        <f>IF(Klantgegevens_B!K151&lt;&gt;"", Klantgegevens_B!K151, IF(Klantgegevens_A!L151&gt;=7, "ja", "nee"))</f>
        <v>ja</v>
      </c>
      <c r="M152" t="str">
        <f>IF(Klantgegevens_B!L151&lt;&gt;"", Klantgegevens_B!L151, IF(Klantgegevens_A!L151&gt;=7, "ja", "nee"))</f>
        <v>nee</v>
      </c>
      <c r="N152" t="str">
        <f>IF(Klantgegevens_B!M151&lt;&gt;"", Klantgegevens_B!M151, IF(Klantgegevens_A!L151&gt;=7, "ja", "nee"))</f>
        <v>ja</v>
      </c>
      <c r="O152" t="str">
        <f>IF(Klantgegevens_B!N151&lt;&gt;"", Klantgegevens_B!N151, IF(Klantgegevens_A!L151&gt;=7, "ja", "nee"))</f>
        <v>ja</v>
      </c>
      <c r="P152" t="str">
        <f>IF(Klantgegevens_B!O151&lt;&gt;"", Klantgegevens_B!O151, IF(Klantgegevens_A!L151&gt;=7, "ja", "nee"))</f>
        <v>Vegetarisch</v>
      </c>
      <c r="Q152" t="str">
        <f>IF(Klantgegevens_B!P151&lt;&gt;"", Klantgegevens_B!P151, Klantgegevens_A!M151)</f>
        <v>Geen dieet</v>
      </c>
      <c r="R152" t="str">
        <f>IF(Klantgegevens_B!A151&lt;&gt;"", "B", "A")</f>
        <v>B</v>
      </c>
    </row>
    <row r="153" spans="1:18" x14ac:dyDescent="0.3">
      <c r="A153" t="str">
        <f>IF(Klantgegevens_B!A152&lt;&gt;"", Klantgegevens_B!A152, MID(Klantgegevens_A!A152, FIND(",", Klantgegevens_A!A152)+2, LEN(Klantgegevens_A!A152)))</f>
        <v>Anthony</v>
      </c>
      <c r="B153" t="str">
        <f>IF(Klantgegevens_B!B152&lt;&gt;"", Klantgegevens_B!B152, LEFT(Klantgegevens_A!A152, FIND(",", Klantgegevens_A!A152)-1))</f>
        <v>De decker</v>
      </c>
      <c r="C153" t="str">
        <f t="shared" ca="1" si="2"/>
        <v/>
      </c>
      <c r="D153" t="str">
        <f>IF(Klantgegevens_B!F152&lt;&gt;"", Klantgegevens_B!F152, Klantgegevens_A!D152 &amp; " " &amp; Klantgegevens_A!E152 &amp; ", " &amp; Klantgegevens_A!F152)</f>
        <v>Anthony,Christian,Luc,Katia</v>
      </c>
      <c r="E153">
        <f>IF(Klantgegevens_B!G152&lt;&gt;"", Klantgegevens_B!G152, TEXTJOIN(",", TRUE, REPT("Volwassene,", Klantgegevens_A!G152), REPT("Kind,", Klantgegevens_A!H152)))</f>
        <v>157.82</v>
      </c>
      <c r="F153">
        <f>IF(Klantgegevens_B!G152&lt;&gt;"", LEN(Klantgegevens_B!G152)-LEN(SUBSTITUTE(Klantgegevens_B!G152, ",", ""))+1, Klantgegevens_A!G152)</f>
        <v>1</v>
      </c>
      <c r="G153">
        <f>IF(Klantgegevens_B!G152&lt;&gt;"", 0, Klantgegevens_A!H152)</f>
        <v>0</v>
      </c>
      <c r="H153">
        <f>IF(Klantgegevens_B!H152&lt;&gt;"", Klantgegevens_B!H152, Klantgegevens_A!I152)</f>
        <v>8</v>
      </c>
      <c r="I153" t="str">
        <f>IF(Klantgegevens_B!I152&lt;&gt;"", Klantgegevens_B!I152, SWITCH(Klantgegevens_A!J152, "Zelden", 1, "Af en toe", 4, "Regelmatig", 8, "Vaak", 12))</f>
        <v>Bancontact</v>
      </c>
      <c r="J153" t="str">
        <f>IF(Klantgegevens_B!J152&lt;&gt;"", Klantgegevens_B!J152, Klantgegevens_A!K152)</f>
        <v>nee</v>
      </c>
      <c r="K153">
        <f>IF(Klantgegevens_B!K152&lt;&gt;"", AVERAGE(--(Klantgegevens_B!K152="ja"), --(Klantgegevens_B!L152="ja"), --(Klantgegevens_B!M152="ja"), --(Klantgegevens_B!N152="ja"), --(Klantgegevens_B!O152="ja"))*10, Klantgegevens_A!L152)</f>
        <v>8</v>
      </c>
      <c r="L153" t="str">
        <f>IF(Klantgegevens_B!K152&lt;&gt;"", Klantgegevens_B!K152, IF(Klantgegevens_A!L152&gt;=7, "ja", "nee"))</f>
        <v>ja</v>
      </c>
      <c r="M153" t="str">
        <f>IF(Klantgegevens_B!L152&lt;&gt;"", Klantgegevens_B!L152, IF(Klantgegevens_A!L152&gt;=7, "ja", "nee"))</f>
        <v>ja</v>
      </c>
      <c r="N153" t="str">
        <f>IF(Klantgegevens_B!M152&lt;&gt;"", Klantgegevens_B!M152, IF(Klantgegevens_A!L152&gt;=7, "ja", "nee"))</f>
        <v>ja</v>
      </c>
      <c r="O153" t="str">
        <f>IF(Klantgegevens_B!N152&lt;&gt;"", Klantgegevens_B!N152, IF(Klantgegevens_A!L152&gt;=7, "ja", "nee"))</f>
        <v>ja</v>
      </c>
      <c r="P153" t="str">
        <f>IF(Klantgegevens_B!O152&lt;&gt;"", Klantgegevens_B!O152, IF(Klantgegevens_A!L152&gt;=7, "ja", "nee"))</f>
        <v>Geen dieet</v>
      </c>
      <c r="Q153" t="str">
        <f>IF(Klantgegevens_B!P152&lt;&gt;"", Klantgegevens_B!P152, Klantgegevens_A!M152)</f>
        <v>Geen dieet</v>
      </c>
      <c r="R153" t="str">
        <f>IF(Klantgegevens_B!A152&lt;&gt;"", "B", "A")</f>
        <v>B</v>
      </c>
    </row>
    <row r="154" spans="1:18" x14ac:dyDescent="0.3">
      <c r="A154" t="str">
        <f>IF(Klantgegevens_B!A153&lt;&gt;"", Klantgegevens_B!A153, MID(Klantgegevens_A!A153, FIND(",", Klantgegevens_A!A153)+2, LEN(Klantgegevens_A!A153)))</f>
        <v>Anita</v>
      </c>
      <c r="B154" t="str">
        <f>IF(Klantgegevens_B!B153&lt;&gt;"", Klantgegevens_B!B153, LEFT(Klantgegevens_A!A153, FIND(",", Klantgegevens_A!A153)-1))</f>
        <v>Mathieu</v>
      </c>
      <c r="C154" t="str">
        <f t="shared" ca="1" si="2"/>
        <v/>
      </c>
      <c r="D154" t="str">
        <f>IF(Klantgegevens_B!F153&lt;&gt;"", Klantgegevens_B!F153, Klantgegevens_A!D153 &amp; " " &amp; Klantgegevens_A!E153 &amp; ", " &amp; Klantgegevens_A!F153)</f>
        <v>Anita</v>
      </c>
      <c r="E154">
        <f>IF(Klantgegevens_B!G153&lt;&gt;"", Klantgegevens_B!G153, TEXTJOIN(",", TRUE, REPT("Volwassene,", Klantgegevens_A!G153), REPT("Kind,", Klantgegevens_A!H153)))</f>
        <v>20.94</v>
      </c>
      <c r="F154">
        <f>IF(Klantgegevens_B!G153&lt;&gt;"", LEN(Klantgegevens_B!G153)-LEN(SUBSTITUTE(Klantgegevens_B!G153, ",", ""))+1, Klantgegevens_A!G153)</f>
        <v>1</v>
      </c>
      <c r="G154">
        <f>IF(Klantgegevens_B!G153&lt;&gt;"", 0, Klantgegevens_A!H153)</f>
        <v>0</v>
      </c>
      <c r="H154">
        <f>IF(Klantgegevens_B!H153&lt;&gt;"", Klantgegevens_B!H153, Klantgegevens_A!I153)</f>
        <v>20</v>
      </c>
      <c r="I154" t="str">
        <f>IF(Klantgegevens_B!I153&lt;&gt;"", Klantgegevens_B!I153, SWITCH(Klantgegevens_A!J153, "Zelden", 1, "Af en toe", 4, "Regelmatig", 8, "Vaak", 12))</f>
        <v>Cash</v>
      </c>
      <c r="J154" t="str">
        <f>IF(Klantgegevens_B!J153&lt;&gt;"", Klantgegevens_B!J153, Klantgegevens_A!K153)</f>
        <v>nee</v>
      </c>
      <c r="K154">
        <f>IF(Klantgegevens_B!K153&lt;&gt;"", AVERAGE(--(Klantgegevens_B!K153="ja"), --(Klantgegevens_B!L153="ja"), --(Klantgegevens_B!M153="ja"), --(Klantgegevens_B!N153="ja"), --(Klantgegevens_B!O153="ja"))*10, Klantgegevens_A!L153)</f>
        <v>4</v>
      </c>
      <c r="L154" t="str">
        <f>IF(Klantgegevens_B!K153&lt;&gt;"", Klantgegevens_B!K153, IF(Klantgegevens_A!L153&gt;=7, "ja", "nee"))</f>
        <v>nee</v>
      </c>
      <c r="M154" t="str">
        <f>IF(Klantgegevens_B!L153&lt;&gt;"", Klantgegevens_B!L153, IF(Klantgegevens_A!L153&gt;=7, "ja", "nee"))</f>
        <v>nee</v>
      </c>
      <c r="N154" t="str">
        <f>IF(Klantgegevens_B!M153&lt;&gt;"", Klantgegevens_B!M153, IF(Klantgegevens_A!L153&gt;=7, "ja", "nee"))</f>
        <v>ja</v>
      </c>
      <c r="O154" t="str">
        <f>IF(Klantgegevens_B!N153&lt;&gt;"", Klantgegevens_B!N153, IF(Klantgegevens_A!L153&gt;=7, "ja", "nee"))</f>
        <v>ja</v>
      </c>
      <c r="P154" t="str">
        <f>IF(Klantgegevens_B!O153&lt;&gt;"", Klantgegevens_B!O153, IF(Klantgegevens_A!L153&gt;=7, "ja", "nee"))</f>
        <v>Geen dieet</v>
      </c>
      <c r="Q154" t="str">
        <f>IF(Klantgegevens_B!P153&lt;&gt;"", Klantgegevens_B!P153, Klantgegevens_A!M153)</f>
        <v>Geen dieet</v>
      </c>
      <c r="R154" t="str">
        <f>IF(Klantgegevens_B!A153&lt;&gt;"", "B", "A")</f>
        <v>B</v>
      </c>
    </row>
    <row r="155" spans="1:18" x14ac:dyDescent="0.3">
      <c r="A155" t="str">
        <f>IF(Klantgegevens_B!A154&lt;&gt;"", Klantgegevens_B!A154, MID(Klantgegevens_A!A154, FIND(",", Klantgegevens_A!A154)+2, LEN(Klantgegevens_A!A154)))</f>
        <v>Nadine</v>
      </c>
      <c r="B155" t="str">
        <f>IF(Klantgegevens_B!B154&lt;&gt;"", Klantgegevens_B!B154, LEFT(Klantgegevens_A!A154, FIND(",", Klantgegevens_A!A154)-1))</f>
        <v>Aerts</v>
      </c>
      <c r="C155" t="str">
        <f t="shared" ca="1" si="2"/>
        <v/>
      </c>
      <c r="D155" t="str">
        <f>IF(Klantgegevens_B!F154&lt;&gt;"", Klantgegevens_B!F154, Klantgegevens_A!D154 &amp; " " &amp; Klantgegevens_A!E154 &amp; ", " &amp; Klantgegevens_A!F154)</f>
        <v>Nadine,Sabrina,Casper</v>
      </c>
      <c r="E155">
        <f>IF(Klantgegevens_B!G154&lt;&gt;"", Klantgegevens_B!G154, TEXTJOIN(",", TRUE, REPT("Volwassene,", Klantgegevens_A!G154), REPT("Kind,", Klantgegevens_A!H154)))</f>
        <v>97.89</v>
      </c>
      <c r="F155">
        <f>IF(Klantgegevens_B!G154&lt;&gt;"", LEN(Klantgegevens_B!G154)-LEN(SUBSTITUTE(Klantgegevens_B!G154, ",", ""))+1, Klantgegevens_A!G154)</f>
        <v>1</v>
      </c>
      <c r="G155">
        <f>IF(Klantgegevens_B!G154&lt;&gt;"", 0, Klantgegevens_A!H154)</f>
        <v>0</v>
      </c>
      <c r="H155">
        <f>IF(Klantgegevens_B!H154&lt;&gt;"", Klantgegevens_B!H154, Klantgegevens_A!I154)</f>
        <v>14</v>
      </c>
      <c r="I155" t="str">
        <f>IF(Klantgegevens_B!I154&lt;&gt;"", Klantgegevens_B!I154, SWITCH(Klantgegevens_A!J154, "Zelden", 1, "Af en toe", 4, "Regelmatig", 8, "Vaak", 12))</f>
        <v>Bancontact</v>
      </c>
      <c r="J155" t="str">
        <f>IF(Klantgegevens_B!J154&lt;&gt;"", Klantgegevens_B!J154, Klantgegevens_A!K154)</f>
        <v>ja</v>
      </c>
      <c r="K155">
        <f>IF(Klantgegevens_B!K154&lt;&gt;"", AVERAGE(--(Klantgegevens_B!K154="ja"), --(Klantgegevens_B!L154="ja"), --(Klantgegevens_B!M154="ja"), --(Klantgegevens_B!N154="ja"), --(Klantgegevens_B!O154="ja"))*10, Klantgegevens_A!L154)</f>
        <v>6</v>
      </c>
      <c r="L155" t="str">
        <f>IF(Klantgegevens_B!K154&lt;&gt;"", Klantgegevens_B!K154, IF(Klantgegevens_A!L154&gt;=7, "ja", "nee"))</f>
        <v>nee</v>
      </c>
      <c r="M155" t="str">
        <f>IF(Klantgegevens_B!L154&lt;&gt;"", Klantgegevens_B!L154, IF(Klantgegevens_A!L154&gt;=7, "ja", "nee"))</f>
        <v>ja</v>
      </c>
      <c r="N155" t="str">
        <f>IF(Klantgegevens_B!M154&lt;&gt;"", Klantgegevens_B!M154, IF(Klantgegevens_A!L154&gt;=7, "ja", "nee"))</f>
        <v>ja</v>
      </c>
      <c r="O155" t="str">
        <f>IF(Klantgegevens_B!N154&lt;&gt;"", Klantgegevens_B!N154, IF(Klantgegevens_A!L154&gt;=7, "ja", "nee"))</f>
        <v>ja</v>
      </c>
      <c r="P155" t="str">
        <f>IF(Klantgegevens_B!O154&lt;&gt;"", Klantgegevens_B!O154, IF(Klantgegevens_A!L154&gt;=7, "ja", "nee"))</f>
        <v>Geen dieet</v>
      </c>
      <c r="Q155" t="str">
        <f>IF(Klantgegevens_B!P154&lt;&gt;"", Klantgegevens_B!P154, Klantgegevens_A!M154)</f>
        <v>Geen dieet</v>
      </c>
      <c r="R155" t="str">
        <f>IF(Klantgegevens_B!A154&lt;&gt;"", "B", "A")</f>
        <v>B</v>
      </c>
    </row>
    <row r="156" spans="1:18" x14ac:dyDescent="0.3">
      <c r="A156" t="str">
        <f>IF(Klantgegevens_B!A155&lt;&gt;"", Klantgegevens_B!A155, MID(Klantgegevens_A!A155, FIND(",", Klantgegevens_A!A155)+2, LEN(Klantgegevens_A!A155)))</f>
        <v>Arwen</v>
      </c>
      <c r="B156" t="str">
        <f>IF(Klantgegevens_B!B155&lt;&gt;"", Klantgegevens_B!B155, LEFT(Klantgegevens_A!A155, FIND(",", Klantgegevens_A!A155)-1))</f>
        <v>Leonard</v>
      </c>
      <c r="C156" t="str">
        <f t="shared" ca="1" si="2"/>
        <v/>
      </c>
      <c r="D156" t="str">
        <f>IF(Klantgegevens_B!F155&lt;&gt;"", Klantgegevens_B!F155, Klantgegevens_A!D155 &amp; " " &amp; Klantgegevens_A!E155 &amp; ", " &amp; Klantgegevens_A!F155)</f>
        <v>Arwen,Steven</v>
      </c>
      <c r="E156">
        <f>IF(Klantgegevens_B!G155&lt;&gt;"", Klantgegevens_B!G155, TEXTJOIN(",", TRUE, REPT("Volwassene,", Klantgegevens_A!G155), REPT("Kind,", Klantgegevens_A!H155)))</f>
        <v>62.01</v>
      </c>
      <c r="F156">
        <f>IF(Klantgegevens_B!G155&lt;&gt;"", LEN(Klantgegevens_B!G155)-LEN(SUBSTITUTE(Klantgegevens_B!G155, ",", ""))+1, Klantgegevens_A!G155)</f>
        <v>1</v>
      </c>
      <c r="G156">
        <f>IF(Klantgegevens_B!G155&lt;&gt;"", 0, Klantgegevens_A!H155)</f>
        <v>0</v>
      </c>
      <c r="H156">
        <f>IF(Klantgegevens_B!H155&lt;&gt;"", Klantgegevens_B!H155, Klantgegevens_A!I155)</f>
        <v>4</v>
      </c>
      <c r="I156" t="str">
        <f>IF(Klantgegevens_B!I155&lt;&gt;"", Klantgegevens_B!I155, SWITCH(Klantgegevens_A!J155, "Zelden", 1, "Af en toe", 4, "Regelmatig", 8, "Vaak", 12))</f>
        <v>Bancontact</v>
      </c>
      <c r="J156" t="str">
        <f>IF(Klantgegevens_B!J155&lt;&gt;"", Klantgegevens_B!J155, Klantgegevens_A!K155)</f>
        <v>ja</v>
      </c>
      <c r="K156">
        <f>IF(Klantgegevens_B!K155&lt;&gt;"", AVERAGE(--(Klantgegevens_B!K155="ja"), --(Klantgegevens_B!L155="ja"), --(Klantgegevens_B!M155="ja"), --(Klantgegevens_B!N155="ja"), --(Klantgegevens_B!O155="ja"))*10, Klantgegevens_A!L155)</f>
        <v>2</v>
      </c>
      <c r="L156" t="str">
        <f>IF(Klantgegevens_B!K155&lt;&gt;"", Klantgegevens_B!K155, IF(Klantgegevens_A!L155&gt;=7, "ja", "nee"))</f>
        <v>ja</v>
      </c>
      <c r="M156" t="str">
        <f>IF(Klantgegevens_B!L155&lt;&gt;"", Klantgegevens_B!L155, IF(Klantgegevens_A!L155&gt;=7, "ja", "nee"))</f>
        <v>nee</v>
      </c>
      <c r="N156" t="str">
        <f>IF(Klantgegevens_B!M155&lt;&gt;"", Klantgegevens_B!M155, IF(Klantgegevens_A!L155&gt;=7, "ja", "nee"))</f>
        <v>nee</v>
      </c>
      <c r="O156" t="str">
        <f>IF(Klantgegevens_B!N155&lt;&gt;"", Klantgegevens_B!N155, IF(Klantgegevens_A!L155&gt;=7, "ja", "nee"))</f>
        <v>nee</v>
      </c>
      <c r="P156" t="str">
        <f>IF(Klantgegevens_B!O155&lt;&gt;"", Klantgegevens_B!O155, IF(Klantgegevens_A!L155&gt;=7, "ja", "nee"))</f>
        <v>Geen dieet</v>
      </c>
      <c r="Q156" t="str">
        <f>IF(Klantgegevens_B!P155&lt;&gt;"", Klantgegevens_B!P155, Klantgegevens_A!M155)</f>
        <v>Geen dieet</v>
      </c>
      <c r="R156" t="str">
        <f>IF(Klantgegevens_B!A155&lt;&gt;"", "B", "A")</f>
        <v>B</v>
      </c>
    </row>
    <row r="157" spans="1:18" x14ac:dyDescent="0.3">
      <c r="A157" t="str">
        <f>IF(Klantgegevens_B!A156&lt;&gt;"", Klantgegevens_B!A156, MID(Klantgegevens_A!A156, FIND(",", Klantgegevens_A!A156)+2, LEN(Klantgegevens_A!A156)))</f>
        <v>Noah</v>
      </c>
      <c r="B157" t="str">
        <f>IF(Klantgegevens_B!B156&lt;&gt;"", Klantgegevens_B!B156, LEFT(Klantgegevens_A!A156, FIND(",", Klantgegevens_A!A156)-1))</f>
        <v>Stevens</v>
      </c>
      <c r="C157" t="str">
        <f t="shared" ca="1" si="2"/>
        <v/>
      </c>
      <c r="D157" t="str">
        <f>IF(Klantgegevens_B!F156&lt;&gt;"", Klantgegevens_B!F156, Klantgegevens_A!D156 &amp; " " &amp; Klantgegevens_A!E156 &amp; ", " &amp; Klantgegevens_A!F156)</f>
        <v>Noah</v>
      </c>
      <c r="E157">
        <f>IF(Klantgegevens_B!G156&lt;&gt;"", Klantgegevens_B!G156, TEXTJOIN(",", TRUE, REPT("Volwassene,", Klantgegevens_A!G156), REPT("Kind,", Klantgegevens_A!H156)))</f>
        <v>84.01</v>
      </c>
      <c r="F157">
        <f>IF(Klantgegevens_B!G156&lt;&gt;"", LEN(Klantgegevens_B!G156)-LEN(SUBSTITUTE(Klantgegevens_B!G156, ",", ""))+1, Klantgegevens_A!G156)</f>
        <v>1</v>
      </c>
      <c r="G157">
        <f>IF(Klantgegevens_B!G156&lt;&gt;"", 0, Klantgegevens_A!H156)</f>
        <v>0</v>
      </c>
      <c r="H157">
        <f>IF(Klantgegevens_B!H156&lt;&gt;"", Klantgegevens_B!H156, Klantgegevens_A!I156)</f>
        <v>13</v>
      </c>
      <c r="I157" t="str">
        <f>IF(Klantgegevens_B!I156&lt;&gt;"", Klantgegevens_B!I156, SWITCH(Klantgegevens_A!J156, "Zelden", 1, "Af en toe", 4, "Regelmatig", 8, "Vaak", 12))</f>
        <v>Bancontact</v>
      </c>
      <c r="J157" t="str">
        <f>IF(Klantgegevens_B!J156&lt;&gt;"", Klantgegevens_B!J156, Klantgegevens_A!K156)</f>
        <v>ja</v>
      </c>
      <c r="K157">
        <f>IF(Klantgegevens_B!K156&lt;&gt;"", AVERAGE(--(Klantgegevens_B!K156="ja"), --(Klantgegevens_B!L156="ja"), --(Klantgegevens_B!M156="ja"), --(Klantgegevens_B!N156="ja"), --(Klantgegevens_B!O156="ja"))*10, Klantgegevens_A!L156)</f>
        <v>6</v>
      </c>
      <c r="L157" t="str">
        <f>IF(Klantgegevens_B!K156&lt;&gt;"", Klantgegevens_B!K156, IF(Klantgegevens_A!L156&gt;=7, "ja", "nee"))</f>
        <v>ja</v>
      </c>
      <c r="M157" t="str">
        <f>IF(Klantgegevens_B!L156&lt;&gt;"", Klantgegevens_B!L156, IF(Klantgegevens_A!L156&gt;=7, "ja", "nee"))</f>
        <v>ja</v>
      </c>
      <c r="N157" t="str">
        <f>IF(Klantgegevens_B!M156&lt;&gt;"", Klantgegevens_B!M156, IF(Klantgegevens_A!L156&gt;=7, "ja", "nee"))</f>
        <v>ja</v>
      </c>
      <c r="O157" t="str">
        <f>IF(Klantgegevens_B!N156&lt;&gt;"", Klantgegevens_B!N156, IF(Klantgegevens_A!L156&gt;=7, "ja", "nee"))</f>
        <v>nee</v>
      </c>
      <c r="P157" t="str">
        <f>IF(Klantgegevens_B!O156&lt;&gt;"", Klantgegevens_B!O156, IF(Klantgegevens_A!L156&gt;=7, "ja", "nee"))</f>
        <v>Geen dieet</v>
      </c>
      <c r="Q157" t="str">
        <f>IF(Klantgegevens_B!P156&lt;&gt;"", Klantgegevens_B!P156, Klantgegevens_A!M156)</f>
        <v>Veganistisch</v>
      </c>
      <c r="R157" t="str">
        <f>IF(Klantgegevens_B!A156&lt;&gt;"", "B", "A")</f>
        <v>B</v>
      </c>
    </row>
    <row r="158" spans="1:18" x14ac:dyDescent="0.3">
      <c r="A158" t="str">
        <f>IF(Klantgegevens_B!A157&lt;&gt;"", Klantgegevens_B!A157, MID(Klantgegevens_A!A157, FIND(",", Klantgegevens_A!A157)+2, LEN(Klantgegevens_A!A157)))</f>
        <v>Louis</v>
      </c>
      <c r="B158" t="str">
        <f>IF(Klantgegevens_B!B157&lt;&gt;"", Klantgegevens_B!B157, LEFT(Klantgegevens_A!A157, FIND(",", Klantgegevens_A!A157)-1))</f>
        <v>Schepers</v>
      </c>
      <c r="C158" t="str">
        <f t="shared" ca="1" si="2"/>
        <v/>
      </c>
      <c r="D158" t="str">
        <f>IF(Klantgegevens_B!F157&lt;&gt;"", Klantgegevens_B!F157, Klantgegevens_A!D157 &amp; " " &amp; Klantgegevens_A!E157 &amp; ", " &amp; Klantgegevens_A!F157)</f>
        <v>Louis,Geert,Boubacar</v>
      </c>
      <c r="E158">
        <f>IF(Klantgegevens_B!G157&lt;&gt;"", Klantgegevens_B!G157, TEXTJOIN(",", TRUE, REPT("Volwassene,", Klantgegevens_A!G157), REPT("Kind,", Klantgegevens_A!H157)))</f>
        <v>160.07</v>
      </c>
      <c r="F158">
        <f>IF(Klantgegevens_B!G157&lt;&gt;"", LEN(Klantgegevens_B!G157)-LEN(SUBSTITUTE(Klantgegevens_B!G157, ",", ""))+1, Klantgegevens_A!G157)</f>
        <v>1</v>
      </c>
      <c r="G158">
        <f>IF(Klantgegevens_B!G157&lt;&gt;"", 0, Klantgegevens_A!H157)</f>
        <v>0</v>
      </c>
      <c r="H158">
        <f>IF(Klantgegevens_B!H157&lt;&gt;"", Klantgegevens_B!H157, Klantgegevens_A!I157)</f>
        <v>13</v>
      </c>
      <c r="I158" t="str">
        <f>IF(Klantgegevens_B!I157&lt;&gt;"", Klantgegevens_B!I157, SWITCH(Klantgegevens_A!J157, "Zelden", 1, "Af en toe", 4, "Regelmatig", 8, "Vaak", 12))</f>
        <v>Bancontact</v>
      </c>
      <c r="J158" t="str">
        <f>IF(Klantgegevens_B!J157&lt;&gt;"", Klantgegevens_B!J157, Klantgegevens_A!K157)</f>
        <v>ja</v>
      </c>
      <c r="K158">
        <f>IF(Klantgegevens_B!K157&lt;&gt;"", AVERAGE(--(Klantgegevens_B!K157="ja"), --(Klantgegevens_B!L157="ja"), --(Klantgegevens_B!M157="ja"), --(Klantgegevens_B!N157="ja"), --(Klantgegevens_B!O157="ja"))*10, Klantgegevens_A!L157)</f>
        <v>6</v>
      </c>
      <c r="L158" t="str">
        <f>IF(Klantgegevens_B!K157&lt;&gt;"", Klantgegevens_B!K157, IF(Klantgegevens_A!L157&gt;=7, "ja", "nee"))</f>
        <v>ja</v>
      </c>
      <c r="M158" t="str">
        <f>IF(Klantgegevens_B!L157&lt;&gt;"", Klantgegevens_B!L157, IF(Klantgegevens_A!L157&gt;=7, "ja", "nee"))</f>
        <v>ja</v>
      </c>
      <c r="N158" t="str">
        <f>IF(Klantgegevens_B!M157&lt;&gt;"", Klantgegevens_B!M157, IF(Klantgegevens_A!L157&gt;=7, "ja", "nee"))</f>
        <v>nee</v>
      </c>
      <c r="O158" t="str">
        <f>IF(Klantgegevens_B!N157&lt;&gt;"", Klantgegevens_B!N157, IF(Klantgegevens_A!L157&gt;=7, "ja", "nee"))</f>
        <v>ja</v>
      </c>
      <c r="P158" t="str">
        <f>IF(Klantgegevens_B!O157&lt;&gt;"", Klantgegevens_B!O157, IF(Klantgegevens_A!L157&gt;=7, "ja", "nee"))</f>
        <v>Geen dieet</v>
      </c>
      <c r="Q158" t="str">
        <f>IF(Klantgegevens_B!P157&lt;&gt;"", Klantgegevens_B!P157, Klantgegevens_A!M157)</f>
        <v>Geen dieet</v>
      </c>
      <c r="R158" t="str">
        <f>IF(Klantgegevens_B!A157&lt;&gt;"", "B", "A")</f>
        <v>B</v>
      </c>
    </row>
    <row r="159" spans="1:18" x14ac:dyDescent="0.3">
      <c r="A159" t="str">
        <f>IF(Klantgegevens_B!A158&lt;&gt;"", Klantgegevens_B!A158, MID(Klantgegevens_A!A158, FIND(",", Klantgegevens_A!A158)+2, LEN(Klantgegevens_A!A158)))</f>
        <v>Bertrand</v>
      </c>
      <c r="B159" t="str">
        <f>IF(Klantgegevens_B!B158&lt;&gt;"", Klantgegevens_B!B158, LEFT(Klantgegevens_A!A158, FIND(",", Klantgegevens_A!A158)-1))</f>
        <v>Mortier</v>
      </c>
      <c r="C159" t="str">
        <f t="shared" ca="1" si="2"/>
        <v/>
      </c>
      <c r="D159" t="str">
        <f>IF(Klantgegevens_B!F158&lt;&gt;"", Klantgegevens_B!F158, Klantgegevens_A!D158 &amp; " " &amp; Klantgegevens_A!E158 &amp; ", " &amp; Klantgegevens_A!F158)</f>
        <v>Bertrand,Sacha,Bernadette,Jasmien,Nicole</v>
      </c>
      <c r="E159">
        <f>IF(Klantgegevens_B!G158&lt;&gt;"", Klantgegevens_B!G158, TEXTJOIN(",", TRUE, REPT("Volwassene,", Klantgegevens_A!G158), REPT("Kind,", Klantgegevens_A!H158)))</f>
        <v>217.63</v>
      </c>
      <c r="F159">
        <f>IF(Klantgegevens_B!G158&lt;&gt;"", LEN(Klantgegevens_B!G158)-LEN(SUBSTITUTE(Klantgegevens_B!G158, ",", ""))+1, Klantgegevens_A!G158)</f>
        <v>1</v>
      </c>
      <c r="G159">
        <f>IF(Klantgegevens_B!G158&lt;&gt;"", 0, Klantgegevens_A!H158)</f>
        <v>0</v>
      </c>
      <c r="H159">
        <f>IF(Klantgegevens_B!H158&lt;&gt;"", Klantgegevens_B!H158, Klantgegevens_A!I158)</f>
        <v>6</v>
      </c>
      <c r="I159" t="str">
        <f>IF(Klantgegevens_B!I158&lt;&gt;"", Klantgegevens_B!I158, SWITCH(Klantgegevens_A!J158, "Zelden", 1, "Af en toe", 4, "Regelmatig", 8, "Vaak", 12))</f>
        <v>Bancontact</v>
      </c>
      <c r="J159" t="str">
        <f>IF(Klantgegevens_B!J158&lt;&gt;"", Klantgegevens_B!J158, Klantgegevens_A!K158)</f>
        <v>ja</v>
      </c>
      <c r="K159">
        <f>IF(Klantgegevens_B!K158&lt;&gt;"", AVERAGE(--(Klantgegevens_B!K158="ja"), --(Klantgegevens_B!L158="ja"), --(Klantgegevens_B!M158="ja"), --(Klantgegevens_B!N158="ja"), --(Klantgegevens_B!O158="ja"))*10, Klantgegevens_A!L158)</f>
        <v>4</v>
      </c>
      <c r="L159" t="str">
        <f>IF(Klantgegevens_B!K158&lt;&gt;"", Klantgegevens_B!K158, IF(Klantgegevens_A!L158&gt;=7, "ja", "nee"))</f>
        <v>nee</v>
      </c>
      <c r="M159" t="str">
        <f>IF(Klantgegevens_B!L158&lt;&gt;"", Klantgegevens_B!L158, IF(Klantgegevens_A!L158&gt;=7, "ja", "nee"))</f>
        <v>nee</v>
      </c>
      <c r="N159" t="str">
        <f>IF(Klantgegevens_B!M158&lt;&gt;"", Klantgegevens_B!M158, IF(Klantgegevens_A!L158&gt;=7, "ja", "nee"))</f>
        <v>ja</v>
      </c>
      <c r="O159" t="str">
        <f>IF(Klantgegevens_B!N158&lt;&gt;"", Klantgegevens_B!N158, IF(Klantgegevens_A!L158&gt;=7, "ja", "nee"))</f>
        <v>ja</v>
      </c>
      <c r="P159" t="str">
        <f>IF(Klantgegevens_B!O158&lt;&gt;"", Klantgegevens_B!O158, IF(Klantgegevens_A!L158&gt;=7, "ja", "nee"))</f>
        <v>Geen dieet</v>
      </c>
      <c r="Q159" t="str">
        <f>IF(Klantgegevens_B!P158&lt;&gt;"", Klantgegevens_B!P158, Klantgegevens_A!M158)</f>
        <v>Geen dieet</v>
      </c>
      <c r="R159" t="str">
        <f>IF(Klantgegevens_B!A158&lt;&gt;"", "B", "A")</f>
        <v>B</v>
      </c>
    </row>
    <row r="160" spans="1:18" x14ac:dyDescent="0.3">
      <c r="A160" t="str">
        <f>IF(Klantgegevens_B!A159&lt;&gt;"", Klantgegevens_B!A159, MID(Klantgegevens_A!A159, FIND(",", Klantgegevens_A!A159)+2, LEN(Klantgegevens_A!A159)))</f>
        <v>Ineke</v>
      </c>
      <c r="B160" t="str">
        <f>IF(Klantgegevens_B!B159&lt;&gt;"", Klantgegevens_B!B159, LEFT(Klantgegevens_A!A159, FIND(",", Klantgegevens_A!A159)-1))</f>
        <v>Pauwels</v>
      </c>
      <c r="C160" t="str">
        <f t="shared" ca="1" si="2"/>
        <v/>
      </c>
      <c r="D160" t="str">
        <f>IF(Klantgegevens_B!F159&lt;&gt;"", Klantgegevens_B!F159, Klantgegevens_A!D159 &amp; " " &amp; Klantgegevens_A!E159 &amp; ", " &amp; Klantgegevens_A!F159)</f>
        <v>Ineke,Maria,David,Marc,Samia</v>
      </c>
      <c r="E160">
        <f>IF(Klantgegevens_B!G159&lt;&gt;"", Klantgegevens_B!G159, TEXTJOIN(",", TRUE, REPT("Volwassene,", Klantgegevens_A!G159), REPT("Kind,", Klantgegevens_A!H159)))</f>
        <v>150.66</v>
      </c>
      <c r="F160">
        <f>IF(Klantgegevens_B!G159&lt;&gt;"", LEN(Klantgegevens_B!G159)-LEN(SUBSTITUTE(Klantgegevens_B!G159, ",", ""))+1, Klantgegevens_A!G159)</f>
        <v>1</v>
      </c>
      <c r="G160">
        <f>IF(Klantgegevens_B!G159&lt;&gt;"", 0, Klantgegevens_A!H159)</f>
        <v>0</v>
      </c>
      <c r="H160">
        <f>IF(Klantgegevens_B!H159&lt;&gt;"", Klantgegevens_B!H159, Klantgegevens_A!I159)</f>
        <v>6</v>
      </c>
      <c r="I160" t="str">
        <f>IF(Klantgegevens_B!I159&lt;&gt;"", Klantgegevens_B!I159, SWITCH(Klantgegevens_A!J159, "Zelden", 1, "Af en toe", 4, "Regelmatig", 8, "Vaak", 12))</f>
        <v>Bancontact</v>
      </c>
      <c r="J160" t="str">
        <f>IF(Klantgegevens_B!J159&lt;&gt;"", Klantgegevens_B!J159, Klantgegevens_A!K159)</f>
        <v>ja</v>
      </c>
      <c r="K160">
        <f>IF(Klantgegevens_B!K159&lt;&gt;"", AVERAGE(--(Klantgegevens_B!K159="ja"), --(Klantgegevens_B!L159="ja"), --(Klantgegevens_B!M159="ja"), --(Klantgegevens_B!N159="ja"), --(Klantgegevens_B!O159="ja"))*10, Klantgegevens_A!L159)</f>
        <v>6</v>
      </c>
      <c r="L160" t="str">
        <f>IF(Klantgegevens_B!K159&lt;&gt;"", Klantgegevens_B!K159, IF(Klantgegevens_A!L159&gt;=7, "ja", "nee"))</f>
        <v>ja</v>
      </c>
      <c r="M160" t="str">
        <f>IF(Klantgegevens_B!L159&lt;&gt;"", Klantgegevens_B!L159, IF(Klantgegevens_A!L159&gt;=7, "ja", "nee"))</f>
        <v>nee</v>
      </c>
      <c r="N160" t="str">
        <f>IF(Klantgegevens_B!M159&lt;&gt;"", Klantgegevens_B!M159, IF(Klantgegevens_A!L159&gt;=7, "ja", "nee"))</f>
        <v>ja</v>
      </c>
      <c r="O160" t="str">
        <f>IF(Klantgegevens_B!N159&lt;&gt;"", Klantgegevens_B!N159, IF(Klantgegevens_A!L159&gt;=7, "ja", "nee"))</f>
        <v>ja</v>
      </c>
      <c r="P160" t="str">
        <f>IF(Klantgegevens_B!O159&lt;&gt;"", Klantgegevens_B!O159, IF(Klantgegevens_A!L159&gt;=7, "ja", "nee"))</f>
        <v>Geen dieet</v>
      </c>
      <c r="Q160" t="str">
        <f>IF(Klantgegevens_B!P159&lt;&gt;"", Klantgegevens_B!P159, Klantgegevens_A!M159)</f>
        <v>Geen dieet</v>
      </c>
      <c r="R160" t="str">
        <f>IF(Klantgegevens_B!A159&lt;&gt;"", "B", "A")</f>
        <v>B</v>
      </c>
    </row>
    <row r="161" spans="1:18" x14ac:dyDescent="0.3">
      <c r="A161" t="str">
        <f>IF(Klantgegevens_B!A160&lt;&gt;"", Klantgegevens_B!A160, MID(Klantgegevens_A!A160, FIND(",", Klantgegevens_A!A160)+2, LEN(Klantgegevens_A!A160)))</f>
        <v>Mariette</v>
      </c>
      <c r="B161" t="str">
        <f>IF(Klantgegevens_B!B160&lt;&gt;"", Klantgegevens_B!B160, LEFT(Klantgegevens_A!A160, FIND(",", Klantgegevens_A!A160)-1))</f>
        <v>Dufour</v>
      </c>
      <c r="C161" t="str">
        <f t="shared" ca="1" si="2"/>
        <v/>
      </c>
      <c r="D161" t="str">
        <f>IF(Klantgegevens_B!F160&lt;&gt;"", Klantgegevens_B!F160, Klantgegevens_A!D160 &amp; " " &amp; Klantgegevens_A!E160 &amp; ", " &amp; Klantgegevens_A!F160)</f>
        <v>Mariette,Alexandra,Tristan,Dirk</v>
      </c>
      <c r="E161">
        <f>IF(Klantgegevens_B!G160&lt;&gt;"", Klantgegevens_B!G160, TEXTJOIN(",", TRUE, REPT("Volwassene,", Klantgegevens_A!G160), REPT("Kind,", Klantgegevens_A!H160)))</f>
        <v>69.819999999999993</v>
      </c>
      <c r="F161">
        <f>IF(Klantgegevens_B!G160&lt;&gt;"", LEN(Klantgegevens_B!G160)-LEN(SUBSTITUTE(Klantgegevens_B!G160, ",", ""))+1, Klantgegevens_A!G160)</f>
        <v>1</v>
      </c>
      <c r="G161">
        <f>IF(Klantgegevens_B!G160&lt;&gt;"", 0, Klantgegevens_A!H160)</f>
        <v>0</v>
      </c>
      <c r="H161">
        <f>IF(Klantgegevens_B!H160&lt;&gt;"", Klantgegevens_B!H160, Klantgegevens_A!I160)</f>
        <v>16</v>
      </c>
      <c r="I161" t="str">
        <f>IF(Klantgegevens_B!I160&lt;&gt;"", Klantgegevens_B!I160, SWITCH(Klantgegevens_A!J160, "Zelden", 1, "Af en toe", 4, "Regelmatig", 8, "Vaak", 12))</f>
        <v>Bancontact</v>
      </c>
      <c r="J161" t="str">
        <f>IF(Klantgegevens_B!J160&lt;&gt;"", Klantgegevens_B!J160, Klantgegevens_A!K160)</f>
        <v>nee</v>
      </c>
      <c r="K161">
        <f>IF(Klantgegevens_B!K160&lt;&gt;"", AVERAGE(--(Klantgegevens_B!K160="ja"), --(Klantgegevens_B!L160="ja"), --(Klantgegevens_B!M160="ja"), --(Klantgegevens_B!N160="ja"), --(Klantgegevens_B!O160="ja"))*10, Klantgegevens_A!L160)</f>
        <v>6</v>
      </c>
      <c r="L161" t="str">
        <f>IF(Klantgegevens_B!K160&lt;&gt;"", Klantgegevens_B!K160, IF(Klantgegevens_A!L160&gt;=7, "ja", "nee"))</f>
        <v>ja</v>
      </c>
      <c r="M161" t="str">
        <f>IF(Klantgegevens_B!L160&lt;&gt;"", Klantgegevens_B!L160, IF(Klantgegevens_A!L160&gt;=7, "ja", "nee"))</f>
        <v>nee</v>
      </c>
      <c r="N161" t="str">
        <f>IF(Klantgegevens_B!M160&lt;&gt;"", Klantgegevens_B!M160, IF(Klantgegevens_A!L160&gt;=7, "ja", "nee"))</f>
        <v>ja</v>
      </c>
      <c r="O161" t="str">
        <f>IF(Klantgegevens_B!N160&lt;&gt;"", Klantgegevens_B!N160, IF(Klantgegevens_A!L160&gt;=7, "ja", "nee"))</f>
        <v>ja</v>
      </c>
      <c r="P161" t="str">
        <f>IF(Klantgegevens_B!O160&lt;&gt;"", Klantgegevens_B!O160, IF(Klantgegevens_A!L160&gt;=7, "ja", "nee"))</f>
        <v>Geen dieet</v>
      </c>
      <c r="Q161" t="str">
        <f>IF(Klantgegevens_B!P160&lt;&gt;"", Klantgegevens_B!P160, Klantgegevens_A!M160)</f>
        <v>Vegetarisch</v>
      </c>
      <c r="R161" t="str">
        <f>IF(Klantgegevens_B!A160&lt;&gt;"", "B", "A")</f>
        <v>B</v>
      </c>
    </row>
    <row r="162" spans="1:18" x14ac:dyDescent="0.3">
      <c r="A162" t="str">
        <f>IF(Klantgegevens_B!A161&lt;&gt;"", Klantgegevens_B!A161, MID(Klantgegevens_A!A161, FIND(",", Klantgegevens_A!A161)+2, LEN(Klantgegevens_A!A161)))</f>
        <v>Mario</v>
      </c>
      <c r="B162" t="str">
        <f>IF(Klantgegevens_B!B161&lt;&gt;"", Klantgegevens_B!B161, LEFT(Klantgegevens_A!A161, FIND(",", Klantgegevens_A!A161)-1))</f>
        <v>Goffin</v>
      </c>
      <c r="C162" t="str">
        <f t="shared" ca="1" si="2"/>
        <v/>
      </c>
      <c r="D162" t="str">
        <f>IF(Klantgegevens_B!F161&lt;&gt;"", Klantgegevens_B!F161, Klantgegevens_A!D161 &amp; " " &amp; Klantgegevens_A!E161 &amp; ", " &amp; Klantgegevens_A!F161)</f>
        <v>Mario,Jennifer,Rosa,Robie</v>
      </c>
      <c r="E162">
        <f>IF(Klantgegevens_B!G161&lt;&gt;"", Klantgegevens_B!G161, TEXTJOIN(",", TRUE, REPT("Volwassene,", Klantgegevens_A!G161), REPT("Kind,", Klantgegevens_A!H161)))</f>
        <v>47.02</v>
      </c>
      <c r="F162">
        <f>IF(Klantgegevens_B!G161&lt;&gt;"", LEN(Klantgegevens_B!G161)-LEN(SUBSTITUTE(Klantgegevens_B!G161, ",", ""))+1, Klantgegevens_A!G161)</f>
        <v>1</v>
      </c>
      <c r="G162">
        <f>IF(Klantgegevens_B!G161&lt;&gt;"", 0, Klantgegevens_A!H161)</f>
        <v>0</v>
      </c>
      <c r="H162">
        <f>IF(Klantgegevens_B!H161&lt;&gt;"", Klantgegevens_B!H161, Klantgegevens_A!I161)</f>
        <v>17</v>
      </c>
      <c r="I162" t="str">
        <f>IF(Klantgegevens_B!I161&lt;&gt;"", Klantgegevens_B!I161, SWITCH(Klantgegevens_A!J161, "Zelden", 1, "Af en toe", 4, "Regelmatig", 8, "Vaak", 12))</f>
        <v>Creditcard</v>
      </c>
      <c r="J162" t="str">
        <f>IF(Klantgegevens_B!J161&lt;&gt;"", Klantgegevens_B!J161, Klantgegevens_A!K161)</f>
        <v>ja</v>
      </c>
      <c r="K162">
        <f>IF(Klantgegevens_B!K161&lt;&gt;"", AVERAGE(--(Klantgegevens_B!K161="ja"), --(Klantgegevens_B!L161="ja"), --(Klantgegevens_B!M161="ja"), --(Klantgegevens_B!N161="ja"), --(Klantgegevens_B!O161="ja"))*10, Klantgegevens_A!L161)</f>
        <v>8</v>
      </c>
      <c r="L162" t="str">
        <f>IF(Klantgegevens_B!K161&lt;&gt;"", Klantgegevens_B!K161, IF(Klantgegevens_A!L161&gt;=7, "ja", "nee"))</f>
        <v>ja</v>
      </c>
      <c r="M162" t="str">
        <f>IF(Klantgegevens_B!L161&lt;&gt;"", Klantgegevens_B!L161, IF(Klantgegevens_A!L161&gt;=7, "ja", "nee"))</f>
        <v>ja</v>
      </c>
      <c r="N162" t="str">
        <f>IF(Klantgegevens_B!M161&lt;&gt;"", Klantgegevens_B!M161, IF(Klantgegevens_A!L161&gt;=7, "ja", "nee"))</f>
        <v>ja</v>
      </c>
      <c r="O162" t="str">
        <f>IF(Klantgegevens_B!N161&lt;&gt;"", Klantgegevens_B!N161, IF(Klantgegevens_A!L161&gt;=7, "ja", "nee"))</f>
        <v>ja</v>
      </c>
      <c r="P162" t="str">
        <f>IF(Klantgegevens_B!O161&lt;&gt;"", Klantgegevens_B!O161, IF(Klantgegevens_A!L161&gt;=7, "ja", "nee"))</f>
        <v>Vegetarisch</v>
      </c>
      <c r="Q162" t="str">
        <f>IF(Klantgegevens_B!P161&lt;&gt;"", Klantgegevens_B!P161, Klantgegevens_A!M161)</f>
        <v>Geen dieet</v>
      </c>
      <c r="R162" t="str">
        <f>IF(Klantgegevens_B!A161&lt;&gt;"", "B", "A")</f>
        <v>B</v>
      </c>
    </row>
    <row r="163" spans="1:18" x14ac:dyDescent="0.3">
      <c r="A163" t="str">
        <f>IF(Klantgegevens_B!A162&lt;&gt;"", Klantgegevens_B!A162, MID(Klantgegevens_A!A162, FIND(",", Klantgegevens_A!A162)+2, LEN(Klantgegevens_A!A162)))</f>
        <v>Benedict</v>
      </c>
      <c r="B163" t="str">
        <f>IF(Klantgegevens_B!B162&lt;&gt;"", Klantgegevens_B!B162, LEFT(Klantgegevens_A!A162, FIND(",", Klantgegevens_A!A162)-1))</f>
        <v>Delhaye</v>
      </c>
      <c r="C163" t="str">
        <f t="shared" ca="1" si="2"/>
        <v/>
      </c>
      <c r="D163" t="str">
        <f>IF(Klantgegevens_B!F162&lt;&gt;"", Klantgegevens_B!F162, Klantgegevens_A!D162 &amp; " " &amp; Klantgegevens_A!E162 &amp; ", " &amp; Klantgegevens_A!F162)</f>
        <v>Benedict,Emma,Natali,Quentin</v>
      </c>
      <c r="E163">
        <f>IF(Klantgegevens_B!G162&lt;&gt;"", Klantgegevens_B!G162, TEXTJOIN(",", TRUE, REPT("Volwassene,", Klantgegevens_A!G162), REPT("Kind,", Klantgegevens_A!H162)))</f>
        <v>222.53</v>
      </c>
      <c r="F163">
        <f>IF(Klantgegevens_B!G162&lt;&gt;"", LEN(Klantgegevens_B!G162)-LEN(SUBSTITUTE(Klantgegevens_B!G162, ",", ""))+1, Klantgegevens_A!G162)</f>
        <v>1</v>
      </c>
      <c r="G163">
        <f>IF(Klantgegevens_B!G162&lt;&gt;"", 0, Klantgegevens_A!H162)</f>
        <v>0</v>
      </c>
      <c r="H163">
        <f>IF(Klantgegevens_B!H162&lt;&gt;"", Klantgegevens_B!H162, Klantgegevens_A!I162)</f>
        <v>8</v>
      </c>
      <c r="I163" t="str">
        <f>IF(Klantgegevens_B!I162&lt;&gt;"", Klantgegevens_B!I162, SWITCH(Klantgegevens_A!J162, "Zelden", 1, "Af en toe", 4, "Regelmatig", 8, "Vaak", 12))</f>
        <v>Payconiq</v>
      </c>
      <c r="J163" t="str">
        <f>IF(Klantgegevens_B!J162&lt;&gt;"", Klantgegevens_B!J162, Klantgegevens_A!K162)</f>
        <v>ja</v>
      </c>
      <c r="K163">
        <f>IF(Klantgegevens_B!K162&lt;&gt;"", AVERAGE(--(Klantgegevens_B!K162="ja"), --(Klantgegevens_B!L162="ja"), --(Klantgegevens_B!M162="ja"), --(Klantgegevens_B!N162="ja"), --(Klantgegevens_B!O162="ja"))*10, Klantgegevens_A!L162)</f>
        <v>6</v>
      </c>
      <c r="L163" t="str">
        <f>IF(Klantgegevens_B!K162&lt;&gt;"", Klantgegevens_B!K162, IF(Klantgegevens_A!L162&gt;=7, "ja", "nee"))</f>
        <v>ja</v>
      </c>
      <c r="M163" t="str">
        <f>IF(Klantgegevens_B!L162&lt;&gt;"", Klantgegevens_B!L162, IF(Klantgegevens_A!L162&gt;=7, "ja", "nee"))</f>
        <v>nee</v>
      </c>
      <c r="N163" t="str">
        <f>IF(Klantgegevens_B!M162&lt;&gt;"", Klantgegevens_B!M162, IF(Klantgegevens_A!L162&gt;=7, "ja", "nee"))</f>
        <v>ja</v>
      </c>
      <c r="O163" t="str">
        <f>IF(Klantgegevens_B!N162&lt;&gt;"", Klantgegevens_B!N162, IF(Klantgegevens_A!L162&gt;=7, "ja", "nee"))</f>
        <v>ja</v>
      </c>
      <c r="P163" t="str">
        <f>IF(Klantgegevens_B!O162&lt;&gt;"", Klantgegevens_B!O162, IF(Klantgegevens_A!L162&gt;=7, "ja", "nee"))</f>
        <v>Geen dieet</v>
      </c>
      <c r="Q163" t="str">
        <f>IF(Klantgegevens_B!P162&lt;&gt;"", Klantgegevens_B!P162, Klantgegevens_A!M162)</f>
        <v>Geen dieet</v>
      </c>
      <c r="R163" t="str">
        <f>IF(Klantgegevens_B!A162&lt;&gt;"", "B", "A")</f>
        <v>B</v>
      </c>
    </row>
    <row r="164" spans="1:18" x14ac:dyDescent="0.3">
      <c r="A164" t="str">
        <f>IF(Klantgegevens_B!A163&lt;&gt;"", Klantgegevens_B!A163, MID(Klantgegevens_A!A163, FIND(",", Klantgegevens_A!A163)+2, LEN(Klantgegevens_A!A163)))</f>
        <v>Salima</v>
      </c>
      <c r="B164" t="str">
        <f>IF(Klantgegevens_B!B163&lt;&gt;"", Klantgegevens_B!B163, LEFT(Klantgegevens_A!A163, FIND(",", Klantgegevens_A!A163)-1))</f>
        <v>Ooms</v>
      </c>
      <c r="C164" t="str">
        <f t="shared" ca="1" si="2"/>
        <v/>
      </c>
      <c r="D164" t="str">
        <f>IF(Klantgegevens_B!F163&lt;&gt;"", Klantgegevens_B!F163, Klantgegevens_A!D163 &amp; " " &amp; Klantgegevens_A!E163 &amp; ", " &amp; Klantgegevens_A!F163)</f>
        <v>Salima,Inès</v>
      </c>
      <c r="E164">
        <f>IF(Klantgegevens_B!G163&lt;&gt;"", Klantgegevens_B!G163, TEXTJOIN(",", TRUE, REPT("Volwassene,", Klantgegevens_A!G163), REPT("Kind,", Klantgegevens_A!H163)))</f>
        <v>65.91</v>
      </c>
      <c r="F164">
        <f>IF(Klantgegevens_B!G163&lt;&gt;"", LEN(Klantgegevens_B!G163)-LEN(SUBSTITUTE(Klantgegevens_B!G163, ",", ""))+1, Klantgegevens_A!G163)</f>
        <v>1</v>
      </c>
      <c r="G164">
        <f>IF(Klantgegevens_B!G163&lt;&gt;"", 0, Klantgegevens_A!H163)</f>
        <v>0</v>
      </c>
      <c r="H164">
        <f>IF(Klantgegevens_B!H163&lt;&gt;"", Klantgegevens_B!H163, Klantgegevens_A!I163)</f>
        <v>1</v>
      </c>
      <c r="I164" t="str">
        <f>IF(Klantgegevens_B!I163&lt;&gt;"", Klantgegevens_B!I163, SWITCH(Klantgegevens_A!J163, "Zelden", 1, "Af en toe", 4, "Regelmatig", 8, "Vaak", 12))</f>
        <v>Creditcard</v>
      </c>
      <c r="J164" t="str">
        <f>IF(Klantgegevens_B!J163&lt;&gt;"", Klantgegevens_B!J163, Klantgegevens_A!K163)</f>
        <v>ja</v>
      </c>
      <c r="K164">
        <f>IF(Klantgegevens_B!K163&lt;&gt;"", AVERAGE(--(Klantgegevens_B!K163="ja"), --(Klantgegevens_B!L163="ja"), --(Klantgegevens_B!M163="ja"), --(Klantgegevens_B!N163="ja"), --(Klantgegevens_B!O163="ja"))*10, Klantgegevens_A!L163)</f>
        <v>2</v>
      </c>
      <c r="L164" t="str">
        <f>IF(Klantgegevens_B!K163&lt;&gt;"", Klantgegevens_B!K163, IF(Klantgegevens_A!L163&gt;=7, "ja", "nee"))</f>
        <v>nee</v>
      </c>
      <c r="M164" t="str">
        <f>IF(Klantgegevens_B!L163&lt;&gt;"", Klantgegevens_B!L163, IF(Klantgegevens_A!L163&gt;=7, "ja", "nee"))</f>
        <v>nee</v>
      </c>
      <c r="N164" t="str">
        <f>IF(Klantgegevens_B!M163&lt;&gt;"", Klantgegevens_B!M163, IF(Klantgegevens_A!L163&gt;=7, "ja", "nee"))</f>
        <v>nee</v>
      </c>
      <c r="O164" t="str">
        <f>IF(Klantgegevens_B!N163&lt;&gt;"", Klantgegevens_B!N163, IF(Klantgegevens_A!L163&gt;=7, "ja", "nee"))</f>
        <v>ja</v>
      </c>
      <c r="P164" t="str">
        <f>IF(Klantgegevens_B!O163&lt;&gt;"", Klantgegevens_B!O163, IF(Klantgegevens_A!L163&gt;=7, "ja", "nee"))</f>
        <v>Geen dieet</v>
      </c>
      <c r="Q164" t="str">
        <f>IF(Klantgegevens_B!P163&lt;&gt;"", Klantgegevens_B!P163, Klantgegevens_A!M163)</f>
        <v>Geen dieet</v>
      </c>
      <c r="R164" t="str">
        <f>IF(Klantgegevens_B!A163&lt;&gt;"", "B", "A")</f>
        <v>B</v>
      </c>
    </row>
    <row r="165" spans="1:18" x14ac:dyDescent="0.3">
      <c r="A165" t="str">
        <f>IF(Klantgegevens_B!A164&lt;&gt;"", Klantgegevens_B!A164, MID(Klantgegevens_A!A164, FIND(",", Klantgegevens_A!A164)+2, LEN(Klantgegevens_A!A164)))</f>
        <v>Silvia</v>
      </c>
      <c r="B165" t="str">
        <f>IF(Klantgegevens_B!B164&lt;&gt;"", Klantgegevens_B!B164, LEFT(Klantgegevens_A!A164, FIND(",", Klantgegevens_A!A164)-1))</f>
        <v>De waele</v>
      </c>
      <c r="C165" t="str">
        <f t="shared" ca="1" si="2"/>
        <v/>
      </c>
      <c r="D165" t="str">
        <f>IF(Klantgegevens_B!F164&lt;&gt;"", Klantgegevens_B!F164, Klantgegevens_A!D164 &amp; " " &amp; Klantgegevens_A!E164 &amp; ", " &amp; Klantgegevens_A!F164)</f>
        <v>Silvia,Etleva,Assia,Stephane,Jolan</v>
      </c>
      <c r="E165">
        <f>IF(Klantgegevens_B!G164&lt;&gt;"", Klantgegevens_B!G164, TEXTJOIN(",", TRUE, REPT("Volwassene,", Klantgegevens_A!G164), REPT("Kind,", Klantgegevens_A!H164)))</f>
        <v>91.12</v>
      </c>
      <c r="F165">
        <f>IF(Klantgegevens_B!G164&lt;&gt;"", LEN(Klantgegevens_B!G164)-LEN(SUBSTITUTE(Klantgegevens_B!G164, ",", ""))+1, Klantgegevens_A!G164)</f>
        <v>1</v>
      </c>
      <c r="G165">
        <f>IF(Klantgegevens_B!G164&lt;&gt;"", 0, Klantgegevens_A!H164)</f>
        <v>0</v>
      </c>
      <c r="H165">
        <f>IF(Klantgegevens_B!H164&lt;&gt;"", Klantgegevens_B!H164, Klantgegevens_A!I164)</f>
        <v>3</v>
      </c>
      <c r="I165" t="str">
        <f>IF(Klantgegevens_B!I164&lt;&gt;"", Klantgegevens_B!I164, SWITCH(Klantgegevens_A!J164, "Zelden", 1, "Af en toe", 4, "Regelmatig", 8, "Vaak", 12))</f>
        <v>Payconiq</v>
      </c>
      <c r="J165" t="str">
        <f>IF(Klantgegevens_B!J164&lt;&gt;"", Klantgegevens_B!J164, Klantgegevens_A!K164)</f>
        <v>ja</v>
      </c>
      <c r="K165">
        <f>IF(Klantgegevens_B!K164&lt;&gt;"", AVERAGE(--(Klantgegevens_B!K164="ja"), --(Klantgegevens_B!L164="ja"), --(Klantgegevens_B!M164="ja"), --(Klantgegevens_B!N164="ja"), --(Klantgegevens_B!O164="ja"))*10, Klantgegevens_A!L164)</f>
        <v>4</v>
      </c>
      <c r="L165" t="str">
        <f>IF(Klantgegevens_B!K164&lt;&gt;"", Klantgegevens_B!K164, IF(Klantgegevens_A!L164&gt;=7, "ja", "nee"))</f>
        <v>ja</v>
      </c>
      <c r="M165" t="str">
        <f>IF(Klantgegevens_B!L164&lt;&gt;"", Klantgegevens_B!L164, IF(Klantgegevens_A!L164&gt;=7, "ja", "nee"))</f>
        <v>nee</v>
      </c>
      <c r="N165" t="str">
        <f>IF(Klantgegevens_B!M164&lt;&gt;"", Klantgegevens_B!M164, IF(Klantgegevens_A!L164&gt;=7, "ja", "nee"))</f>
        <v>nee</v>
      </c>
      <c r="O165" t="str">
        <f>IF(Klantgegevens_B!N164&lt;&gt;"", Klantgegevens_B!N164, IF(Klantgegevens_A!L164&gt;=7, "ja", "nee"))</f>
        <v>ja</v>
      </c>
      <c r="P165" t="str">
        <f>IF(Klantgegevens_B!O164&lt;&gt;"", Klantgegevens_B!O164, IF(Klantgegevens_A!L164&gt;=7, "ja", "nee"))</f>
        <v>Geen dieet</v>
      </c>
      <c r="Q165" t="str">
        <f>IF(Klantgegevens_B!P164&lt;&gt;"", Klantgegevens_B!P164, Klantgegevens_A!M164)</f>
        <v>Geen dieet</v>
      </c>
      <c r="R165" t="str">
        <f>IF(Klantgegevens_B!A164&lt;&gt;"", "B", "A")</f>
        <v>B</v>
      </c>
    </row>
    <row r="166" spans="1:18" x14ac:dyDescent="0.3">
      <c r="A166" t="str">
        <f>IF(Klantgegevens_B!A165&lt;&gt;"", Klantgegevens_B!A165, MID(Klantgegevens_A!A165, FIND(",", Klantgegevens_A!A165)+2, LEN(Klantgegevens_A!A165)))</f>
        <v>Ilie</v>
      </c>
      <c r="B166" t="str">
        <f>IF(Klantgegevens_B!B165&lt;&gt;"", Klantgegevens_B!B165, LEFT(Klantgegevens_A!A165, FIND(",", Klantgegevens_A!A165)-1))</f>
        <v>Smets</v>
      </c>
      <c r="C166" t="str">
        <f t="shared" ca="1" si="2"/>
        <v/>
      </c>
      <c r="D166" t="str">
        <f>IF(Klantgegevens_B!F165&lt;&gt;"", Klantgegevens_B!F165, Klantgegevens_A!D165 &amp; " " &amp; Klantgegevens_A!E165 &amp; ", " &amp; Klantgegevens_A!F165)</f>
        <v>Ilie,Mariya,Etienne</v>
      </c>
      <c r="E166">
        <f>IF(Klantgegevens_B!G165&lt;&gt;"", Klantgegevens_B!G165, TEXTJOIN(",", TRUE, REPT("Volwassene,", Klantgegevens_A!G165), REPT("Kind,", Klantgegevens_A!H165)))</f>
        <v>145.30000000000001</v>
      </c>
      <c r="F166">
        <f>IF(Klantgegevens_B!G165&lt;&gt;"", LEN(Klantgegevens_B!G165)-LEN(SUBSTITUTE(Klantgegevens_B!G165, ",", ""))+1, Klantgegevens_A!G165)</f>
        <v>1</v>
      </c>
      <c r="G166">
        <f>IF(Klantgegevens_B!G165&lt;&gt;"", 0, Klantgegevens_A!H165)</f>
        <v>0</v>
      </c>
      <c r="H166">
        <f>IF(Klantgegevens_B!H165&lt;&gt;"", Klantgegevens_B!H165, Klantgegevens_A!I165)</f>
        <v>3</v>
      </c>
      <c r="I166" t="str">
        <f>IF(Klantgegevens_B!I165&lt;&gt;"", Klantgegevens_B!I165, SWITCH(Klantgegevens_A!J165, "Zelden", 1, "Af en toe", 4, "Regelmatig", 8, "Vaak", 12))</f>
        <v>Payconiq</v>
      </c>
      <c r="J166" t="str">
        <f>IF(Klantgegevens_B!J165&lt;&gt;"", Klantgegevens_B!J165, Klantgegevens_A!K165)</f>
        <v>ja</v>
      </c>
      <c r="K166">
        <f>IF(Klantgegevens_B!K165&lt;&gt;"", AVERAGE(--(Klantgegevens_B!K165="ja"), --(Klantgegevens_B!L165="ja"), --(Klantgegevens_B!M165="ja"), --(Klantgegevens_B!N165="ja"), --(Klantgegevens_B!O165="ja"))*10, Klantgegevens_A!L165)</f>
        <v>8</v>
      </c>
      <c r="L166" t="str">
        <f>IF(Klantgegevens_B!K165&lt;&gt;"", Klantgegevens_B!K165, IF(Klantgegevens_A!L165&gt;=7, "ja", "nee"))</f>
        <v>ja</v>
      </c>
      <c r="M166" t="str">
        <f>IF(Klantgegevens_B!L165&lt;&gt;"", Klantgegevens_B!L165, IF(Klantgegevens_A!L165&gt;=7, "ja", "nee"))</f>
        <v>ja</v>
      </c>
      <c r="N166" t="str">
        <f>IF(Klantgegevens_B!M165&lt;&gt;"", Klantgegevens_B!M165, IF(Klantgegevens_A!L165&gt;=7, "ja", "nee"))</f>
        <v>ja</v>
      </c>
      <c r="O166" t="str">
        <f>IF(Klantgegevens_B!N165&lt;&gt;"", Klantgegevens_B!N165, IF(Klantgegevens_A!L165&gt;=7, "ja", "nee"))</f>
        <v>ja</v>
      </c>
      <c r="P166" t="str">
        <f>IF(Klantgegevens_B!O165&lt;&gt;"", Klantgegevens_B!O165, IF(Klantgegevens_A!L165&gt;=7, "ja", "nee"))</f>
        <v>Veganistisch</v>
      </c>
      <c r="Q166" t="str">
        <f>IF(Klantgegevens_B!P165&lt;&gt;"", Klantgegevens_B!P165, Klantgegevens_A!M165)</f>
        <v>Vegetarisch</v>
      </c>
      <c r="R166" t="str">
        <f>IF(Klantgegevens_B!A165&lt;&gt;"", "B", "A")</f>
        <v>B</v>
      </c>
    </row>
    <row r="167" spans="1:18" x14ac:dyDescent="0.3">
      <c r="A167" t="str">
        <f>IF(Klantgegevens_B!A166&lt;&gt;"", Klantgegevens_B!A166, MID(Klantgegevens_A!A166, FIND(",", Klantgegevens_A!A166)+2, LEN(Klantgegevens_A!A166)))</f>
        <v>Sophie</v>
      </c>
      <c r="B167" t="str">
        <f>IF(Klantgegevens_B!B166&lt;&gt;"", Klantgegevens_B!B166, LEFT(Klantgegevens_A!A166, FIND(",", Klantgegevens_A!A166)-1))</f>
        <v>Verhelst</v>
      </c>
      <c r="C167" t="str">
        <f t="shared" ca="1" si="2"/>
        <v/>
      </c>
      <c r="D167" t="str">
        <f>IF(Klantgegevens_B!F166&lt;&gt;"", Klantgegevens_B!F166, Klantgegevens_A!D166 &amp; " " &amp; Klantgegevens_A!E166 &amp; ", " &amp; Klantgegevens_A!F166)</f>
        <v>Sophie,Vasile,Muhammet</v>
      </c>
      <c r="E167">
        <f>IF(Klantgegevens_B!G166&lt;&gt;"", Klantgegevens_B!G166, TEXTJOIN(",", TRUE, REPT("Volwassene,", Klantgegevens_A!G166), REPT("Kind,", Klantgegevens_A!H166)))</f>
        <v>217.79</v>
      </c>
      <c r="F167">
        <f>IF(Klantgegevens_B!G166&lt;&gt;"", LEN(Klantgegevens_B!G166)-LEN(SUBSTITUTE(Klantgegevens_B!G166, ",", ""))+1, Klantgegevens_A!G166)</f>
        <v>1</v>
      </c>
      <c r="G167">
        <f>IF(Klantgegevens_B!G166&lt;&gt;"", 0, Klantgegevens_A!H166)</f>
        <v>0</v>
      </c>
      <c r="H167">
        <f>IF(Klantgegevens_B!H166&lt;&gt;"", Klantgegevens_B!H166, Klantgegevens_A!I166)</f>
        <v>24</v>
      </c>
      <c r="I167" t="str">
        <f>IF(Klantgegevens_B!I166&lt;&gt;"", Klantgegevens_B!I166, SWITCH(Klantgegevens_A!J166, "Zelden", 1, "Af en toe", 4, "Regelmatig", 8, "Vaak", 12))</f>
        <v>Bancontact</v>
      </c>
      <c r="J167" t="str">
        <f>IF(Klantgegevens_B!J166&lt;&gt;"", Klantgegevens_B!J166, Klantgegevens_A!K166)</f>
        <v>ja</v>
      </c>
      <c r="K167">
        <f>IF(Klantgegevens_B!K166&lt;&gt;"", AVERAGE(--(Klantgegevens_B!K166="ja"), --(Klantgegevens_B!L166="ja"), --(Klantgegevens_B!M166="ja"), --(Klantgegevens_B!N166="ja"), --(Klantgegevens_B!O166="ja"))*10, Klantgegevens_A!L166)</f>
        <v>2</v>
      </c>
      <c r="L167" t="str">
        <f>IF(Klantgegevens_B!K166&lt;&gt;"", Klantgegevens_B!K166, IF(Klantgegevens_A!L166&gt;=7, "ja", "nee"))</f>
        <v>nee</v>
      </c>
      <c r="M167" t="str">
        <f>IF(Klantgegevens_B!L166&lt;&gt;"", Klantgegevens_B!L166, IF(Klantgegevens_A!L166&gt;=7, "ja", "nee"))</f>
        <v>ja</v>
      </c>
      <c r="N167" t="str">
        <f>IF(Klantgegevens_B!M166&lt;&gt;"", Klantgegevens_B!M166, IF(Klantgegevens_A!L166&gt;=7, "ja", "nee"))</f>
        <v>nee</v>
      </c>
      <c r="O167" t="str">
        <f>IF(Klantgegevens_B!N166&lt;&gt;"", Klantgegevens_B!N166, IF(Klantgegevens_A!L166&gt;=7, "ja", "nee"))</f>
        <v>nee</v>
      </c>
      <c r="P167" t="str">
        <f>IF(Klantgegevens_B!O166&lt;&gt;"", Klantgegevens_B!O166, IF(Klantgegevens_A!L166&gt;=7, "ja", "nee"))</f>
        <v>Geen dieet</v>
      </c>
      <c r="Q167" t="str">
        <f>IF(Klantgegevens_B!P166&lt;&gt;"", Klantgegevens_B!P166, Klantgegevens_A!M166)</f>
        <v>Geen dieet</v>
      </c>
      <c r="R167" t="str">
        <f>IF(Klantgegevens_B!A166&lt;&gt;"", "B", "A")</f>
        <v>B</v>
      </c>
    </row>
    <row r="168" spans="1:18" x14ac:dyDescent="0.3">
      <c r="A168" t="str">
        <f>IF(Klantgegevens_B!A167&lt;&gt;"", Klantgegevens_B!A167, MID(Klantgegevens_A!A167, FIND(",", Klantgegevens_A!A167)+2, LEN(Klantgegevens_A!A167)))</f>
        <v>Christiane</v>
      </c>
      <c r="B168" t="str">
        <f>IF(Klantgegevens_B!B167&lt;&gt;"", Klantgegevens_B!B167, LEFT(Klantgegevens_A!A167, FIND(",", Klantgegevens_A!A167)-1))</f>
        <v>Thomas</v>
      </c>
      <c r="C168" t="str">
        <f t="shared" ca="1" si="2"/>
        <v/>
      </c>
      <c r="D168" t="str">
        <f>IF(Klantgegevens_B!F167&lt;&gt;"", Klantgegevens_B!F167, Klantgegevens_A!D167 &amp; " " &amp; Klantgegevens_A!E167 &amp; ", " &amp; Klantgegevens_A!F167)</f>
        <v>Christiane</v>
      </c>
      <c r="E168">
        <f>IF(Klantgegevens_B!G167&lt;&gt;"", Klantgegevens_B!G167, TEXTJOIN(",", TRUE, REPT("Volwassene,", Klantgegevens_A!G167), REPT("Kind,", Klantgegevens_A!H167)))</f>
        <v>111.4</v>
      </c>
      <c r="F168">
        <f>IF(Klantgegevens_B!G167&lt;&gt;"", LEN(Klantgegevens_B!G167)-LEN(SUBSTITUTE(Klantgegevens_B!G167, ",", ""))+1, Klantgegevens_A!G167)</f>
        <v>1</v>
      </c>
      <c r="G168">
        <f>IF(Klantgegevens_B!G167&lt;&gt;"", 0, Klantgegevens_A!H167)</f>
        <v>0</v>
      </c>
      <c r="H168">
        <f>IF(Klantgegevens_B!H167&lt;&gt;"", Klantgegevens_B!H167, Klantgegevens_A!I167)</f>
        <v>2</v>
      </c>
      <c r="I168" t="str">
        <f>IF(Klantgegevens_B!I167&lt;&gt;"", Klantgegevens_B!I167, SWITCH(Klantgegevens_A!J167, "Zelden", 1, "Af en toe", 4, "Regelmatig", 8, "Vaak", 12))</f>
        <v>Bancontact</v>
      </c>
      <c r="J168" t="str">
        <f>IF(Klantgegevens_B!J167&lt;&gt;"", Klantgegevens_B!J167, Klantgegevens_A!K167)</f>
        <v>ja</v>
      </c>
      <c r="K168">
        <f>IF(Klantgegevens_B!K167&lt;&gt;"", AVERAGE(--(Klantgegevens_B!K167="ja"), --(Klantgegevens_B!L167="ja"), --(Klantgegevens_B!M167="ja"), --(Klantgegevens_B!N167="ja"), --(Klantgegevens_B!O167="ja"))*10, Klantgegevens_A!L167)</f>
        <v>6</v>
      </c>
      <c r="L168" t="str">
        <f>IF(Klantgegevens_B!K167&lt;&gt;"", Klantgegevens_B!K167, IF(Klantgegevens_A!L167&gt;=7, "ja", "nee"))</f>
        <v>ja</v>
      </c>
      <c r="M168" t="str">
        <f>IF(Klantgegevens_B!L167&lt;&gt;"", Klantgegevens_B!L167, IF(Klantgegevens_A!L167&gt;=7, "ja", "nee"))</f>
        <v>ja</v>
      </c>
      <c r="N168" t="str">
        <f>IF(Klantgegevens_B!M167&lt;&gt;"", Klantgegevens_B!M167, IF(Klantgegevens_A!L167&gt;=7, "ja", "nee"))</f>
        <v>ja</v>
      </c>
      <c r="O168" t="str">
        <f>IF(Klantgegevens_B!N167&lt;&gt;"", Klantgegevens_B!N167, IF(Klantgegevens_A!L167&gt;=7, "ja", "nee"))</f>
        <v>nee</v>
      </c>
      <c r="P168" t="str">
        <f>IF(Klantgegevens_B!O167&lt;&gt;"", Klantgegevens_B!O167, IF(Klantgegevens_A!L167&gt;=7, "ja", "nee"))</f>
        <v>Geen dieet</v>
      </c>
      <c r="Q168" t="str">
        <f>IF(Klantgegevens_B!P167&lt;&gt;"", Klantgegevens_B!P167, Klantgegevens_A!M167)</f>
        <v>Geen dieet</v>
      </c>
      <c r="R168" t="str">
        <f>IF(Klantgegevens_B!A167&lt;&gt;"", "B", "A")</f>
        <v>B</v>
      </c>
    </row>
    <row r="169" spans="1:18" x14ac:dyDescent="0.3">
      <c r="A169" t="str">
        <f>IF(Klantgegevens_B!A168&lt;&gt;"", Klantgegevens_B!A168, MID(Klantgegevens_A!A168, FIND(",", Klantgegevens_A!A168)+2, LEN(Klantgegevens_A!A168)))</f>
        <v>Mercedes</v>
      </c>
      <c r="B169" t="str">
        <f>IF(Klantgegevens_B!B168&lt;&gt;"", Klantgegevens_B!B168, LEFT(Klantgegevens_A!A168, FIND(",", Klantgegevens_A!A168)-1))</f>
        <v>De laet</v>
      </c>
      <c r="C169" t="str">
        <f t="shared" ca="1" si="2"/>
        <v/>
      </c>
      <c r="D169" t="str">
        <f>IF(Klantgegevens_B!F168&lt;&gt;"", Klantgegevens_B!F168, Klantgegevens_A!D168 &amp; " " &amp; Klantgegevens_A!E168 &amp; ", " &amp; Klantgegevens_A!F168)</f>
        <v>Mercedes,Serge,Steve,Thomas</v>
      </c>
      <c r="E169">
        <f>IF(Klantgegevens_B!G168&lt;&gt;"", Klantgegevens_B!G168, TEXTJOIN(",", TRUE, REPT("Volwassene,", Klantgegevens_A!G168), REPT("Kind,", Klantgegevens_A!H168)))</f>
        <v>157.02000000000001</v>
      </c>
      <c r="F169">
        <f>IF(Klantgegevens_B!G168&lt;&gt;"", LEN(Klantgegevens_B!G168)-LEN(SUBSTITUTE(Klantgegevens_B!G168, ",", ""))+1, Klantgegevens_A!G168)</f>
        <v>1</v>
      </c>
      <c r="G169">
        <f>IF(Klantgegevens_B!G168&lt;&gt;"", 0, Klantgegevens_A!H168)</f>
        <v>0</v>
      </c>
      <c r="H169">
        <f>IF(Klantgegevens_B!H168&lt;&gt;"", Klantgegevens_B!H168, Klantgegevens_A!I168)</f>
        <v>13</v>
      </c>
      <c r="I169" t="str">
        <f>IF(Klantgegevens_B!I168&lt;&gt;"", Klantgegevens_B!I168, SWITCH(Klantgegevens_A!J168, "Zelden", 1, "Af en toe", 4, "Regelmatig", 8, "Vaak", 12))</f>
        <v>Payconiq</v>
      </c>
      <c r="J169" t="str">
        <f>IF(Klantgegevens_B!J168&lt;&gt;"", Klantgegevens_B!J168, Klantgegevens_A!K168)</f>
        <v>nee</v>
      </c>
      <c r="K169">
        <f>IF(Klantgegevens_B!K168&lt;&gt;"", AVERAGE(--(Klantgegevens_B!K168="ja"), --(Klantgegevens_B!L168="ja"), --(Klantgegevens_B!M168="ja"), --(Klantgegevens_B!N168="ja"), --(Klantgegevens_B!O168="ja"))*10, Klantgegevens_A!L168)</f>
        <v>8</v>
      </c>
      <c r="L169" t="str">
        <f>IF(Klantgegevens_B!K168&lt;&gt;"", Klantgegevens_B!K168, IF(Klantgegevens_A!L168&gt;=7, "ja", "nee"))</f>
        <v>ja</v>
      </c>
      <c r="M169" t="str">
        <f>IF(Klantgegevens_B!L168&lt;&gt;"", Klantgegevens_B!L168, IF(Klantgegevens_A!L168&gt;=7, "ja", "nee"))</f>
        <v>ja</v>
      </c>
      <c r="N169" t="str">
        <f>IF(Klantgegevens_B!M168&lt;&gt;"", Klantgegevens_B!M168, IF(Klantgegevens_A!L168&gt;=7, "ja", "nee"))</f>
        <v>ja</v>
      </c>
      <c r="O169" t="str">
        <f>IF(Klantgegevens_B!N168&lt;&gt;"", Klantgegevens_B!N168, IF(Klantgegevens_A!L168&gt;=7, "ja", "nee"))</f>
        <v>ja</v>
      </c>
      <c r="P169" t="str">
        <f>IF(Klantgegevens_B!O168&lt;&gt;"", Klantgegevens_B!O168, IF(Klantgegevens_A!L168&gt;=7, "ja", "nee"))</f>
        <v>Geen dieet</v>
      </c>
      <c r="Q169" t="str">
        <f>IF(Klantgegevens_B!P168&lt;&gt;"", Klantgegevens_B!P168, Klantgegevens_A!M168)</f>
        <v>Geen dieet</v>
      </c>
      <c r="R169" t="str">
        <f>IF(Klantgegevens_B!A168&lt;&gt;"", "B", "A")</f>
        <v>B</v>
      </c>
    </row>
    <row r="170" spans="1:18" x14ac:dyDescent="0.3">
      <c r="A170" t="str">
        <f>IF(Klantgegevens_B!A169&lt;&gt;"", Klantgegevens_B!A169, MID(Klantgegevens_A!A169, FIND(",", Klantgegevens_A!A169)+2, LEN(Klantgegevens_A!A169)))</f>
        <v>Rita</v>
      </c>
      <c r="B170" t="str">
        <f>IF(Klantgegevens_B!B169&lt;&gt;"", Klantgegevens_B!B169, LEFT(Klantgegevens_A!A169, FIND(",", Klantgegevens_A!A169)-1))</f>
        <v>De moor</v>
      </c>
      <c r="C170" t="str">
        <f t="shared" ca="1" si="2"/>
        <v/>
      </c>
      <c r="D170" t="str">
        <f>IF(Klantgegevens_B!F169&lt;&gt;"", Klantgegevens_B!F169, Klantgegevens_A!D169 &amp; " " &amp; Klantgegevens_A!E169 &amp; ", " &amp; Klantgegevens_A!F169)</f>
        <v>Rita,Hilde</v>
      </c>
      <c r="E170">
        <f>IF(Klantgegevens_B!G169&lt;&gt;"", Klantgegevens_B!G169, TEXTJOIN(",", TRUE, REPT("Volwassene,", Klantgegevens_A!G169), REPT("Kind,", Klantgegevens_A!H169)))</f>
        <v>86.7</v>
      </c>
      <c r="F170">
        <f>IF(Klantgegevens_B!G169&lt;&gt;"", LEN(Klantgegevens_B!G169)-LEN(SUBSTITUTE(Klantgegevens_B!G169, ",", ""))+1, Klantgegevens_A!G169)</f>
        <v>1</v>
      </c>
      <c r="G170">
        <f>IF(Klantgegevens_B!G169&lt;&gt;"", 0, Klantgegevens_A!H169)</f>
        <v>0</v>
      </c>
      <c r="H170">
        <f>IF(Klantgegevens_B!H169&lt;&gt;"", Klantgegevens_B!H169, Klantgegevens_A!I169)</f>
        <v>9</v>
      </c>
      <c r="I170" t="str">
        <f>IF(Klantgegevens_B!I169&lt;&gt;"", Klantgegevens_B!I169, SWITCH(Klantgegevens_A!J169, "Zelden", 1, "Af en toe", 4, "Regelmatig", 8, "Vaak", 12))</f>
        <v>Payconiq</v>
      </c>
      <c r="J170" t="str">
        <f>IF(Klantgegevens_B!J169&lt;&gt;"", Klantgegevens_B!J169, Klantgegevens_A!K169)</f>
        <v>ja</v>
      </c>
      <c r="K170">
        <f>IF(Klantgegevens_B!K169&lt;&gt;"", AVERAGE(--(Klantgegevens_B!K169="ja"), --(Klantgegevens_B!L169="ja"), --(Klantgegevens_B!M169="ja"), --(Klantgegevens_B!N169="ja"), --(Klantgegevens_B!O169="ja"))*10, Klantgegevens_A!L169)</f>
        <v>6</v>
      </c>
      <c r="L170" t="str">
        <f>IF(Klantgegevens_B!K169&lt;&gt;"", Klantgegevens_B!K169, IF(Klantgegevens_A!L169&gt;=7, "ja", "nee"))</f>
        <v>ja</v>
      </c>
      <c r="M170" t="str">
        <f>IF(Klantgegevens_B!L169&lt;&gt;"", Klantgegevens_B!L169, IF(Klantgegevens_A!L169&gt;=7, "ja", "nee"))</f>
        <v>ja</v>
      </c>
      <c r="N170" t="str">
        <f>IF(Klantgegevens_B!M169&lt;&gt;"", Klantgegevens_B!M169, IF(Klantgegevens_A!L169&gt;=7, "ja", "nee"))</f>
        <v>nee</v>
      </c>
      <c r="O170" t="str">
        <f>IF(Klantgegevens_B!N169&lt;&gt;"", Klantgegevens_B!N169, IF(Klantgegevens_A!L169&gt;=7, "ja", "nee"))</f>
        <v>ja</v>
      </c>
      <c r="P170" t="str">
        <f>IF(Klantgegevens_B!O169&lt;&gt;"", Klantgegevens_B!O169, IF(Klantgegevens_A!L169&gt;=7, "ja", "nee"))</f>
        <v>Geen dieet</v>
      </c>
      <c r="Q170" t="str">
        <f>IF(Klantgegevens_B!P169&lt;&gt;"", Klantgegevens_B!P169, Klantgegevens_A!M169)</f>
        <v>Vegetarisch</v>
      </c>
      <c r="R170" t="str">
        <f>IF(Klantgegevens_B!A169&lt;&gt;"", "B", "A")</f>
        <v>B</v>
      </c>
    </row>
    <row r="171" spans="1:18" x14ac:dyDescent="0.3">
      <c r="A171" t="str">
        <f>IF(Klantgegevens_B!A170&lt;&gt;"", Klantgegevens_B!A170, MID(Klantgegevens_A!A170, FIND(",", Klantgegevens_A!A170)+2, LEN(Klantgegevens_A!A170)))</f>
        <v>Eléna</v>
      </c>
      <c r="B171" t="str">
        <f>IF(Klantgegevens_B!B170&lt;&gt;"", Klantgegevens_B!B170, LEFT(Klantgegevens_A!A170, FIND(",", Klantgegevens_A!A170)-1))</f>
        <v>Verschueren</v>
      </c>
      <c r="C171" t="str">
        <f t="shared" ca="1" si="2"/>
        <v/>
      </c>
      <c r="D171" t="str">
        <f>IF(Klantgegevens_B!F170&lt;&gt;"", Klantgegevens_B!F170, Klantgegevens_A!D170 &amp; " " &amp; Klantgegevens_A!E170 &amp; ", " &amp; Klantgegevens_A!F170)</f>
        <v>Eléna,Karlien,Stéphanie,Amélie,Nick</v>
      </c>
      <c r="E171">
        <f>IF(Klantgegevens_B!G170&lt;&gt;"", Klantgegevens_B!G170, TEXTJOIN(",", TRUE, REPT("Volwassene,", Klantgegevens_A!G170), REPT("Kind,", Klantgegevens_A!H170)))</f>
        <v>153.05000000000001</v>
      </c>
      <c r="F171">
        <f>IF(Klantgegevens_B!G170&lt;&gt;"", LEN(Klantgegevens_B!G170)-LEN(SUBSTITUTE(Klantgegevens_B!G170, ",", ""))+1, Klantgegevens_A!G170)</f>
        <v>1</v>
      </c>
      <c r="G171">
        <f>IF(Klantgegevens_B!G170&lt;&gt;"", 0, Klantgegevens_A!H170)</f>
        <v>0</v>
      </c>
      <c r="H171">
        <f>IF(Klantgegevens_B!H170&lt;&gt;"", Klantgegevens_B!H170, Klantgegevens_A!I170)</f>
        <v>10</v>
      </c>
      <c r="I171" t="str">
        <f>IF(Klantgegevens_B!I170&lt;&gt;"", Klantgegevens_B!I170, SWITCH(Klantgegevens_A!J170, "Zelden", 1, "Af en toe", 4, "Regelmatig", 8, "Vaak", 12))</f>
        <v>Payconiq</v>
      </c>
      <c r="J171" t="str">
        <f>IF(Klantgegevens_B!J170&lt;&gt;"", Klantgegevens_B!J170, Klantgegevens_A!K170)</f>
        <v>ja</v>
      </c>
      <c r="K171">
        <f>IF(Klantgegevens_B!K170&lt;&gt;"", AVERAGE(--(Klantgegevens_B!K170="ja"), --(Klantgegevens_B!L170="ja"), --(Klantgegevens_B!M170="ja"), --(Klantgegevens_B!N170="ja"), --(Klantgegevens_B!O170="ja"))*10, Klantgegevens_A!L170)</f>
        <v>4</v>
      </c>
      <c r="L171" t="str">
        <f>IF(Klantgegevens_B!K170&lt;&gt;"", Klantgegevens_B!K170, IF(Klantgegevens_A!L170&gt;=7, "ja", "nee"))</f>
        <v>ja</v>
      </c>
      <c r="M171" t="str">
        <f>IF(Klantgegevens_B!L170&lt;&gt;"", Klantgegevens_B!L170, IF(Klantgegevens_A!L170&gt;=7, "ja", "nee"))</f>
        <v>nee</v>
      </c>
      <c r="N171" t="str">
        <f>IF(Klantgegevens_B!M170&lt;&gt;"", Klantgegevens_B!M170, IF(Klantgegevens_A!L170&gt;=7, "ja", "nee"))</f>
        <v>ja</v>
      </c>
      <c r="O171" t="str">
        <f>IF(Klantgegevens_B!N170&lt;&gt;"", Klantgegevens_B!N170, IF(Klantgegevens_A!L170&gt;=7, "ja", "nee"))</f>
        <v>nee</v>
      </c>
      <c r="P171" t="str">
        <f>IF(Klantgegevens_B!O170&lt;&gt;"", Klantgegevens_B!O170, IF(Klantgegevens_A!L170&gt;=7, "ja", "nee"))</f>
        <v>Geen dieet</v>
      </c>
      <c r="Q171" t="str">
        <f>IF(Klantgegevens_B!P170&lt;&gt;"", Klantgegevens_B!P170, Klantgegevens_A!M170)</f>
        <v>Geen dieet</v>
      </c>
      <c r="R171" t="str">
        <f>IF(Klantgegevens_B!A170&lt;&gt;"", "B", "A")</f>
        <v>B</v>
      </c>
    </row>
    <row r="172" spans="1:18" x14ac:dyDescent="0.3">
      <c r="A172" t="str">
        <f>IF(Klantgegevens_B!A171&lt;&gt;"", Klantgegevens_B!A171, MID(Klantgegevens_A!A171, FIND(",", Klantgegevens_A!A171)+2, LEN(Klantgegevens_A!A171)))</f>
        <v>Fabio</v>
      </c>
      <c r="B172" t="str">
        <f>IF(Klantgegevens_B!B171&lt;&gt;"", Klantgegevens_B!B171, LEFT(Klantgegevens_A!A171, FIND(",", Klantgegevens_A!A171)-1))</f>
        <v>Bollen</v>
      </c>
      <c r="C172" t="str">
        <f t="shared" ca="1" si="2"/>
        <v/>
      </c>
      <c r="D172" t="str">
        <f>IF(Klantgegevens_B!F171&lt;&gt;"", Klantgegevens_B!F171, Klantgegevens_A!D171 &amp; " " &amp; Klantgegevens_A!E171 &amp; ", " &amp; Klantgegevens_A!F171)</f>
        <v>Fabio,Annie,Cathy,Stijn</v>
      </c>
      <c r="E172">
        <f>IF(Klantgegevens_B!G171&lt;&gt;"", Klantgegevens_B!G171, TEXTJOIN(",", TRUE, REPT("Volwassene,", Klantgegevens_A!G171), REPT("Kind,", Klantgegevens_A!H171)))</f>
        <v>97.08</v>
      </c>
      <c r="F172">
        <f>IF(Klantgegevens_B!G171&lt;&gt;"", LEN(Klantgegevens_B!G171)-LEN(SUBSTITUTE(Klantgegevens_B!G171, ",", ""))+1, Klantgegevens_A!G171)</f>
        <v>1</v>
      </c>
      <c r="G172">
        <f>IF(Klantgegevens_B!G171&lt;&gt;"", 0, Klantgegevens_A!H171)</f>
        <v>0</v>
      </c>
      <c r="H172">
        <f>IF(Klantgegevens_B!H171&lt;&gt;"", Klantgegevens_B!H171, Klantgegevens_A!I171)</f>
        <v>22</v>
      </c>
      <c r="I172" t="str">
        <f>IF(Klantgegevens_B!I171&lt;&gt;"", Klantgegevens_B!I171, SWITCH(Klantgegevens_A!J171, "Zelden", 1, "Af en toe", 4, "Regelmatig", 8, "Vaak", 12))</f>
        <v>Bancontact</v>
      </c>
      <c r="J172" t="str">
        <f>IF(Klantgegevens_B!J171&lt;&gt;"", Klantgegevens_B!J171, Klantgegevens_A!K171)</f>
        <v>nee</v>
      </c>
      <c r="K172">
        <f>IF(Klantgegevens_B!K171&lt;&gt;"", AVERAGE(--(Klantgegevens_B!K171="ja"), --(Klantgegevens_B!L171="ja"), --(Klantgegevens_B!M171="ja"), --(Klantgegevens_B!N171="ja"), --(Klantgegevens_B!O171="ja"))*10, Klantgegevens_A!L171)</f>
        <v>6</v>
      </c>
      <c r="L172" t="str">
        <f>IF(Klantgegevens_B!K171&lt;&gt;"", Klantgegevens_B!K171, IF(Klantgegevens_A!L171&gt;=7, "ja", "nee"))</f>
        <v>ja</v>
      </c>
      <c r="M172" t="str">
        <f>IF(Klantgegevens_B!L171&lt;&gt;"", Klantgegevens_B!L171, IF(Klantgegevens_A!L171&gt;=7, "ja", "nee"))</f>
        <v>ja</v>
      </c>
      <c r="N172" t="str">
        <f>IF(Klantgegevens_B!M171&lt;&gt;"", Klantgegevens_B!M171, IF(Klantgegevens_A!L171&gt;=7, "ja", "nee"))</f>
        <v>nee</v>
      </c>
      <c r="O172" t="str">
        <f>IF(Klantgegevens_B!N171&lt;&gt;"", Klantgegevens_B!N171, IF(Klantgegevens_A!L171&gt;=7, "ja", "nee"))</f>
        <v>ja</v>
      </c>
      <c r="P172" t="str">
        <f>IF(Klantgegevens_B!O171&lt;&gt;"", Klantgegevens_B!O171, IF(Klantgegevens_A!L171&gt;=7, "ja", "nee"))</f>
        <v>Geen dieet</v>
      </c>
      <c r="Q172" t="str">
        <f>IF(Klantgegevens_B!P171&lt;&gt;"", Klantgegevens_B!P171, Klantgegevens_A!M171)</f>
        <v>Geen dieet</v>
      </c>
      <c r="R172" t="str">
        <f>IF(Klantgegevens_B!A171&lt;&gt;"", "B", "A")</f>
        <v>B</v>
      </c>
    </row>
    <row r="173" spans="1:18" x14ac:dyDescent="0.3">
      <c r="A173" t="str">
        <f>IF(Klantgegevens_B!A172&lt;&gt;"", Klantgegevens_B!A172, MID(Klantgegevens_A!A172, FIND(",", Klantgegevens_A!A172)+2, LEN(Klantgegevens_A!A172)))</f>
        <v>Christophe</v>
      </c>
      <c r="B173" t="str">
        <f>IF(Klantgegevens_B!B172&lt;&gt;"", Klantgegevens_B!B172, LEFT(Klantgegevens_A!A172, FIND(",", Klantgegevens_A!A172)-1))</f>
        <v>Lenaerts</v>
      </c>
      <c r="C173" t="str">
        <f t="shared" ca="1" si="2"/>
        <v/>
      </c>
      <c r="D173" t="str">
        <f>IF(Klantgegevens_B!F172&lt;&gt;"", Klantgegevens_B!F172, Klantgegevens_A!D172 &amp; " " &amp; Klantgegevens_A!E172 &amp; ", " &amp; Klantgegevens_A!F172)</f>
        <v>Christophe,Lisa</v>
      </c>
      <c r="E173">
        <f>IF(Klantgegevens_B!G172&lt;&gt;"", Klantgegevens_B!G172, TEXTJOIN(",", TRUE, REPT("Volwassene,", Klantgegevens_A!G172), REPT("Kind,", Klantgegevens_A!H172)))</f>
        <v>74.680000000000007</v>
      </c>
      <c r="F173">
        <f>IF(Klantgegevens_B!G172&lt;&gt;"", LEN(Klantgegevens_B!G172)-LEN(SUBSTITUTE(Klantgegevens_B!G172, ",", ""))+1, Klantgegevens_A!G172)</f>
        <v>1</v>
      </c>
      <c r="G173">
        <f>IF(Klantgegevens_B!G172&lt;&gt;"", 0, Klantgegevens_A!H172)</f>
        <v>0</v>
      </c>
      <c r="H173">
        <f>IF(Klantgegevens_B!H172&lt;&gt;"", Klantgegevens_B!H172, Klantgegevens_A!I172)</f>
        <v>6</v>
      </c>
      <c r="I173" t="str">
        <f>IF(Klantgegevens_B!I172&lt;&gt;"", Klantgegevens_B!I172, SWITCH(Klantgegevens_A!J172, "Zelden", 1, "Af en toe", 4, "Regelmatig", 8, "Vaak", 12))</f>
        <v>Bancontact</v>
      </c>
      <c r="J173" t="str">
        <f>IF(Klantgegevens_B!J172&lt;&gt;"", Klantgegevens_B!J172, Klantgegevens_A!K172)</f>
        <v>ja</v>
      </c>
      <c r="K173">
        <f>IF(Klantgegevens_B!K172&lt;&gt;"", AVERAGE(--(Klantgegevens_B!K172="ja"), --(Klantgegevens_B!L172="ja"), --(Klantgegevens_B!M172="ja"), --(Klantgegevens_B!N172="ja"), --(Klantgegevens_B!O172="ja"))*10, Klantgegevens_A!L172)</f>
        <v>8</v>
      </c>
      <c r="L173" t="str">
        <f>IF(Klantgegevens_B!K172&lt;&gt;"", Klantgegevens_B!K172, IF(Klantgegevens_A!L172&gt;=7, "ja", "nee"))</f>
        <v>ja</v>
      </c>
      <c r="M173" t="str">
        <f>IF(Klantgegevens_B!L172&lt;&gt;"", Klantgegevens_B!L172, IF(Klantgegevens_A!L172&gt;=7, "ja", "nee"))</f>
        <v>ja</v>
      </c>
      <c r="N173" t="str">
        <f>IF(Klantgegevens_B!M172&lt;&gt;"", Klantgegevens_B!M172, IF(Klantgegevens_A!L172&gt;=7, "ja", "nee"))</f>
        <v>ja</v>
      </c>
      <c r="O173" t="str">
        <f>IF(Klantgegevens_B!N172&lt;&gt;"", Klantgegevens_B!N172, IF(Klantgegevens_A!L172&gt;=7, "ja", "nee"))</f>
        <v>ja</v>
      </c>
      <c r="P173" t="str">
        <f>IF(Klantgegevens_B!O172&lt;&gt;"", Klantgegevens_B!O172, IF(Klantgegevens_A!L172&gt;=7, "ja", "nee"))</f>
        <v>Vegetarisch</v>
      </c>
      <c r="Q173" t="str">
        <f>IF(Klantgegevens_B!P172&lt;&gt;"", Klantgegevens_B!P172, Klantgegevens_A!M172)</f>
        <v>Geen dieet</v>
      </c>
      <c r="R173" t="str">
        <f>IF(Klantgegevens_B!A172&lt;&gt;"", "B", "A")</f>
        <v>B</v>
      </c>
    </row>
    <row r="174" spans="1:18" x14ac:dyDescent="0.3">
      <c r="A174" t="str">
        <f>IF(Klantgegevens_B!A173&lt;&gt;"", Klantgegevens_B!A173, MID(Klantgegevens_A!A173, FIND(",", Klantgegevens_A!A173)+2, LEN(Klantgegevens_A!A173)))</f>
        <v>Ann</v>
      </c>
      <c r="B174" t="str">
        <f>IF(Klantgegevens_B!B173&lt;&gt;"", Klantgegevens_B!B173, LEFT(Klantgegevens_A!A173, FIND(",", Klantgegevens_A!A173)-1))</f>
        <v>Thys</v>
      </c>
      <c r="C174" t="str">
        <f t="shared" ca="1" si="2"/>
        <v/>
      </c>
      <c r="D174" t="str">
        <f>IF(Klantgegevens_B!F173&lt;&gt;"", Klantgegevens_B!F173, Klantgegevens_A!D173 &amp; " " &amp; Klantgegevens_A!E173 &amp; ", " &amp; Klantgegevens_A!F173)</f>
        <v>Ann,Ludvic</v>
      </c>
      <c r="E174">
        <f>IF(Klantgegevens_B!G173&lt;&gt;"", Klantgegevens_B!G173, TEXTJOIN(",", TRUE, REPT("Volwassene,", Klantgegevens_A!G173), REPT("Kind,", Klantgegevens_A!H173)))</f>
        <v>149.62</v>
      </c>
      <c r="F174">
        <f>IF(Klantgegevens_B!G173&lt;&gt;"", LEN(Klantgegevens_B!G173)-LEN(SUBSTITUTE(Klantgegevens_B!G173, ",", ""))+1, Klantgegevens_A!G173)</f>
        <v>1</v>
      </c>
      <c r="G174">
        <f>IF(Klantgegevens_B!G173&lt;&gt;"", 0, Klantgegevens_A!H173)</f>
        <v>0</v>
      </c>
      <c r="H174">
        <f>IF(Klantgegevens_B!H173&lt;&gt;"", Klantgegevens_B!H173, Klantgegevens_A!I173)</f>
        <v>2</v>
      </c>
      <c r="I174" t="str">
        <f>IF(Klantgegevens_B!I173&lt;&gt;"", Klantgegevens_B!I173, SWITCH(Klantgegevens_A!J173, "Zelden", 1, "Af en toe", 4, "Regelmatig", 8, "Vaak", 12))</f>
        <v>Bancontact</v>
      </c>
      <c r="J174" t="str">
        <f>IF(Klantgegevens_B!J173&lt;&gt;"", Klantgegevens_B!J173, Klantgegevens_A!K173)</f>
        <v>ja</v>
      </c>
      <c r="K174">
        <f>IF(Klantgegevens_B!K173&lt;&gt;"", AVERAGE(--(Klantgegevens_B!K173="ja"), --(Klantgegevens_B!L173="ja"), --(Klantgegevens_B!M173="ja"), --(Klantgegevens_B!N173="ja"), --(Klantgegevens_B!O173="ja"))*10, Klantgegevens_A!L173)</f>
        <v>8</v>
      </c>
      <c r="L174" t="str">
        <f>IF(Klantgegevens_B!K173&lt;&gt;"", Klantgegevens_B!K173, IF(Klantgegevens_A!L173&gt;=7, "ja", "nee"))</f>
        <v>ja</v>
      </c>
      <c r="M174" t="str">
        <f>IF(Klantgegevens_B!L173&lt;&gt;"", Klantgegevens_B!L173, IF(Klantgegevens_A!L173&gt;=7, "ja", "nee"))</f>
        <v>ja</v>
      </c>
      <c r="N174" t="str">
        <f>IF(Klantgegevens_B!M173&lt;&gt;"", Klantgegevens_B!M173, IF(Klantgegevens_A!L173&gt;=7, "ja", "nee"))</f>
        <v>ja</v>
      </c>
      <c r="O174" t="str">
        <f>IF(Klantgegevens_B!N173&lt;&gt;"", Klantgegevens_B!N173, IF(Klantgegevens_A!L173&gt;=7, "ja", "nee"))</f>
        <v>ja</v>
      </c>
      <c r="P174" t="str">
        <f>IF(Klantgegevens_B!O173&lt;&gt;"", Klantgegevens_B!O173, IF(Klantgegevens_A!L173&gt;=7, "ja", "nee"))</f>
        <v>Geen dieet</v>
      </c>
      <c r="Q174" t="str">
        <f>IF(Klantgegevens_B!P173&lt;&gt;"", Klantgegevens_B!P173, Klantgegevens_A!M173)</f>
        <v>Geen dieet</v>
      </c>
      <c r="R174" t="str">
        <f>IF(Klantgegevens_B!A173&lt;&gt;"", "B", "A")</f>
        <v>B</v>
      </c>
    </row>
    <row r="175" spans="1:18" x14ac:dyDescent="0.3">
      <c r="A175" t="str">
        <f>IF(Klantgegevens_B!A174&lt;&gt;"", Klantgegevens_B!A174, MID(Klantgegevens_A!A174, FIND(",", Klantgegevens_A!A174)+2, LEN(Klantgegevens_A!A174)))</f>
        <v>Georgette</v>
      </c>
      <c r="B175" t="str">
        <f>IF(Klantgegevens_B!B174&lt;&gt;"", Klantgegevens_B!B174, LEFT(Klantgegevens_A!A174, FIND(",", Klantgegevens_A!A174)-1))</f>
        <v>De bruyn</v>
      </c>
      <c r="C175" t="str">
        <f t="shared" ca="1" si="2"/>
        <v/>
      </c>
      <c r="D175" t="str">
        <f>IF(Klantgegevens_B!F174&lt;&gt;"", Klantgegevens_B!F174, Klantgegevens_A!D174 &amp; " " &amp; Klantgegevens_A!E174 &amp; ", " &amp; Klantgegevens_A!F174)</f>
        <v>Georgette,Kristine,Luc</v>
      </c>
      <c r="E175">
        <f>IF(Klantgegevens_B!G174&lt;&gt;"", Klantgegevens_B!G174, TEXTJOIN(",", TRUE, REPT("Volwassene,", Klantgegevens_A!G174), REPT("Kind,", Klantgegevens_A!H174)))</f>
        <v>130.88</v>
      </c>
      <c r="F175">
        <f>IF(Klantgegevens_B!G174&lt;&gt;"", LEN(Klantgegevens_B!G174)-LEN(SUBSTITUTE(Klantgegevens_B!G174, ",", ""))+1, Klantgegevens_A!G174)</f>
        <v>1</v>
      </c>
      <c r="G175">
        <f>IF(Klantgegevens_B!G174&lt;&gt;"", 0, Klantgegevens_A!H174)</f>
        <v>0</v>
      </c>
      <c r="H175">
        <f>IF(Klantgegevens_B!H174&lt;&gt;"", Klantgegevens_B!H174, Klantgegevens_A!I174)</f>
        <v>10</v>
      </c>
      <c r="I175" t="str">
        <f>IF(Klantgegevens_B!I174&lt;&gt;"", Klantgegevens_B!I174, SWITCH(Klantgegevens_A!J174, "Zelden", 1, "Af en toe", 4, "Regelmatig", 8, "Vaak", 12))</f>
        <v>Payconiq</v>
      </c>
      <c r="J175" t="str">
        <f>IF(Klantgegevens_B!J174&lt;&gt;"", Klantgegevens_B!J174, Klantgegevens_A!K174)</f>
        <v>ja</v>
      </c>
      <c r="K175">
        <f>IF(Klantgegevens_B!K174&lt;&gt;"", AVERAGE(--(Klantgegevens_B!K174="ja"), --(Klantgegevens_B!L174="ja"), --(Klantgegevens_B!M174="ja"), --(Klantgegevens_B!N174="ja"), --(Klantgegevens_B!O174="ja"))*10, Klantgegevens_A!L174)</f>
        <v>4</v>
      </c>
      <c r="L175" t="str">
        <f>IF(Klantgegevens_B!K174&lt;&gt;"", Klantgegevens_B!K174, IF(Klantgegevens_A!L174&gt;=7, "ja", "nee"))</f>
        <v>nee</v>
      </c>
      <c r="M175" t="str">
        <f>IF(Klantgegevens_B!L174&lt;&gt;"", Klantgegevens_B!L174, IF(Klantgegevens_A!L174&gt;=7, "ja", "nee"))</f>
        <v>ja</v>
      </c>
      <c r="N175" t="str">
        <f>IF(Klantgegevens_B!M174&lt;&gt;"", Klantgegevens_B!M174, IF(Klantgegevens_A!L174&gt;=7, "ja", "nee"))</f>
        <v>ja</v>
      </c>
      <c r="O175" t="str">
        <f>IF(Klantgegevens_B!N174&lt;&gt;"", Klantgegevens_B!N174, IF(Klantgegevens_A!L174&gt;=7, "ja", "nee"))</f>
        <v>nee</v>
      </c>
      <c r="P175" t="str">
        <f>IF(Klantgegevens_B!O174&lt;&gt;"", Klantgegevens_B!O174, IF(Klantgegevens_A!L174&gt;=7, "ja", "nee"))</f>
        <v>Geen dieet</v>
      </c>
      <c r="Q175" t="str">
        <f>IF(Klantgegevens_B!P174&lt;&gt;"", Klantgegevens_B!P174, Klantgegevens_A!M174)</f>
        <v>Geen dieet</v>
      </c>
      <c r="R175" t="str">
        <f>IF(Klantgegevens_B!A174&lt;&gt;"", "B", "A")</f>
        <v>B</v>
      </c>
    </row>
    <row r="176" spans="1:18" x14ac:dyDescent="0.3">
      <c r="A176" t="str">
        <f>IF(Klantgegevens_B!A175&lt;&gt;"", Klantgegevens_B!A175, MID(Klantgegevens_A!A175, FIND(",", Klantgegevens_A!A175)+2, LEN(Klantgegevens_A!A175)))</f>
        <v>Marine</v>
      </c>
      <c r="B176" t="str">
        <f>IF(Klantgegevens_B!B175&lt;&gt;"", Klantgegevens_B!B175, LEFT(Klantgegevens_A!A175, FIND(",", Klantgegevens_A!A175)-1))</f>
        <v>Dierckx</v>
      </c>
      <c r="C176" t="str">
        <f t="shared" ca="1" si="2"/>
        <v/>
      </c>
      <c r="D176" t="str">
        <f>IF(Klantgegevens_B!F175&lt;&gt;"", Klantgegevens_B!F175, Klantgegevens_A!D175 &amp; " " &amp; Klantgegevens_A!E175 &amp; ", " &amp; Klantgegevens_A!F175)</f>
        <v>Marine,Ann</v>
      </c>
      <c r="E176">
        <f>IF(Klantgegevens_B!G175&lt;&gt;"", Klantgegevens_B!G175, TEXTJOIN(",", TRUE, REPT("Volwassene,", Klantgegevens_A!G175), REPT("Kind,", Klantgegevens_A!H175)))</f>
        <v>69.260000000000005</v>
      </c>
      <c r="F176">
        <f>IF(Klantgegevens_B!G175&lt;&gt;"", LEN(Klantgegevens_B!G175)-LEN(SUBSTITUTE(Klantgegevens_B!G175, ",", ""))+1, Klantgegevens_A!G175)</f>
        <v>1</v>
      </c>
      <c r="G176">
        <f>IF(Klantgegevens_B!G175&lt;&gt;"", 0, Klantgegevens_A!H175)</f>
        <v>0</v>
      </c>
      <c r="H176">
        <f>IF(Klantgegevens_B!H175&lt;&gt;"", Klantgegevens_B!H175, Klantgegevens_A!I175)</f>
        <v>10</v>
      </c>
      <c r="I176" t="str">
        <f>IF(Klantgegevens_B!I175&lt;&gt;"", Klantgegevens_B!I175, SWITCH(Klantgegevens_A!J175, "Zelden", 1, "Af en toe", 4, "Regelmatig", 8, "Vaak", 12))</f>
        <v>Cash</v>
      </c>
      <c r="J176" t="str">
        <f>IF(Klantgegevens_B!J175&lt;&gt;"", Klantgegevens_B!J175, Klantgegevens_A!K175)</f>
        <v>ja</v>
      </c>
      <c r="K176">
        <f>IF(Klantgegevens_B!K175&lt;&gt;"", AVERAGE(--(Klantgegevens_B!K175="ja"), --(Klantgegevens_B!L175="ja"), --(Klantgegevens_B!M175="ja"), --(Klantgegevens_B!N175="ja"), --(Klantgegevens_B!O175="ja"))*10, Klantgegevens_A!L175)</f>
        <v>8</v>
      </c>
      <c r="L176" t="str">
        <f>IF(Klantgegevens_B!K175&lt;&gt;"", Klantgegevens_B!K175, IF(Klantgegevens_A!L175&gt;=7, "ja", "nee"))</f>
        <v>ja</v>
      </c>
      <c r="M176" t="str">
        <f>IF(Klantgegevens_B!L175&lt;&gt;"", Klantgegevens_B!L175, IF(Klantgegevens_A!L175&gt;=7, "ja", "nee"))</f>
        <v>ja</v>
      </c>
      <c r="N176" t="str">
        <f>IF(Klantgegevens_B!M175&lt;&gt;"", Klantgegevens_B!M175, IF(Klantgegevens_A!L175&gt;=7, "ja", "nee"))</f>
        <v>ja</v>
      </c>
      <c r="O176" t="str">
        <f>IF(Klantgegevens_B!N175&lt;&gt;"", Klantgegevens_B!N175, IF(Klantgegevens_A!L175&gt;=7, "ja", "nee"))</f>
        <v>ja</v>
      </c>
      <c r="P176" t="str">
        <f>IF(Klantgegevens_B!O175&lt;&gt;"", Klantgegevens_B!O175, IF(Klantgegevens_A!L175&gt;=7, "ja", "nee"))</f>
        <v>Geen dieet</v>
      </c>
      <c r="Q176" t="str">
        <f>IF(Klantgegevens_B!P175&lt;&gt;"", Klantgegevens_B!P175, Klantgegevens_A!M175)</f>
        <v>Geen dieet</v>
      </c>
      <c r="R176" t="str">
        <f>IF(Klantgegevens_B!A175&lt;&gt;"", "B", "A")</f>
        <v>B</v>
      </c>
    </row>
    <row r="177" spans="1:18" x14ac:dyDescent="0.3">
      <c r="A177" t="str">
        <f>IF(Klantgegevens_B!A176&lt;&gt;"", Klantgegevens_B!A176, MID(Klantgegevens_A!A176, FIND(",", Klantgegevens_A!A176)+2, LEN(Klantgegevens_A!A176)))</f>
        <v>Spencer</v>
      </c>
      <c r="B177" t="str">
        <f>IF(Klantgegevens_B!B176&lt;&gt;"", Klantgegevens_B!B176, LEFT(Klantgegevens_A!A176, FIND(",", Klantgegevens_A!A176)-1))</f>
        <v>Reynders</v>
      </c>
      <c r="C177" t="str">
        <f t="shared" ca="1" si="2"/>
        <v/>
      </c>
      <c r="D177" t="str">
        <f>IF(Klantgegevens_B!F176&lt;&gt;"", Klantgegevens_B!F176, Klantgegevens_A!D176 &amp; " " &amp; Klantgegevens_A!E176 &amp; ", " &amp; Klantgegevens_A!F176)</f>
        <v>Spencer,Krista,Christine,Lindsay,Roger</v>
      </c>
      <c r="E177">
        <f>IF(Klantgegevens_B!G176&lt;&gt;"", Klantgegevens_B!G176, TEXTJOIN(",", TRUE, REPT("Volwassene,", Klantgegevens_A!G176), REPT("Kind,", Klantgegevens_A!H176)))</f>
        <v>92.15</v>
      </c>
      <c r="F177">
        <f>IF(Klantgegevens_B!G176&lt;&gt;"", LEN(Klantgegevens_B!G176)-LEN(SUBSTITUTE(Klantgegevens_B!G176, ",", ""))+1, Klantgegevens_A!G176)</f>
        <v>1</v>
      </c>
      <c r="G177">
        <f>IF(Klantgegevens_B!G176&lt;&gt;"", 0, Klantgegevens_A!H176)</f>
        <v>0</v>
      </c>
      <c r="H177">
        <f>IF(Klantgegevens_B!H176&lt;&gt;"", Klantgegevens_B!H176, Klantgegevens_A!I176)</f>
        <v>13</v>
      </c>
      <c r="I177" t="str">
        <f>IF(Klantgegevens_B!I176&lt;&gt;"", Klantgegevens_B!I176, SWITCH(Klantgegevens_A!J176, "Zelden", 1, "Af en toe", 4, "Regelmatig", 8, "Vaak", 12))</f>
        <v>Bancontact</v>
      </c>
      <c r="J177" t="str">
        <f>IF(Klantgegevens_B!J176&lt;&gt;"", Klantgegevens_B!J176, Klantgegevens_A!K176)</f>
        <v>nee</v>
      </c>
      <c r="K177">
        <f>IF(Klantgegevens_B!K176&lt;&gt;"", AVERAGE(--(Klantgegevens_B!K176="ja"), --(Klantgegevens_B!L176="ja"), --(Klantgegevens_B!M176="ja"), --(Klantgegevens_B!N176="ja"), --(Klantgegevens_B!O176="ja"))*10, Klantgegevens_A!L176)</f>
        <v>2</v>
      </c>
      <c r="L177" t="str">
        <f>IF(Klantgegevens_B!K176&lt;&gt;"", Klantgegevens_B!K176, IF(Klantgegevens_A!L176&gt;=7, "ja", "nee"))</f>
        <v>nee</v>
      </c>
      <c r="M177" t="str">
        <f>IF(Klantgegevens_B!L176&lt;&gt;"", Klantgegevens_B!L176, IF(Klantgegevens_A!L176&gt;=7, "ja", "nee"))</f>
        <v>nee</v>
      </c>
      <c r="N177" t="str">
        <f>IF(Klantgegevens_B!M176&lt;&gt;"", Klantgegevens_B!M176, IF(Klantgegevens_A!L176&gt;=7, "ja", "nee"))</f>
        <v>nee</v>
      </c>
      <c r="O177" t="str">
        <f>IF(Klantgegevens_B!N176&lt;&gt;"", Klantgegevens_B!N176, IF(Klantgegevens_A!L176&gt;=7, "ja", "nee"))</f>
        <v>ja</v>
      </c>
      <c r="P177" t="str">
        <f>IF(Klantgegevens_B!O176&lt;&gt;"", Klantgegevens_B!O176, IF(Klantgegevens_A!L176&gt;=7, "ja", "nee"))</f>
        <v>Veganistisch</v>
      </c>
      <c r="Q177" t="str">
        <f>IF(Klantgegevens_B!P176&lt;&gt;"", Klantgegevens_B!P176, Klantgegevens_A!M176)</f>
        <v>Geen dieet</v>
      </c>
      <c r="R177" t="str">
        <f>IF(Klantgegevens_B!A176&lt;&gt;"", "B", "A")</f>
        <v>B</v>
      </c>
    </row>
    <row r="178" spans="1:18" x14ac:dyDescent="0.3">
      <c r="A178" t="str">
        <f>IF(Klantgegevens_B!A177&lt;&gt;"", Klantgegevens_B!A177, MID(Klantgegevens_A!A177, FIND(",", Klantgegevens_A!A177)+2, LEN(Klantgegevens_A!A177)))</f>
        <v>Marie</v>
      </c>
      <c r="B178" t="str">
        <f>IF(Klantgegevens_B!B177&lt;&gt;"", Klantgegevens_B!B177, LEFT(Klantgegevens_A!A177, FIND(",", Klantgegevens_A!A177)-1))</f>
        <v>Wauters</v>
      </c>
      <c r="C178" t="str">
        <f t="shared" ca="1" si="2"/>
        <v/>
      </c>
      <c r="D178" t="str">
        <f>IF(Klantgegevens_B!F177&lt;&gt;"", Klantgegevens_B!F177, Klantgegevens_A!D177 &amp; " " &amp; Klantgegevens_A!E177 &amp; ", " &amp; Klantgegevens_A!F177)</f>
        <v>Marie,Jeanine,Evelien</v>
      </c>
      <c r="E178">
        <f>IF(Klantgegevens_B!G177&lt;&gt;"", Klantgegevens_B!G177, TEXTJOIN(",", TRUE, REPT("Volwassene,", Klantgegevens_A!G177), REPT("Kind,", Klantgegevens_A!H177)))</f>
        <v>149.35</v>
      </c>
      <c r="F178">
        <f>IF(Klantgegevens_B!G177&lt;&gt;"", LEN(Klantgegevens_B!G177)-LEN(SUBSTITUTE(Klantgegevens_B!G177, ",", ""))+1, Klantgegevens_A!G177)</f>
        <v>1</v>
      </c>
      <c r="G178">
        <f>IF(Klantgegevens_B!G177&lt;&gt;"", 0, Klantgegevens_A!H177)</f>
        <v>0</v>
      </c>
      <c r="H178">
        <f>IF(Klantgegevens_B!H177&lt;&gt;"", Klantgegevens_B!H177, Klantgegevens_A!I177)</f>
        <v>8</v>
      </c>
      <c r="I178" t="str">
        <f>IF(Klantgegevens_B!I177&lt;&gt;"", Klantgegevens_B!I177, SWITCH(Klantgegevens_A!J177, "Zelden", 1, "Af en toe", 4, "Regelmatig", 8, "Vaak", 12))</f>
        <v>Payconiq</v>
      </c>
      <c r="J178" t="str">
        <f>IF(Klantgegevens_B!J177&lt;&gt;"", Klantgegevens_B!J177, Klantgegevens_A!K177)</f>
        <v>ja</v>
      </c>
      <c r="K178">
        <f>IF(Klantgegevens_B!K177&lt;&gt;"", AVERAGE(--(Klantgegevens_B!K177="ja"), --(Klantgegevens_B!L177="ja"), --(Klantgegevens_B!M177="ja"), --(Klantgegevens_B!N177="ja"), --(Klantgegevens_B!O177="ja"))*10, Klantgegevens_A!L177)</f>
        <v>6</v>
      </c>
      <c r="L178" t="str">
        <f>IF(Klantgegevens_B!K177&lt;&gt;"", Klantgegevens_B!K177, IF(Klantgegevens_A!L177&gt;=7, "ja", "nee"))</f>
        <v>ja</v>
      </c>
      <c r="M178" t="str">
        <f>IF(Klantgegevens_B!L177&lt;&gt;"", Klantgegevens_B!L177, IF(Klantgegevens_A!L177&gt;=7, "ja", "nee"))</f>
        <v>ja</v>
      </c>
      <c r="N178" t="str">
        <f>IF(Klantgegevens_B!M177&lt;&gt;"", Klantgegevens_B!M177, IF(Klantgegevens_A!L177&gt;=7, "ja", "nee"))</f>
        <v>ja</v>
      </c>
      <c r="O178" t="str">
        <f>IF(Klantgegevens_B!N177&lt;&gt;"", Klantgegevens_B!N177, IF(Klantgegevens_A!L177&gt;=7, "ja", "nee"))</f>
        <v>nee</v>
      </c>
      <c r="P178" t="str">
        <f>IF(Klantgegevens_B!O177&lt;&gt;"", Klantgegevens_B!O177, IF(Klantgegevens_A!L177&gt;=7, "ja", "nee"))</f>
        <v>Vegetarisch</v>
      </c>
      <c r="Q178" t="str">
        <f>IF(Klantgegevens_B!P177&lt;&gt;"", Klantgegevens_B!P177, Klantgegevens_A!M177)</f>
        <v>Geen dieet</v>
      </c>
      <c r="R178" t="str">
        <f>IF(Klantgegevens_B!A177&lt;&gt;"", "B", "A")</f>
        <v>B</v>
      </c>
    </row>
    <row r="179" spans="1:18" x14ac:dyDescent="0.3">
      <c r="A179" t="str">
        <f>IF(Klantgegevens_B!A178&lt;&gt;"", Klantgegevens_B!A178, MID(Klantgegevens_A!A178, FIND(",", Klantgegevens_A!A178)+2, LEN(Klantgegevens_A!A178)))</f>
        <v>Christian</v>
      </c>
      <c r="B179" t="str">
        <f>IF(Klantgegevens_B!B178&lt;&gt;"", Klantgegevens_B!B178, LEFT(Klantgegevens_A!A178, FIND(",", Klantgegevens_A!A178)-1))</f>
        <v>Gerard</v>
      </c>
      <c r="C179" t="str">
        <f t="shared" ca="1" si="2"/>
        <v/>
      </c>
      <c r="D179" t="str">
        <f>IF(Klantgegevens_B!F178&lt;&gt;"", Klantgegevens_B!F178, Klantgegevens_A!D178 &amp; " " &amp; Klantgegevens_A!E178 &amp; ", " &amp; Klantgegevens_A!F178)</f>
        <v>Christian,Jana,Britt,Jessy</v>
      </c>
      <c r="E179">
        <f>IF(Klantgegevens_B!G178&lt;&gt;"", Klantgegevens_B!G178, TEXTJOIN(",", TRUE, REPT("Volwassene,", Klantgegevens_A!G178), REPT("Kind,", Klantgegevens_A!H178)))</f>
        <v>203.4</v>
      </c>
      <c r="F179">
        <f>IF(Klantgegevens_B!G178&lt;&gt;"", LEN(Klantgegevens_B!G178)-LEN(SUBSTITUTE(Klantgegevens_B!G178, ",", ""))+1, Klantgegevens_A!G178)</f>
        <v>1</v>
      </c>
      <c r="G179">
        <f>IF(Klantgegevens_B!G178&lt;&gt;"", 0, Klantgegevens_A!H178)</f>
        <v>0</v>
      </c>
      <c r="H179">
        <f>IF(Klantgegevens_B!H178&lt;&gt;"", Klantgegevens_B!H178, Klantgegevens_A!I178)</f>
        <v>31</v>
      </c>
      <c r="I179" t="str">
        <f>IF(Klantgegevens_B!I178&lt;&gt;"", Klantgegevens_B!I178, SWITCH(Klantgegevens_A!J178, "Zelden", 1, "Af en toe", 4, "Regelmatig", 8, "Vaak", 12))</f>
        <v>Payconiq</v>
      </c>
      <c r="J179" t="str">
        <f>IF(Klantgegevens_B!J178&lt;&gt;"", Klantgegevens_B!J178, Klantgegevens_A!K178)</f>
        <v>ja</v>
      </c>
      <c r="K179">
        <f>IF(Klantgegevens_B!K178&lt;&gt;"", AVERAGE(--(Klantgegevens_B!K178="ja"), --(Klantgegevens_B!L178="ja"), --(Klantgegevens_B!M178="ja"), --(Klantgegevens_B!N178="ja"), --(Klantgegevens_B!O178="ja"))*10, Klantgegevens_A!L178)</f>
        <v>6</v>
      </c>
      <c r="L179" t="str">
        <f>IF(Klantgegevens_B!K178&lt;&gt;"", Klantgegevens_B!K178, IF(Klantgegevens_A!L178&gt;=7, "ja", "nee"))</f>
        <v>ja</v>
      </c>
      <c r="M179" t="str">
        <f>IF(Klantgegevens_B!L178&lt;&gt;"", Klantgegevens_B!L178, IF(Klantgegevens_A!L178&gt;=7, "ja", "nee"))</f>
        <v>nee</v>
      </c>
      <c r="N179" t="str">
        <f>IF(Klantgegevens_B!M178&lt;&gt;"", Klantgegevens_B!M178, IF(Klantgegevens_A!L178&gt;=7, "ja", "nee"))</f>
        <v>ja</v>
      </c>
      <c r="O179" t="str">
        <f>IF(Klantgegevens_B!N178&lt;&gt;"", Klantgegevens_B!N178, IF(Klantgegevens_A!L178&gt;=7, "ja", "nee"))</f>
        <v>ja</v>
      </c>
      <c r="P179" t="str">
        <f>IF(Klantgegevens_B!O178&lt;&gt;"", Klantgegevens_B!O178, IF(Klantgegevens_A!L178&gt;=7, "ja", "nee"))</f>
        <v>Geen dieet</v>
      </c>
      <c r="Q179" t="str">
        <f>IF(Klantgegevens_B!P178&lt;&gt;"", Klantgegevens_B!P178, Klantgegevens_A!M178)</f>
        <v>Vegetarisch</v>
      </c>
      <c r="R179" t="str">
        <f>IF(Klantgegevens_B!A178&lt;&gt;"", "B", "A")</f>
        <v>B</v>
      </c>
    </row>
    <row r="180" spans="1:18" x14ac:dyDescent="0.3">
      <c r="A180" t="str">
        <f>IF(Klantgegevens_B!A179&lt;&gt;"", Klantgegevens_B!A179, MID(Klantgegevens_A!A179, FIND(",", Klantgegevens_A!A179)+2, LEN(Klantgegevens_A!A179)))</f>
        <v>Lara</v>
      </c>
      <c r="B180" t="str">
        <f>IF(Klantgegevens_B!B179&lt;&gt;"", Klantgegevens_B!B179, LEFT(Klantgegevens_A!A179, FIND(",", Klantgegevens_A!A179)-1))</f>
        <v>Deprez</v>
      </c>
      <c r="C180" t="str">
        <f t="shared" ca="1" si="2"/>
        <v/>
      </c>
      <c r="D180" t="str">
        <f>IF(Klantgegevens_B!F179&lt;&gt;"", Klantgegevens_B!F179, Klantgegevens_A!D179 &amp; " " &amp; Klantgegevens_A!E179 &amp; ", " &amp; Klantgegevens_A!F179)</f>
        <v>Lara,Saidou,Chin</v>
      </c>
      <c r="E180">
        <f>IF(Klantgegevens_B!G179&lt;&gt;"", Klantgegevens_B!G179, TEXTJOIN(",", TRUE, REPT("Volwassene,", Klantgegevens_A!G179), REPT("Kind,", Klantgegevens_A!H179)))</f>
        <v>174.84</v>
      </c>
      <c r="F180">
        <f>IF(Klantgegevens_B!G179&lt;&gt;"", LEN(Klantgegevens_B!G179)-LEN(SUBSTITUTE(Klantgegevens_B!G179, ",", ""))+1, Klantgegevens_A!G179)</f>
        <v>1</v>
      </c>
      <c r="G180">
        <f>IF(Klantgegevens_B!G179&lt;&gt;"", 0, Klantgegevens_A!H179)</f>
        <v>0</v>
      </c>
      <c r="H180">
        <f>IF(Klantgegevens_B!H179&lt;&gt;"", Klantgegevens_B!H179, Klantgegevens_A!I179)</f>
        <v>20</v>
      </c>
      <c r="I180" t="str">
        <f>IF(Klantgegevens_B!I179&lt;&gt;"", Klantgegevens_B!I179, SWITCH(Klantgegevens_A!J179, "Zelden", 1, "Af en toe", 4, "Regelmatig", 8, "Vaak", 12))</f>
        <v>Bancontact</v>
      </c>
      <c r="J180" t="str">
        <f>IF(Klantgegevens_B!J179&lt;&gt;"", Klantgegevens_B!J179, Klantgegevens_A!K179)</f>
        <v>ja</v>
      </c>
      <c r="K180">
        <f>IF(Klantgegevens_B!K179&lt;&gt;"", AVERAGE(--(Klantgegevens_B!K179="ja"), --(Klantgegevens_B!L179="ja"), --(Klantgegevens_B!M179="ja"), --(Klantgegevens_B!N179="ja"), --(Klantgegevens_B!O179="ja"))*10, Klantgegevens_A!L179)</f>
        <v>4</v>
      </c>
      <c r="L180" t="str">
        <f>IF(Klantgegevens_B!K179&lt;&gt;"", Klantgegevens_B!K179, IF(Klantgegevens_A!L179&gt;=7, "ja", "nee"))</f>
        <v>nee</v>
      </c>
      <c r="M180" t="str">
        <f>IF(Klantgegevens_B!L179&lt;&gt;"", Klantgegevens_B!L179, IF(Klantgegevens_A!L179&gt;=7, "ja", "nee"))</f>
        <v>ja</v>
      </c>
      <c r="N180" t="str">
        <f>IF(Klantgegevens_B!M179&lt;&gt;"", Klantgegevens_B!M179, IF(Klantgegevens_A!L179&gt;=7, "ja", "nee"))</f>
        <v>ja</v>
      </c>
      <c r="O180" t="str">
        <f>IF(Klantgegevens_B!N179&lt;&gt;"", Klantgegevens_B!N179, IF(Klantgegevens_A!L179&gt;=7, "ja", "nee"))</f>
        <v>nee</v>
      </c>
      <c r="P180" t="str">
        <f>IF(Klantgegevens_B!O179&lt;&gt;"", Klantgegevens_B!O179, IF(Klantgegevens_A!L179&gt;=7, "ja", "nee"))</f>
        <v>Geen dieet</v>
      </c>
      <c r="Q180" t="str">
        <f>IF(Klantgegevens_B!P179&lt;&gt;"", Klantgegevens_B!P179, Klantgegevens_A!M179)</f>
        <v>Geen dieet</v>
      </c>
      <c r="R180" t="str">
        <f>IF(Klantgegevens_B!A179&lt;&gt;"", "B", "A")</f>
        <v>B</v>
      </c>
    </row>
    <row r="181" spans="1:18" x14ac:dyDescent="0.3">
      <c r="A181" t="str">
        <f>IF(Klantgegevens_B!A180&lt;&gt;"", Klantgegevens_B!A180, MID(Klantgegevens_A!A180, FIND(",", Klantgegevens_A!A180)+2, LEN(Klantgegevens_A!A180)))</f>
        <v>Liam</v>
      </c>
      <c r="B181" t="str">
        <f>IF(Klantgegevens_B!B180&lt;&gt;"", Klantgegevens_B!B180, LEFT(Klantgegevens_A!A180, FIND(",", Klantgegevens_A!A180)-1))</f>
        <v>Claes</v>
      </c>
      <c r="C181" t="str">
        <f t="shared" ca="1" si="2"/>
        <v/>
      </c>
      <c r="D181" t="str">
        <f>IF(Klantgegevens_B!F180&lt;&gt;"", Klantgegevens_B!F180, Klantgegevens_A!D180 &amp; " " &amp; Klantgegevens_A!E180 &amp; ", " &amp; Klantgegevens_A!F180)</f>
        <v>Liam,Vincent,Malcolm,Flo,Nathalie</v>
      </c>
      <c r="E181">
        <f>IF(Klantgegevens_B!G180&lt;&gt;"", Klantgegevens_B!G180, TEXTJOIN(",", TRUE, REPT("Volwassene,", Klantgegevens_A!G180), REPT("Kind,", Klantgegevens_A!H180)))</f>
        <v>142.11000000000001</v>
      </c>
      <c r="F181">
        <f>IF(Klantgegevens_B!G180&lt;&gt;"", LEN(Klantgegevens_B!G180)-LEN(SUBSTITUTE(Klantgegevens_B!G180, ",", ""))+1, Klantgegevens_A!G180)</f>
        <v>1</v>
      </c>
      <c r="G181">
        <f>IF(Klantgegevens_B!G180&lt;&gt;"", 0, Klantgegevens_A!H180)</f>
        <v>0</v>
      </c>
      <c r="H181">
        <f>IF(Klantgegevens_B!H180&lt;&gt;"", Klantgegevens_B!H180, Klantgegevens_A!I180)</f>
        <v>18</v>
      </c>
      <c r="I181" t="str">
        <f>IF(Klantgegevens_B!I180&lt;&gt;"", Klantgegevens_B!I180, SWITCH(Klantgegevens_A!J180, "Zelden", 1, "Af en toe", 4, "Regelmatig", 8, "Vaak", 12))</f>
        <v>Payconiq</v>
      </c>
      <c r="J181" t="str">
        <f>IF(Klantgegevens_B!J180&lt;&gt;"", Klantgegevens_B!J180, Klantgegevens_A!K180)</f>
        <v>ja</v>
      </c>
      <c r="K181">
        <f>IF(Klantgegevens_B!K180&lt;&gt;"", AVERAGE(--(Klantgegevens_B!K180="ja"), --(Klantgegevens_B!L180="ja"), --(Klantgegevens_B!M180="ja"), --(Klantgegevens_B!N180="ja"), --(Klantgegevens_B!O180="ja"))*10, Klantgegevens_A!L180)</f>
        <v>2</v>
      </c>
      <c r="L181" t="str">
        <f>IF(Klantgegevens_B!K180&lt;&gt;"", Klantgegevens_B!K180, IF(Klantgegevens_A!L180&gt;=7, "ja", "nee"))</f>
        <v>nee</v>
      </c>
      <c r="M181" t="str">
        <f>IF(Klantgegevens_B!L180&lt;&gt;"", Klantgegevens_B!L180, IF(Klantgegevens_A!L180&gt;=7, "ja", "nee"))</f>
        <v>nee</v>
      </c>
      <c r="N181" t="str">
        <f>IF(Klantgegevens_B!M180&lt;&gt;"", Klantgegevens_B!M180, IF(Klantgegevens_A!L180&gt;=7, "ja", "nee"))</f>
        <v>ja</v>
      </c>
      <c r="O181" t="str">
        <f>IF(Klantgegevens_B!N180&lt;&gt;"", Klantgegevens_B!N180, IF(Klantgegevens_A!L180&gt;=7, "ja", "nee"))</f>
        <v>nee</v>
      </c>
      <c r="P181" t="str">
        <f>IF(Klantgegevens_B!O180&lt;&gt;"", Klantgegevens_B!O180, IF(Klantgegevens_A!L180&gt;=7, "ja", "nee"))</f>
        <v>Veganistisch</v>
      </c>
      <c r="Q181" t="str">
        <f>IF(Klantgegevens_B!P180&lt;&gt;"", Klantgegevens_B!P180, Klantgegevens_A!M180)</f>
        <v>Geen dieet</v>
      </c>
      <c r="R181" t="str">
        <f>IF(Klantgegevens_B!A180&lt;&gt;"", "B", "A")</f>
        <v>B</v>
      </c>
    </row>
    <row r="182" spans="1:18" x14ac:dyDescent="0.3">
      <c r="A182" t="str">
        <f>IF(Klantgegevens_B!A181&lt;&gt;"", Klantgegevens_B!A181, MID(Klantgegevens_A!A181, FIND(",", Klantgegevens_A!A181)+2, LEN(Klantgegevens_A!A181)))</f>
        <v>Jozef</v>
      </c>
      <c r="B182" t="str">
        <f>IF(Klantgegevens_B!B181&lt;&gt;"", Klantgegevens_B!B181, LEFT(Klantgegevens_A!A181, FIND(",", Klantgegevens_A!A181)-1))</f>
        <v>Verbruggen</v>
      </c>
      <c r="C182" t="str">
        <f t="shared" ca="1" si="2"/>
        <v/>
      </c>
      <c r="D182" t="str">
        <f>IF(Klantgegevens_B!F181&lt;&gt;"", Klantgegevens_B!F181, Klantgegevens_A!D181 &amp; " " &amp; Klantgegevens_A!E181 &amp; ", " &amp; Klantgegevens_A!F181)</f>
        <v>Jozef,Carine</v>
      </c>
      <c r="E182">
        <f>IF(Klantgegevens_B!G181&lt;&gt;"", Klantgegevens_B!G181, TEXTJOIN(",", TRUE, REPT("Volwassene,", Klantgegevens_A!G181), REPT("Kind,", Klantgegevens_A!H181)))</f>
        <v>144.26</v>
      </c>
      <c r="F182">
        <f>IF(Klantgegevens_B!G181&lt;&gt;"", LEN(Klantgegevens_B!G181)-LEN(SUBSTITUTE(Klantgegevens_B!G181, ",", ""))+1, Klantgegevens_A!G181)</f>
        <v>1</v>
      </c>
      <c r="G182">
        <f>IF(Klantgegevens_B!G181&lt;&gt;"", 0, Klantgegevens_A!H181)</f>
        <v>0</v>
      </c>
      <c r="H182">
        <f>IF(Klantgegevens_B!H181&lt;&gt;"", Klantgegevens_B!H181, Klantgegevens_A!I181)</f>
        <v>13</v>
      </c>
      <c r="I182" t="str">
        <f>IF(Klantgegevens_B!I181&lt;&gt;"", Klantgegevens_B!I181, SWITCH(Klantgegevens_A!J181, "Zelden", 1, "Af en toe", 4, "Regelmatig", 8, "Vaak", 12))</f>
        <v>Bancontact</v>
      </c>
      <c r="J182" t="str">
        <f>IF(Klantgegevens_B!J181&lt;&gt;"", Klantgegevens_B!J181, Klantgegevens_A!K181)</f>
        <v>ja</v>
      </c>
      <c r="K182">
        <f>IF(Klantgegevens_B!K181&lt;&gt;"", AVERAGE(--(Klantgegevens_B!K181="ja"), --(Klantgegevens_B!L181="ja"), --(Klantgegevens_B!M181="ja"), --(Klantgegevens_B!N181="ja"), --(Klantgegevens_B!O181="ja"))*10, Klantgegevens_A!L181)</f>
        <v>8</v>
      </c>
      <c r="L182" t="str">
        <f>IF(Klantgegevens_B!K181&lt;&gt;"", Klantgegevens_B!K181, IF(Klantgegevens_A!L181&gt;=7, "ja", "nee"))</f>
        <v>ja</v>
      </c>
      <c r="M182" t="str">
        <f>IF(Klantgegevens_B!L181&lt;&gt;"", Klantgegevens_B!L181, IF(Klantgegevens_A!L181&gt;=7, "ja", "nee"))</f>
        <v>ja</v>
      </c>
      <c r="N182" t="str">
        <f>IF(Klantgegevens_B!M181&lt;&gt;"", Klantgegevens_B!M181, IF(Klantgegevens_A!L181&gt;=7, "ja", "nee"))</f>
        <v>ja</v>
      </c>
      <c r="O182" t="str">
        <f>IF(Klantgegevens_B!N181&lt;&gt;"", Klantgegevens_B!N181, IF(Klantgegevens_A!L181&gt;=7, "ja", "nee"))</f>
        <v>ja</v>
      </c>
      <c r="P182" t="str">
        <f>IF(Klantgegevens_B!O181&lt;&gt;"", Klantgegevens_B!O181, IF(Klantgegevens_A!L181&gt;=7, "ja", "nee"))</f>
        <v>Geen dieet</v>
      </c>
      <c r="Q182" t="str">
        <f>IF(Klantgegevens_B!P181&lt;&gt;"", Klantgegevens_B!P181, Klantgegevens_A!M181)</f>
        <v>Geen dieet</v>
      </c>
      <c r="R182" t="str">
        <f>IF(Klantgegevens_B!A181&lt;&gt;"", "B", "A")</f>
        <v>B</v>
      </c>
    </row>
    <row r="183" spans="1:18" x14ac:dyDescent="0.3">
      <c r="A183" t="str">
        <f>IF(Klantgegevens_B!A182&lt;&gt;"", Klantgegevens_B!A182, MID(Klantgegevens_A!A182, FIND(",", Klantgegevens_A!A182)+2, LEN(Klantgegevens_A!A182)))</f>
        <v>Daniela</v>
      </c>
      <c r="B183" t="str">
        <f>IF(Klantgegevens_B!B182&lt;&gt;"", Klantgegevens_B!B182, LEFT(Klantgegevens_A!A182, FIND(",", Klantgegevens_A!A182)-1))</f>
        <v>Francois</v>
      </c>
      <c r="C183" t="str">
        <f t="shared" ca="1" si="2"/>
        <v/>
      </c>
      <c r="D183" t="str">
        <f>IF(Klantgegevens_B!F182&lt;&gt;"", Klantgegevens_B!F182, Klantgegevens_A!D182 &amp; " " &amp; Klantgegevens_A!E182 &amp; ", " &amp; Klantgegevens_A!F182)</f>
        <v>Daniela,Maria,Kristina,Heidi</v>
      </c>
      <c r="E183">
        <f>IF(Klantgegevens_B!G182&lt;&gt;"", Klantgegevens_B!G182, TEXTJOIN(",", TRUE, REPT("Volwassene,", Klantgegevens_A!G182), REPT("Kind,", Klantgegevens_A!H182)))</f>
        <v>167.07</v>
      </c>
      <c r="F183">
        <f>IF(Klantgegevens_B!G182&lt;&gt;"", LEN(Klantgegevens_B!G182)-LEN(SUBSTITUTE(Klantgegevens_B!G182, ",", ""))+1, Klantgegevens_A!G182)</f>
        <v>1</v>
      </c>
      <c r="G183">
        <f>IF(Klantgegevens_B!G182&lt;&gt;"", 0, Klantgegevens_A!H182)</f>
        <v>0</v>
      </c>
      <c r="H183">
        <f>IF(Klantgegevens_B!H182&lt;&gt;"", Klantgegevens_B!H182, Klantgegevens_A!I182)</f>
        <v>1</v>
      </c>
      <c r="I183" t="str">
        <f>IF(Klantgegevens_B!I182&lt;&gt;"", Klantgegevens_B!I182, SWITCH(Klantgegevens_A!J182, "Zelden", 1, "Af en toe", 4, "Regelmatig", 8, "Vaak", 12))</f>
        <v>Bancontact</v>
      </c>
      <c r="J183" t="str">
        <f>IF(Klantgegevens_B!J182&lt;&gt;"", Klantgegevens_B!J182, Klantgegevens_A!K182)</f>
        <v>ja</v>
      </c>
      <c r="K183">
        <f>IF(Klantgegevens_B!K182&lt;&gt;"", AVERAGE(--(Klantgegevens_B!K182="ja"), --(Klantgegevens_B!L182="ja"), --(Klantgegevens_B!M182="ja"), --(Klantgegevens_B!N182="ja"), --(Klantgegevens_B!O182="ja"))*10, Klantgegevens_A!L182)</f>
        <v>6</v>
      </c>
      <c r="L183" t="str">
        <f>IF(Klantgegevens_B!K182&lt;&gt;"", Klantgegevens_B!K182, IF(Klantgegevens_A!L182&gt;=7, "ja", "nee"))</f>
        <v>ja</v>
      </c>
      <c r="M183" t="str">
        <f>IF(Klantgegevens_B!L182&lt;&gt;"", Klantgegevens_B!L182, IF(Klantgegevens_A!L182&gt;=7, "ja", "nee"))</f>
        <v>nee</v>
      </c>
      <c r="N183" t="str">
        <f>IF(Klantgegevens_B!M182&lt;&gt;"", Klantgegevens_B!M182, IF(Klantgegevens_A!L182&gt;=7, "ja", "nee"))</f>
        <v>ja</v>
      </c>
      <c r="O183" t="str">
        <f>IF(Klantgegevens_B!N182&lt;&gt;"", Klantgegevens_B!N182, IF(Klantgegevens_A!L182&gt;=7, "ja", "nee"))</f>
        <v>ja</v>
      </c>
      <c r="P183" t="str">
        <f>IF(Klantgegevens_B!O182&lt;&gt;"", Klantgegevens_B!O182, IF(Klantgegevens_A!L182&gt;=7, "ja", "nee"))</f>
        <v>Vegetarisch</v>
      </c>
      <c r="Q183" t="str">
        <f>IF(Klantgegevens_B!P182&lt;&gt;"", Klantgegevens_B!P182, Klantgegevens_A!M182)</f>
        <v>Geen dieet</v>
      </c>
      <c r="R183" t="str">
        <f>IF(Klantgegevens_B!A182&lt;&gt;"", "B", "A")</f>
        <v>B</v>
      </c>
    </row>
    <row r="184" spans="1:18" x14ac:dyDescent="0.3">
      <c r="A184" t="str">
        <f>IF(Klantgegevens_B!A183&lt;&gt;"", Klantgegevens_B!A183, MID(Klantgegevens_A!A183, FIND(",", Klantgegevens_A!A183)+2, LEN(Klantgegevens_A!A183)))</f>
        <v>Hilde</v>
      </c>
      <c r="B184" t="str">
        <f>IF(Klantgegevens_B!B183&lt;&gt;"", Klantgegevens_B!B183, LEFT(Klantgegevens_A!A183, FIND(",", Klantgegevens_A!A183)-1))</f>
        <v>Bernard</v>
      </c>
      <c r="C184" t="str">
        <f t="shared" ca="1" si="2"/>
        <v/>
      </c>
      <c r="D184" t="str">
        <f>IF(Klantgegevens_B!F183&lt;&gt;"", Klantgegevens_B!F183, Klantgegevens_A!D183 &amp; " " &amp; Klantgegevens_A!E183 &amp; ", " &amp; Klantgegevens_A!F183)</f>
        <v>Hilde,Fanny,Sonja,Marie-Charlotte</v>
      </c>
      <c r="E184">
        <f>IF(Klantgegevens_B!G183&lt;&gt;"", Klantgegevens_B!G183, TEXTJOIN(",", TRUE, REPT("Volwassene,", Klantgegevens_A!G183), REPT("Kind,", Klantgegevens_A!H183)))</f>
        <v>178.7</v>
      </c>
      <c r="F184">
        <f>IF(Klantgegevens_B!G183&lt;&gt;"", LEN(Klantgegevens_B!G183)-LEN(SUBSTITUTE(Klantgegevens_B!G183, ",", ""))+1, Klantgegevens_A!G183)</f>
        <v>1</v>
      </c>
      <c r="G184">
        <f>IF(Klantgegevens_B!G183&lt;&gt;"", 0, Klantgegevens_A!H183)</f>
        <v>0</v>
      </c>
      <c r="H184">
        <f>IF(Klantgegevens_B!H183&lt;&gt;"", Klantgegevens_B!H183, Klantgegevens_A!I183)</f>
        <v>14</v>
      </c>
      <c r="I184" t="str">
        <f>IF(Klantgegevens_B!I183&lt;&gt;"", Klantgegevens_B!I183, SWITCH(Klantgegevens_A!J183, "Zelden", 1, "Af en toe", 4, "Regelmatig", 8, "Vaak", 12))</f>
        <v>Payconiq</v>
      </c>
      <c r="J184" t="str">
        <f>IF(Klantgegevens_B!J183&lt;&gt;"", Klantgegevens_B!J183, Klantgegevens_A!K183)</f>
        <v>ja</v>
      </c>
      <c r="K184">
        <f>IF(Klantgegevens_B!K183&lt;&gt;"", AVERAGE(--(Klantgegevens_B!K183="ja"), --(Klantgegevens_B!L183="ja"), --(Klantgegevens_B!M183="ja"), --(Klantgegevens_B!N183="ja"), --(Klantgegevens_B!O183="ja"))*10, Klantgegevens_A!L183)</f>
        <v>4</v>
      </c>
      <c r="L184" t="str">
        <f>IF(Klantgegevens_B!K183&lt;&gt;"", Klantgegevens_B!K183, IF(Klantgegevens_A!L183&gt;=7, "ja", "nee"))</f>
        <v>nee</v>
      </c>
      <c r="M184" t="str">
        <f>IF(Klantgegevens_B!L183&lt;&gt;"", Klantgegevens_B!L183, IF(Klantgegevens_A!L183&gt;=7, "ja", "nee"))</f>
        <v>nee</v>
      </c>
      <c r="N184" t="str">
        <f>IF(Klantgegevens_B!M183&lt;&gt;"", Klantgegevens_B!M183, IF(Klantgegevens_A!L183&gt;=7, "ja", "nee"))</f>
        <v>ja</v>
      </c>
      <c r="O184" t="str">
        <f>IF(Klantgegevens_B!N183&lt;&gt;"", Klantgegevens_B!N183, IF(Klantgegevens_A!L183&gt;=7, "ja", "nee"))</f>
        <v>ja</v>
      </c>
      <c r="P184" t="str">
        <f>IF(Klantgegevens_B!O183&lt;&gt;"", Klantgegevens_B!O183, IF(Klantgegevens_A!L183&gt;=7, "ja", "nee"))</f>
        <v>Geen dieet</v>
      </c>
      <c r="Q184" t="str">
        <f>IF(Klantgegevens_B!P183&lt;&gt;"", Klantgegevens_B!P183, Klantgegevens_A!M183)</f>
        <v>Geen dieet</v>
      </c>
      <c r="R184" t="str">
        <f>IF(Klantgegevens_B!A183&lt;&gt;"", "B", "A")</f>
        <v>B</v>
      </c>
    </row>
    <row r="185" spans="1:18" x14ac:dyDescent="0.3">
      <c r="A185" t="str">
        <f>IF(Klantgegevens_B!A184&lt;&gt;"", Klantgegevens_B!A184, MID(Klantgegevens_A!A184, FIND(",", Klantgegevens_A!A184)+2, LEN(Klantgegevens_A!A184)))</f>
        <v>Elisa</v>
      </c>
      <c r="B185" t="str">
        <f>IF(Klantgegevens_B!B184&lt;&gt;"", Klantgegevens_B!B184, LEFT(Klantgegevens_A!A184, FIND(",", Klantgegevens_A!A184)-1))</f>
        <v>Maertens</v>
      </c>
      <c r="C185" t="str">
        <f t="shared" ca="1" si="2"/>
        <v/>
      </c>
      <c r="D185" t="str">
        <f>IF(Klantgegevens_B!F184&lt;&gt;"", Klantgegevens_B!F184, Klantgegevens_A!D184 &amp; " " &amp; Klantgegevens_A!E184 &amp; ", " &amp; Klantgegevens_A!F184)</f>
        <v>Elisa,Isabelle</v>
      </c>
      <c r="E185">
        <f>IF(Klantgegevens_B!G184&lt;&gt;"", Klantgegevens_B!G184, TEXTJOIN(",", TRUE, REPT("Volwassene,", Klantgegevens_A!G184), REPT("Kind,", Klantgegevens_A!H184)))</f>
        <v>70.819999999999993</v>
      </c>
      <c r="F185">
        <f>IF(Klantgegevens_B!G184&lt;&gt;"", LEN(Klantgegevens_B!G184)-LEN(SUBSTITUTE(Klantgegevens_B!G184, ",", ""))+1, Klantgegevens_A!G184)</f>
        <v>1</v>
      </c>
      <c r="G185">
        <f>IF(Klantgegevens_B!G184&lt;&gt;"", 0, Klantgegevens_A!H184)</f>
        <v>0</v>
      </c>
      <c r="H185">
        <f>IF(Klantgegevens_B!H184&lt;&gt;"", Klantgegevens_B!H184, Klantgegevens_A!I184)</f>
        <v>8</v>
      </c>
      <c r="I185" t="str">
        <f>IF(Klantgegevens_B!I184&lt;&gt;"", Klantgegevens_B!I184, SWITCH(Klantgegevens_A!J184, "Zelden", 1, "Af en toe", 4, "Regelmatig", 8, "Vaak", 12))</f>
        <v>Bancontact</v>
      </c>
      <c r="J185" t="str">
        <f>IF(Klantgegevens_B!J184&lt;&gt;"", Klantgegevens_B!J184, Klantgegevens_A!K184)</f>
        <v>ja</v>
      </c>
      <c r="K185">
        <f>IF(Klantgegevens_B!K184&lt;&gt;"", AVERAGE(--(Klantgegevens_B!K184="ja"), --(Klantgegevens_B!L184="ja"), --(Klantgegevens_B!M184="ja"), --(Klantgegevens_B!N184="ja"), --(Klantgegevens_B!O184="ja"))*10, Klantgegevens_A!L184)</f>
        <v>6</v>
      </c>
      <c r="L185" t="str">
        <f>IF(Klantgegevens_B!K184&lt;&gt;"", Klantgegevens_B!K184, IF(Klantgegevens_A!L184&gt;=7, "ja", "nee"))</f>
        <v>ja</v>
      </c>
      <c r="M185" t="str">
        <f>IF(Klantgegevens_B!L184&lt;&gt;"", Klantgegevens_B!L184, IF(Klantgegevens_A!L184&gt;=7, "ja", "nee"))</f>
        <v>ja</v>
      </c>
      <c r="N185" t="str">
        <f>IF(Klantgegevens_B!M184&lt;&gt;"", Klantgegevens_B!M184, IF(Klantgegevens_A!L184&gt;=7, "ja", "nee"))</f>
        <v>nee</v>
      </c>
      <c r="O185" t="str">
        <f>IF(Klantgegevens_B!N184&lt;&gt;"", Klantgegevens_B!N184, IF(Klantgegevens_A!L184&gt;=7, "ja", "nee"))</f>
        <v>ja</v>
      </c>
      <c r="P185" t="str">
        <f>IF(Klantgegevens_B!O184&lt;&gt;"", Klantgegevens_B!O184, IF(Klantgegevens_A!L184&gt;=7, "ja", "nee"))</f>
        <v>Vegetarisch</v>
      </c>
      <c r="Q185" t="str">
        <f>IF(Klantgegevens_B!P184&lt;&gt;"", Klantgegevens_B!P184, Klantgegevens_A!M184)</f>
        <v>Geen dieet</v>
      </c>
      <c r="R185" t="str">
        <f>IF(Klantgegevens_B!A184&lt;&gt;"", "B", "A")</f>
        <v>B</v>
      </c>
    </row>
    <row r="186" spans="1:18" x14ac:dyDescent="0.3">
      <c r="A186" t="str">
        <f>IF(Klantgegevens_B!A185&lt;&gt;"", Klantgegevens_B!A185, MID(Klantgegevens_A!A185, FIND(",", Klantgegevens_A!A185)+2, LEN(Klantgegevens_A!A185)))</f>
        <v>Els</v>
      </c>
      <c r="B186" t="str">
        <f>IF(Klantgegevens_B!B185&lt;&gt;"", Klantgegevens_B!B185, LEFT(Klantgegevens_A!A185, FIND(",", Klantgegevens_A!A185)-1))</f>
        <v>Verbruggen</v>
      </c>
      <c r="C186" t="str">
        <f t="shared" ca="1" si="2"/>
        <v/>
      </c>
      <c r="D186" t="str">
        <f>IF(Klantgegevens_B!F185&lt;&gt;"", Klantgegevens_B!F185, Klantgegevens_A!D185 &amp; " " &amp; Klantgegevens_A!E185 &amp; ", " &amp; Klantgegevens_A!F185)</f>
        <v>Els,Ginka</v>
      </c>
      <c r="E186">
        <f>IF(Klantgegevens_B!G185&lt;&gt;"", Klantgegevens_B!G185, TEXTJOIN(",", TRUE, REPT("Volwassene,", Klantgegevens_A!G185), REPT("Kind,", Klantgegevens_A!H185)))</f>
        <v>122.99</v>
      </c>
      <c r="F186">
        <f>IF(Klantgegevens_B!G185&lt;&gt;"", LEN(Klantgegevens_B!G185)-LEN(SUBSTITUTE(Klantgegevens_B!G185, ",", ""))+1, Klantgegevens_A!G185)</f>
        <v>1</v>
      </c>
      <c r="G186">
        <f>IF(Klantgegevens_B!G185&lt;&gt;"", 0, Klantgegevens_A!H185)</f>
        <v>0</v>
      </c>
      <c r="H186">
        <f>IF(Klantgegevens_B!H185&lt;&gt;"", Klantgegevens_B!H185, Klantgegevens_A!I185)</f>
        <v>14</v>
      </c>
      <c r="I186" t="str">
        <f>IF(Klantgegevens_B!I185&lt;&gt;"", Klantgegevens_B!I185, SWITCH(Klantgegevens_A!J185, "Zelden", 1, "Af en toe", 4, "Regelmatig", 8, "Vaak", 12))</f>
        <v>Payconiq</v>
      </c>
      <c r="J186" t="str">
        <f>IF(Klantgegevens_B!J185&lt;&gt;"", Klantgegevens_B!J185, Klantgegevens_A!K185)</f>
        <v>ja</v>
      </c>
      <c r="K186">
        <f>IF(Klantgegevens_B!K185&lt;&gt;"", AVERAGE(--(Klantgegevens_B!K185="ja"), --(Klantgegevens_B!L185="ja"), --(Klantgegevens_B!M185="ja"), --(Klantgegevens_B!N185="ja"), --(Klantgegevens_B!O185="ja"))*10, Klantgegevens_A!L185)</f>
        <v>8</v>
      </c>
      <c r="L186" t="str">
        <f>IF(Klantgegevens_B!K185&lt;&gt;"", Klantgegevens_B!K185, IF(Klantgegevens_A!L185&gt;=7, "ja", "nee"))</f>
        <v>ja</v>
      </c>
      <c r="M186" t="str">
        <f>IF(Klantgegevens_B!L185&lt;&gt;"", Klantgegevens_B!L185, IF(Klantgegevens_A!L185&gt;=7, "ja", "nee"))</f>
        <v>ja</v>
      </c>
      <c r="N186" t="str">
        <f>IF(Klantgegevens_B!M185&lt;&gt;"", Klantgegevens_B!M185, IF(Klantgegevens_A!L185&gt;=7, "ja", "nee"))</f>
        <v>ja</v>
      </c>
      <c r="O186" t="str">
        <f>IF(Klantgegevens_B!N185&lt;&gt;"", Klantgegevens_B!N185, IF(Klantgegevens_A!L185&gt;=7, "ja", "nee"))</f>
        <v>ja</v>
      </c>
      <c r="P186" t="str">
        <f>IF(Klantgegevens_B!O185&lt;&gt;"", Klantgegevens_B!O185, IF(Klantgegevens_A!L185&gt;=7, "ja", "nee"))</f>
        <v>Vegetarisch</v>
      </c>
      <c r="Q186" t="str">
        <f>IF(Klantgegevens_B!P185&lt;&gt;"", Klantgegevens_B!P185, Klantgegevens_A!M185)</f>
        <v>Geen dieet</v>
      </c>
      <c r="R186" t="str">
        <f>IF(Klantgegevens_B!A185&lt;&gt;"", "B", "A")</f>
        <v>B</v>
      </c>
    </row>
    <row r="187" spans="1:18" x14ac:dyDescent="0.3">
      <c r="A187" t="str">
        <f>IF(Klantgegevens_B!A186&lt;&gt;"", Klantgegevens_B!A186, MID(Klantgegevens_A!A186, FIND(",", Klantgegevens_A!A186)+2, LEN(Klantgegevens_A!A186)))</f>
        <v>Stéphanie</v>
      </c>
      <c r="B187" t="str">
        <f>IF(Klantgegevens_B!B186&lt;&gt;"", Klantgegevens_B!B186, LEFT(Klantgegevens_A!A186, FIND(",", Klantgegevens_A!A186)-1))</f>
        <v>Devos</v>
      </c>
      <c r="C187" t="str">
        <f t="shared" ca="1" si="2"/>
        <v/>
      </c>
      <c r="D187" t="str">
        <f>IF(Klantgegevens_B!F186&lt;&gt;"", Klantgegevens_B!F186, Klantgegevens_A!D186 &amp; " " &amp; Klantgegevens_A!E186 &amp; ", " &amp; Klantgegevens_A!F186)</f>
        <v>Stéphanie</v>
      </c>
      <c r="E187">
        <f>IF(Klantgegevens_B!G186&lt;&gt;"", Klantgegevens_B!G186, TEXTJOIN(",", TRUE, REPT("Volwassene,", Klantgegevens_A!G186), REPT("Kind,", Klantgegevens_A!H186)))</f>
        <v>70.27</v>
      </c>
      <c r="F187">
        <f>IF(Klantgegevens_B!G186&lt;&gt;"", LEN(Klantgegevens_B!G186)-LEN(SUBSTITUTE(Klantgegevens_B!G186, ",", ""))+1, Klantgegevens_A!G186)</f>
        <v>1</v>
      </c>
      <c r="G187">
        <f>IF(Klantgegevens_B!G186&lt;&gt;"", 0, Klantgegevens_A!H186)</f>
        <v>0</v>
      </c>
      <c r="H187">
        <f>IF(Klantgegevens_B!H186&lt;&gt;"", Klantgegevens_B!H186, Klantgegevens_A!I186)</f>
        <v>17</v>
      </c>
      <c r="I187" t="str">
        <f>IF(Klantgegevens_B!I186&lt;&gt;"", Klantgegevens_B!I186, SWITCH(Klantgegevens_A!J186, "Zelden", 1, "Af en toe", 4, "Regelmatig", 8, "Vaak", 12))</f>
        <v>Cash</v>
      </c>
      <c r="J187" t="str">
        <f>IF(Klantgegevens_B!J186&lt;&gt;"", Klantgegevens_B!J186, Klantgegevens_A!K186)</f>
        <v>nee</v>
      </c>
      <c r="K187">
        <f>IF(Klantgegevens_B!K186&lt;&gt;"", AVERAGE(--(Klantgegevens_B!K186="ja"), --(Klantgegevens_B!L186="ja"), --(Klantgegevens_B!M186="ja"), --(Klantgegevens_B!N186="ja"), --(Klantgegevens_B!O186="ja"))*10, Klantgegevens_A!L186)</f>
        <v>4</v>
      </c>
      <c r="L187" t="str">
        <f>IF(Klantgegevens_B!K186&lt;&gt;"", Klantgegevens_B!K186, IF(Klantgegevens_A!L186&gt;=7, "ja", "nee"))</f>
        <v>nee</v>
      </c>
      <c r="M187" t="str">
        <f>IF(Klantgegevens_B!L186&lt;&gt;"", Klantgegevens_B!L186, IF(Klantgegevens_A!L186&gt;=7, "ja", "nee"))</f>
        <v>nee</v>
      </c>
      <c r="N187" t="str">
        <f>IF(Klantgegevens_B!M186&lt;&gt;"", Klantgegevens_B!M186, IF(Klantgegevens_A!L186&gt;=7, "ja", "nee"))</f>
        <v>ja</v>
      </c>
      <c r="O187" t="str">
        <f>IF(Klantgegevens_B!N186&lt;&gt;"", Klantgegevens_B!N186, IF(Klantgegevens_A!L186&gt;=7, "ja", "nee"))</f>
        <v>ja</v>
      </c>
      <c r="P187" t="str">
        <f>IF(Klantgegevens_B!O186&lt;&gt;"", Klantgegevens_B!O186, IF(Klantgegevens_A!L186&gt;=7, "ja", "nee"))</f>
        <v>Geen dieet</v>
      </c>
      <c r="Q187" t="str">
        <f>IF(Klantgegevens_B!P186&lt;&gt;"", Klantgegevens_B!P186, Klantgegevens_A!M186)</f>
        <v>Geen dieet</v>
      </c>
      <c r="R187" t="str">
        <f>IF(Klantgegevens_B!A186&lt;&gt;"", "B", "A")</f>
        <v>B</v>
      </c>
    </row>
    <row r="188" spans="1:18" x14ac:dyDescent="0.3">
      <c r="A188" t="str">
        <f>IF(Klantgegevens_B!A187&lt;&gt;"", Klantgegevens_B!A187, MID(Klantgegevens_A!A187, FIND(",", Klantgegevens_A!A187)+2, LEN(Klantgegevens_A!A187)))</f>
        <v>Kris</v>
      </c>
      <c r="B188" t="str">
        <f>IF(Klantgegevens_B!B187&lt;&gt;"", Klantgegevens_B!B187, LEFT(Klantgegevens_A!A187, FIND(",", Klantgegevens_A!A187)-1))</f>
        <v>De smet</v>
      </c>
      <c r="C188" t="str">
        <f t="shared" ca="1" si="2"/>
        <v/>
      </c>
      <c r="D188" t="str">
        <f>IF(Klantgegevens_B!F187&lt;&gt;"", Klantgegevens_B!F187, Klantgegevens_A!D187 &amp; " " &amp; Klantgegevens_A!E187 &amp; ", " &amp; Klantgegevens_A!F187)</f>
        <v>Kris,Lieve,Hajar,Muhsine,Merlin</v>
      </c>
      <c r="E188">
        <f>IF(Klantgegevens_B!G187&lt;&gt;"", Klantgegevens_B!G187, TEXTJOIN(",", TRUE, REPT("Volwassene,", Klantgegevens_A!G187), REPT("Kind,", Klantgegevens_A!H187)))</f>
        <v>210.98</v>
      </c>
      <c r="F188">
        <f>IF(Klantgegevens_B!G187&lt;&gt;"", LEN(Klantgegevens_B!G187)-LEN(SUBSTITUTE(Klantgegevens_B!G187, ",", ""))+1, Klantgegevens_A!G187)</f>
        <v>1</v>
      </c>
      <c r="G188">
        <f>IF(Klantgegevens_B!G187&lt;&gt;"", 0, Klantgegevens_A!H187)</f>
        <v>0</v>
      </c>
      <c r="H188">
        <f>IF(Klantgegevens_B!H187&lt;&gt;"", Klantgegevens_B!H187, Klantgegevens_A!I187)</f>
        <v>25</v>
      </c>
      <c r="I188" t="str">
        <f>IF(Klantgegevens_B!I187&lt;&gt;"", Klantgegevens_B!I187, SWITCH(Klantgegevens_A!J187, "Zelden", 1, "Af en toe", 4, "Regelmatig", 8, "Vaak", 12))</f>
        <v>Payconiq</v>
      </c>
      <c r="J188" t="str">
        <f>IF(Klantgegevens_B!J187&lt;&gt;"", Klantgegevens_B!J187, Klantgegevens_A!K187)</f>
        <v>ja</v>
      </c>
      <c r="K188">
        <f>IF(Klantgegevens_B!K187&lt;&gt;"", AVERAGE(--(Klantgegevens_B!K187="ja"), --(Klantgegevens_B!L187="ja"), --(Klantgegevens_B!M187="ja"), --(Klantgegevens_B!N187="ja"), --(Klantgegevens_B!O187="ja"))*10, Klantgegevens_A!L187)</f>
        <v>8</v>
      </c>
      <c r="L188" t="str">
        <f>IF(Klantgegevens_B!K187&lt;&gt;"", Klantgegevens_B!K187, IF(Klantgegevens_A!L187&gt;=7, "ja", "nee"))</f>
        <v>ja</v>
      </c>
      <c r="M188" t="str">
        <f>IF(Klantgegevens_B!L187&lt;&gt;"", Klantgegevens_B!L187, IF(Klantgegevens_A!L187&gt;=7, "ja", "nee"))</f>
        <v>ja</v>
      </c>
      <c r="N188" t="str">
        <f>IF(Klantgegevens_B!M187&lt;&gt;"", Klantgegevens_B!M187, IF(Klantgegevens_A!L187&gt;=7, "ja", "nee"))</f>
        <v>ja</v>
      </c>
      <c r="O188" t="str">
        <f>IF(Klantgegevens_B!N187&lt;&gt;"", Klantgegevens_B!N187, IF(Klantgegevens_A!L187&gt;=7, "ja", "nee"))</f>
        <v>ja</v>
      </c>
      <c r="P188" t="str">
        <f>IF(Klantgegevens_B!O187&lt;&gt;"", Klantgegevens_B!O187, IF(Klantgegevens_A!L187&gt;=7, "ja", "nee"))</f>
        <v>Vegetarisch</v>
      </c>
      <c r="Q188" t="str">
        <f>IF(Klantgegevens_B!P187&lt;&gt;"", Klantgegevens_B!P187, Klantgegevens_A!M187)</f>
        <v>Vegetarisch</v>
      </c>
      <c r="R188" t="str">
        <f>IF(Klantgegevens_B!A187&lt;&gt;"", "B", "A")</f>
        <v>B</v>
      </c>
    </row>
    <row r="189" spans="1:18" x14ac:dyDescent="0.3">
      <c r="A189" t="str">
        <f>IF(Klantgegevens_B!A188&lt;&gt;"", Klantgegevens_B!A188, MID(Klantgegevens_A!A188, FIND(",", Klantgegevens_A!A188)+2, LEN(Klantgegevens_A!A188)))</f>
        <v>Evelien</v>
      </c>
      <c r="B189" t="str">
        <f>IF(Klantgegevens_B!B188&lt;&gt;"", Klantgegevens_B!B188, LEFT(Klantgegevens_A!A188, FIND(",", Klantgegevens_A!A188)-1))</f>
        <v>Peeters</v>
      </c>
      <c r="C189" t="str">
        <f t="shared" ca="1" si="2"/>
        <v/>
      </c>
      <c r="D189" t="str">
        <f>IF(Klantgegevens_B!F188&lt;&gt;"", Klantgegevens_B!F188, Klantgegevens_A!D188 &amp; " " &amp; Klantgegevens_A!E188 &amp; ", " &amp; Klantgegevens_A!F188)</f>
        <v>Evelien,Carine,Mohamed,José,William</v>
      </c>
      <c r="E189">
        <f>IF(Klantgegevens_B!G188&lt;&gt;"", Klantgegevens_B!G188, TEXTJOIN(",", TRUE, REPT("Volwassene,", Klantgegevens_A!G188), REPT("Kind,", Klantgegevens_A!H188)))</f>
        <v>195.01</v>
      </c>
      <c r="F189">
        <f>IF(Klantgegevens_B!G188&lt;&gt;"", LEN(Klantgegevens_B!G188)-LEN(SUBSTITUTE(Klantgegevens_B!G188, ",", ""))+1, Klantgegevens_A!G188)</f>
        <v>1</v>
      </c>
      <c r="G189">
        <f>IF(Klantgegevens_B!G188&lt;&gt;"", 0, Klantgegevens_A!H188)</f>
        <v>0</v>
      </c>
      <c r="H189">
        <f>IF(Klantgegevens_B!H188&lt;&gt;"", Klantgegevens_B!H188, Klantgegevens_A!I188)</f>
        <v>1</v>
      </c>
      <c r="I189" t="str">
        <f>IF(Klantgegevens_B!I188&lt;&gt;"", Klantgegevens_B!I188, SWITCH(Klantgegevens_A!J188, "Zelden", 1, "Af en toe", 4, "Regelmatig", 8, "Vaak", 12))</f>
        <v>Payconiq</v>
      </c>
      <c r="J189" t="str">
        <f>IF(Klantgegevens_B!J188&lt;&gt;"", Klantgegevens_B!J188, Klantgegevens_A!K188)</f>
        <v>nee</v>
      </c>
      <c r="K189">
        <f>IF(Klantgegevens_B!K188&lt;&gt;"", AVERAGE(--(Klantgegevens_B!K188="ja"), --(Klantgegevens_B!L188="ja"), --(Klantgegevens_B!M188="ja"), --(Klantgegevens_B!N188="ja"), --(Klantgegevens_B!O188="ja"))*10, Klantgegevens_A!L188)</f>
        <v>8</v>
      </c>
      <c r="L189" t="str">
        <f>IF(Klantgegevens_B!K188&lt;&gt;"", Klantgegevens_B!K188, IF(Klantgegevens_A!L188&gt;=7, "ja", "nee"))</f>
        <v>ja</v>
      </c>
      <c r="M189" t="str">
        <f>IF(Klantgegevens_B!L188&lt;&gt;"", Klantgegevens_B!L188, IF(Klantgegevens_A!L188&gt;=7, "ja", "nee"))</f>
        <v>ja</v>
      </c>
      <c r="N189" t="str">
        <f>IF(Klantgegevens_B!M188&lt;&gt;"", Klantgegevens_B!M188, IF(Klantgegevens_A!L188&gt;=7, "ja", "nee"))</f>
        <v>ja</v>
      </c>
      <c r="O189" t="str">
        <f>IF(Klantgegevens_B!N188&lt;&gt;"", Klantgegevens_B!N188, IF(Klantgegevens_A!L188&gt;=7, "ja", "nee"))</f>
        <v>ja</v>
      </c>
      <c r="P189" t="str">
        <f>IF(Klantgegevens_B!O188&lt;&gt;"", Klantgegevens_B!O188, IF(Klantgegevens_A!L188&gt;=7, "ja", "nee"))</f>
        <v>Geen dieet</v>
      </c>
      <c r="Q189" t="str">
        <f>IF(Klantgegevens_B!P188&lt;&gt;"", Klantgegevens_B!P188, Klantgegevens_A!M188)</f>
        <v>Geen dieet</v>
      </c>
      <c r="R189" t="str">
        <f>IF(Klantgegevens_B!A188&lt;&gt;"", "B", "A")</f>
        <v>B</v>
      </c>
    </row>
    <row r="190" spans="1:18" x14ac:dyDescent="0.3">
      <c r="A190" t="str">
        <f>IF(Klantgegevens_B!A189&lt;&gt;"", Klantgegevens_B!A189, MID(Klantgegevens_A!A189, FIND(",", Klantgegevens_A!A189)+2, LEN(Klantgegevens_A!A189)))</f>
        <v>Koen</v>
      </c>
      <c r="B190" t="str">
        <f>IF(Klantgegevens_B!B189&lt;&gt;"", Klantgegevens_B!B189, LEFT(Klantgegevens_A!A189, FIND(",", Klantgegevens_A!A189)-1))</f>
        <v>Fernandez</v>
      </c>
      <c r="C190" t="str">
        <f t="shared" ca="1" si="2"/>
        <v/>
      </c>
      <c r="D190" t="str">
        <f>IF(Klantgegevens_B!F189&lt;&gt;"", Klantgegevens_B!F189, Klantgegevens_A!D189 &amp; " " &amp; Klantgegevens_A!E189 &amp; ", " &amp; Klantgegevens_A!F189)</f>
        <v>Koen,Ghislaine,Jonny,Karen</v>
      </c>
      <c r="E190">
        <f>IF(Klantgegevens_B!G189&lt;&gt;"", Klantgegevens_B!G189, TEXTJOIN(",", TRUE, REPT("Volwassene,", Klantgegevens_A!G189), REPT("Kind,", Klantgegevens_A!H189)))</f>
        <v>257.49</v>
      </c>
      <c r="F190">
        <f>IF(Klantgegevens_B!G189&lt;&gt;"", LEN(Klantgegevens_B!G189)-LEN(SUBSTITUTE(Klantgegevens_B!G189, ",", ""))+1, Klantgegevens_A!G189)</f>
        <v>1</v>
      </c>
      <c r="G190">
        <f>IF(Klantgegevens_B!G189&lt;&gt;"", 0, Klantgegevens_A!H189)</f>
        <v>0</v>
      </c>
      <c r="H190">
        <f>IF(Klantgegevens_B!H189&lt;&gt;"", Klantgegevens_B!H189, Klantgegevens_A!I189)</f>
        <v>1</v>
      </c>
      <c r="I190" t="str">
        <f>IF(Klantgegevens_B!I189&lt;&gt;"", Klantgegevens_B!I189, SWITCH(Klantgegevens_A!J189, "Zelden", 1, "Af en toe", 4, "Regelmatig", 8, "Vaak", 12))</f>
        <v>Payconiq</v>
      </c>
      <c r="J190" t="str">
        <f>IF(Klantgegevens_B!J189&lt;&gt;"", Klantgegevens_B!J189, Klantgegevens_A!K189)</f>
        <v>nee</v>
      </c>
      <c r="K190">
        <f>IF(Klantgegevens_B!K189&lt;&gt;"", AVERAGE(--(Klantgegevens_B!K189="ja"), --(Klantgegevens_B!L189="ja"), --(Klantgegevens_B!M189="ja"), --(Klantgegevens_B!N189="ja"), --(Klantgegevens_B!O189="ja"))*10, Klantgegevens_A!L189)</f>
        <v>6</v>
      </c>
      <c r="L190" t="str">
        <f>IF(Klantgegevens_B!K189&lt;&gt;"", Klantgegevens_B!K189, IF(Klantgegevens_A!L189&gt;=7, "ja", "nee"))</f>
        <v>nee</v>
      </c>
      <c r="M190" t="str">
        <f>IF(Klantgegevens_B!L189&lt;&gt;"", Klantgegevens_B!L189, IF(Klantgegevens_A!L189&gt;=7, "ja", "nee"))</f>
        <v>ja</v>
      </c>
      <c r="N190" t="str">
        <f>IF(Klantgegevens_B!M189&lt;&gt;"", Klantgegevens_B!M189, IF(Klantgegevens_A!L189&gt;=7, "ja", "nee"))</f>
        <v>ja</v>
      </c>
      <c r="O190" t="str">
        <f>IF(Klantgegevens_B!N189&lt;&gt;"", Klantgegevens_B!N189, IF(Klantgegevens_A!L189&gt;=7, "ja", "nee"))</f>
        <v>ja</v>
      </c>
      <c r="P190" t="str">
        <f>IF(Klantgegevens_B!O189&lt;&gt;"", Klantgegevens_B!O189, IF(Klantgegevens_A!L189&gt;=7, "ja", "nee"))</f>
        <v>Vegetarisch</v>
      </c>
      <c r="Q190" t="str">
        <f>IF(Klantgegevens_B!P189&lt;&gt;"", Klantgegevens_B!P189, Klantgegevens_A!M189)</f>
        <v>Geen dieet</v>
      </c>
      <c r="R190" t="str">
        <f>IF(Klantgegevens_B!A189&lt;&gt;"", "B", "A")</f>
        <v>B</v>
      </c>
    </row>
    <row r="191" spans="1:18" x14ac:dyDescent="0.3">
      <c r="A191" t="str">
        <f>IF(Klantgegevens_B!A190&lt;&gt;"", Klantgegevens_B!A190, MID(Klantgegevens_A!A190, FIND(",", Klantgegevens_A!A190)+2, LEN(Klantgegevens_A!A190)))</f>
        <v>Kristof</v>
      </c>
      <c r="B191" t="str">
        <f>IF(Klantgegevens_B!B190&lt;&gt;"", Klantgegevens_B!B190, LEFT(Klantgegevens_A!A190, FIND(",", Klantgegevens_A!A190)-1))</f>
        <v>Verbruggen</v>
      </c>
      <c r="C191" t="str">
        <f t="shared" ca="1" si="2"/>
        <v/>
      </c>
      <c r="D191" t="str">
        <f>IF(Klantgegevens_B!F190&lt;&gt;"", Klantgegevens_B!F190, Klantgegevens_A!D190 &amp; " " &amp; Klantgegevens_A!E190 &amp; ", " &amp; Klantgegevens_A!F190)</f>
        <v>Kristof,Nicole,Bart,Célia</v>
      </c>
      <c r="E191">
        <f>IF(Klantgegevens_B!G190&lt;&gt;"", Klantgegevens_B!G190, TEXTJOIN(",", TRUE, REPT("Volwassene,", Klantgegevens_A!G190), REPT("Kind,", Klantgegevens_A!H190)))</f>
        <v>109.57</v>
      </c>
      <c r="F191">
        <f>IF(Klantgegevens_B!G190&lt;&gt;"", LEN(Klantgegevens_B!G190)-LEN(SUBSTITUTE(Klantgegevens_B!G190, ",", ""))+1, Klantgegevens_A!G190)</f>
        <v>1</v>
      </c>
      <c r="G191">
        <f>IF(Klantgegevens_B!G190&lt;&gt;"", 0, Klantgegevens_A!H190)</f>
        <v>0</v>
      </c>
      <c r="H191">
        <f>IF(Klantgegevens_B!H190&lt;&gt;"", Klantgegevens_B!H190, Klantgegevens_A!I190)</f>
        <v>24</v>
      </c>
      <c r="I191" t="str">
        <f>IF(Klantgegevens_B!I190&lt;&gt;"", Klantgegevens_B!I190, SWITCH(Klantgegevens_A!J190, "Zelden", 1, "Af en toe", 4, "Regelmatig", 8, "Vaak", 12))</f>
        <v>Payconiq</v>
      </c>
      <c r="J191" t="str">
        <f>IF(Klantgegevens_B!J190&lt;&gt;"", Klantgegevens_B!J190, Klantgegevens_A!K190)</f>
        <v>nee</v>
      </c>
      <c r="K191">
        <f>IF(Klantgegevens_B!K190&lt;&gt;"", AVERAGE(--(Klantgegevens_B!K190="ja"), --(Klantgegevens_B!L190="ja"), --(Klantgegevens_B!M190="ja"), --(Klantgegevens_B!N190="ja"), --(Klantgegevens_B!O190="ja"))*10, Klantgegevens_A!L190)</f>
        <v>8</v>
      </c>
      <c r="L191" t="str">
        <f>IF(Klantgegevens_B!K190&lt;&gt;"", Klantgegevens_B!K190, IF(Klantgegevens_A!L190&gt;=7, "ja", "nee"))</f>
        <v>ja</v>
      </c>
      <c r="M191" t="str">
        <f>IF(Klantgegevens_B!L190&lt;&gt;"", Klantgegevens_B!L190, IF(Klantgegevens_A!L190&gt;=7, "ja", "nee"))</f>
        <v>ja</v>
      </c>
      <c r="N191" t="str">
        <f>IF(Klantgegevens_B!M190&lt;&gt;"", Klantgegevens_B!M190, IF(Klantgegevens_A!L190&gt;=7, "ja", "nee"))</f>
        <v>ja</v>
      </c>
      <c r="O191" t="str">
        <f>IF(Klantgegevens_B!N190&lt;&gt;"", Klantgegevens_B!N190, IF(Klantgegevens_A!L190&gt;=7, "ja", "nee"))</f>
        <v>ja</v>
      </c>
      <c r="P191" t="str">
        <f>IF(Klantgegevens_B!O190&lt;&gt;"", Klantgegevens_B!O190, IF(Klantgegevens_A!L190&gt;=7, "ja", "nee"))</f>
        <v>Geen dieet</v>
      </c>
      <c r="Q191" t="str">
        <f>IF(Klantgegevens_B!P190&lt;&gt;"", Klantgegevens_B!P190, Klantgegevens_A!M190)</f>
        <v>Geen dieet</v>
      </c>
      <c r="R191" t="str">
        <f>IF(Klantgegevens_B!A190&lt;&gt;"", "B", "A")</f>
        <v>B</v>
      </c>
    </row>
    <row r="192" spans="1:18" x14ac:dyDescent="0.3">
      <c r="A192" t="str">
        <f>IF(Klantgegevens_B!A191&lt;&gt;"", Klantgegevens_B!A191, MID(Klantgegevens_A!A191, FIND(",", Klantgegevens_A!A191)+2, LEN(Klantgegevens_A!A191)))</f>
        <v>Denise</v>
      </c>
      <c r="B192" t="str">
        <f>IF(Klantgegevens_B!B191&lt;&gt;"", Klantgegevens_B!B191, LEFT(Klantgegevens_A!A191, FIND(",", Klantgegevens_A!A191)-1))</f>
        <v>Merckx</v>
      </c>
      <c r="C192" t="str">
        <f t="shared" ca="1" si="2"/>
        <v/>
      </c>
      <c r="D192" t="str">
        <f>IF(Klantgegevens_B!F191&lt;&gt;"", Klantgegevens_B!F191, Klantgegevens_A!D191 &amp; " " &amp; Klantgegevens_A!E191 &amp; ", " &amp; Klantgegevens_A!F191)</f>
        <v>Denise,Isaline,Liliane,Luc</v>
      </c>
      <c r="E192">
        <f>IF(Klantgegevens_B!G191&lt;&gt;"", Klantgegevens_B!G191, TEXTJOIN(",", TRUE, REPT("Volwassene,", Klantgegevens_A!G191), REPT("Kind,", Klantgegevens_A!H191)))</f>
        <v>76.239999999999995</v>
      </c>
      <c r="F192">
        <f>IF(Klantgegevens_B!G191&lt;&gt;"", LEN(Klantgegevens_B!G191)-LEN(SUBSTITUTE(Klantgegevens_B!G191, ",", ""))+1, Klantgegevens_A!G191)</f>
        <v>1</v>
      </c>
      <c r="G192">
        <f>IF(Klantgegevens_B!G191&lt;&gt;"", 0, Klantgegevens_A!H191)</f>
        <v>0</v>
      </c>
      <c r="H192">
        <f>IF(Klantgegevens_B!H191&lt;&gt;"", Klantgegevens_B!H191, Klantgegevens_A!I191)</f>
        <v>7</v>
      </c>
      <c r="I192" t="str">
        <f>IF(Klantgegevens_B!I191&lt;&gt;"", Klantgegevens_B!I191, SWITCH(Klantgegevens_A!J191, "Zelden", 1, "Af en toe", 4, "Regelmatig", 8, "Vaak", 12))</f>
        <v>Cash</v>
      </c>
      <c r="J192" t="str">
        <f>IF(Klantgegevens_B!J191&lt;&gt;"", Klantgegevens_B!J191, Klantgegevens_A!K191)</f>
        <v>ja</v>
      </c>
      <c r="K192">
        <f>IF(Klantgegevens_B!K191&lt;&gt;"", AVERAGE(--(Klantgegevens_B!K191="ja"), --(Klantgegevens_B!L191="ja"), --(Klantgegevens_B!M191="ja"), --(Klantgegevens_B!N191="ja"), --(Klantgegevens_B!O191="ja"))*10, Klantgegevens_A!L191)</f>
        <v>8</v>
      </c>
      <c r="L192" t="str">
        <f>IF(Klantgegevens_B!K191&lt;&gt;"", Klantgegevens_B!K191, IF(Klantgegevens_A!L191&gt;=7, "ja", "nee"))</f>
        <v>ja</v>
      </c>
      <c r="M192" t="str">
        <f>IF(Klantgegevens_B!L191&lt;&gt;"", Klantgegevens_B!L191, IF(Klantgegevens_A!L191&gt;=7, "ja", "nee"))</f>
        <v>ja</v>
      </c>
      <c r="N192" t="str">
        <f>IF(Klantgegevens_B!M191&lt;&gt;"", Klantgegevens_B!M191, IF(Klantgegevens_A!L191&gt;=7, "ja", "nee"))</f>
        <v>ja</v>
      </c>
      <c r="O192" t="str">
        <f>IF(Klantgegevens_B!N191&lt;&gt;"", Klantgegevens_B!N191, IF(Klantgegevens_A!L191&gt;=7, "ja", "nee"))</f>
        <v>ja</v>
      </c>
      <c r="P192" t="str">
        <f>IF(Klantgegevens_B!O191&lt;&gt;"", Klantgegevens_B!O191, IF(Klantgegevens_A!L191&gt;=7, "ja", "nee"))</f>
        <v>Geen dieet</v>
      </c>
      <c r="Q192" t="str">
        <f>IF(Klantgegevens_B!P191&lt;&gt;"", Klantgegevens_B!P191, Klantgegevens_A!M191)</f>
        <v>Geen dieet</v>
      </c>
      <c r="R192" t="str">
        <f>IF(Klantgegevens_B!A191&lt;&gt;"", "B", "A")</f>
        <v>B</v>
      </c>
    </row>
    <row r="193" spans="1:18" x14ac:dyDescent="0.3">
      <c r="A193" t="str">
        <f>IF(Klantgegevens_B!A192&lt;&gt;"", Klantgegevens_B!A192, MID(Klantgegevens_A!A192, FIND(",", Klantgegevens_A!A192)+2, LEN(Klantgegevens_A!A192)))</f>
        <v>Rosalia</v>
      </c>
      <c r="B193" t="str">
        <f>IF(Klantgegevens_B!B192&lt;&gt;"", Klantgegevens_B!B192, LEFT(Klantgegevens_A!A192, FIND(",", Klantgegevens_A!A192)-1))</f>
        <v>Cuypers</v>
      </c>
      <c r="C193" t="str">
        <f t="shared" ca="1" si="2"/>
        <v/>
      </c>
      <c r="D193" t="str">
        <f>IF(Klantgegevens_B!F192&lt;&gt;"", Klantgegevens_B!F192, Klantgegevens_A!D192 &amp; " " &amp; Klantgegevens_A!E192 &amp; ", " &amp; Klantgegevens_A!F192)</f>
        <v>Rosalia</v>
      </c>
      <c r="E193">
        <f>IF(Klantgegevens_B!G192&lt;&gt;"", Klantgegevens_B!G192, TEXTJOIN(",", TRUE, REPT("Volwassene,", Klantgegevens_A!G192), REPT("Kind,", Klantgegevens_A!H192)))</f>
        <v>95.43</v>
      </c>
      <c r="F193">
        <f>IF(Klantgegevens_B!G192&lt;&gt;"", LEN(Klantgegevens_B!G192)-LEN(SUBSTITUTE(Klantgegevens_B!G192, ",", ""))+1, Klantgegevens_A!G192)</f>
        <v>1</v>
      </c>
      <c r="G193">
        <f>IF(Klantgegevens_B!G192&lt;&gt;"", 0, Klantgegevens_A!H192)</f>
        <v>0</v>
      </c>
      <c r="H193">
        <f>IF(Klantgegevens_B!H192&lt;&gt;"", Klantgegevens_B!H192, Klantgegevens_A!I192)</f>
        <v>6</v>
      </c>
      <c r="I193" t="str">
        <f>IF(Klantgegevens_B!I192&lt;&gt;"", Klantgegevens_B!I192, SWITCH(Klantgegevens_A!J192, "Zelden", 1, "Af en toe", 4, "Regelmatig", 8, "Vaak", 12))</f>
        <v>Payconiq</v>
      </c>
      <c r="J193" t="str">
        <f>IF(Klantgegevens_B!J192&lt;&gt;"", Klantgegevens_B!J192, Klantgegevens_A!K192)</f>
        <v>ja</v>
      </c>
      <c r="K193">
        <f>IF(Klantgegevens_B!K192&lt;&gt;"", AVERAGE(--(Klantgegevens_B!K192="ja"), --(Klantgegevens_B!L192="ja"), --(Klantgegevens_B!M192="ja"), --(Klantgegevens_B!N192="ja"), --(Klantgegevens_B!O192="ja"))*10, Klantgegevens_A!L192)</f>
        <v>2</v>
      </c>
      <c r="L193" t="str">
        <f>IF(Klantgegevens_B!K192&lt;&gt;"", Klantgegevens_B!K192, IF(Klantgegevens_A!L192&gt;=7, "ja", "nee"))</f>
        <v>nee</v>
      </c>
      <c r="M193" t="str">
        <f>IF(Klantgegevens_B!L192&lt;&gt;"", Klantgegevens_B!L192, IF(Klantgegevens_A!L192&gt;=7, "ja", "nee"))</f>
        <v>nee</v>
      </c>
      <c r="N193" t="str">
        <f>IF(Klantgegevens_B!M192&lt;&gt;"", Klantgegevens_B!M192, IF(Klantgegevens_A!L192&gt;=7, "ja", "nee"))</f>
        <v>ja</v>
      </c>
      <c r="O193" t="str">
        <f>IF(Klantgegevens_B!N192&lt;&gt;"", Klantgegevens_B!N192, IF(Klantgegevens_A!L192&gt;=7, "ja", "nee"))</f>
        <v>nee</v>
      </c>
      <c r="P193" t="str">
        <f>IF(Klantgegevens_B!O192&lt;&gt;"", Klantgegevens_B!O192, IF(Klantgegevens_A!L192&gt;=7, "ja", "nee"))</f>
        <v>Vegetarisch</v>
      </c>
      <c r="Q193" t="str">
        <f>IF(Klantgegevens_B!P192&lt;&gt;"", Klantgegevens_B!P192, Klantgegevens_A!M192)</f>
        <v>Geen dieet</v>
      </c>
      <c r="R193" t="str">
        <f>IF(Klantgegevens_B!A192&lt;&gt;"", "B", "A")</f>
        <v>B</v>
      </c>
    </row>
    <row r="194" spans="1:18" x14ac:dyDescent="0.3">
      <c r="A194" t="str">
        <f>IF(Klantgegevens_B!A193&lt;&gt;"", Klantgegevens_B!A193, MID(Klantgegevens_A!A193, FIND(",", Klantgegevens_A!A193)+2, LEN(Klantgegevens_A!A193)))</f>
        <v>Jérôme</v>
      </c>
      <c r="B194" t="str">
        <f>IF(Klantgegevens_B!B193&lt;&gt;"", Klantgegevens_B!B193, LEFT(Klantgegevens_A!A193, FIND(",", Klantgegevens_A!A193)-1))</f>
        <v>Lambert</v>
      </c>
      <c r="C194" t="str">
        <f t="shared" ca="1" si="2"/>
        <v/>
      </c>
      <c r="D194" t="str">
        <f>IF(Klantgegevens_B!F193&lt;&gt;"", Klantgegevens_B!F193, Klantgegevens_A!D193 &amp; " " &amp; Klantgegevens_A!E193 &amp; ", " &amp; Klantgegevens_A!F193)</f>
        <v>Jérôme,Cécile,Agathe,Margaretha</v>
      </c>
      <c r="E194">
        <f>IF(Klantgegevens_B!G193&lt;&gt;"", Klantgegevens_B!G193, TEXTJOIN(",", TRUE, REPT("Volwassene,", Klantgegevens_A!G193), REPT("Kind,", Klantgegevens_A!H193)))</f>
        <v>87.87</v>
      </c>
      <c r="F194">
        <f>IF(Klantgegevens_B!G193&lt;&gt;"", LEN(Klantgegevens_B!G193)-LEN(SUBSTITUTE(Klantgegevens_B!G193, ",", ""))+1, Klantgegevens_A!G193)</f>
        <v>1</v>
      </c>
      <c r="G194">
        <f>IF(Klantgegevens_B!G193&lt;&gt;"", 0, Klantgegevens_A!H193)</f>
        <v>0</v>
      </c>
      <c r="H194">
        <f>IF(Klantgegevens_B!H193&lt;&gt;"", Klantgegevens_B!H193, Klantgegevens_A!I193)</f>
        <v>3</v>
      </c>
      <c r="I194" t="str">
        <f>IF(Klantgegevens_B!I193&lt;&gt;"", Klantgegevens_B!I193, SWITCH(Klantgegevens_A!J193, "Zelden", 1, "Af en toe", 4, "Regelmatig", 8, "Vaak", 12))</f>
        <v>Bancontact</v>
      </c>
      <c r="J194" t="str">
        <f>IF(Klantgegevens_B!J193&lt;&gt;"", Klantgegevens_B!J193, Klantgegevens_A!K193)</f>
        <v>ja</v>
      </c>
      <c r="K194">
        <f>IF(Klantgegevens_B!K193&lt;&gt;"", AVERAGE(--(Klantgegevens_B!K193="ja"), --(Klantgegevens_B!L193="ja"), --(Klantgegevens_B!M193="ja"), --(Klantgegevens_B!N193="ja"), --(Klantgegevens_B!O193="ja"))*10, Klantgegevens_A!L193)</f>
        <v>8</v>
      </c>
      <c r="L194" t="str">
        <f>IF(Klantgegevens_B!K193&lt;&gt;"", Klantgegevens_B!K193, IF(Klantgegevens_A!L193&gt;=7, "ja", "nee"))</f>
        <v>ja</v>
      </c>
      <c r="M194" t="str">
        <f>IF(Klantgegevens_B!L193&lt;&gt;"", Klantgegevens_B!L193, IF(Klantgegevens_A!L193&gt;=7, "ja", "nee"))</f>
        <v>ja</v>
      </c>
      <c r="N194" t="str">
        <f>IF(Klantgegevens_B!M193&lt;&gt;"", Klantgegevens_B!M193, IF(Klantgegevens_A!L193&gt;=7, "ja", "nee"))</f>
        <v>ja</v>
      </c>
      <c r="O194" t="str">
        <f>IF(Klantgegevens_B!N193&lt;&gt;"", Klantgegevens_B!N193, IF(Klantgegevens_A!L193&gt;=7, "ja", "nee"))</f>
        <v>ja</v>
      </c>
      <c r="P194" t="str">
        <f>IF(Klantgegevens_B!O193&lt;&gt;"", Klantgegevens_B!O193, IF(Klantgegevens_A!L193&gt;=7, "ja", "nee"))</f>
        <v>Vegetarisch</v>
      </c>
      <c r="Q194" t="str">
        <f>IF(Klantgegevens_B!P193&lt;&gt;"", Klantgegevens_B!P193, Klantgegevens_A!M193)</f>
        <v>Geen dieet</v>
      </c>
      <c r="R194" t="str">
        <f>IF(Klantgegevens_B!A193&lt;&gt;"", "B", "A")</f>
        <v>B</v>
      </c>
    </row>
    <row r="195" spans="1:18" x14ac:dyDescent="0.3">
      <c r="A195" t="str">
        <f>IF(Klantgegevens_B!A194&lt;&gt;"", Klantgegevens_B!A194, MID(Klantgegevens_A!A194, FIND(",", Klantgegevens_A!A194)+2, LEN(Klantgegevens_A!A194)))</f>
        <v>Dana</v>
      </c>
      <c r="B195" t="str">
        <f>IF(Klantgegevens_B!B194&lt;&gt;"", Klantgegevens_B!B194, LEFT(Klantgegevens_A!A194, FIND(",", Klantgegevens_A!A194)-1))</f>
        <v>De smedt</v>
      </c>
      <c r="C195" t="str">
        <f t="shared" ref="C195:C258" ca="1" si="3">C194 &amp; ", " &amp; B194</f>
        <v/>
      </c>
      <c r="D195" t="str">
        <f>IF(Klantgegevens_B!F194&lt;&gt;"", Klantgegevens_B!F194, Klantgegevens_A!D194 &amp; " " &amp; Klantgegevens_A!E194 &amp; ", " &amp; Klantgegevens_A!F194)</f>
        <v>Dana,Rudolf,Stef,Jules</v>
      </c>
      <c r="E195">
        <f>IF(Klantgegevens_B!G194&lt;&gt;"", Klantgegevens_B!G194, TEXTJOIN(",", TRUE, REPT("Volwassene,", Klantgegevens_A!G194), REPT("Kind,", Klantgegevens_A!H194)))</f>
        <v>174.99</v>
      </c>
      <c r="F195">
        <f>IF(Klantgegevens_B!G194&lt;&gt;"", LEN(Klantgegevens_B!G194)-LEN(SUBSTITUTE(Klantgegevens_B!G194, ",", ""))+1, Klantgegevens_A!G194)</f>
        <v>1</v>
      </c>
      <c r="G195">
        <f>IF(Klantgegevens_B!G194&lt;&gt;"", 0, Klantgegevens_A!H194)</f>
        <v>0</v>
      </c>
      <c r="H195">
        <f>IF(Klantgegevens_B!H194&lt;&gt;"", Klantgegevens_B!H194, Klantgegevens_A!I194)</f>
        <v>12</v>
      </c>
      <c r="I195" t="str">
        <f>IF(Klantgegevens_B!I194&lt;&gt;"", Klantgegevens_B!I194, SWITCH(Klantgegevens_A!J194, "Zelden", 1, "Af en toe", 4, "Regelmatig", 8, "Vaak", 12))</f>
        <v>Bancontact</v>
      </c>
      <c r="J195" t="str">
        <f>IF(Klantgegevens_B!J194&lt;&gt;"", Klantgegevens_B!J194, Klantgegevens_A!K194)</f>
        <v>ja</v>
      </c>
      <c r="K195">
        <f>IF(Klantgegevens_B!K194&lt;&gt;"", AVERAGE(--(Klantgegevens_B!K194="ja"), --(Klantgegevens_B!L194="ja"), --(Klantgegevens_B!M194="ja"), --(Klantgegevens_B!N194="ja"), --(Klantgegevens_B!O194="ja"))*10, Klantgegevens_A!L194)</f>
        <v>6</v>
      </c>
      <c r="L195" t="str">
        <f>IF(Klantgegevens_B!K194&lt;&gt;"", Klantgegevens_B!K194, IF(Klantgegevens_A!L194&gt;=7, "ja", "nee"))</f>
        <v>ja</v>
      </c>
      <c r="M195" t="str">
        <f>IF(Klantgegevens_B!L194&lt;&gt;"", Klantgegevens_B!L194, IF(Klantgegevens_A!L194&gt;=7, "ja", "nee"))</f>
        <v>ja</v>
      </c>
      <c r="N195" t="str">
        <f>IF(Klantgegevens_B!M194&lt;&gt;"", Klantgegevens_B!M194, IF(Klantgegevens_A!L194&gt;=7, "ja", "nee"))</f>
        <v>nee</v>
      </c>
      <c r="O195" t="str">
        <f>IF(Klantgegevens_B!N194&lt;&gt;"", Klantgegevens_B!N194, IF(Klantgegevens_A!L194&gt;=7, "ja", "nee"))</f>
        <v>ja</v>
      </c>
      <c r="P195" t="str">
        <f>IF(Klantgegevens_B!O194&lt;&gt;"", Klantgegevens_B!O194, IF(Klantgegevens_A!L194&gt;=7, "ja", "nee"))</f>
        <v>Geen dieet</v>
      </c>
      <c r="Q195" t="str">
        <f>IF(Klantgegevens_B!P194&lt;&gt;"", Klantgegevens_B!P194, Klantgegevens_A!M194)</f>
        <v>Geen dieet</v>
      </c>
      <c r="R195" t="str">
        <f>IF(Klantgegevens_B!A194&lt;&gt;"", "B", "A")</f>
        <v>B</v>
      </c>
    </row>
    <row r="196" spans="1:18" x14ac:dyDescent="0.3">
      <c r="A196" t="str">
        <f>IF(Klantgegevens_B!A195&lt;&gt;"", Klantgegevens_B!A195, MID(Klantgegevens_A!A195, FIND(",", Klantgegevens_A!A195)+2, LEN(Klantgegevens_A!A195)))</f>
        <v>Yacine</v>
      </c>
      <c r="B196" t="str">
        <f>IF(Klantgegevens_B!B195&lt;&gt;"", Klantgegevens_B!B195, LEFT(Klantgegevens_A!A195, FIND(",", Klantgegevens_A!A195)-1))</f>
        <v>Moens</v>
      </c>
      <c r="C196" t="str">
        <f t="shared" ca="1" si="3"/>
        <v/>
      </c>
      <c r="D196" t="str">
        <f>IF(Klantgegevens_B!F195&lt;&gt;"", Klantgegevens_B!F195, Klantgegevens_A!D195 &amp; " " &amp; Klantgegevens_A!E195 &amp; ", " &amp; Klantgegevens_A!F195)</f>
        <v>Yacine,Nikita,Tom,Luna</v>
      </c>
      <c r="E196">
        <f>IF(Klantgegevens_B!G195&lt;&gt;"", Klantgegevens_B!G195, TEXTJOIN(",", TRUE, REPT("Volwassene,", Klantgegevens_A!G195), REPT("Kind,", Klantgegevens_A!H195)))</f>
        <v>86.4</v>
      </c>
      <c r="F196">
        <f>IF(Klantgegevens_B!G195&lt;&gt;"", LEN(Klantgegevens_B!G195)-LEN(SUBSTITUTE(Klantgegevens_B!G195, ",", ""))+1, Klantgegevens_A!G195)</f>
        <v>1</v>
      </c>
      <c r="G196">
        <f>IF(Klantgegevens_B!G195&lt;&gt;"", 0, Klantgegevens_A!H195)</f>
        <v>0</v>
      </c>
      <c r="H196">
        <f>IF(Klantgegevens_B!H195&lt;&gt;"", Klantgegevens_B!H195, Klantgegevens_A!I195)</f>
        <v>13</v>
      </c>
      <c r="I196" t="str">
        <f>IF(Klantgegevens_B!I195&lt;&gt;"", Klantgegevens_B!I195, SWITCH(Klantgegevens_A!J195, "Zelden", 1, "Af en toe", 4, "Regelmatig", 8, "Vaak", 12))</f>
        <v>Bancontact</v>
      </c>
      <c r="J196" t="str">
        <f>IF(Klantgegevens_B!J195&lt;&gt;"", Klantgegevens_B!J195, Klantgegevens_A!K195)</f>
        <v>ja</v>
      </c>
      <c r="K196">
        <f>IF(Klantgegevens_B!K195&lt;&gt;"", AVERAGE(--(Klantgegevens_B!K195="ja"), --(Klantgegevens_B!L195="ja"), --(Klantgegevens_B!M195="ja"), --(Klantgegevens_B!N195="ja"), --(Klantgegevens_B!O195="ja"))*10, Klantgegevens_A!L195)</f>
        <v>8</v>
      </c>
      <c r="L196" t="str">
        <f>IF(Klantgegevens_B!K195&lt;&gt;"", Klantgegevens_B!K195, IF(Klantgegevens_A!L195&gt;=7, "ja", "nee"))</f>
        <v>ja</v>
      </c>
      <c r="M196" t="str">
        <f>IF(Klantgegevens_B!L195&lt;&gt;"", Klantgegevens_B!L195, IF(Klantgegevens_A!L195&gt;=7, "ja", "nee"))</f>
        <v>ja</v>
      </c>
      <c r="N196" t="str">
        <f>IF(Klantgegevens_B!M195&lt;&gt;"", Klantgegevens_B!M195, IF(Klantgegevens_A!L195&gt;=7, "ja", "nee"))</f>
        <v>ja</v>
      </c>
      <c r="O196" t="str">
        <f>IF(Klantgegevens_B!N195&lt;&gt;"", Klantgegevens_B!N195, IF(Klantgegevens_A!L195&gt;=7, "ja", "nee"))</f>
        <v>ja</v>
      </c>
      <c r="P196" t="str">
        <f>IF(Klantgegevens_B!O195&lt;&gt;"", Klantgegevens_B!O195, IF(Klantgegevens_A!L195&gt;=7, "ja", "nee"))</f>
        <v>Geen dieet</v>
      </c>
      <c r="Q196" t="str">
        <f>IF(Klantgegevens_B!P195&lt;&gt;"", Klantgegevens_B!P195, Klantgegevens_A!M195)</f>
        <v>Geen dieet</v>
      </c>
      <c r="R196" t="str">
        <f>IF(Klantgegevens_B!A195&lt;&gt;"", "B", "A")</f>
        <v>B</v>
      </c>
    </row>
    <row r="197" spans="1:18" x14ac:dyDescent="0.3">
      <c r="A197" t="str">
        <f>IF(Klantgegevens_B!A196&lt;&gt;"", Klantgegevens_B!A196, MID(Klantgegevens_A!A196, FIND(",", Klantgegevens_A!A196)+2, LEN(Klantgegevens_A!A196)))</f>
        <v>Carl</v>
      </c>
      <c r="B197" t="str">
        <f>IF(Klantgegevens_B!B196&lt;&gt;"", Klantgegevens_B!B196, LEFT(Klantgegevens_A!A196, FIND(",", Klantgegevens_A!A196)-1))</f>
        <v>Andries</v>
      </c>
      <c r="C197" t="str">
        <f t="shared" ca="1" si="3"/>
        <v/>
      </c>
      <c r="D197" t="str">
        <f>IF(Klantgegevens_B!F196&lt;&gt;"", Klantgegevens_B!F196, Klantgegevens_A!D196 &amp; " " &amp; Klantgegevens_A!E196 &amp; ", " &amp; Klantgegevens_A!F196)</f>
        <v>Carl,Josephus</v>
      </c>
      <c r="E197">
        <f>IF(Klantgegevens_B!G196&lt;&gt;"", Klantgegevens_B!G196, TEXTJOIN(",", TRUE, REPT("Volwassene,", Klantgegevens_A!G196), REPT("Kind,", Klantgegevens_A!H196)))</f>
        <v>21.78</v>
      </c>
      <c r="F197">
        <f>IF(Klantgegevens_B!G196&lt;&gt;"", LEN(Klantgegevens_B!G196)-LEN(SUBSTITUTE(Klantgegevens_B!G196, ",", ""))+1, Klantgegevens_A!G196)</f>
        <v>1</v>
      </c>
      <c r="G197">
        <f>IF(Klantgegevens_B!G196&lt;&gt;"", 0, Klantgegevens_A!H196)</f>
        <v>0</v>
      </c>
      <c r="H197">
        <f>IF(Klantgegevens_B!H196&lt;&gt;"", Klantgegevens_B!H196, Klantgegevens_A!I196)</f>
        <v>9</v>
      </c>
      <c r="I197" t="str">
        <f>IF(Klantgegevens_B!I196&lt;&gt;"", Klantgegevens_B!I196, SWITCH(Klantgegevens_A!J196, "Zelden", 1, "Af en toe", 4, "Regelmatig", 8, "Vaak", 12))</f>
        <v>Bancontact</v>
      </c>
      <c r="J197" t="str">
        <f>IF(Klantgegevens_B!J196&lt;&gt;"", Klantgegevens_B!J196, Klantgegevens_A!K196)</f>
        <v>ja</v>
      </c>
      <c r="K197">
        <f>IF(Klantgegevens_B!K196&lt;&gt;"", AVERAGE(--(Klantgegevens_B!K196="ja"), --(Klantgegevens_B!L196="ja"), --(Klantgegevens_B!M196="ja"), --(Klantgegevens_B!N196="ja"), --(Klantgegevens_B!O196="ja"))*10, Klantgegevens_A!L196)</f>
        <v>8</v>
      </c>
      <c r="L197" t="str">
        <f>IF(Klantgegevens_B!K196&lt;&gt;"", Klantgegevens_B!K196, IF(Klantgegevens_A!L196&gt;=7, "ja", "nee"))</f>
        <v>ja</v>
      </c>
      <c r="M197" t="str">
        <f>IF(Klantgegevens_B!L196&lt;&gt;"", Klantgegevens_B!L196, IF(Klantgegevens_A!L196&gt;=7, "ja", "nee"))</f>
        <v>ja</v>
      </c>
      <c r="N197" t="str">
        <f>IF(Klantgegevens_B!M196&lt;&gt;"", Klantgegevens_B!M196, IF(Klantgegevens_A!L196&gt;=7, "ja", "nee"))</f>
        <v>ja</v>
      </c>
      <c r="O197" t="str">
        <f>IF(Klantgegevens_B!N196&lt;&gt;"", Klantgegevens_B!N196, IF(Klantgegevens_A!L196&gt;=7, "ja", "nee"))</f>
        <v>ja</v>
      </c>
      <c r="P197" t="str">
        <f>IF(Klantgegevens_B!O196&lt;&gt;"", Klantgegevens_B!O196, IF(Klantgegevens_A!L196&gt;=7, "ja", "nee"))</f>
        <v>Geen dieet</v>
      </c>
      <c r="Q197" t="str">
        <f>IF(Klantgegevens_B!P196&lt;&gt;"", Klantgegevens_B!P196, Klantgegevens_A!M196)</f>
        <v>Vegetarisch</v>
      </c>
      <c r="R197" t="str">
        <f>IF(Klantgegevens_B!A196&lt;&gt;"", "B", "A")</f>
        <v>B</v>
      </c>
    </row>
    <row r="198" spans="1:18" x14ac:dyDescent="0.3">
      <c r="A198" t="str">
        <f>IF(Klantgegevens_B!A197&lt;&gt;"", Klantgegevens_B!A197, MID(Klantgegevens_A!A197, FIND(",", Klantgegevens_A!A197)+2, LEN(Klantgegevens_A!A197)))</f>
        <v>Jamila</v>
      </c>
      <c r="B198" t="str">
        <f>IF(Klantgegevens_B!B197&lt;&gt;"", Klantgegevens_B!B197, LEFT(Klantgegevens_A!A197, FIND(",", Klantgegevens_A!A197)-1))</f>
        <v>Van den berghe</v>
      </c>
      <c r="C198" t="str">
        <f t="shared" ca="1" si="3"/>
        <v/>
      </c>
      <c r="D198" t="str">
        <f>IF(Klantgegevens_B!F197&lt;&gt;"", Klantgegevens_B!F197, Klantgegevens_A!D197 &amp; " " &amp; Klantgegevens_A!E197 &amp; ", " &amp; Klantgegevens_A!F197)</f>
        <v>Jamila,Quentin,Alida,Lore</v>
      </c>
      <c r="E198">
        <f>IF(Klantgegevens_B!G197&lt;&gt;"", Klantgegevens_B!G197, TEXTJOIN(",", TRUE, REPT("Volwassene,", Klantgegevens_A!G197), REPT("Kind,", Klantgegevens_A!H197)))</f>
        <v>94.36</v>
      </c>
      <c r="F198">
        <f>IF(Klantgegevens_B!G197&lt;&gt;"", LEN(Klantgegevens_B!G197)-LEN(SUBSTITUTE(Klantgegevens_B!G197, ",", ""))+1, Klantgegevens_A!G197)</f>
        <v>1</v>
      </c>
      <c r="G198">
        <f>IF(Klantgegevens_B!G197&lt;&gt;"", 0, Klantgegevens_A!H197)</f>
        <v>0</v>
      </c>
      <c r="H198">
        <f>IF(Klantgegevens_B!H197&lt;&gt;"", Klantgegevens_B!H197, Klantgegevens_A!I197)</f>
        <v>7</v>
      </c>
      <c r="I198" t="str">
        <f>IF(Klantgegevens_B!I197&lt;&gt;"", Klantgegevens_B!I197, SWITCH(Klantgegevens_A!J197, "Zelden", 1, "Af en toe", 4, "Regelmatig", 8, "Vaak", 12))</f>
        <v>Bancontact</v>
      </c>
      <c r="J198" t="str">
        <f>IF(Klantgegevens_B!J197&lt;&gt;"", Klantgegevens_B!J197, Klantgegevens_A!K197)</f>
        <v>ja</v>
      </c>
      <c r="K198">
        <f>IF(Klantgegevens_B!K197&lt;&gt;"", AVERAGE(--(Klantgegevens_B!K197="ja"), --(Klantgegevens_B!L197="ja"), --(Klantgegevens_B!M197="ja"), --(Klantgegevens_B!N197="ja"), --(Klantgegevens_B!O197="ja"))*10, Klantgegevens_A!L197)</f>
        <v>4</v>
      </c>
      <c r="L198" t="str">
        <f>IF(Klantgegevens_B!K197&lt;&gt;"", Klantgegevens_B!K197, IF(Klantgegevens_A!L197&gt;=7, "ja", "nee"))</f>
        <v>nee</v>
      </c>
      <c r="M198" t="str">
        <f>IF(Klantgegevens_B!L197&lt;&gt;"", Klantgegevens_B!L197, IF(Klantgegevens_A!L197&gt;=7, "ja", "nee"))</f>
        <v>ja</v>
      </c>
      <c r="N198" t="str">
        <f>IF(Klantgegevens_B!M197&lt;&gt;"", Klantgegevens_B!M197, IF(Klantgegevens_A!L197&gt;=7, "ja", "nee"))</f>
        <v>ja</v>
      </c>
      <c r="O198" t="str">
        <f>IF(Klantgegevens_B!N197&lt;&gt;"", Klantgegevens_B!N197, IF(Klantgegevens_A!L197&gt;=7, "ja", "nee"))</f>
        <v>nee</v>
      </c>
      <c r="P198" t="str">
        <f>IF(Klantgegevens_B!O197&lt;&gt;"", Klantgegevens_B!O197, IF(Klantgegevens_A!L197&gt;=7, "ja", "nee"))</f>
        <v>Geen dieet</v>
      </c>
      <c r="Q198" t="str">
        <f>IF(Klantgegevens_B!P197&lt;&gt;"", Klantgegevens_B!P197, Klantgegevens_A!M197)</f>
        <v>Geen dieet</v>
      </c>
      <c r="R198" t="str">
        <f>IF(Klantgegevens_B!A197&lt;&gt;"", "B", "A")</f>
        <v>B</v>
      </c>
    </row>
    <row r="199" spans="1:18" x14ac:dyDescent="0.3">
      <c r="A199" t="str">
        <f>IF(Klantgegevens_B!A198&lt;&gt;"", Klantgegevens_B!A198, MID(Klantgegevens_A!A198, FIND(",", Klantgegevens_A!A198)+2, LEN(Klantgegevens_A!A198)))</f>
        <v>Floor</v>
      </c>
      <c r="B199" t="str">
        <f>IF(Klantgegevens_B!B198&lt;&gt;"", Klantgegevens_B!B198, LEFT(Klantgegevens_A!A198, FIND(",", Klantgegevens_A!A198)-1))</f>
        <v>Lemmens</v>
      </c>
      <c r="C199" t="str">
        <f t="shared" ca="1" si="3"/>
        <v/>
      </c>
      <c r="D199" t="str">
        <f>IF(Klantgegevens_B!F198&lt;&gt;"", Klantgegevens_B!F198, Klantgegevens_A!D198 &amp; " " &amp; Klantgegevens_A!E198 &amp; ", " &amp; Klantgegevens_A!F198)</f>
        <v>Floor,Marina,Ben</v>
      </c>
      <c r="E199">
        <f>IF(Klantgegevens_B!G198&lt;&gt;"", Klantgegevens_B!G198, TEXTJOIN(",", TRUE, REPT("Volwassene,", Klantgegevens_A!G198), REPT("Kind,", Klantgegevens_A!H198)))</f>
        <v>185.54</v>
      </c>
      <c r="F199">
        <f>IF(Klantgegevens_B!G198&lt;&gt;"", LEN(Klantgegevens_B!G198)-LEN(SUBSTITUTE(Klantgegevens_B!G198, ",", ""))+1, Klantgegevens_A!G198)</f>
        <v>1</v>
      </c>
      <c r="G199">
        <f>IF(Klantgegevens_B!G198&lt;&gt;"", 0, Klantgegevens_A!H198)</f>
        <v>0</v>
      </c>
      <c r="H199">
        <f>IF(Klantgegevens_B!H198&lt;&gt;"", Klantgegevens_B!H198, Klantgegevens_A!I198)</f>
        <v>6</v>
      </c>
      <c r="I199" t="str">
        <f>IF(Klantgegevens_B!I198&lt;&gt;"", Klantgegevens_B!I198, SWITCH(Klantgegevens_A!J198, "Zelden", 1, "Af en toe", 4, "Regelmatig", 8, "Vaak", 12))</f>
        <v>Payconiq</v>
      </c>
      <c r="J199" t="str">
        <f>IF(Klantgegevens_B!J198&lt;&gt;"", Klantgegevens_B!J198, Klantgegevens_A!K198)</f>
        <v>ja</v>
      </c>
      <c r="K199">
        <f>IF(Klantgegevens_B!K198&lt;&gt;"", AVERAGE(--(Klantgegevens_B!K198="ja"), --(Klantgegevens_B!L198="ja"), --(Klantgegevens_B!M198="ja"), --(Klantgegevens_B!N198="ja"), --(Klantgegevens_B!O198="ja"))*10, Klantgegevens_A!L198)</f>
        <v>4</v>
      </c>
      <c r="L199" t="str">
        <f>IF(Klantgegevens_B!K198&lt;&gt;"", Klantgegevens_B!K198, IF(Klantgegevens_A!L198&gt;=7, "ja", "nee"))</f>
        <v>ja</v>
      </c>
      <c r="M199" t="str">
        <f>IF(Klantgegevens_B!L198&lt;&gt;"", Klantgegevens_B!L198, IF(Klantgegevens_A!L198&gt;=7, "ja", "nee"))</f>
        <v>ja</v>
      </c>
      <c r="N199" t="str">
        <f>IF(Klantgegevens_B!M198&lt;&gt;"", Klantgegevens_B!M198, IF(Klantgegevens_A!L198&gt;=7, "ja", "nee"))</f>
        <v>nee</v>
      </c>
      <c r="O199" t="str">
        <f>IF(Klantgegevens_B!N198&lt;&gt;"", Klantgegevens_B!N198, IF(Klantgegevens_A!L198&gt;=7, "ja", "nee"))</f>
        <v>nee</v>
      </c>
      <c r="P199" t="str">
        <f>IF(Klantgegevens_B!O198&lt;&gt;"", Klantgegevens_B!O198, IF(Klantgegevens_A!L198&gt;=7, "ja", "nee"))</f>
        <v>Geen dieet</v>
      </c>
      <c r="Q199" t="str">
        <f>IF(Klantgegevens_B!P198&lt;&gt;"", Klantgegevens_B!P198, Klantgegevens_A!M198)</f>
        <v>Geen dieet</v>
      </c>
      <c r="R199" t="str">
        <f>IF(Klantgegevens_B!A198&lt;&gt;"", "B", "A")</f>
        <v>B</v>
      </c>
    </row>
    <row r="200" spans="1:18" x14ac:dyDescent="0.3">
      <c r="A200" t="str">
        <f>IF(Klantgegevens_B!A199&lt;&gt;"", Klantgegevens_B!A199, MID(Klantgegevens_A!A199, FIND(",", Klantgegevens_A!A199)+2, LEN(Klantgegevens_A!A199)))</f>
        <v>Dave</v>
      </c>
      <c r="B200" t="str">
        <f>IF(Klantgegevens_B!B199&lt;&gt;"", Klantgegevens_B!B199, LEFT(Klantgegevens_A!A199, FIND(",", Klantgegevens_A!A199)-1))</f>
        <v>Janssens</v>
      </c>
      <c r="C200" t="str">
        <f t="shared" ca="1" si="3"/>
        <v/>
      </c>
      <c r="D200" t="str">
        <f>IF(Klantgegevens_B!F199&lt;&gt;"", Klantgegevens_B!F199, Klantgegevens_A!D199 &amp; " " &amp; Klantgegevens_A!E199 &amp; ", " &amp; Klantgegevens_A!F199)</f>
        <v>Dave,Kimberley,Ingrid,Yasmine,Justine</v>
      </c>
      <c r="E200">
        <f>IF(Klantgegevens_B!G199&lt;&gt;"", Klantgegevens_B!G199, TEXTJOIN(",", TRUE, REPT("Volwassene,", Klantgegevens_A!G199), REPT("Kind,", Klantgegevens_A!H199)))</f>
        <v>115.27</v>
      </c>
      <c r="F200">
        <f>IF(Klantgegevens_B!G199&lt;&gt;"", LEN(Klantgegevens_B!G199)-LEN(SUBSTITUTE(Klantgegevens_B!G199, ",", ""))+1, Klantgegevens_A!G199)</f>
        <v>1</v>
      </c>
      <c r="G200">
        <f>IF(Klantgegevens_B!G199&lt;&gt;"", 0, Klantgegevens_A!H199)</f>
        <v>0</v>
      </c>
      <c r="H200">
        <f>IF(Klantgegevens_B!H199&lt;&gt;"", Klantgegevens_B!H199, Klantgegevens_A!I199)</f>
        <v>13</v>
      </c>
      <c r="I200" t="str">
        <f>IF(Klantgegevens_B!I199&lt;&gt;"", Klantgegevens_B!I199, SWITCH(Klantgegevens_A!J199, "Zelden", 1, "Af en toe", 4, "Regelmatig", 8, "Vaak", 12))</f>
        <v>Payconiq</v>
      </c>
      <c r="J200" t="str">
        <f>IF(Klantgegevens_B!J199&lt;&gt;"", Klantgegevens_B!J199, Klantgegevens_A!K199)</f>
        <v>ja</v>
      </c>
      <c r="K200">
        <f>IF(Klantgegevens_B!K199&lt;&gt;"", AVERAGE(--(Klantgegevens_B!K199="ja"), --(Klantgegevens_B!L199="ja"), --(Klantgegevens_B!M199="ja"), --(Klantgegevens_B!N199="ja"), --(Klantgegevens_B!O199="ja"))*10, Klantgegevens_A!L199)</f>
        <v>8</v>
      </c>
      <c r="L200" t="str">
        <f>IF(Klantgegevens_B!K199&lt;&gt;"", Klantgegevens_B!K199, IF(Klantgegevens_A!L199&gt;=7, "ja", "nee"))</f>
        <v>ja</v>
      </c>
      <c r="M200" t="str">
        <f>IF(Klantgegevens_B!L199&lt;&gt;"", Klantgegevens_B!L199, IF(Klantgegevens_A!L199&gt;=7, "ja", "nee"))</f>
        <v>ja</v>
      </c>
      <c r="N200" t="str">
        <f>IF(Klantgegevens_B!M199&lt;&gt;"", Klantgegevens_B!M199, IF(Klantgegevens_A!L199&gt;=7, "ja", "nee"))</f>
        <v>ja</v>
      </c>
      <c r="O200" t="str">
        <f>IF(Klantgegevens_B!N199&lt;&gt;"", Klantgegevens_B!N199, IF(Klantgegevens_A!L199&gt;=7, "ja", "nee"))</f>
        <v>ja</v>
      </c>
      <c r="P200" t="str">
        <f>IF(Klantgegevens_B!O199&lt;&gt;"", Klantgegevens_B!O199, IF(Klantgegevens_A!L199&gt;=7, "ja", "nee"))</f>
        <v>Vegetarisch</v>
      </c>
      <c r="Q200" t="str">
        <f>IF(Klantgegevens_B!P199&lt;&gt;"", Klantgegevens_B!P199, Klantgegevens_A!M199)</f>
        <v>Geen dieet</v>
      </c>
      <c r="R200" t="str">
        <f>IF(Klantgegevens_B!A199&lt;&gt;"", "B", "A")</f>
        <v>B</v>
      </c>
    </row>
    <row r="201" spans="1:18" x14ac:dyDescent="0.3">
      <c r="A201" t="str">
        <f>IF(Klantgegevens_B!A200&lt;&gt;"", Klantgegevens_B!A200, MID(Klantgegevens_A!A200, FIND(",", Klantgegevens_A!A200)+2, LEN(Klantgegevens_A!A200)))</f>
        <v>Eduardo</v>
      </c>
      <c r="B201" t="str">
        <f>IF(Klantgegevens_B!B200&lt;&gt;"", Klantgegevens_B!B200, LEFT(Klantgegevens_A!A200, FIND(",", Klantgegevens_A!A200)-1))</f>
        <v>Verstraete</v>
      </c>
      <c r="C201" t="str">
        <f t="shared" ca="1" si="3"/>
        <v/>
      </c>
      <c r="D201" t="str">
        <f>IF(Klantgegevens_B!F200&lt;&gt;"", Klantgegevens_B!F200, Klantgegevens_A!D200 &amp; " " &amp; Klantgegevens_A!E200 &amp; ", " &amp; Klantgegevens_A!F200)</f>
        <v>Eduardo,Marie-Claire,Steve,Matilde</v>
      </c>
      <c r="E201">
        <f>IF(Klantgegevens_B!G200&lt;&gt;"", Klantgegevens_B!G200, TEXTJOIN(",", TRUE, REPT("Volwassene,", Klantgegevens_A!G200), REPT("Kind,", Klantgegevens_A!H200)))</f>
        <v>164.84</v>
      </c>
      <c r="F201">
        <f>IF(Klantgegevens_B!G200&lt;&gt;"", LEN(Klantgegevens_B!G200)-LEN(SUBSTITUTE(Klantgegevens_B!G200, ",", ""))+1, Klantgegevens_A!G200)</f>
        <v>1</v>
      </c>
      <c r="G201">
        <f>IF(Klantgegevens_B!G200&lt;&gt;"", 0, Klantgegevens_A!H200)</f>
        <v>0</v>
      </c>
      <c r="H201">
        <f>IF(Klantgegevens_B!H200&lt;&gt;"", Klantgegevens_B!H200, Klantgegevens_A!I200)</f>
        <v>7</v>
      </c>
      <c r="I201" t="str">
        <f>IF(Klantgegevens_B!I200&lt;&gt;"", Klantgegevens_B!I200, SWITCH(Klantgegevens_A!J200, "Zelden", 1, "Af en toe", 4, "Regelmatig", 8, "Vaak", 12))</f>
        <v>Bancontact</v>
      </c>
      <c r="J201" t="str">
        <f>IF(Klantgegevens_B!J200&lt;&gt;"", Klantgegevens_B!J200, Klantgegevens_A!K200)</f>
        <v>ja</v>
      </c>
      <c r="K201">
        <f>IF(Klantgegevens_B!K200&lt;&gt;"", AVERAGE(--(Klantgegevens_B!K200="ja"), --(Klantgegevens_B!L200="ja"), --(Klantgegevens_B!M200="ja"), --(Klantgegevens_B!N200="ja"), --(Klantgegevens_B!O200="ja"))*10, Klantgegevens_A!L200)</f>
        <v>6</v>
      </c>
      <c r="L201" t="str">
        <f>IF(Klantgegevens_B!K200&lt;&gt;"", Klantgegevens_B!K200, IF(Klantgegevens_A!L200&gt;=7, "ja", "nee"))</f>
        <v>ja</v>
      </c>
      <c r="M201" t="str">
        <f>IF(Klantgegevens_B!L200&lt;&gt;"", Klantgegevens_B!L200, IF(Klantgegevens_A!L200&gt;=7, "ja", "nee"))</f>
        <v>nee</v>
      </c>
      <c r="N201" t="str">
        <f>IF(Klantgegevens_B!M200&lt;&gt;"", Klantgegevens_B!M200, IF(Klantgegevens_A!L200&gt;=7, "ja", "nee"))</f>
        <v>ja</v>
      </c>
      <c r="O201" t="str">
        <f>IF(Klantgegevens_B!N200&lt;&gt;"", Klantgegevens_B!N200, IF(Klantgegevens_A!L200&gt;=7, "ja", "nee"))</f>
        <v>ja</v>
      </c>
      <c r="P201" t="str">
        <f>IF(Klantgegevens_B!O200&lt;&gt;"", Klantgegevens_B!O200, IF(Klantgegevens_A!L200&gt;=7, "ja", "nee"))</f>
        <v>Geen dieet</v>
      </c>
      <c r="Q201" t="str">
        <f>IF(Klantgegevens_B!P200&lt;&gt;"", Klantgegevens_B!P200, Klantgegevens_A!M200)</f>
        <v>Geen dieet</v>
      </c>
      <c r="R201" t="str">
        <f>IF(Klantgegevens_B!A200&lt;&gt;"", "B", "A")</f>
        <v>B</v>
      </c>
    </row>
    <row r="202" spans="1:18" x14ac:dyDescent="0.3">
      <c r="A202" t="str">
        <f>IF(Klantgegevens_B!A201&lt;&gt;"", Klantgegevens_B!A201, MID(Klantgegevens_A!A201, FIND(",", Klantgegevens_A!A201)+2, LEN(Klantgegevens_A!A201)))</f>
        <v>Louise</v>
      </c>
      <c r="B202" t="str">
        <f>IF(Klantgegevens_B!B201&lt;&gt;"", Klantgegevens_B!B201, LEFT(Klantgegevens_A!A201, FIND(",", Klantgegevens_A!A201)-1))</f>
        <v>Meeus</v>
      </c>
      <c r="C202" t="str">
        <f t="shared" ca="1" si="3"/>
        <v/>
      </c>
      <c r="D202" t="str">
        <f>IF(Klantgegevens_B!F201&lt;&gt;"", Klantgegevens_B!F201, Klantgegevens_A!D201 &amp; " " &amp; Klantgegevens_A!E201 &amp; ", " &amp; Klantgegevens_A!F201)</f>
        <v>Louise</v>
      </c>
      <c r="E202">
        <f>IF(Klantgegevens_B!G201&lt;&gt;"", Klantgegevens_B!G201, TEXTJOIN(",", TRUE, REPT("Volwassene,", Klantgegevens_A!G201), REPT("Kind,", Klantgegevens_A!H201)))</f>
        <v>72.23</v>
      </c>
      <c r="F202">
        <f>IF(Klantgegevens_B!G201&lt;&gt;"", LEN(Klantgegevens_B!G201)-LEN(SUBSTITUTE(Klantgegevens_B!G201, ",", ""))+1, Klantgegevens_A!G201)</f>
        <v>1</v>
      </c>
      <c r="G202">
        <f>IF(Klantgegevens_B!G201&lt;&gt;"", 0, Klantgegevens_A!H201)</f>
        <v>0</v>
      </c>
      <c r="H202">
        <f>IF(Klantgegevens_B!H201&lt;&gt;"", Klantgegevens_B!H201, Klantgegevens_A!I201)</f>
        <v>10</v>
      </c>
      <c r="I202" t="str">
        <f>IF(Klantgegevens_B!I201&lt;&gt;"", Klantgegevens_B!I201, SWITCH(Klantgegevens_A!J201, "Zelden", 1, "Af en toe", 4, "Regelmatig", 8, "Vaak", 12))</f>
        <v>Bancontact</v>
      </c>
      <c r="J202" t="str">
        <f>IF(Klantgegevens_B!J201&lt;&gt;"", Klantgegevens_B!J201, Klantgegevens_A!K201)</f>
        <v>ja</v>
      </c>
      <c r="K202">
        <f>IF(Klantgegevens_B!K201&lt;&gt;"", AVERAGE(--(Klantgegevens_B!K201="ja"), --(Klantgegevens_B!L201="ja"), --(Klantgegevens_B!M201="ja"), --(Klantgegevens_B!N201="ja"), --(Klantgegevens_B!O201="ja"))*10, Klantgegevens_A!L201)</f>
        <v>4</v>
      </c>
      <c r="L202" t="str">
        <f>IF(Klantgegevens_B!K201&lt;&gt;"", Klantgegevens_B!K201, IF(Klantgegevens_A!L201&gt;=7, "ja", "nee"))</f>
        <v>nee</v>
      </c>
      <c r="M202" t="str">
        <f>IF(Klantgegevens_B!L201&lt;&gt;"", Klantgegevens_B!L201, IF(Klantgegevens_A!L201&gt;=7, "ja", "nee"))</f>
        <v>nee</v>
      </c>
      <c r="N202" t="str">
        <f>IF(Klantgegevens_B!M201&lt;&gt;"", Klantgegevens_B!M201, IF(Klantgegevens_A!L201&gt;=7, "ja", "nee"))</f>
        <v>ja</v>
      </c>
      <c r="O202" t="str">
        <f>IF(Klantgegevens_B!N201&lt;&gt;"", Klantgegevens_B!N201, IF(Klantgegevens_A!L201&gt;=7, "ja", "nee"))</f>
        <v>ja</v>
      </c>
      <c r="P202" t="str">
        <f>IF(Klantgegevens_B!O201&lt;&gt;"", Klantgegevens_B!O201, IF(Klantgegevens_A!L201&gt;=7, "ja", "nee"))</f>
        <v>Geen dieet</v>
      </c>
      <c r="Q202" t="str">
        <f>IF(Klantgegevens_B!P201&lt;&gt;"", Klantgegevens_B!P201, Klantgegevens_A!M201)</f>
        <v>Geen dieet</v>
      </c>
      <c r="R202" t="str">
        <f>IF(Klantgegevens_B!A201&lt;&gt;"", "B", "A")</f>
        <v>B</v>
      </c>
    </row>
    <row r="203" spans="1:18" x14ac:dyDescent="0.3">
      <c r="A203" t="str">
        <f>IF(Klantgegevens_B!A202&lt;&gt;"", Klantgegevens_B!A202, MID(Klantgegevens_A!A202, FIND(",", Klantgegevens_A!A202)+2, LEN(Klantgegevens_A!A202)))</f>
        <v>Josiane</v>
      </c>
      <c r="B203" t="str">
        <f>IF(Klantgegevens_B!B202&lt;&gt;"", Klantgegevens_B!B202, LEFT(Klantgegevens_A!A202, FIND(",", Klantgegevens_A!A202)-1))</f>
        <v>Van camp</v>
      </c>
      <c r="C203" t="str">
        <f t="shared" ca="1" si="3"/>
        <v/>
      </c>
      <c r="D203" t="str">
        <f>IF(Klantgegevens_B!F202&lt;&gt;"", Klantgegevens_B!F202, Klantgegevens_A!D202 &amp; " " &amp; Klantgegevens_A!E202 &amp; ", " &amp; Klantgegevens_A!F202)</f>
        <v>Josiane,Liene,Jan,Aslan,Renée</v>
      </c>
      <c r="E203">
        <f>IF(Klantgegevens_B!G202&lt;&gt;"", Klantgegevens_B!G202, TEXTJOIN(",", TRUE, REPT("Volwassene,", Klantgegevens_A!G202), REPT("Kind,", Klantgegevens_A!H202)))</f>
        <v>218.86</v>
      </c>
      <c r="F203">
        <f>IF(Klantgegevens_B!G202&lt;&gt;"", LEN(Klantgegevens_B!G202)-LEN(SUBSTITUTE(Klantgegevens_B!G202, ",", ""))+1, Klantgegevens_A!G202)</f>
        <v>1</v>
      </c>
      <c r="G203">
        <f>IF(Klantgegevens_B!G202&lt;&gt;"", 0, Klantgegevens_A!H202)</f>
        <v>0</v>
      </c>
      <c r="H203">
        <f>IF(Klantgegevens_B!H202&lt;&gt;"", Klantgegevens_B!H202, Klantgegevens_A!I202)</f>
        <v>1</v>
      </c>
      <c r="I203" t="str">
        <f>IF(Klantgegevens_B!I202&lt;&gt;"", Klantgegevens_B!I202, SWITCH(Klantgegevens_A!J202, "Zelden", 1, "Af en toe", 4, "Regelmatig", 8, "Vaak", 12))</f>
        <v>Cash</v>
      </c>
      <c r="J203" t="str">
        <f>IF(Klantgegevens_B!J202&lt;&gt;"", Klantgegevens_B!J202, Klantgegevens_A!K202)</f>
        <v>ja</v>
      </c>
      <c r="K203">
        <f>IF(Klantgegevens_B!K202&lt;&gt;"", AVERAGE(--(Klantgegevens_B!K202="ja"), --(Klantgegevens_B!L202="ja"), --(Klantgegevens_B!M202="ja"), --(Klantgegevens_B!N202="ja"), --(Klantgegevens_B!O202="ja"))*10, Klantgegevens_A!L202)</f>
        <v>2</v>
      </c>
      <c r="L203" t="str">
        <f>IF(Klantgegevens_B!K202&lt;&gt;"", Klantgegevens_B!K202, IF(Klantgegevens_A!L202&gt;=7, "ja", "nee"))</f>
        <v>nee</v>
      </c>
      <c r="M203" t="str">
        <f>IF(Klantgegevens_B!L202&lt;&gt;"", Klantgegevens_B!L202, IF(Klantgegevens_A!L202&gt;=7, "ja", "nee"))</f>
        <v>nee</v>
      </c>
      <c r="N203" t="str">
        <f>IF(Klantgegevens_B!M202&lt;&gt;"", Klantgegevens_B!M202, IF(Klantgegevens_A!L202&gt;=7, "ja", "nee"))</f>
        <v>nee</v>
      </c>
      <c r="O203" t="str">
        <f>IF(Klantgegevens_B!N202&lt;&gt;"", Klantgegevens_B!N202, IF(Klantgegevens_A!L202&gt;=7, "ja", "nee"))</f>
        <v>ja</v>
      </c>
      <c r="P203" t="str">
        <f>IF(Klantgegevens_B!O202&lt;&gt;"", Klantgegevens_B!O202, IF(Klantgegevens_A!L202&gt;=7, "ja", "nee"))</f>
        <v>Geen dieet</v>
      </c>
      <c r="Q203" t="str">
        <f>IF(Klantgegevens_B!P202&lt;&gt;"", Klantgegevens_B!P202, Klantgegevens_A!M202)</f>
        <v>Geen dieet</v>
      </c>
      <c r="R203" t="str">
        <f>IF(Klantgegevens_B!A202&lt;&gt;"", "B", "A")</f>
        <v>B</v>
      </c>
    </row>
    <row r="204" spans="1:18" x14ac:dyDescent="0.3">
      <c r="A204" t="str">
        <f>IF(Klantgegevens_B!A203&lt;&gt;"", Klantgegevens_B!A203, MID(Klantgegevens_A!A203, FIND(",", Klantgegevens_A!A203)+2, LEN(Klantgegevens_A!A203)))</f>
        <v>François</v>
      </c>
      <c r="B204" t="str">
        <f>IF(Klantgegevens_B!B203&lt;&gt;"", Klantgegevens_B!B203, LEFT(Klantgegevens_A!A203, FIND(",", Klantgegevens_A!A203)-1))</f>
        <v>Michel</v>
      </c>
      <c r="C204" t="str">
        <f t="shared" ca="1" si="3"/>
        <v/>
      </c>
      <c r="D204" t="str">
        <f>IF(Klantgegevens_B!F203&lt;&gt;"", Klantgegevens_B!F203, Klantgegevens_A!D203 &amp; " " &amp; Klantgegevens_A!E203 &amp; ", " &amp; Klantgegevens_A!F203)</f>
        <v>François,Déborah,Abraham</v>
      </c>
      <c r="E204">
        <f>IF(Klantgegevens_B!G203&lt;&gt;"", Klantgegevens_B!G203, TEXTJOIN(",", TRUE, REPT("Volwassene,", Klantgegevens_A!G203), REPT("Kind,", Klantgegevens_A!H203)))</f>
        <v>72.7</v>
      </c>
      <c r="F204">
        <f>IF(Klantgegevens_B!G203&lt;&gt;"", LEN(Klantgegevens_B!G203)-LEN(SUBSTITUTE(Klantgegevens_B!G203, ",", ""))+1, Klantgegevens_A!G203)</f>
        <v>1</v>
      </c>
      <c r="G204">
        <f>IF(Klantgegevens_B!G203&lt;&gt;"", 0, Klantgegevens_A!H203)</f>
        <v>0</v>
      </c>
      <c r="H204">
        <f>IF(Klantgegevens_B!H203&lt;&gt;"", Klantgegevens_B!H203, Klantgegevens_A!I203)</f>
        <v>7</v>
      </c>
      <c r="I204" t="str">
        <f>IF(Klantgegevens_B!I203&lt;&gt;"", Klantgegevens_B!I203, SWITCH(Klantgegevens_A!J203, "Zelden", 1, "Af en toe", 4, "Regelmatig", 8, "Vaak", 12))</f>
        <v>Payconiq</v>
      </c>
      <c r="J204" t="str">
        <f>IF(Klantgegevens_B!J203&lt;&gt;"", Klantgegevens_B!J203, Klantgegevens_A!K203)</f>
        <v>nee</v>
      </c>
      <c r="K204">
        <f>IF(Klantgegevens_B!K203&lt;&gt;"", AVERAGE(--(Klantgegevens_B!K203="ja"), --(Klantgegevens_B!L203="ja"), --(Klantgegevens_B!M203="ja"), --(Klantgegevens_B!N203="ja"), --(Klantgegevens_B!O203="ja"))*10, Klantgegevens_A!L203)</f>
        <v>6</v>
      </c>
      <c r="L204" t="str">
        <f>IF(Klantgegevens_B!K203&lt;&gt;"", Klantgegevens_B!K203, IF(Klantgegevens_A!L203&gt;=7, "ja", "nee"))</f>
        <v>nee</v>
      </c>
      <c r="M204" t="str">
        <f>IF(Klantgegevens_B!L203&lt;&gt;"", Klantgegevens_B!L203, IF(Klantgegevens_A!L203&gt;=7, "ja", "nee"))</f>
        <v>ja</v>
      </c>
      <c r="N204" t="str">
        <f>IF(Klantgegevens_B!M203&lt;&gt;"", Klantgegevens_B!M203, IF(Klantgegevens_A!L203&gt;=7, "ja", "nee"))</f>
        <v>ja</v>
      </c>
      <c r="O204" t="str">
        <f>IF(Klantgegevens_B!N203&lt;&gt;"", Klantgegevens_B!N203, IF(Klantgegevens_A!L203&gt;=7, "ja", "nee"))</f>
        <v>ja</v>
      </c>
      <c r="P204" t="str">
        <f>IF(Klantgegevens_B!O203&lt;&gt;"", Klantgegevens_B!O203, IF(Klantgegevens_A!L203&gt;=7, "ja", "nee"))</f>
        <v>Geen dieet</v>
      </c>
      <c r="Q204" t="str">
        <f>IF(Klantgegevens_B!P203&lt;&gt;"", Klantgegevens_B!P203, Klantgegevens_A!M203)</f>
        <v>Vegetarisch</v>
      </c>
      <c r="R204" t="str">
        <f>IF(Klantgegevens_B!A203&lt;&gt;"", "B", "A")</f>
        <v>B</v>
      </c>
    </row>
    <row r="205" spans="1:18" x14ac:dyDescent="0.3">
      <c r="A205" t="str">
        <f>IF(Klantgegevens_B!A204&lt;&gt;"", Klantgegevens_B!A204, MID(Klantgegevens_A!A204, FIND(",", Klantgegevens_A!A204)+2, LEN(Klantgegevens_A!A204)))</f>
        <v>Valérie</v>
      </c>
      <c r="B205" t="str">
        <f>IF(Klantgegevens_B!B204&lt;&gt;"", Klantgegevens_B!B204, LEFT(Klantgegevens_A!A204, FIND(",", Klantgegevens_A!A204)-1))</f>
        <v>Raes</v>
      </c>
      <c r="C205" t="str">
        <f t="shared" ca="1" si="3"/>
        <v/>
      </c>
      <c r="D205" t="str">
        <f>IF(Klantgegevens_B!F204&lt;&gt;"", Klantgegevens_B!F204, Klantgegevens_A!D204 &amp; " " &amp; Klantgegevens_A!E204 &amp; ", " &amp; Klantgegevens_A!F204)</f>
        <v>Valérie,Roger</v>
      </c>
      <c r="E205">
        <f>IF(Klantgegevens_B!G204&lt;&gt;"", Klantgegevens_B!G204, TEXTJOIN(",", TRUE, REPT("Volwassene,", Klantgegevens_A!G204), REPT("Kind,", Klantgegevens_A!H204)))</f>
        <v>63.26</v>
      </c>
      <c r="F205">
        <f>IF(Klantgegevens_B!G204&lt;&gt;"", LEN(Klantgegevens_B!G204)-LEN(SUBSTITUTE(Klantgegevens_B!G204, ",", ""))+1, Klantgegevens_A!G204)</f>
        <v>1</v>
      </c>
      <c r="G205">
        <f>IF(Klantgegevens_B!G204&lt;&gt;"", 0, Klantgegevens_A!H204)</f>
        <v>0</v>
      </c>
      <c r="H205">
        <f>IF(Klantgegevens_B!H204&lt;&gt;"", Klantgegevens_B!H204, Klantgegevens_A!I204)</f>
        <v>6</v>
      </c>
      <c r="I205" t="str">
        <f>IF(Klantgegevens_B!I204&lt;&gt;"", Klantgegevens_B!I204, SWITCH(Klantgegevens_A!J204, "Zelden", 1, "Af en toe", 4, "Regelmatig", 8, "Vaak", 12))</f>
        <v>Payconiq</v>
      </c>
      <c r="J205" t="str">
        <f>IF(Klantgegevens_B!J204&lt;&gt;"", Klantgegevens_B!J204, Klantgegevens_A!K204)</f>
        <v>ja</v>
      </c>
      <c r="K205">
        <f>IF(Klantgegevens_B!K204&lt;&gt;"", AVERAGE(--(Klantgegevens_B!K204="ja"), --(Klantgegevens_B!L204="ja"), --(Klantgegevens_B!M204="ja"), --(Klantgegevens_B!N204="ja"), --(Klantgegevens_B!O204="ja"))*10, Klantgegevens_A!L204)</f>
        <v>4</v>
      </c>
      <c r="L205" t="str">
        <f>IF(Klantgegevens_B!K204&lt;&gt;"", Klantgegevens_B!K204, IF(Klantgegevens_A!L204&gt;=7, "ja", "nee"))</f>
        <v>nee</v>
      </c>
      <c r="M205" t="str">
        <f>IF(Klantgegevens_B!L204&lt;&gt;"", Klantgegevens_B!L204, IF(Klantgegevens_A!L204&gt;=7, "ja", "nee"))</f>
        <v>ja</v>
      </c>
      <c r="N205" t="str">
        <f>IF(Klantgegevens_B!M204&lt;&gt;"", Klantgegevens_B!M204, IF(Klantgegevens_A!L204&gt;=7, "ja", "nee"))</f>
        <v>nee</v>
      </c>
      <c r="O205" t="str">
        <f>IF(Klantgegevens_B!N204&lt;&gt;"", Klantgegevens_B!N204, IF(Klantgegevens_A!L204&gt;=7, "ja", "nee"))</f>
        <v>ja</v>
      </c>
      <c r="P205" t="str">
        <f>IF(Klantgegevens_B!O204&lt;&gt;"", Klantgegevens_B!O204, IF(Klantgegevens_A!L204&gt;=7, "ja", "nee"))</f>
        <v>Vegetarisch</v>
      </c>
      <c r="Q205" t="str">
        <f>IF(Klantgegevens_B!P204&lt;&gt;"", Klantgegevens_B!P204, Klantgegevens_A!M204)</f>
        <v>Veganistisch</v>
      </c>
      <c r="R205" t="str">
        <f>IF(Klantgegevens_B!A204&lt;&gt;"", "B", "A")</f>
        <v>B</v>
      </c>
    </row>
    <row r="206" spans="1:18" x14ac:dyDescent="0.3">
      <c r="A206" t="str">
        <f>IF(Klantgegevens_B!A205&lt;&gt;"", Klantgegevens_B!A205, MID(Klantgegevens_A!A205, FIND(",", Klantgegevens_A!A205)+2, LEN(Klantgegevens_A!A205)))</f>
        <v>Jef</v>
      </c>
      <c r="B206" t="str">
        <f>IF(Klantgegevens_B!B205&lt;&gt;"", Klantgegevens_B!B205, LEFT(Klantgegevens_A!A205, FIND(",", Klantgegevens_A!A205)-1))</f>
        <v>Van driessche</v>
      </c>
      <c r="C206" t="str">
        <f t="shared" ca="1" si="3"/>
        <v/>
      </c>
      <c r="D206" t="str">
        <f>IF(Klantgegevens_B!F205&lt;&gt;"", Klantgegevens_B!F205, Klantgegevens_A!D205 &amp; " " &amp; Klantgegevens_A!E205 &amp; ", " &amp; Klantgegevens_A!F205)</f>
        <v>Jef</v>
      </c>
      <c r="E206">
        <f>IF(Klantgegevens_B!G205&lt;&gt;"", Klantgegevens_B!G205, TEXTJOIN(",", TRUE, REPT("Volwassene,", Klantgegevens_A!G205), REPT("Kind,", Klantgegevens_A!H205)))</f>
        <v>70.52</v>
      </c>
      <c r="F206">
        <f>IF(Klantgegevens_B!G205&lt;&gt;"", LEN(Klantgegevens_B!G205)-LEN(SUBSTITUTE(Klantgegevens_B!G205, ",", ""))+1, Klantgegevens_A!G205)</f>
        <v>1</v>
      </c>
      <c r="G206">
        <f>IF(Klantgegevens_B!G205&lt;&gt;"", 0, Klantgegevens_A!H205)</f>
        <v>0</v>
      </c>
      <c r="H206">
        <f>IF(Klantgegevens_B!H205&lt;&gt;"", Klantgegevens_B!H205, Klantgegevens_A!I205)</f>
        <v>8</v>
      </c>
      <c r="I206" t="str">
        <f>IF(Klantgegevens_B!I205&lt;&gt;"", Klantgegevens_B!I205, SWITCH(Klantgegevens_A!J205, "Zelden", 1, "Af en toe", 4, "Regelmatig", 8, "Vaak", 12))</f>
        <v>Bancontact</v>
      </c>
      <c r="J206" t="str">
        <f>IF(Klantgegevens_B!J205&lt;&gt;"", Klantgegevens_B!J205, Klantgegevens_A!K205)</f>
        <v>ja</v>
      </c>
      <c r="K206">
        <f>IF(Klantgegevens_B!K205&lt;&gt;"", AVERAGE(--(Klantgegevens_B!K205="ja"), --(Klantgegevens_B!L205="ja"), --(Klantgegevens_B!M205="ja"), --(Klantgegevens_B!N205="ja"), --(Klantgegevens_B!O205="ja"))*10, Klantgegevens_A!L205)</f>
        <v>4</v>
      </c>
      <c r="L206" t="str">
        <f>IF(Klantgegevens_B!K205&lt;&gt;"", Klantgegevens_B!K205, IF(Klantgegevens_A!L205&gt;=7, "ja", "nee"))</f>
        <v>ja</v>
      </c>
      <c r="M206" t="str">
        <f>IF(Klantgegevens_B!L205&lt;&gt;"", Klantgegevens_B!L205, IF(Klantgegevens_A!L205&gt;=7, "ja", "nee"))</f>
        <v>nee</v>
      </c>
      <c r="N206" t="str">
        <f>IF(Klantgegevens_B!M205&lt;&gt;"", Klantgegevens_B!M205, IF(Klantgegevens_A!L205&gt;=7, "ja", "nee"))</f>
        <v>ja</v>
      </c>
      <c r="O206" t="str">
        <f>IF(Klantgegevens_B!N205&lt;&gt;"", Klantgegevens_B!N205, IF(Klantgegevens_A!L205&gt;=7, "ja", "nee"))</f>
        <v>nee</v>
      </c>
      <c r="P206" t="str">
        <f>IF(Klantgegevens_B!O205&lt;&gt;"", Klantgegevens_B!O205, IF(Klantgegevens_A!L205&gt;=7, "ja", "nee"))</f>
        <v>Vegetarisch</v>
      </c>
      <c r="Q206" t="str">
        <f>IF(Klantgegevens_B!P205&lt;&gt;"", Klantgegevens_B!P205, Klantgegevens_A!M205)</f>
        <v>Geen dieet</v>
      </c>
      <c r="R206" t="str">
        <f>IF(Klantgegevens_B!A205&lt;&gt;"", "B", "A")</f>
        <v>B</v>
      </c>
    </row>
    <row r="207" spans="1:18" x14ac:dyDescent="0.3">
      <c r="A207" t="str">
        <f>IF(Klantgegevens_B!A206&lt;&gt;"", Klantgegevens_B!A206, MID(Klantgegevens_A!A206, FIND(",", Klantgegevens_A!A206)+2, LEN(Klantgegevens_A!A206)))</f>
        <v>Selim</v>
      </c>
      <c r="B207" t="str">
        <f>IF(Klantgegevens_B!B206&lt;&gt;"", Klantgegevens_B!B206, LEFT(Klantgegevens_A!A206, FIND(",", Klantgegevens_A!A206)-1))</f>
        <v>Petit</v>
      </c>
      <c r="C207" t="str">
        <f t="shared" ca="1" si="3"/>
        <v/>
      </c>
      <c r="D207" t="str">
        <f>IF(Klantgegevens_B!F206&lt;&gt;"", Klantgegevens_B!F206, Klantgegevens_A!D206 &amp; " " &amp; Klantgegevens_A!E206 &amp; ", " &amp; Klantgegevens_A!F206)</f>
        <v>Selim,Patrick</v>
      </c>
      <c r="E207">
        <f>IF(Klantgegevens_B!G206&lt;&gt;"", Klantgegevens_B!G206, TEXTJOIN(",", TRUE, REPT("Volwassene,", Klantgegevens_A!G206), REPT("Kind,", Klantgegevens_A!H206)))</f>
        <v>107.98</v>
      </c>
      <c r="F207">
        <f>IF(Klantgegevens_B!G206&lt;&gt;"", LEN(Klantgegevens_B!G206)-LEN(SUBSTITUTE(Klantgegevens_B!G206, ",", ""))+1, Klantgegevens_A!G206)</f>
        <v>1</v>
      </c>
      <c r="G207">
        <f>IF(Klantgegevens_B!G206&lt;&gt;"", 0, Klantgegevens_A!H206)</f>
        <v>0</v>
      </c>
      <c r="H207">
        <f>IF(Klantgegevens_B!H206&lt;&gt;"", Klantgegevens_B!H206, Klantgegevens_A!I206)</f>
        <v>5</v>
      </c>
      <c r="I207" t="str">
        <f>IF(Klantgegevens_B!I206&lt;&gt;"", Klantgegevens_B!I206, SWITCH(Klantgegevens_A!J206, "Zelden", 1, "Af en toe", 4, "Regelmatig", 8, "Vaak", 12))</f>
        <v>Payconiq</v>
      </c>
      <c r="J207" t="str">
        <f>IF(Klantgegevens_B!J206&lt;&gt;"", Klantgegevens_B!J206, Klantgegevens_A!K206)</f>
        <v>ja</v>
      </c>
      <c r="K207">
        <f>IF(Klantgegevens_B!K206&lt;&gt;"", AVERAGE(--(Klantgegevens_B!K206="ja"), --(Klantgegevens_B!L206="ja"), --(Klantgegevens_B!M206="ja"), --(Klantgegevens_B!N206="ja"), --(Klantgegevens_B!O206="ja"))*10, Klantgegevens_A!L206)</f>
        <v>8</v>
      </c>
      <c r="L207" t="str">
        <f>IF(Klantgegevens_B!K206&lt;&gt;"", Klantgegevens_B!K206, IF(Klantgegevens_A!L206&gt;=7, "ja", "nee"))</f>
        <v>ja</v>
      </c>
      <c r="M207" t="str">
        <f>IF(Klantgegevens_B!L206&lt;&gt;"", Klantgegevens_B!L206, IF(Klantgegevens_A!L206&gt;=7, "ja", "nee"))</f>
        <v>ja</v>
      </c>
      <c r="N207" t="str">
        <f>IF(Klantgegevens_B!M206&lt;&gt;"", Klantgegevens_B!M206, IF(Klantgegevens_A!L206&gt;=7, "ja", "nee"))</f>
        <v>ja</v>
      </c>
      <c r="O207" t="str">
        <f>IF(Klantgegevens_B!N206&lt;&gt;"", Klantgegevens_B!N206, IF(Klantgegevens_A!L206&gt;=7, "ja", "nee"))</f>
        <v>ja</v>
      </c>
      <c r="P207" t="str">
        <f>IF(Klantgegevens_B!O206&lt;&gt;"", Klantgegevens_B!O206, IF(Klantgegevens_A!L206&gt;=7, "ja", "nee"))</f>
        <v>Geen dieet</v>
      </c>
      <c r="Q207" t="str">
        <f>IF(Klantgegevens_B!P206&lt;&gt;"", Klantgegevens_B!P206, Klantgegevens_A!M206)</f>
        <v>Vegetarisch</v>
      </c>
      <c r="R207" t="str">
        <f>IF(Klantgegevens_B!A206&lt;&gt;"", "B", "A")</f>
        <v>B</v>
      </c>
    </row>
    <row r="208" spans="1:18" x14ac:dyDescent="0.3">
      <c r="A208" t="str">
        <f>IF(Klantgegevens_B!A207&lt;&gt;"", Klantgegevens_B!A207, MID(Klantgegevens_A!A207, FIND(",", Klantgegevens_A!A207)+2, LEN(Klantgegevens_A!A207)))</f>
        <v>Méline</v>
      </c>
      <c r="B208" t="str">
        <f>IF(Klantgegevens_B!B207&lt;&gt;"", Klantgegevens_B!B207, LEFT(Klantgegevens_A!A207, FIND(",", Klantgegevens_A!A207)-1))</f>
        <v>Rousseau</v>
      </c>
      <c r="C208" t="str">
        <f t="shared" ca="1" si="3"/>
        <v/>
      </c>
      <c r="D208" t="str">
        <f>IF(Klantgegevens_B!F207&lt;&gt;"", Klantgegevens_B!F207, Klantgegevens_A!D207 &amp; " " &amp; Klantgegevens_A!E207 &amp; ", " &amp; Klantgegevens_A!F207)</f>
        <v>Méline,Yannick,Michel,Daan,Toon</v>
      </c>
      <c r="E208">
        <f>IF(Klantgegevens_B!G207&lt;&gt;"", Klantgegevens_B!G207, TEXTJOIN(",", TRUE, REPT("Volwassene,", Klantgegevens_A!G207), REPT("Kind,", Klantgegevens_A!H207)))</f>
        <v>210.52</v>
      </c>
      <c r="F208">
        <f>IF(Klantgegevens_B!G207&lt;&gt;"", LEN(Klantgegevens_B!G207)-LEN(SUBSTITUTE(Klantgegevens_B!G207, ",", ""))+1, Klantgegevens_A!G207)</f>
        <v>1</v>
      </c>
      <c r="G208">
        <f>IF(Klantgegevens_B!G207&lt;&gt;"", 0, Klantgegevens_A!H207)</f>
        <v>0</v>
      </c>
      <c r="H208">
        <f>IF(Klantgegevens_B!H207&lt;&gt;"", Klantgegevens_B!H207, Klantgegevens_A!I207)</f>
        <v>9</v>
      </c>
      <c r="I208" t="str">
        <f>IF(Klantgegevens_B!I207&lt;&gt;"", Klantgegevens_B!I207, SWITCH(Klantgegevens_A!J207, "Zelden", 1, "Af en toe", 4, "Regelmatig", 8, "Vaak", 12))</f>
        <v>Creditcard</v>
      </c>
      <c r="J208" t="str">
        <f>IF(Klantgegevens_B!J207&lt;&gt;"", Klantgegevens_B!J207, Klantgegevens_A!K207)</f>
        <v>ja</v>
      </c>
      <c r="K208">
        <f>IF(Klantgegevens_B!K207&lt;&gt;"", AVERAGE(--(Klantgegevens_B!K207="ja"), --(Klantgegevens_B!L207="ja"), --(Klantgegevens_B!M207="ja"), --(Klantgegevens_B!N207="ja"), --(Klantgegevens_B!O207="ja"))*10, Klantgegevens_A!L207)</f>
        <v>6</v>
      </c>
      <c r="L208" t="str">
        <f>IF(Klantgegevens_B!K207&lt;&gt;"", Klantgegevens_B!K207, IF(Klantgegevens_A!L207&gt;=7, "ja", "nee"))</f>
        <v>nee</v>
      </c>
      <c r="M208" t="str">
        <f>IF(Klantgegevens_B!L207&lt;&gt;"", Klantgegevens_B!L207, IF(Klantgegevens_A!L207&gt;=7, "ja", "nee"))</f>
        <v>ja</v>
      </c>
      <c r="N208" t="str">
        <f>IF(Klantgegevens_B!M207&lt;&gt;"", Klantgegevens_B!M207, IF(Klantgegevens_A!L207&gt;=7, "ja", "nee"))</f>
        <v>ja</v>
      </c>
      <c r="O208" t="str">
        <f>IF(Klantgegevens_B!N207&lt;&gt;"", Klantgegevens_B!N207, IF(Klantgegevens_A!L207&gt;=7, "ja", "nee"))</f>
        <v>ja</v>
      </c>
      <c r="P208" t="str">
        <f>IF(Klantgegevens_B!O207&lt;&gt;"", Klantgegevens_B!O207, IF(Klantgegevens_A!L207&gt;=7, "ja", "nee"))</f>
        <v>Vegetarisch</v>
      </c>
      <c r="Q208" t="str">
        <f>IF(Klantgegevens_B!P207&lt;&gt;"", Klantgegevens_B!P207, Klantgegevens_A!M207)</f>
        <v>Geen dieet</v>
      </c>
      <c r="R208" t="str">
        <f>IF(Klantgegevens_B!A207&lt;&gt;"", "B", "A")</f>
        <v>B</v>
      </c>
    </row>
    <row r="209" spans="1:18" x14ac:dyDescent="0.3">
      <c r="A209" t="str">
        <f>IF(Klantgegevens_B!A208&lt;&gt;"", Klantgegevens_B!A208, MID(Klantgegevens_A!A208, FIND(",", Klantgegevens_A!A208)+2, LEN(Klantgegevens_A!A208)))</f>
        <v>Jan</v>
      </c>
      <c r="B209" t="str">
        <f>IF(Klantgegevens_B!B208&lt;&gt;"", Klantgegevens_B!B208, LEFT(Klantgegevens_A!A208, FIND(",", Klantgegevens_A!A208)-1))</f>
        <v>Driesen</v>
      </c>
      <c r="C209" t="str">
        <f t="shared" ca="1" si="3"/>
        <v/>
      </c>
      <c r="D209" t="str">
        <f>IF(Klantgegevens_B!F208&lt;&gt;"", Klantgegevens_B!F208, Klantgegevens_A!D208 &amp; " " &amp; Klantgegevens_A!E208 &amp; ", " &amp; Klantgegevens_A!F208)</f>
        <v>Jan</v>
      </c>
      <c r="E209">
        <f>IF(Klantgegevens_B!G208&lt;&gt;"", Klantgegevens_B!G208, TEXTJOIN(",", TRUE, REPT("Volwassene,", Klantgegevens_A!G208), REPT("Kind,", Klantgegevens_A!H208)))</f>
        <v>127.99</v>
      </c>
      <c r="F209">
        <f>IF(Klantgegevens_B!G208&lt;&gt;"", LEN(Klantgegevens_B!G208)-LEN(SUBSTITUTE(Klantgegevens_B!G208, ",", ""))+1, Klantgegevens_A!G208)</f>
        <v>1</v>
      </c>
      <c r="G209">
        <f>IF(Klantgegevens_B!G208&lt;&gt;"", 0, Klantgegevens_A!H208)</f>
        <v>0</v>
      </c>
      <c r="H209">
        <f>IF(Klantgegevens_B!H208&lt;&gt;"", Klantgegevens_B!H208, Klantgegevens_A!I208)</f>
        <v>1</v>
      </c>
      <c r="I209" t="str">
        <f>IF(Klantgegevens_B!I208&lt;&gt;"", Klantgegevens_B!I208, SWITCH(Klantgegevens_A!J208, "Zelden", 1, "Af en toe", 4, "Regelmatig", 8, "Vaak", 12))</f>
        <v>Bancontact</v>
      </c>
      <c r="J209" t="str">
        <f>IF(Klantgegevens_B!J208&lt;&gt;"", Klantgegevens_B!J208, Klantgegevens_A!K208)</f>
        <v>nee</v>
      </c>
      <c r="K209">
        <f>IF(Klantgegevens_B!K208&lt;&gt;"", AVERAGE(--(Klantgegevens_B!K208="ja"), --(Klantgegevens_B!L208="ja"), --(Klantgegevens_B!M208="ja"), --(Klantgegevens_B!N208="ja"), --(Klantgegevens_B!O208="ja"))*10, Klantgegevens_A!L208)</f>
        <v>6</v>
      </c>
      <c r="L209" t="str">
        <f>IF(Klantgegevens_B!K208&lt;&gt;"", Klantgegevens_B!K208, IF(Klantgegevens_A!L208&gt;=7, "ja", "nee"))</f>
        <v>ja</v>
      </c>
      <c r="M209" t="str">
        <f>IF(Klantgegevens_B!L208&lt;&gt;"", Klantgegevens_B!L208, IF(Klantgegevens_A!L208&gt;=7, "ja", "nee"))</f>
        <v>nee</v>
      </c>
      <c r="N209" t="str">
        <f>IF(Klantgegevens_B!M208&lt;&gt;"", Klantgegevens_B!M208, IF(Klantgegevens_A!L208&gt;=7, "ja", "nee"))</f>
        <v>ja</v>
      </c>
      <c r="O209" t="str">
        <f>IF(Klantgegevens_B!N208&lt;&gt;"", Klantgegevens_B!N208, IF(Klantgegevens_A!L208&gt;=7, "ja", "nee"))</f>
        <v>ja</v>
      </c>
      <c r="P209" t="str">
        <f>IF(Klantgegevens_B!O208&lt;&gt;"", Klantgegevens_B!O208, IF(Klantgegevens_A!L208&gt;=7, "ja", "nee"))</f>
        <v>Geen dieet</v>
      </c>
      <c r="Q209" t="str">
        <f>IF(Klantgegevens_B!P208&lt;&gt;"", Klantgegevens_B!P208, Klantgegevens_A!M208)</f>
        <v>Geen dieet</v>
      </c>
      <c r="R209" t="str">
        <f>IF(Klantgegevens_B!A208&lt;&gt;"", "B", "A")</f>
        <v>B</v>
      </c>
    </row>
    <row r="210" spans="1:18" x14ac:dyDescent="0.3">
      <c r="A210" t="str">
        <f>IF(Klantgegevens_B!A209&lt;&gt;"", Klantgegevens_B!A209, MID(Klantgegevens_A!A209, FIND(",", Klantgegevens_A!A209)+2, LEN(Klantgegevens_A!A209)))</f>
        <v>Christine</v>
      </c>
      <c r="B210" t="str">
        <f>IF(Klantgegevens_B!B209&lt;&gt;"", Klantgegevens_B!B209, LEFT(Klantgegevens_A!A209, FIND(",", Klantgegevens_A!A209)-1))</f>
        <v>Thys</v>
      </c>
      <c r="C210" t="str">
        <f t="shared" ca="1" si="3"/>
        <v/>
      </c>
      <c r="D210" t="str">
        <f>IF(Klantgegevens_B!F209&lt;&gt;"", Klantgegevens_B!F209, Klantgegevens_A!D209 &amp; " " &amp; Klantgegevens_A!E209 &amp; ", " &amp; Klantgegevens_A!F209)</f>
        <v>Christine,Sara,Micheline,Zeynep</v>
      </c>
      <c r="E210">
        <f>IF(Klantgegevens_B!G209&lt;&gt;"", Klantgegevens_B!G209, TEXTJOIN(",", TRUE, REPT("Volwassene,", Klantgegevens_A!G209), REPT("Kind,", Klantgegevens_A!H209)))</f>
        <v>118.63</v>
      </c>
      <c r="F210">
        <f>IF(Klantgegevens_B!G209&lt;&gt;"", LEN(Klantgegevens_B!G209)-LEN(SUBSTITUTE(Klantgegevens_B!G209, ",", ""))+1, Klantgegevens_A!G209)</f>
        <v>1</v>
      </c>
      <c r="G210">
        <f>IF(Klantgegevens_B!G209&lt;&gt;"", 0, Klantgegevens_A!H209)</f>
        <v>0</v>
      </c>
      <c r="H210">
        <f>IF(Klantgegevens_B!H209&lt;&gt;"", Klantgegevens_B!H209, Klantgegevens_A!I209)</f>
        <v>5</v>
      </c>
      <c r="I210" t="str">
        <f>IF(Klantgegevens_B!I209&lt;&gt;"", Klantgegevens_B!I209, SWITCH(Klantgegevens_A!J209, "Zelden", 1, "Af en toe", 4, "Regelmatig", 8, "Vaak", 12))</f>
        <v>Bancontact</v>
      </c>
      <c r="J210" t="str">
        <f>IF(Klantgegevens_B!J209&lt;&gt;"", Klantgegevens_B!J209, Klantgegevens_A!K209)</f>
        <v>ja</v>
      </c>
      <c r="K210">
        <f>IF(Klantgegevens_B!K209&lt;&gt;"", AVERAGE(--(Klantgegevens_B!K209="ja"), --(Klantgegevens_B!L209="ja"), --(Klantgegevens_B!M209="ja"), --(Klantgegevens_B!N209="ja"), --(Klantgegevens_B!O209="ja"))*10, Klantgegevens_A!L209)</f>
        <v>8</v>
      </c>
      <c r="L210" t="str">
        <f>IF(Klantgegevens_B!K209&lt;&gt;"", Klantgegevens_B!K209, IF(Klantgegevens_A!L209&gt;=7, "ja", "nee"))</f>
        <v>ja</v>
      </c>
      <c r="M210" t="str">
        <f>IF(Klantgegevens_B!L209&lt;&gt;"", Klantgegevens_B!L209, IF(Klantgegevens_A!L209&gt;=7, "ja", "nee"))</f>
        <v>ja</v>
      </c>
      <c r="N210" t="str">
        <f>IF(Klantgegevens_B!M209&lt;&gt;"", Klantgegevens_B!M209, IF(Klantgegevens_A!L209&gt;=7, "ja", "nee"))</f>
        <v>ja</v>
      </c>
      <c r="O210" t="str">
        <f>IF(Klantgegevens_B!N209&lt;&gt;"", Klantgegevens_B!N209, IF(Klantgegevens_A!L209&gt;=7, "ja", "nee"))</f>
        <v>ja</v>
      </c>
      <c r="P210" t="str">
        <f>IF(Klantgegevens_B!O209&lt;&gt;"", Klantgegevens_B!O209, IF(Klantgegevens_A!L209&gt;=7, "ja", "nee"))</f>
        <v>Geen dieet</v>
      </c>
      <c r="Q210" t="str">
        <f>IF(Klantgegevens_B!P209&lt;&gt;"", Klantgegevens_B!P209, Klantgegevens_A!M209)</f>
        <v>Geen dieet</v>
      </c>
      <c r="R210" t="str">
        <f>IF(Klantgegevens_B!A209&lt;&gt;"", "B", "A")</f>
        <v>B</v>
      </c>
    </row>
    <row r="211" spans="1:18" x14ac:dyDescent="0.3">
      <c r="A211" t="str">
        <f>IF(Klantgegevens_B!A210&lt;&gt;"", Klantgegevens_B!A210, MID(Klantgegevens_A!A210, FIND(",", Klantgegevens_A!A210)+2, LEN(Klantgegevens_A!A210)))</f>
        <v>Franco</v>
      </c>
      <c r="B211" t="str">
        <f>IF(Klantgegevens_B!B210&lt;&gt;"", Klantgegevens_B!B210, LEFT(Klantgegevens_A!A210, FIND(",", Klantgegevens_A!A210)-1))</f>
        <v>De witte</v>
      </c>
      <c r="C211" t="str">
        <f t="shared" ca="1" si="3"/>
        <v/>
      </c>
      <c r="D211" t="str">
        <f>IF(Klantgegevens_B!F210&lt;&gt;"", Klantgegevens_B!F210, Klantgegevens_A!D210 &amp; " " &amp; Klantgegevens_A!E210 &amp; ", " &amp; Klantgegevens_A!F210)</f>
        <v>Franco,Jonas,Patricia,Melissa</v>
      </c>
      <c r="E211">
        <f>IF(Klantgegevens_B!G210&lt;&gt;"", Klantgegevens_B!G210, TEXTJOIN(",", TRUE, REPT("Volwassene,", Klantgegevens_A!G210), REPT("Kind,", Klantgegevens_A!H210)))</f>
        <v>196.22</v>
      </c>
      <c r="F211">
        <f>IF(Klantgegevens_B!G210&lt;&gt;"", LEN(Klantgegevens_B!G210)-LEN(SUBSTITUTE(Klantgegevens_B!G210, ",", ""))+1, Klantgegevens_A!G210)</f>
        <v>1</v>
      </c>
      <c r="G211">
        <f>IF(Klantgegevens_B!G210&lt;&gt;"", 0, Klantgegevens_A!H210)</f>
        <v>0</v>
      </c>
      <c r="H211">
        <f>IF(Klantgegevens_B!H210&lt;&gt;"", Klantgegevens_B!H210, Klantgegevens_A!I210)</f>
        <v>12</v>
      </c>
      <c r="I211" t="str">
        <f>IF(Klantgegevens_B!I210&lt;&gt;"", Klantgegevens_B!I210, SWITCH(Klantgegevens_A!J210, "Zelden", 1, "Af en toe", 4, "Regelmatig", 8, "Vaak", 12))</f>
        <v>Bancontact</v>
      </c>
      <c r="J211" t="str">
        <f>IF(Klantgegevens_B!J210&lt;&gt;"", Klantgegevens_B!J210, Klantgegevens_A!K210)</f>
        <v>ja</v>
      </c>
      <c r="K211">
        <f>IF(Klantgegevens_B!K210&lt;&gt;"", AVERAGE(--(Klantgegevens_B!K210="ja"), --(Klantgegevens_B!L210="ja"), --(Klantgegevens_B!M210="ja"), --(Klantgegevens_B!N210="ja"), --(Klantgegevens_B!O210="ja"))*10, Klantgegevens_A!L210)</f>
        <v>6</v>
      </c>
      <c r="L211" t="str">
        <f>IF(Klantgegevens_B!K210&lt;&gt;"", Klantgegevens_B!K210, IF(Klantgegevens_A!L210&gt;=7, "ja", "nee"))</f>
        <v>ja</v>
      </c>
      <c r="M211" t="str">
        <f>IF(Klantgegevens_B!L210&lt;&gt;"", Klantgegevens_B!L210, IF(Klantgegevens_A!L210&gt;=7, "ja", "nee"))</f>
        <v>ja</v>
      </c>
      <c r="N211" t="str">
        <f>IF(Klantgegevens_B!M210&lt;&gt;"", Klantgegevens_B!M210, IF(Klantgegevens_A!L210&gt;=7, "ja", "nee"))</f>
        <v>nee</v>
      </c>
      <c r="O211" t="str">
        <f>IF(Klantgegevens_B!N210&lt;&gt;"", Klantgegevens_B!N210, IF(Klantgegevens_A!L210&gt;=7, "ja", "nee"))</f>
        <v>ja</v>
      </c>
      <c r="P211" t="str">
        <f>IF(Klantgegevens_B!O210&lt;&gt;"", Klantgegevens_B!O210, IF(Klantgegevens_A!L210&gt;=7, "ja", "nee"))</f>
        <v>Geen dieet</v>
      </c>
      <c r="Q211" t="str">
        <f>IF(Klantgegevens_B!P210&lt;&gt;"", Klantgegevens_B!P210, Klantgegevens_A!M210)</f>
        <v>Geen dieet</v>
      </c>
      <c r="R211" t="str">
        <f>IF(Klantgegevens_B!A210&lt;&gt;"", "B", "A")</f>
        <v>B</v>
      </c>
    </row>
    <row r="212" spans="1:18" x14ac:dyDescent="0.3">
      <c r="A212" t="str">
        <f>IF(Klantgegevens_B!A211&lt;&gt;"", Klantgegevens_B!A211, MID(Klantgegevens_A!A211, FIND(",", Klantgegevens_A!A211)+2, LEN(Klantgegevens_A!A211)))</f>
        <v>Pascal</v>
      </c>
      <c r="B212" t="str">
        <f>IF(Klantgegevens_B!B211&lt;&gt;"", Klantgegevens_B!B211, LEFT(Klantgegevens_A!A211, FIND(",", Klantgegevens_A!A211)-1))</f>
        <v>Willems</v>
      </c>
      <c r="C212" t="str">
        <f t="shared" ca="1" si="3"/>
        <v/>
      </c>
      <c r="D212" t="str">
        <f>IF(Klantgegevens_B!F211&lt;&gt;"", Klantgegevens_B!F211, Klantgegevens_A!D211 &amp; " " &amp; Klantgegevens_A!E211 &amp; ", " &amp; Klantgegevens_A!F211)</f>
        <v>Pascal,Joseph</v>
      </c>
      <c r="E212">
        <f>IF(Klantgegevens_B!G211&lt;&gt;"", Klantgegevens_B!G211, TEXTJOIN(",", TRUE, REPT("Volwassene,", Klantgegevens_A!G211), REPT("Kind,", Klantgegevens_A!H211)))</f>
        <v>92.82</v>
      </c>
      <c r="F212">
        <f>IF(Klantgegevens_B!G211&lt;&gt;"", LEN(Klantgegevens_B!G211)-LEN(SUBSTITUTE(Klantgegevens_B!G211, ",", ""))+1, Klantgegevens_A!G211)</f>
        <v>1</v>
      </c>
      <c r="G212">
        <f>IF(Klantgegevens_B!G211&lt;&gt;"", 0, Klantgegevens_A!H211)</f>
        <v>0</v>
      </c>
      <c r="H212">
        <f>IF(Klantgegevens_B!H211&lt;&gt;"", Klantgegevens_B!H211, Klantgegevens_A!I211)</f>
        <v>16</v>
      </c>
      <c r="I212" t="str">
        <f>IF(Klantgegevens_B!I211&lt;&gt;"", Klantgegevens_B!I211, SWITCH(Klantgegevens_A!J211, "Zelden", 1, "Af en toe", 4, "Regelmatig", 8, "Vaak", 12))</f>
        <v>Payconiq</v>
      </c>
      <c r="J212" t="str">
        <f>IF(Klantgegevens_B!J211&lt;&gt;"", Klantgegevens_B!J211, Klantgegevens_A!K211)</f>
        <v>ja</v>
      </c>
      <c r="K212">
        <f>IF(Klantgegevens_B!K211&lt;&gt;"", AVERAGE(--(Klantgegevens_B!K211="ja"), --(Klantgegevens_B!L211="ja"), --(Klantgegevens_B!M211="ja"), --(Klantgegevens_B!N211="ja"), --(Klantgegevens_B!O211="ja"))*10, Klantgegevens_A!L211)</f>
        <v>8</v>
      </c>
      <c r="L212" t="str">
        <f>IF(Klantgegevens_B!K211&lt;&gt;"", Klantgegevens_B!K211, IF(Klantgegevens_A!L211&gt;=7, "ja", "nee"))</f>
        <v>ja</v>
      </c>
      <c r="M212" t="str">
        <f>IF(Klantgegevens_B!L211&lt;&gt;"", Klantgegevens_B!L211, IF(Klantgegevens_A!L211&gt;=7, "ja", "nee"))</f>
        <v>ja</v>
      </c>
      <c r="N212" t="str">
        <f>IF(Klantgegevens_B!M211&lt;&gt;"", Klantgegevens_B!M211, IF(Klantgegevens_A!L211&gt;=7, "ja", "nee"))</f>
        <v>ja</v>
      </c>
      <c r="O212" t="str">
        <f>IF(Klantgegevens_B!N211&lt;&gt;"", Klantgegevens_B!N211, IF(Klantgegevens_A!L211&gt;=7, "ja", "nee"))</f>
        <v>ja</v>
      </c>
      <c r="P212" t="str">
        <f>IF(Klantgegevens_B!O211&lt;&gt;"", Klantgegevens_B!O211, IF(Klantgegevens_A!L211&gt;=7, "ja", "nee"))</f>
        <v>Geen dieet</v>
      </c>
      <c r="Q212" t="str">
        <f>IF(Klantgegevens_B!P211&lt;&gt;"", Klantgegevens_B!P211, Klantgegevens_A!M211)</f>
        <v>Geen dieet</v>
      </c>
      <c r="R212" t="str">
        <f>IF(Klantgegevens_B!A211&lt;&gt;"", "B", "A")</f>
        <v>B</v>
      </c>
    </row>
    <row r="213" spans="1:18" x14ac:dyDescent="0.3">
      <c r="A213" t="str">
        <f>IF(Klantgegevens_B!A212&lt;&gt;"", Klantgegevens_B!A212, MID(Klantgegevens_A!A212, FIND(",", Klantgegevens_A!A212)+2, LEN(Klantgegevens_A!A212)))</f>
        <v>João</v>
      </c>
      <c r="B213" t="str">
        <f>IF(Klantgegevens_B!B212&lt;&gt;"", Klantgegevens_B!B212, LEFT(Klantgegevens_A!A212, FIND(",", Klantgegevens_A!A212)-1))</f>
        <v>Willems</v>
      </c>
      <c r="C213" t="str">
        <f t="shared" ca="1" si="3"/>
        <v/>
      </c>
      <c r="D213" t="str">
        <f>IF(Klantgegevens_B!F212&lt;&gt;"", Klantgegevens_B!F212, Klantgegevens_A!D212 &amp; " " &amp; Klantgegevens_A!E212 &amp; ", " &amp; Klantgegevens_A!F212)</f>
        <v>João,Pippa,Joachim,Jean-Claude</v>
      </c>
      <c r="E213">
        <f>IF(Klantgegevens_B!G212&lt;&gt;"", Klantgegevens_B!G212, TEXTJOIN(",", TRUE, REPT("Volwassene,", Klantgegevens_A!G212), REPT("Kind,", Klantgegevens_A!H212)))</f>
        <v>114.24</v>
      </c>
      <c r="F213">
        <f>IF(Klantgegevens_B!G212&lt;&gt;"", LEN(Klantgegevens_B!G212)-LEN(SUBSTITUTE(Klantgegevens_B!G212, ",", ""))+1, Klantgegevens_A!G212)</f>
        <v>1</v>
      </c>
      <c r="G213">
        <f>IF(Klantgegevens_B!G212&lt;&gt;"", 0, Klantgegevens_A!H212)</f>
        <v>0</v>
      </c>
      <c r="H213">
        <f>IF(Klantgegevens_B!H212&lt;&gt;"", Klantgegevens_B!H212, Klantgegevens_A!I212)</f>
        <v>24</v>
      </c>
      <c r="I213" t="str">
        <f>IF(Klantgegevens_B!I212&lt;&gt;"", Klantgegevens_B!I212, SWITCH(Klantgegevens_A!J212, "Zelden", 1, "Af en toe", 4, "Regelmatig", 8, "Vaak", 12))</f>
        <v>Bancontact</v>
      </c>
      <c r="J213" t="str">
        <f>IF(Klantgegevens_B!J212&lt;&gt;"", Klantgegevens_B!J212, Klantgegevens_A!K212)</f>
        <v>ja</v>
      </c>
      <c r="K213">
        <f>IF(Klantgegevens_B!K212&lt;&gt;"", AVERAGE(--(Klantgegevens_B!K212="ja"), --(Klantgegevens_B!L212="ja"), --(Klantgegevens_B!M212="ja"), --(Klantgegevens_B!N212="ja"), --(Klantgegevens_B!O212="ja"))*10, Klantgegevens_A!L212)</f>
        <v>8</v>
      </c>
      <c r="L213" t="str">
        <f>IF(Klantgegevens_B!K212&lt;&gt;"", Klantgegevens_B!K212, IF(Klantgegevens_A!L212&gt;=7, "ja", "nee"))</f>
        <v>ja</v>
      </c>
      <c r="M213" t="str">
        <f>IF(Klantgegevens_B!L212&lt;&gt;"", Klantgegevens_B!L212, IF(Klantgegevens_A!L212&gt;=7, "ja", "nee"))</f>
        <v>ja</v>
      </c>
      <c r="N213" t="str">
        <f>IF(Klantgegevens_B!M212&lt;&gt;"", Klantgegevens_B!M212, IF(Klantgegevens_A!L212&gt;=7, "ja", "nee"))</f>
        <v>ja</v>
      </c>
      <c r="O213" t="str">
        <f>IF(Klantgegevens_B!N212&lt;&gt;"", Klantgegevens_B!N212, IF(Klantgegevens_A!L212&gt;=7, "ja", "nee"))</f>
        <v>ja</v>
      </c>
      <c r="P213" t="str">
        <f>IF(Klantgegevens_B!O212&lt;&gt;"", Klantgegevens_B!O212, IF(Klantgegevens_A!L212&gt;=7, "ja", "nee"))</f>
        <v>Geen dieet</v>
      </c>
      <c r="Q213" t="str">
        <f>IF(Klantgegevens_B!P212&lt;&gt;"", Klantgegevens_B!P212, Klantgegevens_A!M212)</f>
        <v>Geen dieet</v>
      </c>
      <c r="R213" t="str">
        <f>IF(Klantgegevens_B!A212&lt;&gt;"", "B", "A")</f>
        <v>B</v>
      </c>
    </row>
    <row r="214" spans="1:18" x14ac:dyDescent="0.3">
      <c r="A214" t="str">
        <f>IF(Klantgegevens_B!A213&lt;&gt;"", Klantgegevens_B!A213, MID(Klantgegevens_A!A213, FIND(",", Klantgegevens_A!A213)+2, LEN(Klantgegevens_A!A213)))</f>
        <v>Shadi</v>
      </c>
      <c r="B214" t="str">
        <f>IF(Klantgegevens_B!B213&lt;&gt;"", Klantgegevens_B!B213, LEFT(Klantgegevens_A!A213, FIND(",", Klantgegevens_A!A213)-1))</f>
        <v>Van den eynde</v>
      </c>
      <c r="C214" t="str">
        <f t="shared" ca="1" si="3"/>
        <v/>
      </c>
      <c r="D214" t="str">
        <f>IF(Klantgegevens_B!F213&lt;&gt;"", Klantgegevens_B!F213, Klantgegevens_A!D213 &amp; " " &amp; Klantgegevens_A!E213 &amp; ", " &amp; Klantgegevens_A!F213)</f>
        <v>Shadi</v>
      </c>
      <c r="E214">
        <f>IF(Klantgegevens_B!G213&lt;&gt;"", Klantgegevens_B!G213, TEXTJOIN(",", TRUE, REPT("Volwassene,", Klantgegevens_A!G213), REPT("Kind,", Klantgegevens_A!H213)))</f>
        <v>22.11</v>
      </c>
      <c r="F214">
        <f>IF(Klantgegevens_B!G213&lt;&gt;"", LEN(Klantgegevens_B!G213)-LEN(SUBSTITUTE(Klantgegevens_B!G213, ",", ""))+1, Klantgegevens_A!G213)</f>
        <v>1</v>
      </c>
      <c r="G214">
        <f>IF(Klantgegevens_B!G213&lt;&gt;"", 0, Klantgegevens_A!H213)</f>
        <v>0</v>
      </c>
      <c r="H214">
        <f>IF(Klantgegevens_B!H213&lt;&gt;"", Klantgegevens_B!H213, Klantgegevens_A!I213)</f>
        <v>5</v>
      </c>
      <c r="I214" t="str">
        <f>IF(Klantgegevens_B!I213&lt;&gt;"", Klantgegevens_B!I213, SWITCH(Klantgegevens_A!J213, "Zelden", 1, "Af en toe", 4, "Regelmatig", 8, "Vaak", 12))</f>
        <v>Bancontact</v>
      </c>
      <c r="J214" t="str">
        <f>IF(Klantgegevens_B!J213&lt;&gt;"", Klantgegevens_B!J213, Klantgegevens_A!K213)</f>
        <v>ja</v>
      </c>
      <c r="K214">
        <f>IF(Klantgegevens_B!K213&lt;&gt;"", AVERAGE(--(Klantgegevens_B!K213="ja"), --(Klantgegevens_B!L213="ja"), --(Klantgegevens_B!M213="ja"), --(Klantgegevens_B!N213="ja"), --(Klantgegevens_B!O213="ja"))*10, Klantgegevens_A!L213)</f>
        <v>6</v>
      </c>
      <c r="L214" t="str">
        <f>IF(Klantgegevens_B!K213&lt;&gt;"", Klantgegevens_B!K213, IF(Klantgegevens_A!L213&gt;=7, "ja", "nee"))</f>
        <v>ja</v>
      </c>
      <c r="M214" t="str">
        <f>IF(Klantgegevens_B!L213&lt;&gt;"", Klantgegevens_B!L213, IF(Klantgegevens_A!L213&gt;=7, "ja", "nee"))</f>
        <v>nee</v>
      </c>
      <c r="N214" t="str">
        <f>IF(Klantgegevens_B!M213&lt;&gt;"", Klantgegevens_B!M213, IF(Klantgegevens_A!L213&gt;=7, "ja", "nee"))</f>
        <v>ja</v>
      </c>
      <c r="O214" t="str">
        <f>IF(Klantgegevens_B!N213&lt;&gt;"", Klantgegevens_B!N213, IF(Klantgegevens_A!L213&gt;=7, "ja", "nee"))</f>
        <v>ja</v>
      </c>
      <c r="P214" t="str">
        <f>IF(Klantgegevens_B!O213&lt;&gt;"", Klantgegevens_B!O213, IF(Klantgegevens_A!L213&gt;=7, "ja", "nee"))</f>
        <v>Geen dieet</v>
      </c>
      <c r="Q214" t="str">
        <f>IF(Klantgegevens_B!P213&lt;&gt;"", Klantgegevens_B!P213, Klantgegevens_A!M213)</f>
        <v>Geen dieet</v>
      </c>
      <c r="R214" t="str">
        <f>IF(Klantgegevens_B!A213&lt;&gt;"", "B", "A")</f>
        <v>B</v>
      </c>
    </row>
    <row r="215" spans="1:18" x14ac:dyDescent="0.3">
      <c r="A215" t="str">
        <f>IF(Klantgegevens_B!A214&lt;&gt;"", Klantgegevens_B!A214, MID(Klantgegevens_A!A214, FIND(",", Klantgegevens_A!A214)+2, LEN(Klantgegevens_A!A214)))</f>
        <v>Tijmen</v>
      </c>
      <c r="B215" t="str">
        <f>IF(Klantgegevens_B!B214&lt;&gt;"", Klantgegevens_B!B214, LEFT(Klantgegevens_A!A214, FIND(",", Klantgegevens_A!A214)-1))</f>
        <v>Cornelis</v>
      </c>
      <c r="C215" t="str">
        <f t="shared" ca="1" si="3"/>
        <v/>
      </c>
      <c r="D215" t="str">
        <f>IF(Klantgegevens_B!F214&lt;&gt;"", Klantgegevens_B!F214, Klantgegevens_A!D214 &amp; " " &amp; Klantgegevens_A!E214 &amp; ", " &amp; Klantgegevens_A!F214)</f>
        <v>Tijmen,Timothée</v>
      </c>
      <c r="E215">
        <f>IF(Klantgegevens_B!G214&lt;&gt;"", Klantgegevens_B!G214, TEXTJOIN(",", TRUE, REPT("Volwassene,", Klantgegevens_A!G214), REPT("Kind,", Klantgegevens_A!H214)))</f>
        <v>88.75</v>
      </c>
      <c r="F215">
        <f>IF(Klantgegevens_B!G214&lt;&gt;"", LEN(Klantgegevens_B!G214)-LEN(SUBSTITUTE(Klantgegevens_B!G214, ",", ""))+1, Klantgegevens_A!G214)</f>
        <v>1</v>
      </c>
      <c r="G215">
        <f>IF(Klantgegevens_B!G214&lt;&gt;"", 0, Klantgegevens_A!H214)</f>
        <v>0</v>
      </c>
      <c r="H215">
        <f>IF(Klantgegevens_B!H214&lt;&gt;"", Klantgegevens_B!H214, Klantgegevens_A!I214)</f>
        <v>9</v>
      </c>
      <c r="I215" t="str">
        <f>IF(Klantgegevens_B!I214&lt;&gt;"", Klantgegevens_B!I214, SWITCH(Klantgegevens_A!J214, "Zelden", 1, "Af en toe", 4, "Regelmatig", 8, "Vaak", 12))</f>
        <v>Payconiq</v>
      </c>
      <c r="J215" t="str">
        <f>IF(Klantgegevens_B!J214&lt;&gt;"", Klantgegevens_B!J214, Klantgegevens_A!K214)</f>
        <v>ja</v>
      </c>
      <c r="K215">
        <f>IF(Klantgegevens_B!K214&lt;&gt;"", AVERAGE(--(Klantgegevens_B!K214="ja"), --(Klantgegevens_B!L214="ja"), --(Klantgegevens_B!M214="ja"), --(Klantgegevens_B!N214="ja"), --(Klantgegevens_B!O214="ja"))*10, Klantgegevens_A!L214)</f>
        <v>6</v>
      </c>
      <c r="L215" t="str">
        <f>IF(Klantgegevens_B!K214&lt;&gt;"", Klantgegevens_B!K214, IF(Klantgegevens_A!L214&gt;=7, "ja", "nee"))</f>
        <v>ja</v>
      </c>
      <c r="M215" t="str">
        <f>IF(Klantgegevens_B!L214&lt;&gt;"", Klantgegevens_B!L214, IF(Klantgegevens_A!L214&gt;=7, "ja", "nee"))</f>
        <v>ja</v>
      </c>
      <c r="N215" t="str">
        <f>IF(Klantgegevens_B!M214&lt;&gt;"", Klantgegevens_B!M214, IF(Klantgegevens_A!L214&gt;=7, "ja", "nee"))</f>
        <v>ja</v>
      </c>
      <c r="O215" t="str">
        <f>IF(Klantgegevens_B!N214&lt;&gt;"", Klantgegevens_B!N214, IF(Klantgegevens_A!L214&gt;=7, "ja", "nee"))</f>
        <v>nee</v>
      </c>
      <c r="P215" t="str">
        <f>IF(Klantgegevens_B!O214&lt;&gt;"", Klantgegevens_B!O214, IF(Klantgegevens_A!L214&gt;=7, "ja", "nee"))</f>
        <v>Geen dieet</v>
      </c>
      <c r="Q215" t="str">
        <f>IF(Klantgegevens_B!P214&lt;&gt;"", Klantgegevens_B!P214, Klantgegevens_A!M214)</f>
        <v>Geen dieet</v>
      </c>
      <c r="R215" t="str">
        <f>IF(Klantgegevens_B!A214&lt;&gt;"", "B", "A")</f>
        <v>B</v>
      </c>
    </row>
    <row r="216" spans="1:18" x14ac:dyDescent="0.3">
      <c r="A216" t="str">
        <f>IF(Klantgegevens_B!A215&lt;&gt;"", Klantgegevens_B!A215, MID(Klantgegevens_A!A215, FIND(",", Klantgegevens_A!A215)+2, LEN(Klantgegevens_A!A215)))</f>
        <v>Francis</v>
      </c>
      <c r="B216" t="str">
        <f>IF(Klantgegevens_B!B215&lt;&gt;"", Klantgegevens_B!B215, LEFT(Klantgegevens_A!A215, FIND(",", Klantgegevens_A!A215)-1))</f>
        <v>Vanhoutte</v>
      </c>
      <c r="C216" t="str">
        <f t="shared" ca="1" si="3"/>
        <v/>
      </c>
      <c r="D216" t="str">
        <f>IF(Klantgegevens_B!F215&lt;&gt;"", Klantgegevens_B!F215, Klantgegevens_A!D215 &amp; " " &amp; Klantgegevens_A!E215 &amp; ", " &amp; Klantgegevens_A!F215)</f>
        <v>Francis,Belgacem,Henk</v>
      </c>
      <c r="E216">
        <f>IF(Klantgegevens_B!G215&lt;&gt;"", Klantgegevens_B!G215, TEXTJOIN(",", TRUE, REPT("Volwassene,", Klantgegevens_A!G215), REPT("Kind,", Klantgegevens_A!H215)))</f>
        <v>42.62</v>
      </c>
      <c r="F216">
        <f>IF(Klantgegevens_B!G215&lt;&gt;"", LEN(Klantgegevens_B!G215)-LEN(SUBSTITUTE(Klantgegevens_B!G215, ",", ""))+1, Klantgegevens_A!G215)</f>
        <v>1</v>
      </c>
      <c r="G216">
        <f>IF(Klantgegevens_B!G215&lt;&gt;"", 0, Klantgegevens_A!H215)</f>
        <v>0</v>
      </c>
      <c r="H216">
        <f>IF(Klantgegevens_B!H215&lt;&gt;"", Klantgegevens_B!H215, Klantgegevens_A!I215)</f>
        <v>1</v>
      </c>
      <c r="I216" t="str">
        <f>IF(Klantgegevens_B!I215&lt;&gt;"", Klantgegevens_B!I215, SWITCH(Klantgegevens_A!J215, "Zelden", 1, "Af en toe", 4, "Regelmatig", 8, "Vaak", 12))</f>
        <v>Payconiq</v>
      </c>
      <c r="J216" t="str">
        <f>IF(Klantgegevens_B!J215&lt;&gt;"", Klantgegevens_B!J215, Klantgegevens_A!K215)</f>
        <v>nee</v>
      </c>
      <c r="K216">
        <f>IF(Klantgegevens_B!K215&lt;&gt;"", AVERAGE(--(Klantgegevens_B!K215="ja"), --(Klantgegevens_B!L215="ja"), --(Klantgegevens_B!M215="ja"), --(Klantgegevens_B!N215="ja"), --(Klantgegevens_B!O215="ja"))*10, Klantgegevens_A!L215)</f>
        <v>8</v>
      </c>
      <c r="L216" t="str">
        <f>IF(Klantgegevens_B!K215&lt;&gt;"", Klantgegevens_B!K215, IF(Klantgegevens_A!L215&gt;=7, "ja", "nee"))</f>
        <v>ja</v>
      </c>
      <c r="M216" t="str">
        <f>IF(Klantgegevens_B!L215&lt;&gt;"", Klantgegevens_B!L215, IF(Klantgegevens_A!L215&gt;=7, "ja", "nee"))</f>
        <v>ja</v>
      </c>
      <c r="N216" t="str">
        <f>IF(Klantgegevens_B!M215&lt;&gt;"", Klantgegevens_B!M215, IF(Klantgegevens_A!L215&gt;=7, "ja", "nee"))</f>
        <v>ja</v>
      </c>
      <c r="O216" t="str">
        <f>IF(Klantgegevens_B!N215&lt;&gt;"", Klantgegevens_B!N215, IF(Klantgegevens_A!L215&gt;=7, "ja", "nee"))</f>
        <v>ja</v>
      </c>
      <c r="P216" t="str">
        <f>IF(Klantgegevens_B!O215&lt;&gt;"", Klantgegevens_B!O215, IF(Klantgegevens_A!L215&gt;=7, "ja", "nee"))</f>
        <v>Geen dieet</v>
      </c>
      <c r="Q216" t="str">
        <f>IF(Klantgegevens_B!P215&lt;&gt;"", Klantgegevens_B!P215, Klantgegevens_A!M215)</f>
        <v>Vegetarisch</v>
      </c>
      <c r="R216" t="str">
        <f>IF(Klantgegevens_B!A215&lt;&gt;"", "B", "A")</f>
        <v>B</v>
      </c>
    </row>
    <row r="217" spans="1:18" x14ac:dyDescent="0.3">
      <c r="A217" t="str">
        <f>IF(Klantgegevens_B!A216&lt;&gt;"", Klantgegevens_B!A216, MID(Klantgegevens_A!A216, FIND(",", Klantgegevens_A!A216)+2, LEN(Klantgegevens_A!A216)))</f>
        <v>Milan</v>
      </c>
      <c r="B217" t="str">
        <f>IF(Klantgegevens_B!B216&lt;&gt;"", Klantgegevens_B!B216, LEFT(Klantgegevens_A!A216, FIND(",", Klantgegevens_A!A216)-1))</f>
        <v>Legrand</v>
      </c>
      <c r="C217" t="str">
        <f t="shared" ca="1" si="3"/>
        <v/>
      </c>
      <c r="D217" t="str">
        <f>IF(Klantgegevens_B!F216&lt;&gt;"", Klantgegevens_B!F216, Klantgegevens_A!D216 &amp; " " &amp; Klantgegevens_A!E216 &amp; ", " &amp; Klantgegevens_A!F216)</f>
        <v>Milan,Maria,Logan</v>
      </c>
      <c r="E217">
        <f>IF(Klantgegevens_B!G216&lt;&gt;"", Klantgegevens_B!G216, TEXTJOIN(",", TRUE, REPT("Volwassene,", Klantgegevens_A!G216), REPT("Kind,", Klantgegevens_A!H216)))</f>
        <v>124.87</v>
      </c>
      <c r="F217">
        <f>IF(Klantgegevens_B!G216&lt;&gt;"", LEN(Klantgegevens_B!G216)-LEN(SUBSTITUTE(Klantgegevens_B!G216, ",", ""))+1, Klantgegevens_A!G216)</f>
        <v>1</v>
      </c>
      <c r="G217">
        <f>IF(Klantgegevens_B!G216&lt;&gt;"", 0, Klantgegevens_A!H216)</f>
        <v>0</v>
      </c>
      <c r="H217">
        <f>IF(Klantgegevens_B!H216&lt;&gt;"", Klantgegevens_B!H216, Klantgegevens_A!I216)</f>
        <v>1</v>
      </c>
      <c r="I217" t="str">
        <f>IF(Klantgegevens_B!I216&lt;&gt;"", Klantgegevens_B!I216, SWITCH(Klantgegevens_A!J216, "Zelden", 1, "Af en toe", 4, "Regelmatig", 8, "Vaak", 12))</f>
        <v>Payconiq</v>
      </c>
      <c r="J217" t="str">
        <f>IF(Klantgegevens_B!J216&lt;&gt;"", Klantgegevens_B!J216, Klantgegevens_A!K216)</f>
        <v>nee</v>
      </c>
      <c r="K217">
        <f>IF(Klantgegevens_B!K216&lt;&gt;"", AVERAGE(--(Klantgegevens_B!K216="ja"), --(Klantgegevens_B!L216="ja"), --(Klantgegevens_B!M216="ja"), --(Klantgegevens_B!N216="ja"), --(Klantgegevens_B!O216="ja"))*10, Klantgegevens_A!L216)</f>
        <v>6</v>
      </c>
      <c r="L217" t="str">
        <f>IF(Klantgegevens_B!K216&lt;&gt;"", Klantgegevens_B!K216, IF(Klantgegevens_A!L216&gt;=7, "ja", "nee"))</f>
        <v>ja</v>
      </c>
      <c r="M217" t="str">
        <f>IF(Klantgegevens_B!L216&lt;&gt;"", Klantgegevens_B!L216, IF(Klantgegevens_A!L216&gt;=7, "ja", "nee"))</f>
        <v>nee</v>
      </c>
      <c r="N217" t="str">
        <f>IF(Klantgegevens_B!M216&lt;&gt;"", Klantgegevens_B!M216, IF(Klantgegevens_A!L216&gt;=7, "ja", "nee"))</f>
        <v>ja</v>
      </c>
      <c r="O217" t="str">
        <f>IF(Klantgegevens_B!N216&lt;&gt;"", Klantgegevens_B!N216, IF(Klantgegevens_A!L216&gt;=7, "ja", "nee"))</f>
        <v>ja</v>
      </c>
      <c r="P217" t="str">
        <f>IF(Klantgegevens_B!O216&lt;&gt;"", Klantgegevens_B!O216, IF(Klantgegevens_A!L216&gt;=7, "ja", "nee"))</f>
        <v>Geen dieet</v>
      </c>
      <c r="Q217" t="str">
        <f>IF(Klantgegevens_B!P216&lt;&gt;"", Klantgegevens_B!P216, Klantgegevens_A!M216)</f>
        <v>Geen dieet</v>
      </c>
      <c r="R217" t="str">
        <f>IF(Klantgegevens_B!A216&lt;&gt;"", "B", "A")</f>
        <v>B</v>
      </c>
    </row>
    <row r="218" spans="1:18" x14ac:dyDescent="0.3">
      <c r="A218" t="str">
        <f>IF(Klantgegevens_B!A217&lt;&gt;"", Klantgegevens_B!A217, MID(Klantgegevens_A!A217, FIND(",", Klantgegevens_A!A217)+2, LEN(Klantgegevens_A!A217)))</f>
        <v>Christa</v>
      </c>
      <c r="B218" t="str">
        <f>IF(Klantgegevens_B!B217&lt;&gt;"", Klantgegevens_B!B217, LEFT(Klantgegevens_A!A217, FIND(",", Klantgegevens_A!A217)-1))</f>
        <v>Vermeulen</v>
      </c>
      <c r="C218" t="str">
        <f t="shared" ca="1" si="3"/>
        <v/>
      </c>
      <c r="D218" t="str">
        <f>IF(Klantgegevens_B!F217&lt;&gt;"", Klantgegevens_B!F217, Klantgegevens_A!D217 &amp; " " &amp; Klantgegevens_A!E217 &amp; ", " &amp; Klantgegevens_A!F217)</f>
        <v>Christa,Willy,Thomas</v>
      </c>
      <c r="E218">
        <f>IF(Klantgegevens_B!G217&lt;&gt;"", Klantgegevens_B!G217, TEXTJOIN(",", TRUE, REPT("Volwassene,", Klantgegevens_A!G217), REPT("Kind,", Klantgegevens_A!H217)))</f>
        <v>136.07</v>
      </c>
      <c r="F218">
        <f>IF(Klantgegevens_B!G217&lt;&gt;"", LEN(Klantgegevens_B!G217)-LEN(SUBSTITUTE(Klantgegevens_B!G217, ",", ""))+1, Klantgegevens_A!G217)</f>
        <v>1</v>
      </c>
      <c r="G218">
        <f>IF(Klantgegevens_B!G217&lt;&gt;"", 0, Klantgegevens_A!H217)</f>
        <v>0</v>
      </c>
      <c r="H218">
        <f>IF(Klantgegevens_B!H217&lt;&gt;"", Klantgegevens_B!H217, Klantgegevens_A!I217)</f>
        <v>11</v>
      </c>
      <c r="I218" t="str">
        <f>IF(Klantgegevens_B!I217&lt;&gt;"", Klantgegevens_B!I217, SWITCH(Klantgegevens_A!J217, "Zelden", 1, "Af en toe", 4, "Regelmatig", 8, "Vaak", 12))</f>
        <v>Payconiq</v>
      </c>
      <c r="J218" t="str">
        <f>IF(Klantgegevens_B!J217&lt;&gt;"", Klantgegevens_B!J217, Klantgegevens_A!K217)</f>
        <v>ja</v>
      </c>
      <c r="K218">
        <f>IF(Klantgegevens_B!K217&lt;&gt;"", AVERAGE(--(Klantgegevens_B!K217="ja"), --(Klantgegevens_B!L217="ja"), --(Klantgegevens_B!M217="ja"), --(Klantgegevens_B!N217="ja"), --(Klantgegevens_B!O217="ja"))*10, Klantgegevens_A!L217)</f>
        <v>6</v>
      </c>
      <c r="L218" t="str">
        <f>IF(Klantgegevens_B!K217&lt;&gt;"", Klantgegevens_B!K217, IF(Klantgegevens_A!L217&gt;=7, "ja", "nee"))</f>
        <v>ja</v>
      </c>
      <c r="M218" t="str">
        <f>IF(Klantgegevens_B!L217&lt;&gt;"", Klantgegevens_B!L217, IF(Klantgegevens_A!L217&gt;=7, "ja", "nee"))</f>
        <v>ja</v>
      </c>
      <c r="N218" t="str">
        <f>IF(Klantgegevens_B!M217&lt;&gt;"", Klantgegevens_B!M217, IF(Klantgegevens_A!L217&gt;=7, "ja", "nee"))</f>
        <v>nee</v>
      </c>
      <c r="O218" t="str">
        <f>IF(Klantgegevens_B!N217&lt;&gt;"", Klantgegevens_B!N217, IF(Klantgegevens_A!L217&gt;=7, "ja", "nee"))</f>
        <v>ja</v>
      </c>
      <c r="P218" t="str">
        <f>IF(Klantgegevens_B!O217&lt;&gt;"", Klantgegevens_B!O217, IF(Klantgegevens_A!L217&gt;=7, "ja", "nee"))</f>
        <v>Geen dieet</v>
      </c>
      <c r="Q218" t="str">
        <f>IF(Klantgegevens_B!P217&lt;&gt;"", Klantgegevens_B!P217, Klantgegevens_A!M217)</f>
        <v>Geen dieet</v>
      </c>
      <c r="R218" t="str">
        <f>IF(Klantgegevens_B!A217&lt;&gt;"", "B", "A")</f>
        <v>B</v>
      </c>
    </row>
    <row r="219" spans="1:18" x14ac:dyDescent="0.3">
      <c r="A219" t="str">
        <f>IF(Klantgegevens_B!A218&lt;&gt;"", Klantgegevens_B!A218, MID(Klantgegevens_A!A218, FIND(",", Klantgegevens_A!A218)+2, LEN(Klantgegevens_A!A218)))</f>
        <v>Alex</v>
      </c>
      <c r="B219" t="str">
        <f>IF(Klantgegevens_B!B218&lt;&gt;"", Klantgegevens_B!B218, LEFT(Klantgegevens_A!A218, FIND(",", Klantgegevens_A!A218)-1))</f>
        <v>Vandewalle</v>
      </c>
      <c r="C219" t="str">
        <f t="shared" ca="1" si="3"/>
        <v/>
      </c>
      <c r="D219" t="str">
        <f>IF(Klantgegevens_B!F218&lt;&gt;"", Klantgegevens_B!F218, Klantgegevens_A!D218 &amp; " " &amp; Klantgegevens_A!E218 &amp; ", " &amp; Klantgegevens_A!F218)</f>
        <v>Alex,Laurette,Kenneth,Noëlla</v>
      </c>
      <c r="E219">
        <f>IF(Klantgegevens_B!G218&lt;&gt;"", Klantgegevens_B!G218, TEXTJOIN(",", TRUE, REPT("Volwassene,", Klantgegevens_A!G218), REPT("Kind,", Klantgegevens_A!H218)))</f>
        <v>136.58000000000001</v>
      </c>
      <c r="F219">
        <f>IF(Klantgegevens_B!G218&lt;&gt;"", LEN(Klantgegevens_B!G218)-LEN(SUBSTITUTE(Klantgegevens_B!G218, ",", ""))+1, Klantgegevens_A!G218)</f>
        <v>1</v>
      </c>
      <c r="G219">
        <f>IF(Klantgegevens_B!G218&lt;&gt;"", 0, Klantgegevens_A!H218)</f>
        <v>0</v>
      </c>
      <c r="H219">
        <f>IF(Klantgegevens_B!H218&lt;&gt;"", Klantgegevens_B!H218, Klantgegevens_A!I218)</f>
        <v>3</v>
      </c>
      <c r="I219" t="str">
        <f>IF(Klantgegevens_B!I218&lt;&gt;"", Klantgegevens_B!I218, SWITCH(Klantgegevens_A!J218, "Zelden", 1, "Af en toe", 4, "Regelmatig", 8, "Vaak", 12))</f>
        <v>Payconiq</v>
      </c>
      <c r="J219" t="str">
        <f>IF(Klantgegevens_B!J218&lt;&gt;"", Klantgegevens_B!J218, Klantgegevens_A!K218)</f>
        <v>ja</v>
      </c>
      <c r="K219">
        <f>IF(Klantgegevens_B!K218&lt;&gt;"", AVERAGE(--(Klantgegevens_B!K218="ja"), --(Klantgegevens_B!L218="ja"), --(Klantgegevens_B!M218="ja"), --(Klantgegevens_B!N218="ja"), --(Klantgegevens_B!O218="ja"))*10, Klantgegevens_A!L218)</f>
        <v>8</v>
      </c>
      <c r="L219" t="str">
        <f>IF(Klantgegevens_B!K218&lt;&gt;"", Klantgegevens_B!K218, IF(Klantgegevens_A!L218&gt;=7, "ja", "nee"))</f>
        <v>ja</v>
      </c>
      <c r="M219" t="str">
        <f>IF(Klantgegevens_B!L218&lt;&gt;"", Klantgegevens_B!L218, IF(Klantgegevens_A!L218&gt;=7, "ja", "nee"))</f>
        <v>ja</v>
      </c>
      <c r="N219" t="str">
        <f>IF(Klantgegevens_B!M218&lt;&gt;"", Klantgegevens_B!M218, IF(Klantgegevens_A!L218&gt;=7, "ja", "nee"))</f>
        <v>ja</v>
      </c>
      <c r="O219" t="str">
        <f>IF(Klantgegevens_B!N218&lt;&gt;"", Klantgegevens_B!N218, IF(Klantgegevens_A!L218&gt;=7, "ja", "nee"))</f>
        <v>ja</v>
      </c>
      <c r="P219" t="str">
        <f>IF(Klantgegevens_B!O218&lt;&gt;"", Klantgegevens_B!O218, IF(Klantgegevens_A!L218&gt;=7, "ja", "nee"))</f>
        <v>Vegetarisch</v>
      </c>
      <c r="Q219" t="str">
        <f>IF(Klantgegevens_B!P218&lt;&gt;"", Klantgegevens_B!P218, Klantgegevens_A!M218)</f>
        <v>Geen dieet</v>
      </c>
      <c r="R219" t="str">
        <f>IF(Klantgegevens_B!A218&lt;&gt;"", "B", "A")</f>
        <v>B</v>
      </c>
    </row>
    <row r="220" spans="1:18" x14ac:dyDescent="0.3">
      <c r="A220" t="str">
        <f>IF(Klantgegevens_B!A219&lt;&gt;"", Klantgegevens_B!A219, MID(Klantgegevens_A!A219, FIND(",", Klantgegevens_A!A219)+2, LEN(Klantgegevens_A!A219)))</f>
        <v>Kenny</v>
      </c>
      <c r="B220" t="str">
        <f>IF(Klantgegevens_B!B219&lt;&gt;"", Klantgegevens_B!B219, LEFT(Klantgegevens_A!A219, FIND(",", Klantgegevens_A!A219)-1))</f>
        <v>Vandenbroucke</v>
      </c>
      <c r="C220" t="str">
        <f t="shared" ca="1" si="3"/>
        <v/>
      </c>
      <c r="D220" t="str">
        <f>IF(Klantgegevens_B!F219&lt;&gt;"", Klantgegevens_B!F219, Klantgegevens_A!D219 &amp; " " &amp; Klantgegevens_A!E219 &amp; ", " &amp; Klantgegevens_A!F219)</f>
        <v>Kenny,Julienne,Albert,Ruddi,Marie-Anne,Elaine</v>
      </c>
      <c r="E220">
        <f>IF(Klantgegevens_B!G219&lt;&gt;"", Klantgegevens_B!G219, TEXTJOIN(",", TRUE, REPT("Volwassene,", Klantgegevens_A!G219), REPT("Kind,", Klantgegevens_A!H219)))</f>
        <v>118.72</v>
      </c>
      <c r="F220">
        <f>IF(Klantgegevens_B!G219&lt;&gt;"", LEN(Klantgegevens_B!G219)-LEN(SUBSTITUTE(Klantgegevens_B!G219, ",", ""))+1, Klantgegevens_A!G219)</f>
        <v>1</v>
      </c>
      <c r="G220">
        <f>IF(Klantgegevens_B!G219&lt;&gt;"", 0, Klantgegevens_A!H219)</f>
        <v>0</v>
      </c>
      <c r="H220">
        <f>IF(Klantgegevens_B!H219&lt;&gt;"", Klantgegevens_B!H219, Klantgegevens_A!I219)</f>
        <v>14</v>
      </c>
      <c r="I220" t="str">
        <f>IF(Klantgegevens_B!I219&lt;&gt;"", Klantgegevens_B!I219, SWITCH(Klantgegevens_A!J219, "Zelden", 1, "Af en toe", 4, "Regelmatig", 8, "Vaak", 12))</f>
        <v>Payconiq</v>
      </c>
      <c r="J220" t="str">
        <f>IF(Klantgegevens_B!J219&lt;&gt;"", Klantgegevens_B!J219, Klantgegevens_A!K219)</f>
        <v>nee</v>
      </c>
      <c r="K220">
        <f>IF(Klantgegevens_B!K219&lt;&gt;"", AVERAGE(--(Klantgegevens_B!K219="ja"), --(Klantgegevens_B!L219="ja"), --(Klantgegevens_B!M219="ja"), --(Klantgegevens_B!N219="ja"), --(Klantgegevens_B!O219="ja"))*10, Klantgegevens_A!L219)</f>
        <v>6</v>
      </c>
      <c r="L220" t="str">
        <f>IF(Klantgegevens_B!K219&lt;&gt;"", Klantgegevens_B!K219, IF(Klantgegevens_A!L219&gt;=7, "ja", "nee"))</f>
        <v>ja</v>
      </c>
      <c r="M220" t="str">
        <f>IF(Klantgegevens_B!L219&lt;&gt;"", Klantgegevens_B!L219, IF(Klantgegevens_A!L219&gt;=7, "ja", "nee"))</f>
        <v>ja</v>
      </c>
      <c r="N220" t="str">
        <f>IF(Klantgegevens_B!M219&lt;&gt;"", Klantgegevens_B!M219, IF(Klantgegevens_A!L219&gt;=7, "ja", "nee"))</f>
        <v>ja</v>
      </c>
      <c r="O220" t="str">
        <f>IF(Klantgegevens_B!N219&lt;&gt;"", Klantgegevens_B!N219, IF(Klantgegevens_A!L219&gt;=7, "ja", "nee"))</f>
        <v>nee</v>
      </c>
      <c r="P220" t="str">
        <f>IF(Klantgegevens_B!O219&lt;&gt;"", Klantgegevens_B!O219, IF(Klantgegevens_A!L219&gt;=7, "ja", "nee"))</f>
        <v>Geen dieet</v>
      </c>
      <c r="Q220" t="str">
        <f>IF(Klantgegevens_B!P219&lt;&gt;"", Klantgegevens_B!P219, Klantgegevens_A!M219)</f>
        <v>Geen dieet</v>
      </c>
      <c r="R220" t="str">
        <f>IF(Klantgegevens_B!A219&lt;&gt;"", "B", "A")</f>
        <v>B</v>
      </c>
    </row>
    <row r="221" spans="1:18" x14ac:dyDescent="0.3">
      <c r="A221" t="str">
        <f>IF(Klantgegevens_B!A220&lt;&gt;"", Klantgegevens_B!A220, MID(Klantgegevens_A!A220, FIND(",", Klantgegevens_A!A220)+2, LEN(Klantgegevens_A!A220)))</f>
        <v>Jeanine</v>
      </c>
      <c r="B221" t="str">
        <f>IF(Klantgegevens_B!B220&lt;&gt;"", Klantgegevens_B!B220, LEFT(Klantgegevens_A!A220, FIND(",", Klantgegevens_A!A220)-1))</f>
        <v>Goris</v>
      </c>
      <c r="C221" t="str">
        <f t="shared" ca="1" si="3"/>
        <v/>
      </c>
      <c r="D221" t="str">
        <f>IF(Klantgegevens_B!F220&lt;&gt;"", Klantgegevens_B!F220, Klantgegevens_A!D220 &amp; " " &amp; Klantgegevens_A!E220 &amp; ", " &amp; Klantgegevens_A!F220)</f>
        <v>Jeanine,Khadija,Marguerite,William</v>
      </c>
      <c r="E221">
        <f>IF(Klantgegevens_B!G220&lt;&gt;"", Klantgegevens_B!G220, TEXTJOIN(",", TRUE, REPT("Volwassene,", Klantgegevens_A!G220), REPT("Kind,", Klantgegevens_A!H220)))</f>
        <v>156.19</v>
      </c>
      <c r="F221">
        <f>IF(Klantgegevens_B!G220&lt;&gt;"", LEN(Klantgegevens_B!G220)-LEN(SUBSTITUTE(Klantgegevens_B!G220, ",", ""))+1, Klantgegevens_A!G220)</f>
        <v>1</v>
      </c>
      <c r="G221">
        <f>IF(Klantgegevens_B!G220&lt;&gt;"", 0, Klantgegevens_A!H220)</f>
        <v>0</v>
      </c>
      <c r="H221">
        <f>IF(Klantgegevens_B!H220&lt;&gt;"", Klantgegevens_B!H220, Klantgegevens_A!I220)</f>
        <v>6</v>
      </c>
      <c r="I221" t="str">
        <f>IF(Klantgegevens_B!I220&lt;&gt;"", Klantgegevens_B!I220, SWITCH(Klantgegevens_A!J220, "Zelden", 1, "Af en toe", 4, "Regelmatig", 8, "Vaak", 12))</f>
        <v>Payconiq</v>
      </c>
      <c r="J221" t="str">
        <f>IF(Klantgegevens_B!J220&lt;&gt;"", Klantgegevens_B!J220, Klantgegevens_A!K220)</f>
        <v>nee</v>
      </c>
      <c r="K221">
        <f>IF(Klantgegevens_B!K220&lt;&gt;"", AVERAGE(--(Klantgegevens_B!K220="ja"), --(Klantgegevens_B!L220="ja"), --(Klantgegevens_B!M220="ja"), --(Klantgegevens_B!N220="ja"), --(Klantgegevens_B!O220="ja"))*10, Klantgegevens_A!L220)</f>
        <v>4</v>
      </c>
      <c r="L221" t="str">
        <f>IF(Klantgegevens_B!K220&lt;&gt;"", Klantgegevens_B!K220, IF(Klantgegevens_A!L220&gt;=7, "ja", "nee"))</f>
        <v>ja</v>
      </c>
      <c r="M221" t="str">
        <f>IF(Klantgegevens_B!L220&lt;&gt;"", Klantgegevens_B!L220, IF(Klantgegevens_A!L220&gt;=7, "ja", "nee"))</f>
        <v>nee</v>
      </c>
      <c r="N221" t="str">
        <f>IF(Klantgegevens_B!M220&lt;&gt;"", Klantgegevens_B!M220, IF(Klantgegevens_A!L220&gt;=7, "ja", "nee"))</f>
        <v>ja</v>
      </c>
      <c r="O221" t="str">
        <f>IF(Klantgegevens_B!N220&lt;&gt;"", Klantgegevens_B!N220, IF(Klantgegevens_A!L220&gt;=7, "ja", "nee"))</f>
        <v>nee</v>
      </c>
      <c r="P221" t="str">
        <f>IF(Klantgegevens_B!O220&lt;&gt;"", Klantgegevens_B!O220, IF(Klantgegevens_A!L220&gt;=7, "ja", "nee"))</f>
        <v>Geen dieet</v>
      </c>
      <c r="Q221" t="str">
        <f>IF(Klantgegevens_B!P220&lt;&gt;"", Klantgegevens_B!P220, Klantgegevens_A!M220)</f>
        <v>Veganistisch</v>
      </c>
      <c r="R221" t="str">
        <f>IF(Klantgegevens_B!A220&lt;&gt;"", "B", "A")</f>
        <v>B</v>
      </c>
    </row>
    <row r="222" spans="1:18" x14ac:dyDescent="0.3">
      <c r="A222" t="str">
        <f>IF(Klantgegevens_B!A221&lt;&gt;"", Klantgegevens_B!A221, MID(Klantgegevens_A!A221, FIND(",", Klantgegevens_A!A221)+2, LEN(Klantgegevens_A!A221)))</f>
        <v>Filip</v>
      </c>
      <c r="B222" t="str">
        <f>IF(Klantgegevens_B!B221&lt;&gt;"", Klantgegevens_B!B221, LEFT(Klantgegevens_A!A221, FIND(",", Klantgegevens_A!A221)-1))</f>
        <v>Peters</v>
      </c>
      <c r="C222" t="str">
        <f t="shared" ca="1" si="3"/>
        <v/>
      </c>
      <c r="D222" t="str">
        <f>IF(Klantgegevens_B!F221&lt;&gt;"", Klantgegevens_B!F221, Klantgegevens_A!D221 &amp; " " &amp; Klantgegevens_A!E221 &amp; ", " &amp; Klantgegevens_A!F221)</f>
        <v>Filip,Yolande,Carine</v>
      </c>
      <c r="E222">
        <f>IF(Klantgegevens_B!G221&lt;&gt;"", Klantgegevens_B!G221, TEXTJOIN(",", TRUE, REPT("Volwassene,", Klantgegevens_A!G221), REPT("Kind,", Klantgegevens_A!H221)))</f>
        <v>164.22</v>
      </c>
      <c r="F222">
        <f>IF(Klantgegevens_B!G221&lt;&gt;"", LEN(Klantgegevens_B!G221)-LEN(SUBSTITUTE(Klantgegevens_B!G221, ",", ""))+1, Klantgegevens_A!G221)</f>
        <v>1</v>
      </c>
      <c r="G222">
        <f>IF(Klantgegevens_B!G221&lt;&gt;"", 0, Klantgegevens_A!H221)</f>
        <v>0</v>
      </c>
      <c r="H222">
        <f>IF(Klantgegevens_B!H221&lt;&gt;"", Klantgegevens_B!H221, Klantgegevens_A!I221)</f>
        <v>6</v>
      </c>
      <c r="I222" t="str">
        <f>IF(Klantgegevens_B!I221&lt;&gt;"", Klantgegevens_B!I221, SWITCH(Klantgegevens_A!J221, "Zelden", 1, "Af en toe", 4, "Regelmatig", 8, "Vaak", 12))</f>
        <v>Bancontact</v>
      </c>
      <c r="J222" t="str">
        <f>IF(Klantgegevens_B!J221&lt;&gt;"", Klantgegevens_B!J221, Klantgegevens_A!K221)</f>
        <v>ja</v>
      </c>
      <c r="K222">
        <f>IF(Klantgegevens_B!K221&lt;&gt;"", AVERAGE(--(Klantgegevens_B!K221="ja"), --(Klantgegevens_B!L221="ja"), --(Klantgegevens_B!M221="ja"), --(Klantgegevens_B!N221="ja"), --(Klantgegevens_B!O221="ja"))*10, Klantgegevens_A!L221)</f>
        <v>6</v>
      </c>
      <c r="L222" t="str">
        <f>IF(Klantgegevens_B!K221&lt;&gt;"", Klantgegevens_B!K221, IF(Klantgegevens_A!L221&gt;=7, "ja", "nee"))</f>
        <v>ja</v>
      </c>
      <c r="M222" t="str">
        <f>IF(Klantgegevens_B!L221&lt;&gt;"", Klantgegevens_B!L221, IF(Klantgegevens_A!L221&gt;=7, "ja", "nee"))</f>
        <v>nee</v>
      </c>
      <c r="N222" t="str">
        <f>IF(Klantgegevens_B!M221&lt;&gt;"", Klantgegevens_B!M221, IF(Klantgegevens_A!L221&gt;=7, "ja", "nee"))</f>
        <v>ja</v>
      </c>
      <c r="O222" t="str">
        <f>IF(Klantgegevens_B!N221&lt;&gt;"", Klantgegevens_B!N221, IF(Klantgegevens_A!L221&gt;=7, "ja", "nee"))</f>
        <v>ja</v>
      </c>
      <c r="P222" t="str">
        <f>IF(Klantgegevens_B!O221&lt;&gt;"", Klantgegevens_B!O221, IF(Klantgegevens_A!L221&gt;=7, "ja", "nee"))</f>
        <v>Geen dieet</v>
      </c>
      <c r="Q222" t="str">
        <f>IF(Klantgegevens_B!P221&lt;&gt;"", Klantgegevens_B!P221, Klantgegevens_A!M221)</f>
        <v>Geen dieet</v>
      </c>
      <c r="R222" t="str">
        <f>IF(Klantgegevens_B!A221&lt;&gt;"", "B", "A")</f>
        <v>B</v>
      </c>
    </row>
    <row r="223" spans="1:18" x14ac:dyDescent="0.3">
      <c r="A223" t="str">
        <f>IF(Klantgegevens_B!A222&lt;&gt;"", Klantgegevens_B!A222, MID(Klantgegevens_A!A222, FIND(",", Klantgegevens_A!A222)+2, LEN(Klantgegevens_A!A222)))</f>
        <v>Gerlinda</v>
      </c>
      <c r="B223" t="str">
        <f>IF(Klantgegevens_B!B222&lt;&gt;"", Klantgegevens_B!B222, LEFT(Klantgegevens_A!A222, FIND(",", Klantgegevens_A!A222)-1))</f>
        <v>Thomas</v>
      </c>
      <c r="C223" t="str">
        <f t="shared" ca="1" si="3"/>
        <v/>
      </c>
      <c r="D223" t="str">
        <f>IF(Klantgegevens_B!F222&lt;&gt;"", Klantgegevens_B!F222, Klantgegevens_A!D222 &amp; " " &amp; Klantgegevens_A!E222 &amp; ", " &amp; Klantgegevens_A!F222)</f>
        <v>Gerlinda,Nel,Eduardo,Kurt</v>
      </c>
      <c r="E223">
        <f>IF(Klantgegevens_B!G222&lt;&gt;"", Klantgegevens_B!G222, TEXTJOIN(",", TRUE, REPT("Volwassene,", Klantgegevens_A!G222), REPT("Kind,", Klantgegevens_A!H222)))</f>
        <v>221.25</v>
      </c>
      <c r="F223">
        <f>IF(Klantgegevens_B!G222&lt;&gt;"", LEN(Klantgegevens_B!G222)-LEN(SUBSTITUTE(Klantgegevens_B!G222, ",", ""))+1, Klantgegevens_A!G222)</f>
        <v>1</v>
      </c>
      <c r="G223">
        <f>IF(Klantgegevens_B!G222&lt;&gt;"", 0, Klantgegevens_A!H222)</f>
        <v>0</v>
      </c>
      <c r="H223">
        <f>IF(Klantgegevens_B!H222&lt;&gt;"", Klantgegevens_B!H222, Klantgegevens_A!I222)</f>
        <v>3</v>
      </c>
      <c r="I223" t="str">
        <f>IF(Klantgegevens_B!I222&lt;&gt;"", Klantgegevens_B!I222, SWITCH(Klantgegevens_A!J222, "Zelden", 1, "Af en toe", 4, "Regelmatig", 8, "Vaak", 12))</f>
        <v>Bancontact</v>
      </c>
      <c r="J223" t="str">
        <f>IF(Klantgegevens_B!J222&lt;&gt;"", Klantgegevens_B!J222, Klantgegevens_A!K222)</f>
        <v>ja</v>
      </c>
      <c r="K223">
        <f>IF(Klantgegevens_B!K222&lt;&gt;"", AVERAGE(--(Klantgegevens_B!K222="ja"), --(Klantgegevens_B!L222="ja"), --(Klantgegevens_B!M222="ja"), --(Klantgegevens_B!N222="ja"), --(Klantgegevens_B!O222="ja"))*10, Klantgegevens_A!L222)</f>
        <v>4</v>
      </c>
      <c r="L223" t="str">
        <f>IF(Klantgegevens_B!K222&lt;&gt;"", Klantgegevens_B!K222, IF(Klantgegevens_A!L222&gt;=7, "ja", "nee"))</f>
        <v>nee</v>
      </c>
      <c r="M223" t="str">
        <f>IF(Klantgegevens_B!L222&lt;&gt;"", Klantgegevens_B!L222, IF(Klantgegevens_A!L222&gt;=7, "ja", "nee"))</f>
        <v>ja</v>
      </c>
      <c r="N223" t="str">
        <f>IF(Klantgegevens_B!M222&lt;&gt;"", Klantgegevens_B!M222, IF(Klantgegevens_A!L222&gt;=7, "ja", "nee"))</f>
        <v>nee</v>
      </c>
      <c r="O223" t="str">
        <f>IF(Klantgegevens_B!N222&lt;&gt;"", Klantgegevens_B!N222, IF(Klantgegevens_A!L222&gt;=7, "ja", "nee"))</f>
        <v>ja</v>
      </c>
      <c r="P223" t="str">
        <f>IF(Klantgegevens_B!O222&lt;&gt;"", Klantgegevens_B!O222, IF(Klantgegevens_A!L222&gt;=7, "ja", "nee"))</f>
        <v>Geen dieet</v>
      </c>
      <c r="Q223" t="str">
        <f>IF(Klantgegevens_B!P222&lt;&gt;"", Klantgegevens_B!P222, Klantgegevens_A!M222)</f>
        <v>Geen dieet</v>
      </c>
      <c r="R223" t="str">
        <f>IF(Klantgegevens_B!A222&lt;&gt;"", "B", "A")</f>
        <v>B</v>
      </c>
    </row>
    <row r="224" spans="1:18" x14ac:dyDescent="0.3">
      <c r="A224" t="str">
        <f>IF(Klantgegevens_B!A223&lt;&gt;"", Klantgegevens_B!A223, MID(Klantgegevens_A!A223, FIND(",", Klantgegevens_A!A223)+2, LEN(Klantgegevens_A!A223)))</f>
        <v>Simon</v>
      </c>
      <c r="B224" t="str">
        <f>IF(Klantgegevens_B!B223&lt;&gt;"", Klantgegevens_B!B223, LEFT(Klantgegevens_A!A223, FIND(",", Klantgegevens_A!A223)-1))</f>
        <v>Hubert</v>
      </c>
      <c r="C224" t="str">
        <f t="shared" ca="1" si="3"/>
        <v/>
      </c>
      <c r="D224" t="str">
        <f>IF(Klantgegevens_B!F223&lt;&gt;"", Klantgegevens_B!F223, Klantgegevens_A!D223 &amp; " " &amp; Klantgegevens_A!E223 &amp; ", " &amp; Klantgegevens_A!F223)</f>
        <v>Simon,Georgi,Yves,Noortje</v>
      </c>
      <c r="E224">
        <f>IF(Klantgegevens_B!G223&lt;&gt;"", Klantgegevens_B!G223, TEXTJOIN(",", TRUE, REPT("Volwassene,", Klantgegevens_A!G223), REPT("Kind,", Klantgegevens_A!H223)))</f>
        <v>101</v>
      </c>
      <c r="F224">
        <f>IF(Klantgegevens_B!G223&lt;&gt;"", LEN(Klantgegevens_B!G223)-LEN(SUBSTITUTE(Klantgegevens_B!G223, ",", ""))+1, Klantgegevens_A!G223)</f>
        <v>1</v>
      </c>
      <c r="G224">
        <f>IF(Klantgegevens_B!G223&lt;&gt;"", 0, Klantgegevens_A!H223)</f>
        <v>0</v>
      </c>
      <c r="H224">
        <f>IF(Klantgegevens_B!H223&lt;&gt;"", Klantgegevens_B!H223, Klantgegevens_A!I223)</f>
        <v>16</v>
      </c>
      <c r="I224" t="str">
        <f>IF(Klantgegevens_B!I223&lt;&gt;"", Klantgegevens_B!I223, SWITCH(Klantgegevens_A!J223, "Zelden", 1, "Af en toe", 4, "Regelmatig", 8, "Vaak", 12))</f>
        <v>Bancontact</v>
      </c>
      <c r="J224" t="str">
        <f>IF(Klantgegevens_B!J223&lt;&gt;"", Klantgegevens_B!J223, Klantgegevens_A!K223)</f>
        <v>ja</v>
      </c>
      <c r="K224">
        <f>IF(Klantgegevens_B!K223&lt;&gt;"", AVERAGE(--(Klantgegevens_B!K223="ja"), --(Klantgegevens_B!L223="ja"), --(Klantgegevens_B!M223="ja"), --(Klantgegevens_B!N223="ja"), --(Klantgegevens_B!O223="ja"))*10, Klantgegevens_A!L223)</f>
        <v>6</v>
      </c>
      <c r="L224" t="str">
        <f>IF(Klantgegevens_B!K223&lt;&gt;"", Klantgegevens_B!K223, IF(Klantgegevens_A!L223&gt;=7, "ja", "nee"))</f>
        <v>ja</v>
      </c>
      <c r="M224" t="str">
        <f>IF(Klantgegevens_B!L223&lt;&gt;"", Klantgegevens_B!L223, IF(Klantgegevens_A!L223&gt;=7, "ja", "nee"))</f>
        <v>nee</v>
      </c>
      <c r="N224" t="str">
        <f>IF(Klantgegevens_B!M223&lt;&gt;"", Klantgegevens_B!M223, IF(Klantgegevens_A!L223&gt;=7, "ja", "nee"))</f>
        <v>ja</v>
      </c>
      <c r="O224" t="str">
        <f>IF(Klantgegevens_B!N223&lt;&gt;"", Klantgegevens_B!N223, IF(Klantgegevens_A!L223&gt;=7, "ja", "nee"))</f>
        <v>ja</v>
      </c>
      <c r="P224" t="str">
        <f>IF(Klantgegevens_B!O223&lt;&gt;"", Klantgegevens_B!O223, IF(Klantgegevens_A!L223&gt;=7, "ja", "nee"))</f>
        <v>Geen dieet</v>
      </c>
      <c r="Q224" t="str">
        <f>IF(Klantgegevens_B!P223&lt;&gt;"", Klantgegevens_B!P223, Klantgegevens_A!M223)</f>
        <v>Vegetarisch</v>
      </c>
      <c r="R224" t="str">
        <f>IF(Klantgegevens_B!A223&lt;&gt;"", "B", "A")</f>
        <v>B</v>
      </c>
    </row>
    <row r="225" spans="1:18" x14ac:dyDescent="0.3">
      <c r="A225" t="str">
        <f>IF(Klantgegevens_B!A224&lt;&gt;"", Klantgegevens_B!A224, MID(Klantgegevens_A!A224, FIND(",", Klantgegevens_A!A224)+2, LEN(Klantgegevens_A!A224)))</f>
        <v>Yvonna</v>
      </c>
      <c r="B225" t="str">
        <f>IF(Klantgegevens_B!B224&lt;&gt;"", Klantgegevens_B!B224, LEFT(Klantgegevens_A!A224, FIND(",", Klantgegevens_A!A224)-1))</f>
        <v>Lenaerts</v>
      </c>
      <c r="C225" t="str">
        <f t="shared" ca="1" si="3"/>
        <v/>
      </c>
      <c r="D225" t="str">
        <f>IF(Klantgegevens_B!F224&lt;&gt;"", Klantgegevens_B!F224, Klantgegevens_A!D224 &amp; " " &amp; Klantgegevens_A!E224 &amp; ", " &amp; Klantgegevens_A!F224)</f>
        <v>Yvonna,Josiane,Yi,Boris</v>
      </c>
      <c r="E225">
        <f>IF(Klantgegevens_B!G224&lt;&gt;"", Klantgegevens_B!G224, TEXTJOIN(",", TRUE, REPT("Volwassene,", Klantgegevens_A!G224), REPT("Kind,", Klantgegevens_A!H224)))</f>
        <v>159.75</v>
      </c>
      <c r="F225">
        <f>IF(Klantgegevens_B!G224&lt;&gt;"", LEN(Klantgegevens_B!G224)-LEN(SUBSTITUTE(Klantgegevens_B!G224, ",", ""))+1, Klantgegevens_A!G224)</f>
        <v>1</v>
      </c>
      <c r="G225">
        <f>IF(Klantgegevens_B!G224&lt;&gt;"", 0, Klantgegevens_A!H224)</f>
        <v>0</v>
      </c>
      <c r="H225">
        <f>IF(Klantgegevens_B!H224&lt;&gt;"", Klantgegevens_B!H224, Klantgegevens_A!I224)</f>
        <v>8</v>
      </c>
      <c r="I225" t="str">
        <f>IF(Klantgegevens_B!I224&lt;&gt;"", Klantgegevens_B!I224, SWITCH(Klantgegevens_A!J224, "Zelden", 1, "Af en toe", 4, "Regelmatig", 8, "Vaak", 12))</f>
        <v>Bancontact</v>
      </c>
      <c r="J225" t="str">
        <f>IF(Klantgegevens_B!J224&lt;&gt;"", Klantgegevens_B!J224, Klantgegevens_A!K224)</f>
        <v>ja</v>
      </c>
      <c r="K225">
        <f>IF(Klantgegevens_B!K224&lt;&gt;"", AVERAGE(--(Klantgegevens_B!K224="ja"), --(Klantgegevens_B!L224="ja"), --(Klantgegevens_B!M224="ja"), --(Klantgegevens_B!N224="ja"), --(Klantgegevens_B!O224="ja"))*10, Klantgegevens_A!L224)</f>
        <v>6</v>
      </c>
      <c r="L225" t="str">
        <f>IF(Klantgegevens_B!K224&lt;&gt;"", Klantgegevens_B!K224, IF(Klantgegevens_A!L224&gt;=7, "ja", "nee"))</f>
        <v>nee</v>
      </c>
      <c r="M225" t="str">
        <f>IF(Klantgegevens_B!L224&lt;&gt;"", Klantgegevens_B!L224, IF(Klantgegevens_A!L224&gt;=7, "ja", "nee"))</f>
        <v>ja</v>
      </c>
      <c r="N225" t="str">
        <f>IF(Klantgegevens_B!M224&lt;&gt;"", Klantgegevens_B!M224, IF(Klantgegevens_A!L224&gt;=7, "ja", "nee"))</f>
        <v>ja</v>
      </c>
      <c r="O225" t="str">
        <f>IF(Klantgegevens_B!N224&lt;&gt;"", Klantgegevens_B!N224, IF(Klantgegevens_A!L224&gt;=7, "ja", "nee"))</f>
        <v>ja</v>
      </c>
      <c r="P225" t="str">
        <f>IF(Klantgegevens_B!O224&lt;&gt;"", Klantgegevens_B!O224, IF(Klantgegevens_A!L224&gt;=7, "ja", "nee"))</f>
        <v>Geen dieet</v>
      </c>
      <c r="Q225" t="str">
        <f>IF(Klantgegevens_B!P224&lt;&gt;"", Klantgegevens_B!P224, Klantgegevens_A!M224)</f>
        <v>Geen dieet</v>
      </c>
      <c r="R225" t="str">
        <f>IF(Klantgegevens_B!A224&lt;&gt;"", "B", "A")</f>
        <v>B</v>
      </c>
    </row>
    <row r="226" spans="1:18" x14ac:dyDescent="0.3">
      <c r="A226" t="str">
        <f>IF(Klantgegevens_B!A225&lt;&gt;"", Klantgegevens_B!A225, MID(Klantgegevens_A!A225, FIND(",", Klantgegevens_A!A225)+2, LEN(Klantgegevens_A!A225)))</f>
        <v>Evgeniy</v>
      </c>
      <c r="B226" t="str">
        <f>IF(Klantgegevens_B!B225&lt;&gt;"", Klantgegevens_B!B225, LEFT(Klantgegevens_A!A225, FIND(",", Klantgegevens_A!A225)-1))</f>
        <v>Goossens</v>
      </c>
      <c r="C226" t="str">
        <f t="shared" ca="1" si="3"/>
        <v/>
      </c>
      <c r="D226" t="str">
        <f>IF(Klantgegevens_B!F225&lt;&gt;"", Klantgegevens_B!F225, Klantgegevens_A!D225 &amp; " " &amp; Klantgegevens_A!E225 &amp; ", " &amp; Klantgegevens_A!F225)</f>
        <v>Evgeniy,Yanko,Moustapha,Inès</v>
      </c>
      <c r="E226">
        <f>IF(Klantgegevens_B!G225&lt;&gt;"", Klantgegevens_B!G225, TEXTJOIN(",", TRUE, REPT("Volwassene,", Klantgegevens_A!G225), REPT("Kind,", Klantgegevens_A!H225)))</f>
        <v>147.02000000000001</v>
      </c>
      <c r="F226">
        <f>IF(Klantgegevens_B!G225&lt;&gt;"", LEN(Klantgegevens_B!G225)-LEN(SUBSTITUTE(Klantgegevens_B!G225, ",", ""))+1, Klantgegevens_A!G225)</f>
        <v>1</v>
      </c>
      <c r="G226">
        <f>IF(Klantgegevens_B!G225&lt;&gt;"", 0, Klantgegevens_A!H225)</f>
        <v>0</v>
      </c>
      <c r="H226">
        <f>IF(Klantgegevens_B!H225&lt;&gt;"", Klantgegevens_B!H225, Klantgegevens_A!I225)</f>
        <v>16</v>
      </c>
      <c r="I226" t="str">
        <f>IF(Klantgegevens_B!I225&lt;&gt;"", Klantgegevens_B!I225, SWITCH(Klantgegevens_A!J225, "Zelden", 1, "Af en toe", 4, "Regelmatig", 8, "Vaak", 12))</f>
        <v>Bancontact</v>
      </c>
      <c r="J226" t="str">
        <f>IF(Klantgegevens_B!J225&lt;&gt;"", Klantgegevens_B!J225, Klantgegevens_A!K225)</f>
        <v>ja</v>
      </c>
      <c r="K226">
        <f>IF(Klantgegevens_B!K225&lt;&gt;"", AVERAGE(--(Klantgegevens_B!K225="ja"), --(Klantgegevens_B!L225="ja"), --(Klantgegevens_B!M225="ja"), --(Klantgegevens_B!N225="ja"), --(Klantgegevens_B!O225="ja"))*10, Klantgegevens_A!L225)</f>
        <v>6</v>
      </c>
      <c r="L226" t="str">
        <f>IF(Klantgegevens_B!K225&lt;&gt;"", Klantgegevens_B!K225, IF(Klantgegevens_A!L225&gt;=7, "ja", "nee"))</f>
        <v>ja</v>
      </c>
      <c r="M226" t="str">
        <f>IF(Klantgegevens_B!L225&lt;&gt;"", Klantgegevens_B!L225, IF(Klantgegevens_A!L225&gt;=7, "ja", "nee"))</f>
        <v>nee</v>
      </c>
      <c r="N226" t="str">
        <f>IF(Klantgegevens_B!M225&lt;&gt;"", Klantgegevens_B!M225, IF(Klantgegevens_A!L225&gt;=7, "ja", "nee"))</f>
        <v>ja</v>
      </c>
      <c r="O226" t="str">
        <f>IF(Klantgegevens_B!N225&lt;&gt;"", Klantgegevens_B!N225, IF(Klantgegevens_A!L225&gt;=7, "ja", "nee"))</f>
        <v>ja</v>
      </c>
      <c r="P226" t="str">
        <f>IF(Klantgegevens_B!O225&lt;&gt;"", Klantgegevens_B!O225, IF(Klantgegevens_A!L225&gt;=7, "ja", "nee"))</f>
        <v>Geen dieet</v>
      </c>
      <c r="Q226" t="str">
        <f>IF(Klantgegevens_B!P225&lt;&gt;"", Klantgegevens_B!P225, Klantgegevens_A!M225)</f>
        <v>Geen dieet</v>
      </c>
      <c r="R226" t="str">
        <f>IF(Klantgegevens_B!A225&lt;&gt;"", "B", "A")</f>
        <v>B</v>
      </c>
    </row>
    <row r="227" spans="1:18" x14ac:dyDescent="0.3">
      <c r="A227" t="str">
        <f>IF(Klantgegevens_B!A226&lt;&gt;"", Klantgegevens_B!A226, MID(Klantgegevens_A!A226, FIND(",", Klantgegevens_A!A226)+2, LEN(Klantgegevens_A!A226)))</f>
        <v>Tim</v>
      </c>
      <c r="B227" t="str">
        <f>IF(Klantgegevens_B!B226&lt;&gt;"", Klantgegevens_B!B226, LEFT(Klantgegevens_A!A226, FIND(",", Klantgegevens_A!A226)-1))</f>
        <v>Reynders</v>
      </c>
      <c r="C227" t="str">
        <f t="shared" ca="1" si="3"/>
        <v/>
      </c>
      <c r="D227" t="str">
        <f>IF(Klantgegevens_B!F226&lt;&gt;"", Klantgegevens_B!F226, Klantgegevens_A!D226 &amp; " " &amp; Klantgegevens_A!E226 &amp; ", " &amp; Klantgegevens_A!F226)</f>
        <v>Tim,Hailey</v>
      </c>
      <c r="E227">
        <f>IF(Klantgegevens_B!G226&lt;&gt;"", Klantgegevens_B!G226, TEXTJOIN(",", TRUE, REPT("Volwassene,", Klantgegevens_A!G226), REPT("Kind,", Klantgegevens_A!H226)))</f>
        <v>50.89</v>
      </c>
      <c r="F227">
        <f>IF(Klantgegevens_B!G226&lt;&gt;"", LEN(Klantgegevens_B!G226)-LEN(SUBSTITUTE(Klantgegevens_B!G226, ",", ""))+1, Klantgegevens_A!G226)</f>
        <v>1</v>
      </c>
      <c r="G227">
        <f>IF(Klantgegevens_B!G226&lt;&gt;"", 0, Klantgegevens_A!H226)</f>
        <v>0</v>
      </c>
      <c r="H227">
        <f>IF(Klantgegevens_B!H226&lt;&gt;"", Klantgegevens_B!H226, Klantgegevens_A!I226)</f>
        <v>22</v>
      </c>
      <c r="I227" t="str">
        <f>IF(Klantgegevens_B!I226&lt;&gt;"", Klantgegevens_B!I226, SWITCH(Klantgegevens_A!J226, "Zelden", 1, "Af en toe", 4, "Regelmatig", 8, "Vaak", 12))</f>
        <v>Cash</v>
      </c>
      <c r="J227" t="str">
        <f>IF(Klantgegevens_B!J226&lt;&gt;"", Klantgegevens_B!J226, Klantgegevens_A!K226)</f>
        <v>nee</v>
      </c>
      <c r="K227">
        <f>IF(Klantgegevens_B!K226&lt;&gt;"", AVERAGE(--(Klantgegevens_B!K226="ja"), --(Klantgegevens_B!L226="ja"), --(Klantgegevens_B!M226="ja"), --(Klantgegevens_B!N226="ja"), --(Klantgegevens_B!O226="ja"))*10, Klantgegevens_A!L226)</f>
        <v>6</v>
      </c>
      <c r="L227" t="str">
        <f>IF(Klantgegevens_B!K226&lt;&gt;"", Klantgegevens_B!K226, IF(Klantgegevens_A!L226&gt;=7, "ja", "nee"))</f>
        <v>nee</v>
      </c>
      <c r="M227" t="str">
        <f>IF(Klantgegevens_B!L226&lt;&gt;"", Klantgegevens_B!L226, IF(Klantgegevens_A!L226&gt;=7, "ja", "nee"))</f>
        <v>ja</v>
      </c>
      <c r="N227" t="str">
        <f>IF(Klantgegevens_B!M226&lt;&gt;"", Klantgegevens_B!M226, IF(Klantgegevens_A!L226&gt;=7, "ja", "nee"))</f>
        <v>ja</v>
      </c>
      <c r="O227" t="str">
        <f>IF(Klantgegevens_B!N226&lt;&gt;"", Klantgegevens_B!N226, IF(Klantgegevens_A!L226&gt;=7, "ja", "nee"))</f>
        <v>ja</v>
      </c>
      <c r="P227" t="str">
        <f>IF(Klantgegevens_B!O226&lt;&gt;"", Klantgegevens_B!O226, IF(Klantgegevens_A!L226&gt;=7, "ja", "nee"))</f>
        <v>Vegetarisch</v>
      </c>
      <c r="Q227" t="str">
        <f>IF(Klantgegevens_B!P226&lt;&gt;"", Klantgegevens_B!P226, Klantgegevens_A!M226)</f>
        <v>Geen dieet</v>
      </c>
      <c r="R227" t="str">
        <f>IF(Klantgegevens_B!A226&lt;&gt;"", "B", "A")</f>
        <v>B</v>
      </c>
    </row>
    <row r="228" spans="1:18" x14ac:dyDescent="0.3">
      <c r="A228" t="str">
        <f>IF(Klantgegevens_B!A227&lt;&gt;"", Klantgegevens_B!A227, MID(Klantgegevens_A!A227, FIND(",", Klantgegevens_A!A227)+2, LEN(Klantgegevens_A!A227)))</f>
        <v>Paula</v>
      </c>
      <c r="B228" t="str">
        <f>IF(Klantgegevens_B!B227&lt;&gt;"", Klantgegevens_B!B227, LEFT(Klantgegevens_A!A227, FIND(",", Klantgegevens_A!A227)-1))</f>
        <v>Christiaens</v>
      </c>
      <c r="C228" t="str">
        <f t="shared" ca="1" si="3"/>
        <v/>
      </c>
      <c r="D228" t="str">
        <f>IF(Klantgegevens_B!F227&lt;&gt;"", Klantgegevens_B!F227, Klantgegevens_A!D227 &amp; " " &amp; Klantgegevens_A!E227 &amp; ", " &amp; Klantgegevens_A!F227)</f>
        <v>Paula,Aurélien,Silvia</v>
      </c>
      <c r="E228">
        <f>IF(Klantgegevens_B!G227&lt;&gt;"", Klantgegevens_B!G227, TEXTJOIN(",", TRUE, REPT("Volwassene,", Klantgegevens_A!G227), REPT("Kind,", Klantgegevens_A!H227)))</f>
        <v>97.34</v>
      </c>
      <c r="F228">
        <f>IF(Klantgegevens_B!G227&lt;&gt;"", LEN(Klantgegevens_B!G227)-LEN(SUBSTITUTE(Klantgegevens_B!G227, ",", ""))+1, Klantgegevens_A!G227)</f>
        <v>1</v>
      </c>
      <c r="G228">
        <f>IF(Klantgegevens_B!G227&lt;&gt;"", 0, Klantgegevens_A!H227)</f>
        <v>0</v>
      </c>
      <c r="H228">
        <f>IF(Klantgegevens_B!H227&lt;&gt;"", Klantgegevens_B!H227, Klantgegevens_A!I227)</f>
        <v>15</v>
      </c>
      <c r="I228" t="str">
        <f>IF(Klantgegevens_B!I227&lt;&gt;"", Klantgegevens_B!I227, SWITCH(Klantgegevens_A!J227, "Zelden", 1, "Af en toe", 4, "Regelmatig", 8, "Vaak", 12))</f>
        <v>Payconiq</v>
      </c>
      <c r="J228" t="str">
        <f>IF(Klantgegevens_B!J227&lt;&gt;"", Klantgegevens_B!J227, Klantgegevens_A!K227)</f>
        <v>nee</v>
      </c>
      <c r="K228">
        <f>IF(Klantgegevens_B!K227&lt;&gt;"", AVERAGE(--(Klantgegevens_B!K227="ja"), --(Klantgegevens_B!L227="ja"), --(Klantgegevens_B!M227="ja"), --(Klantgegevens_B!N227="ja"), --(Klantgegevens_B!O227="ja"))*10, Klantgegevens_A!L227)</f>
        <v>8</v>
      </c>
      <c r="L228" t="str">
        <f>IF(Klantgegevens_B!K227&lt;&gt;"", Klantgegevens_B!K227, IF(Klantgegevens_A!L227&gt;=7, "ja", "nee"))</f>
        <v>ja</v>
      </c>
      <c r="M228" t="str">
        <f>IF(Klantgegevens_B!L227&lt;&gt;"", Klantgegevens_B!L227, IF(Klantgegevens_A!L227&gt;=7, "ja", "nee"))</f>
        <v>ja</v>
      </c>
      <c r="N228" t="str">
        <f>IF(Klantgegevens_B!M227&lt;&gt;"", Klantgegevens_B!M227, IF(Klantgegevens_A!L227&gt;=7, "ja", "nee"))</f>
        <v>ja</v>
      </c>
      <c r="O228" t="str">
        <f>IF(Klantgegevens_B!N227&lt;&gt;"", Klantgegevens_B!N227, IF(Klantgegevens_A!L227&gt;=7, "ja", "nee"))</f>
        <v>ja</v>
      </c>
      <c r="P228" t="str">
        <f>IF(Klantgegevens_B!O227&lt;&gt;"", Klantgegevens_B!O227, IF(Klantgegevens_A!L227&gt;=7, "ja", "nee"))</f>
        <v>Geen dieet</v>
      </c>
      <c r="Q228" t="str">
        <f>IF(Klantgegevens_B!P227&lt;&gt;"", Klantgegevens_B!P227, Klantgegevens_A!M227)</f>
        <v>Geen dieet</v>
      </c>
      <c r="R228" t="str">
        <f>IF(Klantgegevens_B!A227&lt;&gt;"", "B", "A")</f>
        <v>B</v>
      </c>
    </row>
    <row r="229" spans="1:18" x14ac:dyDescent="0.3">
      <c r="A229" t="str">
        <f>IF(Klantgegevens_B!A228&lt;&gt;"", Klantgegevens_B!A228, MID(Klantgegevens_A!A228, FIND(",", Klantgegevens_A!A228)+2, LEN(Klantgegevens_A!A228)))</f>
        <v>Luc</v>
      </c>
      <c r="B229" t="str">
        <f>IF(Klantgegevens_B!B228&lt;&gt;"", Klantgegevens_B!B228, LEFT(Klantgegevens_A!A228, FIND(",", Klantgegevens_A!A228)-1))</f>
        <v>Bosmans</v>
      </c>
      <c r="C229" t="str">
        <f t="shared" ca="1" si="3"/>
        <v/>
      </c>
      <c r="D229" t="str">
        <f>IF(Klantgegevens_B!F228&lt;&gt;"", Klantgegevens_B!F228, Klantgegevens_A!D228 &amp; " " &amp; Klantgegevens_A!E228 &amp; ", " &amp; Klantgegevens_A!F228)</f>
        <v>Luc,Loes,Abdelhadi</v>
      </c>
      <c r="E229">
        <f>IF(Klantgegevens_B!G228&lt;&gt;"", Klantgegevens_B!G228, TEXTJOIN(",", TRUE, REPT("Volwassene,", Klantgegevens_A!G228), REPT("Kind,", Klantgegevens_A!H228)))</f>
        <v>152.71</v>
      </c>
      <c r="F229">
        <f>IF(Klantgegevens_B!G228&lt;&gt;"", LEN(Klantgegevens_B!G228)-LEN(SUBSTITUTE(Klantgegevens_B!G228, ",", ""))+1, Klantgegevens_A!G228)</f>
        <v>1</v>
      </c>
      <c r="G229">
        <f>IF(Klantgegevens_B!G228&lt;&gt;"", 0, Klantgegevens_A!H228)</f>
        <v>0</v>
      </c>
      <c r="H229">
        <f>IF(Klantgegevens_B!H228&lt;&gt;"", Klantgegevens_B!H228, Klantgegevens_A!I228)</f>
        <v>10</v>
      </c>
      <c r="I229" t="str">
        <f>IF(Klantgegevens_B!I228&lt;&gt;"", Klantgegevens_B!I228, SWITCH(Klantgegevens_A!J228, "Zelden", 1, "Af en toe", 4, "Regelmatig", 8, "Vaak", 12))</f>
        <v>Bancontact</v>
      </c>
      <c r="J229" t="str">
        <f>IF(Klantgegevens_B!J228&lt;&gt;"", Klantgegevens_B!J228, Klantgegevens_A!K228)</f>
        <v>ja</v>
      </c>
      <c r="K229">
        <f>IF(Klantgegevens_B!K228&lt;&gt;"", AVERAGE(--(Klantgegevens_B!K228="ja"), --(Klantgegevens_B!L228="ja"), --(Klantgegevens_B!M228="ja"), --(Klantgegevens_B!N228="ja"), --(Klantgegevens_B!O228="ja"))*10, Klantgegevens_A!L228)</f>
        <v>8</v>
      </c>
      <c r="L229" t="str">
        <f>IF(Klantgegevens_B!K228&lt;&gt;"", Klantgegevens_B!K228, IF(Klantgegevens_A!L228&gt;=7, "ja", "nee"))</f>
        <v>ja</v>
      </c>
      <c r="M229" t="str">
        <f>IF(Klantgegevens_B!L228&lt;&gt;"", Klantgegevens_B!L228, IF(Klantgegevens_A!L228&gt;=7, "ja", "nee"))</f>
        <v>ja</v>
      </c>
      <c r="N229" t="str">
        <f>IF(Klantgegevens_B!M228&lt;&gt;"", Klantgegevens_B!M228, IF(Klantgegevens_A!L228&gt;=7, "ja", "nee"))</f>
        <v>ja</v>
      </c>
      <c r="O229" t="str">
        <f>IF(Klantgegevens_B!N228&lt;&gt;"", Klantgegevens_B!N228, IF(Klantgegevens_A!L228&gt;=7, "ja", "nee"))</f>
        <v>ja</v>
      </c>
      <c r="P229" t="str">
        <f>IF(Klantgegevens_B!O228&lt;&gt;"", Klantgegevens_B!O228, IF(Klantgegevens_A!L228&gt;=7, "ja", "nee"))</f>
        <v>Geen dieet</v>
      </c>
      <c r="Q229" t="str">
        <f>IF(Klantgegevens_B!P228&lt;&gt;"", Klantgegevens_B!P228, Klantgegevens_A!M228)</f>
        <v>Geen dieet</v>
      </c>
      <c r="R229" t="str">
        <f>IF(Klantgegevens_B!A228&lt;&gt;"", "B", "A")</f>
        <v>B</v>
      </c>
    </row>
    <row r="230" spans="1:18" x14ac:dyDescent="0.3">
      <c r="A230" t="str">
        <f>IF(Klantgegevens_B!A229&lt;&gt;"", Klantgegevens_B!A229, MID(Klantgegevens_A!A229, FIND(",", Klantgegevens_A!A229)+2, LEN(Klantgegevens_A!A229)))</f>
        <v>Jorn</v>
      </c>
      <c r="B230" t="str">
        <f>IF(Klantgegevens_B!B229&lt;&gt;"", Klantgegevens_B!B229, LEFT(Klantgegevens_A!A229, FIND(",", Klantgegevens_A!A229)-1))</f>
        <v>De moor</v>
      </c>
      <c r="C230" t="str">
        <f t="shared" ca="1" si="3"/>
        <v/>
      </c>
      <c r="D230" t="str">
        <f>IF(Klantgegevens_B!F229&lt;&gt;"", Klantgegevens_B!F229, Klantgegevens_A!D229 &amp; " " &amp; Klantgegevens_A!E229 &amp; ", " &amp; Klantgegevens_A!F229)</f>
        <v>Jorn,Rania,Sibylle,Isabella</v>
      </c>
      <c r="E230">
        <f>IF(Klantgegevens_B!G229&lt;&gt;"", Klantgegevens_B!G229, TEXTJOIN(",", TRUE, REPT("Volwassene,", Klantgegevens_A!G229), REPT("Kind,", Klantgegevens_A!H229)))</f>
        <v>274.52</v>
      </c>
      <c r="F230">
        <f>IF(Klantgegevens_B!G229&lt;&gt;"", LEN(Klantgegevens_B!G229)-LEN(SUBSTITUTE(Klantgegevens_B!G229, ",", ""))+1, Klantgegevens_A!G229)</f>
        <v>1</v>
      </c>
      <c r="G230">
        <f>IF(Klantgegevens_B!G229&lt;&gt;"", 0, Klantgegevens_A!H229)</f>
        <v>0</v>
      </c>
      <c r="H230">
        <f>IF(Klantgegevens_B!H229&lt;&gt;"", Klantgegevens_B!H229, Klantgegevens_A!I229)</f>
        <v>19</v>
      </c>
      <c r="I230" t="str">
        <f>IF(Klantgegevens_B!I229&lt;&gt;"", Klantgegevens_B!I229, SWITCH(Klantgegevens_A!J229, "Zelden", 1, "Af en toe", 4, "Regelmatig", 8, "Vaak", 12))</f>
        <v>Bancontact</v>
      </c>
      <c r="J230" t="str">
        <f>IF(Klantgegevens_B!J229&lt;&gt;"", Klantgegevens_B!J229, Klantgegevens_A!K229)</f>
        <v>nee</v>
      </c>
      <c r="K230">
        <f>IF(Klantgegevens_B!K229&lt;&gt;"", AVERAGE(--(Klantgegevens_B!K229="ja"), --(Klantgegevens_B!L229="ja"), --(Klantgegevens_B!M229="ja"), --(Klantgegevens_B!N229="ja"), --(Klantgegevens_B!O229="ja"))*10, Klantgegevens_A!L229)</f>
        <v>8</v>
      </c>
      <c r="L230" t="str">
        <f>IF(Klantgegevens_B!K229&lt;&gt;"", Klantgegevens_B!K229, IF(Klantgegevens_A!L229&gt;=7, "ja", "nee"))</f>
        <v>ja</v>
      </c>
      <c r="M230" t="str">
        <f>IF(Klantgegevens_B!L229&lt;&gt;"", Klantgegevens_B!L229, IF(Klantgegevens_A!L229&gt;=7, "ja", "nee"))</f>
        <v>ja</v>
      </c>
      <c r="N230" t="str">
        <f>IF(Klantgegevens_B!M229&lt;&gt;"", Klantgegevens_B!M229, IF(Klantgegevens_A!L229&gt;=7, "ja", "nee"))</f>
        <v>ja</v>
      </c>
      <c r="O230" t="str">
        <f>IF(Klantgegevens_B!N229&lt;&gt;"", Klantgegevens_B!N229, IF(Klantgegevens_A!L229&gt;=7, "ja", "nee"))</f>
        <v>ja</v>
      </c>
      <c r="P230" t="str">
        <f>IF(Klantgegevens_B!O229&lt;&gt;"", Klantgegevens_B!O229, IF(Klantgegevens_A!L229&gt;=7, "ja", "nee"))</f>
        <v>Geen dieet</v>
      </c>
      <c r="Q230" t="str">
        <f>IF(Klantgegevens_B!P229&lt;&gt;"", Klantgegevens_B!P229, Klantgegevens_A!M229)</f>
        <v>Geen dieet</v>
      </c>
      <c r="R230" t="str">
        <f>IF(Klantgegevens_B!A229&lt;&gt;"", "B", "A")</f>
        <v>B</v>
      </c>
    </row>
    <row r="231" spans="1:18" x14ac:dyDescent="0.3">
      <c r="A231" t="str">
        <f>IF(Klantgegevens_B!A230&lt;&gt;"", Klantgegevens_B!A230, MID(Klantgegevens_A!A230, FIND(",", Klantgegevens_A!A230)+2, LEN(Klantgegevens_A!A230)))</f>
        <v>Emma</v>
      </c>
      <c r="B231" t="str">
        <f>IF(Klantgegevens_B!B230&lt;&gt;"", Klantgegevens_B!B230, LEFT(Klantgegevens_A!A230, FIND(",", Klantgegevens_A!A230)-1))</f>
        <v>Simons</v>
      </c>
      <c r="C231" t="str">
        <f t="shared" ca="1" si="3"/>
        <v/>
      </c>
      <c r="D231" t="str">
        <f>IF(Klantgegevens_B!F230&lt;&gt;"", Klantgegevens_B!F230, Klantgegevens_A!D230 &amp; " " &amp; Klantgegevens_A!E230 &amp; ", " &amp; Klantgegevens_A!F230)</f>
        <v>Emma,Stan,Nanou,Capucine</v>
      </c>
      <c r="E231">
        <f>IF(Klantgegevens_B!G230&lt;&gt;"", Klantgegevens_B!G230, TEXTJOIN(",", TRUE, REPT("Volwassene,", Klantgegevens_A!G230), REPT("Kind,", Klantgegevens_A!H230)))</f>
        <v>86.43</v>
      </c>
      <c r="F231">
        <f>IF(Klantgegevens_B!G230&lt;&gt;"", LEN(Klantgegevens_B!G230)-LEN(SUBSTITUTE(Klantgegevens_B!G230, ",", ""))+1, Klantgegevens_A!G230)</f>
        <v>1</v>
      </c>
      <c r="G231">
        <f>IF(Klantgegevens_B!G230&lt;&gt;"", 0, Klantgegevens_A!H230)</f>
        <v>0</v>
      </c>
      <c r="H231">
        <f>IF(Klantgegevens_B!H230&lt;&gt;"", Klantgegevens_B!H230, Klantgegevens_A!I230)</f>
        <v>27</v>
      </c>
      <c r="I231" t="str">
        <f>IF(Klantgegevens_B!I230&lt;&gt;"", Klantgegevens_B!I230, SWITCH(Klantgegevens_A!J230, "Zelden", 1, "Af en toe", 4, "Regelmatig", 8, "Vaak", 12))</f>
        <v>Payconiq</v>
      </c>
      <c r="J231" t="str">
        <f>IF(Klantgegevens_B!J230&lt;&gt;"", Klantgegevens_B!J230, Klantgegevens_A!K230)</f>
        <v>nee</v>
      </c>
      <c r="K231">
        <f>IF(Klantgegevens_B!K230&lt;&gt;"", AVERAGE(--(Klantgegevens_B!K230="ja"), --(Klantgegevens_B!L230="ja"), --(Klantgegevens_B!M230="ja"), --(Klantgegevens_B!N230="ja"), --(Klantgegevens_B!O230="ja"))*10, Klantgegevens_A!L230)</f>
        <v>4</v>
      </c>
      <c r="L231" t="str">
        <f>IF(Klantgegevens_B!K230&lt;&gt;"", Klantgegevens_B!K230, IF(Klantgegevens_A!L230&gt;=7, "ja", "nee"))</f>
        <v>ja</v>
      </c>
      <c r="M231" t="str">
        <f>IF(Klantgegevens_B!L230&lt;&gt;"", Klantgegevens_B!L230, IF(Klantgegevens_A!L230&gt;=7, "ja", "nee"))</f>
        <v>nee</v>
      </c>
      <c r="N231" t="str">
        <f>IF(Klantgegevens_B!M230&lt;&gt;"", Klantgegevens_B!M230, IF(Klantgegevens_A!L230&gt;=7, "ja", "nee"))</f>
        <v>nee</v>
      </c>
      <c r="O231" t="str">
        <f>IF(Klantgegevens_B!N230&lt;&gt;"", Klantgegevens_B!N230, IF(Klantgegevens_A!L230&gt;=7, "ja", "nee"))</f>
        <v>ja</v>
      </c>
      <c r="P231" t="str">
        <f>IF(Klantgegevens_B!O230&lt;&gt;"", Klantgegevens_B!O230, IF(Klantgegevens_A!L230&gt;=7, "ja", "nee"))</f>
        <v>Veganistisch</v>
      </c>
      <c r="Q231" t="str">
        <f>IF(Klantgegevens_B!P230&lt;&gt;"", Klantgegevens_B!P230, Klantgegevens_A!M230)</f>
        <v>Geen dieet</v>
      </c>
      <c r="R231" t="str">
        <f>IF(Klantgegevens_B!A230&lt;&gt;"", "B", "A")</f>
        <v>B</v>
      </c>
    </row>
    <row r="232" spans="1:18" x14ac:dyDescent="0.3">
      <c r="A232" t="str">
        <f>IF(Klantgegevens_B!A231&lt;&gt;"", Klantgegevens_B!A231, MID(Klantgegevens_A!A231, FIND(",", Klantgegevens_A!A231)+2, LEN(Klantgegevens_A!A231)))</f>
        <v>Jessica</v>
      </c>
      <c r="B232" t="str">
        <f>IF(Klantgegevens_B!B231&lt;&gt;"", Klantgegevens_B!B231, LEFT(Klantgegevens_A!A231, FIND(",", Klantgegevens_A!A231)-1))</f>
        <v>Bauwens</v>
      </c>
      <c r="C232" t="str">
        <f t="shared" ca="1" si="3"/>
        <v/>
      </c>
      <c r="D232" t="str">
        <f>IF(Klantgegevens_B!F231&lt;&gt;"", Klantgegevens_B!F231, Klantgegevens_A!D231 &amp; " " &amp; Klantgegevens_A!E231 &amp; ", " &amp; Klantgegevens_A!F231)</f>
        <v>Jessica,Alexy</v>
      </c>
      <c r="E232">
        <f>IF(Klantgegevens_B!G231&lt;&gt;"", Klantgegevens_B!G231, TEXTJOIN(",", TRUE, REPT("Volwassene,", Klantgegevens_A!G231), REPT("Kind,", Klantgegevens_A!H231)))</f>
        <v>131.66999999999999</v>
      </c>
      <c r="F232">
        <f>IF(Klantgegevens_B!G231&lt;&gt;"", LEN(Klantgegevens_B!G231)-LEN(SUBSTITUTE(Klantgegevens_B!G231, ",", ""))+1, Klantgegevens_A!G231)</f>
        <v>1</v>
      </c>
      <c r="G232">
        <f>IF(Klantgegevens_B!G231&lt;&gt;"", 0, Klantgegevens_A!H231)</f>
        <v>0</v>
      </c>
      <c r="H232">
        <f>IF(Klantgegevens_B!H231&lt;&gt;"", Klantgegevens_B!H231, Klantgegevens_A!I231)</f>
        <v>4</v>
      </c>
      <c r="I232" t="str">
        <f>IF(Klantgegevens_B!I231&lt;&gt;"", Klantgegevens_B!I231, SWITCH(Klantgegevens_A!J231, "Zelden", 1, "Af en toe", 4, "Regelmatig", 8, "Vaak", 12))</f>
        <v>Bancontact</v>
      </c>
      <c r="J232" t="str">
        <f>IF(Klantgegevens_B!J231&lt;&gt;"", Klantgegevens_B!J231, Klantgegevens_A!K231)</f>
        <v>ja</v>
      </c>
      <c r="K232">
        <f>IF(Klantgegevens_B!K231&lt;&gt;"", AVERAGE(--(Klantgegevens_B!K231="ja"), --(Klantgegevens_B!L231="ja"), --(Klantgegevens_B!M231="ja"), --(Klantgegevens_B!N231="ja"), --(Klantgegevens_B!O231="ja"))*10, Klantgegevens_A!L231)</f>
        <v>6</v>
      </c>
      <c r="L232" t="str">
        <f>IF(Klantgegevens_B!K231&lt;&gt;"", Klantgegevens_B!K231, IF(Klantgegevens_A!L231&gt;=7, "ja", "nee"))</f>
        <v>nee</v>
      </c>
      <c r="M232" t="str">
        <f>IF(Klantgegevens_B!L231&lt;&gt;"", Klantgegevens_B!L231, IF(Klantgegevens_A!L231&gt;=7, "ja", "nee"))</f>
        <v>ja</v>
      </c>
      <c r="N232" t="str">
        <f>IF(Klantgegevens_B!M231&lt;&gt;"", Klantgegevens_B!M231, IF(Klantgegevens_A!L231&gt;=7, "ja", "nee"))</f>
        <v>ja</v>
      </c>
      <c r="O232" t="str">
        <f>IF(Klantgegevens_B!N231&lt;&gt;"", Klantgegevens_B!N231, IF(Klantgegevens_A!L231&gt;=7, "ja", "nee"))</f>
        <v>ja</v>
      </c>
      <c r="P232" t="str">
        <f>IF(Klantgegevens_B!O231&lt;&gt;"", Klantgegevens_B!O231, IF(Klantgegevens_A!L231&gt;=7, "ja", "nee"))</f>
        <v>Geen dieet</v>
      </c>
      <c r="Q232" t="str">
        <f>IF(Klantgegevens_B!P231&lt;&gt;"", Klantgegevens_B!P231, Klantgegevens_A!M231)</f>
        <v>Geen dieet</v>
      </c>
      <c r="R232" t="str">
        <f>IF(Klantgegevens_B!A231&lt;&gt;"", "B", "A")</f>
        <v>B</v>
      </c>
    </row>
    <row r="233" spans="1:18" x14ac:dyDescent="0.3">
      <c r="A233" t="str">
        <f>IF(Klantgegevens_B!A232&lt;&gt;"", Klantgegevens_B!A232, MID(Klantgegevens_A!A232, FIND(",", Klantgegevens_A!A232)+2, LEN(Klantgegevens_A!A232)))</f>
        <v>Patrick</v>
      </c>
      <c r="B233" t="str">
        <f>IF(Klantgegevens_B!B232&lt;&gt;"", Klantgegevens_B!B232, LEFT(Klantgegevens_A!A232, FIND(",", Klantgegevens_A!A232)-1))</f>
        <v>Willems</v>
      </c>
      <c r="C233" t="str">
        <f t="shared" ca="1" si="3"/>
        <v/>
      </c>
      <c r="D233" t="str">
        <f>IF(Klantgegevens_B!F232&lt;&gt;"", Klantgegevens_B!F232, Klantgegevens_A!D232 &amp; " " &amp; Klantgegevens_A!E232 &amp; ", " &amp; Klantgegevens_A!F232)</f>
        <v>Patrick,Marcel,Dursun,Adèle,Kris,Kurt,Olivier</v>
      </c>
      <c r="E233">
        <f>IF(Klantgegevens_B!G232&lt;&gt;"", Klantgegevens_B!G232, TEXTJOIN(",", TRUE, REPT("Volwassene,", Klantgegevens_A!G232), REPT("Kind,", Klantgegevens_A!H232)))</f>
        <v>180.59</v>
      </c>
      <c r="F233">
        <f>IF(Klantgegevens_B!G232&lt;&gt;"", LEN(Klantgegevens_B!G232)-LEN(SUBSTITUTE(Klantgegevens_B!G232, ",", ""))+1, Klantgegevens_A!G232)</f>
        <v>1</v>
      </c>
      <c r="G233">
        <f>IF(Klantgegevens_B!G232&lt;&gt;"", 0, Klantgegevens_A!H232)</f>
        <v>0</v>
      </c>
      <c r="H233">
        <f>IF(Klantgegevens_B!H232&lt;&gt;"", Klantgegevens_B!H232, Klantgegevens_A!I232)</f>
        <v>8</v>
      </c>
      <c r="I233" t="str">
        <f>IF(Klantgegevens_B!I232&lt;&gt;"", Klantgegevens_B!I232, SWITCH(Klantgegevens_A!J232, "Zelden", 1, "Af en toe", 4, "Regelmatig", 8, "Vaak", 12))</f>
        <v>Payconiq</v>
      </c>
      <c r="J233" t="str">
        <f>IF(Klantgegevens_B!J232&lt;&gt;"", Klantgegevens_B!J232, Klantgegevens_A!K232)</f>
        <v>ja</v>
      </c>
      <c r="K233">
        <f>IF(Klantgegevens_B!K232&lt;&gt;"", AVERAGE(--(Klantgegevens_B!K232="ja"), --(Klantgegevens_B!L232="ja"), --(Klantgegevens_B!M232="ja"), --(Klantgegevens_B!N232="ja"), --(Klantgegevens_B!O232="ja"))*10, Klantgegevens_A!L232)</f>
        <v>6</v>
      </c>
      <c r="L233" t="str">
        <f>IF(Klantgegevens_B!K232&lt;&gt;"", Klantgegevens_B!K232, IF(Klantgegevens_A!L232&gt;=7, "ja", "nee"))</f>
        <v>ja</v>
      </c>
      <c r="M233" t="str">
        <f>IF(Klantgegevens_B!L232&lt;&gt;"", Klantgegevens_B!L232, IF(Klantgegevens_A!L232&gt;=7, "ja", "nee"))</f>
        <v>ja</v>
      </c>
      <c r="N233" t="str">
        <f>IF(Klantgegevens_B!M232&lt;&gt;"", Klantgegevens_B!M232, IF(Klantgegevens_A!L232&gt;=7, "ja", "nee"))</f>
        <v>ja</v>
      </c>
      <c r="O233" t="str">
        <f>IF(Klantgegevens_B!N232&lt;&gt;"", Klantgegevens_B!N232, IF(Klantgegevens_A!L232&gt;=7, "ja", "nee"))</f>
        <v>nee</v>
      </c>
      <c r="P233" t="str">
        <f>IF(Klantgegevens_B!O232&lt;&gt;"", Klantgegevens_B!O232, IF(Klantgegevens_A!L232&gt;=7, "ja", "nee"))</f>
        <v>Vegetarisch</v>
      </c>
      <c r="Q233" t="str">
        <f>IF(Klantgegevens_B!P232&lt;&gt;"", Klantgegevens_B!P232, Klantgegevens_A!M232)</f>
        <v>Geen dieet</v>
      </c>
      <c r="R233" t="str">
        <f>IF(Klantgegevens_B!A232&lt;&gt;"", "B", "A")</f>
        <v>B</v>
      </c>
    </row>
    <row r="234" spans="1:18" x14ac:dyDescent="0.3">
      <c r="A234" t="str">
        <f>IF(Klantgegevens_B!A233&lt;&gt;"", Klantgegevens_B!A233, MID(Klantgegevens_A!A233, FIND(",", Klantgegevens_A!A233)+2, LEN(Klantgegevens_A!A233)))</f>
        <v>Danièle</v>
      </c>
      <c r="B234" t="str">
        <f>IF(Klantgegevens_B!B233&lt;&gt;"", Klantgegevens_B!B233, LEFT(Klantgegevens_A!A233, FIND(",", Klantgegevens_A!A233)-1))</f>
        <v>Peeters</v>
      </c>
      <c r="C234" t="str">
        <f t="shared" ca="1" si="3"/>
        <v/>
      </c>
      <c r="D234" t="str">
        <f>IF(Klantgegevens_B!F233&lt;&gt;"", Klantgegevens_B!F233, Klantgegevens_A!D233 &amp; " " &amp; Klantgegevens_A!E233 &amp; ", " &amp; Klantgegevens_A!F233)</f>
        <v>Danièle,Viviane</v>
      </c>
      <c r="E234">
        <f>IF(Klantgegevens_B!G233&lt;&gt;"", Klantgegevens_B!G233, TEXTJOIN(",", TRUE, REPT("Volwassene,", Klantgegevens_A!G233), REPT("Kind,", Klantgegevens_A!H233)))</f>
        <v>134.19</v>
      </c>
      <c r="F234">
        <f>IF(Klantgegevens_B!G233&lt;&gt;"", LEN(Klantgegevens_B!G233)-LEN(SUBSTITUTE(Klantgegevens_B!G233, ",", ""))+1, Klantgegevens_A!G233)</f>
        <v>1</v>
      </c>
      <c r="G234">
        <f>IF(Klantgegevens_B!G233&lt;&gt;"", 0, Klantgegevens_A!H233)</f>
        <v>0</v>
      </c>
      <c r="H234">
        <f>IF(Klantgegevens_B!H233&lt;&gt;"", Klantgegevens_B!H233, Klantgegevens_A!I233)</f>
        <v>27</v>
      </c>
      <c r="I234" t="str">
        <f>IF(Klantgegevens_B!I233&lt;&gt;"", Klantgegevens_B!I233, SWITCH(Klantgegevens_A!J233, "Zelden", 1, "Af en toe", 4, "Regelmatig", 8, "Vaak", 12))</f>
        <v>Bancontact</v>
      </c>
      <c r="J234" t="str">
        <f>IF(Klantgegevens_B!J233&lt;&gt;"", Klantgegevens_B!J233, Klantgegevens_A!K233)</f>
        <v>nee</v>
      </c>
      <c r="K234">
        <f>IF(Klantgegevens_B!K233&lt;&gt;"", AVERAGE(--(Klantgegevens_B!K233="ja"), --(Klantgegevens_B!L233="ja"), --(Klantgegevens_B!M233="ja"), --(Klantgegevens_B!N233="ja"), --(Klantgegevens_B!O233="ja"))*10, Klantgegevens_A!L233)</f>
        <v>2</v>
      </c>
      <c r="L234" t="str">
        <f>IF(Klantgegevens_B!K233&lt;&gt;"", Klantgegevens_B!K233, IF(Klantgegevens_A!L233&gt;=7, "ja", "nee"))</f>
        <v>ja</v>
      </c>
      <c r="M234" t="str">
        <f>IF(Klantgegevens_B!L233&lt;&gt;"", Klantgegevens_B!L233, IF(Klantgegevens_A!L233&gt;=7, "ja", "nee"))</f>
        <v>nee</v>
      </c>
      <c r="N234" t="str">
        <f>IF(Klantgegevens_B!M233&lt;&gt;"", Klantgegevens_B!M233, IF(Klantgegevens_A!L233&gt;=7, "ja", "nee"))</f>
        <v>nee</v>
      </c>
      <c r="O234" t="str">
        <f>IF(Klantgegevens_B!N233&lt;&gt;"", Klantgegevens_B!N233, IF(Klantgegevens_A!L233&gt;=7, "ja", "nee"))</f>
        <v>nee</v>
      </c>
      <c r="P234" t="str">
        <f>IF(Klantgegevens_B!O233&lt;&gt;"", Klantgegevens_B!O233, IF(Klantgegevens_A!L233&gt;=7, "ja", "nee"))</f>
        <v>Veganistisch</v>
      </c>
      <c r="Q234" t="str">
        <f>IF(Klantgegevens_B!P233&lt;&gt;"", Klantgegevens_B!P233, Klantgegevens_A!M233)</f>
        <v>Veganistisch</v>
      </c>
      <c r="R234" t="str">
        <f>IF(Klantgegevens_B!A233&lt;&gt;"", "B", "A")</f>
        <v>B</v>
      </c>
    </row>
    <row r="235" spans="1:18" x14ac:dyDescent="0.3">
      <c r="A235" t="str">
        <f>IF(Klantgegevens_B!A234&lt;&gt;"", Klantgegevens_B!A234, MID(Klantgegevens_A!A234, FIND(",", Klantgegevens_A!A234)+2, LEN(Klantgegevens_A!A234)))</f>
        <v>Jérôme</v>
      </c>
      <c r="B235" t="str">
        <f>IF(Klantgegevens_B!B234&lt;&gt;"", Klantgegevens_B!B234, LEFT(Klantgegevens_A!A234, FIND(",", Klantgegevens_A!A234)-1))</f>
        <v>Fontaine</v>
      </c>
      <c r="C235" t="str">
        <f t="shared" ca="1" si="3"/>
        <v/>
      </c>
      <c r="D235" t="str">
        <f>IF(Klantgegevens_B!F234&lt;&gt;"", Klantgegevens_B!F234, Klantgegevens_A!D234 &amp; " " &amp; Klantgegevens_A!E234 &amp; ", " &amp; Klantgegevens_A!F234)</f>
        <v>Jérôme,Rosalyn,Elia,Lune</v>
      </c>
      <c r="E235">
        <f>IF(Klantgegevens_B!G234&lt;&gt;"", Klantgegevens_B!G234, TEXTJOIN(",", TRUE, REPT("Volwassene,", Klantgegevens_A!G234), REPT("Kind,", Klantgegevens_A!H234)))</f>
        <v>82.12</v>
      </c>
      <c r="F235">
        <f>IF(Klantgegevens_B!G234&lt;&gt;"", LEN(Klantgegevens_B!G234)-LEN(SUBSTITUTE(Klantgegevens_B!G234, ",", ""))+1, Klantgegevens_A!G234)</f>
        <v>1</v>
      </c>
      <c r="G235">
        <f>IF(Klantgegevens_B!G234&lt;&gt;"", 0, Klantgegevens_A!H234)</f>
        <v>0</v>
      </c>
      <c r="H235">
        <f>IF(Klantgegevens_B!H234&lt;&gt;"", Klantgegevens_B!H234, Klantgegevens_A!I234)</f>
        <v>17</v>
      </c>
      <c r="I235" t="str">
        <f>IF(Klantgegevens_B!I234&lt;&gt;"", Klantgegevens_B!I234, SWITCH(Klantgegevens_A!J234, "Zelden", 1, "Af en toe", 4, "Regelmatig", 8, "Vaak", 12))</f>
        <v>Bancontact</v>
      </c>
      <c r="J235" t="str">
        <f>IF(Klantgegevens_B!J234&lt;&gt;"", Klantgegevens_B!J234, Klantgegevens_A!K234)</f>
        <v>nee</v>
      </c>
      <c r="K235">
        <f>IF(Klantgegevens_B!K234&lt;&gt;"", AVERAGE(--(Klantgegevens_B!K234="ja"), --(Klantgegevens_B!L234="ja"), --(Klantgegevens_B!M234="ja"), --(Klantgegevens_B!N234="ja"), --(Klantgegevens_B!O234="ja"))*10, Klantgegevens_A!L234)</f>
        <v>8</v>
      </c>
      <c r="L235" t="str">
        <f>IF(Klantgegevens_B!K234&lt;&gt;"", Klantgegevens_B!K234, IF(Klantgegevens_A!L234&gt;=7, "ja", "nee"))</f>
        <v>ja</v>
      </c>
      <c r="M235" t="str">
        <f>IF(Klantgegevens_B!L234&lt;&gt;"", Klantgegevens_B!L234, IF(Klantgegevens_A!L234&gt;=7, "ja", "nee"))</f>
        <v>ja</v>
      </c>
      <c r="N235" t="str">
        <f>IF(Klantgegevens_B!M234&lt;&gt;"", Klantgegevens_B!M234, IF(Klantgegevens_A!L234&gt;=7, "ja", "nee"))</f>
        <v>ja</v>
      </c>
      <c r="O235" t="str">
        <f>IF(Klantgegevens_B!N234&lt;&gt;"", Klantgegevens_B!N234, IF(Klantgegevens_A!L234&gt;=7, "ja", "nee"))</f>
        <v>ja</v>
      </c>
      <c r="P235" t="str">
        <f>IF(Klantgegevens_B!O234&lt;&gt;"", Klantgegevens_B!O234, IF(Klantgegevens_A!L234&gt;=7, "ja", "nee"))</f>
        <v>Geen dieet</v>
      </c>
      <c r="Q235" t="str">
        <f>IF(Klantgegevens_B!P234&lt;&gt;"", Klantgegevens_B!P234, Klantgegevens_A!M234)</f>
        <v>Geen dieet</v>
      </c>
      <c r="R235" t="str">
        <f>IF(Klantgegevens_B!A234&lt;&gt;"", "B", "A")</f>
        <v>B</v>
      </c>
    </row>
    <row r="236" spans="1:18" x14ac:dyDescent="0.3">
      <c r="A236" t="str">
        <f>IF(Klantgegevens_B!A235&lt;&gt;"", Klantgegevens_B!A235, MID(Klantgegevens_A!A235, FIND(",", Klantgegevens_A!A235)+2, LEN(Klantgegevens_A!A235)))</f>
        <v>Magali</v>
      </c>
      <c r="B236" t="str">
        <f>IF(Klantgegevens_B!B235&lt;&gt;"", Klantgegevens_B!B235, LEFT(Klantgegevens_A!A235, FIND(",", Klantgegevens_A!A235)-1))</f>
        <v>Van daele</v>
      </c>
      <c r="C236" t="str">
        <f t="shared" ca="1" si="3"/>
        <v/>
      </c>
      <c r="D236" t="str">
        <f>IF(Klantgegevens_B!F235&lt;&gt;"", Klantgegevens_B!F235, Klantgegevens_A!D235 &amp; " " &amp; Klantgegevens_A!E235 &amp; ", " &amp; Klantgegevens_A!F235)</f>
        <v>Magali,Alice</v>
      </c>
      <c r="E236">
        <f>IF(Klantgegevens_B!G235&lt;&gt;"", Klantgegevens_B!G235, TEXTJOIN(",", TRUE, REPT("Volwassene,", Klantgegevens_A!G235), REPT("Kind,", Klantgegevens_A!H235)))</f>
        <v>87.61</v>
      </c>
      <c r="F236">
        <f>IF(Klantgegevens_B!G235&lt;&gt;"", LEN(Klantgegevens_B!G235)-LEN(SUBSTITUTE(Klantgegevens_B!G235, ",", ""))+1, Klantgegevens_A!G235)</f>
        <v>1</v>
      </c>
      <c r="G236">
        <f>IF(Klantgegevens_B!G235&lt;&gt;"", 0, Klantgegevens_A!H235)</f>
        <v>0</v>
      </c>
      <c r="H236">
        <f>IF(Klantgegevens_B!H235&lt;&gt;"", Klantgegevens_B!H235, Klantgegevens_A!I235)</f>
        <v>10</v>
      </c>
      <c r="I236" t="str">
        <f>IF(Klantgegevens_B!I235&lt;&gt;"", Klantgegevens_B!I235, SWITCH(Klantgegevens_A!J235, "Zelden", 1, "Af en toe", 4, "Regelmatig", 8, "Vaak", 12))</f>
        <v>Cash</v>
      </c>
      <c r="J236" t="str">
        <f>IF(Klantgegevens_B!J235&lt;&gt;"", Klantgegevens_B!J235, Klantgegevens_A!K235)</f>
        <v>nee</v>
      </c>
      <c r="K236">
        <f>IF(Klantgegevens_B!K235&lt;&gt;"", AVERAGE(--(Klantgegevens_B!K235="ja"), --(Klantgegevens_B!L235="ja"), --(Klantgegevens_B!M235="ja"), --(Klantgegevens_B!N235="ja"), --(Klantgegevens_B!O235="ja"))*10, Klantgegevens_A!L235)</f>
        <v>4</v>
      </c>
      <c r="L236" t="str">
        <f>IF(Klantgegevens_B!K235&lt;&gt;"", Klantgegevens_B!K235, IF(Klantgegevens_A!L235&gt;=7, "ja", "nee"))</f>
        <v>nee</v>
      </c>
      <c r="M236" t="str">
        <f>IF(Klantgegevens_B!L235&lt;&gt;"", Klantgegevens_B!L235, IF(Klantgegevens_A!L235&gt;=7, "ja", "nee"))</f>
        <v>ja</v>
      </c>
      <c r="N236" t="str">
        <f>IF(Klantgegevens_B!M235&lt;&gt;"", Klantgegevens_B!M235, IF(Klantgegevens_A!L235&gt;=7, "ja", "nee"))</f>
        <v>ja</v>
      </c>
      <c r="O236" t="str">
        <f>IF(Klantgegevens_B!N235&lt;&gt;"", Klantgegevens_B!N235, IF(Klantgegevens_A!L235&gt;=7, "ja", "nee"))</f>
        <v>nee</v>
      </c>
      <c r="P236" t="str">
        <f>IF(Klantgegevens_B!O235&lt;&gt;"", Klantgegevens_B!O235, IF(Klantgegevens_A!L235&gt;=7, "ja", "nee"))</f>
        <v>Veganistisch</v>
      </c>
      <c r="Q236" t="str">
        <f>IF(Klantgegevens_B!P235&lt;&gt;"", Klantgegevens_B!P235, Klantgegevens_A!M235)</f>
        <v>Vegetarisch</v>
      </c>
      <c r="R236" t="str">
        <f>IF(Klantgegevens_B!A235&lt;&gt;"", "B", "A")</f>
        <v>B</v>
      </c>
    </row>
    <row r="237" spans="1:18" x14ac:dyDescent="0.3">
      <c r="A237" t="str">
        <f>IF(Klantgegevens_B!A236&lt;&gt;"", Klantgegevens_B!A236, MID(Klantgegevens_A!A236, FIND(",", Klantgegevens_A!A236)+2, LEN(Klantgegevens_A!A236)))</f>
        <v>Amber</v>
      </c>
      <c r="B237" t="str">
        <f>IF(Klantgegevens_B!B236&lt;&gt;"", Klantgegevens_B!B236, LEFT(Klantgegevens_A!A236, FIND(",", Klantgegevens_A!A236)-1))</f>
        <v>Verhoeven</v>
      </c>
      <c r="C237" t="str">
        <f t="shared" ca="1" si="3"/>
        <v/>
      </c>
      <c r="D237" t="str">
        <f>IF(Klantgegevens_B!F236&lt;&gt;"", Klantgegevens_B!F236, Klantgegevens_A!D236 &amp; " " &amp; Klantgegevens_A!E236 &amp; ", " &amp; Klantgegevens_A!F236)</f>
        <v>Amber,Alain,Clara,Bastian</v>
      </c>
      <c r="E237">
        <f>IF(Klantgegevens_B!G236&lt;&gt;"", Klantgegevens_B!G236, TEXTJOIN(",", TRUE, REPT("Volwassene,", Klantgegevens_A!G236), REPT("Kind,", Klantgegevens_A!H236)))</f>
        <v>82.3</v>
      </c>
      <c r="F237">
        <f>IF(Klantgegevens_B!G236&lt;&gt;"", LEN(Klantgegevens_B!G236)-LEN(SUBSTITUTE(Klantgegevens_B!G236, ",", ""))+1, Klantgegevens_A!G236)</f>
        <v>1</v>
      </c>
      <c r="G237">
        <f>IF(Klantgegevens_B!G236&lt;&gt;"", 0, Klantgegevens_A!H236)</f>
        <v>0</v>
      </c>
      <c r="H237">
        <f>IF(Klantgegevens_B!H236&lt;&gt;"", Klantgegevens_B!H236, Klantgegevens_A!I236)</f>
        <v>10</v>
      </c>
      <c r="I237" t="str">
        <f>IF(Klantgegevens_B!I236&lt;&gt;"", Klantgegevens_B!I236, SWITCH(Klantgegevens_A!J236, "Zelden", 1, "Af en toe", 4, "Regelmatig", 8, "Vaak", 12))</f>
        <v>Bancontact</v>
      </c>
      <c r="J237" t="str">
        <f>IF(Klantgegevens_B!J236&lt;&gt;"", Klantgegevens_B!J236, Klantgegevens_A!K236)</f>
        <v>ja</v>
      </c>
      <c r="K237">
        <f>IF(Klantgegevens_B!K236&lt;&gt;"", AVERAGE(--(Klantgegevens_B!K236="ja"), --(Klantgegevens_B!L236="ja"), --(Klantgegevens_B!M236="ja"), --(Klantgegevens_B!N236="ja"), --(Klantgegevens_B!O236="ja"))*10, Klantgegevens_A!L236)</f>
        <v>4</v>
      </c>
      <c r="L237" t="str">
        <f>IF(Klantgegevens_B!K236&lt;&gt;"", Klantgegevens_B!K236, IF(Klantgegevens_A!L236&gt;=7, "ja", "nee"))</f>
        <v>nee</v>
      </c>
      <c r="M237" t="str">
        <f>IF(Klantgegevens_B!L236&lt;&gt;"", Klantgegevens_B!L236, IF(Klantgegevens_A!L236&gt;=7, "ja", "nee"))</f>
        <v>nee</v>
      </c>
      <c r="N237" t="str">
        <f>IF(Klantgegevens_B!M236&lt;&gt;"", Klantgegevens_B!M236, IF(Klantgegevens_A!L236&gt;=7, "ja", "nee"))</f>
        <v>ja</v>
      </c>
      <c r="O237" t="str">
        <f>IF(Klantgegevens_B!N236&lt;&gt;"", Klantgegevens_B!N236, IF(Klantgegevens_A!L236&gt;=7, "ja", "nee"))</f>
        <v>ja</v>
      </c>
      <c r="P237" t="str">
        <f>IF(Klantgegevens_B!O236&lt;&gt;"", Klantgegevens_B!O236, IF(Klantgegevens_A!L236&gt;=7, "ja", "nee"))</f>
        <v>Geen dieet</v>
      </c>
      <c r="Q237" t="str">
        <f>IF(Klantgegevens_B!P236&lt;&gt;"", Klantgegevens_B!P236, Klantgegevens_A!M236)</f>
        <v>Geen dieet</v>
      </c>
      <c r="R237" t="str">
        <f>IF(Klantgegevens_B!A236&lt;&gt;"", "B", "A")</f>
        <v>B</v>
      </c>
    </row>
    <row r="238" spans="1:18" x14ac:dyDescent="0.3">
      <c r="A238" t="str">
        <f>IF(Klantgegevens_B!A237&lt;&gt;"", Klantgegevens_B!A237, MID(Klantgegevens_A!A237, FIND(",", Klantgegevens_A!A237)+2, LEN(Klantgegevens_A!A237)))</f>
        <v>Bassam</v>
      </c>
      <c r="B238" t="str">
        <f>IF(Klantgegevens_B!B237&lt;&gt;"", Klantgegevens_B!B237, LEFT(Klantgegevens_A!A237, FIND(",", Klantgegevens_A!A237)-1))</f>
        <v>Vranken</v>
      </c>
      <c r="C238" t="str">
        <f t="shared" ca="1" si="3"/>
        <v/>
      </c>
      <c r="D238" t="str">
        <f>IF(Klantgegevens_B!F237&lt;&gt;"", Klantgegevens_B!F237, Klantgegevens_A!D237 &amp; " " &amp; Klantgegevens_A!E237 &amp; ", " &amp; Klantgegevens_A!F237)</f>
        <v>Bassam,Laurent,Marleen,Catharina</v>
      </c>
      <c r="E238">
        <f>IF(Klantgegevens_B!G237&lt;&gt;"", Klantgegevens_B!G237, TEXTJOIN(",", TRUE, REPT("Volwassene,", Klantgegevens_A!G237), REPT("Kind,", Klantgegevens_A!H237)))</f>
        <v>120.17</v>
      </c>
      <c r="F238">
        <f>IF(Klantgegevens_B!G237&lt;&gt;"", LEN(Klantgegevens_B!G237)-LEN(SUBSTITUTE(Klantgegevens_B!G237, ",", ""))+1, Klantgegevens_A!G237)</f>
        <v>1</v>
      </c>
      <c r="G238">
        <f>IF(Klantgegevens_B!G237&lt;&gt;"", 0, Klantgegevens_A!H237)</f>
        <v>0</v>
      </c>
      <c r="H238">
        <f>IF(Klantgegevens_B!H237&lt;&gt;"", Klantgegevens_B!H237, Klantgegevens_A!I237)</f>
        <v>1</v>
      </c>
      <c r="I238" t="str">
        <f>IF(Klantgegevens_B!I237&lt;&gt;"", Klantgegevens_B!I237, SWITCH(Klantgegevens_A!J237, "Zelden", 1, "Af en toe", 4, "Regelmatig", 8, "Vaak", 12))</f>
        <v>Payconiq</v>
      </c>
      <c r="J238" t="str">
        <f>IF(Klantgegevens_B!J237&lt;&gt;"", Klantgegevens_B!J237, Klantgegevens_A!K237)</f>
        <v>nee</v>
      </c>
      <c r="K238">
        <f>IF(Klantgegevens_B!K237&lt;&gt;"", AVERAGE(--(Klantgegevens_B!K237="ja"), --(Klantgegevens_B!L237="ja"), --(Klantgegevens_B!M237="ja"), --(Klantgegevens_B!N237="ja"), --(Klantgegevens_B!O237="ja"))*10, Klantgegevens_A!L237)</f>
        <v>8</v>
      </c>
      <c r="L238" t="str">
        <f>IF(Klantgegevens_B!K237&lt;&gt;"", Klantgegevens_B!K237, IF(Klantgegevens_A!L237&gt;=7, "ja", "nee"))</f>
        <v>ja</v>
      </c>
      <c r="M238" t="str">
        <f>IF(Klantgegevens_B!L237&lt;&gt;"", Klantgegevens_B!L237, IF(Klantgegevens_A!L237&gt;=7, "ja", "nee"))</f>
        <v>ja</v>
      </c>
      <c r="N238" t="str">
        <f>IF(Klantgegevens_B!M237&lt;&gt;"", Klantgegevens_B!M237, IF(Klantgegevens_A!L237&gt;=7, "ja", "nee"))</f>
        <v>ja</v>
      </c>
      <c r="O238" t="str">
        <f>IF(Klantgegevens_B!N237&lt;&gt;"", Klantgegevens_B!N237, IF(Klantgegevens_A!L237&gt;=7, "ja", "nee"))</f>
        <v>ja</v>
      </c>
      <c r="P238" t="str">
        <f>IF(Klantgegevens_B!O237&lt;&gt;"", Klantgegevens_B!O237, IF(Klantgegevens_A!L237&gt;=7, "ja", "nee"))</f>
        <v>Geen dieet</v>
      </c>
      <c r="Q238" t="str">
        <f>IF(Klantgegevens_B!P237&lt;&gt;"", Klantgegevens_B!P237, Klantgegevens_A!M237)</f>
        <v>Geen dieet</v>
      </c>
      <c r="R238" t="str">
        <f>IF(Klantgegevens_B!A237&lt;&gt;"", "B", "A")</f>
        <v>B</v>
      </c>
    </row>
    <row r="239" spans="1:18" x14ac:dyDescent="0.3">
      <c r="A239" t="str">
        <f>IF(Klantgegevens_B!A238&lt;&gt;"", Klantgegevens_B!A238, MID(Klantgegevens_A!A238, FIND(",", Klantgegevens_A!A238)+2, LEN(Klantgegevens_A!A238)))</f>
        <v>Laia</v>
      </c>
      <c r="B239" t="str">
        <f>IF(Klantgegevens_B!B238&lt;&gt;"", Klantgegevens_B!B238, LEFT(Klantgegevens_A!A238, FIND(",", Klantgegevens_A!A238)-1))</f>
        <v>Dubois</v>
      </c>
      <c r="C239" t="str">
        <f t="shared" ca="1" si="3"/>
        <v/>
      </c>
      <c r="D239" t="str">
        <f>IF(Klantgegevens_B!F238&lt;&gt;"", Klantgegevens_B!F238, Klantgegevens_A!D238 &amp; " " &amp; Klantgegevens_A!E238 &amp; ", " &amp; Klantgegevens_A!F238)</f>
        <v>Laia,Aurélien,Gaetano,Monique</v>
      </c>
      <c r="E239">
        <f>IF(Klantgegevens_B!G238&lt;&gt;"", Klantgegevens_B!G238, TEXTJOIN(",", TRUE, REPT("Volwassene,", Klantgegevens_A!G238), REPT("Kind,", Klantgegevens_A!H238)))</f>
        <v>152.43</v>
      </c>
      <c r="F239">
        <f>IF(Klantgegevens_B!G238&lt;&gt;"", LEN(Klantgegevens_B!G238)-LEN(SUBSTITUTE(Klantgegevens_B!G238, ",", ""))+1, Klantgegevens_A!G238)</f>
        <v>1</v>
      </c>
      <c r="G239">
        <f>IF(Klantgegevens_B!G238&lt;&gt;"", 0, Klantgegevens_A!H238)</f>
        <v>0</v>
      </c>
      <c r="H239">
        <f>IF(Klantgegevens_B!H238&lt;&gt;"", Klantgegevens_B!H238, Klantgegevens_A!I238)</f>
        <v>14</v>
      </c>
      <c r="I239" t="str">
        <f>IF(Klantgegevens_B!I238&lt;&gt;"", Klantgegevens_B!I238, SWITCH(Klantgegevens_A!J238, "Zelden", 1, "Af en toe", 4, "Regelmatig", 8, "Vaak", 12))</f>
        <v>Payconiq</v>
      </c>
      <c r="J239" t="str">
        <f>IF(Klantgegevens_B!J238&lt;&gt;"", Klantgegevens_B!J238, Klantgegevens_A!K238)</f>
        <v>ja</v>
      </c>
      <c r="K239">
        <f>IF(Klantgegevens_B!K238&lt;&gt;"", AVERAGE(--(Klantgegevens_B!K238="ja"), --(Klantgegevens_B!L238="ja"), --(Klantgegevens_B!M238="ja"), --(Klantgegevens_B!N238="ja"), --(Klantgegevens_B!O238="ja"))*10, Klantgegevens_A!L238)</f>
        <v>4</v>
      </c>
      <c r="L239" t="str">
        <f>IF(Klantgegevens_B!K238&lt;&gt;"", Klantgegevens_B!K238, IF(Klantgegevens_A!L238&gt;=7, "ja", "nee"))</f>
        <v>nee</v>
      </c>
      <c r="M239" t="str">
        <f>IF(Klantgegevens_B!L238&lt;&gt;"", Klantgegevens_B!L238, IF(Klantgegevens_A!L238&gt;=7, "ja", "nee"))</f>
        <v>ja</v>
      </c>
      <c r="N239" t="str">
        <f>IF(Klantgegevens_B!M238&lt;&gt;"", Klantgegevens_B!M238, IF(Klantgegevens_A!L238&gt;=7, "ja", "nee"))</f>
        <v>ja</v>
      </c>
      <c r="O239" t="str">
        <f>IF(Klantgegevens_B!N238&lt;&gt;"", Klantgegevens_B!N238, IF(Klantgegevens_A!L238&gt;=7, "ja", "nee"))</f>
        <v>nee</v>
      </c>
      <c r="P239" t="str">
        <f>IF(Klantgegevens_B!O238&lt;&gt;"", Klantgegevens_B!O238, IF(Klantgegevens_A!L238&gt;=7, "ja", "nee"))</f>
        <v>Geen dieet</v>
      </c>
      <c r="Q239" t="str">
        <f>IF(Klantgegevens_B!P238&lt;&gt;"", Klantgegevens_B!P238, Klantgegevens_A!M238)</f>
        <v>Geen dieet</v>
      </c>
      <c r="R239" t="str">
        <f>IF(Klantgegevens_B!A238&lt;&gt;"", "B", "A")</f>
        <v>B</v>
      </c>
    </row>
    <row r="240" spans="1:18" x14ac:dyDescent="0.3">
      <c r="A240" t="str">
        <f>IF(Klantgegevens_B!A239&lt;&gt;"", Klantgegevens_B!A239, MID(Klantgegevens_A!A239, FIND(",", Klantgegevens_A!A239)+2, LEN(Klantgegevens_A!A239)))</f>
        <v>Bertha</v>
      </c>
      <c r="B240" t="str">
        <f>IF(Klantgegevens_B!B239&lt;&gt;"", Klantgegevens_B!B239, LEFT(Klantgegevens_A!A239, FIND(",", Klantgegevens_A!A239)-1))</f>
        <v>Aerts</v>
      </c>
      <c r="C240" t="str">
        <f t="shared" ca="1" si="3"/>
        <v/>
      </c>
      <c r="D240" t="str">
        <f>IF(Klantgegevens_B!F239&lt;&gt;"", Klantgegevens_B!F239, Klantgegevens_A!D239 &amp; " " &amp; Klantgegevens_A!E239 &amp; ", " &amp; Klantgegevens_A!F239)</f>
        <v>Bertha,Joseph,Anneleen</v>
      </c>
      <c r="E240">
        <f>IF(Klantgegevens_B!G239&lt;&gt;"", Klantgegevens_B!G239, TEXTJOIN(",", TRUE, REPT("Volwassene,", Klantgegevens_A!G239), REPT("Kind,", Klantgegevens_A!H239)))</f>
        <v>173.72</v>
      </c>
      <c r="F240">
        <f>IF(Klantgegevens_B!G239&lt;&gt;"", LEN(Klantgegevens_B!G239)-LEN(SUBSTITUTE(Klantgegevens_B!G239, ",", ""))+1, Klantgegevens_A!G239)</f>
        <v>1</v>
      </c>
      <c r="G240">
        <f>IF(Klantgegevens_B!G239&lt;&gt;"", 0, Klantgegevens_A!H239)</f>
        <v>0</v>
      </c>
      <c r="H240">
        <f>IF(Klantgegevens_B!H239&lt;&gt;"", Klantgegevens_B!H239, Klantgegevens_A!I239)</f>
        <v>15</v>
      </c>
      <c r="I240" t="str">
        <f>IF(Klantgegevens_B!I239&lt;&gt;"", Klantgegevens_B!I239, SWITCH(Klantgegevens_A!J239, "Zelden", 1, "Af en toe", 4, "Regelmatig", 8, "Vaak", 12))</f>
        <v>Payconiq</v>
      </c>
      <c r="J240" t="str">
        <f>IF(Klantgegevens_B!J239&lt;&gt;"", Klantgegevens_B!J239, Klantgegevens_A!K239)</f>
        <v>ja</v>
      </c>
      <c r="K240">
        <f>IF(Klantgegevens_B!K239&lt;&gt;"", AVERAGE(--(Klantgegevens_B!K239="ja"), --(Klantgegevens_B!L239="ja"), --(Klantgegevens_B!M239="ja"), --(Klantgegevens_B!N239="ja"), --(Klantgegevens_B!O239="ja"))*10, Klantgegevens_A!L239)</f>
        <v>6</v>
      </c>
      <c r="L240" t="str">
        <f>IF(Klantgegevens_B!K239&lt;&gt;"", Klantgegevens_B!K239, IF(Klantgegevens_A!L239&gt;=7, "ja", "nee"))</f>
        <v>nee</v>
      </c>
      <c r="M240" t="str">
        <f>IF(Klantgegevens_B!L239&lt;&gt;"", Klantgegevens_B!L239, IF(Klantgegevens_A!L239&gt;=7, "ja", "nee"))</f>
        <v>ja</v>
      </c>
      <c r="N240" t="str">
        <f>IF(Klantgegevens_B!M239&lt;&gt;"", Klantgegevens_B!M239, IF(Klantgegevens_A!L239&gt;=7, "ja", "nee"))</f>
        <v>ja</v>
      </c>
      <c r="O240" t="str">
        <f>IF(Klantgegevens_B!N239&lt;&gt;"", Klantgegevens_B!N239, IF(Klantgegevens_A!L239&gt;=7, "ja", "nee"))</f>
        <v>ja</v>
      </c>
      <c r="P240" t="str">
        <f>IF(Klantgegevens_B!O239&lt;&gt;"", Klantgegevens_B!O239, IF(Klantgegevens_A!L239&gt;=7, "ja", "nee"))</f>
        <v>Geen dieet</v>
      </c>
      <c r="Q240" t="str">
        <f>IF(Klantgegevens_B!P239&lt;&gt;"", Klantgegevens_B!P239, Klantgegevens_A!M239)</f>
        <v>Geen dieet</v>
      </c>
      <c r="R240" t="str">
        <f>IF(Klantgegevens_B!A239&lt;&gt;"", "B", "A")</f>
        <v>B</v>
      </c>
    </row>
    <row r="241" spans="1:18" x14ac:dyDescent="0.3">
      <c r="A241" t="str">
        <f>IF(Klantgegevens_B!A240&lt;&gt;"", Klantgegevens_B!A240, MID(Klantgegevens_A!A240, FIND(",", Klantgegevens_A!A240)+2, LEN(Klantgegevens_A!A240)))</f>
        <v>Myriam</v>
      </c>
      <c r="B241" t="str">
        <f>IF(Klantgegevens_B!B240&lt;&gt;"", Klantgegevens_B!B240, LEFT(Klantgegevens_A!A240, FIND(",", Klantgegevens_A!A240)-1))</f>
        <v>Moons</v>
      </c>
      <c r="C241" t="str">
        <f t="shared" ca="1" si="3"/>
        <v/>
      </c>
      <c r="D241" t="str">
        <f>IF(Klantgegevens_B!F240&lt;&gt;"", Klantgegevens_B!F240, Klantgegevens_A!D240 &amp; " " &amp; Klantgegevens_A!E240 &amp; ", " &amp; Klantgegevens_A!F240)</f>
        <v>Myriam</v>
      </c>
      <c r="E241">
        <f>IF(Klantgegevens_B!G240&lt;&gt;"", Klantgegevens_B!G240, TEXTJOIN(",", TRUE, REPT("Volwassene,", Klantgegevens_A!G240), REPT("Kind,", Klantgegevens_A!H240)))</f>
        <v>86.44</v>
      </c>
      <c r="F241">
        <f>IF(Klantgegevens_B!G240&lt;&gt;"", LEN(Klantgegevens_B!G240)-LEN(SUBSTITUTE(Klantgegevens_B!G240, ",", ""))+1, Klantgegevens_A!G240)</f>
        <v>1</v>
      </c>
      <c r="G241">
        <f>IF(Klantgegevens_B!G240&lt;&gt;"", 0, Klantgegevens_A!H240)</f>
        <v>0</v>
      </c>
      <c r="H241">
        <f>IF(Klantgegevens_B!H240&lt;&gt;"", Klantgegevens_B!H240, Klantgegevens_A!I240)</f>
        <v>16</v>
      </c>
      <c r="I241" t="str">
        <f>IF(Klantgegevens_B!I240&lt;&gt;"", Klantgegevens_B!I240, SWITCH(Klantgegevens_A!J240, "Zelden", 1, "Af en toe", 4, "Regelmatig", 8, "Vaak", 12))</f>
        <v>Bancontact</v>
      </c>
      <c r="J241" t="str">
        <f>IF(Klantgegevens_B!J240&lt;&gt;"", Klantgegevens_B!J240, Klantgegevens_A!K240)</f>
        <v>ja</v>
      </c>
      <c r="K241">
        <f>IF(Klantgegevens_B!K240&lt;&gt;"", AVERAGE(--(Klantgegevens_B!K240="ja"), --(Klantgegevens_B!L240="ja"), --(Klantgegevens_B!M240="ja"), --(Klantgegevens_B!N240="ja"), --(Klantgegevens_B!O240="ja"))*10, Klantgegevens_A!L240)</f>
        <v>6</v>
      </c>
      <c r="L241" t="str">
        <f>IF(Klantgegevens_B!K240&lt;&gt;"", Klantgegevens_B!K240, IF(Klantgegevens_A!L240&gt;=7, "ja", "nee"))</f>
        <v>nee</v>
      </c>
      <c r="M241" t="str">
        <f>IF(Klantgegevens_B!L240&lt;&gt;"", Klantgegevens_B!L240, IF(Klantgegevens_A!L240&gt;=7, "ja", "nee"))</f>
        <v>ja</v>
      </c>
      <c r="N241" t="str">
        <f>IF(Klantgegevens_B!M240&lt;&gt;"", Klantgegevens_B!M240, IF(Klantgegevens_A!L240&gt;=7, "ja", "nee"))</f>
        <v>ja</v>
      </c>
      <c r="O241" t="str">
        <f>IF(Klantgegevens_B!N240&lt;&gt;"", Klantgegevens_B!N240, IF(Klantgegevens_A!L240&gt;=7, "ja", "nee"))</f>
        <v>ja</v>
      </c>
      <c r="P241" t="str">
        <f>IF(Klantgegevens_B!O240&lt;&gt;"", Klantgegevens_B!O240, IF(Klantgegevens_A!L240&gt;=7, "ja", "nee"))</f>
        <v>Geen dieet</v>
      </c>
      <c r="Q241" t="str">
        <f>IF(Klantgegevens_B!P240&lt;&gt;"", Klantgegevens_B!P240, Klantgegevens_A!M240)</f>
        <v>Geen dieet</v>
      </c>
      <c r="R241" t="str">
        <f>IF(Klantgegevens_B!A240&lt;&gt;"", "B", "A")</f>
        <v>B</v>
      </c>
    </row>
    <row r="242" spans="1:18" x14ac:dyDescent="0.3">
      <c r="A242" t="str">
        <f>IF(Klantgegevens_B!A241&lt;&gt;"", Klantgegevens_B!A241, MID(Klantgegevens_A!A241, FIND(",", Klantgegevens_A!A241)+2, LEN(Klantgegevens_A!A241)))</f>
        <v>Aude</v>
      </c>
      <c r="B242" t="str">
        <f>IF(Klantgegevens_B!B241&lt;&gt;"", Klantgegevens_B!B241, LEFT(Klantgegevens_A!A241, FIND(",", Klantgegevens_A!A241)-1))</f>
        <v>Hoste</v>
      </c>
      <c r="C242" t="str">
        <f t="shared" ca="1" si="3"/>
        <v/>
      </c>
      <c r="D242" t="str">
        <f>IF(Klantgegevens_B!F241&lt;&gt;"", Klantgegevens_B!F241, Klantgegevens_A!D241 &amp; " " &amp; Klantgegevens_A!E241 &amp; ", " &amp; Klantgegevens_A!F241)</f>
        <v>Aude,Dominique,Hubert,Valentine,Elvira,Raymonda</v>
      </c>
      <c r="E242">
        <f>IF(Klantgegevens_B!G241&lt;&gt;"", Klantgegevens_B!G241, TEXTJOIN(",", TRUE, REPT("Volwassene,", Klantgegevens_A!G241), REPT("Kind,", Klantgegevens_A!H241)))</f>
        <v>149.16</v>
      </c>
      <c r="F242">
        <f>IF(Klantgegevens_B!G241&lt;&gt;"", LEN(Klantgegevens_B!G241)-LEN(SUBSTITUTE(Klantgegevens_B!G241, ",", ""))+1, Klantgegevens_A!G241)</f>
        <v>1</v>
      </c>
      <c r="G242">
        <f>IF(Klantgegevens_B!G241&lt;&gt;"", 0, Klantgegevens_A!H241)</f>
        <v>0</v>
      </c>
      <c r="H242">
        <f>IF(Klantgegevens_B!H241&lt;&gt;"", Klantgegevens_B!H241, Klantgegevens_A!I241)</f>
        <v>5</v>
      </c>
      <c r="I242" t="str">
        <f>IF(Klantgegevens_B!I241&lt;&gt;"", Klantgegevens_B!I241, SWITCH(Klantgegevens_A!J241, "Zelden", 1, "Af en toe", 4, "Regelmatig", 8, "Vaak", 12))</f>
        <v>Payconiq</v>
      </c>
      <c r="J242" t="str">
        <f>IF(Klantgegevens_B!J241&lt;&gt;"", Klantgegevens_B!J241, Klantgegevens_A!K241)</f>
        <v>ja</v>
      </c>
      <c r="K242">
        <f>IF(Klantgegevens_B!K241&lt;&gt;"", AVERAGE(--(Klantgegevens_B!K241="ja"), --(Klantgegevens_B!L241="ja"), --(Klantgegevens_B!M241="ja"), --(Klantgegevens_B!N241="ja"), --(Klantgegevens_B!O241="ja"))*10, Klantgegevens_A!L241)</f>
        <v>6</v>
      </c>
      <c r="L242" t="str">
        <f>IF(Klantgegevens_B!K241&lt;&gt;"", Klantgegevens_B!K241, IF(Klantgegevens_A!L241&gt;=7, "ja", "nee"))</f>
        <v>ja</v>
      </c>
      <c r="M242" t="str">
        <f>IF(Klantgegevens_B!L241&lt;&gt;"", Klantgegevens_B!L241, IF(Klantgegevens_A!L241&gt;=7, "ja", "nee"))</f>
        <v>ja</v>
      </c>
      <c r="N242" t="str">
        <f>IF(Klantgegevens_B!M241&lt;&gt;"", Klantgegevens_B!M241, IF(Klantgegevens_A!L241&gt;=7, "ja", "nee"))</f>
        <v>ja</v>
      </c>
      <c r="O242" t="str">
        <f>IF(Klantgegevens_B!N241&lt;&gt;"", Klantgegevens_B!N241, IF(Klantgegevens_A!L241&gt;=7, "ja", "nee"))</f>
        <v>nee</v>
      </c>
      <c r="P242" t="str">
        <f>IF(Klantgegevens_B!O241&lt;&gt;"", Klantgegevens_B!O241, IF(Klantgegevens_A!L241&gt;=7, "ja", "nee"))</f>
        <v>Veganistisch</v>
      </c>
      <c r="Q242" t="str">
        <f>IF(Klantgegevens_B!P241&lt;&gt;"", Klantgegevens_B!P241, Klantgegevens_A!M241)</f>
        <v>Geen dieet</v>
      </c>
      <c r="R242" t="str">
        <f>IF(Klantgegevens_B!A241&lt;&gt;"", "B", "A")</f>
        <v>B</v>
      </c>
    </row>
    <row r="243" spans="1:18" x14ac:dyDescent="0.3">
      <c r="A243" t="str">
        <f>IF(Klantgegevens_B!A242&lt;&gt;"", Klantgegevens_B!A242, MID(Klantgegevens_A!A242, FIND(",", Klantgegevens_A!A242)+2, LEN(Klantgegevens_A!A242)))</f>
        <v>Chrystel</v>
      </c>
      <c r="B243" t="str">
        <f>IF(Klantgegevens_B!B242&lt;&gt;"", Klantgegevens_B!B242, LEFT(Klantgegevens_A!A242, FIND(",", Klantgegevens_A!A242)-1))</f>
        <v>Jacobs</v>
      </c>
      <c r="C243" t="str">
        <f t="shared" ca="1" si="3"/>
        <v/>
      </c>
      <c r="D243" t="str">
        <f>IF(Klantgegevens_B!F242&lt;&gt;"", Klantgegevens_B!F242, Klantgegevens_A!D242 &amp; " " &amp; Klantgegevens_A!E242 &amp; ", " &amp; Klantgegevens_A!F242)</f>
        <v>Chrystel,Chantal,Maely,Ahmed</v>
      </c>
      <c r="E243">
        <f>IF(Klantgegevens_B!G242&lt;&gt;"", Klantgegevens_B!G242, TEXTJOIN(",", TRUE, REPT("Volwassene,", Klantgegevens_A!G242), REPT("Kind,", Klantgegevens_A!H242)))</f>
        <v>161.85</v>
      </c>
      <c r="F243">
        <f>IF(Klantgegevens_B!G242&lt;&gt;"", LEN(Klantgegevens_B!G242)-LEN(SUBSTITUTE(Klantgegevens_B!G242, ",", ""))+1, Klantgegevens_A!G242)</f>
        <v>1</v>
      </c>
      <c r="G243">
        <f>IF(Klantgegevens_B!G242&lt;&gt;"", 0, Klantgegevens_A!H242)</f>
        <v>0</v>
      </c>
      <c r="H243">
        <f>IF(Klantgegevens_B!H242&lt;&gt;"", Klantgegevens_B!H242, Klantgegevens_A!I242)</f>
        <v>8</v>
      </c>
      <c r="I243" t="str">
        <f>IF(Klantgegevens_B!I242&lt;&gt;"", Klantgegevens_B!I242, SWITCH(Klantgegevens_A!J242, "Zelden", 1, "Af en toe", 4, "Regelmatig", 8, "Vaak", 12))</f>
        <v>Payconiq</v>
      </c>
      <c r="J243" t="str">
        <f>IF(Klantgegevens_B!J242&lt;&gt;"", Klantgegevens_B!J242, Klantgegevens_A!K242)</f>
        <v>ja</v>
      </c>
      <c r="K243">
        <f>IF(Klantgegevens_B!K242&lt;&gt;"", AVERAGE(--(Klantgegevens_B!K242="ja"), --(Klantgegevens_B!L242="ja"), --(Klantgegevens_B!M242="ja"), --(Klantgegevens_B!N242="ja"), --(Klantgegevens_B!O242="ja"))*10, Klantgegevens_A!L242)</f>
        <v>6</v>
      </c>
      <c r="L243" t="str">
        <f>IF(Klantgegevens_B!K242&lt;&gt;"", Klantgegevens_B!K242, IF(Klantgegevens_A!L242&gt;=7, "ja", "nee"))</f>
        <v>nee</v>
      </c>
      <c r="M243" t="str">
        <f>IF(Klantgegevens_B!L242&lt;&gt;"", Klantgegevens_B!L242, IF(Klantgegevens_A!L242&gt;=7, "ja", "nee"))</f>
        <v>ja</v>
      </c>
      <c r="N243" t="str">
        <f>IF(Klantgegevens_B!M242&lt;&gt;"", Klantgegevens_B!M242, IF(Klantgegevens_A!L242&gt;=7, "ja", "nee"))</f>
        <v>ja</v>
      </c>
      <c r="O243" t="str">
        <f>IF(Klantgegevens_B!N242&lt;&gt;"", Klantgegevens_B!N242, IF(Klantgegevens_A!L242&gt;=7, "ja", "nee"))</f>
        <v>ja</v>
      </c>
      <c r="P243" t="str">
        <f>IF(Klantgegevens_B!O242&lt;&gt;"", Klantgegevens_B!O242, IF(Klantgegevens_A!L242&gt;=7, "ja", "nee"))</f>
        <v>Geen dieet</v>
      </c>
      <c r="Q243" t="str">
        <f>IF(Klantgegevens_B!P242&lt;&gt;"", Klantgegevens_B!P242, Klantgegevens_A!M242)</f>
        <v>Vegetarisch</v>
      </c>
      <c r="R243" t="str">
        <f>IF(Klantgegevens_B!A242&lt;&gt;"", "B", "A")</f>
        <v>B</v>
      </c>
    </row>
    <row r="244" spans="1:18" x14ac:dyDescent="0.3">
      <c r="A244" t="str">
        <f>IF(Klantgegevens_B!A243&lt;&gt;"", Klantgegevens_B!A243, MID(Klantgegevens_A!A243, FIND(",", Klantgegevens_A!A243)+2, LEN(Klantgegevens_A!A243)))</f>
        <v>Andrée</v>
      </c>
      <c r="B244" t="str">
        <f>IF(Klantgegevens_B!B243&lt;&gt;"", Klantgegevens_B!B243, LEFT(Klantgegevens_A!A243, FIND(",", Klantgegevens_A!A243)-1))</f>
        <v>Petit</v>
      </c>
      <c r="C244" t="str">
        <f t="shared" ca="1" si="3"/>
        <v/>
      </c>
      <c r="D244" t="str">
        <f>IF(Klantgegevens_B!F243&lt;&gt;"", Klantgegevens_B!F243, Klantgegevens_A!D243 &amp; " " &amp; Klantgegevens_A!E243 &amp; ", " &amp; Klantgegevens_A!F243)</f>
        <v>Andrée,Samir,Ghislaine,Nancy</v>
      </c>
      <c r="E244">
        <f>IF(Klantgegevens_B!G243&lt;&gt;"", Klantgegevens_B!G243, TEXTJOIN(",", TRUE, REPT("Volwassene,", Klantgegevens_A!G243), REPT("Kind,", Klantgegevens_A!H243)))</f>
        <v>101.89</v>
      </c>
      <c r="F244">
        <f>IF(Klantgegevens_B!G243&lt;&gt;"", LEN(Klantgegevens_B!G243)-LEN(SUBSTITUTE(Klantgegevens_B!G243, ",", ""))+1, Klantgegevens_A!G243)</f>
        <v>1</v>
      </c>
      <c r="G244">
        <f>IF(Klantgegevens_B!G243&lt;&gt;"", 0, Klantgegevens_A!H243)</f>
        <v>0</v>
      </c>
      <c r="H244">
        <f>IF(Klantgegevens_B!H243&lt;&gt;"", Klantgegevens_B!H243, Klantgegevens_A!I243)</f>
        <v>5</v>
      </c>
      <c r="I244" t="str">
        <f>IF(Klantgegevens_B!I243&lt;&gt;"", Klantgegevens_B!I243, SWITCH(Klantgegevens_A!J243, "Zelden", 1, "Af en toe", 4, "Regelmatig", 8, "Vaak", 12))</f>
        <v>Cash</v>
      </c>
      <c r="J244" t="str">
        <f>IF(Klantgegevens_B!J243&lt;&gt;"", Klantgegevens_B!J243, Klantgegevens_A!K243)</f>
        <v>nee</v>
      </c>
      <c r="K244">
        <f>IF(Klantgegevens_B!K243&lt;&gt;"", AVERAGE(--(Klantgegevens_B!K243="ja"), --(Klantgegevens_B!L243="ja"), --(Klantgegevens_B!M243="ja"), --(Klantgegevens_B!N243="ja"), --(Klantgegevens_B!O243="ja"))*10, Klantgegevens_A!L243)</f>
        <v>8</v>
      </c>
      <c r="L244" t="str">
        <f>IF(Klantgegevens_B!K243&lt;&gt;"", Klantgegevens_B!K243, IF(Klantgegevens_A!L243&gt;=7, "ja", "nee"))</f>
        <v>ja</v>
      </c>
      <c r="M244" t="str">
        <f>IF(Klantgegevens_B!L243&lt;&gt;"", Klantgegevens_B!L243, IF(Klantgegevens_A!L243&gt;=7, "ja", "nee"))</f>
        <v>ja</v>
      </c>
      <c r="N244" t="str">
        <f>IF(Klantgegevens_B!M243&lt;&gt;"", Klantgegevens_B!M243, IF(Klantgegevens_A!L243&gt;=7, "ja", "nee"))</f>
        <v>ja</v>
      </c>
      <c r="O244" t="str">
        <f>IF(Klantgegevens_B!N243&lt;&gt;"", Klantgegevens_B!N243, IF(Klantgegevens_A!L243&gt;=7, "ja", "nee"))</f>
        <v>ja</v>
      </c>
      <c r="P244" t="str">
        <f>IF(Klantgegevens_B!O243&lt;&gt;"", Klantgegevens_B!O243, IF(Klantgegevens_A!L243&gt;=7, "ja", "nee"))</f>
        <v>Vegetarisch</v>
      </c>
      <c r="Q244" t="str">
        <f>IF(Klantgegevens_B!P243&lt;&gt;"", Klantgegevens_B!P243, Klantgegevens_A!M243)</f>
        <v>Geen dieet</v>
      </c>
      <c r="R244" t="str">
        <f>IF(Klantgegevens_B!A243&lt;&gt;"", "B", "A")</f>
        <v>B</v>
      </c>
    </row>
    <row r="245" spans="1:18" x14ac:dyDescent="0.3">
      <c r="A245" t="str">
        <f>IF(Klantgegevens_B!A244&lt;&gt;"", Klantgegevens_B!A244, MID(Klantgegevens_A!A244, FIND(",", Klantgegevens_A!A244)+2, LEN(Klantgegevens_A!A244)))</f>
        <v>Kathleen</v>
      </c>
      <c r="B245" t="str">
        <f>IF(Klantgegevens_B!B244&lt;&gt;"", Klantgegevens_B!B244, LEFT(Klantgegevens_A!A244, FIND(",", Klantgegevens_A!A244)-1))</f>
        <v>Leonard</v>
      </c>
      <c r="C245" t="str">
        <f t="shared" ca="1" si="3"/>
        <v/>
      </c>
      <c r="D245" t="str">
        <f>IF(Klantgegevens_B!F244&lt;&gt;"", Klantgegevens_B!F244, Klantgegevens_A!D244 &amp; " " &amp; Klantgegevens_A!E244 &amp; ", " &amp; Klantgegevens_A!F244)</f>
        <v>Kathleen</v>
      </c>
      <c r="E245">
        <f>IF(Klantgegevens_B!G244&lt;&gt;"", Klantgegevens_B!G244, TEXTJOIN(",", TRUE, REPT("Volwassene,", Klantgegevens_A!G244), REPT("Kind,", Klantgegevens_A!H244)))</f>
        <v>35.9</v>
      </c>
      <c r="F245">
        <f>IF(Klantgegevens_B!G244&lt;&gt;"", LEN(Klantgegevens_B!G244)-LEN(SUBSTITUTE(Klantgegevens_B!G244, ",", ""))+1, Klantgegevens_A!G244)</f>
        <v>1</v>
      </c>
      <c r="G245">
        <f>IF(Klantgegevens_B!G244&lt;&gt;"", 0, Klantgegevens_A!H244)</f>
        <v>0</v>
      </c>
      <c r="H245">
        <f>IF(Klantgegevens_B!H244&lt;&gt;"", Klantgegevens_B!H244, Klantgegevens_A!I244)</f>
        <v>7</v>
      </c>
      <c r="I245" t="str">
        <f>IF(Klantgegevens_B!I244&lt;&gt;"", Klantgegevens_B!I244, SWITCH(Klantgegevens_A!J244, "Zelden", 1, "Af en toe", 4, "Regelmatig", 8, "Vaak", 12))</f>
        <v>Payconiq</v>
      </c>
      <c r="J245" t="str">
        <f>IF(Klantgegevens_B!J244&lt;&gt;"", Klantgegevens_B!J244, Klantgegevens_A!K244)</f>
        <v>ja</v>
      </c>
      <c r="K245">
        <f>IF(Klantgegevens_B!K244&lt;&gt;"", AVERAGE(--(Klantgegevens_B!K244="ja"), --(Klantgegevens_B!L244="ja"), --(Klantgegevens_B!M244="ja"), --(Klantgegevens_B!N244="ja"), --(Klantgegevens_B!O244="ja"))*10, Klantgegevens_A!L244)</f>
        <v>6</v>
      </c>
      <c r="L245" t="str">
        <f>IF(Klantgegevens_B!K244&lt;&gt;"", Klantgegevens_B!K244, IF(Klantgegevens_A!L244&gt;=7, "ja", "nee"))</f>
        <v>ja</v>
      </c>
      <c r="M245" t="str">
        <f>IF(Klantgegevens_B!L244&lt;&gt;"", Klantgegevens_B!L244, IF(Klantgegevens_A!L244&gt;=7, "ja", "nee"))</f>
        <v>ja</v>
      </c>
      <c r="N245" t="str">
        <f>IF(Klantgegevens_B!M244&lt;&gt;"", Klantgegevens_B!M244, IF(Klantgegevens_A!L244&gt;=7, "ja", "nee"))</f>
        <v>ja</v>
      </c>
      <c r="O245" t="str">
        <f>IF(Klantgegevens_B!N244&lt;&gt;"", Klantgegevens_B!N244, IF(Klantgegevens_A!L244&gt;=7, "ja", "nee"))</f>
        <v>nee</v>
      </c>
      <c r="P245" t="str">
        <f>IF(Klantgegevens_B!O244&lt;&gt;"", Klantgegevens_B!O244, IF(Klantgegevens_A!L244&gt;=7, "ja", "nee"))</f>
        <v>Geen dieet</v>
      </c>
      <c r="Q245" t="str">
        <f>IF(Klantgegevens_B!P244&lt;&gt;"", Klantgegevens_B!P244, Klantgegevens_A!M244)</f>
        <v>Geen dieet</v>
      </c>
      <c r="R245" t="str">
        <f>IF(Klantgegevens_B!A244&lt;&gt;"", "B", "A")</f>
        <v>B</v>
      </c>
    </row>
    <row r="246" spans="1:18" x14ac:dyDescent="0.3">
      <c r="A246" t="str">
        <f>IF(Klantgegevens_B!A245&lt;&gt;"", Klantgegevens_B!A245, MID(Klantgegevens_A!A245, FIND(",", Klantgegevens_A!A245)+2, LEN(Klantgegevens_A!A245)))</f>
        <v>Mamadi</v>
      </c>
      <c r="B246" t="str">
        <f>IF(Klantgegevens_B!B245&lt;&gt;"", Klantgegevens_B!B245, LEFT(Klantgegevens_A!A245, FIND(",", Klantgegevens_A!A245)-1))</f>
        <v>Vercruysse</v>
      </c>
      <c r="C246" t="str">
        <f t="shared" ca="1" si="3"/>
        <v/>
      </c>
      <c r="D246" t="str">
        <f>IF(Klantgegevens_B!F245&lt;&gt;"", Klantgegevens_B!F245, Klantgegevens_A!D245 &amp; " " &amp; Klantgegevens_A!E245 &amp; ", " &amp; Klantgegevens_A!F245)</f>
        <v>Mamadi,Marijke,Ann,Sandra</v>
      </c>
      <c r="E246">
        <f>IF(Klantgegevens_B!G245&lt;&gt;"", Klantgegevens_B!G245, TEXTJOIN(",", TRUE, REPT("Volwassene,", Klantgegevens_A!G245), REPT("Kind,", Klantgegevens_A!H245)))</f>
        <v>144.94999999999999</v>
      </c>
      <c r="F246">
        <f>IF(Klantgegevens_B!G245&lt;&gt;"", LEN(Klantgegevens_B!G245)-LEN(SUBSTITUTE(Klantgegevens_B!G245, ",", ""))+1, Klantgegevens_A!G245)</f>
        <v>1</v>
      </c>
      <c r="G246">
        <f>IF(Klantgegevens_B!G245&lt;&gt;"", 0, Klantgegevens_A!H245)</f>
        <v>0</v>
      </c>
      <c r="H246">
        <f>IF(Klantgegevens_B!H245&lt;&gt;"", Klantgegevens_B!H245, Klantgegevens_A!I245)</f>
        <v>19</v>
      </c>
      <c r="I246" t="str">
        <f>IF(Klantgegevens_B!I245&lt;&gt;"", Klantgegevens_B!I245, SWITCH(Klantgegevens_A!J245, "Zelden", 1, "Af en toe", 4, "Regelmatig", 8, "Vaak", 12))</f>
        <v>Creditcard</v>
      </c>
      <c r="J246" t="str">
        <f>IF(Klantgegevens_B!J245&lt;&gt;"", Klantgegevens_B!J245, Klantgegevens_A!K245)</f>
        <v>ja</v>
      </c>
      <c r="K246">
        <f>IF(Klantgegevens_B!K245&lt;&gt;"", AVERAGE(--(Klantgegevens_B!K245="ja"), --(Klantgegevens_B!L245="ja"), --(Klantgegevens_B!M245="ja"), --(Klantgegevens_B!N245="ja"), --(Klantgegevens_B!O245="ja"))*10, Klantgegevens_A!L245)</f>
        <v>8</v>
      </c>
      <c r="L246" t="str">
        <f>IF(Klantgegevens_B!K245&lt;&gt;"", Klantgegevens_B!K245, IF(Klantgegevens_A!L245&gt;=7, "ja", "nee"))</f>
        <v>ja</v>
      </c>
      <c r="M246" t="str">
        <f>IF(Klantgegevens_B!L245&lt;&gt;"", Klantgegevens_B!L245, IF(Klantgegevens_A!L245&gt;=7, "ja", "nee"))</f>
        <v>ja</v>
      </c>
      <c r="N246" t="str">
        <f>IF(Klantgegevens_B!M245&lt;&gt;"", Klantgegevens_B!M245, IF(Klantgegevens_A!L245&gt;=7, "ja", "nee"))</f>
        <v>ja</v>
      </c>
      <c r="O246" t="str">
        <f>IF(Klantgegevens_B!N245&lt;&gt;"", Klantgegevens_B!N245, IF(Klantgegevens_A!L245&gt;=7, "ja", "nee"))</f>
        <v>ja</v>
      </c>
      <c r="P246" t="str">
        <f>IF(Klantgegevens_B!O245&lt;&gt;"", Klantgegevens_B!O245, IF(Klantgegevens_A!L245&gt;=7, "ja", "nee"))</f>
        <v>Geen dieet</v>
      </c>
      <c r="Q246" t="str">
        <f>IF(Klantgegevens_B!P245&lt;&gt;"", Klantgegevens_B!P245, Klantgegevens_A!M245)</f>
        <v>Veganistisch</v>
      </c>
      <c r="R246" t="str">
        <f>IF(Klantgegevens_B!A245&lt;&gt;"", "B", "A")</f>
        <v>B</v>
      </c>
    </row>
    <row r="247" spans="1:18" x14ac:dyDescent="0.3">
      <c r="A247" t="str">
        <f>IF(Klantgegevens_B!A246&lt;&gt;"", Klantgegevens_B!A246, MID(Klantgegevens_A!A246, FIND(",", Klantgegevens_A!A246)+2, LEN(Klantgegevens_A!A246)))</f>
        <v>Amrou</v>
      </c>
      <c r="B247" t="str">
        <f>IF(Klantgegevens_B!B246&lt;&gt;"", Klantgegevens_B!B246, LEFT(Klantgegevens_A!A246, FIND(",", Klantgegevens_A!A246)-1))</f>
        <v>Wouters</v>
      </c>
      <c r="C247" t="str">
        <f t="shared" ca="1" si="3"/>
        <v/>
      </c>
      <c r="D247" t="str">
        <f>IF(Klantgegevens_B!F246&lt;&gt;"", Klantgegevens_B!F246, Klantgegevens_A!D246 &amp; " " &amp; Klantgegevens_A!E246 &amp; ", " &amp; Klantgegevens_A!F246)</f>
        <v>Amrou</v>
      </c>
      <c r="E247">
        <f>IF(Klantgegevens_B!G246&lt;&gt;"", Klantgegevens_B!G246, TEXTJOIN(",", TRUE, REPT("Volwassene,", Klantgegevens_A!G246), REPT("Kind,", Klantgegevens_A!H246)))</f>
        <v>32.06</v>
      </c>
      <c r="F247">
        <f>IF(Klantgegevens_B!G246&lt;&gt;"", LEN(Klantgegevens_B!G246)-LEN(SUBSTITUTE(Klantgegevens_B!G246, ",", ""))+1, Klantgegevens_A!G246)</f>
        <v>1</v>
      </c>
      <c r="G247">
        <f>IF(Klantgegevens_B!G246&lt;&gt;"", 0, Klantgegevens_A!H246)</f>
        <v>0</v>
      </c>
      <c r="H247">
        <f>IF(Klantgegevens_B!H246&lt;&gt;"", Klantgegevens_B!H246, Klantgegevens_A!I246)</f>
        <v>7</v>
      </c>
      <c r="I247" t="str">
        <f>IF(Klantgegevens_B!I246&lt;&gt;"", Klantgegevens_B!I246, SWITCH(Klantgegevens_A!J246, "Zelden", 1, "Af en toe", 4, "Regelmatig", 8, "Vaak", 12))</f>
        <v>Payconiq</v>
      </c>
      <c r="J247" t="str">
        <f>IF(Klantgegevens_B!J246&lt;&gt;"", Klantgegevens_B!J246, Klantgegevens_A!K246)</f>
        <v>ja</v>
      </c>
      <c r="K247">
        <f>IF(Klantgegevens_B!K246&lt;&gt;"", AVERAGE(--(Klantgegevens_B!K246="ja"), --(Klantgegevens_B!L246="ja"), --(Klantgegevens_B!M246="ja"), --(Klantgegevens_B!N246="ja"), --(Klantgegevens_B!O246="ja"))*10, Klantgegevens_A!L246)</f>
        <v>6</v>
      </c>
      <c r="L247" t="str">
        <f>IF(Klantgegevens_B!K246&lt;&gt;"", Klantgegevens_B!K246, IF(Klantgegevens_A!L246&gt;=7, "ja", "nee"))</f>
        <v>ja</v>
      </c>
      <c r="M247" t="str">
        <f>IF(Klantgegevens_B!L246&lt;&gt;"", Klantgegevens_B!L246, IF(Klantgegevens_A!L246&gt;=7, "ja", "nee"))</f>
        <v>ja</v>
      </c>
      <c r="N247" t="str">
        <f>IF(Klantgegevens_B!M246&lt;&gt;"", Klantgegevens_B!M246, IF(Klantgegevens_A!L246&gt;=7, "ja", "nee"))</f>
        <v>nee</v>
      </c>
      <c r="O247" t="str">
        <f>IF(Klantgegevens_B!N246&lt;&gt;"", Klantgegevens_B!N246, IF(Klantgegevens_A!L246&gt;=7, "ja", "nee"))</f>
        <v>ja</v>
      </c>
      <c r="P247" t="str">
        <f>IF(Klantgegevens_B!O246&lt;&gt;"", Klantgegevens_B!O246, IF(Klantgegevens_A!L246&gt;=7, "ja", "nee"))</f>
        <v>Geen dieet</v>
      </c>
      <c r="Q247" t="str">
        <f>IF(Klantgegevens_B!P246&lt;&gt;"", Klantgegevens_B!P246, Klantgegevens_A!M246)</f>
        <v>Geen dieet</v>
      </c>
      <c r="R247" t="str">
        <f>IF(Klantgegevens_B!A246&lt;&gt;"", "B", "A")</f>
        <v>B</v>
      </c>
    </row>
    <row r="248" spans="1:18" x14ac:dyDescent="0.3">
      <c r="A248" t="str">
        <f>IF(Klantgegevens_B!A247&lt;&gt;"", Klantgegevens_B!A247, MID(Klantgegevens_A!A247, FIND(",", Klantgegevens_A!A247)+2, LEN(Klantgegevens_A!A247)))</f>
        <v>Eric</v>
      </c>
      <c r="B248" t="str">
        <f>IF(Klantgegevens_B!B247&lt;&gt;"", Klantgegevens_B!B247, LEFT(Klantgegevens_A!A247, FIND(",", Klantgegevens_A!A247)-1))</f>
        <v>Marchal</v>
      </c>
      <c r="C248" t="str">
        <f t="shared" ca="1" si="3"/>
        <v/>
      </c>
      <c r="D248" t="str">
        <f>IF(Klantgegevens_B!F247&lt;&gt;"", Klantgegevens_B!F247, Klantgegevens_A!D247 &amp; " " &amp; Klantgegevens_A!E247 &amp; ", " &amp; Klantgegevens_A!F247)</f>
        <v>Eric,Recep</v>
      </c>
      <c r="E248">
        <f>IF(Klantgegevens_B!G247&lt;&gt;"", Klantgegevens_B!G247, TEXTJOIN(",", TRUE, REPT("Volwassene,", Klantgegevens_A!G247), REPT("Kind,", Klantgegevens_A!H247)))</f>
        <v>103.05</v>
      </c>
      <c r="F248">
        <f>IF(Klantgegevens_B!G247&lt;&gt;"", LEN(Klantgegevens_B!G247)-LEN(SUBSTITUTE(Klantgegevens_B!G247, ",", ""))+1, Klantgegevens_A!G247)</f>
        <v>1</v>
      </c>
      <c r="G248">
        <f>IF(Klantgegevens_B!G247&lt;&gt;"", 0, Klantgegevens_A!H247)</f>
        <v>0</v>
      </c>
      <c r="H248">
        <f>IF(Klantgegevens_B!H247&lt;&gt;"", Klantgegevens_B!H247, Klantgegevens_A!I247)</f>
        <v>1</v>
      </c>
      <c r="I248" t="str">
        <f>IF(Klantgegevens_B!I247&lt;&gt;"", Klantgegevens_B!I247, SWITCH(Klantgegevens_A!J247, "Zelden", 1, "Af en toe", 4, "Regelmatig", 8, "Vaak", 12))</f>
        <v>Bancontact</v>
      </c>
      <c r="J248" t="str">
        <f>IF(Klantgegevens_B!J247&lt;&gt;"", Klantgegevens_B!J247, Klantgegevens_A!K247)</f>
        <v>ja</v>
      </c>
      <c r="K248">
        <f>IF(Klantgegevens_B!K247&lt;&gt;"", AVERAGE(--(Klantgegevens_B!K247="ja"), --(Klantgegevens_B!L247="ja"), --(Klantgegevens_B!M247="ja"), --(Klantgegevens_B!N247="ja"), --(Klantgegevens_B!O247="ja"))*10, Klantgegevens_A!L247)</f>
        <v>8</v>
      </c>
      <c r="L248" t="str">
        <f>IF(Klantgegevens_B!K247&lt;&gt;"", Klantgegevens_B!K247, IF(Klantgegevens_A!L247&gt;=7, "ja", "nee"))</f>
        <v>ja</v>
      </c>
      <c r="M248" t="str">
        <f>IF(Klantgegevens_B!L247&lt;&gt;"", Klantgegevens_B!L247, IF(Klantgegevens_A!L247&gt;=7, "ja", "nee"))</f>
        <v>ja</v>
      </c>
      <c r="N248" t="str">
        <f>IF(Klantgegevens_B!M247&lt;&gt;"", Klantgegevens_B!M247, IF(Klantgegevens_A!L247&gt;=7, "ja", "nee"))</f>
        <v>ja</v>
      </c>
      <c r="O248" t="str">
        <f>IF(Klantgegevens_B!N247&lt;&gt;"", Klantgegevens_B!N247, IF(Klantgegevens_A!L247&gt;=7, "ja", "nee"))</f>
        <v>ja</v>
      </c>
      <c r="P248" t="str">
        <f>IF(Klantgegevens_B!O247&lt;&gt;"", Klantgegevens_B!O247, IF(Klantgegevens_A!L247&gt;=7, "ja", "nee"))</f>
        <v>Geen dieet</v>
      </c>
      <c r="Q248" t="str">
        <f>IF(Klantgegevens_B!P247&lt;&gt;"", Klantgegevens_B!P247, Klantgegevens_A!M247)</f>
        <v>Geen dieet</v>
      </c>
      <c r="R248" t="str">
        <f>IF(Klantgegevens_B!A247&lt;&gt;"", "B", "A")</f>
        <v>B</v>
      </c>
    </row>
    <row r="249" spans="1:18" x14ac:dyDescent="0.3">
      <c r="A249" t="str">
        <f>IF(Klantgegevens_B!A248&lt;&gt;"", Klantgegevens_B!A248, MID(Klantgegevens_A!A248, FIND(",", Klantgegevens_A!A248)+2, LEN(Klantgegevens_A!A248)))</f>
        <v>Evelyne</v>
      </c>
      <c r="B249" t="str">
        <f>IF(Klantgegevens_B!B248&lt;&gt;"", Klantgegevens_B!B248, LEFT(Klantgegevens_A!A248, FIND(",", Klantgegevens_A!A248)-1))</f>
        <v>Colson</v>
      </c>
      <c r="C249" t="str">
        <f t="shared" ca="1" si="3"/>
        <v/>
      </c>
      <c r="D249" t="str">
        <f>IF(Klantgegevens_B!F248&lt;&gt;"", Klantgegevens_B!F248, Klantgegevens_A!D248 &amp; " " &amp; Klantgegevens_A!E248 &amp; ", " &amp; Klantgegevens_A!F248)</f>
        <v>Evelyne,Dominique</v>
      </c>
      <c r="E249">
        <f>IF(Klantgegevens_B!G248&lt;&gt;"", Klantgegevens_B!G248, TEXTJOIN(",", TRUE, REPT("Volwassene,", Klantgegevens_A!G248), REPT("Kind,", Klantgegevens_A!H248)))</f>
        <v>65.44</v>
      </c>
      <c r="F249">
        <f>IF(Klantgegevens_B!G248&lt;&gt;"", LEN(Klantgegevens_B!G248)-LEN(SUBSTITUTE(Klantgegevens_B!G248, ",", ""))+1, Klantgegevens_A!G248)</f>
        <v>1</v>
      </c>
      <c r="G249">
        <f>IF(Klantgegevens_B!G248&lt;&gt;"", 0, Klantgegevens_A!H248)</f>
        <v>0</v>
      </c>
      <c r="H249">
        <f>IF(Klantgegevens_B!H248&lt;&gt;"", Klantgegevens_B!H248, Klantgegevens_A!I248)</f>
        <v>1</v>
      </c>
      <c r="I249" t="str">
        <f>IF(Klantgegevens_B!I248&lt;&gt;"", Klantgegevens_B!I248, SWITCH(Klantgegevens_A!J248, "Zelden", 1, "Af en toe", 4, "Regelmatig", 8, "Vaak", 12))</f>
        <v>Bancontact</v>
      </c>
      <c r="J249" t="str">
        <f>IF(Klantgegevens_B!J248&lt;&gt;"", Klantgegevens_B!J248, Klantgegevens_A!K248)</f>
        <v>ja</v>
      </c>
      <c r="K249">
        <f>IF(Klantgegevens_B!K248&lt;&gt;"", AVERAGE(--(Klantgegevens_B!K248="ja"), --(Klantgegevens_B!L248="ja"), --(Klantgegevens_B!M248="ja"), --(Klantgegevens_B!N248="ja"), --(Klantgegevens_B!O248="ja"))*10, Klantgegevens_A!L248)</f>
        <v>6</v>
      </c>
      <c r="L249" t="str">
        <f>IF(Klantgegevens_B!K248&lt;&gt;"", Klantgegevens_B!K248, IF(Klantgegevens_A!L248&gt;=7, "ja", "nee"))</f>
        <v>nee</v>
      </c>
      <c r="M249" t="str">
        <f>IF(Klantgegevens_B!L248&lt;&gt;"", Klantgegevens_B!L248, IF(Klantgegevens_A!L248&gt;=7, "ja", "nee"))</f>
        <v>ja</v>
      </c>
      <c r="N249" t="str">
        <f>IF(Klantgegevens_B!M248&lt;&gt;"", Klantgegevens_B!M248, IF(Klantgegevens_A!L248&gt;=7, "ja", "nee"))</f>
        <v>ja</v>
      </c>
      <c r="O249" t="str">
        <f>IF(Klantgegevens_B!N248&lt;&gt;"", Klantgegevens_B!N248, IF(Klantgegevens_A!L248&gt;=7, "ja", "nee"))</f>
        <v>ja</v>
      </c>
      <c r="P249" t="str">
        <f>IF(Klantgegevens_B!O248&lt;&gt;"", Klantgegevens_B!O248, IF(Klantgegevens_A!L248&gt;=7, "ja", "nee"))</f>
        <v>Vegetarisch</v>
      </c>
      <c r="Q249" t="str">
        <f>IF(Klantgegevens_B!P248&lt;&gt;"", Klantgegevens_B!P248, Klantgegevens_A!M248)</f>
        <v>Geen dieet</v>
      </c>
      <c r="R249" t="str">
        <f>IF(Klantgegevens_B!A248&lt;&gt;"", "B", "A")</f>
        <v>B</v>
      </c>
    </row>
    <row r="250" spans="1:18" x14ac:dyDescent="0.3">
      <c r="A250" t="str">
        <f>IF(Klantgegevens_B!A249&lt;&gt;"", Klantgegevens_B!A249, MID(Klantgegevens_A!A249, FIND(",", Klantgegevens_A!A249)+2, LEN(Klantgegevens_A!A249)))</f>
        <v>Johnny</v>
      </c>
      <c r="B250" t="str">
        <f>IF(Klantgegevens_B!B249&lt;&gt;"", Klantgegevens_B!B249, LEFT(Klantgegevens_A!A249, FIND(",", Klantgegevens_A!A249)-1))</f>
        <v>De meyer</v>
      </c>
      <c r="C250" t="str">
        <f t="shared" ca="1" si="3"/>
        <v/>
      </c>
      <c r="D250" t="str">
        <f>IF(Klantgegevens_B!F249&lt;&gt;"", Klantgegevens_B!F249, Klantgegevens_A!D249 &amp; " " &amp; Klantgegevens_A!E249 &amp; ", " &amp; Klantgegevens_A!F249)</f>
        <v>Johnny,Violette</v>
      </c>
      <c r="E250">
        <f>IF(Klantgegevens_B!G249&lt;&gt;"", Klantgegevens_B!G249, TEXTJOIN(",", TRUE, REPT("Volwassene,", Klantgegevens_A!G249), REPT("Kind,", Klantgegevens_A!H249)))</f>
        <v>71.19</v>
      </c>
      <c r="F250">
        <f>IF(Klantgegevens_B!G249&lt;&gt;"", LEN(Klantgegevens_B!G249)-LEN(SUBSTITUTE(Klantgegevens_B!G249, ",", ""))+1, Klantgegevens_A!G249)</f>
        <v>1</v>
      </c>
      <c r="G250">
        <f>IF(Klantgegevens_B!G249&lt;&gt;"", 0, Klantgegevens_A!H249)</f>
        <v>0</v>
      </c>
      <c r="H250">
        <f>IF(Klantgegevens_B!H249&lt;&gt;"", Klantgegevens_B!H249, Klantgegevens_A!I249)</f>
        <v>8</v>
      </c>
      <c r="I250" t="str">
        <f>IF(Klantgegevens_B!I249&lt;&gt;"", Klantgegevens_B!I249, SWITCH(Klantgegevens_A!J249, "Zelden", 1, "Af en toe", 4, "Regelmatig", 8, "Vaak", 12))</f>
        <v>Payconiq</v>
      </c>
      <c r="J250" t="str">
        <f>IF(Klantgegevens_B!J249&lt;&gt;"", Klantgegevens_B!J249, Klantgegevens_A!K249)</f>
        <v>ja</v>
      </c>
      <c r="K250">
        <f>IF(Klantgegevens_B!K249&lt;&gt;"", AVERAGE(--(Klantgegevens_B!K249="ja"), --(Klantgegevens_B!L249="ja"), --(Klantgegevens_B!M249="ja"), --(Klantgegevens_B!N249="ja"), --(Klantgegevens_B!O249="ja"))*10, Klantgegevens_A!L249)</f>
        <v>8</v>
      </c>
      <c r="L250" t="str">
        <f>IF(Klantgegevens_B!K249&lt;&gt;"", Klantgegevens_B!K249, IF(Klantgegevens_A!L249&gt;=7, "ja", "nee"))</f>
        <v>ja</v>
      </c>
      <c r="M250" t="str">
        <f>IF(Klantgegevens_B!L249&lt;&gt;"", Klantgegevens_B!L249, IF(Klantgegevens_A!L249&gt;=7, "ja", "nee"))</f>
        <v>ja</v>
      </c>
      <c r="N250" t="str">
        <f>IF(Klantgegevens_B!M249&lt;&gt;"", Klantgegevens_B!M249, IF(Klantgegevens_A!L249&gt;=7, "ja", "nee"))</f>
        <v>ja</v>
      </c>
      <c r="O250" t="str">
        <f>IF(Klantgegevens_B!N249&lt;&gt;"", Klantgegevens_B!N249, IF(Klantgegevens_A!L249&gt;=7, "ja", "nee"))</f>
        <v>ja</v>
      </c>
      <c r="P250" t="str">
        <f>IF(Klantgegevens_B!O249&lt;&gt;"", Klantgegevens_B!O249, IF(Klantgegevens_A!L249&gt;=7, "ja", "nee"))</f>
        <v>Geen dieet</v>
      </c>
      <c r="Q250" t="str">
        <f>IF(Klantgegevens_B!P249&lt;&gt;"", Klantgegevens_B!P249, Klantgegevens_A!M249)</f>
        <v>Geen dieet</v>
      </c>
      <c r="R250" t="str">
        <f>IF(Klantgegevens_B!A249&lt;&gt;"", "B", "A")</f>
        <v>B</v>
      </c>
    </row>
    <row r="251" spans="1:18" x14ac:dyDescent="0.3">
      <c r="A251" t="str">
        <f>IF(Klantgegevens_B!A250&lt;&gt;"", Klantgegevens_B!A250, MID(Klantgegevens_A!A250, FIND(",", Klantgegevens_A!A250)+2, LEN(Klantgegevens_A!A250)))</f>
        <v>Laurie</v>
      </c>
      <c r="B251" t="str">
        <f>IF(Klantgegevens_B!B250&lt;&gt;"", Klantgegevens_B!B250, LEFT(Klantgegevens_A!A250, FIND(",", Klantgegevens_A!A250)-1))</f>
        <v>Vanneste</v>
      </c>
      <c r="C251" t="str">
        <f t="shared" ca="1" si="3"/>
        <v/>
      </c>
      <c r="D251" t="str">
        <f>IF(Klantgegevens_B!F250&lt;&gt;"", Klantgegevens_B!F250, Klantgegevens_A!D250 &amp; " " &amp; Klantgegevens_A!E250 &amp; ", " &amp; Klantgegevens_A!F250)</f>
        <v>Laurie,Beata</v>
      </c>
      <c r="E251">
        <f>IF(Klantgegevens_B!G250&lt;&gt;"", Klantgegevens_B!G250, TEXTJOIN(",", TRUE, REPT("Volwassene,", Klantgegevens_A!G250), REPT("Kind,", Klantgegevens_A!H250)))</f>
        <v>95.69</v>
      </c>
      <c r="F251">
        <f>IF(Klantgegevens_B!G250&lt;&gt;"", LEN(Klantgegevens_B!G250)-LEN(SUBSTITUTE(Klantgegevens_B!G250, ",", ""))+1, Klantgegevens_A!G250)</f>
        <v>1</v>
      </c>
      <c r="G251">
        <f>IF(Klantgegevens_B!G250&lt;&gt;"", 0, Klantgegevens_A!H250)</f>
        <v>0</v>
      </c>
      <c r="H251">
        <f>IF(Klantgegevens_B!H250&lt;&gt;"", Klantgegevens_B!H250, Klantgegevens_A!I250)</f>
        <v>7</v>
      </c>
      <c r="I251" t="str">
        <f>IF(Klantgegevens_B!I250&lt;&gt;"", Klantgegevens_B!I250, SWITCH(Klantgegevens_A!J250, "Zelden", 1, "Af en toe", 4, "Regelmatig", 8, "Vaak", 12))</f>
        <v>Payconiq</v>
      </c>
      <c r="J251" t="str">
        <f>IF(Klantgegevens_B!J250&lt;&gt;"", Klantgegevens_B!J250, Klantgegevens_A!K250)</f>
        <v>nee</v>
      </c>
      <c r="K251">
        <f>IF(Klantgegevens_B!K250&lt;&gt;"", AVERAGE(--(Klantgegevens_B!K250="ja"), --(Klantgegevens_B!L250="ja"), --(Klantgegevens_B!M250="ja"), --(Klantgegevens_B!N250="ja"), --(Klantgegevens_B!O250="ja"))*10, Klantgegevens_A!L250)</f>
        <v>6</v>
      </c>
      <c r="L251" t="str">
        <f>IF(Klantgegevens_B!K250&lt;&gt;"", Klantgegevens_B!K250, IF(Klantgegevens_A!L250&gt;=7, "ja", "nee"))</f>
        <v>ja</v>
      </c>
      <c r="M251" t="str">
        <f>IF(Klantgegevens_B!L250&lt;&gt;"", Klantgegevens_B!L250, IF(Klantgegevens_A!L250&gt;=7, "ja", "nee"))</f>
        <v>ja</v>
      </c>
      <c r="N251" t="str">
        <f>IF(Klantgegevens_B!M250&lt;&gt;"", Klantgegevens_B!M250, IF(Klantgegevens_A!L250&gt;=7, "ja", "nee"))</f>
        <v>nee</v>
      </c>
      <c r="O251" t="str">
        <f>IF(Klantgegevens_B!N250&lt;&gt;"", Klantgegevens_B!N250, IF(Klantgegevens_A!L250&gt;=7, "ja", "nee"))</f>
        <v>ja</v>
      </c>
      <c r="P251" t="str">
        <f>IF(Klantgegevens_B!O250&lt;&gt;"", Klantgegevens_B!O250, IF(Klantgegevens_A!L250&gt;=7, "ja", "nee"))</f>
        <v>Veganistisch</v>
      </c>
      <c r="Q251" t="str">
        <f>IF(Klantgegevens_B!P250&lt;&gt;"", Klantgegevens_B!P250, Klantgegevens_A!M250)</f>
        <v>Geen dieet</v>
      </c>
      <c r="R251" t="str">
        <f>IF(Klantgegevens_B!A250&lt;&gt;"", "B", "A")</f>
        <v>B</v>
      </c>
    </row>
    <row r="252" spans="1:18" x14ac:dyDescent="0.3">
      <c r="A252" t="str">
        <f>IF(Klantgegevens_B!A251&lt;&gt;"", Klantgegevens_B!A251, MID(Klantgegevens_A!A251, FIND(",", Klantgegevens_A!A251)+2, LEN(Klantgegevens_A!A251)))</f>
        <v>Jin</v>
      </c>
      <c r="B252" t="str">
        <f>IF(Klantgegevens_B!B251&lt;&gt;"", Klantgegevens_B!B251, LEFT(Klantgegevens_A!A251, FIND(",", Klantgegevens_A!A251)-1))</f>
        <v>De coster</v>
      </c>
      <c r="C252" t="str">
        <f t="shared" ca="1" si="3"/>
        <v/>
      </c>
      <c r="D252" t="str">
        <f>IF(Klantgegevens_B!F251&lt;&gt;"", Klantgegevens_B!F251, Klantgegevens_A!D251 &amp; " " &amp; Klantgegevens_A!E251 &amp; ", " &amp; Klantgegevens_A!F251)</f>
        <v>Jin,Lucas,Erik</v>
      </c>
      <c r="E252">
        <f>IF(Klantgegevens_B!G251&lt;&gt;"", Klantgegevens_B!G251, TEXTJOIN(",", TRUE, REPT("Volwassene,", Klantgegevens_A!G251), REPT("Kind,", Klantgegevens_A!H251)))</f>
        <v>181.08</v>
      </c>
      <c r="F252">
        <f>IF(Klantgegevens_B!G251&lt;&gt;"", LEN(Klantgegevens_B!G251)-LEN(SUBSTITUTE(Klantgegevens_B!G251, ",", ""))+1, Klantgegevens_A!G251)</f>
        <v>1</v>
      </c>
      <c r="G252">
        <f>IF(Klantgegevens_B!G251&lt;&gt;"", 0, Klantgegevens_A!H251)</f>
        <v>0</v>
      </c>
      <c r="H252">
        <f>IF(Klantgegevens_B!H251&lt;&gt;"", Klantgegevens_B!H251, Klantgegevens_A!I251)</f>
        <v>23</v>
      </c>
      <c r="I252" t="str">
        <f>IF(Klantgegevens_B!I251&lt;&gt;"", Klantgegevens_B!I251, SWITCH(Klantgegevens_A!J251, "Zelden", 1, "Af en toe", 4, "Regelmatig", 8, "Vaak", 12))</f>
        <v>Payconiq</v>
      </c>
      <c r="J252" t="str">
        <f>IF(Klantgegevens_B!J251&lt;&gt;"", Klantgegevens_B!J251, Klantgegevens_A!K251)</f>
        <v>ja</v>
      </c>
      <c r="K252">
        <f>IF(Klantgegevens_B!K251&lt;&gt;"", AVERAGE(--(Klantgegevens_B!K251="ja"), --(Klantgegevens_B!L251="ja"), --(Klantgegevens_B!M251="ja"), --(Klantgegevens_B!N251="ja"), --(Klantgegevens_B!O251="ja"))*10, Klantgegevens_A!L251)</f>
        <v>2</v>
      </c>
      <c r="L252" t="str">
        <f>IF(Klantgegevens_B!K251&lt;&gt;"", Klantgegevens_B!K251, IF(Klantgegevens_A!L251&gt;=7, "ja", "nee"))</f>
        <v>nee</v>
      </c>
      <c r="M252" t="str">
        <f>IF(Klantgegevens_B!L251&lt;&gt;"", Klantgegevens_B!L251, IF(Klantgegevens_A!L251&gt;=7, "ja", "nee"))</f>
        <v>nee</v>
      </c>
      <c r="N252" t="str">
        <f>IF(Klantgegevens_B!M251&lt;&gt;"", Klantgegevens_B!M251, IF(Klantgegevens_A!L251&gt;=7, "ja", "nee"))</f>
        <v>nee</v>
      </c>
      <c r="O252" t="str">
        <f>IF(Klantgegevens_B!N251&lt;&gt;"", Klantgegevens_B!N251, IF(Klantgegevens_A!L251&gt;=7, "ja", "nee"))</f>
        <v>ja</v>
      </c>
      <c r="P252" t="str">
        <f>IF(Klantgegevens_B!O251&lt;&gt;"", Klantgegevens_B!O251, IF(Klantgegevens_A!L251&gt;=7, "ja", "nee"))</f>
        <v>Geen dieet</v>
      </c>
      <c r="Q252" t="str">
        <f>IF(Klantgegevens_B!P251&lt;&gt;"", Klantgegevens_B!P251, Klantgegevens_A!M251)</f>
        <v>Geen dieet</v>
      </c>
      <c r="R252" t="str">
        <f>IF(Klantgegevens_B!A251&lt;&gt;"", "B", "A")</f>
        <v>B</v>
      </c>
    </row>
    <row r="253" spans="1:18" x14ac:dyDescent="0.3">
      <c r="A253" t="str">
        <f>IF(Klantgegevens_B!A252&lt;&gt;"", Klantgegevens_B!A252, MID(Klantgegevens_A!A252, FIND(",", Klantgegevens_A!A252)+2, LEN(Klantgegevens_A!A252)))</f>
        <v>Mike</v>
      </c>
      <c r="B253" t="str">
        <f>IF(Klantgegevens_B!B252&lt;&gt;"", Klantgegevens_B!B252, LEFT(Klantgegevens_A!A252, FIND(",", Klantgegevens_A!A252)-1))</f>
        <v>Verstraete</v>
      </c>
      <c r="C253" t="str">
        <f t="shared" ca="1" si="3"/>
        <v/>
      </c>
      <c r="D253" t="str">
        <f>IF(Klantgegevens_B!F252&lt;&gt;"", Klantgegevens_B!F252, Klantgegevens_A!D252 &amp; " " &amp; Klantgegevens_A!E252 &amp; ", " &amp; Klantgegevens_A!F252)</f>
        <v>Mike,Dariusz</v>
      </c>
      <c r="E253">
        <f>IF(Klantgegevens_B!G252&lt;&gt;"", Klantgegevens_B!G252, TEXTJOIN(",", TRUE, REPT("Volwassene,", Klantgegevens_A!G252), REPT("Kind,", Klantgegevens_A!H252)))</f>
        <v>139.1</v>
      </c>
      <c r="F253">
        <f>IF(Klantgegevens_B!G252&lt;&gt;"", LEN(Klantgegevens_B!G252)-LEN(SUBSTITUTE(Klantgegevens_B!G252, ",", ""))+1, Klantgegevens_A!G252)</f>
        <v>1</v>
      </c>
      <c r="G253">
        <f>IF(Klantgegevens_B!G252&lt;&gt;"", 0, Klantgegevens_A!H252)</f>
        <v>0</v>
      </c>
      <c r="H253">
        <f>IF(Klantgegevens_B!H252&lt;&gt;"", Klantgegevens_B!H252, Klantgegevens_A!I252)</f>
        <v>4</v>
      </c>
      <c r="I253" t="str">
        <f>IF(Klantgegevens_B!I252&lt;&gt;"", Klantgegevens_B!I252, SWITCH(Klantgegevens_A!J252, "Zelden", 1, "Af en toe", 4, "Regelmatig", 8, "Vaak", 12))</f>
        <v>Payconiq</v>
      </c>
      <c r="J253" t="str">
        <f>IF(Klantgegevens_B!J252&lt;&gt;"", Klantgegevens_B!J252, Klantgegevens_A!K252)</f>
        <v>ja</v>
      </c>
      <c r="K253">
        <f>IF(Klantgegevens_B!K252&lt;&gt;"", AVERAGE(--(Klantgegevens_B!K252="ja"), --(Klantgegevens_B!L252="ja"), --(Klantgegevens_B!M252="ja"), --(Klantgegevens_B!N252="ja"), --(Klantgegevens_B!O252="ja"))*10, Klantgegevens_A!L252)</f>
        <v>6</v>
      </c>
      <c r="L253" t="str">
        <f>IF(Klantgegevens_B!K252&lt;&gt;"", Klantgegevens_B!K252, IF(Klantgegevens_A!L252&gt;=7, "ja", "nee"))</f>
        <v>ja</v>
      </c>
      <c r="M253" t="str">
        <f>IF(Klantgegevens_B!L252&lt;&gt;"", Klantgegevens_B!L252, IF(Klantgegevens_A!L252&gt;=7, "ja", "nee"))</f>
        <v>nee</v>
      </c>
      <c r="N253" t="str">
        <f>IF(Klantgegevens_B!M252&lt;&gt;"", Klantgegevens_B!M252, IF(Klantgegevens_A!L252&gt;=7, "ja", "nee"))</f>
        <v>ja</v>
      </c>
      <c r="O253" t="str">
        <f>IF(Klantgegevens_B!N252&lt;&gt;"", Klantgegevens_B!N252, IF(Klantgegevens_A!L252&gt;=7, "ja", "nee"))</f>
        <v>ja</v>
      </c>
      <c r="P253" t="str">
        <f>IF(Klantgegevens_B!O252&lt;&gt;"", Klantgegevens_B!O252, IF(Klantgegevens_A!L252&gt;=7, "ja", "nee"))</f>
        <v>Vegetarisch</v>
      </c>
      <c r="Q253" t="str">
        <f>IF(Klantgegevens_B!P252&lt;&gt;"", Klantgegevens_B!P252, Klantgegevens_A!M252)</f>
        <v>Geen dieet</v>
      </c>
      <c r="R253" t="str">
        <f>IF(Klantgegevens_B!A252&lt;&gt;"", "B", "A")</f>
        <v>B</v>
      </c>
    </row>
    <row r="254" spans="1:18" x14ac:dyDescent="0.3">
      <c r="A254" t="str">
        <f>IF(Klantgegevens_B!A253&lt;&gt;"", Klantgegevens_B!A253, MID(Klantgegevens_A!A253, FIND(",", Klantgegevens_A!A253)+2, LEN(Klantgegevens_A!A253)))</f>
        <v>Tatiana</v>
      </c>
      <c r="B254" t="str">
        <f>IF(Klantgegevens_B!B253&lt;&gt;"", Klantgegevens_B!B253, LEFT(Klantgegevens_A!A253, FIND(",", Klantgegevens_A!A253)-1))</f>
        <v>Vandenbroucke</v>
      </c>
      <c r="C254" t="str">
        <f t="shared" ca="1" si="3"/>
        <v/>
      </c>
      <c r="D254" t="str">
        <f>IF(Klantgegevens_B!F253&lt;&gt;"", Klantgegevens_B!F253, Klantgegevens_A!D253 &amp; " " &amp; Klantgegevens_A!E253 &amp; ", " &amp; Klantgegevens_A!F253)</f>
        <v>Tatiana,Sofia,Jacqueline,Rutger</v>
      </c>
      <c r="E254">
        <f>IF(Klantgegevens_B!G253&lt;&gt;"", Klantgegevens_B!G253, TEXTJOIN(",", TRUE, REPT("Volwassene,", Klantgegevens_A!G253), REPT("Kind,", Klantgegevens_A!H253)))</f>
        <v>72.37</v>
      </c>
      <c r="F254">
        <f>IF(Klantgegevens_B!G253&lt;&gt;"", LEN(Klantgegevens_B!G253)-LEN(SUBSTITUTE(Klantgegevens_B!G253, ",", ""))+1, Klantgegevens_A!G253)</f>
        <v>1</v>
      </c>
      <c r="G254">
        <f>IF(Klantgegevens_B!G253&lt;&gt;"", 0, Klantgegevens_A!H253)</f>
        <v>0</v>
      </c>
      <c r="H254">
        <f>IF(Klantgegevens_B!H253&lt;&gt;"", Klantgegevens_B!H253, Klantgegevens_A!I253)</f>
        <v>2</v>
      </c>
      <c r="I254" t="str">
        <f>IF(Klantgegevens_B!I253&lt;&gt;"", Klantgegevens_B!I253, SWITCH(Klantgegevens_A!J253, "Zelden", 1, "Af en toe", 4, "Regelmatig", 8, "Vaak", 12))</f>
        <v>Bancontact</v>
      </c>
      <c r="J254" t="str">
        <f>IF(Klantgegevens_B!J253&lt;&gt;"", Klantgegevens_B!J253, Klantgegevens_A!K253)</f>
        <v>nee</v>
      </c>
      <c r="K254">
        <f>IF(Klantgegevens_B!K253&lt;&gt;"", AVERAGE(--(Klantgegevens_B!K253="ja"), --(Klantgegevens_B!L253="ja"), --(Klantgegevens_B!M253="ja"), --(Klantgegevens_B!N253="ja"), --(Klantgegevens_B!O253="ja"))*10, Klantgegevens_A!L253)</f>
        <v>8</v>
      </c>
      <c r="L254" t="str">
        <f>IF(Klantgegevens_B!K253&lt;&gt;"", Klantgegevens_B!K253, IF(Klantgegevens_A!L253&gt;=7, "ja", "nee"))</f>
        <v>ja</v>
      </c>
      <c r="M254" t="str">
        <f>IF(Klantgegevens_B!L253&lt;&gt;"", Klantgegevens_B!L253, IF(Klantgegevens_A!L253&gt;=7, "ja", "nee"))</f>
        <v>ja</v>
      </c>
      <c r="N254" t="str">
        <f>IF(Klantgegevens_B!M253&lt;&gt;"", Klantgegevens_B!M253, IF(Klantgegevens_A!L253&gt;=7, "ja", "nee"))</f>
        <v>ja</v>
      </c>
      <c r="O254" t="str">
        <f>IF(Klantgegevens_B!N253&lt;&gt;"", Klantgegevens_B!N253, IF(Klantgegevens_A!L253&gt;=7, "ja", "nee"))</f>
        <v>ja</v>
      </c>
      <c r="P254" t="str">
        <f>IF(Klantgegevens_B!O253&lt;&gt;"", Klantgegevens_B!O253, IF(Klantgegevens_A!L253&gt;=7, "ja", "nee"))</f>
        <v>Geen dieet</v>
      </c>
      <c r="Q254" t="str">
        <f>IF(Klantgegevens_B!P253&lt;&gt;"", Klantgegevens_B!P253, Klantgegevens_A!M253)</f>
        <v>Geen dieet</v>
      </c>
      <c r="R254" t="str">
        <f>IF(Klantgegevens_B!A253&lt;&gt;"", "B", "A")</f>
        <v>B</v>
      </c>
    </row>
    <row r="255" spans="1:18" x14ac:dyDescent="0.3">
      <c r="A255" t="str">
        <f>IF(Klantgegevens_B!A254&lt;&gt;"", Klantgegevens_B!A254, MID(Klantgegevens_A!A254, FIND(",", Klantgegevens_A!A254)+2, LEN(Klantgegevens_A!A254)))</f>
        <v>Joëy</v>
      </c>
      <c r="B255" t="str">
        <f>IF(Klantgegevens_B!B254&lt;&gt;"", Klantgegevens_B!B254, LEFT(Klantgegevens_A!A254, FIND(",", Klantgegevens_A!A254)-1))</f>
        <v>Lefebvre</v>
      </c>
      <c r="C255" t="str">
        <f t="shared" ca="1" si="3"/>
        <v/>
      </c>
      <c r="D255" t="str">
        <f>IF(Klantgegevens_B!F254&lt;&gt;"", Klantgegevens_B!F254, Klantgegevens_A!D254 &amp; " " &amp; Klantgegevens_A!E254 &amp; ", " &amp; Klantgegevens_A!F254)</f>
        <v>Joëy,Jan</v>
      </c>
      <c r="E255">
        <f>IF(Klantgegevens_B!G254&lt;&gt;"", Klantgegevens_B!G254, TEXTJOIN(",", TRUE, REPT("Volwassene,", Klantgegevens_A!G254), REPT("Kind,", Klantgegevens_A!H254)))</f>
        <v>97.67</v>
      </c>
      <c r="F255">
        <f>IF(Klantgegevens_B!G254&lt;&gt;"", LEN(Klantgegevens_B!G254)-LEN(SUBSTITUTE(Klantgegevens_B!G254, ",", ""))+1, Klantgegevens_A!G254)</f>
        <v>1</v>
      </c>
      <c r="G255">
        <f>IF(Klantgegevens_B!G254&lt;&gt;"", 0, Klantgegevens_A!H254)</f>
        <v>0</v>
      </c>
      <c r="H255">
        <f>IF(Klantgegevens_B!H254&lt;&gt;"", Klantgegevens_B!H254, Klantgegevens_A!I254)</f>
        <v>12</v>
      </c>
      <c r="I255" t="str">
        <f>IF(Klantgegevens_B!I254&lt;&gt;"", Klantgegevens_B!I254, SWITCH(Klantgegevens_A!J254, "Zelden", 1, "Af en toe", 4, "Regelmatig", 8, "Vaak", 12))</f>
        <v>Bancontact</v>
      </c>
      <c r="J255" t="str">
        <f>IF(Klantgegevens_B!J254&lt;&gt;"", Klantgegevens_B!J254, Klantgegevens_A!K254)</f>
        <v>ja</v>
      </c>
      <c r="K255">
        <f>IF(Klantgegevens_B!K254&lt;&gt;"", AVERAGE(--(Klantgegevens_B!K254="ja"), --(Klantgegevens_B!L254="ja"), --(Klantgegevens_B!M254="ja"), --(Klantgegevens_B!N254="ja"), --(Klantgegevens_B!O254="ja"))*10, Klantgegevens_A!L254)</f>
        <v>6</v>
      </c>
      <c r="L255" t="str">
        <f>IF(Klantgegevens_B!K254&lt;&gt;"", Klantgegevens_B!K254, IF(Klantgegevens_A!L254&gt;=7, "ja", "nee"))</f>
        <v>ja</v>
      </c>
      <c r="M255" t="str">
        <f>IF(Klantgegevens_B!L254&lt;&gt;"", Klantgegevens_B!L254, IF(Klantgegevens_A!L254&gt;=7, "ja", "nee"))</f>
        <v>ja</v>
      </c>
      <c r="N255" t="str">
        <f>IF(Klantgegevens_B!M254&lt;&gt;"", Klantgegevens_B!M254, IF(Klantgegevens_A!L254&gt;=7, "ja", "nee"))</f>
        <v>nee</v>
      </c>
      <c r="O255" t="str">
        <f>IF(Klantgegevens_B!N254&lt;&gt;"", Klantgegevens_B!N254, IF(Klantgegevens_A!L254&gt;=7, "ja", "nee"))</f>
        <v>ja</v>
      </c>
      <c r="P255" t="str">
        <f>IF(Klantgegevens_B!O254&lt;&gt;"", Klantgegevens_B!O254, IF(Klantgegevens_A!L254&gt;=7, "ja", "nee"))</f>
        <v>Vegetarisch</v>
      </c>
      <c r="Q255" t="str">
        <f>IF(Klantgegevens_B!P254&lt;&gt;"", Klantgegevens_B!P254, Klantgegevens_A!M254)</f>
        <v>Geen dieet</v>
      </c>
      <c r="R255" t="str">
        <f>IF(Klantgegevens_B!A254&lt;&gt;"", "B", "A")</f>
        <v>B</v>
      </c>
    </row>
    <row r="256" spans="1:18" x14ac:dyDescent="0.3">
      <c r="A256" t="str">
        <f>IF(Klantgegevens_B!A255&lt;&gt;"", Klantgegevens_B!A255, MID(Klantgegevens_A!A255, FIND(",", Klantgegevens_A!A255)+2, LEN(Klantgegevens_A!A255)))</f>
        <v>Michel</v>
      </c>
      <c r="B256" t="str">
        <f>IF(Klantgegevens_B!B255&lt;&gt;"", Klantgegevens_B!B255, LEFT(Klantgegevens_A!A255, FIND(",", Klantgegevens_A!A255)-1))</f>
        <v>Timmermans</v>
      </c>
      <c r="C256" t="str">
        <f t="shared" ca="1" si="3"/>
        <v/>
      </c>
      <c r="D256" t="str">
        <f>IF(Klantgegevens_B!F255&lt;&gt;"", Klantgegevens_B!F255, Klantgegevens_A!D255 &amp; " " &amp; Klantgegevens_A!E255 &amp; ", " &amp; Klantgegevens_A!F255)</f>
        <v>Michel,Ibrahim</v>
      </c>
      <c r="E256">
        <f>IF(Klantgegevens_B!G255&lt;&gt;"", Klantgegevens_B!G255, TEXTJOIN(",", TRUE, REPT("Volwassene,", Klantgegevens_A!G255), REPT("Kind,", Klantgegevens_A!H255)))</f>
        <v>31.51</v>
      </c>
      <c r="F256">
        <f>IF(Klantgegevens_B!G255&lt;&gt;"", LEN(Klantgegevens_B!G255)-LEN(SUBSTITUTE(Klantgegevens_B!G255, ",", ""))+1, Klantgegevens_A!G255)</f>
        <v>1</v>
      </c>
      <c r="G256">
        <f>IF(Klantgegevens_B!G255&lt;&gt;"", 0, Klantgegevens_A!H255)</f>
        <v>0</v>
      </c>
      <c r="H256">
        <f>IF(Klantgegevens_B!H255&lt;&gt;"", Klantgegevens_B!H255, Klantgegevens_A!I255)</f>
        <v>9</v>
      </c>
      <c r="I256" t="str">
        <f>IF(Klantgegevens_B!I255&lt;&gt;"", Klantgegevens_B!I255, SWITCH(Klantgegevens_A!J255, "Zelden", 1, "Af en toe", 4, "Regelmatig", 8, "Vaak", 12))</f>
        <v>Bancontact</v>
      </c>
      <c r="J256" t="str">
        <f>IF(Klantgegevens_B!J255&lt;&gt;"", Klantgegevens_B!J255, Klantgegevens_A!K255)</f>
        <v>ja</v>
      </c>
      <c r="K256">
        <f>IF(Klantgegevens_B!K255&lt;&gt;"", AVERAGE(--(Klantgegevens_B!K255="ja"), --(Klantgegevens_B!L255="ja"), --(Klantgegevens_B!M255="ja"), --(Klantgegevens_B!N255="ja"), --(Klantgegevens_B!O255="ja"))*10, Klantgegevens_A!L255)</f>
        <v>6</v>
      </c>
      <c r="L256" t="str">
        <f>IF(Klantgegevens_B!K255&lt;&gt;"", Klantgegevens_B!K255, IF(Klantgegevens_A!L255&gt;=7, "ja", "nee"))</f>
        <v>ja</v>
      </c>
      <c r="M256" t="str">
        <f>IF(Klantgegevens_B!L255&lt;&gt;"", Klantgegevens_B!L255, IF(Klantgegevens_A!L255&gt;=7, "ja", "nee"))</f>
        <v>nee</v>
      </c>
      <c r="N256" t="str">
        <f>IF(Klantgegevens_B!M255&lt;&gt;"", Klantgegevens_B!M255, IF(Klantgegevens_A!L255&gt;=7, "ja", "nee"))</f>
        <v>ja</v>
      </c>
      <c r="O256" t="str">
        <f>IF(Klantgegevens_B!N255&lt;&gt;"", Klantgegevens_B!N255, IF(Klantgegevens_A!L255&gt;=7, "ja", "nee"))</f>
        <v>ja</v>
      </c>
      <c r="P256" t="str">
        <f>IF(Klantgegevens_B!O255&lt;&gt;"", Klantgegevens_B!O255, IF(Klantgegevens_A!L255&gt;=7, "ja", "nee"))</f>
        <v>Geen dieet</v>
      </c>
      <c r="Q256" t="str">
        <f>IF(Klantgegevens_B!P255&lt;&gt;"", Klantgegevens_B!P255, Klantgegevens_A!M255)</f>
        <v>Geen dieet</v>
      </c>
      <c r="R256" t="str">
        <f>IF(Klantgegevens_B!A255&lt;&gt;"", "B", "A")</f>
        <v>B</v>
      </c>
    </row>
    <row r="257" spans="1:18" x14ac:dyDescent="0.3">
      <c r="A257" t="str">
        <f>IF(Klantgegevens_B!A256&lt;&gt;"", Klantgegevens_B!A256, MID(Klantgegevens_A!A256, FIND(",", Klantgegevens_A!A256)+2, LEN(Klantgegevens_A!A256)))</f>
        <v>Dalia</v>
      </c>
      <c r="B257" t="str">
        <f>IF(Klantgegevens_B!B256&lt;&gt;"", Klantgegevens_B!B256, LEFT(Klantgegevens_A!A256, FIND(",", Klantgegevens_A!A256)-1))</f>
        <v>Denis</v>
      </c>
      <c r="C257" t="str">
        <f t="shared" ca="1" si="3"/>
        <v/>
      </c>
      <c r="D257" t="str">
        <f>IF(Klantgegevens_B!F256&lt;&gt;"", Klantgegevens_B!F256, Klantgegevens_A!D256 &amp; " " &amp; Klantgegevens_A!E256 &amp; ", " &amp; Klantgegevens_A!F256)</f>
        <v>Dalia,Danthé</v>
      </c>
      <c r="E257">
        <f>IF(Klantgegevens_B!G256&lt;&gt;"", Klantgegevens_B!G256, TEXTJOIN(",", TRUE, REPT("Volwassene,", Klantgegevens_A!G256), REPT("Kind,", Klantgegevens_A!H256)))</f>
        <v>96.09</v>
      </c>
      <c r="F257">
        <f>IF(Klantgegevens_B!G256&lt;&gt;"", LEN(Klantgegevens_B!G256)-LEN(SUBSTITUTE(Klantgegevens_B!G256, ",", ""))+1, Klantgegevens_A!G256)</f>
        <v>1</v>
      </c>
      <c r="G257">
        <f>IF(Klantgegevens_B!G256&lt;&gt;"", 0, Klantgegevens_A!H256)</f>
        <v>0</v>
      </c>
      <c r="H257">
        <f>IF(Klantgegevens_B!H256&lt;&gt;"", Klantgegevens_B!H256, Klantgegevens_A!I256)</f>
        <v>9</v>
      </c>
      <c r="I257" t="str">
        <f>IF(Klantgegevens_B!I256&lt;&gt;"", Klantgegevens_B!I256, SWITCH(Klantgegevens_A!J256, "Zelden", 1, "Af en toe", 4, "Regelmatig", 8, "Vaak", 12))</f>
        <v>Payconiq</v>
      </c>
      <c r="J257" t="str">
        <f>IF(Klantgegevens_B!J256&lt;&gt;"", Klantgegevens_B!J256, Klantgegevens_A!K256)</f>
        <v>ja</v>
      </c>
      <c r="K257">
        <f>IF(Klantgegevens_B!K256&lt;&gt;"", AVERAGE(--(Klantgegevens_B!K256="ja"), --(Klantgegevens_B!L256="ja"), --(Klantgegevens_B!M256="ja"), --(Klantgegevens_B!N256="ja"), --(Klantgegevens_B!O256="ja"))*10, Klantgegevens_A!L256)</f>
        <v>8</v>
      </c>
      <c r="L257" t="str">
        <f>IF(Klantgegevens_B!K256&lt;&gt;"", Klantgegevens_B!K256, IF(Klantgegevens_A!L256&gt;=7, "ja", "nee"))</f>
        <v>ja</v>
      </c>
      <c r="M257" t="str">
        <f>IF(Klantgegevens_B!L256&lt;&gt;"", Klantgegevens_B!L256, IF(Klantgegevens_A!L256&gt;=7, "ja", "nee"))</f>
        <v>ja</v>
      </c>
      <c r="N257" t="str">
        <f>IF(Klantgegevens_B!M256&lt;&gt;"", Klantgegevens_B!M256, IF(Klantgegevens_A!L256&gt;=7, "ja", "nee"))</f>
        <v>ja</v>
      </c>
      <c r="O257" t="str">
        <f>IF(Klantgegevens_B!N256&lt;&gt;"", Klantgegevens_B!N256, IF(Klantgegevens_A!L256&gt;=7, "ja", "nee"))</f>
        <v>ja</v>
      </c>
      <c r="P257" t="str">
        <f>IF(Klantgegevens_B!O256&lt;&gt;"", Klantgegevens_B!O256, IF(Klantgegevens_A!L256&gt;=7, "ja", "nee"))</f>
        <v>Geen dieet</v>
      </c>
      <c r="Q257" t="str">
        <f>IF(Klantgegevens_B!P256&lt;&gt;"", Klantgegevens_B!P256, Klantgegevens_A!M256)</f>
        <v>Geen dieet</v>
      </c>
      <c r="R257" t="str">
        <f>IF(Klantgegevens_B!A256&lt;&gt;"", "B", "A")</f>
        <v>B</v>
      </c>
    </row>
    <row r="258" spans="1:18" x14ac:dyDescent="0.3">
      <c r="A258" t="str">
        <f>IF(Klantgegevens_B!A257&lt;&gt;"", Klantgegevens_B!A257, MID(Klantgegevens_A!A257, FIND(",", Klantgegevens_A!A257)+2, LEN(Klantgegevens_A!A257)))</f>
        <v>André</v>
      </c>
      <c r="B258" t="str">
        <f>IF(Klantgegevens_B!B257&lt;&gt;"", Klantgegevens_B!B257, LEFT(Klantgegevens_A!A257, FIND(",", Klantgegevens_A!A257)-1))</f>
        <v>Van camp</v>
      </c>
      <c r="C258" t="str">
        <f t="shared" ca="1" si="3"/>
        <v/>
      </c>
      <c r="D258" t="str">
        <f>IF(Klantgegevens_B!F257&lt;&gt;"", Klantgegevens_B!F257, Klantgegevens_A!D257 &amp; " " &amp; Klantgegevens_A!E257 &amp; ", " &amp; Klantgegevens_A!F257)</f>
        <v>André,Véronique</v>
      </c>
      <c r="E258">
        <f>IF(Klantgegevens_B!G257&lt;&gt;"", Klantgegevens_B!G257, TEXTJOIN(",", TRUE, REPT("Volwassene,", Klantgegevens_A!G257), REPT("Kind,", Klantgegevens_A!H257)))</f>
        <v>89.56</v>
      </c>
      <c r="F258">
        <f>IF(Klantgegevens_B!G257&lt;&gt;"", LEN(Klantgegevens_B!G257)-LEN(SUBSTITUTE(Klantgegevens_B!G257, ",", ""))+1, Klantgegevens_A!G257)</f>
        <v>1</v>
      </c>
      <c r="G258">
        <f>IF(Klantgegevens_B!G257&lt;&gt;"", 0, Klantgegevens_A!H257)</f>
        <v>0</v>
      </c>
      <c r="H258">
        <f>IF(Klantgegevens_B!H257&lt;&gt;"", Klantgegevens_B!H257, Klantgegevens_A!I257)</f>
        <v>4</v>
      </c>
      <c r="I258" t="str">
        <f>IF(Klantgegevens_B!I257&lt;&gt;"", Klantgegevens_B!I257, SWITCH(Klantgegevens_A!J257, "Zelden", 1, "Af en toe", 4, "Regelmatig", 8, "Vaak", 12))</f>
        <v>Payconiq</v>
      </c>
      <c r="J258" t="str">
        <f>IF(Klantgegevens_B!J257&lt;&gt;"", Klantgegevens_B!J257, Klantgegevens_A!K257)</f>
        <v>ja</v>
      </c>
      <c r="K258">
        <f>IF(Klantgegevens_B!K257&lt;&gt;"", AVERAGE(--(Klantgegevens_B!K257="ja"), --(Klantgegevens_B!L257="ja"), --(Klantgegevens_B!M257="ja"), --(Klantgegevens_B!N257="ja"), --(Klantgegevens_B!O257="ja"))*10, Klantgegevens_A!L257)</f>
        <v>8</v>
      </c>
      <c r="L258" t="str">
        <f>IF(Klantgegevens_B!K257&lt;&gt;"", Klantgegevens_B!K257, IF(Klantgegevens_A!L257&gt;=7, "ja", "nee"))</f>
        <v>ja</v>
      </c>
      <c r="M258" t="str">
        <f>IF(Klantgegevens_B!L257&lt;&gt;"", Klantgegevens_B!L257, IF(Klantgegevens_A!L257&gt;=7, "ja", "nee"))</f>
        <v>ja</v>
      </c>
      <c r="N258" t="str">
        <f>IF(Klantgegevens_B!M257&lt;&gt;"", Klantgegevens_B!M257, IF(Klantgegevens_A!L257&gt;=7, "ja", "nee"))</f>
        <v>ja</v>
      </c>
      <c r="O258" t="str">
        <f>IF(Klantgegevens_B!N257&lt;&gt;"", Klantgegevens_B!N257, IF(Klantgegevens_A!L257&gt;=7, "ja", "nee"))</f>
        <v>ja</v>
      </c>
      <c r="P258" t="str">
        <f>IF(Klantgegevens_B!O257&lt;&gt;"", Klantgegevens_B!O257, IF(Klantgegevens_A!L257&gt;=7, "ja", "nee"))</f>
        <v>Geen dieet</v>
      </c>
      <c r="Q258" t="str">
        <f>IF(Klantgegevens_B!P257&lt;&gt;"", Klantgegevens_B!P257, Klantgegevens_A!M257)</f>
        <v>Geen dieet</v>
      </c>
      <c r="R258" t="str">
        <f>IF(Klantgegevens_B!A257&lt;&gt;"", "B", "A")</f>
        <v>B</v>
      </c>
    </row>
    <row r="259" spans="1:18" x14ac:dyDescent="0.3">
      <c r="A259" t="str">
        <f>IF(Klantgegevens_B!A258&lt;&gt;"", Klantgegevens_B!A258, MID(Klantgegevens_A!A258, FIND(",", Klantgegevens_A!A258)+2, LEN(Klantgegevens_A!A258)))</f>
        <v>Reyyan</v>
      </c>
      <c r="B259" t="str">
        <f>IF(Klantgegevens_B!B258&lt;&gt;"", Klantgegevens_B!B258, LEFT(Klantgegevens_A!A258, FIND(",", Klantgegevens_A!A258)-1))</f>
        <v>Claessens</v>
      </c>
      <c r="C259" t="str">
        <f t="shared" ref="C259:C322" ca="1" si="4">C258 &amp; ", " &amp; B258</f>
        <v/>
      </c>
      <c r="D259" t="str">
        <f>IF(Klantgegevens_B!F258&lt;&gt;"", Klantgegevens_B!F258, Klantgegevens_A!D258 &amp; " " &amp; Klantgegevens_A!E258 &amp; ", " &amp; Klantgegevens_A!F258)</f>
        <v>Reyyan,Petra,Massa,Laurène,Kaat</v>
      </c>
      <c r="E259">
        <f>IF(Klantgegevens_B!G258&lt;&gt;"", Klantgegevens_B!G258, TEXTJOIN(",", TRUE, REPT("Volwassene,", Klantgegevens_A!G258), REPT("Kind,", Klantgegevens_A!H258)))</f>
        <v>179.86</v>
      </c>
      <c r="F259">
        <f>IF(Klantgegevens_B!G258&lt;&gt;"", LEN(Klantgegevens_B!G258)-LEN(SUBSTITUTE(Klantgegevens_B!G258, ",", ""))+1, Klantgegevens_A!G258)</f>
        <v>1</v>
      </c>
      <c r="G259">
        <f>IF(Klantgegevens_B!G258&lt;&gt;"", 0, Klantgegevens_A!H258)</f>
        <v>0</v>
      </c>
      <c r="H259">
        <f>IF(Klantgegevens_B!H258&lt;&gt;"", Klantgegevens_B!H258, Klantgegevens_A!I258)</f>
        <v>17</v>
      </c>
      <c r="I259" t="str">
        <f>IF(Klantgegevens_B!I258&lt;&gt;"", Klantgegevens_B!I258, SWITCH(Klantgegevens_A!J258, "Zelden", 1, "Af en toe", 4, "Regelmatig", 8, "Vaak", 12))</f>
        <v>Bancontact</v>
      </c>
      <c r="J259" t="str">
        <f>IF(Klantgegevens_B!J258&lt;&gt;"", Klantgegevens_B!J258, Klantgegevens_A!K258)</f>
        <v>nee</v>
      </c>
      <c r="K259">
        <f>IF(Klantgegevens_B!K258&lt;&gt;"", AVERAGE(--(Klantgegevens_B!K258="ja"), --(Klantgegevens_B!L258="ja"), --(Klantgegevens_B!M258="ja"), --(Klantgegevens_B!N258="ja"), --(Klantgegevens_B!O258="ja"))*10, Klantgegevens_A!L258)</f>
        <v>6</v>
      </c>
      <c r="L259" t="str">
        <f>IF(Klantgegevens_B!K258&lt;&gt;"", Klantgegevens_B!K258, IF(Klantgegevens_A!L258&gt;=7, "ja", "nee"))</f>
        <v>ja</v>
      </c>
      <c r="M259" t="str">
        <f>IF(Klantgegevens_B!L258&lt;&gt;"", Klantgegevens_B!L258, IF(Klantgegevens_A!L258&gt;=7, "ja", "nee"))</f>
        <v>nee</v>
      </c>
      <c r="N259" t="str">
        <f>IF(Klantgegevens_B!M258&lt;&gt;"", Klantgegevens_B!M258, IF(Klantgegevens_A!L258&gt;=7, "ja", "nee"))</f>
        <v>ja</v>
      </c>
      <c r="O259" t="str">
        <f>IF(Klantgegevens_B!N258&lt;&gt;"", Klantgegevens_B!N258, IF(Klantgegevens_A!L258&gt;=7, "ja", "nee"))</f>
        <v>ja</v>
      </c>
      <c r="P259" t="str">
        <f>IF(Klantgegevens_B!O258&lt;&gt;"", Klantgegevens_B!O258, IF(Klantgegevens_A!L258&gt;=7, "ja", "nee"))</f>
        <v>Geen dieet</v>
      </c>
      <c r="Q259" t="str">
        <f>IF(Klantgegevens_B!P258&lt;&gt;"", Klantgegevens_B!P258, Klantgegevens_A!M258)</f>
        <v>Geen dieet</v>
      </c>
      <c r="R259" t="str">
        <f>IF(Klantgegevens_B!A258&lt;&gt;"", "B", "A")</f>
        <v>B</v>
      </c>
    </row>
    <row r="260" spans="1:18" x14ac:dyDescent="0.3">
      <c r="A260" t="str">
        <f>IF(Klantgegevens_B!A259&lt;&gt;"", Klantgegevens_B!A259, MID(Klantgegevens_A!A259, FIND(",", Klantgegevens_A!A259)+2, LEN(Klantgegevens_A!A259)))</f>
        <v>Camille</v>
      </c>
      <c r="B260" t="str">
        <f>IF(Klantgegevens_B!B259&lt;&gt;"", Klantgegevens_B!B259, LEFT(Klantgegevens_A!A259, FIND(",", Klantgegevens_A!A259)-1))</f>
        <v>Bogaert</v>
      </c>
      <c r="C260" t="str">
        <f t="shared" ca="1" si="4"/>
        <v/>
      </c>
      <c r="D260" t="str">
        <f>IF(Klantgegevens_B!F259&lt;&gt;"", Klantgegevens_B!F259, Klantgegevens_A!D259 &amp; " " &amp; Klantgegevens_A!E259 &amp; ", " &amp; Klantgegevens_A!F259)</f>
        <v>Camille</v>
      </c>
      <c r="E260">
        <f>IF(Klantgegevens_B!G259&lt;&gt;"", Klantgegevens_B!G259, TEXTJOIN(",", TRUE, REPT("Volwassene,", Klantgegevens_A!G259), REPT("Kind,", Klantgegevens_A!H259)))</f>
        <v>39.51</v>
      </c>
      <c r="F260">
        <f>IF(Klantgegevens_B!G259&lt;&gt;"", LEN(Klantgegevens_B!G259)-LEN(SUBSTITUTE(Klantgegevens_B!G259, ",", ""))+1, Klantgegevens_A!G259)</f>
        <v>1</v>
      </c>
      <c r="G260">
        <f>IF(Klantgegevens_B!G259&lt;&gt;"", 0, Klantgegevens_A!H259)</f>
        <v>0</v>
      </c>
      <c r="H260">
        <f>IF(Klantgegevens_B!H259&lt;&gt;"", Klantgegevens_B!H259, Klantgegevens_A!I259)</f>
        <v>7</v>
      </c>
      <c r="I260" t="str">
        <f>IF(Klantgegevens_B!I259&lt;&gt;"", Klantgegevens_B!I259, SWITCH(Klantgegevens_A!J259, "Zelden", 1, "Af en toe", 4, "Regelmatig", 8, "Vaak", 12))</f>
        <v>Payconiq</v>
      </c>
      <c r="J260" t="str">
        <f>IF(Klantgegevens_B!J259&lt;&gt;"", Klantgegevens_B!J259, Klantgegevens_A!K259)</f>
        <v>ja</v>
      </c>
      <c r="K260">
        <f>IF(Klantgegevens_B!K259&lt;&gt;"", AVERAGE(--(Klantgegevens_B!K259="ja"), --(Klantgegevens_B!L259="ja"), --(Klantgegevens_B!M259="ja"), --(Klantgegevens_B!N259="ja"), --(Klantgegevens_B!O259="ja"))*10, Klantgegevens_A!L259)</f>
        <v>8</v>
      </c>
      <c r="L260" t="str">
        <f>IF(Klantgegevens_B!K259&lt;&gt;"", Klantgegevens_B!K259, IF(Klantgegevens_A!L259&gt;=7, "ja", "nee"))</f>
        <v>ja</v>
      </c>
      <c r="M260" t="str">
        <f>IF(Klantgegevens_B!L259&lt;&gt;"", Klantgegevens_B!L259, IF(Klantgegevens_A!L259&gt;=7, "ja", "nee"))</f>
        <v>ja</v>
      </c>
      <c r="N260" t="str">
        <f>IF(Klantgegevens_B!M259&lt;&gt;"", Klantgegevens_B!M259, IF(Klantgegevens_A!L259&gt;=7, "ja", "nee"))</f>
        <v>ja</v>
      </c>
      <c r="O260" t="str">
        <f>IF(Klantgegevens_B!N259&lt;&gt;"", Klantgegevens_B!N259, IF(Klantgegevens_A!L259&gt;=7, "ja", "nee"))</f>
        <v>ja</v>
      </c>
      <c r="P260" t="str">
        <f>IF(Klantgegevens_B!O259&lt;&gt;"", Klantgegevens_B!O259, IF(Klantgegevens_A!L259&gt;=7, "ja", "nee"))</f>
        <v>Vegetarisch</v>
      </c>
      <c r="Q260" t="str">
        <f>IF(Klantgegevens_B!P259&lt;&gt;"", Klantgegevens_B!P259, Klantgegevens_A!M259)</f>
        <v>Geen dieet</v>
      </c>
      <c r="R260" t="str">
        <f>IF(Klantgegevens_B!A259&lt;&gt;"", "B", "A")</f>
        <v>B</v>
      </c>
    </row>
    <row r="261" spans="1:18" x14ac:dyDescent="0.3">
      <c r="A261" t="str">
        <f>IF(Klantgegevens_B!A260&lt;&gt;"", Klantgegevens_B!A260, MID(Klantgegevens_A!A260, FIND(",", Klantgegevens_A!A260)+2, LEN(Klantgegevens_A!A260)))</f>
        <v>Guy</v>
      </c>
      <c r="B261" t="str">
        <f>IF(Klantgegevens_B!B260&lt;&gt;"", Klantgegevens_B!B260, LEFT(Klantgegevens_A!A260, FIND(",", Klantgegevens_A!A260)-1))</f>
        <v>De smet</v>
      </c>
      <c r="C261" t="str">
        <f t="shared" ca="1" si="4"/>
        <v/>
      </c>
      <c r="D261" t="str">
        <f>IF(Klantgegevens_B!F260&lt;&gt;"", Klantgegevens_B!F260, Klantgegevens_A!D260 &amp; " " &amp; Klantgegevens_A!E260 &amp; ", " &amp; Klantgegevens_A!F260)</f>
        <v>Guy,Nisa,Flora,Griet</v>
      </c>
      <c r="E261">
        <f>IF(Klantgegevens_B!G260&lt;&gt;"", Klantgegevens_B!G260, TEXTJOIN(",", TRUE, REPT("Volwassene,", Klantgegevens_A!G260), REPT("Kind,", Klantgegevens_A!H260)))</f>
        <v>79.930000000000007</v>
      </c>
      <c r="F261">
        <f>IF(Klantgegevens_B!G260&lt;&gt;"", LEN(Klantgegevens_B!G260)-LEN(SUBSTITUTE(Klantgegevens_B!G260, ",", ""))+1, Klantgegevens_A!G260)</f>
        <v>1</v>
      </c>
      <c r="G261">
        <f>IF(Klantgegevens_B!G260&lt;&gt;"", 0, Klantgegevens_A!H260)</f>
        <v>0</v>
      </c>
      <c r="H261">
        <f>IF(Klantgegevens_B!H260&lt;&gt;"", Klantgegevens_B!H260, Klantgegevens_A!I260)</f>
        <v>9</v>
      </c>
      <c r="I261" t="str">
        <f>IF(Klantgegevens_B!I260&lt;&gt;"", Klantgegevens_B!I260, SWITCH(Klantgegevens_A!J260, "Zelden", 1, "Af en toe", 4, "Regelmatig", 8, "Vaak", 12))</f>
        <v>Payconiq</v>
      </c>
      <c r="J261" t="str">
        <f>IF(Klantgegevens_B!J260&lt;&gt;"", Klantgegevens_B!J260, Klantgegevens_A!K260)</f>
        <v>ja</v>
      </c>
      <c r="K261">
        <f>IF(Klantgegevens_B!K260&lt;&gt;"", AVERAGE(--(Klantgegevens_B!K260="ja"), --(Klantgegevens_B!L260="ja"), --(Klantgegevens_B!M260="ja"), --(Klantgegevens_B!N260="ja"), --(Klantgegevens_B!O260="ja"))*10, Klantgegevens_A!L260)</f>
        <v>2</v>
      </c>
      <c r="L261" t="str">
        <f>IF(Klantgegevens_B!K260&lt;&gt;"", Klantgegevens_B!K260, IF(Klantgegevens_A!L260&gt;=7, "ja", "nee"))</f>
        <v>ja</v>
      </c>
      <c r="M261" t="str">
        <f>IF(Klantgegevens_B!L260&lt;&gt;"", Klantgegevens_B!L260, IF(Klantgegevens_A!L260&gt;=7, "ja", "nee"))</f>
        <v>nee</v>
      </c>
      <c r="N261" t="str">
        <f>IF(Klantgegevens_B!M260&lt;&gt;"", Klantgegevens_B!M260, IF(Klantgegevens_A!L260&gt;=7, "ja", "nee"))</f>
        <v>nee</v>
      </c>
      <c r="O261" t="str">
        <f>IF(Klantgegevens_B!N260&lt;&gt;"", Klantgegevens_B!N260, IF(Klantgegevens_A!L260&gt;=7, "ja", "nee"))</f>
        <v>nee</v>
      </c>
      <c r="P261" t="str">
        <f>IF(Klantgegevens_B!O260&lt;&gt;"", Klantgegevens_B!O260, IF(Klantgegevens_A!L260&gt;=7, "ja", "nee"))</f>
        <v>Geen dieet</v>
      </c>
      <c r="Q261" t="str">
        <f>IF(Klantgegevens_B!P260&lt;&gt;"", Klantgegevens_B!P260, Klantgegevens_A!M260)</f>
        <v>Geen dieet</v>
      </c>
      <c r="R261" t="str">
        <f>IF(Klantgegevens_B!A260&lt;&gt;"", "B", "A")</f>
        <v>B</v>
      </c>
    </row>
    <row r="262" spans="1:18" x14ac:dyDescent="0.3">
      <c r="A262" t="str">
        <f>IF(Klantgegevens_B!A261&lt;&gt;"", Klantgegevens_B!A261, MID(Klantgegevens_A!A261, FIND(",", Klantgegevens_A!A261)+2, LEN(Klantgegevens_A!A261)))</f>
        <v>Marianne</v>
      </c>
      <c r="B262" t="str">
        <f>IF(Klantgegevens_B!B261&lt;&gt;"", Klantgegevens_B!B261, LEFT(Klantgegevens_A!A261, FIND(",", Klantgegevens_A!A261)-1))</f>
        <v>Michiels</v>
      </c>
      <c r="C262" t="str">
        <f t="shared" ca="1" si="4"/>
        <v/>
      </c>
      <c r="D262" t="str">
        <f>IF(Klantgegevens_B!F261&lt;&gt;"", Klantgegevens_B!F261, Klantgegevens_A!D261 &amp; " " &amp; Klantgegevens_A!E261 &amp; ", " &amp; Klantgegevens_A!F261)</f>
        <v>Marianne,Dana,Anneke</v>
      </c>
      <c r="E262">
        <f>IF(Klantgegevens_B!G261&lt;&gt;"", Klantgegevens_B!G261, TEXTJOIN(",", TRUE, REPT("Volwassene,", Klantgegevens_A!G261), REPT("Kind,", Klantgegevens_A!H261)))</f>
        <v>118.63</v>
      </c>
      <c r="F262">
        <f>IF(Klantgegevens_B!G261&lt;&gt;"", LEN(Klantgegevens_B!G261)-LEN(SUBSTITUTE(Klantgegevens_B!G261, ",", ""))+1, Klantgegevens_A!G261)</f>
        <v>1</v>
      </c>
      <c r="G262">
        <f>IF(Klantgegevens_B!G261&lt;&gt;"", 0, Klantgegevens_A!H261)</f>
        <v>0</v>
      </c>
      <c r="H262">
        <f>IF(Klantgegevens_B!H261&lt;&gt;"", Klantgegevens_B!H261, Klantgegevens_A!I261)</f>
        <v>13</v>
      </c>
      <c r="I262" t="str">
        <f>IF(Klantgegevens_B!I261&lt;&gt;"", Klantgegevens_B!I261, SWITCH(Klantgegevens_A!J261, "Zelden", 1, "Af en toe", 4, "Regelmatig", 8, "Vaak", 12))</f>
        <v>Payconiq</v>
      </c>
      <c r="J262" t="str">
        <f>IF(Klantgegevens_B!J261&lt;&gt;"", Klantgegevens_B!J261, Klantgegevens_A!K261)</f>
        <v>ja</v>
      </c>
      <c r="K262">
        <f>IF(Klantgegevens_B!K261&lt;&gt;"", AVERAGE(--(Klantgegevens_B!K261="ja"), --(Klantgegevens_B!L261="ja"), --(Klantgegevens_B!M261="ja"), --(Klantgegevens_B!N261="ja"), --(Klantgegevens_B!O261="ja"))*10, Klantgegevens_A!L261)</f>
        <v>8</v>
      </c>
      <c r="L262" t="str">
        <f>IF(Klantgegevens_B!K261&lt;&gt;"", Klantgegevens_B!K261, IF(Klantgegevens_A!L261&gt;=7, "ja", "nee"))</f>
        <v>ja</v>
      </c>
      <c r="M262" t="str">
        <f>IF(Klantgegevens_B!L261&lt;&gt;"", Klantgegevens_B!L261, IF(Klantgegevens_A!L261&gt;=7, "ja", "nee"))</f>
        <v>ja</v>
      </c>
      <c r="N262" t="str">
        <f>IF(Klantgegevens_B!M261&lt;&gt;"", Klantgegevens_B!M261, IF(Klantgegevens_A!L261&gt;=7, "ja", "nee"))</f>
        <v>ja</v>
      </c>
      <c r="O262" t="str">
        <f>IF(Klantgegevens_B!N261&lt;&gt;"", Klantgegevens_B!N261, IF(Klantgegevens_A!L261&gt;=7, "ja", "nee"))</f>
        <v>ja</v>
      </c>
      <c r="P262" t="str">
        <f>IF(Klantgegevens_B!O261&lt;&gt;"", Klantgegevens_B!O261, IF(Klantgegevens_A!L261&gt;=7, "ja", "nee"))</f>
        <v>Vegetarisch</v>
      </c>
      <c r="Q262" t="str">
        <f>IF(Klantgegevens_B!P261&lt;&gt;"", Klantgegevens_B!P261, Klantgegevens_A!M261)</f>
        <v>Veganistisch</v>
      </c>
      <c r="R262" t="str">
        <f>IF(Klantgegevens_B!A261&lt;&gt;"", "B", "A")</f>
        <v>B</v>
      </c>
    </row>
    <row r="263" spans="1:18" x14ac:dyDescent="0.3">
      <c r="A263" t="str">
        <f>IF(Klantgegevens_B!A262&lt;&gt;"", Klantgegevens_B!A262, MID(Klantgegevens_A!A262, FIND(",", Klantgegevens_A!A262)+2, LEN(Klantgegevens_A!A262)))</f>
        <v>Margot</v>
      </c>
      <c r="B263" t="str">
        <f>IF(Klantgegevens_B!B262&lt;&gt;"", Klantgegevens_B!B262, LEFT(Klantgegevens_A!A262, FIND(",", Klantgegevens_A!A262)-1))</f>
        <v>Devos</v>
      </c>
      <c r="C263" t="str">
        <f t="shared" ca="1" si="4"/>
        <v/>
      </c>
      <c r="D263" t="str">
        <f>IF(Klantgegevens_B!F262&lt;&gt;"", Klantgegevens_B!F262, Klantgegevens_A!D262 &amp; " " &amp; Klantgegevens_A!E262 &amp; ", " &amp; Klantgegevens_A!F262)</f>
        <v>Margot,Johanna</v>
      </c>
      <c r="E263">
        <f>IF(Klantgegevens_B!G262&lt;&gt;"", Klantgegevens_B!G262, TEXTJOIN(",", TRUE, REPT("Volwassene,", Klantgegevens_A!G262), REPT("Kind,", Klantgegevens_A!H262)))</f>
        <v>137.13</v>
      </c>
      <c r="F263">
        <f>IF(Klantgegevens_B!G262&lt;&gt;"", LEN(Klantgegevens_B!G262)-LEN(SUBSTITUTE(Klantgegevens_B!G262, ",", ""))+1, Klantgegevens_A!G262)</f>
        <v>1</v>
      </c>
      <c r="G263">
        <f>IF(Klantgegevens_B!G262&lt;&gt;"", 0, Klantgegevens_A!H262)</f>
        <v>0</v>
      </c>
      <c r="H263">
        <f>IF(Klantgegevens_B!H262&lt;&gt;"", Klantgegevens_B!H262, Klantgegevens_A!I262)</f>
        <v>17</v>
      </c>
      <c r="I263" t="str">
        <f>IF(Klantgegevens_B!I262&lt;&gt;"", Klantgegevens_B!I262, SWITCH(Klantgegevens_A!J262, "Zelden", 1, "Af en toe", 4, "Regelmatig", 8, "Vaak", 12))</f>
        <v>Bancontact</v>
      </c>
      <c r="J263" t="str">
        <f>IF(Klantgegevens_B!J262&lt;&gt;"", Klantgegevens_B!J262, Klantgegevens_A!K262)</f>
        <v>ja</v>
      </c>
      <c r="K263">
        <f>IF(Klantgegevens_B!K262&lt;&gt;"", AVERAGE(--(Klantgegevens_B!K262="ja"), --(Klantgegevens_B!L262="ja"), --(Klantgegevens_B!M262="ja"), --(Klantgegevens_B!N262="ja"), --(Klantgegevens_B!O262="ja"))*10, Klantgegevens_A!L262)</f>
        <v>8</v>
      </c>
      <c r="L263" t="str">
        <f>IF(Klantgegevens_B!K262&lt;&gt;"", Klantgegevens_B!K262, IF(Klantgegevens_A!L262&gt;=7, "ja", "nee"))</f>
        <v>ja</v>
      </c>
      <c r="M263" t="str">
        <f>IF(Klantgegevens_B!L262&lt;&gt;"", Klantgegevens_B!L262, IF(Klantgegevens_A!L262&gt;=7, "ja", "nee"))</f>
        <v>ja</v>
      </c>
      <c r="N263" t="str">
        <f>IF(Klantgegevens_B!M262&lt;&gt;"", Klantgegevens_B!M262, IF(Klantgegevens_A!L262&gt;=7, "ja", "nee"))</f>
        <v>ja</v>
      </c>
      <c r="O263" t="str">
        <f>IF(Klantgegevens_B!N262&lt;&gt;"", Klantgegevens_B!N262, IF(Klantgegevens_A!L262&gt;=7, "ja", "nee"))</f>
        <v>ja</v>
      </c>
      <c r="P263" t="str">
        <f>IF(Klantgegevens_B!O262&lt;&gt;"", Klantgegevens_B!O262, IF(Klantgegevens_A!L262&gt;=7, "ja", "nee"))</f>
        <v>Vegetarisch</v>
      </c>
      <c r="Q263" t="str">
        <f>IF(Klantgegevens_B!P262&lt;&gt;"", Klantgegevens_B!P262, Klantgegevens_A!M262)</f>
        <v>Geen dieet</v>
      </c>
      <c r="R263" t="str">
        <f>IF(Klantgegevens_B!A262&lt;&gt;"", "B", "A")</f>
        <v>B</v>
      </c>
    </row>
    <row r="264" spans="1:18" x14ac:dyDescent="0.3">
      <c r="A264" t="str">
        <f>IF(Klantgegevens_B!A263&lt;&gt;"", Klantgegevens_B!A263, MID(Klantgegevens_A!A263, FIND(",", Klantgegevens_A!A263)+2, LEN(Klantgegevens_A!A263)))</f>
        <v>Toni</v>
      </c>
      <c r="B264" t="str">
        <f>IF(Klantgegevens_B!B263&lt;&gt;"", Klantgegevens_B!B263, LEFT(Klantgegevens_A!A263, FIND(",", Klantgegevens_A!A263)-1))</f>
        <v>Thys</v>
      </c>
      <c r="C264" t="str">
        <f t="shared" ca="1" si="4"/>
        <v/>
      </c>
      <c r="D264" t="str">
        <f>IF(Klantgegevens_B!F263&lt;&gt;"", Klantgegevens_B!F263, Klantgegevens_A!D263 &amp; " " &amp; Klantgegevens_A!E263 &amp; ", " &amp; Klantgegevens_A!F263)</f>
        <v>Toni,Arif,Joëlle,Vicky</v>
      </c>
      <c r="E264">
        <f>IF(Klantgegevens_B!G263&lt;&gt;"", Klantgegevens_B!G263, TEXTJOIN(",", TRUE, REPT("Volwassene,", Klantgegevens_A!G263), REPT("Kind,", Klantgegevens_A!H263)))</f>
        <v>229.5</v>
      </c>
      <c r="F264">
        <f>IF(Klantgegevens_B!G263&lt;&gt;"", LEN(Klantgegevens_B!G263)-LEN(SUBSTITUTE(Klantgegevens_B!G263, ",", ""))+1, Klantgegevens_A!G263)</f>
        <v>1</v>
      </c>
      <c r="G264">
        <f>IF(Klantgegevens_B!G263&lt;&gt;"", 0, Klantgegevens_A!H263)</f>
        <v>0</v>
      </c>
      <c r="H264">
        <f>IF(Klantgegevens_B!H263&lt;&gt;"", Klantgegevens_B!H263, Klantgegevens_A!I263)</f>
        <v>8</v>
      </c>
      <c r="I264" t="str">
        <f>IF(Klantgegevens_B!I263&lt;&gt;"", Klantgegevens_B!I263, SWITCH(Klantgegevens_A!J263, "Zelden", 1, "Af en toe", 4, "Regelmatig", 8, "Vaak", 12))</f>
        <v>Bancontact</v>
      </c>
      <c r="J264" t="str">
        <f>IF(Klantgegevens_B!J263&lt;&gt;"", Klantgegevens_B!J263, Klantgegevens_A!K263)</f>
        <v>ja</v>
      </c>
      <c r="K264">
        <f>IF(Klantgegevens_B!K263&lt;&gt;"", AVERAGE(--(Klantgegevens_B!K263="ja"), --(Klantgegevens_B!L263="ja"), --(Klantgegevens_B!M263="ja"), --(Klantgegevens_B!N263="ja"), --(Klantgegevens_B!O263="ja"))*10, Klantgegevens_A!L263)</f>
        <v>6</v>
      </c>
      <c r="L264" t="str">
        <f>IF(Klantgegevens_B!K263&lt;&gt;"", Klantgegevens_B!K263, IF(Klantgegevens_A!L263&gt;=7, "ja", "nee"))</f>
        <v>ja</v>
      </c>
      <c r="M264" t="str">
        <f>IF(Klantgegevens_B!L263&lt;&gt;"", Klantgegevens_B!L263, IF(Klantgegevens_A!L263&gt;=7, "ja", "nee"))</f>
        <v>ja</v>
      </c>
      <c r="N264" t="str">
        <f>IF(Klantgegevens_B!M263&lt;&gt;"", Klantgegevens_B!M263, IF(Klantgegevens_A!L263&gt;=7, "ja", "nee"))</f>
        <v>ja</v>
      </c>
      <c r="O264" t="str">
        <f>IF(Klantgegevens_B!N263&lt;&gt;"", Klantgegevens_B!N263, IF(Klantgegevens_A!L263&gt;=7, "ja", "nee"))</f>
        <v>nee</v>
      </c>
      <c r="P264" t="str">
        <f>IF(Klantgegevens_B!O263&lt;&gt;"", Klantgegevens_B!O263, IF(Klantgegevens_A!L263&gt;=7, "ja", "nee"))</f>
        <v>Geen dieet</v>
      </c>
      <c r="Q264" t="str">
        <f>IF(Klantgegevens_B!P263&lt;&gt;"", Klantgegevens_B!P263, Klantgegevens_A!M263)</f>
        <v>Geen dieet</v>
      </c>
      <c r="R264" t="str">
        <f>IF(Klantgegevens_B!A263&lt;&gt;"", "B", "A")</f>
        <v>B</v>
      </c>
    </row>
    <row r="265" spans="1:18" x14ac:dyDescent="0.3">
      <c r="A265" t="str">
        <f>IF(Klantgegevens_B!A264&lt;&gt;"", Klantgegevens_B!A264, MID(Klantgegevens_A!A264, FIND(",", Klantgegevens_A!A264)+2, LEN(Klantgegevens_A!A264)))</f>
        <v>Carlos</v>
      </c>
      <c r="B265" t="str">
        <f>IF(Klantgegevens_B!B264&lt;&gt;"", Klantgegevens_B!B264, LEFT(Klantgegevens_A!A264, FIND(",", Klantgegevens_A!A264)-1))</f>
        <v>Martens</v>
      </c>
      <c r="C265" t="str">
        <f t="shared" ca="1" si="4"/>
        <v/>
      </c>
      <c r="D265" t="str">
        <f>IF(Klantgegevens_B!F264&lt;&gt;"", Klantgegevens_B!F264, Klantgegevens_A!D264 &amp; " " &amp; Klantgegevens_A!E264 &amp; ", " &amp; Klantgegevens_A!F264)</f>
        <v>Carlos,Jim</v>
      </c>
      <c r="E265">
        <f>IF(Klantgegevens_B!G264&lt;&gt;"", Klantgegevens_B!G264, TEXTJOIN(",", TRUE, REPT("Volwassene,", Klantgegevens_A!G264), REPT("Kind,", Klantgegevens_A!H264)))</f>
        <v>183.68</v>
      </c>
      <c r="F265">
        <f>IF(Klantgegevens_B!G264&lt;&gt;"", LEN(Klantgegevens_B!G264)-LEN(SUBSTITUTE(Klantgegevens_B!G264, ",", ""))+1, Klantgegevens_A!G264)</f>
        <v>1</v>
      </c>
      <c r="G265">
        <f>IF(Klantgegevens_B!G264&lt;&gt;"", 0, Klantgegevens_A!H264)</f>
        <v>0</v>
      </c>
      <c r="H265">
        <f>IF(Klantgegevens_B!H264&lt;&gt;"", Klantgegevens_B!H264, Klantgegevens_A!I264)</f>
        <v>13</v>
      </c>
      <c r="I265" t="str">
        <f>IF(Klantgegevens_B!I264&lt;&gt;"", Klantgegevens_B!I264, SWITCH(Klantgegevens_A!J264, "Zelden", 1, "Af en toe", 4, "Regelmatig", 8, "Vaak", 12))</f>
        <v>Cash</v>
      </c>
      <c r="J265" t="str">
        <f>IF(Klantgegevens_B!J264&lt;&gt;"", Klantgegevens_B!J264, Klantgegevens_A!K264)</f>
        <v>ja</v>
      </c>
      <c r="K265">
        <f>IF(Klantgegevens_B!K264&lt;&gt;"", AVERAGE(--(Klantgegevens_B!K264="ja"), --(Klantgegevens_B!L264="ja"), --(Klantgegevens_B!M264="ja"), --(Klantgegevens_B!N264="ja"), --(Klantgegevens_B!O264="ja"))*10, Klantgegevens_A!L264)</f>
        <v>4</v>
      </c>
      <c r="L265" t="str">
        <f>IF(Klantgegevens_B!K264&lt;&gt;"", Klantgegevens_B!K264, IF(Klantgegevens_A!L264&gt;=7, "ja", "nee"))</f>
        <v>ja</v>
      </c>
      <c r="M265" t="str">
        <f>IF(Klantgegevens_B!L264&lt;&gt;"", Klantgegevens_B!L264, IF(Klantgegevens_A!L264&gt;=7, "ja", "nee"))</f>
        <v>nee</v>
      </c>
      <c r="N265" t="str">
        <f>IF(Klantgegevens_B!M264&lt;&gt;"", Klantgegevens_B!M264, IF(Klantgegevens_A!L264&gt;=7, "ja", "nee"))</f>
        <v>ja</v>
      </c>
      <c r="O265" t="str">
        <f>IF(Klantgegevens_B!N264&lt;&gt;"", Klantgegevens_B!N264, IF(Klantgegevens_A!L264&gt;=7, "ja", "nee"))</f>
        <v>nee</v>
      </c>
      <c r="P265" t="str">
        <f>IF(Klantgegevens_B!O264&lt;&gt;"", Klantgegevens_B!O264, IF(Klantgegevens_A!L264&gt;=7, "ja", "nee"))</f>
        <v>Geen dieet</v>
      </c>
      <c r="Q265" t="str">
        <f>IF(Klantgegevens_B!P264&lt;&gt;"", Klantgegevens_B!P264, Klantgegevens_A!M264)</f>
        <v>Geen dieet</v>
      </c>
      <c r="R265" t="str">
        <f>IF(Klantgegevens_B!A264&lt;&gt;"", "B", "A")</f>
        <v>B</v>
      </c>
    </row>
    <row r="266" spans="1:18" x14ac:dyDescent="0.3">
      <c r="A266" t="str">
        <f>IF(Klantgegevens_B!A265&lt;&gt;"", Klantgegevens_B!A265, MID(Klantgegevens_A!A265, FIND(",", Klantgegevens_A!A265)+2, LEN(Klantgegevens_A!A265)))</f>
        <v>Bilal</v>
      </c>
      <c r="B266" t="str">
        <f>IF(Klantgegevens_B!B265&lt;&gt;"", Klantgegevens_B!B265, LEFT(Klantgegevens_A!A265, FIND(",", Klantgegevens_A!A265)-1))</f>
        <v>De smet</v>
      </c>
      <c r="C266" t="str">
        <f t="shared" ca="1" si="4"/>
        <v/>
      </c>
      <c r="D266" t="str">
        <f>IF(Klantgegevens_B!F265&lt;&gt;"", Klantgegevens_B!F265, Klantgegevens_A!D265 &amp; " " &amp; Klantgegevens_A!E265 &amp; ", " &amp; Klantgegevens_A!F265)</f>
        <v>Bilal,Jeannette,Jeannette,Victor,Sylwia</v>
      </c>
      <c r="E266">
        <f>IF(Klantgegevens_B!G265&lt;&gt;"", Klantgegevens_B!G265, TEXTJOIN(",", TRUE, REPT("Volwassene,", Klantgegevens_A!G265), REPT("Kind,", Klantgegevens_A!H265)))</f>
        <v>143.66</v>
      </c>
      <c r="F266">
        <f>IF(Klantgegevens_B!G265&lt;&gt;"", LEN(Klantgegevens_B!G265)-LEN(SUBSTITUTE(Klantgegevens_B!G265, ",", ""))+1, Klantgegevens_A!G265)</f>
        <v>1</v>
      </c>
      <c r="G266">
        <f>IF(Klantgegevens_B!G265&lt;&gt;"", 0, Klantgegevens_A!H265)</f>
        <v>0</v>
      </c>
      <c r="H266">
        <f>IF(Klantgegevens_B!H265&lt;&gt;"", Klantgegevens_B!H265, Klantgegevens_A!I265)</f>
        <v>11</v>
      </c>
      <c r="I266" t="str">
        <f>IF(Klantgegevens_B!I265&lt;&gt;"", Klantgegevens_B!I265, SWITCH(Klantgegevens_A!J265, "Zelden", 1, "Af en toe", 4, "Regelmatig", 8, "Vaak", 12))</f>
        <v>Bancontact</v>
      </c>
      <c r="J266" t="str">
        <f>IF(Klantgegevens_B!J265&lt;&gt;"", Klantgegevens_B!J265, Klantgegevens_A!K265)</f>
        <v>ja</v>
      </c>
      <c r="K266">
        <f>IF(Klantgegevens_B!K265&lt;&gt;"", AVERAGE(--(Klantgegevens_B!K265="ja"), --(Klantgegevens_B!L265="ja"), --(Klantgegevens_B!M265="ja"), --(Klantgegevens_B!N265="ja"), --(Klantgegevens_B!O265="ja"))*10, Klantgegevens_A!L265)</f>
        <v>8</v>
      </c>
      <c r="L266" t="str">
        <f>IF(Klantgegevens_B!K265&lt;&gt;"", Klantgegevens_B!K265, IF(Klantgegevens_A!L265&gt;=7, "ja", "nee"))</f>
        <v>ja</v>
      </c>
      <c r="M266" t="str">
        <f>IF(Klantgegevens_B!L265&lt;&gt;"", Klantgegevens_B!L265, IF(Klantgegevens_A!L265&gt;=7, "ja", "nee"))</f>
        <v>ja</v>
      </c>
      <c r="N266" t="str">
        <f>IF(Klantgegevens_B!M265&lt;&gt;"", Klantgegevens_B!M265, IF(Klantgegevens_A!L265&gt;=7, "ja", "nee"))</f>
        <v>ja</v>
      </c>
      <c r="O266" t="str">
        <f>IF(Klantgegevens_B!N265&lt;&gt;"", Klantgegevens_B!N265, IF(Klantgegevens_A!L265&gt;=7, "ja", "nee"))</f>
        <v>ja</v>
      </c>
      <c r="P266" t="str">
        <f>IF(Klantgegevens_B!O265&lt;&gt;"", Klantgegevens_B!O265, IF(Klantgegevens_A!L265&gt;=7, "ja", "nee"))</f>
        <v>Geen dieet</v>
      </c>
      <c r="Q266" t="str">
        <f>IF(Klantgegevens_B!P265&lt;&gt;"", Klantgegevens_B!P265, Klantgegevens_A!M265)</f>
        <v>Geen dieet</v>
      </c>
      <c r="R266" t="str">
        <f>IF(Klantgegevens_B!A265&lt;&gt;"", "B", "A")</f>
        <v>B</v>
      </c>
    </row>
    <row r="267" spans="1:18" x14ac:dyDescent="0.3">
      <c r="A267" t="str">
        <f>IF(Klantgegevens_B!A266&lt;&gt;"", Klantgegevens_B!A266, MID(Klantgegevens_A!A266, FIND(",", Klantgegevens_A!A266)+2, LEN(Klantgegevens_A!A266)))</f>
        <v>Tamara</v>
      </c>
      <c r="B267" t="str">
        <f>IF(Klantgegevens_B!B266&lt;&gt;"", Klantgegevens_B!B266, LEFT(Klantgegevens_A!A266, FIND(",", Klantgegevens_A!A266)-1))</f>
        <v>Sterckx</v>
      </c>
      <c r="C267" t="str">
        <f t="shared" ca="1" si="4"/>
        <v/>
      </c>
      <c r="D267" t="str">
        <f>IF(Klantgegevens_B!F266&lt;&gt;"", Klantgegevens_B!F266, Klantgegevens_A!D266 &amp; " " &amp; Klantgegevens_A!E266 &amp; ", " &amp; Klantgegevens_A!F266)</f>
        <v>Tamara,Philippe</v>
      </c>
      <c r="E267">
        <f>IF(Klantgegevens_B!G266&lt;&gt;"", Klantgegevens_B!G266, TEXTJOIN(",", TRUE, REPT("Volwassene,", Klantgegevens_A!G266), REPT("Kind,", Klantgegevens_A!H266)))</f>
        <v>105.84</v>
      </c>
      <c r="F267">
        <f>IF(Klantgegevens_B!G266&lt;&gt;"", LEN(Klantgegevens_B!G266)-LEN(SUBSTITUTE(Klantgegevens_B!G266, ",", ""))+1, Klantgegevens_A!G266)</f>
        <v>1</v>
      </c>
      <c r="G267">
        <f>IF(Klantgegevens_B!G266&lt;&gt;"", 0, Klantgegevens_A!H266)</f>
        <v>0</v>
      </c>
      <c r="H267">
        <f>IF(Klantgegevens_B!H266&lt;&gt;"", Klantgegevens_B!H266, Klantgegevens_A!I266)</f>
        <v>9</v>
      </c>
      <c r="I267" t="str">
        <f>IF(Klantgegevens_B!I266&lt;&gt;"", Klantgegevens_B!I266, SWITCH(Klantgegevens_A!J266, "Zelden", 1, "Af en toe", 4, "Regelmatig", 8, "Vaak", 12))</f>
        <v>Bancontact</v>
      </c>
      <c r="J267" t="str">
        <f>IF(Klantgegevens_B!J266&lt;&gt;"", Klantgegevens_B!J266, Klantgegevens_A!K266)</f>
        <v>ja</v>
      </c>
      <c r="K267">
        <f>IF(Klantgegevens_B!K266&lt;&gt;"", AVERAGE(--(Klantgegevens_B!K266="ja"), --(Klantgegevens_B!L266="ja"), --(Klantgegevens_B!M266="ja"), --(Klantgegevens_B!N266="ja"), --(Klantgegevens_B!O266="ja"))*10, Klantgegevens_A!L266)</f>
        <v>8</v>
      </c>
      <c r="L267" t="str">
        <f>IF(Klantgegevens_B!K266&lt;&gt;"", Klantgegevens_B!K266, IF(Klantgegevens_A!L266&gt;=7, "ja", "nee"))</f>
        <v>ja</v>
      </c>
      <c r="M267" t="str">
        <f>IF(Klantgegevens_B!L266&lt;&gt;"", Klantgegevens_B!L266, IF(Klantgegevens_A!L266&gt;=7, "ja", "nee"))</f>
        <v>ja</v>
      </c>
      <c r="N267" t="str">
        <f>IF(Klantgegevens_B!M266&lt;&gt;"", Klantgegevens_B!M266, IF(Klantgegevens_A!L266&gt;=7, "ja", "nee"))</f>
        <v>ja</v>
      </c>
      <c r="O267" t="str">
        <f>IF(Klantgegevens_B!N266&lt;&gt;"", Klantgegevens_B!N266, IF(Klantgegevens_A!L266&gt;=7, "ja", "nee"))</f>
        <v>ja</v>
      </c>
      <c r="P267" t="str">
        <f>IF(Klantgegevens_B!O266&lt;&gt;"", Klantgegevens_B!O266, IF(Klantgegevens_A!L266&gt;=7, "ja", "nee"))</f>
        <v>Vegetarisch</v>
      </c>
      <c r="Q267" t="str">
        <f>IF(Klantgegevens_B!P266&lt;&gt;"", Klantgegevens_B!P266, Klantgegevens_A!M266)</f>
        <v>Geen dieet</v>
      </c>
      <c r="R267" t="str">
        <f>IF(Klantgegevens_B!A266&lt;&gt;"", "B", "A")</f>
        <v>B</v>
      </c>
    </row>
    <row r="268" spans="1:18" x14ac:dyDescent="0.3">
      <c r="A268" t="str">
        <f>IF(Klantgegevens_B!A267&lt;&gt;"", Klantgegevens_B!A267, MID(Klantgegevens_A!A267, FIND(",", Klantgegevens_A!A267)+2, LEN(Klantgegevens_A!A267)))</f>
        <v>Marie-Christine</v>
      </c>
      <c r="B268" t="str">
        <f>IF(Klantgegevens_B!B267&lt;&gt;"", Klantgegevens_B!B267, LEFT(Klantgegevens_A!A267, FIND(",", Klantgegevens_A!A267)-1))</f>
        <v>De clercq</v>
      </c>
      <c r="C268" t="str">
        <f t="shared" ca="1" si="4"/>
        <v/>
      </c>
      <c r="D268" t="str">
        <f>IF(Klantgegevens_B!F267&lt;&gt;"", Klantgegevens_B!F267, Klantgegevens_A!D267 &amp; " " &amp; Klantgegevens_A!E267 &amp; ", " &amp; Klantgegevens_A!F267)</f>
        <v>Marie-Christine,Hildegarde,Harry,Jens</v>
      </c>
      <c r="E268">
        <f>IF(Klantgegevens_B!G267&lt;&gt;"", Klantgegevens_B!G267, TEXTJOIN(",", TRUE, REPT("Volwassene,", Klantgegevens_A!G267), REPT("Kind,", Klantgegevens_A!H267)))</f>
        <v>135.31</v>
      </c>
      <c r="F268">
        <f>IF(Klantgegevens_B!G267&lt;&gt;"", LEN(Klantgegevens_B!G267)-LEN(SUBSTITUTE(Klantgegevens_B!G267, ",", ""))+1, Klantgegevens_A!G267)</f>
        <v>1</v>
      </c>
      <c r="G268">
        <f>IF(Klantgegevens_B!G267&lt;&gt;"", 0, Klantgegevens_A!H267)</f>
        <v>0</v>
      </c>
      <c r="H268">
        <f>IF(Klantgegevens_B!H267&lt;&gt;"", Klantgegevens_B!H267, Klantgegevens_A!I267)</f>
        <v>18</v>
      </c>
      <c r="I268" t="str">
        <f>IF(Klantgegevens_B!I267&lt;&gt;"", Klantgegevens_B!I267, SWITCH(Klantgegevens_A!J267, "Zelden", 1, "Af en toe", 4, "Regelmatig", 8, "Vaak", 12))</f>
        <v>Bancontact</v>
      </c>
      <c r="J268" t="str">
        <f>IF(Klantgegevens_B!J267&lt;&gt;"", Klantgegevens_B!J267, Klantgegevens_A!K267)</f>
        <v>ja</v>
      </c>
      <c r="K268">
        <f>IF(Klantgegevens_B!K267&lt;&gt;"", AVERAGE(--(Klantgegevens_B!K267="ja"), --(Klantgegevens_B!L267="ja"), --(Klantgegevens_B!M267="ja"), --(Klantgegevens_B!N267="ja"), --(Klantgegevens_B!O267="ja"))*10, Klantgegevens_A!L267)</f>
        <v>8</v>
      </c>
      <c r="L268" t="str">
        <f>IF(Klantgegevens_B!K267&lt;&gt;"", Klantgegevens_B!K267, IF(Klantgegevens_A!L267&gt;=7, "ja", "nee"))</f>
        <v>ja</v>
      </c>
      <c r="M268" t="str">
        <f>IF(Klantgegevens_B!L267&lt;&gt;"", Klantgegevens_B!L267, IF(Klantgegevens_A!L267&gt;=7, "ja", "nee"))</f>
        <v>ja</v>
      </c>
      <c r="N268" t="str">
        <f>IF(Klantgegevens_B!M267&lt;&gt;"", Klantgegevens_B!M267, IF(Klantgegevens_A!L267&gt;=7, "ja", "nee"))</f>
        <v>ja</v>
      </c>
      <c r="O268" t="str">
        <f>IF(Klantgegevens_B!N267&lt;&gt;"", Klantgegevens_B!N267, IF(Klantgegevens_A!L267&gt;=7, "ja", "nee"))</f>
        <v>ja</v>
      </c>
      <c r="P268" t="str">
        <f>IF(Klantgegevens_B!O267&lt;&gt;"", Klantgegevens_B!O267, IF(Klantgegevens_A!L267&gt;=7, "ja", "nee"))</f>
        <v>Geen dieet</v>
      </c>
      <c r="Q268" t="str">
        <f>IF(Klantgegevens_B!P267&lt;&gt;"", Klantgegevens_B!P267, Klantgegevens_A!M267)</f>
        <v>Vegetarisch</v>
      </c>
      <c r="R268" t="str">
        <f>IF(Klantgegevens_B!A267&lt;&gt;"", "B", "A")</f>
        <v>B</v>
      </c>
    </row>
    <row r="269" spans="1:18" x14ac:dyDescent="0.3">
      <c r="A269" t="str">
        <f>IF(Klantgegevens_B!A268&lt;&gt;"", Klantgegevens_B!A268, MID(Klantgegevens_A!A268, FIND(",", Klantgegevens_A!A268)+2, LEN(Klantgegevens_A!A268)))</f>
        <v>Lotte</v>
      </c>
      <c r="B269" t="str">
        <f>IF(Klantgegevens_B!B268&lt;&gt;"", Klantgegevens_B!B268, LEFT(Klantgegevens_A!A268, FIND(",", Klantgegevens_A!A268)-1))</f>
        <v>De cock</v>
      </c>
      <c r="C269" t="str">
        <f t="shared" ca="1" si="4"/>
        <v/>
      </c>
      <c r="D269" t="str">
        <f>IF(Klantgegevens_B!F268&lt;&gt;"", Klantgegevens_B!F268, Klantgegevens_A!D268 &amp; " " &amp; Klantgegevens_A!E268 &amp; ", " &amp; Klantgegevens_A!F268)</f>
        <v>Lotte,Martin,Tania</v>
      </c>
      <c r="E269">
        <f>IF(Klantgegevens_B!G268&lt;&gt;"", Klantgegevens_B!G268, TEXTJOIN(",", TRUE, REPT("Volwassene,", Klantgegevens_A!G268), REPT("Kind,", Klantgegevens_A!H268)))</f>
        <v>63.63</v>
      </c>
      <c r="F269">
        <f>IF(Klantgegevens_B!G268&lt;&gt;"", LEN(Klantgegevens_B!G268)-LEN(SUBSTITUTE(Klantgegevens_B!G268, ",", ""))+1, Klantgegevens_A!G268)</f>
        <v>1</v>
      </c>
      <c r="G269">
        <f>IF(Klantgegevens_B!G268&lt;&gt;"", 0, Klantgegevens_A!H268)</f>
        <v>0</v>
      </c>
      <c r="H269">
        <f>IF(Klantgegevens_B!H268&lt;&gt;"", Klantgegevens_B!H268, Klantgegevens_A!I268)</f>
        <v>6</v>
      </c>
      <c r="I269" t="str">
        <f>IF(Klantgegevens_B!I268&lt;&gt;"", Klantgegevens_B!I268, SWITCH(Klantgegevens_A!J268, "Zelden", 1, "Af en toe", 4, "Regelmatig", 8, "Vaak", 12))</f>
        <v>Payconiq</v>
      </c>
      <c r="J269" t="str">
        <f>IF(Klantgegevens_B!J268&lt;&gt;"", Klantgegevens_B!J268, Klantgegevens_A!K268)</f>
        <v>nee</v>
      </c>
      <c r="K269">
        <f>IF(Klantgegevens_B!K268&lt;&gt;"", AVERAGE(--(Klantgegevens_B!K268="ja"), --(Klantgegevens_B!L268="ja"), --(Klantgegevens_B!M268="ja"), --(Klantgegevens_B!N268="ja"), --(Klantgegevens_B!O268="ja"))*10, Klantgegevens_A!L268)</f>
        <v>2</v>
      </c>
      <c r="L269" t="str">
        <f>IF(Klantgegevens_B!K268&lt;&gt;"", Klantgegevens_B!K268, IF(Klantgegevens_A!L268&gt;=7, "ja", "nee"))</f>
        <v>nee</v>
      </c>
      <c r="M269" t="str">
        <f>IF(Klantgegevens_B!L268&lt;&gt;"", Klantgegevens_B!L268, IF(Klantgegevens_A!L268&gt;=7, "ja", "nee"))</f>
        <v>nee</v>
      </c>
      <c r="N269" t="str">
        <f>IF(Klantgegevens_B!M268&lt;&gt;"", Klantgegevens_B!M268, IF(Klantgegevens_A!L268&gt;=7, "ja", "nee"))</f>
        <v>nee</v>
      </c>
      <c r="O269" t="str">
        <f>IF(Klantgegevens_B!N268&lt;&gt;"", Klantgegevens_B!N268, IF(Klantgegevens_A!L268&gt;=7, "ja", "nee"))</f>
        <v>ja</v>
      </c>
      <c r="P269" t="str">
        <f>IF(Klantgegevens_B!O268&lt;&gt;"", Klantgegevens_B!O268, IF(Klantgegevens_A!L268&gt;=7, "ja", "nee"))</f>
        <v>Veganistisch</v>
      </c>
      <c r="Q269" t="str">
        <f>IF(Klantgegevens_B!P268&lt;&gt;"", Klantgegevens_B!P268, Klantgegevens_A!M268)</f>
        <v>Vegetarisch</v>
      </c>
      <c r="R269" t="str">
        <f>IF(Klantgegevens_B!A268&lt;&gt;"", "B", "A")</f>
        <v>B</v>
      </c>
    </row>
    <row r="270" spans="1:18" x14ac:dyDescent="0.3">
      <c r="A270" t="str">
        <f>IF(Klantgegevens_B!A269&lt;&gt;"", Klantgegevens_B!A269, MID(Klantgegevens_A!A269, FIND(",", Klantgegevens_A!A269)+2, LEN(Klantgegevens_A!A269)))</f>
        <v>Yann</v>
      </c>
      <c r="B270" t="str">
        <f>IF(Klantgegevens_B!B269&lt;&gt;"", Klantgegevens_B!B269, LEFT(Klantgegevens_A!A269, FIND(",", Klantgegevens_A!A269)-1))</f>
        <v>Janssen</v>
      </c>
      <c r="C270" t="str">
        <f t="shared" ca="1" si="4"/>
        <v/>
      </c>
      <c r="D270" t="str">
        <f>IF(Klantgegevens_B!F269&lt;&gt;"", Klantgegevens_B!F269, Klantgegevens_A!D269 &amp; " " &amp; Klantgegevens_A!E269 &amp; ", " &amp; Klantgegevens_A!F269)</f>
        <v>Yann</v>
      </c>
      <c r="E270">
        <f>IF(Klantgegevens_B!G269&lt;&gt;"", Klantgegevens_B!G269, TEXTJOIN(",", TRUE, REPT("Volwassene,", Klantgegevens_A!G269), REPT("Kind,", Klantgegevens_A!H269)))</f>
        <v>45.88</v>
      </c>
      <c r="F270">
        <f>IF(Klantgegevens_B!G269&lt;&gt;"", LEN(Klantgegevens_B!G269)-LEN(SUBSTITUTE(Klantgegevens_B!G269, ",", ""))+1, Klantgegevens_A!G269)</f>
        <v>1</v>
      </c>
      <c r="G270">
        <f>IF(Klantgegevens_B!G269&lt;&gt;"", 0, Klantgegevens_A!H269)</f>
        <v>0</v>
      </c>
      <c r="H270">
        <f>IF(Klantgegevens_B!H269&lt;&gt;"", Klantgegevens_B!H269, Klantgegevens_A!I269)</f>
        <v>6</v>
      </c>
      <c r="I270" t="str">
        <f>IF(Klantgegevens_B!I269&lt;&gt;"", Klantgegevens_B!I269, SWITCH(Klantgegevens_A!J269, "Zelden", 1, "Af en toe", 4, "Regelmatig", 8, "Vaak", 12))</f>
        <v>Payconiq</v>
      </c>
      <c r="J270" t="str">
        <f>IF(Klantgegevens_B!J269&lt;&gt;"", Klantgegevens_B!J269, Klantgegevens_A!K269)</f>
        <v>ja</v>
      </c>
      <c r="K270">
        <f>IF(Klantgegevens_B!K269&lt;&gt;"", AVERAGE(--(Klantgegevens_B!K269="ja"), --(Klantgegevens_B!L269="ja"), --(Klantgegevens_B!M269="ja"), --(Klantgegevens_B!N269="ja"), --(Klantgegevens_B!O269="ja"))*10, Klantgegevens_A!L269)</f>
        <v>6</v>
      </c>
      <c r="L270" t="str">
        <f>IF(Klantgegevens_B!K269&lt;&gt;"", Klantgegevens_B!K269, IF(Klantgegevens_A!L269&gt;=7, "ja", "nee"))</f>
        <v>ja</v>
      </c>
      <c r="M270" t="str">
        <f>IF(Klantgegevens_B!L269&lt;&gt;"", Klantgegevens_B!L269, IF(Klantgegevens_A!L269&gt;=7, "ja", "nee"))</f>
        <v>ja</v>
      </c>
      <c r="N270" t="str">
        <f>IF(Klantgegevens_B!M269&lt;&gt;"", Klantgegevens_B!M269, IF(Klantgegevens_A!L269&gt;=7, "ja", "nee"))</f>
        <v>nee</v>
      </c>
      <c r="O270" t="str">
        <f>IF(Klantgegevens_B!N269&lt;&gt;"", Klantgegevens_B!N269, IF(Klantgegevens_A!L269&gt;=7, "ja", "nee"))</f>
        <v>ja</v>
      </c>
      <c r="P270" t="str">
        <f>IF(Klantgegevens_B!O269&lt;&gt;"", Klantgegevens_B!O269, IF(Klantgegevens_A!L269&gt;=7, "ja", "nee"))</f>
        <v>Geen dieet</v>
      </c>
      <c r="Q270" t="str">
        <f>IF(Klantgegevens_B!P269&lt;&gt;"", Klantgegevens_B!P269, Klantgegevens_A!M269)</f>
        <v>Geen dieet</v>
      </c>
      <c r="R270" t="str">
        <f>IF(Klantgegevens_B!A269&lt;&gt;"", "B", "A")</f>
        <v>B</v>
      </c>
    </row>
    <row r="271" spans="1:18" x14ac:dyDescent="0.3">
      <c r="A271" t="str">
        <f>IF(Klantgegevens_B!A270&lt;&gt;"", Klantgegevens_B!A270, MID(Klantgegevens_A!A270, FIND(",", Klantgegevens_A!A270)+2, LEN(Klantgegevens_A!A270)))</f>
        <v>Rachel</v>
      </c>
      <c r="B271" t="str">
        <f>IF(Klantgegevens_B!B270&lt;&gt;"", Klantgegevens_B!B270, LEFT(Klantgegevens_A!A270, FIND(",", Klantgegevens_A!A270)-1))</f>
        <v>Desmet</v>
      </c>
      <c r="C271" t="str">
        <f t="shared" ca="1" si="4"/>
        <v/>
      </c>
      <c r="D271" t="str">
        <f>IF(Klantgegevens_B!F270&lt;&gt;"", Klantgegevens_B!F270, Klantgegevens_A!D270 &amp; " " &amp; Klantgegevens_A!E270 &amp; ", " &amp; Klantgegevens_A!F270)</f>
        <v>Rachel,Zoé</v>
      </c>
      <c r="E271">
        <f>IF(Klantgegevens_B!G270&lt;&gt;"", Klantgegevens_B!G270, TEXTJOIN(",", TRUE, REPT("Volwassene,", Klantgegevens_A!G270), REPT("Kind,", Klantgegevens_A!H270)))</f>
        <v>79.61</v>
      </c>
      <c r="F271">
        <f>IF(Klantgegevens_B!G270&lt;&gt;"", LEN(Klantgegevens_B!G270)-LEN(SUBSTITUTE(Klantgegevens_B!G270, ",", ""))+1, Klantgegevens_A!G270)</f>
        <v>1</v>
      </c>
      <c r="G271">
        <f>IF(Klantgegevens_B!G270&lt;&gt;"", 0, Klantgegevens_A!H270)</f>
        <v>0</v>
      </c>
      <c r="H271">
        <f>IF(Klantgegevens_B!H270&lt;&gt;"", Klantgegevens_B!H270, Klantgegevens_A!I270)</f>
        <v>10</v>
      </c>
      <c r="I271" t="str">
        <f>IF(Klantgegevens_B!I270&lt;&gt;"", Klantgegevens_B!I270, SWITCH(Klantgegevens_A!J270, "Zelden", 1, "Af en toe", 4, "Regelmatig", 8, "Vaak", 12))</f>
        <v>Cash</v>
      </c>
      <c r="J271" t="str">
        <f>IF(Klantgegevens_B!J270&lt;&gt;"", Klantgegevens_B!J270, Klantgegevens_A!K270)</f>
        <v>nee</v>
      </c>
      <c r="K271">
        <f>IF(Klantgegevens_B!K270&lt;&gt;"", AVERAGE(--(Klantgegevens_B!K270="ja"), --(Klantgegevens_B!L270="ja"), --(Klantgegevens_B!M270="ja"), --(Klantgegevens_B!N270="ja"), --(Klantgegevens_B!O270="ja"))*10, Klantgegevens_A!L270)</f>
        <v>6</v>
      </c>
      <c r="L271" t="str">
        <f>IF(Klantgegevens_B!K270&lt;&gt;"", Klantgegevens_B!K270, IF(Klantgegevens_A!L270&gt;=7, "ja", "nee"))</f>
        <v>nee</v>
      </c>
      <c r="M271" t="str">
        <f>IF(Klantgegevens_B!L270&lt;&gt;"", Klantgegevens_B!L270, IF(Klantgegevens_A!L270&gt;=7, "ja", "nee"))</f>
        <v>ja</v>
      </c>
      <c r="N271" t="str">
        <f>IF(Klantgegevens_B!M270&lt;&gt;"", Klantgegevens_B!M270, IF(Klantgegevens_A!L270&gt;=7, "ja", "nee"))</f>
        <v>ja</v>
      </c>
      <c r="O271" t="str">
        <f>IF(Klantgegevens_B!N270&lt;&gt;"", Klantgegevens_B!N270, IF(Klantgegevens_A!L270&gt;=7, "ja", "nee"))</f>
        <v>ja</v>
      </c>
      <c r="P271" t="str">
        <f>IF(Klantgegevens_B!O270&lt;&gt;"", Klantgegevens_B!O270, IF(Klantgegevens_A!L270&gt;=7, "ja", "nee"))</f>
        <v>Geen dieet</v>
      </c>
      <c r="Q271" t="str">
        <f>IF(Klantgegevens_B!P270&lt;&gt;"", Klantgegevens_B!P270, Klantgegevens_A!M270)</f>
        <v>Geen dieet</v>
      </c>
      <c r="R271" t="str">
        <f>IF(Klantgegevens_B!A270&lt;&gt;"", "B", "A")</f>
        <v>B</v>
      </c>
    </row>
    <row r="272" spans="1:18" x14ac:dyDescent="0.3">
      <c r="A272" t="str">
        <f>IF(Klantgegevens_B!A271&lt;&gt;"", Klantgegevens_B!A271, MID(Klantgegevens_A!A271, FIND(",", Klantgegevens_A!A271)+2, LEN(Klantgegevens_A!A271)))</f>
        <v>Isabelle</v>
      </c>
      <c r="B272" t="str">
        <f>IF(Klantgegevens_B!B271&lt;&gt;"", Klantgegevens_B!B271, LEFT(Klantgegevens_A!A271, FIND(",", Klantgegevens_A!A271)-1))</f>
        <v>Nys</v>
      </c>
      <c r="C272" t="str">
        <f t="shared" ca="1" si="4"/>
        <v/>
      </c>
      <c r="D272" t="str">
        <f>IF(Klantgegevens_B!F271&lt;&gt;"", Klantgegevens_B!F271, Klantgegevens_A!D271 &amp; " " &amp; Klantgegevens_A!E271 &amp; ", " &amp; Klantgegevens_A!F271)</f>
        <v>Isabelle,Mario</v>
      </c>
      <c r="E272">
        <f>IF(Klantgegevens_B!G271&lt;&gt;"", Klantgegevens_B!G271, TEXTJOIN(",", TRUE, REPT("Volwassene,", Klantgegevens_A!G271), REPT("Kind,", Klantgegevens_A!H271)))</f>
        <v>106.91</v>
      </c>
      <c r="F272">
        <f>IF(Klantgegevens_B!G271&lt;&gt;"", LEN(Klantgegevens_B!G271)-LEN(SUBSTITUTE(Klantgegevens_B!G271, ",", ""))+1, Klantgegevens_A!G271)</f>
        <v>1</v>
      </c>
      <c r="G272">
        <f>IF(Klantgegevens_B!G271&lt;&gt;"", 0, Klantgegevens_A!H271)</f>
        <v>0</v>
      </c>
      <c r="H272">
        <f>IF(Klantgegevens_B!H271&lt;&gt;"", Klantgegevens_B!H271, Klantgegevens_A!I271)</f>
        <v>9</v>
      </c>
      <c r="I272" t="str">
        <f>IF(Klantgegevens_B!I271&lt;&gt;"", Klantgegevens_B!I271, SWITCH(Klantgegevens_A!J271, "Zelden", 1, "Af en toe", 4, "Regelmatig", 8, "Vaak", 12))</f>
        <v>Cash</v>
      </c>
      <c r="J272" t="str">
        <f>IF(Klantgegevens_B!J271&lt;&gt;"", Klantgegevens_B!J271, Klantgegevens_A!K271)</f>
        <v>nee</v>
      </c>
      <c r="K272">
        <f>IF(Klantgegevens_B!K271&lt;&gt;"", AVERAGE(--(Klantgegevens_B!K271="ja"), --(Klantgegevens_B!L271="ja"), --(Klantgegevens_B!M271="ja"), --(Klantgegevens_B!N271="ja"), --(Klantgegevens_B!O271="ja"))*10, Klantgegevens_A!L271)</f>
        <v>6</v>
      </c>
      <c r="L272" t="str">
        <f>IF(Klantgegevens_B!K271&lt;&gt;"", Klantgegevens_B!K271, IF(Klantgegevens_A!L271&gt;=7, "ja", "nee"))</f>
        <v>nee</v>
      </c>
      <c r="M272" t="str">
        <f>IF(Klantgegevens_B!L271&lt;&gt;"", Klantgegevens_B!L271, IF(Klantgegevens_A!L271&gt;=7, "ja", "nee"))</f>
        <v>ja</v>
      </c>
      <c r="N272" t="str">
        <f>IF(Klantgegevens_B!M271&lt;&gt;"", Klantgegevens_B!M271, IF(Klantgegevens_A!L271&gt;=7, "ja", "nee"))</f>
        <v>ja</v>
      </c>
      <c r="O272" t="str">
        <f>IF(Klantgegevens_B!N271&lt;&gt;"", Klantgegevens_B!N271, IF(Klantgegevens_A!L271&gt;=7, "ja", "nee"))</f>
        <v>ja</v>
      </c>
      <c r="P272" t="str">
        <f>IF(Klantgegevens_B!O271&lt;&gt;"", Klantgegevens_B!O271, IF(Klantgegevens_A!L271&gt;=7, "ja", "nee"))</f>
        <v>Geen dieet</v>
      </c>
      <c r="Q272" t="str">
        <f>IF(Klantgegevens_B!P271&lt;&gt;"", Klantgegevens_B!P271, Klantgegevens_A!M271)</f>
        <v>Geen dieet</v>
      </c>
      <c r="R272" t="str">
        <f>IF(Klantgegevens_B!A271&lt;&gt;"", "B", "A")</f>
        <v>B</v>
      </c>
    </row>
    <row r="273" spans="1:18" x14ac:dyDescent="0.3">
      <c r="A273" t="str">
        <f>IF(Klantgegevens_B!A272&lt;&gt;"", Klantgegevens_B!A272, MID(Klantgegevens_A!A272, FIND(",", Klantgegevens_A!A272)+2, LEN(Klantgegevens_A!A272)))</f>
        <v>Lore</v>
      </c>
      <c r="B273" t="str">
        <f>IF(Klantgegevens_B!B272&lt;&gt;"", Klantgegevens_B!B272, LEFT(Klantgegevens_A!A272, FIND(",", Klantgegevens_A!A272)-1))</f>
        <v>Verschueren</v>
      </c>
      <c r="C273" t="str">
        <f t="shared" ca="1" si="4"/>
        <v/>
      </c>
      <c r="D273" t="str">
        <f>IF(Klantgegevens_B!F272&lt;&gt;"", Klantgegevens_B!F272, Klantgegevens_A!D272 &amp; " " &amp; Klantgegevens_A!E272 &amp; ", " &amp; Klantgegevens_A!F272)</f>
        <v>Lore,Iman,Anthony,Fons</v>
      </c>
      <c r="E273">
        <f>IF(Klantgegevens_B!G272&lt;&gt;"", Klantgegevens_B!G272, TEXTJOIN(",", TRUE, REPT("Volwassene,", Klantgegevens_A!G272), REPT("Kind,", Klantgegevens_A!H272)))</f>
        <v>94.64</v>
      </c>
      <c r="F273">
        <f>IF(Klantgegevens_B!G272&lt;&gt;"", LEN(Klantgegevens_B!G272)-LEN(SUBSTITUTE(Klantgegevens_B!G272, ",", ""))+1, Klantgegevens_A!G272)</f>
        <v>1</v>
      </c>
      <c r="G273">
        <f>IF(Klantgegevens_B!G272&lt;&gt;"", 0, Klantgegevens_A!H272)</f>
        <v>0</v>
      </c>
      <c r="H273">
        <f>IF(Klantgegevens_B!H272&lt;&gt;"", Klantgegevens_B!H272, Klantgegevens_A!I272)</f>
        <v>14</v>
      </c>
      <c r="I273" t="str">
        <f>IF(Klantgegevens_B!I272&lt;&gt;"", Klantgegevens_B!I272, SWITCH(Klantgegevens_A!J272, "Zelden", 1, "Af en toe", 4, "Regelmatig", 8, "Vaak", 12))</f>
        <v>Payconiq</v>
      </c>
      <c r="J273" t="str">
        <f>IF(Klantgegevens_B!J272&lt;&gt;"", Klantgegevens_B!J272, Klantgegevens_A!K272)</f>
        <v>nee</v>
      </c>
      <c r="K273">
        <f>IF(Klantgegevens_B!K272&lt;&gt;"", AVERAGE(--(Klantgegevens_B!K272="ja"), --(Klantgegevens_B!L272="ja"), --(Klantgegevens_B!M272="ja"), --(Klantgegevens_B!N272="ja"), --(Klantgegevens_B!O272="ja"))*10, Klantgegevens_A!L272)</f>
        <v>8</v>
      </c>
      <c r="L273" t="str">
        <f>IF(Klantgegevens_B!K272&lt;&gt;"", Klantgegevens_B!K272, IF(Klantgegevens_A!L272&gt;=7, "ja", "nee"))</f>
        <v>ja</v>
      </c>
      <c r="M273" t="str">
        <f>IF(Klantgegevens_B!L272&lt;&gt;"", Klantgegevens_B!L272, IF(Klantgegevens_A!L272&gt;=7, "ja", "nee"))</f>
        <v>ja</v>
      </c>
      <c r="N273" t="str">
        <f>IF(Klantgegevens_B!M272&lt;&gt;"", Klantgegevens_B!M272, IF(Klantgegevens_A!L272&gt;=7, "ja", "nee"))</f>
        <v>ja</v>
      </c>
      <c r="O273" t="str">
        <f>IF(Klantgegevens_B!N272&lt;&gt;"", Klantgegevens_B!N272, IF(Klantgegevens_A!L272&gt;=7, "ja", "nee"))</f>
        <v>ja</v>
      </c>
      <c r="P273" t="str">
        <f>IF(Klantgegevens_B!O272&lt;&gt;"", Klantgegevens_B!O272, IF(Klantgegevens_A!L272&gt;=7, "ja", "nee"))</f>
        <v>Geen dieet</v>
      </c>
      <c r="Q273" t="str">
        <f>IF(Klantgegevens_B!P272&lt;&gt;"", Klantgegevens_B!P272, Klantgegevens_A!M272)</f>
        <v>Geen dieet</v>
      </c>
      <c r="R273" t="str">
        <f>IF(Klantgegevens_B!A272&lt;&gt;"", "B", "A")</f>
        <v>B</v>
      </c>
    </row>
    <row r="274" spans="1:18" x14ac:dyDescent="0.3">
      <c r="A274" t="str">
        <f>IF(Klantgegevens_B!A273&lt;&gt;"", Klantgegevens_B!A273, MID(Klantgegevens_A!A273, FIND(",", Klantgegevens_A!A273)+2, LEN(Klantgegevens_A!A273)))</f>
        <v>Léo</v>
      </c>
      <c r="B274" t="str">
        <f>IF(Klantgegevens_B!B273&lt;&gt;"", Klantgegevens_B!B273, LEFT(Klantgegevens_A!A273, FIND(",", Klantgegevens_A!A273)-1))</f>
        <v>Roland</v>
      </c>
      <c r="C274" t="str">
        <f t="shared" ca="1" si="4"/>
        <v/>
      </c>
      <c r="D274" t="str">
        <f>IF(Klantgegevens_B!F273&lt;&gt;"", Klantgegevens_B!F273, Klantgegevens_A!D273 &amp; " " &amp; Klantgegevens_A!E273 &amp; ", " &amp; Klantgegevens_A!F273)</f>
        <v>Léo</v>
      </c>
      <c r="E274">
        <f>IF(Klantgegevens_B!G273&lt;&gt;"", Klantgegevens_B!G273, TEXTJOIN(",", TRUE, REPT("Volwassene,", Klantgegevens_A!G273), REPT("Kind,", Klantgegevens_A!H273)))</f>
        <v>18.66</v>
      </c>
      <c r="F274">
        <f>IF(Klantgegevens_B!G273&lt;&gt;"", LEN(Klantgegevens_B!G273)-LEN(SUBSTITUTE(Klantgegevens_B!G273, ",", ""))+1, Klantgegevens_A!G273)</f>
        <v>1</v>
      </c>
      <c r="G274">
        <f>IF(Klantgegevens_B!G273&lt;&gt;"", 0, Klantgegevens_A!H273)</f>
        <v>0</v>
      </c>
      <c r="H274">
        <f>IF(Klantgegevens_B!H273&lt;&gt;"", Klantgegevens_B!H273, Klantgegevens_A!I273)</f>
        <v>19</v>
      </c>
      <c r="I274" t="str">
        <f>IF(Klantgegevens_B!I273&lt;&gt;"", Klantgegevens_B!I273, SWITCH(Klantgegevens_A!J273, "Zelden", 1, "Af en toe", 4, "Regelmatig", 8, "Vaak", 12))</f>
        <v>Cash</v>
      </c>
      <c r="J274" t="str">
        <f>IF(Klantgegevens_B!J273&lt;&gt;"", Klantgegevens_B!J273, Klantgegevens_A!K273)</f>
        <v>nee</v>
      </c>
      <c r="K274">
        <f>IF(Klantgegevens_B!K273&lt;&gt;"", AVERAGE(--(Klantgegevens_B!K273="ja"), --(Klantgegevens_B!L273="ja"), --(Klantgegevens_B!M273="ja"), --(Klantgegevens_B!N273="ja"), --(Klantgegevens_B!O273="ja"))*10, Klantgegevens_A!L273)</f>
        <v>6</v>
      </c>
      <c r="L274" t="str">
        <f>IF(Klantgegevens_B!K273&lt;&gt;"", Klantgegevens_B!K273, IF(Klantgegevens_A!L273&gt;=7, "ja", "nee"))</f>
        <v>ja</v>
      </c>
      <c r="M274" t="str">
        <f>IF(Klantgegevens_B!L273&lt;&gt;"", Klantgegevens_B!L273, IF(Klantgegevens_A!L273&gt;=7, "ja", "nee"))</f>
        <v>nee</v>
      </c>
      <c r="N274" t="str">
        <f>IF(Klantgegevens_B!M273&lt;&gt;"", Klantgegevens_B!M273, IF(Klantgegevens_A!L273&gt;=7, "ja", "nee"))</f>
        <v>ja</v>
      </c>
      <c r="O274" t="str">
        <f>IF(Klantgegevens_B!N273&lt;&gt;"", Klantgegevens_B!N273, IF(Klantgegevens_A!L273&gt;=7, "ja", "nee"))</f>
        <v>ja</v>
      </c>
      <c r="P274" t="str">
        <f>IF(Klantgegevens_B!O273&lt;&gt;"", Klantgegevens_B!O273, IF(Klantgegevens_A!L273&gt;=7, "ja", "nee"))</f>
        <v>Geen dieet</v>
      </c>
      <c r="Q274" t="str">
        <f>IF(Klantgegevens_B!P273&lt;&gt;"", Klantgegevens_B!P273, Klantgegevens_A!M273)</f>
        <v>Geen dieet</v>
      </c>
      <c r="R274" t="str">
        <f>IF(Klantgegevens_B!A273&lt;&gt;"", "B", "A")</f>
        <v>B</v>
      </c>
    </row>
    <row r="275" spans="1:18" x14ac:dyDescent="0.3">
      <c r="A275" t="str">
        <f>IF(Klantgegevens_B!A274&lt;&gt;"", Klantgegevens_B!A274, MID(Klantgegevens_A!A274, FIND(",", Klantgegevens_A!A274)+2, LEN(Klantgegevens_A!A274)))</f>
        <v>Henri</v>
      </c>
      <c r="B275" t="str">
        <f>IF(Klantgegevens_B!B274&lt;&gt;"", Klantgegevens_B!B274, LEFT(Klantgegevens_A!A274, FIND(",", Klantgegevens_A!A274)-1))</f>
        <v>Everaert</v>
      </c>
      <c r="C275" t="str">
        <f t="shared" ca="1" si="4"/>
        <v/>
      </c>
      <c r="D275" t="str">
        <f>IF(Klantgegevens_B!F274&lt;&gt;"", Klantgegevens_B!F274, Klantgegevens_A!D274 &amp; " " &amp; Klantgegevens_A!E274 &amp; ", " &amp; Klantgegevens_A!F274)</f>
        <v>Henri,Charlotte,Rosan,Willy</v>
      </c>
      <c r="E275">
        <f>IF(Klantgegevens_B!G274&lt;&gt;"", Klantgegevens_B!G274, TEXTJOIN(",", TRUE, REPT("Volwassene,", Klantgegevens_A!G274), REPT("Kind,", Klantgegevens_A!H274)))</f>
        <v>124.24</v>
      </c>
      <c r="F275">
        <f>IF(Klantgegevens_B!G274&lt;&gt;"", LEN(Klantgegevens_B!G274)-LEN(SUBSTITUTE(Klantgegevens_B!G274, ",", ""))+1, Klantgegevens_A!G274)</f>
        <v>1</v>
      </c>
      <c r="G275">
        <f>IF(Klantgegevens_B!G274&lt;&gt;"", 0, Klantgegevens_A!H274)</f>
        <v>0</v>
      </c>
      <c r="H275">
        <f>IF(Klantgegevens_B!H274&lt;&gt;"", Klantgegevens_B!H274, Klantgegevens_A!I274)</f>
        <v>8</v>
      </c>
      <c r="I275" t="str">
        <f>IF(Klantgegevens_B!I274&lt;&gt;"", Klantgegevens_B!I274, SWITCH(Klantgegevens_A!J274, "Zelden", 1, "Af en toe", 4, "Regelmatig", 8, "Vaak", 12))</f>
        <v>Cash</v>
      </c>
      <c r="J275" t="str">
        <f>IF(Klantgegevens_B!J274&lt;&gt;"", Klantgegevens_B!J274, Klantgegevens_A!K274)</f>
        <v>ja</v>
      </c>
      <c r="K275">
        <f>IF(Klantgegevens_B!K274&lt;&gt;"", AVERAGE(--(Klantgegevens_B!K274="ja"), --(Klantgegevens_B!L274="ja"), --(Klantgegevens_B!M274="ja"), --(Klantgegevens_B!N274="ja"), --(Klantgegevens_B!O274="ja"))*10, Klantgegevens_A!L274)</f>
        <v>4</v>
      </c>
      <c r="L275" t="str">
        <f>IF(Klantgegevens_B!K274&lt;&gt;"", Klantgegevens_B!K274, IF(Klantgegevens_A!L274&gt;=7, "ja", "nee"))</f>
        <v>nee</v>
      </c>
      <c r="M275" t="str">
        <f>IF(Klantgegevens_B!L274&lt;&gt;"", Klantgegevens_B!L274, IF(Klantgegevens_A!L274&gt;=7, "ja", "nee"))</f>
        <v>nee</v>
      </c>
      <c r="N275" t="str">
        <f>IF(Klantgegevens_B!M274&lt;&gt;"", Klantgegevens_B!M274, IF(Klantgegevens_A!L274&gt;=7, "ja", "nee"))</f>
        <v>ja</v>
      </c>
      <c r="O275" t="str">
        <f>IF(Klantgegevens_B!N274&lt;&gt;"", Klantgegevens_B!N274, IF(Klantgegevens_A!L274&gt;=7, "ja", "nee"))</f>
        <v>ja</v>
      </c>
      <c r="P275" t="str">
        <f>IF(Klantgegevens_B!O274&lt;&gt;"", Klantgegevens_B!O274, IF(Klantgegevens_A!L274&gt;=7, "ja", "nee"))</f>
        <v>Geen dieet</v>
      </c>
      <c r="Q275" t="str">
        <f>IF(Klantgegevens_B!P274&lt;&gt;"", Klantgegevens_B!P274, Klantgegevens_A!M274)</f>
        <v>Geen dieet</v>
      </c>
      <c r="R275" t="str">
        <f>IF(Klantgegevens_B!A274&lt;&gt;"", "B", "A")</f>
        <v>B</v>
      </c>
    </row>
    <row r="276" spans="1:18" x14ac:dyDescent="0.3">
      <c r="A276" t="str">
        <f>IF(Klantgegevens_B!A275&lt;&gt;"", Klantgegevens_B!A275, MID(Klantgegevens_A!A275, FIND(",", Klantgegevens_A!A275)+2, LEN(Klantgegevens_A!A275)))</f>
        <v>Edithe</v>
      </c>
      <c r="B276" t="str">
        <f>IF(Klantgegevens_B!B275&lt;&gt;"", Klantgegevens_B!B275, LEFT(Klantgegevens_A!A275, FIND(",", Klantgegevens_A!A275)-1))</f>
        <v>Bogaert</v>
      </c>
      <c r="C276" t="str">
        <f t="shared" ca="1" si="4"/>
        <v/>
      </c>
      <c r="D276" t="str">
        <f>IF(Klantgegevens_B!F275&lt;&gt;"", Klantgegevens_B!F275, Klantgegevens_A!D275 &amp; " " &amp; Klantgegevens_A!E275 &amp; ", " &amp; Klantgegevens_A!F275)</f>
        <v>Edithe,Anne,René</v>
      </c>
      <c r="E276">
        <f>IF(Klantgegevens_B!G275&lt;&gt;"", Klantgegevens_B!G275, TEXTJOIN(",", TRUE, REPT("Volwassene,", Klantgegevens_A!G275), REPT("Kind,", Klantgegevens_A!H275)))</f>
        <v>141.83000000000001</v>
      </c>
      <c r="F276">
        <f>IF(Klantgegevens_B!G275&lt;&gt;"", LEN(Klantgegevens_B!G275)-LEN(SUBSTITUTE(Klantgegevens_B!G275, ",", ""))+1, Klantgegevens_A!G275)</f>
        <v>1</v>
      </c>
      <c r="G276">
        <f>IF(Klantgegevens_B!G275&lt;&gt;"", 0, Klantgegevens_A!H275)</f>
        <v>0</v>
      </c>
      <c r="H276">
        <f>IF(Klantgegevens_B!H275&lt;&gt;"", Klantgegevens_B!H275, Klantgegevens_A!I275)</f>
        <v>14</v>
      </c>
      <c r="I276" t="str">
        <f>IF(Klantgegevens_B!I275&lt;&gt;"", Klantgegevens_B!I275, SWITCH(Klantgegevens_A!J275, "Zelden", 1, "Af en toe", 4, "Regelmatig", 8, "Vaak", 12))</f>
        <v>Payconiq</v>
      </c>
      <c r="J276" t="str">
        <f>IF(Klantgegevens_B!J275&lt;&gt;"", Klantgegevens_B!J275, Klantgegevens_A!K275)</f>
        <v>ja</v>
      </c>
      <c r="K276">
        <f>IF(Klantgegevens_B!K275&lt;&gt;"", AVERAGE(--(Klantgegevens_B!K275="ja"), --(Klantgegevens_B!L275="ja"), --(Klantgegevens_B!M275="ja"), --(Klantgegevens_B!N275="ja"), --(Klantgegevens_B!O275="ja"))*10, Klantgegevens_A!L275)</f>
        <v>6</v>
      </c>
      <c r="L276" t="str">
        <f>IF(Klantgegevens_B!K275&lt;&gt;"", Klantgegevens_B!K275, IF(Klantgegevens_A!L275&gt;=7, "ja", "nee"))</f>
        <v>ja</v>
      </c>
      <c r="M276" t="str">
        <f>IF(Klantgegevens_B!L275&lt;&gt;"", Klantgegevens_B!L275, IF(Klantgegevens_A!L275&gt;=7, "ja", "nee"))</f>
        <v>nee</v>
      </c>
      <c r="N276" t="str">
        <f>IF(Klantgegevens_B!M275&lt;&gt;"", Klantgegevens_B!M275, IF(Klantgegevens_A!L275&gt;=7, "ja", "nee"))</f>
        <v>ja</v>
      </c>
      <c r="O276" t="str">
        <f>IF(Klantgegevens_B!N275&lt;&gt;"", Klantgegevens_B!N275, IF(Klantgegevens_A!L275&gt;=7, "ja", "nee"))</f>
        <v>ja</v>
      </c>
      <c r="P276" t="str">
        <f>IF(Klantgegevens_B!O275&lt;&gt;"", Klantgegevens_B!O275, IF(Klantgegevens_A!L275&gt;=7, "ja", "nee"))</f>
        <v>Geen dieet</v>
      </c>
      <c r="Q276" t="str">
        <f>IF(Klantgegevens_B!P275&lt;&gt;"", Klantgegevens_B!P275, Klantgegevens_A!M275)</f>
        <v>Vegetarisch</v>
      </c>
      <c r="R276" t="str">
        <f>IF(Klantgegevens_B!A275&lt;&gt;"", "B", "A")</f>
        <v>B</v>
      </c>
    </row>
    <row r="277" spans="1:18" x14ac:dyDescent="0.3">
      <c r="A277" t="str">
        <f>IF(Klantgegevens_B!A276&lt;&gt;"", Klantgegevens_B!A276, MID(Klantgegevens_A!A276, FIND(",", Klantgegevens_A!A276)+2, LEN(Klantgegevens_A!A276)))</f>
        <v>Loïc</v>
      </c>
      <c r="B277" t="str">
        <f>IF(Klantgegevens_B!B276&lt;&gt;"", Klantgegevens_B!B276, LEFT(Klantgegevens_A!A276, FIND(",", Klantgegevens_A!A276)-1))</f>
        <v>Van hove</v>
      </c>
      <c r="C277" t="str">
        <f t="shared" ca="1" si="4"/>
        <v/>
      </c>
      <c r="D277" t="str">
        <f>IF(Klantgegevens_B!F276&lt;&gt;"", Klantgegevens_B!F276, Klantgegevens_A!D276 &amp; " " &amp; Klantgegevens_A!E276 &amp; ", " &amp; Klantgegevens_A!F276)</f>
        <v>Loïc,Marie,Rubina</v>
      </c>
      <c r="E277">
        <f>IF(Klantgegevens_B!G276&lt;&gt;"", Klantgegevens_B!G276, TEXTJOIN(",", TRUE, REPT("Volwassene,", Klantgegevens_A!G276), REPT("Kind,", Klantgegevens_A!H276)))</f>
        <v>52.46</v>
      </c>
      <c r="F277">
        <f>IF(Klantgegevens_B!G276&lt;&gt;"", LEN(Klantgegevens_B!G276)-LEN(SUBSTITUTE(Klantgegevens_B!G276, ",", ""))+1, Klantgegevens_A!G276)</f>
        <v>1</v>
      </c>
      <c r="G277">
        <f>IF(Klantgegevens_B!G276&lt;&gt;"", 0, Klantgegevens_A!H276)</f>
        <v>0</v>
      </c>
      <c r="H277">
        <f>IF(Klantgegevens_B!H276&lt;&gt;"", Klantgegevens_B!H276, Klantgegevens_A!I276)</f>
        <v>3</v>
      </c>
      <c r="I277" t="str">
        <f>IF(Klantgegevens_B!I276&lt;&gt;"", Klantgegevens_B!I276, SWITCH(Klantgegevens_A!J276, "Zelden", 1, "Af en toe", 4, "Regelmatig", 8, "Vaak", 12))</f>
        <v>Cash</v>
      </c>
      <c r="J277" t="str">
        <f>IF(Klantgegevens_B!J276&lt;&gt;"", Klantgegevens_B!J276, Klantgegevens_A!K276)</f>
        <v>nee</v>
      </c>
      <c r="K277">
        <f>IF(Klantgegevens_B!K276&lt;&gt;"", AVERAGE(--(Klantgegevens_B!K276="ja"), --(Klantgegevens_B!L276="ja"), --(Klantgegevens_B!M276="ja"), --(Klantgegevens_B!N276="ja"), --(Klantgegevens_B!O276="ja"))*10, Klantgegevens_A!L276)</f>
        <v>4</v>
      </c>
      <c r="L277" t="str">
        <f>IF(Klantgegevens_B!K276&lt;&gt;"", Klantgegevens_B!K276, IF(Klantgegevens_A!L276&gt;=7, "ja", "nee"))</f>
        <v>nee</v>
      </c>
      <c r="M277" t="str">
        <f>IF(Klantgegevens_B!L276&lt;&gt;"", Klantgegevens_B!L276, IF(Klantgegevens_A!L276&gt;=7, "ja", "nee"))</f>
        <v>nee</v>
      </c>
      <c r="N277" t="str">
        <f>IF(Klantgegevens_B!M276&lt;&gt;"", Klantgegevens_B!M276, IF(Klantgegevens_A!L276&gt;=7, "ja", "nee"))</f>
        <v>ja</v>
      </c>
      <c r="O277" t="str">
        <f>IF(Klantgegevens_B!N276&lt;&gt;"", Klantgegevens_B!N276, IF(Klantgegevens_A!L276&gt;=7, "ja", "nee"))</f>
        <v>ja</v>
      </c>
      <c r="P277" t="str">
        <f>IF(Klantgegevens_B!O276&lt;&gt;"", Klantgegevens_B!O276, IF(Klantgegevens_A!L276&gt;=7, "ja", "nee"))</f>
        <v>Geen dieet</v>
      </c>
      <c r="Q277" t="str">
        <f>IF(Klantgegevens_B!P276&lt;&gt;"", Klantgegevens_B!P276, Klantgegevens_A!M276)</f>
        <v>Geen dieet</v>
      </c>
      <c r="R277" t="str">
        <f>IF(Klantgegevens_B!A276&lt;&gt;"", "B", "A")</f>
        <v>B</v>
      </c>
    </row>
    <row r="278" spans="1:18" x14ac:dyDescent="0.3">
      <c r="A278" t="str">
        <f>IF(Klantgegevens_B!A277&lt;&gt;"", Klantgegevens_B!A277, MID(Klantgegevens_A!A277, FIND(",", Klantgegevens_A!A277)+2, LEN(Klantgegevens_A!A277)))</f>
        <v>Sascha</v>
      </c>
      <c r="B278" t="str">
        <f>IF(Klantgegevens_B!B277&lt;&gt;"", Klantgegevens_B!B277, LEFT(Klantgegevens_A!A277, FIND(",", Klantgegevens_A!A277)-1))</f>
        <v>Gilson</v>
      </c>
      <c r="C278" t="str">
        <f t="shared" ca="1" si="4"/>
        <v/>
      </c>
      <c r="D278" t="str">
        <f>IF(Klantgegevens_B!F277&lt;&gt;"", Klantgegevens_B!F277, Klantgegevens_A!D277 &amp; " " &amp; Klantgegevens_A!E277 &amp; ", " &amp; Klantgegevens_A!F277)</f>
        <v>Sascha,Melissa</v>
      </c>
      <c r="E278">
        <f>IF(Klantgegevens_B!G277&lt;&gt;"", Klantgegevens_B!G277, TEXTJOIN(",", TRUE, REPT("Volwassene,", Klantgegevens_A!G277), REPT("Kind,", Klantgegevens_A!H277)))</f>
        <v>50.52</v>
      </c>
      <c r="F278">
        <f>IF(Klantgegevens_B!G277&lt;&gt;"", LEN(Klantgegevens_B!G277)-LEN(SUBSTITUTE(Klantgegevens_B!G277, ",", ""))+1, Klantgegevens_A!G277)</f>
        <v>1</v>
      </c>
      <c r="G278">
        <f>IF(Klantgegevens_B!G277&lt;&gt;"", 0, Klantgegevens_A!H277)</f>
        <v>0</v>
      </c>
      <c r="H278">
        <f>IF(Klantgegevens_B!H277&lt;&gt;"", Klantgegevens_B!H277, Klantgegevens_A!I277)</f>
        <v>6</v>
      </c>
      <c r="I278" t="str">
        <f>IF(Klantgegevens_B!I277&lt;&gt;"", Klantgegevens_B!I277, SWITCH(Klantgegevens_A!J277, "Zelden", 1, "Af en toe", 4, "Regelmatig", 8, "Vaak", 12))</f>
        <v>Cash</v>
      </c>
      <c r="J278" t="str">
        <f>IF(Klantgegevens_B!J277&lt;&gt;"", Klantgegevens_B!J277, Klantgegevens_A!K277)</f>
        <v>ja</v>
      </c>
      <c r="K278">
        <f>IF(Klantgegevens_B!K277&lt;&gt;"", AVERAGE(--(Klantgegevens_B!K277="ja"), --(Klantgegevens_B!L277="ja"), --(Klantgegevens_B!M277="ja"), --(Klantgegevens_B!N277="ja"), --(Klantgegevens_B!O277="ja"))*10, Klantgegevens_A!L277)</f>
        <v>6</v>
      </c>
      <c r="L278" t="str">
        <f>IF(Klantgegevens_B!K277&lt;&gt;"", Klantgegevens_B!K277, IF(Klantgegevens_A!L277&gt;=7, "ja", "nee"))</f>
        <v>nee</v>
      </c>
      <c r="M278" t="str">
        <f>IF(Klantgegevens_B!L277&lt;&gt;"", Klantgegevens_B!L277, IF(Klantgegevens_A!L277&gt;=7, "ja", "nee"))</f>
        <v>ja</v>
      </c>
      <c r="N278" t="str">
        <f>IF(Klantgegevens_B!M277&lt;&gt;"", Klantgegevens_B!M277, IF(Klantgegevens_A!L277&gt;=7, "ja", "nee"))</f>
        <v>ja</v>
      </c>
      <c r="O278" t="str">
        <f>IF(Klantgegevens_B!N277&lt;&gt;"", Klantgegevens_B!N277, IF(Klantgegevens_A!L277&gt;=7, "ja", "nee"))</f>
        <v>ja</v>
      </c>
      <c r="P278" t="str">
        <f>IF(Klantgegevens_B!O277&lt;&gt;"", Klantgegevens_B!O277, IF(Klantgegevens_A!L277&gt;=7, "ja", "nee"))</f>
        <v>Vegetarisch</v>
      </c>
      <c r="Q278" t="str">
        <f>IF(Klantgegevens_B!P277&lt;&gt;"", Klantgegevens_B!P277, Klantgegevens_A!M277)</f>
        <v>Geen dieet</v>
      </c>
      <c r="R278" t="str">
        <f>IF(Klantgegevens_B!A277&lt;&gt;"", "B", "A")</f>
        <v>B</v>
      </c>
    </row>
    <row r="279" spans="1:18" x14ac:dyDescent="0.3">
      <c r="A279" t="str">
        <f>IF(Klantgegevens_B!A278&lt;&gt;"", Klantgegevens_B!A278, MID(Klantgegevens_A!A278, FIND(",", Klantgegevens_A!A278)+2, LEN(Klantgegevens_A!A278)))</f>
        <v>Vincent</v>
      </c>
      <c r="B279" t="str">
        <f>IF(Klantgegevens_B!B278&lt;&gt;"", Klantgegevens_B!B278, LEFT(Klantgegevens_A!A278, FIND(",", Klantgegevens_A!A278)-1))</f>
        <v>Wouters</v>
      </c>
      <c r="C279" t="str">
        <f t="shared" ca="1" si="4"/>
        <v/>
      </c>
      <c r="D279" t="str">
        <f>IF(Klantgegevens_B!F278&lt;&gt;"", Klantgegevens_B!F278, Klantgegevens_A!D278 &amp; " " &amp; Klantgegevens_A!E278 &amp; ", " &amp; Klantgegevens_A!F278)</f>
        <v>Vincent</v>
      </c>
      <c r="E279">
        <f>IF(Klantgegevens_B!G278&lt;&gt;"", Klantgegevens_B!G278, TEXTJOIN(",", TRUE, REPT("Volwassene,", Klantgegevens_A!G278), REPT("Kind,", Klantgegevens_A!H278)))</f>
        <v>87.83</v>
      </c>
      <c r="F279">
        <f>IF(Klantgegevens_B!G278&lt;&gt;"", LEN(Klantgegevens_B!G278)-LEN(SUBSTITUTE(Klantgegevens_B!G278, ",", ""))+1, Klantgegevens_A!G278)</f>
        <v>1</v>
      </c>
      <c r="G279">
        <f>IF(Klantgegevens_B!G278&lt;&gt;"", 0, Klantgegevens_A!H278)</f>
        <v>0</v>
      </c>
      <c r="H279">
        <f>IF(Klantgegevens_B!H278&lt;&gt;"", Klantgegevens_B!H278, Klantgegevens_A!I278)</f>
        <v>4</v>
      </c>
      <c r="I279" t="str">
        <f>IF(Klantgegevens_B!I278&lt;&gt;"", Klantgegevens_B!I278, SWITCH(Klantgegevens_A!J278, "Zelden", 1, "Af en toe", 4, "Regelmatig", 8, "Vaak", 12))</f>
        <v>Payconiq</v>
      </c>
      <c r="J279" t="str">
        <f>IF(Klantgegevens_B!J278&lt;&gt;"", Klantgegevens_B!J278, Klantgegevens_A!K278)</f>
        <v>ja</v>
      </c>
      <c r="K279">
        <f>IF(Klantgegevens_B!K278&lt;&gt;"", AVERAGE(--(Klantgegevens_B!K278="ja"), --(Klantgegevens_B!L278="ja"), --(Klantgegevens_B!M278="ja"), --(Klantgegevens_B!N278="ja"), --(Klantgegevens_B!O278="ja"))*10, Klantgegevens_A!L278)</f>
        <v>4</v>
      </c>
      <c r="L279" t="str">
        <f>IF(Klantgegevens_B!K278&lt;&gt;"", Klantgegevens_B!K278, IF(Klantgegevens_A!L278&gt;=7, "ja", "nee"))</f>
        <v>nee</v>
      </c>
      <c r="M279" t="str">
        <f>IF(Klantgegevens_B!L278&lt;&gt;"", Klantgegevens_B!L278, IF(Klantgegevens_A!L278&gt;=7, "ja", "nee"))</f>
        <v>ja</v>
      </c>
      <c r="N279" t="str">
        <f>IF(Klantgegevens_B!M278&lt;&gt;"", Klantgegevens_B!M278, IF(Klantgegevens_A!L278&gt;=7, "ja", "nee"))</f>
        <v>ja</v>
      </c>
      <c r="O279" t="str">
        <f>IF(Klantgegevens_B!N278&lt;&gt;"", Klantgegevens_B!N278, IF(Klantgegevens_A!L278&gt;=7, "ja", "nee"))</f>
        <v>nee</v>
      </c>
      <c r="P279" t="str">
        <f>IF(Klantgegevens_B!O278&lt;&gt;"", Klantgegevens_B!O278, IF(Klantgegevens_A!L278&gt;=7, "ja", "nee"))</f>
        <v>Geen dieet</v>
      </c>
      <c r="Q279" t="str">
        <f>IF(Klantgegevens_B!P278&lt;&gt;"", Klantgegevens_B!P278, Klantgegevens_A!M278)</f>
        <v>Geen dieet</v>
      </c>
      <c r="R279" t="str">
        <f>IF(Klantgegevens_B!A278&lt;&gt;"", "B", "A")</f>
        <v>B</v>
      </c>
    </row>
    <row r="280" spans="1:18" x14ac:dyDescent="0.3">
      <c r="A280" t="str">
        <f>IF(Klantgegevens_B!A279&lt;&gt;"", Klantgegevens_B!A279, MID(Klantgegevens_A!A279, FIND(",", Klantgegevens_A!A279)+2, LEN(Klantgegevens_A!A279)))</f>
        <v>Jean</v>
      </c>
      <c r="B280" t="str">
        <f>IF(Klantgegevens_B!B279&lt;&gt;"", Klantgegevens_B!B279, LEFT(Klantgegevens_A!A279, FIND(",", Klantgegevens_A!A279)-1))</f>
        <v>Lenaerts</v>
      </c>
      <c r="C280" t="str">
        <f t="shared" ca="1" si="4"/>
        <v/>
      </c>
      <c r="D280" t="str">
        <f>IF(Klantgegevens_B!F279&lt;&gt;"", Klantgegevens_B!F279, Klantgegevens_A!D279 &amp; " " &amp; Klantgegevens_A!E279 &amp; ", " &amp; Klantgegevens_A!F279)</f>
        <v>Jean,Annie,Herman</v>
      </c>
      <c r="E280">
        <f>IF(Klantgegevens_B!G279&lt;&gt;"", Klantgegevens_B!G279, TEXTJOIN(",", TRUE, REPT("Volwassene,", Klantgegevens_A!G279), REPT("Kind,", Klantgegevens_A!H279)))</f>
        <v>82.58</v>
      </c>
      <c r="F280">
        <f>IF(Klantgegevens_B!G279&lt;&gt;"", LEN(Klantgegevens_B!G279)-LEN(SUBSTITUTE(Klantgegevens_B!G279, ",", ""))+1, Klantgegevens_A!G279)</f>
        <v>1</v>
      </c>
      <c r="G280">
        <f>IF(Klantgegevens_B!G279&lt;&gt;"", 0, Klantgegevens_A!H279)</f>
        <v>0</v>
      </c>
      <c r="H280">
        <f>IF(Klantgegevens_B!H279&lt;&gt;"", Klantgegevens_B!H279, Klantgegevens_A!I279)</f>
        <v>15</v>
      </c>
      <c r="I280" t="str">
        <f>IF(Klantgegevens_B!I279&lt;&gt;"", Klantgegevens_B!I279, SWITCH(Klantgegevens_A!J279, "Zelden", 1, "Af en toe", 4, "Regelmatig", 8, "Vaak", 12))</f>
        <v>Creditcard</v>
      </c>
      <c r="J280" t="str">
        <f>IF(Klantgegevens_B!J279&lt;&gt;"", Klantgegevens_B!J279, Klantgegevens_A!K279)</f>
        <v>ja</v>
      </c>
      <c r="K280">
        <f>IF(Klantgegevens_B!K279&lt;&gt;"", AVERAGE(--(Klantgegevens_B!K279="ja"), --(Klantgegevens_B!L279="ja"), --(Klantgegevens_B!M279="ja"), --(Klantgegevens_B!N279="ja"), --(Klantgegevens_B!O279="ja"))*10, Klantgegevens_A!L279)</f>
        <v>4</v>
      </c>
      <c r="L280" t="str">
        <f>IF(Klantgegevens_B!K279&lt;&gt;"", Klantgegevens_B!K279, IF(Klantgegevens_A!L279&gt;=7, "ja", "nee"))</f>
        <v>ja</v>
      </c>
      <c r="M280" t="str">
        <f>IF(Klantgegevens_B!L279&lt;&gt;"", Klantgegevens_B!L279, IF(Klantgegevens_A!L279&gt;=7, "ja", "nee"))</f>
        <v>nee</v>
      </c>
      <c r="N280" t="str">
        <f>IF(Klantgegevens_B!M279&lt;&gt;"", Klantgegevens_B!M279, IF(Klantgegevens_A!L279&gt;=7, "ja", "nee"))</f>
        <v>ja</v>
      </c>
      <c r="O280" t="str">
        <f>IF(Klantgegevens_B!N279&lt;&gt;"", Klantgegevens_B!N279, IF(Klantgegevens_A!L279&gt;=7, "ja", "nee"))</f>
        <v>nee</v>
      </c>
      <c r="P280" t="str">
        <f>IF(Klantgegevens_B!O279&lt;&gt;"", Klantgegevens_B!O279, IF(Klantgegevens_A!L279&gt;=7, "ja", "nee"))</f>
        <v>Geen dieet</v>
      </c>
      <c r="Q280" t="str">
        <f>IF(Klantgegevens_B!P279&lt;&gt;"", Klantgegevens_B!P279, Klantgegevens_A!M279)</f>
        <v>Geen dieet</v>
      </c>
      <c r="R280" t="str">
        <f>IF(Klantgegevens_B!A279&lt;&gt;"", "B", "A")</f>
        <v>B</v>
      </c>
    </row>
    <row r="281" spans="1:18" x14ac:dyDescent="0.3">
      <c r="A281" t="str">
        <f>IF(Klantgegevens_B!A280&lt;&gt;"", Klantgegevens_B!A280, MID(Klantgegevens_A!A280, FIND(",", Klantgegevens_A!A280)+2, LEN(Klantgegevens_A!A280)))</f>
        <v>Marino</v>
      </c>
      <c r="B281" t="str">
        <f>IF(Klantgegevens_B!B280&lt;&gt;"", Klantgegevens_B!B280, LEFT(Klantgegevens_A!A280, FIND(",", Klantgegevens_A!A280)-1))</f>
        <v>Blomme</v>
      </c>
      <c r="C281" t="str">
        <f t="shared" ca="1" si="4"/>
        <v/>
      </c>
      <c r="D281" t="str">
        <f>IF(Klantgegevens_B!F280&lt;&gt;"", Klantgegevens_B!F280, Klantgegevens_A!D280 &amp; " " &amp; Klantgegevens_A!E280 &amp; ", " &amp; Klantgegevens_A!F280)</f>
        <v>Marino</v>
      </c>
      <c r="E281">
        <f>IF(Klantgegevens_B!G280&lt;&gt;"", Klantgegevens_B!G280, TEXTJOIN(",", TRUE, REPT("Volwassene,", Klantgegevens_A!G280), REPT("Kind,", Klantgegevens_A!H280)))</f>
        <v>46.22</v>
      </c>
      <c r="F281">
        <f>IF(Klantgegevens_B!G280&lt;&gt;"", LEN(Klantgegevens_B!G280)-LEN(SUBSTITUTE(Klantgegevens_B!G280, ",", ""))+1, Klantgegevens_A!G280)</f>
        <v>1</v>
      </c>
      <c r="G281">
        <f>IF(Klantgegevens_B!G280&lt;&gt;"", 0, Klantgegevens_A!H280)</f>
        <v>0</v>
      </c>
      <c r="H281">
        <f>IF(Klantgegevens_B!H280&lt;&gt;"", Klantgegevens_B!H280, Klantgegevens_A!I280)</f>
        <v>16</v>
      </c>
      <c r="I281" t="str">
        <f>IF(Klantgegevens_B!I280&lt;&gt;"", Klantgegevens_B!I280, SWITCH(Klantgegevens_A!J280, "Zelden", 1, "Af en toe", 4, "Regelmatig", 8, "Vaak", 12))</f>
        <v>Bancontact</v>
      </c>
      <c r="J281" t="str">
        <f>IF(Klantgegevens_B!J280&lt;&gt;"", Klantgegevens_B!J280, Klantgegevens_A!K280)</f>
        <v>ja</v>
      </c>
      <c r="K281">
        <f>IF(Klantgegevens_B!K280&lt;&gt;"", AVERAGE(--(Klantgegevens_B!K280="ja"), --(Klantgegevens_B!L280="ja"), --(Klantgegevens_B!M280="ja"), --(Klantgegevens_B!N280="ja"), --(Klantgegevens_B!O280="ja"))*10, Klantgegevens_A!L280)</f>
        <v>6</v>
      </c>
      <c r="L281" t="str">
        <f>IF(Klantgegevens_B!K280&lt;&gt;"", Klantgegevens_B!K280, IF(Klantgegevens_A!L280&gt;=7, "ja", "nee"))</f>
        <v>ja</v>
      </c>
      <c r="M281" t="str">
        <f>IF(Klantgegevens_B!L280&lt;&gt;"", Klantgegevens_B!L280, IF(Klantgegevens_A!L280&gt;=7, "ja", "nee"))</f>
        <v>nee</v>
      </c>
      <c r="N281" t="str">
        <f>IF(Klantgegevens_B!M280&lt;&gt;"", Klantgegevens_B!M280, IF(Klantgegevens_A!L280&gt;=7, "ja", "nee"))</f>
        <v>ja</v>
      </c>
      <c r="O281" t="str">
        <f>IF(Klantgegevens_B!N280&lt;&gt;"", Klantgegevens_B!N280, IF(Klantgegevens_A!L280&gt;=7, "ja", "nee"))</f>
        <v>ja</v>
      </c>
      <c r="P281" t="str">
        <f>IF(Klantgegevens_B!O280&lt;&gt;"", Klantgegevens_B!O280, IF(Klantgegevens_A!L280&gt;=7, "ja", "nee"))</f>
        <v>Vegetarisch</v>
      </c>
      <c r="Q281" t="str">
        <f>IF(Klantgegevens_B!P280&lt;&gt;"", Klantgegevens_B!P280, Klantgegevens_A!M280)</f>
        <v>Geen dieet</v>
      </c>
      <c r="R281" t="str">
        <f>IF(Klantgegevens_B!A280&lt;&gt;"", "B", "A")</f>
        <v>B</v>
      </c>
    </row>
    <row r="282" spans="1:18" x14ac:dyDescent="0.3">
      <c r="A282" t="str">
        <f>IF(Klantgegevens_B!A281&lt;&gt;"", Klantgegevens_B!A281, MID(Klantgegevens_A!A281, FIND(",", Klantgegevens_A!A281)+2, LEN(Klantgegevens_A!A281)))</f>
        <v>Carine</v>
      </c>
      <c r="B282" t="str">
        <f>IF(Klantgegevens_B!B281&lt;&gt;"", Klantgegevens_B!B281, LEFT(Klantgegevens_A!A281, FIND(",", Klantgegevens_A!A281)-1))</f>
        <v>Leroy</v>
      </c>
      <c r="C282" t="str">
        <f t="shared" ca="1" si="4"/>
        <v/>
      </c>
      <c r="D282" t="str">
        <f>IF(Klantgegevens_B!F281&lt;&gt;"", Klantgegevens_B!F281, Klantgegevens_A!D281 &amp; " " &amp; Klantgegevens_A!E281 &amp; ", " &amp; Klantgegevens_A!F281)</f>
        <v>Carine,Sam,François,Juan</v>
      </c>
      <c r="E282">
        <f>IF(Klantgegevens_B!G281&lt;&gt;"", Klantgegevens_B!G281, TEXTJOIN(",", TRUE, REPT("Volwassene,", Klantgegevens_A!G281), REPT("Kind,", Klantgegevens_A!H281)))</f>
        <v>185.61</v>
      </c>
      <c r="F282">
        <f>IF(Klantgegevens_B!G281&lt;&gt;"", LEN(Klantgegevens_B!G281)-LEN(SUBSTITUTE(Klantgegevens_B!G281, ",", ""))+1, Klantgegevens_A!G281)</f>
        <v>1</v>
      </c>
      <c r="G282">
        <f>IF(Klantgegevens_B!G281&lt;&gt;"", 0, Klantgegevens_A!H281)</f>
        <v>0</v>
      </c>
      <c r="H282">
        <f>IF(Klantgegevens_B!H281&lt;&gt;"", Klantgegevens_B!H281, Klantgegevens_A!I281)</f>
        <v>16</v>
      </c>
      <c r="I282" t="str">
        <f>IF(Klantgegevens_B!I281&lt;&gt;"", Klantgegevens_B!I281, SWITCH(Klantgegevens_A!J281, "Zelden", 1, "Af en toe", 4, "Regelmatig", 8, "Vaak", 12))</f>
        <v>Cash</v>
      </c>
      <c r="J282" t="str">
        <f>IF(Klantgegevens_B!J281&lt;&gt;"", Klantgegevens_B!J281, Klantgegevens_A!K281)</f>
        <v>ja</v>
      </c>
      <c r="K282">
        <f>IF(Klantgegevens_B!K281&lt;&gt;"", AVERAGE(--(Klantgegevens_B!K281="ja"), --(Klantgegevens_B!L281="ja"), --(Klantgegevens_B!M281="ja"), --(Klantgegevens_B!N281="ja"), --(Klantgegevens_B!O281="ja"))*10, Klantgegevens_A!L281)</f>
        <v>6</v>
      </c>
      <c r="L282" t="str">
        <f>IF(Klantgegevens_B!K281&lt;&gt;"", Klantgegevens_B!K281, IF(Klantgegevens_A!L281&gt;=7, "ja", "nee"))</f>
        <v>ja</v>
      </c>
      <c r="M282" t="str">
        <f>IF(Klantgegevens_B!L281&lt;&gt;"", Klantgegevens_B!L281, IF(Klantgegevens_A!L281&gt;=7, "ja", "nee"))</f>
        <v>ja</v>
      </c>
      <c r="N282" t="str">
        <f>IF(Klantgegevens_B!M281&lt;&gt;"", Klantgegevens_B!M281, IF(Klantgegevens_A!L281&gt;=7, "ja", "nee"))</f>
        <v>nee</v>
      </c>
      <c r="O282" t="str">
        <f>IF(Klantgegevens_B!N281&lt;&gt;"", Klantgegevens_B!N281, IF(Klantgegevens_A!L281&gt;=7, "ja", "nee"))</f>
        <v>ja</v>
      </c>
      <c r="P282" t="str">
        <f>IF(Klantgegevens_B!O281&lt;&gt;"", Klantgegevens_B!O281, IF(Klantgegevens_A!L281&gt;=7, "ja", "nee"))</f>
        <v>Geen dieet</v>
      </c>
      <c r="Q282" t="str">
        <f>IF(Klantgegevens_B!P281&lt;&gt;"", Klantgegevens_B!P281, Klantgegevens_A!M281)</f>
        <v>Geen dieet</v>
      </c>
      <c r="R282" t="str">
        <f>IF(Klantgegevens_B!A281&lt;&gt;"", "B", "A")</f>
        <v>B</v>
      </c>
    </row>
    <row r="283" spans="1:18" x14ac:dyDescent="0.3">
      <c r="A283" t="str">
        <f>IF(Klantgegevens_B!A282&lt;&gt;"", Klantgegevens_B!A282, MID(Klantgegevens_A!A282, FIND(",", Klantgegevens_A!A282)+2, LEN(Klantgegevens_A!A282)))</f>
        <v>Francesca</v>
      </c>
      <c r="B283" t="str">
        <f>IF(Klantgegevens_B!B282&lt;&gt;"", Klantgegevens_B!B282, LEFT(Klantgegevens_A!A282, FIND(",", Klantgegevens_A!A282)-1))</f>
        <v>Martens</v>
      </c>
      <c r="C283" t="str">
        <f t="shared" ca="1" si="4"/>
        <v/>
      </c>
      <c r="D283" t="str">
        <f>IF(Klantgegevens_B!F282&lt;&gt;"", Klantgegevens_B!F282, Klantgegevens_A!D282 &amp; " " &amp; Klantgegevens_A!E282 &amp; ", " &amp; Klantgegevens_A!F282)</f>
        <v>Francesca,Nadia</v>
      </c>
      <c r="E283">
        <f>IF(Klantgegevens_B!G282&lt;&gt;"", Klantgegevens_B!G282, TEXTJOIN(",", TRUE, REPT("Volwassene,", Klantgegevens_A!G282), REPT("Kind,", Klantgegevens_A!H282)))</f>
        <v>168.65</v>
      </c>
      <c r="F283">
        <f>IF(Klantgegevens_B!G282&lt;&gt;"", LEN(Klantgegevens_B!G282)-LEN(SUBSTITUTE(Klantgegevens_B!G282, ",", ""))+1, Klantgegevens_A!G282)</f>
        <v>1</v>
      </c>
      <c r="G283">
        <f>IF(Klantgegevens_B!G282&lt;&gt;"", 0, Klantgegevens_A!H282)</f>
        <v>0</v>
      </c>
      <c r="H283">
        <f>IF(Klantgegevens_B!H282&lt;&gt;"", Klantgegevens_B!H282, Klantgegevens_A!I282)</f>
        <v>11</v>
      </c>
      <c r="I283" t="str">
        <f>IF(Klantgegevens_B!I282&lt;&gt;"", Klantgegevens_B!I282, SWITCH(Klantgegevens_A!J282, "Zelden", 1, "Af en toe", 4, "Regelmatig", 8, "Vaak", 12))</f>
        <v>Bancontact</v>
      </c>
      <c r="J283" t="str">
        <f>IF(Klantgegevens_B!J282&lt;&gt;"", Klantgegevens_B!J282, Klantgegevens_A!K282)</f>
        <v>nee</v>
      </c>
      <c r="K283">
        <f>IF(Klantgegevens_B!K282&lt;&gt;"", AVERAGE(--(Klantgegevens_B!K282="ja"), --(Klantgegevens_B!L282="ja"), --(Klantgegevens_B!M282="ja"), --(Klantgegevens_B!N282="ja"), --(Klantgegevens_B!O282="ja"))*10, Klantgegevens_A!L282)</f>
        <v>6</v>
      </c>
      <c r="L283" t="str">
        <f>IF(Klantgegevens_B!K282&lt;&gt;"", Klantgegevens_B!K282, IF(Klantgegevens_A!L282&gt;=7, "ja", "nee"))</f>
        <v>ja</v>
      </c>
      <c r="M283" t="str">
        <f>IF(Klantgegevens_B!L282&lt;&gt;"", Klantgegevens_B!L282, IF(Klantgegevens_A!L282&gt;=7, "ja", "nee"))</f>
        <v>ja</v>
      </c>
      <c r="N283" t="str">
        <f>IF(Klantgegevens_B!M282&lt;&gt;"", Klantgegevens_B!M282, IF(Klantgegevens_A!L282&gt;=7, "ja", "nee"))</f>
        <v>ja</v>
      </c>
      <c r="O283" t="str">
        <f>IF(Klantgegevens_B!N282&lt;&gt;"", Klantgegevens_B!N282, IF(Klantgegevens_A!L282&gt;=7, "ja", "nee"))</f>
        <v>nee</v>
      </c>
      <c r="P283" t="str">
        <f>IF(Klantgegevens_B!O282&lt;&gt;"", Klantgegevens_B!O282, IF(Klantgegevens_A!L282&gt;=7, "ja", "nee"))</f>
        <v>Geen dieet</v>
      </c>
      <c r="Q283" t="str">
        <f>IF(Klantgegevens_B!P282&lt;&gt;"", Klantgegevens_B!P282, Klantgegevens_A!M282)</f>
        <v>Vegetarisch</v>
      </c>
      <c r="R283" t="str">
        <f>IF(Klantgegevens_B!A282&lt;&gt;"", "B", "A")</f>
        <v>B</v>
      </c>
    </row>
    <row r="284" spans="1:18" x14ac:dyDescent="0.3">
      <c r="A284" t="str">
        <f>IF(Klantgegevens_B!A283&lt;&gt;"", Klantgegevens_B!A283, MID(Klantgegevens_A!A283, FIND(",", Klantgegevens_A!A283)+2, LEN(Klantgegevens_A!A283)))</f>
        <v>Daphné</v>
      </c>
      <c r="B284" t="str">
        <f>IF(Klantgegevens_B!B283&lt;&gt;"", Klantgegevens_B!B283, LEFT(Klantgegevens_A!A283, FIND(",", Klantgegevens_A!A283)-1))</f>
        <v>Jacobs</v>
      </c>
      <c r="C284" t="str">
        <f t="shared" ca="1" si="4"/>
        <v/>
      </c>
      <c r="D284" t="str">
        <f>IF(Klantgegevens_B!F283&lt;&gt;"", Klantgegevens_B!F283, Klantgegevens_A!D283 &amp; " " &amp; Klantgegevens_A!E283 &amp; ", " &amp; Klantgegevens_A!F283)</f>
        <v>Daphné,Mathilda,Hubert,Irmgard</v>
      </c>
      <c r="E284">
        <f>IF(Klantgegevens_B!G283&lt;&gt;"", Klantgegevens_B!G283, TEXTJOIN(",", TRUE, REPT("Volwassene,", Klantgegevens_A!G283), REPT("Kind,", Klantgegevens_A!H283)))</f>
        <v>164.37</v>
      </c>
      <c r="F284">
        <f>IF(Klantgegevens_B!G283&lt;&gt;"", LEN(Klantgegevens_B!G283)-LEN(SUBSTITUTE(Klantgegevens_B!G283, ",", ""))+1, Klantgegevens_A!G283)</f>
        <v>1</v>
      </c>
      <c r="G284">
        <f>IF(Klantgegevens_B!G283&lt;&gt;"", 0, Klantgegevens_A!H283)</f>
        <v>0</v>
      </c>
      <c r="H284">
        <f>IF(Klantgegevens_B!H283&lt;&gt;"", Klantgegevens_B!H283, Klantgegevens_A!I283)</f>
        <v>2</v>
      </c>
      <c r="I284" t="str">
        <f>IF(Klantgegevens_B!I283&lt;&gt;"", Klantgegevens_B!I283, SWITCH(Klantgegevens_A!J283, "Zelden", 1, "Af en toe", 4, "Regelmatig", 8, "Vaak", 12))</f>
        <v>Cash</v>
      </c>
      <c r="J284" t="str">
        <f>IF(Klantgegevens_B!J283&lt;&gt;"", Klantgegevens_B!J283, Klantgegevens_A!K283)</f>
        <v>nee</v>
      </c>
      <c r="K284">
        <f>IF(Klantgegevens_B!K283&lt;&gt;"", AVERAGE(--(Klantgegevens_B!K283="ja"), --(Klantgegevens_B!L283="ja"), --(Klantgegevens_B!M283="ja"), --(Klantgegevens_B!N283="ja"), --(Klantgegevens_B!O283="ja"))*10, Klantgegevens_A!L283)</f>
        <v>8</v>
      </c>
      <c r="L284" t="str">
        <f>IF(Klantgegevens_B!K283&lt;&gt;"", Klantgegevens_B!K283, IF(Klantgegevens_A!L283&gt;=7, "ja", "nee"))</f>
        <v>ja</v>
      </c>
      <c r="M284" t="str">
        <f>IF(Klantgegevens_B!L283&lt;&gt;"", Klantgegevens_B!L283, IF(Klantgegevens_A!L283&gt;=7, "ja", "nee"))</f>
        <v>ja</v>
      </c>
      <c r="N284" t="str">
        <f>IF(Klantgegevens_B!M283&lt;&gt;"", Klantgegevens_B!M283, IF(Klantgegevens_A!L283&gt;=7, "ja", "nee"))</f>
        <v>ja</v>
      </c>
      <c r="O284" t="str">
        <f>IF(Klantgegevens_B!N283&lt;&gt;"", Klantgegevens_B!N283, IF(Klantgegevens_A!L283&gt;=7, "ja", "nee"))</f>
        <v>ja</v>
      </c>
      <c r="P284" t="str">
        <f>IF(Klantgegevens_B!O283&lt;&gt;"", Klantgegevens_B!O283, IF(Klantgegevens_A!L283&gt;=7, "ja", "nee"))</f>
        <v>Geen dieet</v>
      </c>
      <c r="Q284" t="str">
        <f>IF(Klantgegevens_B!P283&lt;&gt;"", Klantgegevens_B!P283, Klantgegevens_A!M283)</f>
        <v>Geen dieet</v>
      </c>
      <c r="R284" t="str">
        <f>IF(Klantgegevens_B!A283&lt;&gt;"", "B", "A")</f>
        <v>B</v>
      </c>
    </row>
    <row r="285" spans="1:18" x14ac:dyDescent="0.3">
      <c r="A285" t="str">
        <f>IF(Klantgegevens_B!A284&lt;&gt;"", Klantgegevens_B!A284, MID(Klantgegevens_A!A284, FIND(",", Klantgegevens_A!A284)+2, LEN(Klantgegevens_A!A284)))</f>
        <v>Nancy</v>
      </c>
      <c r="B285" t="str">
        <f>IF(Klantgegevens_B!B284&lt;&gt;"", Klantgegevens_B!B284, LEFT(Klantgegevens_A!A284, FIND(",", Klantgegevens_A!A284)-1))</f>
        <v>Somers</v>
      </c>
      <c r="C285" t="str">
        <f t="shared" ca="1" si="4"/>
        <v/>
      </c>
      <c r="D285" t="str">
        <f>IF(Klantgegevens_B!F284&lt;&gt;"", Klantgegevens_B!F284, Klantgegevens_A!D284 &amp; " " &amp; Klantgegevens_A!E284 &amp; ", " &amp; Klantgegevens_A!F284)</f>
        <v>Nancy,Aisha,Emmanuel,Johannes</v>
      </c>
      <c r="E285">
        <f>IF(Klantgegevens_B!G284&lt;&gt;"", Klantgegevens_B!G284, TEXTJOIN(",", TRUE, REPT("Volwassene,", Klantgegevens_A!G284), REPT("Kind,", Klantgegevens_A!H284)))</f>
        <v>44.64</v>
      </c>
      <c r="F285">
        <f>IF(Klantgegevens_B!G284&lt;&gt;"", LEN(Klantgegevens_B!G284)-LEN(SUBSTITUTE(Klantgegevens_B!G284, ",", ""))+1, Klantgegevens_A!G284)</f>
        <v>1</v>
      </c>
      <c r="G285">
        <f>IF(Klantgegevens_B!G284&lt;&gt;"", 0, Klantgegevens_A!H284)</f>
        <v>0</v>
      </c>
      <c r="H285">
        <f>IF(Klantgegevens_B!H284&lt;&gt;"", Klantgegevens_B!H284, Klantgegevens_A!I284)</f>
        <v>8</v>
      </c>
      <c r="I285" t="str">
        <f>IF(Klantgegevens_B!I284&lt;&gt;"", Klantgegevens_B!I284, SWITCH(Klantgegevens_A!J284, "Zelden", 1, "Af en toe", 4, "Regelmatig", 8, "Vaak", 12))</f>
        <v>Payconiq</v>
      </c>
      <c r="J285" t="str">
        <f>IF(Klantgegevens_B!J284&lt;&gt;"", Klantgegevens_B!J284, Klantgegevens_A!K284)</f>
        <v>ja</v>
      </c>
      <c r="K285">
        <f>IF(Klantgegevens_B!K284&lt;&gt;"", AVERAGE(--(Klantgegevens_B!K284="ja"), --(Klantgegevens_B!L284="ja"), --(Klantgegevens_B!M284="ja"), --(Klantgegevens_B!N284="ja"), --(Klantgegevens_B!O284="ja"))*10, Klantgegevens_A!L284)</f>
        <v>6</v>
      </c>
      <c r="L285" t="str">
        <f>IF(Klantgegevens_B!K284&lt;&gt;"", Klantgegevens_B!K284, IF(Klantgegevens_A!L284&gt;=7, "ja", "nee"))</f>
        <v>nee</v>
      </c>
      <c r="M285" t="str">
        <f>IF(Klantgegevens_B!L284&lt;&gt;"", Klantgegevens_B!L284, IF(Klantgegevens_A!L284&gt;=7, "ja", "nee"))</f>
        <v>ja</v>
      </c>
      <c r="N285" t="str">
        <f>IF(Klantgegevens_B!M284&lt;&gt;"", Klantgegevens_B!M284, IF(Klantgegevens_A!L284&gt;=7, "ja", "nee"))</f>
        <v>ja</v>
      </c>
      <c r="O285" t="str">
        <f>IF(Klantgegevens_B!N284&lt;&gt;"", Klantgegevens_B!N284, IF(Klantgegevens_A!L284&gt;=7, "ja", "nee"))</f>
        <v>ja</v>
      </c>
      <c r="P285" t="str">
        <f>IF(Klantgegevens_B!O284&lt;&gt;"", Klantgegevens_B!O284, IF(Klantgegevens_A!L284&gt;=7, "ja", "nee"))</f>
        <v>Geen dieet</v>
      </c>
      <c r="Q285" t="str">
        <f>IF(Klantgegevens_B!P284&lt;&gt;"", Klantgegevens_B!P284, Klantgegevens_A!M284)</f>
        <v>Geen dieet</v>
      </c>
      <c r="R285" t="str">
        <f>IF(Klantgegevens_B!A284&lt;&gt;"", "B", "A")</f>
        <v>B</v>
      </c>
    </row>
    <row r="286" spans="1:18" x14ac:dyDescent="0.3">
      <c r="A286" t="str">
        <f>IF(Klantgegevens_B!A285&lt;&gt;"", Klantgegevens_B!A285, MID(Klantgegevens_A!A285, FIND(",", Klantgegevens_A!A285)+2, LEN(Klantgegevens_A!A285)))</f>
        <v>Mélanie</v>
      </c>
      <c r="B286" t="str">
        <f>IF(Klantgegevens_B!B285&lt;&gt;"", Klantgegevens_B!B285, LEFT(Klantgegevens_A!A285, FIND(",", Klantgegevens_A!A285)-1))</f>
        <v>Stevens</v>
      </c>
      <c r="C286" t="str">
        <f t="shared" ca="1" si="4"/>
        <v/>
      </c>
      <c r="D286" t="str">
        <f>IF(Klantgegevens_B!F285&lt;&gt;"", Klantgegevens_B!F285, Klantgegevens_A!D285 &amp; " " &amp; Klantgegevens_A!E285 &amp; ", " &amp; Klantgegevens_A!F285)</f>
        <v>Mélanie,Alban</v>
      </c>
      <c r="E286">
        <f>IF(Klantgegevens_B!G285&lt;&gt;"", Klantgegevens_B!G285, TEXTJOIN(",", TRUE, REPT("Volwassene,", Klantgegevens_A!G285), REPT("Kind,", Klantgegevens_A!H285)))</f>
        <v>21.14</v>
      </c>
      <c r="F286">
        <f>IF(Klantgegevens_B!G285&lt;&gt;"", LEN(Klantgegevens_B!G285)-LEN(SUBSTITUTE(Klantgegevens_B!G285, ",", ""))+1, Klantgegevens_A!G285)</f>
        <v>1</v>
      </c>
      <c r="G286">
        <f>IF(Klantgegevens_B!G285&lt;&gt;"", 0, Klantgegevens_A!H285)</f>
        <v>0</v>
      </c>
      <c r="H286">
        <f>IF(Klantgegevens_B!H285&lt;&gt;"", Klantgegevens_B!H285, Klantgegevens_A!I285)</f>
        <v>17</v>
      </c>
      <c r="I286" t="str">
        <f>IF(Klantgegevens_B!I285&lt;&gt;"", Klantgegevens_B!I285, SWITCH(Klantgegevens_A!J285, "Zelden", 1, "Af en toe", 4, "Regelmatig", 8, "Vaak", 12))</f>
        <v>Creditcard</v>
      </c>
      <c r="J286" t="str">
        <f>IF(Klantgegevens_B!J285&lt;&gt;"", Klantgegevens_B!J285, Klantgegevens_A!K285)</f>
        <v>nee</v>
      </c>
      <c r="K286">
        <f>IF(Klantgegevens_B!K285&lt;&gt;"", AVERAGE(--(Klantgegevens_B!K285="ja"), --(Klantgegevens_B!L285="ja"), --(Klantgegevens_B!M285="ja"), --(Klantgegevens_B!N285="ja"), --(Klantgegevens_B!O285="ja"))*10, Klantgegevens_A!L285)</f>
        <v>6</v>
      </c>
      <c r="L286" t="str">
        <f>IF(Klantgegevens_B!K285&lt;&gt;"", Klantgegevens_B!K285, IF(Klantgegevens_A!L285&gt;=7, "ja", "nee"))</f>
        <v>ja</v>
      </c>
      <c r="M286" t="str">
        <f>IF(Klantgegevens_B!L285&lt;&gt;"", Klantgegevens_B!L285, IF(Klantgegevens_A!L285&gt;=7, "ja", "nee"))</f>
        <v>ja</v>
      </c>
      <c r="N286" t="str">
        <f>IF(Klantgegevens_B!M285&lt;&gt;"", Klantgegevens_B!M285, IF(Klantgegevens_A!L285&gt;=7, "ja", "nee"))</f>
        <v>nee</v>
      </c>
      <c r="O286" t="str">
        <f>IF(Klantgegevens_B!N285&lt;&gt;"", Klantgegevens_B!N285, IF(Klantgegevens_A!L285&gt;=7, "ja", "nee"))</f>
        <v>ja</v>
      </c>
      <c r="P286" t="str">
        <f>IF(Klantgegevens_B!O285&lt;&gt;"", Klantgegevens_B!O285, IF(Klantgegevens_A!L285&gt;=7, "ja", "nee"))</f>
        <v>Geen dieet</v>
      </c>
      <c r="Q286" t="str">
        <f>IF(Klantgegevens_B!P285&lt;&gt;"", Klantgegevens_B!P285, Klantgegevens_A!M285)</f>
        <v>Geen dieet</v>
      </c>
      <c r="R286" t="str">
        <f>IF(Klantgegevens_B!A285&lt;&gt;"", "B", "A")</f>
        <v>B</v>
      </c>
    </row>
    <row r="287" spans="1:18" x14ac:dyDescent="0.3">
      <c r="A287" t="str">
        <f>IF(Klantgegevens_B!A286&lt;&gt;"", Klantgegevens_B!A286, MID(Klantgegevens_A!A286, FIND(",", Klantgegevens_A!A286)+2, LEN(Klantgegevens_A!A286)))</f>
        <v>Nancy</v>
      </c>
      <c r="B287" t="str">
        <f>IF(Klantgegevens_B!B286&lt;&gt;"", Klantgegevens_B!B286, LEFT(Klantgegevens_A!A286, FIND(",", Klantgegevens_A!A286)-1))</f>
        <v>Jacobs</v>
      </c>
      <c r="C287" t="str">
        <f t="shared" ca="1" si="4"/>
        <v/>
      </c>
      <c r="D287" t="str">
        <f>IF(Klantgegevens_B!F286&lt;&gt;"", Klantgegevens_B!F286, Klantgegevens_A!D286 &amp; " " &amp; Klantgegevens_A!E286 &amp; ", " &amp; Klantgegevens_A!F286)</f>
        <v>Nancy,Luc,Cécile</v>
      </c>
      <c r="E287">
        <f>IF(Klantgegevens_B!G286&lt;&gt;"", Klantgegevens_B!G286, TEXTJOIN(",", TRUE, REPT("Volwassene,", Klantgegevens_A!G286), REPT("Kind,", Klantgegevens_A!H286)))</f>
        <v>101.8</v>
      </c>
      <c r="F287">
        <f>IF(Klantgegevens_B!G286&lt;&gt;"", LEN(Klantgegevens_B!G286)-LEN(SUBSTITUTE(Klantgegevens_B!G286, ",", ""))+1, Klantgegevens_A!G286)</f>
        <v>1</v>
      </c>
      <c r="G287">
        <f>IF(Klantgegevens_B!G286&lt;&gt;"", 0, Klantgegevens_A!H286)</f>
        <v>0</v>
      </c>
      <c r="H287">
        <f>IF(Klantgegevens_B!H286&lt;&gt;"", Klantgegevens_B!H286, Klantgegevens_A!I286)</f>
        <v>22</v>
      </c>
      <c r="I287" t="str">
        <f>IF(Klantgegevens_B!I286&lt;&gt;"", Klantgegevens_B!I286, SWITCH(Klantgegevens_A!J286, "Zelden", 1, "Af en toe", 4, "Regelmatig", 8, "Vaak", 12))</f>
        <v>Payconiq</v>
      </c>
      <c r="J287" t="str">
        <f>IF(Klantgegevens_B!J286&lt;&gt;"", Klantgegevens_B!J286, Klantgegevens_A!K286)</f>
        <v>nee</v>
      </c>
      <c r="K287">
        <f>IF(Klantgegevens_B!K286&lt;&gt;"", AVERAGE(--(Klantgegevens_B!K286="ja"), --(Klantgegevens_B!L286="ja"), --(Klantgegevens_B!M286="ja"), --(Klantgegevens_B!N286="ja"), --(Klantgegevens_B!O286="ja"))*10, Klantgegevens_A!L286)</f>
        <v>8</v>
      </c>
      <c r="L287" t="str">
        <f>IF(Klantgegevens_B!K286&lt;&gt;"", Klantgegevens_B!K286, IF(Klantgegevens_A!L286&gt;=7, "ja", "nee"))</f>
        <v>ja</v>
      </c>
      <c r="M287" t="str">
        <f>IF(Klantgegevens_B!L286&lt;&gt;"", Klantgegevens_B!L286, IF(Klantgegevens_A!L286&gt;=7, "ja", "nee"))</f>
        <v>ja</v>
      </c>
      <c r="N287" t="str">
        <f>IF(Klantgegevens_B!M286&lt;&gt;"", Klantgegevens_B!M286, IF(Klantgegevens_A!L286&gt;=7, "ja", "nee"))</f>
        <v>ja</v>
      </c>
      <c r="O287" t="str">
        <f>IF(Klantgegevens_B!N286&lt;&gt;"", Klantgegevens_B!N286, IF(Klantgegevens_A!L286&gt;=7, "ja", "nee"))</f>
        <v>ja</v>
      </c>
      <c r="P287" t="str">
        <f>IF(Klantgegevens_B!O286&lt;&gt;"", Klantgegevens_B!O286, IF(Klantgegevens_A!L286&gt;=7, "ja", "nee"))</f>
        <v>Geen dieet</v>
      </c>
      <c r="Q287" t="str">
        <f>IF(Klantgegevens_B!P286&lt;&gt;"", Klantgegevens_B!P286, Klantgegevens_A!M286)</f>
        <v>Geen dieet</v>
      </c>
      <c r="R287" t="str">
        <f>IF(Klantgegevens_B!A286&lt;&gt;"", "B", "A")</f>
        <v>B</v>
      </c>
    </row>
    <row r="288" spans="1:18" x14ac:dyDescent="0.3">
      <c r="A288" t="str">
        <f>IF(Klantgegevens_B!A287&lt;&gt;"", Klantgegevens_B!A287, MID(Klantgegevens_A!A287, FIND(",", Klantgegevens_A!A287)+2, LEN(Klantgegevens_A!A287)))</f>
        <v>Eline</v>
      </c>
      <c r="B288" t="str">
        <f>IF(Klantgegevens_B!B287&lt;&gt;"", Klantgegevens_B!B287, LEFT(Klantgegevens_A!A287, FIND(",", Klantgegevens_A!A287)-1))</f>
        <v>Vandenberghe</v>
      </c>
      <c r="C288" t="str">
        <f t="shared" ca="1" si="4"/>
        <v/>
      </c>
      <c r="D288" t="str">
        <f>IF(Klantgegevens_B!F287&lt;&gt;"", Klantgegevens_B!F287, Klantgegevens_A!D287 &amp; " " &amp; Klantgegevens_A!E287 &amp; ", " &amp; Klantgegevens_A!F287)</f>
        <v>Eline</v>
      </c>
      <c r="E288">
        <f>IF(Klantgegevens_B!G287&lt;&gt;"", Klantgegevens_B!G287, TEXTJOIN(",", TRUE, REPT("Volwassene,", Klantgegevens_A!G287), REPT("Kind,", Klantgegevens_A!H287)))</f>
        <v>105.2</v>
      </c>
      <c r="F288">
        <f>IF(Klantgegevens_B!G287&lt;&gt;"", LEN(Klantgegevens_B!G287)-LEN(SUBSTITUTE(Klantgegevens_B!G287, ",", ""))+1, Klantgegevens_A!G287)</f>
        <v>1</v>
      </c>
      <c r="G288">
        <f>IF(Klantgegevens_B!G287&lt;&gt;"", 0, Klantgegevens_A!H287)</f>
        <v>0</v>
      </c>
      <c r="H288">
        <f>IF(Klantgegevens_B!H287&lt;&gt;"", Klantgegevens_B!H287, Klantgegevens_A!I287)</f>
        <v>7</v>
      </c>
      <c r="I288" t="str">
        <f>IF(Klantgegevens_B!I287&lt;&gt;"", Klantgegevens_B!I287, SWITCH(Klantgegevens_A!J287, "Zelden", 1, "Af en toe", 4, "Regelmatig", 8, "Vaak", 12))</f>
        <v>Cash</v>
      </c>
      <c r="J288" t="str">
        <f>IF(Klantgegevens_B!J287&lt;&gt;"", Klantgegevens_B!J287, Klantgegevens_A!K287)</f>
        <v>ja</v>
      </c>
      <c r="K288">
        <f>IF(Klantgegevens_B!K287&lt;&gt;"", AVERAGE(--(Klantgegevens_B!K287="ja"), --(Klantgegevens_B!L287="ja"), --(Klantgegevens_B!M287="ja"), --(Klantgegevens_B!N287="ja"), --(Klantgegevens_B!O287="ja"))*10, Klantgegevens_A!L287)</f>
        <v>6</v>
      </c>
      <c r="L288" t="str">
        <f>IF(Klantgegevens_B!K287&lt;&gt;"", Klantgegevens_B!K287, IF(Klantgegevens_A!L287&gt;=7, "ja", "nee"))</f>
        <v>ja</v>
      </c>
      <c r="M288" t="str">
        <f>IF(Klantgegevens_B!L287&lt;&gt;"", Klantgegevens_B!L287, IF(Klantgegevens_A!L287&gt;=7, "ja", "nee"))</f>
        <v>ja</v>
      </c>
      <c r="N288" t="str">
        <f>IF(Klantgegevens_B!M287&lt;&gt;"", Klantgegevens_B!M287, IF(Klantgegevens_A!L287&gt;=7, "ja", "nee"))</f>
        <v>ja</v>
      </c>
      <c r="O288" t="str">
        <f>IF(Klantgegevens_B!N287&lt;&gt;"", Klantgegevens_B!N287, IF(Klantgegevens_A!L287&gt;=7, "ja", "nee"))</f>
        <v>nee</v>
      </c>
      <c r="P288" t="str">
        <f>IF(Klantgegevens_B!O287&lt;&gt;"", Klantgegevens_B!O287, IF(Klantgegevens_A!L287&gt;=7, "ja", "nee"))</f>
        <v>Geen dieet</v>
      </c>
      <c r="Q288" t="str">
        <f>IF(Klantgegevens_B!P287&lt;&gt;"", Klantgegevens_B!P287, Klantgegevens_A!M287)</f>
        <v>Geen dieet</v>
      </c>
      <c r="R288" t="str">
        <f>IF(Klantgegevens_B!A287&lt;&gt;"", "B", "A")</f>
        <v>B</v>
      </c>
    </row>
    <row r="289" spans="1:18" x14ac:dyDescent="0.3">
      <c r="A289" t="str">
        <f>IF(Klantgegevens_B!A288&lt;&gt;"", Klantgegevens_B!A288, MID(Klantgegevens_A!A288, FIND(",", Klantgegevens_A!A288)+2, LEN(Klantgegevens_A!A288)))</f>
        <v>Anna</v>
      </c>
      <c r="B289" t="str">
        <f>IF(Klantgegevens_B!B288&lt;&gt;"", Klantgegevens_B!B288, LEFT(Klantgegevens_A!A288, FIND(",", Klantgegevens_A!A288)-1))</f>
        <v>Mertens</v>
      </c>
      <c r="C289" t="str">
        <f t="shared" ca="1" si="4"/>
        <v/>
      </c>
      <c r="D289" t="str">
        <f>IF(Klantgegevens_B!F288&lt;&gt;"", Klantgegevens_B!F288, Klantgegevens_A!D288 &amp; " " &amp; Klantgegevens_A!E288 &amp; ", " &amp; Klantgegevens_A!F288)</f>
        <v>Anna,Sanne,René</v>
      </c>
      <c r="E289">
        <f>IF(Klantgegevens_B!G288&lt;&gt;"", Klantgegevens_B!G288, TEXTJOIN(",", TRUE, REPT("Volwassene,", Klantgegevens_A!G288), REPT("Kind,", Klantgegevens_A!H288)))</f>
        <v>86.53</v>
      </c>
      <c r="F289">
        <f>IF(Klantgegevens_B!G288&lt;&gt;"", LEN(Klantgegevens_B!G288)-LEN(SUBSTITUTE(Klantgegevens_B!G288, ",", ""))+1, Klantgegevens_A!G288)</f>
        <v>1</v>
      </c>
      <c r="G289">
        <f>IF(Klantgegevens_B!G288&lt;&gt;"", 0, Klantgegevens_A!H288)</f>
        <v>0</v>
      </c>
      <c r="H289">
        <f>IF(Klantgegevens_B!H288&lt;&gt;"", Klantgegevens_B!H288, Klantgegevens_A!I288)</f>
        <v>8</v>
      </c>
      <c r="I289" t="str">
        <f>IF(Klantgegevens_B!I288&lt;&gt;"", Klantgegevens_B!I288, SWITCH(Klantgegevens_A!J288, "Zelden", 1, "Af en toe", 4, "Regelmatig", 8, "Vaak", 12))</f>
        <v>Bancontact</v>
      </c>
      <c r="J289" t="str">
        <f>IF(Klantgegevens_B!J288&lt;&gt;"", Klantgegevens_B!J288, Klantgegevens_A!K288)</f>
        <v>ja</v>
      </c>
      <c r="K289">
        <f>IF(Klantgegevens_B!K288&lt;&gt;"", AVERAGE(--(Klantgegevens_B!K288="ja"), --(Klantgegevens_B!L288="ja"), --(Klantgegevens_B!M288="ja"), --(Klantgegevens_B!N288="ja"), --(Klantgegevens_B!O288="ja"))*10, Klantgegevens_A!L288)</f>
        <v>8</v>
      </c>
      <c r="L289" t="str">
        <f>IF(Klantgegevens_B!K288&lt;&gt;"", Klantgegevens_B!K288, IF(Klantgegevens_A!L288&gt;=7, "ja", "nee"))</f>
        <v>ja</v>
      </c>
      <c r="M289" t="str">
        <f>IF(Klantgegevens_B!L288&lt;&gt;"", Klantgegevens_B!L288, IF(Klantgegevens_A!L288&gt;=7, "ja", "nee"))</f>
        <v>ja</v>
      </c>
      <c r="N289" t="str">
        <f>IF(Klantgegevens_B!M288&lt;&gt;"", Klantgegevens_B!M288, IF(Klantgegevens_A!L288&gt;=7, "ja", "nee"))</f>
        <v>ja</v>
      </c>
      <c r="O289" t="str">
        <f>IF(Klantgegevens_B!N288&lt;&gt;"", Klantgegevens_B!N288, IF(Klantgegevens_A!L288&gt;=7, "ja", "nee"))</f>
        <v>ja</v>
      </c>
      <c r="P289" t="str">
        <f>IF(Klantgegevens_B!O288&lt;&gt;"", Klantgegevens_B!O288, IF(Klantgegevens_A!L288&gt;=7, "ja", "nee"))</f>
        <v>Geen dieet</v>
      </c>
      <c r="Q289" t="str">
        <f>IF(Klantgegevens_B!P288&lt;&gt;"", Klantgegevens_B!P288, Klantgegevens_A!M288)</f>
        <v>Geen dieet</v>
      </c>
      <c r="R289" t="str">
        <f>IF(Klantgegevens_B!A288&lt;&gt;"", "B", "A")</f>
        <v>B</v>
      </c>
    </row>
    <row r="290" spans="1:18" x14ac:dyDescent="0.3">
      <c r="A290" t="str">
        <f>IF(Klantgegevens_B!A289&lt;&gt;"", Klantgegevens_B!A289, MID(Klantgegevens_A!A289, FIND(",", Klantgegevens_A!A289)+2, LEN(Klantgegevens_A!A289)))</f>
        <v>Maria</v>
      </c>
      <c r="B290" t="str">
        <f>IF(Klantgegevens_B!B289&lt;&gt;"", Klantgegevens_B!B289, LEFT(Klantgegevens_A!A289, FIND(",", Klantgegevens_A!A289)-1))</f>
        <v>Van de voorde</v>
      </c>
      <c r="C290" t="str">
        <f t="shared" ca="1" si="4"/>
        <v/>
      </c>
      <c r="D290" t="str">
        <f>IF(Klantgegevens_B!F289&lt;&gt;"", Klantgegevens_B!F289, Klantgegevens_A!D289 &amp; " " &amp; Klantgegevens_A!E289 &amp; ", " &amp; Klantgegevens_A!F289)</f>
        <v>Maria,Harold</v>
      </c>
      <c r="E290">
        <f>IF(Klantgegevens_B!G289&lt;&gt;"", Klantgegevens_B!G289, TEXTJOIN(",", TRUE, REPT("Volwassene,", Klantgegevens_A!G289), REPT("Kind,", Klantgegevens_A!H289)))</f>
        <v>86.62</v>
      </c>
      <c r="F290">
        <f>IF(Klantgegevens_B!G289&lt;&gt;"", LEN(Klantgegevens_B!G289)-LEN(SUBSTITUTE(Klantgegevens_B!G289, ",", ""))+1, Klantgegevens_A!G289)</f>
        <v>1</v>
      </c>
      <c r="G290">
        <f>IF(Klantgegevens_B!G289&lt;&gt;"", 0, Klantgegevens_A!H289)</f>
        <v>0</v>
      </c>
      <c r="H290">
        <f>IF(Klantgegevens_B!H289&lt;&gt;"", Klantgegevens_B!H289, Klantgegevens_A!I289)</f>
        <v>14</v>
      </c>
      <c r="I290" t="str">
        <f>IF(Klantgegevens_B!I289&lt;&gt;"", Klantgegevens_B!I289, SWITCH(Klantgegevens_A!J289, "Zelden", 1, "Af en toe", 4, "Regelmatig", 8, "Vaak", 12))</f>
        <v>Payconiq</v>
      </c>
      <c r="J290" t="str">
        <f>IF(Klantgegevens_B!J289&lt;&gt;"", Klantgegevens_B!J289, Klantgegevens_A!K289)</f>
        <v>ja</v>
      </c>
      <c r="K290">
        <f>IF(Klantgegevens_B!K289&lt;&gt;"", AVERAGE(--(Klantgegevens_B!K289="ja"), --(Klantgegevens_B!L289="ja"), --(Klantgegevens_B!M289="ja"), --(Klantgegevens_B!N289="ja"), --(Klantgegevens_B!O289="ja"))*10, Klantgegevens_A!L289)</f>
        <v>8</v>
      </c>
      <c r="L290" t="str">
        <f>IF(Klantgegevens_B!K289&lt;&gt;"", Klantgegevens_B!K289, IF(Klantgegevens_A!L289&gt;=7, "ja", "nee"))</f>
        <v>ja</v>
      </c>
      <c r="M290" t="str">
        <f>IF(Klantgegevens_B!L289&lt;&gt;"", Klantgegevens_B!L289, IF(Klantgegevens_A!L289&gt;=7, "ja", "nee"))</f>
        <v>ja</v>
      </c>
      <c r="N290" t="str">
        <f>IF(Klantgegevens_B!M289&lt;&gt;"", Klantgegevens_B!M289, IF(Klantgegevens_A!L289&gt;=7, "ja", "nee"))</f>
        <v>ja</v>
      </c>
      <c r="O290" t="str">
        <f>IF(Klantgegevens_B!N289&lt;&gt;"", Klantgegevens_B!N289, IF(Klantgegevens_A!L289&gt;=7, "ja", "nee"))</f>
        <v>ja</v>
      </c>
      <c r="P290" t="str">
        <f>IF(Klantgegevens_B!O289&lt;&gt;"", Klantgegevens_B!O289, IF(Klantgegevens_A!L289&gt;=7, "ja", "nee"))</f>
        <v>Vegetarisch</v>
      </c>
      <c r="Q290" t="str">
        <f>IF(Klantgegevens_B!P289&lt;&gt;"", Klantgegevens_B!P289, Klantgegevens_A!M289)</f>
        <v>Vegetarisch</v>
      </c>
      <c r="R290" t="str">
        <f>IF(Klantgegevens_B!A289&lt;&gt;"", "B", "A")</f>
        <v>B</v>
      </c>
    </row>
    <row r="291" spans="1:18" x14ac:dyDescent="0.3">
      <c r="A291" t="str">
        <f>IF(Klantgegevens_B!A290&lt;&gt;"", Klantgegevens_B!A290, MID(Klantgegevens_A!A290, FIND(",", Klantgegevens_A!A290)+2, LEN(Klantgegevens_A!A290)))</f>
        <v>Margot</v>
      </c>
      <c r="B291" t="str">
        <f>IF(Klantgegevens_B!B290&lt;&gt;"", Klantgegevens_B!B290, LEFT(Klantgegevens_A!A290, FIND(",", Klantgegevens_A!A290)-1))</f>
        <v>Vanhoutte</v>
      </c>
      <c r="C291" t="str">
        <f t="shared" ca="1" si="4"/>
        <v/>
      </c>
      <c r="D291" t="str">
        <f>IF(Klantgegevens_B!F290&lt;&gt;"", Klantgegevens_B!F290, Klantgegevens_A!D290 &amp; " " &amp; Klantgegevens_A!E290 &amp; ", " &amp; Klantgegevens_A!F290)</f>
        <v>Margot,Stéphane,Marine</v>
      </c>
      <c r="E291">
        <f>IF(Klantgegevens_B!G290&lt;&gt;"", Klantgegevens_B!G290, TEXTJOIN(",", TRUE, REPT("Volwassene,", Klantgegevens_A!G290), REPT("Kind,", Klantgegevens_A!H290)))</f>
        <v>100.5</v>
      </c>
      <c r="F291">
        <f>IF(Klantgegevens_B!G290&lt;&gt;"", LEN(Klantgegevens_B!G290)-LEN(SUBSTITUTE(Klantgegevens_B!G290, ",", ""))+1, Klantgegevens_A!G290)</f>
        <v>1</v>
      </c>
      <c r="G291">
        <f>IF(Klantgegevens_B!G290&lt;&gt;"", 0, Klantgegevens_A!H290)</f>
        <v>0</v>
      </c>
      <c r="H291">
        <f>IF(Klantgegevens_B!H290&lt;&gt;"", Klantgegevens_B!H290, Klantgegevens_A!I290)</f>
        <v>22</v>
      </c>
      <c r="I291" t="str">
        <f>IF(Klantgegevens_B!I290&lt;&gt;"", Klantgegevens_B!I290, SWITCH(Klantgegevens_A!J290, "Zelden", 1, "Af en toe", 4, "Regelmatig", 8, "Vaak", 12))</f>
        <v>Bancontact</v>
      </c>
      <c r="J291" t="str">
        <f>IF(Klantgegevens_B!J290&lt;&gt;"", Klantgegevens_B!J290, Klantgegevens_A!K290)</f>
        <v>ja</v>
      </c>
      <c r="K291">
        <f>IF(Klantgegevens_B!K290&lt;&gt;"", AVERAGE(--(Klantgegevens_B!K290="ja"), --(Klantgegevens_B!L290="ja"), --(Klantgegevens_B!M290="ja"), --(Klantgegevens_B!N290="ja"), --(Klantgegevens_B!O290="ja"))*10, Klantgegevens_A!L290)</f>
        <v>6</v>
      </c>
      <c r="L291" t="str">
        <f>IF(Klantgegevens_B!K290&lt;&gt;"", Klantgegevens_B!K290, IF(Klantgegevens_A!L290&gt;=7, "ja", "nee"))</f>
        <v>nee</v>
      </c>
      <c r="M291" t="str">
        <f>IF(Klantgegevens_B!L290&lt;&gt;"", Klantgegevens_B!L290, IF(Klantgegevens_A!L290&gt;=7, "ja", "nee"))</f>
        <v>ja</v>
      </c>
      <c r="N291" t="str">
        <f>IF(Klantgegevens_B!M290&lt;&gt;"", Klantgegevens_B!M290, IF(Klantgegevens_A!L290&gt;=7, "ja", "nee"))</f>
        <v>ja</v>
      </c>
      <c r="O291" t="str">
        <f>IF(Klantgegevens_B!N290&lt;&gt;"", Klantgegevens_B!N290, IF(Klantgegevens_A!L290&gt;=7, "ja", "nee"))</f>
        <v>ja</v>
      </c>
      <c r="P291" t="str">
        <f>IF(Klantgegevens_B!O290&lt;&gt;"", Klantgegevens_B!O290, IF(Klantgegevens_A!L290&gt;=7, "ja", "nee"))</f>
        <v>Geen dieet</v>
      </c>
      <c r="Q291" t="str">
        <f>IF(Klantgegevens_B!P290&lt;&gt;"", Klantgegevens_B!P290, Klantgegevens_A!M290)</f>
        <v>Geen dieet</v>
      </c>
      <c r="R291" t="str">
        <f>IF(Klantgegevens_B!A290&lt;&gt;"", "B", "A")</f>
        <v>B</v>
      </c>
    </row>
    <row r="292" spans="1:18" x14ac:dyDescent="0.3">
      <c r="A292" t="str">
        <f>IF(Klantgegevens_B!A291&lt;&gt;"", Klantgegevens_B!A291, MID(Klantgegevens_A!A291, FIND(",", Klantgegevens_A!A291)+2, LEN(Klantgegevens_A!A291)))</f>
        <v>Ludo</v>
      </c>
      <c r="B292" t="str">
        <f>IF(Klantgegevens_B!B291&lt;&gt;"", Klantgegevens_B!B291, LEFT(Klantgegevens_A!A291, FIND(",", Klantgegevens_A!A291)-1))</f>
        <v>Gielen</v>
      </c>
      <c r="C292" t="str">
        <f t="shared" ca="1" si="4"/>
        <v/>
      </c>
      <c r="D292" t="str">
        <f>IF(Klantgegevens_B!F291&lt;&gt;"", Klantgegevens_B!F291, Klantgegevens_A!D291 &amp; " " &amp; Klantgegevens_A!E291 &amp; ", " &amp; Klantgegevens_A!F291)</f>
        <v>Ludo,Michel,Henri</v>
      </c>
      <c r="E292">
        <f>IF(Klantgegevens_B!G291&lt;&gt;"", Klantgegevens_B!G291, TEXTJOIN(",", TRUE, REPT("Volwassene,", Klantgegevens_A!G291), REPT("Kind,", Klantgegevens_A!H291)))</f>
        <v>169.34</v>
      </c>
      <c r="F292">
        <f>IF(Klantgegevens_B!G291&lt;&gt;"", LEN(Klantgegevens_B!G291)-LEN(SUBSTITUTE(Klantgegevens_B!G291, ",", ""))+1, Klantgegevens_A!G291)</f>
        <v>1</v>
      </c>
      <c r="G292">
        <f>IF(Klantgegevens_B!G291&lt;&gt;"", 0, Klantgegevens_A!H291)</f>
        <v>0</v>
      </c>
      <c r="H292">
        <f>IF(Klantgegevens_B!H291&lt;&gt;"", Klantgegevens_B!H291, Klantgegevens_A!I291)</f>
        <v>16</v>
      </c>
      <c r="I292" t="str">
        <f>IF(Klantgegevens_B!I291&lt;&gt;"", Klantgegevens_B!I291, SWITCH(Klantgegevens_A!J291, "Zelden", 1, "Af en toe", 4, "Regelmatig", 8, "Vaak", 12))</f>
        <v>Bancontact</v>
      </c>
      <c r="J292" t="str">
        <f>IF(Klantgegevens_B!J291&lt;&gt;"", Klantgegevens_B!J291, Klantgegevens_A!K291)</f>
        <v>ja</v>
      </c>
      <c r="K292">
        <f>IF(Klantgegevens_B!K291&lt;&gt;"", AVERAGE(--(Klantgegevens_B!K291="ja"), --(Klantgegevens_B!L291="ja"), --(Klantgegevens_B!M291="ja"), --(Klantgegevens_B!N291="ja"), --(Klantgegevens_B!O291="ja"))*10, Klantgegevens_A!L291)</f>
        <v>8</v>
      </c>
      <c r="L292" t="str">
        <f>IF(Klantgegevens_B!K291&lt;&gt;"", Klantgegevens_B!K291, IF(Klantgegevens_A!L291&gt;=7, "ja", "nee"))</f>
        <v>ja</v>
      </c>
      <c r="M292" t="str">
        <f>IF(Klantgegevens_B!L291&lt;&gt;"", Klantgegevens_B!L291, IF(Klantgegevens_A!L291&gt;=7, "ja", "nee"))</f>
        <v>ja</v>
      </c>
      <c r="N292" t="str">
        <f>IF(Klantgegevens_B!M291&lt;&gt;"", Klantgegevens_B!M291, IF(Klantgegevens_A!L291&gt;=7, "ja", "nee"))</f>
        <v>ja</v>
      </c>
      <c r="O292" t="str">
        <f>IF(Klantgegevens_B!N291&lt;&gt;"", Klantgegevens_B!N291, IF(Klantgegevens_A!L291&gt;=7, "ja", "nee"))</f>
        <v>ja</v>
      </c>
      <c r="P292" t="str">
        <f>IF(Klantgegevens_B!O291&lt;&gt;"", Klantgegevens_B!O291, IF(Klantgegevens_A!L291&gt;=7, "ja", "nee"))</f>
        <v>Geen dieet</v>
      </c>
      <c r="Q292" t="str">
        <f>IF(Klantgegevens_B!P291&lt;&gt;"", Klantgegevens_B!P291, Klantgegevens_A!M291)</f>
        <v>Vegetarisch</v>
      </c>
      <c r="R292" t="str">
        <f>IF(Klantgegevens_B!A291&lt;&gt;"", "B", "A")</f>
        <v>B</v>
      </c>
    </row>
    <row r="293" spans="1:18" x14ac:dyDescent="0.3">
      <c r="A293" t="str">
        <f>IF(Klantgegevens_B!A292&lt;&gt;"", Klantgegevens_B!A292, MID(Klantgegevens_A!A292, FIND(",", Klantgegevens_A!A292)+2, LEN(Klantgegevens_A!A292)))</f>
        <v>François</v>
      </c>
      <c r="B293" t="str">
        <f>IF(Klantgegevens_B!B292&lt;&gt;"", Klantgegevens_B!B292, LEFT(Klantgegevens_A!A292, FIND(",", Klantgegevens_A!A292)-1))</f>
        <v>Janssens</v>
      </c>
      <c r="C293" t="str">
        <f t="shared" ca="1" si="4"/>
        <v/>
      </c>
      <c r="D293" t="str">
        <f>IF(Klantgegevens_B!F292&lt;&gt;"", Klantgegevens_B!F292, Klantgegevens_A!D292 &amp; " " &amp; Klantgegevens_A!E292 &amp; ", " &amp; Klantgegevens_A!F292)</f>
        <v>François,Claudine</v>
      </c>
      <c r="E293">
        <f>IF(Klantgegevens_B!G292&lt;&gt;"", Klantgegevens_B!G292, TEXTJOIN(",", TRUE, REPT("Volwassene,", Klantgegevens_A!G292), REPT("Kind,", Klantgegevens_A!H292)))</f>
        <v>183.62</v>
      </c>
      <c r="F293">
        <f>IF(Klantgegevens_B!G292&lt;&gt;"", LEN(Klantgegevens_B!G292)-LEN(SUBSTITUTE(Klantgegevens_B!G292, ",", ""))+1, Klantgegevens_A!G292)</f>
        <v>1</v>
      </c>
      <c r="G293">
        <f>IF(Klantgegevens_B!G292&lt;&gt;"", 0, Klantgegevens_A!H292)</f>
        <v>0</v>
      </c>
      <c r="H293">
        <f>IF(Klantgegevens_B!H292&lt;&gt;"", Klantgegevens_B!H292, Klantgegevens_A!I292)</f>
        <v>14</v>
      </c>
      <c r="I293" t="str">
        <f>IF(Klantgegevens_B!I292&lt;&gt;"", Klantgegevens_B!I292, SWITCH(Klantgegevens_A!J292, "Zelden", 1, "Af en toe", 4, "Regelmatig", 8, "Vaak", 12))</f>
        <v>Bancontact</v>
      </c>
      <c r="J293" t="str">
        <f>IF(Klantgegevens_B!J292&lt;&gt;"", Klantgegevens_B!J292, Klantgegevens_A!K292)</f>
        <v>nee</v>
      </c>
      <c r="K293">
        <f>IF(Klantgegevens_B!K292&lt;&gt;"", AVERAGE(--(Klantgegevens_B!K292="ja"), --(Klantgegevens_B!L292="ja"), --(Klantgegevens_B!M292="ja"), --(Klantgegevens_B!N292="ja"), --(Klantgegevens_B!O292="ja"))*10, Klantgegevens_A!L292)</f>
        <v>6</v>
      </c>
      <c r="L293" t="str">
        <f>IF(Klantgegevens_B!K292&lt;&gt;"", Klantgegevens_B!K292, IF(Klantgegevens_A!L292&gt;=7, "ja", "nee"))</f>
        <v>ja</v>
      </c>
      <c r="M293" t="str">
        <f>IF(Klantgegevens_B!L292&lt;&gt;"", Klantgegevens_B!L292, IF(Klantgegevens_A!L292&gt;=7, "ja", "nee"))</f>
        <v>ja</v>
      </c>
      <c r="N293" t="str">
        <f>IF(Klantgegevens_B!M292&lt;&gt;"", Klantgegevens_B!M292, IF(Klantgegevens_A!L292&gt;=7, "ja", "nee"))</f>
        <v>nee</v>
      </c>
      <c r="O293" t="str">
        <f>IF(Klantgegevens_B!N292&lt;&gt;"", Klantgegevens_B!N292, IF(Klantgegevens_A!L292&gt;=7, "ja", "nee"))</f>
        <v>ja</v>
      </c>
      <c r="P293" t="str">
        <f>IF(Klantgegevens_B!O292&lt;&gt;"", Klantgegevens_B!O292, IF(Klantgegevens_A!L292&gt;=7, "ja", "nee"))</f>
        <v>Geen dieet</v>
      </c>
      <c r="Q293" t="str">
        <f>IF(Klantgegevens_B!P292&lt;&gt;"", Klantgegevens_B!P292, Klantgegevens_A!M292)</f>
        <v>Geen dieet</v>
      </c>
      <c r="R293" t="str">
        <f>IF(Klantgegevens_B!A292&lt;&gt;"", "B", "A")</f>
        <v>B</v>
      </c>
    </row>
    <row r="294" spans="1:18" x14ac:dyDescent="0.3">
      <c r="A294" t="str">
        <f>IF(Klantgegevens_B!A293&lt;&gt;"", Klantgegevens_B!A293, MID(Klantgegevens_A!A293, FIND(",", Klantgegevens_A!A293)+2, LEN(Klantgegevens_A!A293)))</f>
        <v>Ivo</v>
      </c>
      <c r="B294" t="str">
        <f>IF(Klantgegevens_B!B293&lt;&gt;"", Klantgegevens_B!B293, LEFT(Klantgegevens_A!A293, FIND(",", Klantgegevens_A!A293)-1))</f>
        <v>Heylen</v>
      </c>
      <c r="C294" t="str">
        <f t="shared" ca="1" si="4"/>
        <v/>
      </c>
      <c r="D294" t="str">
        <f>IF(Klantgegevens_B!F293&lt;&gt;"", Klantgegevens_B!F293, Klantgegevens_A!D293 &amp; " " &amp; Klantgegevens_A!E293 &amp; ", " &amp; Klantgegevens_A!F293)</f>
        <v>Ivo,Jean-Pierre,Douceline</v>
      </c>
      <c r="E294">
        <f>IF(Klantgegevens_B!G293&lt;&gt;"", Klantgegevens_B!G293, TEXTJOIN(",", TRUE, REPT("Volwassene,", Klantgegevens_A!G293), REPT("Kind,", Klantgegevens_A!H293)))</f>
        <v>122.49</v>
      </c>
      <c r="F294">
        <f>IF(Klantgegevens_B!G293&lt;&gt;"", LEN(Klantgegevens_B!G293)-LEN(SUBSTITUTE(Klantgegevens_B!G293, ",", ""))+1, Klantgegevens_A!G293)</f>
        <v>1</v>
      </c>
      <c r="G294">
        <f>IF(Klantgegevens_B!G293&lt;&gt;"", 0, Klantgegevens_A!H293)</f>
        <v>0</v>
      </c>
      <c r="H294">
        <f>IF(Klantgegevens_B!H293&lt;&gt;"", Klantgegevens_B!H293, Klantgegevens_A!I293)</f>
        <v>9</v>
      </c>
      <c r="I294" t="str">
        <f>IF(Klantgegevens_B!I293&lt;&gt;"", Klantgegevens_B!I293, SWITCH(Klantgegevens_A!J293, "Zelden", 1, "Af en toe", 4, "Regelmatig", 8, "Vaak", 12))</f>
        <v>Cash</v>
      </c>
      <c r="J294" t="str">
        <f>IF(Klantgegevens_B!J293&lt;&gt;"", Klantgegevens_B!J293, Klantgegevens_A!K293)</f>
        <v>ja</v>
      </c>
      <c r="K294">
        <f>IF(Klantgegevens_B!K293&lt;&gt;"", AVERAGE(--(Klantgegevens_B!K293="ja"), --(Klantgegevens_B!L293="ja"), --(Klantgegevens_B!M293="ja"), --(Klantgegevens_B!N293="ja"), --(Klantgegevens_B!O293="ja"))*10, Klantgegevens_A!L293)</f>
        <v>2</v>
      </c>
      <c r="L294" t="str">
        <f>IF(Klantgegevens_B!K293&lt;&gt;"", Klantgegevens_B!K293, IF(Klantgegevens_A!L293&gt;=7, "ja", "nee"))</f>
        <v>nee</v>
      </c>
      <c r="M294" t="str">
        <f>IF(Klantgegevens_B!L293&lt;&gt;"", Klantgegevens_B!L293, IF(Klantgegevens_A!L293&gt;=7, "ja", "nee"))</f>
        <v>ja</v>
      </c>
      <c r="N294" t="str">
        <f>IF(Klantgegevens_B!M293&lt;&gt;"", Klantgegevens_B!M293, IF(Klantgegevens_A!L293&gt;=7, "ja", "nee"))</f>
        <v>nee</v>
      </c>
      <c r="O294" t="str">
        <f>IF(Klantgegevens_B!N293&lt;&gt;"", Klantgegevens_B!N293, IF(Klantgegevens_A!L293&gt;=7, "ja", "nee"))</f>
        <v>nee</v>
      </c>
      <c r="P294" t="str">
        <f>IF(Klantgegevens_B!O293&lt;&gt;"", Klantgegevens_B!O293, IF(Klantgegevens_A!L293&gt;=7, "ja", "nee"))</f>
        <v>Geen dieet</v>
      </c>
      <c r="Q294" t="str">
        <f>IF(Klantgegevens_B!P293&lt;&gt;"", Klantgegevens_B!P293, Klantgegevens_A!M293)</f>
        <v>Geen dieet</v>
      </c>
      <c r="R294" t="str">
        <f>IF(Klantgegevens_B!A293&lt;&gt;"", "B", "A")</f>
        <v>B</v>
      </c>
    </row>
    <row r="295" spans="1:18" x14ac:dyDescent="0.3">
      <c r="A295" t="str">
        <f>IF(Klantgegevens_B!A294&lt;&gt;"", Klantgegevens_B!A294, MID(Klantgegevens_A!A294, FIND(",", Klantgegevens_A!A294)+2, LEN(Klantgegevens_A!A294)))</f>
        <v>Shari</v>
      </c>
      <c r="B295" t="str">
        <f>IF(Klantgegevens_B!B294&lt;&gt;"", Klantgegevens_B!B294, LEFT(Klantgegevens_A!A294, FIND(",", Klantgegevens_A!A294)-1))</f>
        <v>Peeters</v>
      </c>
      <c r="C295" t="str">
        <f t="shared" ca="1" si="4"/>
        <v/>
      </c>
      <c r="D295" t="str">
        <f>IF(Klantgegevens_B!F294&lt;&gt;"", Klantgegevens_B!F294, Klantgegevens_A!D294 &amp; " " &amp; Klantgegevens_A!E294 &amp; ", " &amp; Klantgegevens_A!F294)</f>
        <v>Shari,Senne</v>
      </c>
      <c r="E295">
        <f>IF(Klantgegevens_B!G294&lt;&gt;"", Klantgegevens_B!G294, TEXTJOIN(",", TRUE, REPT("Volwassene,", Klantgegevens_A!G294), REPT("Kind,", Klantgegevens_A!H294)))</f>
        <v>143.88999999999999</v>
      </c>
      <c r="F295">
        <f>IF(Klantgegevens_B!G294&lt;&gt;"", LEN(Klantgegevens_B!G294)-LEN(SUBSTITUTE(Klantgegevens_B!G294, ",", ""))+1, Klantgegevens_A!G294)</f>
        <v>1</v>
      </c>
      <c r="G295">
        <f>IF(Klantgegevens_B!G294&lt;&gt;"", 0, Klantgegevens_A!H294)</f>
        <v>0</v>
      </c>
      <c r="H295">
        <f>IF(Klantgegevens_B!H294&lt;&gt;"", Klantgegevens_B!H294, Klantgegevens_A!I294)</f>
        <v>15</v>
      </c>
      <c r="I295" t="str">
        <f>IF(Klantgegevens_B!I294&lt;&gt;"", Klantgegevens_B!I294, SWITCH(Klantgegevens_A!J294, "Zelden", 1, "Af en toe", 4, "Regelmatig", 8, "Vaak", 12))</f>
        <v>Bancontact</v>
      </c>
      <c r="J295" t="str">
        <f>IF(Klantgegevens_B!J294&lt;&gt;"", Klantgegevens_B!J294, Klantgegevens_A!K294)</f>
        <v>nee</v>
      </c>
      <c r="K295">
        <f>IF(Klantgegevens_B!K294&lt;&gt;"", AVERAGE(--(Klantgegevens_B!K294="ja"), --(Klantgegevens_B!L294="ja"), --(Klantgegevens_B!M294="ja"), --(Klantgegevens_B!N294="ja"), --(Klantgegevens_B!O294="ja"))*10, Klantgegevens_A!L294)</f>
        <v>4</v>
      </c>
      <c r="L295" t="str">
        <f>IF(Klantgegevens_B!K294&lt;&gt;"", Klantgegevens_B!K294, IF(Klantgegevens_A!L294&gt;=7, "ja", "nee"))</f>
        <v>nee</v>
      </c>
      <c r="M295" t="str">
        <f>IF(Klantgegevens_B!L294&lt;&gt;"", Klantgegevens_B!L294, IF(Klantgegevens_A!L294&gt;=7, "ja", "nee"))</f>
        <v>ja</v>
      </c>
      <c r="N295" t="str">
        <f>IF(Klantgegevens_B!M294&lt;&gt;"", Klantgegevens_B!M294, IF(Klantgegevens_A!L294&gt;=7, "ja", "nee"))</f>
        <v>ja</v>
      </c>
      <c r="O295" t="str">
        <f>IF(Klantgegevens_B!N294&lt;&gt;"", Klantgegevens_B!N294, IF(Klantgegevens_A!L294&gt;=7, "ja", "nee"))</f>
        <v>nee</v>
      </c>
      <c r="P295" t="str">
        <f>IF(Klantgegevens_B!O294&lt;&gt;"", Klantgegevens_B!O294, IF(Klantgegevens_A!L294&gt;=7, "ja", "nee"))</f>
        <v>Veganistisch</v>
      </c>
      <c r="Q295" t="str">
        <f>IF(Klantgegevens_B!P294&lt;&gt;"", Klantgegevens_B!P294, Klantgegevens_A!M294)</f>
        <v>Geen dieet</v>
      </c>
      <c r="R295" t="str">
        <f>IF(Klantgegevens_B!A294&lt;&gt;"", "B", "A")</f>
        <v>B</v>
      </c>
    </row>
    <row r="296" spans="1:18" x14ac:dyDescent="0.3">
      <c r="A296" t="str">
        <f>IF(Klantgegevens_B!A295&lt;&gt;"", Klantgegevens_B!A295, MID(Klantgegevens_A!A295, FIND(",", Klantgegevens_A!A295)+2, LEN(Klantgegevens_A!A295)))</f>
        <v>Maria</v>
      </c>
      <c r="B296" t="str">
        <f>IF(Klantgegevens_B!B295&lt;&gt;"", Klantgegevens_B!B295, LEFT(Klantgegevens_A!A295, FIND(",", Klantgegevens_A!A295)-1))</f>
        <v>Petit</v>
      </c>
      <c r="C296" t="str">
        <f t="shared" ca="1" si="4"/>
        <v/>
      </c>
      <c r="D296" t="str">
        <f>IF(Klantgegevens_B!F295&lt;&gt;"", Klantgegevens_B!F295, Klantgegevens_A!D295 &amp; " " &amp; Klantgegevens_A!E295 &amp; ", " &amp; Klantgegevens_A!F295)</f>
        <v>Maria,Priscilla</v>
      </c>
      <c r="E296">
        <f>IF(Klantgegevens_B!G295&lt;&gt;"", Klantgegevens_B!G295, TEXTJOIN(",", TRUE, REPT("Volwassene,", Klantgegevens_A!G295), REPT("Kind,", Klantgegevens_A!H295)))</f>
        <v>88.48</v>
      </c>
      <c r="F296">
        <f>IF(Klantgegevens_B!G295&lt;&gt;"", LEN(Klantgegevens_B!G295)-LEN(SUBSTITUTE(Klantgegevens_B!G295, ",", ""))+1, Klantgegevens_A!G295)</f>
        <v>1</v>
      </c>
      <c r="G296">
        <f>IF(Klantgegevens_B!G295&lt;&gt;"", 0, Klantgegevens_A!H295)</f>
        <v>0</v>
      </c>
      <c r="H296">
        <f>IF(Klantgegevens_B!H295&lt;&gt;"", Klantgegevens_B!H295, Klantgegevens_A!I295)</f>
        <v>1</v>
      </c>
      <c r="I296" t="str">
        <f>IF(Klantgegevens_B!I295&lt;&gt;"", Klantgegevens_B!I295, SWITCH(Klantgegevens_A!J295, "Zelden", 1, "Af en toe", 4, "Regelmatig", 8, "Vaak", 12))</f>
        <v>Payconiq</v>
      </c>
      <c r="J296" t="str">
        <f>IF(Klantgegevens_B!J295&lt;&gt;"", Klantgegevens_B!J295, Klantgegevens_A!K295)</f>
        <v>ja</v>
      </c>
      <c r="K296">
        <f>IF(Klantgegevens_B!K295&lt;&gt;"", AVERAGE(--(Klantgegevens_B!K295="ja"), --(Klantgegevens_B!L295="ja"), --(Klantgegevens_B!M295="ja"), --(Klantgegevens_B!N295="ja"), --(Klantgegevens_B!O295="ja"))*10, Klantgegevens_A!L295)</f>
        <v>2</v>
      </c>
      <c r="L296" t="str">
        <f>IF(Klantgegevens_B!K295&lt;&gt;"", Klantgegevens_B!K295, IF(Klantgegevens_A!L295&gt;=7, "ja", "nee"))</f>
        <v>nee</v>
      </c>
      <c r="M296" t="str">
        <f>IF(Klantgegevens_B!L295&lt;&gt;"", Klantgegevens_B!L295, IF(Klantgegevens_A!L295&gt;=7, "ja", "nee"))</f>
        <v>nee</v>
      </c>
      <c r="N296" t="str">
        <f>IF(Klantgegevens_B!M295&lt;&gt;"", Klantgegevens_B!M295, IF(Klantgegevens_A!L295&gt;=7, "ja", "nee"))</f>
        <v>ja</v>
      </c>
      <c r="O296" t="str">
        <f>IF(Klantgegevens_B!N295&lt;&gt;"", Klantgegevens_B!N295, IF(Klantgegevens_A!L295&gt;=7, "ja", "nee"))</f>
        <v>nee</v>
      </c>
      <c r="P296" t="str">
        <f>IF(Klantgegevens_B!O295&lt;&gt;"", Klantgegevens_B!O295, IF(Klantgegevens_A!L295&gt;=7, "ja", "nee"))</f>
        <v>Geen dieet</v>
      </c>
      <c r="Q296" t="str">
        <f>IF(Klantgegevens_B!P295&lt;&gt;"", Klantgegevens_B!P295, Klantgegevens_A!M295)</f>
        <v>Geen dieet</v>
      </c>
      <c r="R296" t="str">
        <f>IF(Klantgegevens_B!A295&lt;&gt;"", "B", "A")</f>
        <v>B</v>
      </c>
    </row>
    <row r="297" spans="1:18" x14ac:dyDescent="0.3">
      <c r="A297" t="str">
        <f>IF(Klantgegevens_B!A296&lt;&gt;"", Klantgegevens_B!A296, MID(Klantgegevens_A!A296, FIND(",", Klantgegevens_A!A296)+2, LEN(Klantgegevens_A!A296)))</f>
        <v>Christiane</v>
      </c>
      <c r="B297" t="str">
        <f>IF(Klantgegevens_B!B296&lt;&gt;"", Klantgegevens_B!B296, LEFT(Klantgegevens_A!A296, FIND(",", Klantgegevens_A!A296)-1))</f>
        <v>Leclercq</v>
      </c>
      <c r="C297" t="str">
        <f t="shared" ca="1" si="4"/>
        <v/>
      </c>
      <c r="D297" t="str">
        <f>IF(Klantgegevens_B!F296&lt;&gt;"", Klantgegevens_B!F296, Klantgegevens_A!D296 &amp; " " &amp; Klantgegevens_A!E296 &amp; ", " &amp; Klantgegevens_A!F296)</f>
        <v>Christiane,Meriem,Bastien,Elsje</v>
      </c>
      <c r="E297">
        <f>IF(Klantgegevens_B!G296&lt;&gt;"", Klantgegevens_B!G296, TEXTJOIN(",", TRUE, REPT("Volwassene,", Klantgegevens_A!G296), REPT("Kind,", Klantgegevens_A!H296)))</f>
        <v>140.37</v>
      </c>
      <c r="F297">
        <f>IF(Klantgegevens_B!G296&lt;&gt;"", LEN(Klantgegevens_B!G296)-LEN(SUBSTITUTE(Klantgegevens_B!G296, ",", ""))+1, Klantgegevens_A!G296)</f>
        <v>1</v>
      </c>
      <c r="G297">
        <f>IF(Klantgegevens_B!G296&lt;&gt;"", 0, Klantgegevens_A!H296)</f>
        <v>0</v>
      </c>
      <c r="H297">
        <f>IF(Klantgegevens_B!H296&lt;&gt;"", Klantgegevens_B!H296, Klantgegevens_A!I296)</f>
        <v>9</v>
      </c>
      <c r="I297" t="str">
        <f>IF(Klantgegevens_B!I296&lt;&gt;"", Klantgegevens_B!I296, SWITCH(Klantgegevens_A!J296, "Zelden", 1, "Af en toe", 4, "Regelmatig", 8, "Vaak", 12))</f>
        <v>Bancontact</v>
      </c>
      <c r="J297" t="str">
        <f>IF(Klantgegevens_B!J296&lt;&gt;"", Klantgegevens_B!J296, Klantgegevens_A!K296)</f>
        <v>ja</v>
      </c>
      <c r="K297">
        <f>IF(Klantgegevens_B!K296&lt;&gt;"", AVERAGE(--(Klantgegevens_B!K296="ja"), --(Klantgegevens_B!L296="ja"), --(Klantgegevens_B!M296="ja"), --(Klantgegevens_B!N296="ja"), --(Klantgegevens_B!O296="ja"))*10, Klantgegevens_A!L296)</f>
        <v>6</v>
      </c>
      <c r="L297" t="str">
        <f>IF(Klantgegevens_B!K296&lt;&gt;"", Klantgegevens_B!K296, IF(Klantgegevens_A!L296&gt;=7, "ja", "nee"))</f>
        <v>ja</v>
      </c>
      <c r="M297" t="str">
        <f>IF(Klantgegevens_B!L296&lt;&gt;"", Klantgegevens_B!L296, IF(Klantgegevens_A!L296&gt;=7, "ja", "nee"))</f>
        <v>ja</v>
      </c>
      <c r="N297" t="str">
        <f>IF(Klantgegevens_B!M296&lt;&gt;"", Klantgegevens_B!M296, IF(Klantgegevens_A!L296&gt;=7, "ja", "nee"))</f>
        <v>nee</v>
      </c>
      <c r="O297" t="str">
        <f>IF(Klantgegevens_B!N296&lt;&gt;"", Klantgegevens_B!N296, IF(Klantgegevens_A!L296&gt;=7, "ja", "nee"))</f>
        <v>ja</v>
      </c>
      <c r="P297" t="str">
        <f>IF(Klantgegevens_B!O296&lt;&gt;"", Klantgegevens_B!O296, IF(Klantgegevens_A!L296&gt;=7, "ja", "nee"))</f>
        <v>Geen dieet</v>
      </c>
      <c r="Q297" t="str">
        <f>IF(Klantgegevens_B!P296&lt;&gt;"", Klantgegevens_B!P296, Klantgegevens_A!M296)</f>
        <v>Vegetarisch</v>
      </c>
      <c r="R297" t="str">
        <f>IF(Klantgegevens_B!A296&lt;&gt;"", "B", "A")</f>
        <v>B</v>
      </c>
    </row>
    <row r="298" spans="1:18" x14ac:dyDescent="0.3">
      <c r="A298" t="str">
        <f>IF(Klantgegevens_B!A297&lt;&gt;"", Klantgegevens_B!A297, MID(Klantgegevens_A!A297, FIND(",", Klantgegevens_A!A297)+2, LEN(Klantgegevens_A!A297)))</f>
        <v>Marie-Paule</v>
      </c>
      <c r="B298" t="str">
        <f>IF(Klantgegevens_B!B297&lt;&gt;"", Klantgegevens_B!B297, LEFT(Klantgegevens_A!A297, FIND(",", Klantgegevens_A!A297)-1))</f>
        <v>Van hoof</v>
      </c>
      <c r="C298" t="str">
        <f t="shared" ca="1" si="4"/>
        <v/>
      </c>
      <c r="D298" t="str">
        <f>IF(Klantgegevens_B!F297&lt;&gt;"", Klantgegevens_B!F297, Klantgegevens_A!D297 &amp; " " &amp; Klantgegevens_A!E297 &amp; ", " &amp; Klantgegevens_A!F297)</f>
        <v>Marie-Paule,Felix,Jacquelina</v>
      </c>
      <c r="E298">
        <f>IF(Klantgegevens_B!G297&lt;&gt;"", Klantgegevens_B!G297, TEXTJOIN(",", TRUE, REPT("Volwassene,", Klantgegevens_A!G297), REPT("Kind,", Klantgegevens_A!H297)))</f>
        <v>143.09</v>
      </c>
      <c r="F298">
        <f>IF(Klantgegevens_B!G297&lt;&gt;"", LEN(Klantgegevens_B!G297)-LEN(SUBSTITUTE(Klantgegevens_B!G297, ",", ""))+1, Klantgegevens_A!G297)</f>
        <v>1</v>
      </c>
      <c r="G298">
        <f>IF(Klantgegevens_B!G297&lt;&gt;"", 0, Klantgegevens_A!H297)</f>
        <v>0</v>
      </c>
      <c r="H298">
        <f>IF(Klantgegevens_B!H297&lt;&gt;"", Klantgegevens_B!H297, Klantgegevens_A!I297)</f>
        <v>21</v>
      </c>
      <c r="I298" t="str">
        <f>IF(Klantgegevens_B!I297&lt;&gt;"", Klantgegevens_B!I297, SWITCH(Klantgegevens_A!J297, "Zelden", 1, "Af en toe", 4, "Regelmatig", 8, "Vaak", 12))</f>
        <v>Bancontact</v>
      </c>
      <c r="J298" t="str">
        <f>IF(Klantgegevens_B!J297&lt;&gt;"", Klantgegevens_B!J297, Klantgegevens_A!K297)</f>
        <v>nee</v>
      </c>
      <c r="K298">
        <f>IF(Klantgegevens_B!K297&lt;&gt;"", AVERAGE(--(Klantgegevens_B!K297="ja"), --(Klantgegevens_B!L297="ja"), --(Klantgegevens_B!M297="ja"), --(Klantgegevens_B!N297="ja"), --(Klantgegevens_B!O297="ja"))*10, Klantgegevens_A!L297)</f>
        <v>6</v>
      </c>
      <c r="L298" t="str">
        <f>IF(Klantgegevens_B!K297&lt;&gt;"", Klantgegevens_B!K297, IF(Klantgegevens_A!L297&gt;=7, "ja", "nee"))</f>
        <v>nee</v>
      </c>
      <c r="M298" t="str">
        <f>IF(Klantgegevens_B!L297&lt;&gt;"", Klantgegevens_B!L297, IF(Klantgegevens_A!L297&gt;=7, "ja", "nee"))</f>
        <v>ja</v>
      </c>
      <c r="N298" t="str">
        <f>IF(Klantgegevens_B!M297&lt;&gt;"", Klantgegevens_B!M297, IF(Klantgegevens_A!L297&gt;=7, "ja", "nee"))</f>
        <v>ja</v>
      </c>
      <c r="O298" t="str">
        <f>IF(Klantgegevens_B!N297&lt;&gt;"", Klantgegevens_B!N297, IF(Klantgegevens_A!L297&gt;=7, "ja", "nee"))</f>
        <v>ja</v>
      </c>
      <c r="P298" t="str">
        <f>IF(Klantgegevens_B!O297&lt;&gt;"", Klantgegevens_B!O297, IF(Klantgegevens_A!L297&gt;=7, "ja", "nee"))</f>
        <v>Geen dieet</v>
      </c>
      <c r="Q298" t="str">
        <f>IF(Klantgegevens_B!P297&lt;&gt;"", Klantgegevens_B!P297, Klantgegevens_A!M297)</f>
        <v>Vegetarisch</v>
      </c>
      <c r="R298" t="str">
        <f>IF(Klantgegevens_B!A297&lt;&gt;"", "B", "A")</f>
        <v>B</v>
      </c>
    </row>
    <row r="299" spans="1:18" x14ac:dyDescent="0.3">
      <c r="A299" t="str">
        <f>IF(Klantgegevens_B!A298&lt;&gt;"", Klantgegevens_B!A298, MID(Klantgegevens_A!A298, FIND(",", Klantgegevens_A!A298)+2, LEN(Klantgegevens_A!A298)))</f>
        <v>Sofiane</v>
      </c>
      <c r="B299" t="str">
        <f>IF(Klantgegevens_B!B298&lt;&gt;"", Klantgegevens_B!B298, LEFT(Klantgegevens_A!A298, FIND(",", Klantgegevens_A!A298)-1))</f>
        <v>Lambrechts</v>
      </c>
      <c r="C299" t="str">
        <f t="shared" ca="1" si="4"/>
        <v/>
      </c>
      <c r="D299" t="str">
        <f>IF(Klantgegevens_B!F298&lt;&gt;"", Klantgegevens_B!F298, Klantgegevens_A!D298 &amp; " " &amp; Klantgegevens_A!E298 &amp; ", " &amp; Klantgegevens_A!F298)</f>
        <v>Sofiane,Isaac</v>
      </c>
      <c r="E299">
        <f>IF(Klantgegevens_B!G298&lt;&gt;"", Klantgegevens_B!G298, TEXTJOIN(",", TRUE, REPT("Volwassene,", Klantgegevens_A!G298), REPT("Kind,", Klantgegevens_A!H298)))</f>
        <v>17.43</v>
      </c>
      <c r="F299">
        <f>IF(Klantgegevens_B!G298&lt;&gt;"", LEN(Klantgegevens_B!G298)-LEN(SUBSTITUTE(Klantgegevens_B!G298, ",", ""))+1, Klantgegevens_A!G298)</f>
        <v>1</v>
      </c>
      <c r="G299">
        <f>IF(Klantgegevens_B!G298&lt;&gt;"", 0, Klantgegevens_A!H298)</f>
        <v>0</v>
      </c>
      <c r="H299">
        <f>IF(Klantgegevens_B!H298&lt;&gt;"", Klantgegevens_B!H298, Klantgegevens_A!I298)</f>
        <v>2</v>
      </c>
      <c r="I299" t="str">
        <f>IF(Klantgegevens_B!I298&lt;&gt;"", Klantgegevens_B!I298, SWITCH(Klantgegevens_A!J298, "Zelden", 1, "Af en toe", 4, "Regelmatig", 8, "Vaak", 12))</f>
        <v>Payconiq</v>
      </c>
      <c r="J299" t="str">
        <f>IF(Klantgegevens_B!J298&lt;&gt;"", Klantgegevens_B!J298, Klantgegevens_A!K298)</f>
        <v>nee</v>
      </c>
      <c r="K299">
        <f>IF(Klantgegevens_B!K298&lt;&gt;"", AVERAGE(--(Klantgegevens_B!K298="ja"), --(Klantgegevens_B!L298="ja"), --(Klantgegevens_B!M298="ja"), --(Klantgegevens_B!N298="ja"), --(Klantgegevens_B!O298="ja"))*10, Klantgegevens_A!L298)</f>
        <v>2</v>
      </c>
      <c r="L299" t="str">
        <f>IF(Klantgegevens_B!K298&lt;&gt;"", Klantgegevens_B!K298, IF(Klantgegevens_A!L298&gt;=7, "ja", "nee"))</f>
        <v>ja</v>
      </c>
      <c r="M299" t="str">
        <f>IF(Klantgegevens_B!L298&lt;&gt;"", Klantgegevens_B!L298, IF(Klantgegevens_A!L298&gt;=7, "ja", "nee"))</f>
        <v>nee</v>
      </c>
      <c r="N299" t="str">
        <f>IF(Klantgegevens_B!M298&lt;&gt;"", Klantgegevens_B!M298, IF(Klantgegevens_A!L298&gt;=7, "ja", "nee"))</f>
        <v>nee</v>
      </c>
      <c r="O299" t="str">
        <f>IF(Klantgegevens_B!N298&lt;&gt;"", Klantgegevens_B!N298, IF(Klantgegevens_A!L298&gt;=7, "ja", "nee"))</f>
        <v>nee</v>
      </c>
      <c r="P299" t="str">
        <f>IF(Klantgegevens_B!O298&lt;&gt;"", Klantgegevens_B!O298, IF(Klantgegevens_A!L298&gt;=7, "ja", "nee"))</f>
        <v>Geen dieet</v>
      </c>
      <c r="Q299" t="str">
        <f>IF(Klantgegevens_B!P298&lt;&gt;"", Klantgegevens_B!P298, Klantgegevens_A!M298)</f>
        <v>Geen dieet</v>
      </c>
      <c r="R299" t="str">
        <f>IF(Klantgegevens_B!A298&lt;&gt;"", "B", "A")</f>
        <v>B</v>
      </c>
    </row>
    <row r="300" spans="1:18" x14ac:dyDescent="0.3">
      <c r="A300" t="str">
        <f>IF(Klantgegevens_B!A299&lt;&gt;"", Klantgegevens_B!A299, MID(Klantgegevens_A!A299, FIND(",", Klantgegevens_A!A299)+2, LEN(Klantgegevens_A!A299)))</f>
        <v>Camille</v>
      </c>
      <c r="B300" t="str">
        <f>IF(Klantgegevens_B!B299&lt;&gt;"", Klantgegevens_B!B299, LEFT(Klantgegevens_A!A299, FIND(",", Klantgegevens_A!A299)-1))</f>
        <v>Mathieu</v>
      </c>
      <c r="C300" t="str">
        <f t="shared" ca="1" si="4"/>
        <v/>
      </c>
      <c r="D300" t="str">
        <f>IF(Klantgegevens_B!F299&lt;&gt;"", Klantgegevens_B!F299, Klantgegevens_A!D299 &amp; " " &amp; Klantgegevens_A!E299 &amp; ", " &amp; Klantgegevens_A!F299)</f>
        <v>Camille,Benoit,Albane,Jozef</v>
      </c>
      <c r="E300">
        <f>IF(Klantgegevens_B!G299&lt;&gt;"", Klantgegevens_B!G299, TEXTJOIN(",", TRUE, REPT("Volwassene,", Klantgegevens_A!G299), REPT("Kind,", Klantgegevens_A!H299)))</f>
        <v>165.34</v>
      </c>
      <c r="F300">
        <f>IF(Klantgegevens_B!G299&lt;&gt;"", LEN(Klantgegevens_B!G299)-LEN(SUBSTITUTE(Klantgegevens_B!G299, ",", ""))+1, Klantgegevens_A!G299)</f>
        <v>1</v>
      </c>
      <c r="G300">
        <f>IF(Klantgegevens_B!G299&lt;&gt;"", 0, Klantgegevens_A!H299)</f>
        <v>0</v>
      </c>
      <c r="H300">
        <f>IF(Klantgegevens_B!H299&lt;&gt;"", Klantgegevens_B!H299, Klantgegevens_A!I299)</f>
        <v>15</v>
      </c>
      <c r="I300" t="str">
        <f>IF(Klantgegevens_B!I299&lt;&gt;"", Klantgegevens_B!I299, SWITCH(Klantgegevens_A!J299, "Zelden", 1, "Af en toe", 4, "Regelmatig", 8, "Vaak", 12))</f>
        <v>Payconiq</v>
      </c>
      <c r="J300" t="str">
        <f>IF(Klantgegevens_B!J299&lt;&gt;"", Klantgegevens_B!J299, Klantgegevens_A!K299)</f>
        <v>ja</v>
      </c>
      <c r="K300">
        <f>IF(Klantgegevens_B!K299&lt;&gt;"", AVERAGE(--(Klantgegevens_B!K299="ja"), --(Klantgegevens_B!L299="ja"), --(Klantgegevens_B!M299="ja"), --(Klantgegevens_B!N299="ja"), --(Klantgegevens_B!O299="ja"))*10, Klantgegevens_A!L299)</f>
        <v>8</v>
      </c>
      <c r="L300" t="str">
        <f>IF(Klantgegevens_B!K299&lt;&gt;"", Klantgegevens_B!K299, IF(Klantgegevens_A!L299&gt;=7, "ja", "nee"))</f>
        <v>ja</v>
      </c>
      <c r="M300" t="str">
        <f>IF(Klantgegevens_B!L299&lt;&gt;"", Klantgegevens_B!L299, IF(Klantgegevens_A!L299&gt;=7, "ja", "nee"))</f>
        <v>ja</v>
      </c>
      <c r="N300" t="str">
        <f>IF(Klantgegevens_B!M299&lt;&gt;"", Klantgegevens_B!M299, IF(Klantgegevens_A!L299&gt;=7, "ja", "nee"))</f>
        <v>ja</v>
      </c>
      <c r="O300" t="str">
        <f>IF(Klantgegevens_B!N299&lt;&gt;"", Klantgegevens_B!N299, IF(Klantgegevens_A!L299&gt;=7, "ja", "nee"))</f>
        <v>ja</v>
      </c>
      <c r="P300" t="str">
        <f>IF(Klantgegevens_B!O299&lt;&gt;"", Klantgegevens_B!O299, IF(Klantgegevens_A!L299&gt;=7, "ja", "nee"))</f>
        <v>Veganistisch</v>
      </c>
      <c r="Q300" t="str">
        <f>IF(Klantgegevens_B!P299&lt;&gt;"", Klantgegevens_B!P299, Klantgegevens_A!M299)</f>
        <v>Geen dieet</v>
      </c>
      <c r="R300" t="str">
        <f>IF(Klantgegevens_B!A299&lt;&gt;"", "B", "A")</f>
        <v>B</v>
      </c>
    </row>
    <row r="301" spans="1:18" x14ac:dyDescent="0.3">
      <c r="A301" t="str">
        <f>IF(Klantgegevens_B!A300&lt;&gt;"", Klantgegevens_B!A300, MID(Klantgegevens_A!A300, FIND(",", Klantgegevens_A!A300)+2, LEN(Klantgegevens_A!A300)))</f>
        <v>Hubert</v>
      </c>
      <c r="B301" t="str">
        <f>IF(Klantgegevens_B!B300&lt;&gt;"", Klantgegevens_B!B300, LEFT(Klantgegevens_A!A300, FIND(",", Klantgegevens_A!A300)-1))</f>
        <v>De smet</v>
      </c>
      <c r="C301" t="str">
        <f t="shared" ca="1" si="4"/>
        <v/>
      </c>
      <c r="D301" t="str">
        <f>IF(Klantgegevens_B!F300&lt;&gt;"", Klantgegevens_B!F300, Klantgegevens_A!D300 &amp; " " &amp; Klantgegevens_A!E300 &amp; ", " &amp; Klantgegevens_A!F300)</f>
        <v>Hubert,Luc,Mara</v>
      </c>
      <c r="E301">
        <f>IF(Klantgegevens_B!G300&lt;&gt;"", Klantgegevens_B!G300, TEXTJOIN(",", TRUE, REPT("Volwassene,", Klantgegevens_A!G300), REPT("Kind,", Klantgegevens_A!H300)))</f>
        <v>108.59</v>
      </c>
      <c r="F301">
        <f>IF(Klantgegevens_B!G300&lt;&gt;"", LEN(Klantgegevens_B!G300)-LEN(SUBSTITUTE(Klantgegevens_B!G300, ",", ""))+1, Klantgegevens_A!G300)</f>
        <v>1</v>
      </c>
      <c r="G301">
        <f>IF(Klantgegevens_B!G300&lt;&gt;"", 0, Klantgegevens_A!H300)</f>
        <v>0</v>
      </c>
      <c r="H301">
        <f>IF(Klantgegevens_B!H300&lt;&gt;"", Klantgegevens_B!H300, Klantgegevens_A!I300)</f>
        <v>4</v>
      </c>
      <c r="I301" t="str">
        <f>IF(Klantgegevens_B!I300&lt;&gt;"", Klantgegevens_B!I300, SWITCH(Klantgegevens_A!J300, "Zelden", 1, "Af en toe", 4, "Regelmatig", 8, "Vaak", 12))</f>
        <v>Cash</v>
      </c>
      <c r="J301" t="str">
        <f>IF(Klantgegevens_B!J300&lt;&gt;"", Klantgegevens_B!J300, Klantgegevens_A!K300)</f>
        <v>nee</v>
      </c>
      <c r="K301">
        <f>IF(Klantgegevens_B!K300&lt;&gt;"", AVERAGE(--(Klantgegevens_B!K300="ja"), --(Klantgegevens_B!L300="ja"), --(Klantgegevens_B!M300="ja"), --(Klantgegevens_B!N300="ja"), --(Klantgegevens_B!O300="ja"))*10, Klantgegevens_A!L300)</f>
        <v>8</v>
      </c>
      <c r="L301" t="str">
        <f>IF(Klantgegevens_B!K300&lt;&gt;"", Klantgegevens_B!K300, IF(Klantgegevens_A!L300&gt;=7, "ja", "nee"))</f>
        <v>ja</v>
      </c>
      <c r="M301" t="str">
        <f>IF(Klantgegevens_B!L300&lt;&gt;"", Klantgegevens_B!L300, IF(Klantgegevens_A!L300&gt;=7, "ja", "nee"))</f>
        <v>ja</v>
      </c>
      <c r="N301" t="str">
        <f>IF(Klantgegevens_B!M300&lt;&gt;"", Klantgegevens_B!M300, IF(Klantgegevens_A!L300&gt;=7, "ja", "nee"))</f>
        <v>ja</v>
      </c>
      <c r="O301" t="str">
        <f>IF(Klantgegevens_B!N300&lt;&gt;"", Klantgegevens_B!N300, IF(Klantgegevens_A!L300&gt;=7, "ja", "nee"))</f>
        <v>ja</v>
      </c>
      <c r="P301" t="str">
        <f>IF(Klantgegevens_B!O300&lt;&gt;"", Klantgegevens_B!O300, IF(Klantgegevens_A!L300&gt;=7, "ja", "nee"))</f>
        <v>Geen dieet</v>
      </c>
      <c r="Q301" t="str">
        <f>IF(Klantgegevens_B!P300&lt;&gt;"", Klantgegevens_B!P300, Klantgegevens_A!M300)</f>
        <v>Geen dieet</v>
      </c>
      <c r="R301" t="str">
        <f>IF(Klantgegevens_B!A300&lt;&gt;"", "B", "A")</f>
        <v>B</v>
      </c>
    </row>
    <row r="302" spans="1:18" x14ac:dyDescent="0.3">
      <c r="A302" t="str">
        <f>IF(Klantgegevens_B!A301&lt;&gt;"", Klantgegevens_B!A301, MID(Klantgegevens_A!A301, FIND(",", Klantgegevens_A!A301)+2, LEN(Klantgegevens_A!A301)))</f>
        <v>Josyane</v>
      </c>
      <c r="B302" t="str">
        <f>IF(Klantgegevens_B!B301&lt;&gt;"", Klantgegevens_B!B301, LEFT(Klantgegevens_A!A301, FIND(",", Klantgegevens_A!A301)-1))</f>
        <v>Martens</v>
      </c>
      <c r="C302" t="str">
        <f t="shared" ca="1" si="4"/>
        <v/>
      </c>
      <c r="D302" t="str">
        <f>IF(Klantgegevens_B!F301&lt;&gt;"", Klantgegevens_B!F301, Klantgegevens_A!D301 &amp; " " &amp; Klantgegevens_A!E301 &amp; ", " &amp; Klantgegevens_A!F301)</f>
        <v>Josyane,Toby,Elien,Pablo</v>
      </c>
      <c r="E302">
        <f>IF(Klantgegevens_B!G301&lt;&gt;"", Klantgegevens_B!G301, TEXTJOIN(",", TRUE, REPT("Volwassene,", Klantgegevens_A!G301), REPT("Kind,", Klantgegevens_A!H301)))</f>
        <v>150.33000000000001</v>
      </c>
      <c r="F302">
        <f>IF(Klantgegevens_B!G301&lt;&gt;"", LEN(Klantgegevens_B!G301)-LEN(SUBSTITUTE(Klantgegevens_B!G301, ",", ""))+1, Klantgegevens_A!G301)</f>
        <v>1</v>
      </c>
      <c r="G302">
        <f>IF(Klantgegevens_B!G301&lt;&gt;"", 0, Klantgegevens_A!H301)</f>
        <v>0</v>
      </c>
      <c r="H302">
        <f>IF(Klantgegevens_B!H301&lt;&gt;"", Klantgegevens_B!H301, Klantgegevens_A!I301)</f>
        <v>8</v>
      </c>
      <c r="I302" t="str">
        <f>IF(Klantgegevens_B!I301&lt;&gt;"", Klantgegevens_B!I301, SWITCH(Klantgegevens_A!J301, "Zelden", 1, "Af en toe", 4, "Regelmatig", 8, "Vaak", 12))</f>
        <v>Bancontact</v>
      </c>
      <c r="J302" t="str">
        <f>IF(Klantgegevens_B!J301&lt;&gt;"", Klantgegevens_B!J301, Klantgegevens_A!K301)</f>
        <v>nee</v>
      </c>
      <c r="K302">
        <f>IF(Klantgegevens_B!K301&lt;&gt;"", AVERAGE(--(Klantgegevens_B!K301="ja"), --(Klantgegevens_B!L301="ja"), --(Klantgegevens_B!M301="ja"), --(Klantgegevens_B!N301="ja"), --(Klantgegevens_B!O301="ja"))*10, Klantgegevens_A!L301)</f>
        <v>4</v>
      </c>
      <c r="L302" t="str">
        <f>IF(Klantgegevens_B!K301&lt;&gt;"", Klantgegevens_B!K301, IF(Klantgegevens_A!L301&gt;=7, "ja", "nee"))</f>
        <v>ja</v>
      </c>
      <c r="M302" t="str">
        <f>IF(Klantgegevens_B!L301&lt;&gt;"", Klantgegevens_B!L301, IF(Klantgegevens_A!L301&gt;=7, "ja", "nee"))</f>
        <v>nee</v>
      </c>
      <c r="N302" t="str">
        <f>IF(Klantgegevens_B!M301&lt;&gt;"", Klantgegevens_B!M301, IF(Klantgegevens_A!L301&gt;=7, "ja", "nee"))</f>
        <v>ja</v>
      </c>
      <c r="O302" t="str">
        <f>IF(Klantgegevens_B!N301&lt;&gt;"", Klantgegevens_B!N301, IF(Klantgegevens_A!L301&gt;=7, "ja", "nee"))</f>
        <v>nee</v>
      </c>
      <c r="P302" t="str">
        <f>IF(Klantgegevens_B!O301&lt;&gt;"", Klantgegevens_B!O301, IF(Klantgegevens_A!L301&gt;=7, "ja", "nee"))</f>
        <v>Geen dieet</v>
      </c>
      <c r="Q302" t="str">
        <f>IF(Klantgegevens_B!P301&lt;&gt;"", Klantgegevens_B!P301, Klantgegevens_A!M301)</f>
        <v>Geen dieet</v>
      </c>
      <c r="R302" t="str">
        <f>IF(Klantgegevens_B!A301&lt;&gt;"", "B", "A")</f>
        <v>B</v>
      </c>
    </row>
    <row r="303" spans="1:18" x14ac:dyDescent="0.3">
      <c r="A303" t="str">
        <f>IF(Klantgegevens_B!A302&lt;&gt;"", Klantgegevens_B!A302, MID(Klantgegevens_A!A302, FIND(",", Klantgegevens_A!A302)+2, LEN(Klantgegevens_A!A302)))</f>
        <v>Tim</v>
      </c>
      <c r="B303" t="str">
        <f>IF(Klantgegevens_B!B302&lt;&gt;"", Klantgegevens_B!B302, LEFT(Klantgegevens_A!A302, FIND(",", Klantgegevens_A!A302)-1))</f>
        <v>De vos</v>
      </c>
      <c r="C303" t="str">
        <f t="shared" ca="1" si="4"/>
        <v/>
      </c>
      <c r="D303" t="str">
        <f>IF(Klantgegevens_B!F302&lt;&gt;"", Klantgegevens_B!F302, Klantgegevens_A!D302 &amp; " " &amp; Klantgegevens_A!E302 &amp; ", " &amp; Klantgegevens_A!F302)</f>
        <v>Tim,Isabel,Radu,Paul,Chayenne</v>
      </c>
      <c r="E303">
        <f>IF(Klantgegevens_B!G302&lt;&gt;"", Klantgegevens_B!G302, TEXTJOIN(",", TRUE, REPT("Volwassene,", Klantgegevens_A!G302), REPT("Kind,", Klantgegevens_A!H302)))</f>
        <v>98.87</v>
      </c>
      <c r="F303">
        <f>IF(Klantgegevens_B!G302&lt;&gt;"", LEN(Klantgegevens_B!G302)-LEN(SUBSTITUTE(Klantgegevens_B!G302, ",", ""))+1, Klantgegevens_A!G302)</f>
        <v>1</v>
      </c>
      <c r="G303">
        <f>IF(Klantgegevens_B!G302&lt;&gt;"", 0, Klantgegevens_A!H302)</f>
        <v>0</v>
      </c>
      <c r="H303">
        <f>IF(Klantgegevens_B!H302&lt;&gt;"", Klantgegevens_B!H302, Klantgegevens_A!I302)</f>
        <v>24</v>
      </c>
      <c r="I303" t="str">
        <f>IF(Klantgegevens_B!I302&lt;&gt;"", Klantgegevens_B!I302, SWITCH(Klantgegevens_A!J302, "Zelden", 1, "Af en toe", 4, "Regelmatig", 8, "Vaak", 12))</f>
        <v>Payconiq</v>
      </c>
      <c r="J303" t="str">
        <f>IF(Klantgegevens_B!J302&lt;&gt;"", Klantgegevens_B!J302, Klantgegevens_A!K302)</f>
        <v>nee</v>
      </c>
      <c r="K303">
        <f>IF(Klantgegevens_B!K302&lt;&gt;"", AVERAGE(--(Klantgegevens_B!K302="ja"), --(Klantgegevens_B!L302="ja"), --(Klantgegevens_B!M302="ja"), --(Klantgegevens_B!N302="ja"), --(Klantgegevens_B!O302="ja"))*10, Klantgegevens_A!L302)</f>
        <v>4</v>
      </c>
      <c r="L303" t="str">
        <f>IF(Klantgegevens_B!K302&lt;&gt;"", Klantgegevens_B!K302, IF(Klantgegevens_A!L302&gt;=7, "ja", "nee"))</f>
        <v>nee</v>
      </c>
      <c r="M303" t="str">
        <f>IF(Klantgegevens_B!L302&lt;&gt;"", Klantgegevens_B!L302, IF(Klantgegevens_A!L302&gt;=7, "ja", "nee"))</f>
        <v>ja</v>
      </c>
      <c r="N303" t="str">
        <f>IF(Klantgegevens_B!M302&lt;&gt;"", Klantgegevens_B!M302, IF(Klantgegevens_A!L302&gt;=7, "ja", "nee"))</f>
        <v>ja</v>
      </c>
      <c r="O303" t="str">
        <f>IF(Klantgegevens_B!N302&lt;&gt;"", Klantgegevens_B!N302, IF(Klantgegevens_A!L302&gt;=7, "ja", "nee"))</f>
        <v>nee</v>
      </c>
      <c r="P303" t="str">
        <f>IF(Klantgegevens_B!O302&lt;&gt;"", Klantgegevens_B!O302, IF(Klantgegevens_A!L302&gt;=7, "ja", "nee"))</f>
        <v>Geen dieet</v>
      </c>
      <c r="Q303" t="str">
        <f>IF(Klantgegevens_B!P302&lt;&gt;"", Klantgegevens_B!P302, Klantgegevens_A!M302)</f>
        <v>Geen dieet</v>
      </c>
      <c r="R303" t="str">
        <f>IF(Klantgegevens_B!A302&lt;&gt;"", "B", "A")</f>
        <v>B</v>
      </c>
    </row>
    <row r="304" spans="1:18" x14ac:dyDescent="0.3">
      <c r="A304" t="str">
        <f>IF(Klantgegevens_B!A303&lt;&gt;"", Klantgegevens_B!A303, MID(Klantgegevens_A!A303, FIND(",", Klantgegevens_A!A303)+2, LEN(Klantgegevens_A!A303)))</f>
        <v>Michèle</v>
      </c>
      <c r="B304" t="str">
        <f>IF(Klantgegevens_B!B303&lt;&gt;"", Klantgegevens_B!B303, LEFT(Klantgegevens_A!A303, FIND(",", Klantgegevens_A!A303)-1))</f>
        <v>Bourgeois</v>
      </c>
      <c r="C304" t="str">
        <f t="shared" ca="1" si="4"/>
        <v/>
      </c>
      <c r="D304" t="str">
        <f>IF(Klantgegevens_B!F303&lt;&gt;"", Klantgegevens_B!F303, Klantgegevens_A!D303 &amp; " " &amp; Klantgegevens_A!E303 &amp; ", " &amp; Klantgegevens_A!F303)</f>
        <v>Michèle,Juliette,Marco,Francina</v>
      </c>
      <c r="E304">
        <f>IF(Klantgegevens_B!G303&lt;&gt;"", Klantgegevens_B!G303, TEXTJOIN(",", TRUE, REPT("Volwassene,", Klantgegevens_A!G303), REPT("Kind,", Klantgegevens_A!H303)))</f>
        <v>80.459999999999994</v>
      </c>
      <c r="F304">
        <f>IF(Klantgegevens_B!G303&lt;&gt;"", LEN(Klantgegevens_B!G303)-LEN(SUBSTITUTE(Klantgegevens_B!G303, ",", ""))+1, Klantgegevens_A!G303)</f>
        <v>1</v>
      </c>
      <c r="G304">
        <f>IF(Klantgegevens_B!G303&lt;&gt;"", 0, Klantgegevens_A!H303)</f>
        <v>0</v>
      </c>
      <c r="H304">
        <f>IF(Klantgegevens_B!H303&lt;&gt;"", Klantgegevens_B!H303, Klantgegevens_A!I303)</f>
        <v>18</v>
      </c>
      <c r="I304" t="str">
        <f>IF(Klantgegevens_B!I303&lt;&gt;"", Klantgegevens_B!I303, SWITCH(Klantgegevens_A!J303, "Zelden", 1, "Af en toe", 4, "Regelmatig", 8, "Vaak", 12))</f>
        <v>Cash</v>
      </c>
      <c r="J304" t="str">
        <f>IF(Klantgegevens_B!J303&lt;&gt;"", Klantgegevens_B!J303, Klantgegevens_A!K303)</f>
        <v>ja</v>
      </c>
      <c r="K304">
        <f>IF(Klantgegevens_B!K303&lt;&gt;"", AVERAGE(--(Klantgegevens_B!K303="ja"), --(Klantgegevens_B!L303="ja"), --(Klantgegevens_B!M303="ja"), --(Klantgegevens_B!N303="ja"), --(Klantgegevens_B!O303="ja"))*10, Klantgegevens_A!L303)</f>
        <v>6</v>
      </c>
      <c r="L304" t="str">
        <f>IF(Klantgegevens_B!K303&lt;&gt;"", Klantgegevens_B!K303, IF(Klantgegevens_A!L303&gt;=7, "ja", "nee"))</f>
        <v>ja</v>
      </c>
      <c r="M304" t="str">
        <f>IF(Klantgegevens_B!L303&lt;&gt;"", Klantgegevens_B!L303, IF(Klantgegevens_A!L303&gt;=7, "ja", "nee"))</f>
        <v>ja</v>
      </c>
      <c r="N304" t="str">
        <f>IF(Klantgegevens_B!M303&lt;&gt;"", Klantgegevens_B!M303, IF(Klantgegevens_A!L303&gt;=7, "ja", "nee"))</f>
        <v>nee</v>
      </c>
      <c r="O304" t="str">
        <f>IF(Klantgegevens_B!N303&lt;&gt;"", Klantgegevens_B!N303, IF(Klantgegevens_A!L303&gt;=7, "ja", "nee"))</f>
        <v>ja</v>
      </c>
      <c r="P304" t="str">
        <f>IF(Klantgegevens_B!O303&lt;&gt;"", Klantgegevens_B!O303, IF(Klantgegevens_A!L303&gt;=7, "ja", "nee"))</f>
        <v>Geen dieet</v>
      </c>
      <c r="Q304" t="str">
        <f>IF(Klantgegevens_B!P303&lt;&gt;"", Klantgegevens_B!P303, Klantgegevens_A!M303)</f>
        <v>Geen dieet</v>
      </c>
      <c r="R304" t="str">
        <f>IF(Klantgegevens_B!A303&lt;&gt;"", "B", "A")</f>
        <v>B</v>
      </c>
    </row>
    <row r="305" spans="1:18" x14ac:dyDescent="0.3">
      <c r="A305" t="str">
        <f>IF(Klantgegevens_B!A304&lt;&gt;"", Klantgegevens_B!A304, MID(Klantgegevens_A!A304, FIND(",", Klantgegevens_A!A304)+2, LEN(Klantgegevens_A!A304)))</f>
        <v>Johannes</v>
      </c>
      <c r="B305" t="str">
        <f>IF(Klantgegevens_B!B304&lt;&gt;"", Klantgegevens_B!B304, LEFT(Klantgegevens_A!A304, FIND(",", Klantgegevens_A!A304)-1))</f>
        <v>Lauwers</v>
      </c>
      <c r="C305" t="str">
        <f t="shared" ca="1" si="4"/>
        <v/>
      </c>
      <c r="D305" t="str">
        <f>IF(Klantgegevens_B!F304&lt;&gt;"", Klantgegevens_B!F304, Klantgegevens_A!D304 &amp; " " &amp; Klantgegevens_A!E304 &amp; ", " &amp; Klantgegevens_A!F304)</f>
        <v>Johannes,Yilmaz</v>
      </c>
      <c r="E305">
        <f>IF(Klantgegevens_B!G304&lt;&gt;"", Klantgegevens_B!G304, TEXTJOIN(",", TRUE, REPT("Volwassene,", Klantgegevens_A!G304), REPT("Kind,", Klantgegevens_A!H304)))</f>
        <v>92.63</v>
      </c>
      <c r="F305">
        <f>IF(Klantgegevens_B!G304&lt;&gt;"", LEN(Klantgegevens_B!G304)-LEN(SUBSTITUTE(Klantgegevens_B!G304, ",", ""))+1, Klantgegevens_A!G304)</f>
        <v>1</v>
      </c>
      <c r="G305">
        <f>IF(Klantgegevens_B!G304&lt;&gt;"", 0, Klantgegevens_A!H304)</f>
        <v>0</v>
      </c>
      <c r="H305">
        <f>IF(Klantgegevens_B!H304&lt;&gt;"", Klantgegevens_B!H304, Klantgegevens_A!I304)</f>
        <v>3</v>
      </c>
      <c r="I305" t="str">
        <f>IF(Klantgegevens_B!I304&lt;&gt;"", Klantgegevens_B!I304, SWITCH(Klantgegevens_A!J304, "Zelden", 1, "Af en toe", 4, "Regelmatig", 8, "Vaak", 12))</f>
        <v>Payconiq</v>
      </c>
      <c r="J305" t="str">
        <f>IF(Klantgegevens_B!J304&lt;&gt;"", Klantgegevens_B!J304, Klantgegevens_A!K304)</f>
        <v>ja</v>
      </c>
      <c r="K305">
        <f>IF(Klantgegevens_B!K304&lt;&gt;"", AVERAGE(--(Klantgegevens_B!K304="ja"), --(Klantgegevens_B!L304="ja"), --(Klantgegevens_B!M304="ja"), --(Klantgegevens_B!N304="ja"), --(Klantgegevens_B!O304="ja"))*10, Klantgegevens_A!L304)</f>
        <v>8</v>
      </c>
      <c r="L305" t="str">
        <f>IF(Klantgegevens_B!K304&lt;&gt;"", Klantgegevens_B!K304, IF(Klantgegevens_A!L304&gt;=7, "ja", "nee"))</f>
        <v>ja</v>
      </c>
      <c r="M305" t="str">
        <f>IF(Klantgegevens_B!L304&lt;&gt;"", Klantgegevens_B!L304, IF(Klantgegevens_A!L304&gt;=7, "ja", "nee"))</f>
        <v>ja</v>
      </c>
      <c r="N305" t="str">
        <f>IF(Klantgegevens_B!M304&lt;&gt;"", Klantgegevens_B!M304, IF(Klantgegevens_A!L304&gt;=7, "ja", "nee"))</f>
        <v>ja</v>
      </c>
      <c r="O305" t="str">
        <f>IF(Klantgegevens_B!N304&lt;&gt;"", Klantgegevens_B!N304, IF(Klantgegevens_A!L304&gt;=7, "ja", "nee"))</f>
        <v>ja</v>
      </c>
      <c r="P305" t="str">
        <f>IF(Klantgegevens_B!O304&lt;&gt;"", Klantgegevens_B!O304, IF(Klantgegevens_A!L304&gt;=7, "ja", "nee"))</f>
        <v>Geen dieet</v>
      </c>
      <c r="Q305" t="str">
        <f>IF(Klantgegevens_B!P304&lt;&gt;"", Klantgegevens_B!P304, Klantgegevens_A!M304)</f>
        <v>Geen dieet</v>
      </c>
      <c r="R305" t="str">
        <f>IF(Klantgegevens_B!A304&lt;&gt;"", "B", "A")</f>
        <v>B</v>
      </c>
    </row>
    <row r="306" spans="1:18" x14ac:dyDescent="0.3">
      <c r="A306" t="str">
        <f>IF(Klantgegevens_B!A305&lt;&gt;"", Klantgegevens_B!A305, MID(Klantgegevens_A!A305, FIND(",", Klantgegevens_A!A305)+2, LEN(Klantgegevens_A!A305)))</f>
        <v>Paul</v>
      </c>
      <c r="B306" t="str">
        <f>IF(Klantgegevens_B!B305&lt;&gt;"", Klantgegevens_B!B305, LEFT(Klantgegevens_A!A305, FIND(",", Klantgegevens_A!A305)-1))</f>
        <v>De wit</v>
      </c>
      <c r="C306" t="str">
        <f t="shared" ca="1" si="4"/>
        <v/>
      </c>
      <c r="D306" t="str">
        <f>IF(Klantgegevens_B!F305&lt;&gt;"", Klantgegevens_B!F305, Klantgegevens_A!D305 &amp; " " &amp; Klantgegevens_A!E305 &amp; ", " &amp; Klantgegevens_A!F305)</f>
        <v>Paul,Tilly</v>
      </c>
      <c r="E306">
        <f>IF(Klantgegevens_B!G305&lt;&gt;"", Klantgegevens_B!G305, TEXTJOIN(",", TRUE, REPT("Volwassene,", Klantgegevens_A!G305), REPT("Kind,", Klantgegevens_A!H305)))</f>
        <v>108.8</v>
      </c>
      <c r="F306">
        <f>IF(Klantgegevens_B!G305&lt;&gt;"", LEN(Klantgegevens_B!G305)-LEN(SUBSTITUTE(Klantgegevens_B!G305, ",", ""))+1, Klantgegevens_A!G305)</f>
        <v>1</v>
      </c>
      <c r="G306">
        <f>IF(Klantgegevens_B!G305&lt;&gt;"", 0, Klantgegevens_A!H305)</f>
        <v>0</v>
      </c>
      <c r="H306">
        <f>IF(Klantgegevens_B!H305&lt;&gt;"", Klantgegevens_B!H305, Klantgegevens_A!I305)</f>
        <v>8</v>
      </c>
      <c r="I306" t="str">
        <f>IF(Klantgegevens_B!I305&lt;&gt;"", Klantgegevens_B!I305, SWITCH(Klantgegevens_A!J305, "Zelden", 1, "Af en toe", 4, "Regelmatig", 8, "Vaak", 12))</f>
        <v>Payconiq</v>
      </c>
      <c r="J306" t="str">
        <f>IF(Klantgegevens_B!J305&lt;&gt;"", Klantgegevens_B!J305, Klantgegevens_A!K305)</f>
        <v>ja</v>
      </c>
      <c r="K306">
        <f>IF(Klantgegevens_B!K305&lt;&gt;"", AVERAGE(--(Klantgegevens_B!K305="ja"), --(Klantgegevens_B!L305="ja"), --(Klantgegevens_B!M305="ja"), --(Klantgegevens_B!N305="ja"), --(Klantgegevens_B!O305="ja"))*10, Klantgegevens_A!L305)</f>
        <v>6</v>
      </c>
      <c r="L306" t="str">
        <f>IF(Klantgegevens_B!K305&lt;&gt;"", Klantgegevens_B!K305, IF(Klantgegevens_A!L305&gt;=7, "ja", "nee"))</f>
        <v>ja</v>
      </c>
      <c r="M306" t="str">
        <f>IF(Klantgegevens_B!L305&lt;&gt;"", Klantgegevens_B!L305, IF(Klantgegevens_A!L305&gt;=7, "ja", "nee"))</f>
        <v>ja</v>
      </c>
      <c r="N306" t="str">
        <f>IF(Klantgegevens_B!M305&lt;&gt;"", Klantgegevens_B!M305, IF(Klantgegevens_A!L305&gt;=7, "ja", "nee"))</f>
        <v>nee</v>
      </c>
      <c r="O306" t="str">
        <f>IF(Klantgegevens_B!N305&lt;&gt;"", Klantgegevens_B!N305, IF(Klantgegevens_A!L305&gt;=7, "ja", "nee"))</f>
        <v>ja</v>
      </c>
      <c r="P306" t="str">
        <f>IF(Klantgegevens_B!O305&lt;&gt;"", Klantgegevens_B!O305, IF(Klantgegevens_A!L305&gt;=7, "ja", "nee"))</f>
        <v>Geen dieet</v>
      </c>
      <c r="Q306" t="str">
        <f>IF(Klantgegevens_B!P305&lt;&gt;"", Klantgegevens_B!P305, Klantgegevens_A!M305)</f>
        <v>Vegetarisch</v>
      </c>
      <c r="R306" t="str">
        <f>IF(Klantgegevens_B!A305&lt;&gt;"", "B", "A")</f>
        <v>B</v>
      </c>
    </row>
    <row r="307" spans="1:18" x14ac:dyDescent="0.3">
      <c r="A307" t="str">
        <f>IF(Klantgegevens_B!A306&lt;&gt;"", Klantgegevens_B!A306, MID(Klantgegevens_A!A306, FIND(",", Klantgegevens_A!A306)+2, LEN(Klantgegevens_A!A306)))</f>
        <v>Sven</v>
      </c>
      <c r="B307" t="str">
        <f>IF(Klantgegevens_B!B306&lt;&gt;"", Klantgegevens_B!B306, LEFT(Klantgegevens_A!A306, FIND(",", Klantgegevens_A!A306)-1))</f>
        <v>Collin</v>
      </c>
      <c r="C307" t="str">
        <f t="shared" ca="1" si="4"/>
        <v/>
      </c>
      <c r="D307" t="str">
        <f>IF(Klantgegevens_B!F306&lt;&gt;"", Klantgegevens_B!F306, Klantgegevens_A!D306 &amp; " " &amp; Klantgegevens_A!E306 &amp; ", " &amp; Klantgegevens_A!F306)</f>
        <v>Sven,Lilie,Pedro</v>
      </c>
      <c r="E307">
        <f>IF(Klantgegevens_B!G306&lt;&gt;"", Klantgegevens_B!G306, TEXTJOIN(",", TRUE, REPT("Volwassene,", Klantgegevens_A!G306), REPT("Kind,", Klantgegevens_A!H306)))</f>
        <v>129.47999999999999</v>
      </c>
      <c r="F307">
        <f>IF(Klantgegevens_B!G306&lt;&gt;"", LEN(Klantgegevens_B!G306)-LEN(SUBSTITUTE(Klantgegevens_B!G306, ",", ""))+1, Klantgegevens_A!G306)</f>
        <v>1</v>
      </c>
      <c r="G307">
        <f>IF(Klantgegevens_B!G306&lt;&gt;"", 0, Klantgegevens_A!H306)</f>
        <v>0</v>
      </c>
      <c r="H307">
        <f>IF(Klantgegevens_B!H306&lt;&gt;"", Klantgegevens_B!H306, Klantgegevens_A!I306)</f>
        <v>5</v>
      </c>
      <c r="I307" t="str">
        <f>IF(Klantgegevens_B!I306&lt;&gt;"", Klantgegevens_B!I306, SWITCH(Klantgegevens_A!J306, "Zelden", 1, "Af en toe", 4, "Regelmatig", 8, "Vaak", 12))</f>
        <v>Bancontact</v>
      </c>
      <c r="J307" t="str">
        <f>IF(Klantgegevens_B!J306&lt;&gt;"", Klantgegevens_B!J306, Klantgegevens_A!K306)</f>
        <v>ja</v>
      </c>
      <c r="K307">
        <f>IF(Klantgegevens_B!K306&lt;&gt;"", AVERAGE(--(Klantgegevens_B!K306="ja"), --(Klantgegevens_B!L306="ja"), --(Klantgegevens_B!M306="ja"), --(Klantgegevens_B!N306="ja"), --(Klantgegevens_B!O306="ja"))*10, Klantgegevens_A!L306)</f>
        <v>6</v>
      </c>
      <c r="L307" t="str">
        <f>IF(Klantgegevens_B!K306&lt;&gt;"", Klantgegevens_B!K306, IF(Klantgegevens_A!L306&gt;=7, "ja", "nee"))</f>
        <v>nee</v>
      </c>
      <c r="M307" t="str">
        <f>IF(Klantgegevens_B!L306&lt;&gt;"", Klantgegevens_B!L306, IF(Klantgegevens_A!L306&gt;=7, "ja", "nee"))</f>
        <v>ja</v>
      </c>
      <c r="N307" t="str">
        <f>IF(Klantgegevens_B!M306&lt;&gt;"", Klantgegevens_B!M306, IF(Klantgegevens_A!L306&gt;=7, "ja", "nee"))</f>
        <v>ja</v>
      </c>
      <c r="O307" t="str">
        <f>IF(Klantgegevens_B!N306&lt;&gt;"", Klantgegevens_B!N306, IF(Klantgegevens_A!L306&gt;=7, "ja", "nee"))</f>
        <v>ja</v>
      </c>
      <c r="P307" t="str">
        <f>IF(Klantgegevens_B!O306&lt;&gt;"", Klantgegevens_B!O306, IF(Klantgegevens_A!L306&gt;=7, "ja", "nee"))</f>
        <v>Geen dieet</v>
      </c>
      <c r="Q307" t="str">
        <f>IF(Klantgegevens_B!P306&lt;&gt;"", Klantgegevens_B!P306, Klantgegevens_A!M306)</f>
        <v>Geen dieet</v>
      </c>
      <c r="R307" t="str">
        <f>IF(Klantgegevens_B!A306&lt;&gt;"", "B", "A")</f>
        <v>B</v>
      </c>
    </row>
    <row r="308" spans="1:18" x14ac:dyDescent="0.3">
      <c r="A308" t="str">
        <f>IF(Klantgegevens_B!A307&lt;&gt;"", Klantgegevens_B!A307, MID(Klantgegevens_A!A307, FIND(",", Klantgegevens_A!A307)+2, LEN(Klantgegevens_A!A307)))</f>
        <v>Rachid</v>
      </c>
      <c r="B308" t="str">
        <f>IF(Klantgegevens_B!B307&lt;&gt;"", Klantgegevens_B!B307, LEFT(Klantgegevens_A!A307, FIND(",", Klantgegevens_A!A307)-1))</f>
        <v>Legrand</v>
      </c>
      <c r="C308" t="str">
        <f t="shared" ca="1" si="4"/>
        <v/>
      </c>
      <c r="D308" t="str">
        <f>IF(Klantgegevens_B!F307&lt;&gt;"", Klantgegevens_B!F307, Klantgegevens_A!D307 &amp; " " &amp; Klantgegevens_A!E307 &amp; ", " &amp; Klantgegevens_A!F307)</f>
        <v>Rachid,Soufia,Féline,Nina</v>
      </c>
      <c r="E308">
        <f>IF(Klantgegevens_B!G307&lt;&gt;"", Klantgegevens_B!G307, TEXTJOIN(",", TRUE, REPT("Volwassene,", Klantgegevens_A!G307), REPT("Kind,", Klantgegevens_A!H307)))</f>
        <v>125.47</v>
      </c>
      <c r="F308">
        <f>IF(Klantgegevens_B!G307&lt;&gt;"", LEN(Klantgegevens_B!G307)-LEN(SUBSTITUTE(Klantgegevens_B!G307, ",", ""))+1, Klantgegevens_A!G307)</f>
        <v>1</v>
      </c>
      <c r="G308">
        <f>IF(Klantgegevens_B!G307&lt;&gt;"", 0, Klantgegevens_A!H307)</f>
        <v>0</v>
      </c>
      <c r="H308">
        <f>IF(Klantgegevens_B!H307&lt;&gt;"", Klantgegevens_B!H307, Klantgegevens_A!I307)</f>
        <v>14</v>
      </c>
      <c r="I308" t="str">
        <f>IF(Klantgegevens_B!I307&lt;&gt;"", Klantgegevens_B!I307, SWITCH(Klantgegevens_A!J307, "Zelden", 1, "Af en toe", 4, "Regelmatig", 8, "Vaak", 12))</f>
        <v>Cash</v>
      </c>
      <c r="J308" t="str">
        <f>IF(Klantgegevens_B!J307&lt;&gt;"", Klantgegevens_B!J307, Klantgegevens_A!K307)</f>
        <v>ja</v>
      </c>
      <c r="K308">
        <f>IF(Klantgegevens_B!K307&lt;&gt;"", AVERAGE(--(Klantgegevens_B!K307="ja"), --(Klantgegevens_B!L307="ja"), --(Klantgegevens_B!M307="ja"), --(Klantgegevens_B!N307="ja"), --(Klantgegevens_B!O307="ja"))*10, Klantgegevens_A!L307)</f>
        <v>6</v>
      </c>
      <c r="L308" t="str">
        <f>IF(Klantgegevens_B!K307&lt;&gt;"", Klantgegevens_B!K307, IF(Klantgegevens_A!L307&gt;=7, "ja", "nee"))</f>
        <v>ja</v>
      </c>
      <c r="M308" t="str">
        <f>IF(Klantgegevens_B!L307&lt;&gt;"", Klantgegevens_B!L307, IF(Klantgegevens_A!L307&gt;=7, "ja", "nee"))</f>
        <v>ja</v>
      </c>
      <c r="N308" t="str">
        <f>IF(Klantgegevens_B!M307&lt;&gt;"", Klantgegevens_B!M307, IF(Klantgegevens_A!L307&gt;=7, "ja", "nee"))</f>
        <v>nee</v>
      </c>
      <c r="O308" t="str">
        <f>IF(Klantgegevens_B!N307&lt;&gt;"", Klantgegevens_B!N307, IF(Klantgegevens_A!L307&gt;=7, "ja", "nee"))</f>
        <v>ja</v>
      </c>
      <c r="P308" t="str">
        <f>IF(Klantgegevens_B!O307&lt;&gt;"", Klantgegevens_B!O307, IF(Klantgegevens_A!L307&gt;=7, "ja", "nee"))</f>
        <v>Geen dieet</v>
      </c>
      <c r="Q308" t="str">
        <f>IF(Klantgegevens_B!P307&lt;&gt;"", Klantgegevens_B!P307, Klantgegevens_A!M307)</f>
        <v>Geen dieet</v>
      </c>
      <c r="R308" t="str">
        <f>IF(Klantgegevens_B!A307&lt;&gt;"", "B", "A")</f>
        <v>B</v>
      </c>
    </row>
    <row r="309" spans="1:18" x14ac:dyDescent="0.3">
      <c r="A309" t="str">
        <f>IF(Klantgegevens_B!A308&lt;&gt;"", Klantgegevens_B!A308, MID(Klantgegevens_A!A308, FIND(",", Klantgegevens_A!A308)+2, LEN(Klantgegevens_A!A308)))</f>
        <v>Tony</v>
      </c>
      <c r="B309" t="str">
        <f>IF(Klantgegevens_B!B308&lt;&gt;"", Klantgegevens_B!B308, LEFT(Klantgegevens_A!A308, FIND(",", Klantgegevens_A!A308)-1))</f>
        <v>Leysen</v>
      </c>
      <c r="C309" t="str">
        <f t="shared" ca="1" si="4"/>
        <v/>
      </c>
      <c r="D309" t="str">
        <f>IF(Klantgegevens_B!F308&lt;&gt;"", Klantgegevens_B!F308, Klantgegevens_A!D308 &amp; " " &amp; Klantgegevens_A!E308 &amp; ", " &amp; Klantgegevens_A!F308)</f>
        <v>Tony,Thomas,Mykhailo</v>
      </c>
      <c r="E309">
        <f>IF(Klantgegevens_B!G308&lt;&gt;"", Klantgegevens_B!G308, TEXTJOIN(",", TRUE, REPT("Volwassene,", Klantgegevens_A!G308), REPT("Kind,", Klantgegevens_A!H308)))</f>
        <v>201.57</v>
      </c>
      <c r="F309">
        <f>IF(Klantgegevens_B!G308&lt;&gt;"", LEN(Klantgegevens_B!G308)-LEN(SUBSTITUTE(Klantgegevens_B!G308, ",", ""))+1, Klantgegevens_A!G308)</f>
        <v>1</v>
      </c>
      <c r="G309">
        <f>IF(Klantgegevens_B!G308&lt;&gt;"", 0, Klantgegevens_A!H308)</f>
        <v>0</v>
      </c>
      <c r="H309">
        <f>IF(Klantgegevens_B!H308&lt;&gt;"", Klantgegevens_B!H308, Klantgegevens_A!I308)</f>
        <v>10</v>
      </c>
      <c r="I309" t="str">
        <f>IF(Klantgegevens_B!I308&lt;&gt;"", Klantgegevens_B!I308, SWITCH(Klantgegevens_A!J308, "Zelden", 1, "Af en toe", 4, "Regelmatig", 8, "Vaak", 12))</f>
        <v>Payconiq</v>
      </c>
      <c r="J309" t="str">
        <f>IF(Klantgegevens_B!J308&lt;&gt;"", Klantgegevens_B!J308, Klantgegevens_A!K308)</f>
        <v>ja</v>
      </c>
      <c r="K309">
        <f>IF(Klantgegevens_B!K308&lt;&gt;"", AVERAGE(--(Klantgegevens_B!K308="ja"), --(Klantgegevens_B!L308="ja"), --(Klantgegevens_B!M308="ja"), --(Klantgegevens_B!N308="ja"), --(Klantgegevens_B!O308="ja"))*10, Klantgegevens_A!L308)</f>
        <v>8</v>
      </c>
      <c r="L309" t="str">
        <f>IF(Klantgegevens_B!K308&lt;&gt;"", Klantgegevens_B!K308, IF(Klantgegevens_A!L308&gt;=7, "ja", "nee"))</f>
        <v>ja</v>
      </c>
      <c r="M309" t="str">
        <f>IF(Klantgegevens_B!L308&lt;&gt;"", Klantgegevens_B!L308, IF(Klantgegevens_A!L308&gt;=7, "ja", "nee"))</f>
        <v>ja</v>
      </c>
      <c r="N309" t="str">
        <f>IF(Klantgegevens_B!M308&lt;&gt;"", Klantgegevens_B!M308, IF(Klantgegevens_A!L308&gt;=7, "ja", "nee"))</f>
        <v>ja</v>
      </c>
      <c r="O309" t="str">
        <f>IF(Klantgegevens_B!N308&lt;&gt;"", Klantgegevens_B!N308, IF(Klantgegevens_A!L308&gt;=7, "ja", "nee"))</f>
        <v>ja</v>
      </c>
      <c r="P309" t="str">
        <f>IF(Klantgegevens_B!O308&lt;&gt;"", Klantgegevens_B!O308, IF(Klantgegevens_A!L308&gt;=7, "ja", "nee"))</f>
        <v>Geen dieet</v>
      </c>
      <c r="Q309" t="str">
        <f>IF(Klantgegevens_B!P308&lt;&gt;"", Klantgegevens_B!P308, Klantgegevens_A!M308)</f>
        <v>Geen dieet</v>
      </c>
      <c r="R309" t="str">
        <f>IF(Klantgegevens_B!A308&lt;&gt;"", "B", "A")</f>
        <v>B</v>
      </c>
    </row>
    <row r="310" spans="1:18" x14ac:dyDescent="0.3">
      <c r="A310" t="str">
        <f>IF(Klantgegevens_B!A309&lt;&gt;"", Klantgegevens_B!A309, MID(Klantgegevens_A!A309, FIND(",", Klantgegevens_A!A309)+2, LEN(Klantgegevens_A!A309)))</f>
        <v>Ana</v>
      </c>
      <c r="B310" t="str">
        <f>IF(Klantgegevens_B!B309&lt;&gt;"", Klantgegevens_B!B309, LEFT(Klantgegevens_A!A309, FIND(",", Klantgegevens_A!A309)-1))</f>
        <v>De smet</v>
      </c>
      <c r="C310" t="str">
        <f t="shared" ca="1" si="4"/>
        <v/>
      </c>
      <c r="D310" t="str">
        <f>IF(Klantgegevens_B!F309&lt;&gt;"", Klantgegevens_B!F309, Klantgegevens_A!D309 &amp; " " &amp; Klantgegevens_A!E309 &amp; ", " &amp; Klantgegevens_A!F309)</f>
        <v>Ana,June,Taylor,Mohammed,Arna</v>
      </c>
      <c r="E310">
        <f>IF(Klantgegevens_B!G309&lt;&gt;"", Klantgegevens_B!G309, TEXTJOIN(",", TRUE, REPT("Volwassene,", Klantgegevens_A!G309), REPT("Kind,", Klantgegevens_A!H309)))</f>
        <v>146.44</v>
      </c>
      <c r="F310">
        <f>IF(Klantgegevens_B!G309&lt;&gt;"", LEN(Klantgegevens_B!G309)-LEN(SUBSTITUTE(Klantgegevens_B!G309, ",", ""))+1, Klantgegevens_A!G309)</f>
        <v>1</v>
      </c>
      <c r="G310">
        <f>IF(Klantgegevens_B!G309&lt;&gt;"", 0, Klantgegevens_A!H309)</f>
        <v>0</v>
      </c>
      <c r="H310">
        <f>IF(Klantgegevens_B!H309&lt;&gt;"", Klantgegevens_B!H309, Klantgegevens_A!I309)</f>
        <v>16</v>
      </c>
      <c r="I310" t="str">
        <f>IF(Klantgegevens_B!I309&lt;&gt;"", Klantgegevens_B!I309, SWITCH(Klantgegevens_A!J309, "Zelden", 1, "Af en toe", 4, "Regelmatig", 8, "Vaak", 12))</f>
        <v>Bancontact</v>
      </c>
      <c r="J310" t="str">
        <f>IF(Klantgegevens_B!J309&lt;&gt;"", Klantgegevens_B!J309, Klantgegevens_A!K309)</f>
        <v>ja</v>
      </c>
      <c r="K310">
        <f>IF(Klantgegevens_B!K309&lt;&gt;"", AVERAGE(--(Klantgegevens_B!K309="ja"), --(Klantgegevens_B!L309="ja"), --(Klantgegevens_B!M309="ja"), --(Klantgegevens_B!N309="ja"), --(Klantgegevens_B!O309="ja"))*10, Klantgegevens_A!L309)</f>
        <v>6</v>
      </c>
      <c r="L310" t="str">
        <f>IF(Klantgegevens_B!K309&lt;&gt;"", Klantgegevens_B!K309, IF(Klantgegevens_A!L309&gt;=7, "ja", "nee"))</f>
        <v>ja</v>
      </c>
      <c r="M310" t="str">
        <f>IF(Klantgegevens_B!L309&lt;&gt;"", Klantgegevens_B!L309, IF(Klantgegevens_A!L309&gt;=7, "ja", "nee"))</f>
        <v>nee</v>
      </c>
      <c r="N310" t="str">
        <f>IF(Klantgegevens_B!M309&lt;&gt;"", Klantgegevens_B!M309, IF(Klantgegevens_A!L309&gt;=7, "ja", "nee"))</f>
        <v>ja</v>
      </c>
      <c r="O310" t="str">
        <f>IF(Klantgegevens_B!N309&lt;&gt;"", Klantgegevens_B!N309, IF(Klantgegevens_A!L309&gt;=7, "ja", "nee"))</f>
        <v>ja</v>
      </c>
      <c r="P310" t="str">
        <f>IF(Klantgegevens_B!O309&lt;&gt;"", Klantgegevens_B!O309, IF(Klantgegevens_A!L309&gt;=7, "ja", "nee"))</f>
        <v>Vegetarisch</v>
      </c>
      <c r="Q310" t="str">
        <f>IF(Klantgegevens_B!P309&lt;&gt;"", Klantgegevens_B!P309, Klantgegevens_A!M309)</f>
        <v>Vegetarisch</v>
      </c>
      <c r="R310" t="str">
        <f>IF(Klantgegevens_B!A309&lt;&gt;"", "B", "A")</f>
        <v>B</v>
      </c>
    </row>
    <row r="311" spans="1:18" x14ac:dyDescent="0.3">
      <c r="A311" t="str">
        <f>IF(Klantgegevens_B!A310&lt;&gt;"", Klantgegevens_B!A310, MID(Klantgegevens_A!A310, FIND(",", Klantgegevens_A!A310)+2, LEN(Klantgegevens_A!A310)))</f>
        <v>Nora</v>
      </c>
      <c r="B311" t="str">
        <f>IF(Klantgegevens_B!B310&lt;&gt;"", Klantgegevens_B!B310, LEFT(Klantgegevens_A!A310, FIND(",", Klantgegevens_A!A310)-1))</f>
        <v>Thijs</v>
      </c>
      <c r="C311" t="str">
        <f t="shared" ca="1" si="4"/>
        <v/>
      </c>
      <c r="D311" t="str">
        <f>IF(Klantgegevens_B!F310&lt;&gt;"", Klantgegevens_B!F310, Klantgegevens_A!D310 &amp; " " &amp; Klantgegevens_A!E310 &amp; ", " &amp; Klantgegevens_A!F310)</f>
        <v>Nora,Mats,Roxane,Andreea,Bas</v>
      </c>
      <c r="E311">
        <f>IF(Klantgegevens_B!G310&lt;&gt;"", Klantgegevens_B!G310, TEXTJOIN(",", TRUE, REPT("Volwassene,", Klantgegevens_A!G310), REPT("Kind,", Klantgegevens_A!H310)))</f>
        <v>193.4</v>
      </c>
      <c r="F311">
        <f>IF(Klantgegevens_B!G310&lt;&gt;"", LEN(Klantgegevens_B!G310)-LEN(SUBSTITUTE(Klantgegevens_B!G310, ",", ""))+1, Klantgegevens_A!G310)</f>
        <v>1</v>
      </c>
      <c r="G311">
        <f>IF(Klantgegevens_B!G310&lt;&gt;"", 0, Klantgegevens_A!H310)</f>
        <v>0</v>
      </c>
      <c r="H311">
        <f>IF(Klantgegevens_B!H310&lt;&gt;"", Klantgegevens_B!H310, Klantgegevens_A!I310)</f>
        <v>8</v>
      </c>
      <c r="I311" t="str">
        <f>IF(Klantgegevens_B!I310&lt;&gt;"", Klantgegevens_B!I310, SWITCH(Klantgegevens_A!J310, "Zelden", 1, "Af en toe", 4, "Regelmatig", 8, "Vaak", 12))</f>
        <v>Bancontact</v>
      </c>
      <c r="J311" t="str">
        <f>IF(Klantgegevens_B!J310&lt;&gt;"", Klantgegevens_B!J310, Klantgegevens_A!K310)</f>
        <v>ja</v>
      </c>
      <c r="K311">
        <f>IF(Klantgegevens_B!K310&lt;&gt;"", AVERAGE(--(Klantgegevens_B!K310="ja"), --(Klantgegevens_B!L310="ja"), --(Klantgegevens_B!M310="ja"), --(Klantgegevens_B!N310="ja"), --(Klantgegevens_B!O310="ja"))*10, Klantgegevens_A!L310)</f>
        <v>8</v>
      </c>
      <c r="L311" t="str">
        <f>IF(Klantgegevens_B!K310&lt;&gt;"", Klantgegevens_B!K310, IF(Klantgegevens_A!L310&gt;=7, "ja", "nee"))</f>
        <v>ja</v>
      </c>
      <c r="M311" t="str">
        <f>IF(Klantgegevens_B!L310&lt;&gt;"", Klantgegevens_B!L310, IF(Klantgegevens_A!L310&gt;=7, "ja", "nee"))</f>
        <v>ja</v>
      </c>
      <c r="N311" t="str">
        <f>IF(Klantgegevens_B!M310&lt;&gt;"", Klantgegevens_B!M310, IF(Klantgegevens_A!L310&gt;=7, "ja", "nee"))</f>
        <v>ja</v>
      </c>
      <c r="O311" t="str">
        <f>IF(Klantgegevens_B!N310&lt;&gt;"", Klantgegevens_B!N310, IF(Klantgegevens_A!L310&gt;=7, "ja", "nee"))</f>
        <v>ja</v>
      </c>
      <c r="P311" t="str">
        <f>IF(Klantgegevens_B!O310&lt;&gt;"", Klantgegevens_B!O310, IF(Klantgegevens_A!L310&gt;=7, "ja", "nee"))</f>
        <v>Geen dieet</v>
      </c>
      <c r="Q311" t="str">
        <f>IF(Klantgegevens_B!P310&lt;&gt;"", Klantgegevens_B!P310, Klantgegevens_A!M310)</f>
        <v>Geen dieet</v>
      </c>
      <c r="R311" t="str">
        <f>IF(Klantgegevens_B!A310&lt;&gt;"", "B", "A")</f>
        <v>B</v>
      </c>
    </row>
    <row r="312" spans="1:18" x14ac:dyDescent="0.3">
      <c r="A312" t="str">
        <f>IF(Klantgegevens_B!A311&lt;&gt;"", Klantgegevens_B!A311, MID(Klantgegevens_A!A311, FIND(",", Klantgegevens_A!A311)+2, LEN(Klantgegevens_A!A311)))</f>
        <v>Koen</v>
      </c>
      <c r="B312" t="str">
        <f>IF(Klantgegevens_B!B311&lt;&gt;"", Klantgegevens_B!B311, LEFT(Klantgegevens_A!A311, FIND(",", Klantgegevens_A!A311)-1))</f>
        <v>Goossens</v>
      </c>
      <c r="C312" t="str">
        <f t="shared" ca="1" si="4"/>
        <v/>
      </c>
      <c r="D312" t="str">
        <f>IF(Klantgegevens_B!F311&lt;&gt;"", Klantgegevens_B!F311, Klantgegevens_A!D311 &amp; " " &amp; Klantgegevens_A!E311 &amp; ", " &amp; Klantgegevens_A!F311)</f>
        <v>Koen,Raphaël</v>
      </c>
      <c r="E312">
        <f>IF(Klantgegevens_B!G311&lt;&gt;"", Klantgegevens_B!G311, TEXTJOIN(",", TRUE, REPT("Volwassene,", Klantgegevens_A!G311), REPT("Kind,", Klantgegevens_A!H311)))</f>
        <v>64.5</v>
      </c>
      <c r="F312">
        <f>IF(Klantgegevens_B!G311&lt;&gt;"", LEN(Klantgegevens_B!G311)-LEN(SUBSTITUTE(Klantgegevens_B!G311, ",", ""))+1, Klantgegevens_A!G311)</f>
        <v>1</v>
      </c>
      <c r="G312">
        <f>IF(Klantgegevens_B!G311&lt;&gt;"", 0, Klantgegevens_A!H311)</f>
        <v>0</v>
      </c>
      <c r="H312">
        <f>IF(Klantgegevens_B!H311&lt;&gt;"", Klantgegevens_B!H311, Klantgegevens_A!I311)</f>
        <v>8</v>
      </c>
      <c r="I312" t="str">
        <f>IF(Klantgegevens_B!I311&lt;&gt;"", Klantgegevens_B!I311, SWITCH(Klantgegevens_A!J311, "Zelden", 1, "Af en toe", 4, "Regelmatig", 8, "Vaak", 12))</f>
        <v>Bancontact</v>
      </c>
      <c r="J312" t="str">
        <f>IF(Klantgegevens_B!J311&lt;&gt;"", Klantgegevens_B!J311, Klantgegevens_A!K311)</f>
        <v>ja</v>
      </c>
      <c r="K312">
        <f>IF(Klantgegevens_B!K311&lt;&gt;"", AVERAGE(--(Klantgegevens_B!K311="ja"), --(Klantgegevens_B!L311="ja"), --(Klantgegevens_B!M311="ja"), --(Klantgegevens_B!N311="ja"), --(Klantgegevens_B!O311="ja"))*10, Klantgegevens_A!L311)</f>
        <v>8</v>
      </c>
      <c r="L312" t="str">
        <f>IF(Klantgegevens_B!K311&lt;&gt;"", Klantgegevens_B!K311, IF(Klantgegevens_A!L311&gt;=7, "ja", "nee"))</f>
        <v>ja</v>
      </c>
      <c r="M312" t="str">
        <f>IF(Klantgegevens_B!L311&lt;&gt;"", Klantgegevens_B!L311, IF(Klantgegevens_A!L311&gt;=7, "ja", "nee"))</f>
        <v>ja</v>
      </c>
      <c r="N312" t="str">
        <f>IF(Klantgegevens_B!M311&lt;&gt;"", Klantgegevens_B!M311, IF(Klantgegevens_A!L311&gt;=7, "ja", "nee"))</f>
        <v>ja</v>
      </c>
      <c r="O312" t="str">
        <f>IF(Klantgegevens_B!N311&lt;&gt;"", Klantgegevens_B!N311, IF(Klantgegevens_A!L311&gt;=7, "ja", "nee"))</f>
        <v>ja</v>
      </c>
      <c r="P312" t="str">
        <f>IF(Klantgegevens_B!O311&lt;&gt;"", Klantgegevens_B!O311, IF(Klantgegevens_A!L311&gt;=7, "ja", "nee"))</f>
        <v>Geen dieet</v>
      </c>
      <c r="Q312" t="str">
        <f>IF(Klantgegevens_B!P311&lt;&gt;"", Klantgegevens_B!P311, Klantgegevens_A!M311)</f>
        <v>Veganistisch</v>
      </c>
      <c r="R312" t="str">
        <f>IF(Klantgegevens_B!A311&lt;&gt;"", "B", "A")</f>
        <v>B</v>
      </c>
    </row>
    <row r="313" spans="1:18" x14ac:dyDescent="0.3">
      <c r="A313" t="str">
        <f>IF(Klantgegevens_B!A312&lt;&gt;"", Klantgegevens_B!A312, MID(Klantgegevens_A!A312, FIND(",", Klantgegevens_A!A312)+2, LEN(Klantgegevens_A!A312)))</f>
        <v>Hélène</v>
      </c>
      <c r="B313" t="str">
        <f>IF(Klantgegevens_B!B312&lt;&gt;"", Klantgegevens_B!B312, LEFT(Klantgegevens_A!A312, FIND(",", Klantgegevens_A!A312)-1))</f>
        <v>De wit</v>
      </c>
      <c r="C313" t="str">
        <f t="shared" ca="1" si="4"/>
        <v/>
      </c>
      <c r="D313" t="str">
        <f>IF(Klantgegevens_B!F312&lt;&gt;"", Klantgegevens_B!F312, Klantgegevens_A!D312 &amp; " " &amp; Klantgegevens_A!E312 &amp; ", " &amp; Klantgegevens_A!F312)</f>
        <v>Hélène</v>
      </c>
      <c r="E313">
        <f>IF(Klantgegevens_B!G312&lt;&gt;"", Klantgegevens_B!G312, TEXTJOIN(",", TRUE, REPT("Volwassene,", Klantgegevens_A!G312), REPT("Kind,", Klantgegevens_A!H312)))</f>
        <v>20.350000000000001</v>
      </c>
      <c r="F313">
        <f>IF(Klantgegevens_B!G312&lt;&gt;"", LEN(Klantgegevens_B!G312)-LEN(SUBSTITUTE(Klantgegevens_B!G312, ",", ""))+1, Klantgegevens_A!G312)</f>
        <v>1</v>
      </c>
      <c r="G313">
        <f>IF(Klantgegevens_B!G312&lt;&gt;"", 0, Klantgegevens_A!H312)</f>
        <v>0</v>
      </c>
      <c r="H313">
        <f>IF(Klantgegevens_B!H312&lt;&gt;"", Klantgegevens_B!H312, Klantgegevens_A!I312)</f>
        <v>16</v>
      </c>
      <c r="I313" t="str">
        <f>IF(Klantgegevens_B!I312&lt;&gt;"", Klantgegevens_B!I312, SWITCH(Klantgegevens_A!J312, "Zelden", 1, "Af en toe", 4, "Regelmatig", 8, "Vaak", 12))</f>
        <v>Bancontact</v>
      </c>
      <c r="J313" t="str">
        <f>IF(Klantgegevens_B!J312&lt;&gt;"", Klantgegevens_B!J312, Klantgegevens_A!K312)</f>
        <v>nee</v>
      </c>
      <c r="K313">
        <f>IF(Klantgegevens_B!K312&lt;&gt;"", AVERAGE(--(Klantgegevens_B!K312="ja"), --(Klantgegevens_B!L312="ja"), --(Klantgegevens_B!M312="ja"), --(Klantgegevens_B!N312="ja"), --(Klantgegevens_B!O312="ja"))*10, Klantgegevens_A!L312)</f>
        <v>6</v>
      </c>
      <c r="L313" t="str">
        <f>IF(Klantgegevens_B!K312&lt;&gt;"", Klantgegevens_B!K312, IF(Klantgegevens_A!L312&gt;=7, "ja", "nee"))</f>
        <v>nee</v>
      </c>
      <c r="M313" t="str">
        <f>IF(Klantgegevens_B!L312&lt;&gt;"", Klantgegevens_B!L312, IF(Klantgegevens_A!L312&gt;=7, "ja", "nee"))</f>
        <v>ja</v>
      </c>
      <c r="N313" t="str">
        <f>IF(Klantgegevens_B!M312&lt;&gt;"", Klantgegevens_B!M312, IF(Klantgegevens_A!L312&gt;=7, "ja", "nee"))</f>
        <v>ja</v>
      </c>
      <c r="O313" t="str">
        <f>IF(Klantgegevens_B!N312&lt;&gt;"", Klantgegevens_B!N312, IF(Klantgegevens_A!L312&gt;=7, "ja", "nee"))</f>
        <v>ja</v>
      </c>
      <c r="P313" t="str">
        <f>IF(Klantgegevens_B!O312&lt;&gt;"", Klantgegevens_B!O312, IF(Klantgegevens_A!L312&gt;=7, "ja", "nee"))</f>
        <v>Geen dieet</v>
      </c>
      <c r="Q313" t="str">
        <f>IF(Klantgegevens_B!P312&lt;&gt;"", Klantgegevens_B!P312, Klantgegevens_A!M312)</f>
        <v>Geen dieet</v>
      </c>
      <c r="R313" t="str">
        <f>IF(Klantgegevens_B!A312&lt;&gt;"", "B", "A")</f>
        <v>B</v>
      </c>
    </row>
    <row r="314" spans="1:18" x14ac:dyDescent="0.3">
      <c r="A314" t="str">
        <f>IF(Klantgegevens_B!A313&lt;&gt;"", Klantgegevens_B!A313, MID(Klantgegevens_A!A313, FIND(",", Klantgegevens_A!A313)+2, LEN(Klantgegevens_A!A313)))</f>
        <v>Maria</v>
      </c>
      <c r="B314" t="str">
        <f>IF(Klantgegevens_B!B313&lt;&gt;"", Klantgegevens_B!B313, LEFT(Klantgegevens_A!A313, FIND(",", Klantgegevens_A!A313)-1))</f>
        <v>Bogaerts</v>
      </c>
      <c r="C314" t="str">
        <f t="shared" ca="1" si="4"/>
        <v/>
      </c>
      <c r="D314" t="str">
        <f>IF(Klantgegevens_B!F313&lt;&gt;"", Klantgegevens_B!F313, Klantgegevens_A!D313 &amp; " " &amp; Klantgegevens_A!E313 &amp; ", " &amp; Klantgegevens_A!F313)</f>
        <v>Maria,Marie,Carina,Patricia,Maxime</v>
      </c>
      <c r="E314">
        <f>IF(Klantgegevens_B!G313&lt;&gt;"", Klantgegevens_B!G313, TEXTJOIN(",", TRUE, REPT("Volwassene,", Klantgegevens_A!G313), REPT("Kind,", Klantgegevens_A!H313)))</f>
        <v>184.26</v>
      </c>
      <c r="F314">
        <f>IF(Klantgegevens_B!G313&lt;&gt;"", LEN(Klantgegevens_B!G313)-LEN(SUBSTITUTE(Klantgegevens_B!G313, ",", ""))+1, Klantgegevens_A!G313)</f>
        <v>1</v>
      </c>
      <c r="G314">
        <f>IF(Klantgegevens_B!G313&lt;&gt;"", 0, Klantgegevens_A!H313)</f>
        <v>0</v>
      </c>
      <c r="H314">
        <f>IF(Klantgegevens_B!H313&lt;&gt;"", Klantgegevens_B!H313, Klantgegevens_A!I313)</f>
        <v>1</v>
      </c>
      <c r="I314" t="str">
        <f>IF(Klantgegevens_B!I313&lt;&gt;"", Klantgegevens_B!I313, SWITCH(Klantgegevens_A!J313, "Zelden", 1, "Af en toe", 4, "Regelmatig", 8, "Vaak", 12))</f>
        <v>Bancontact</v>
      </c>
      <c r="J314" t="str">
        <f>IF(Klantgegevens_B!J313&lt;&gt;"", Klantgegevens_B!J313, Klantgegevens_A!K313)</f>
        <v>ja</v>
      </c>
      <c r="K314">
        <f>IF(Klantgegevens_B!K313&lt;&gt;"", AVERAGE(--(Klantgegevens_B!K313="ja"), --(Klantgegevens_B!L313="ja"), --(Klantgegevens_B!M313="ja"), --(Klantgegevens_B!N313="ja"), --(Klantgegevens_B!O313="ja"))*10, Klantgegevens_A!L313)</f>
        <v>4</v>
      </c>
      <c r="L314" t="str">
        <f>IF(Klantgegevens_B!K313&lt;&gt;"", Klantgegevens_B!K313, IF(Klantgegevens_A!L313&gt;=7, "ja", "nee"))</f>
        <v>ja</v>
      </c>
      <c r="M314" t="str">
        <f>IF(Klantgegevens_B!L313&lt;&gt;"", Klantgegevens_B!L313, IF(Klantgegevens_A!L313&gt;=7, "ja", "nee"))</f>
        <v>nee</v>
      </c>
      <c r="N314" t="str">
        <f>IF(Klantgegevens_B!M313&lt;&gt;"", Klantgegevens_B!M313, IF(Klantgegevens_A!L313&gt;=7, "ja", "nee"))</f>
        <v>nee</v>
      </c>
      <c r="O314" t="str">
        <f>IF(Klantgegevens_B!N313&lt;&gt;"", Klantgegevens_B!N313, IF(Klantgegevens_A!L313&gt;=7, "ja", "nee"))</f>
        <v>ja</v>
      </c>
      <c r="P314" t="str">
        <f>IF(Klantgegevens_B!O313&lt;&gt;"", Klantgegevens_B!O313, IF(Klantgegevens_A!L313&gt;=7, "ja", "nee"))</f>
        <v>Vegetarisch</v>
      </c>
      <c r="Q314" t="str">
        <f>IF(Klantgegevens_B!P313&lt;&gt;"", Klantgegevens_B!P313, Klantgegevens_A!M313)</f>
        <v>Geen dieet</v>
      </c>
      <c r="R314" t="str">
        <f>IF(Klantgegevens_B!A313&lt;&gt;"", "B", "A")</f>
        <v>B</v>
      </c>
    </row>
    <row r="315" spans="1:18" x14ac:dyDescent="0.3">
      <c r="A315" t="str">
        <f>IF(Klantgegevens_B!A314&lt;&gt;"", Klantgegevens_B!A314, MID(Klantgegevens_A!A314, FIND(",", Klantgegevens_A!A314)+2, LEN(Klantgegevens_A!A314)))</f>
        <v>Fabritio</v>
      </c>
      <c r="B315" t="str">
        <f>IF(Klantgegevens_B!B314&lt;&gt;"", Klantgegevens_B!B314, LEFT(Klantgegevens_A!A314, FIND(",", Klantgegevens_A!A314)-1))</f>
        <v>Hoste</v>
      </c>
      <c r="C315" t="str">
        <f t="shared" ca="1" si="4"/>
        <v/>
      </c>
      <c r="D315" t="str">
        <f>IF(Klantgegevens_B!F314&lt;&gt;"", Klantgegevens_B!F314, Klantgegevens_A!D314 &amp; " " &amp; Klantgegevens_A!E314 &amp; ", " &amp; Klantgegevens_A!F314)</f>
        <v>Fabritio,Orlanne,Sonja</v>
      </c>
      <c r="E315">
        <f>IF(Klantgegevens_B!G314&lt;&gt;"", Klantgegevens_B!G314, TEXTJOIN(",", TRUE, REPT("Volwassene,", Klantgegevens_A!G314), REPT("Kind,", Klantgegevens_A!H314)))</f>
        <v>114.6</v>
      </c>
      <c r="F315">
        <f>IF(Klantgegevens_B!G314&lt;&gt;"", LEN(Klantgegevens_B!G314)-LEN(SUBSTITUTE(Klantgegevens_B!G314, ",", ""))+1, Klantgegevens_A!G314)</f>
        <v>1</v>
      </c>
      <c r="G315">
        <f>IF(Klantgegevens_B!G314&lt;&gt;"", 0, Klantgegevens_A!H314)</f>
        <v>0</v>
      </c>
      <c r="H315">
        <f>IF(Klantgegevens_B!H314&lt;&gt;"", Klantgegevens_B!H314, Klantgegevens_A!I314)</f>
        <v>6</v>
      </c>
      <c r="I315" t="str">
        <f>IF(Klantgegevens_B!I314&lt;&gt;"", Klantgegevens_B!I314, SWITCH(Klantgegevens_A!J314, "Zelden", 1, "Af en toe", 4, "Regelmatig", 8, "Vaak", 12))</f>
        <v>Cash</v>
      </c>
      <c r="J315" t="str">
        <f>IF(Klantgegevens_B!J314&lt;&gt;"", Klantgegevens_B!J314, Klantgegevens_A!K314)</f>
        <v>nee</v>
      </c>
      <c r="K315">
        <f>IF(Klantgegevens_B!K314&lt;&gt;"", AVERAGE(--(Klantgegevens_B!K314="ja"), --(Klantgegevens_B!L314="ja"), --(Klantgegevens_B!M314="ja"), --(Klantgegevens_B!N314="ja"), --(Klantgegevens_B!O314="ja"))*10, Klantgegevens_A!L314)</f>
        <v>6</v>
      </c>
      <c r="L315" t="str">
        <f>IF(Klantgegevens_B!K314&lt;&gt;"", Klantgegevens_B!K314, IF(Klantgegevens_A!L314&gt;=7, "ja", "nee"))</f>
        <v>ja</v>
      </c>
      <c r="M315" t="str">
        <f>IF(Klantgegevens_B!L314&lt;&gt;"", Klantgegevens_B!L314, IF(Klantgegevens_A!L314&gt;=7, "ja", "nee"))</f>
        <v>ja</v>
      </c>
      <c r="N315" t="str">
        <f>IF(Klantgegevens_B!M314&lt;&gt;"", Klantgegevens_B!M314, IF(Klantgegevens_A!L314&gt;=7, "ja", "nee"))</f>
        <v>nee</v>
      </c>
      <c r="O315" t="str">
        <f>IF(Klantgegevens_B!N314&lt;&gt;"", Klantgegevens_B!N314, IF(Klantgegevens_A!L314&gt;=7, "ja", "nee"))</f>
        <v>ja</v>
      </c>
      <c r="P315" t="str">
        <f>IF(Klantgegevens_B!O314&lt;&gt;"", Klantgegevens_B!O314, IF(Klantgegevens_A!L314&gt;=7, "ja", "nee"))</f>
        <v>Geen dieet</v>
      </c>
      <c r="Q315" t="str">
        <f>IF(Klantgegevens_B!P314&lt;&gt;"", Klantgegevens_B!P314, Klantgegevens_A!M314)</f>
        <v>Geen dieet</v>
      </c>
      <c r="R315" t="str">
        <f>IF(Klantgegevens_B!A314&lt;&gt;"", "B", "A")</f>
        <v>B</v>
      </c>
    </row>
    <row r="316" spans="1:18" x14ac:dyDescent="0.3">
      <c r="A316" t="str">
        <f>IF(Klantgegevens_B!A315&lt;&gt;"", Klantgegevens_B!A315, MID(Klantgegevens_A!A315, FIND(",", Klantgegevens_A!A315)+2, LEN(Klantgegevens_A!A315)))</f>
        <v>Fatima</v>
      </c>
      <c r="B316" t="str">
        <f>IF(Klantgegevens_B!B315&lt;&gt;"", Klantgegevens_B!B315, LEFT(Klantgegevens_A!A315, FIND(",", Klantgegevens_A!A315)-1))</f>
        <v>Vrancken</v>
      </c>
      <c r="C316" t="str">
        <f t="shared" ca="1" si="4"/>
        <v/>
      </c>
      <c r="D316" t="str">
        <f>IF(Klantgegevens_B!F315&lt;&gt;"", Klantgegevens_B!F315, Klantgegevens_A!D315 &amp; " " &amp; Klantgegevens_A!E315 &amp; ", " &amp; Klantgegevens_A!F315)</f>
        <v>Fatima,Elien,Maria,El,Jeroen</v>
      </c>
      <c r="E316">
        <f>IF(Klantgegevens_B!G315&lt;&gt;"", Klantgegevens_B!G315, TEXTJOIN(",", TRUE, REPT("Volwassene,", Klantgegevens_A!G315), REPT("Kind,", Klantgegevens_A!H315)))</f>
        <v>154.32</v>
      </c>
      <c r="F316">
        <f>IF(Klantgegevens_B!G315&lt;&gt;"", LEN(Klantgegevens_B!G315)-LEN(SUBSTITUTE(Klantgegevens_B!G315, ",", ""))+1, Klantgegevens_A!G315)</f>
        <v>1</v>
      </c>
      <c r="G316">
        <f>IF(Klantgegevens_B!G315&lt;&gt;"", 0, Klantgegevens_A!H315)</f>
        <v>0</v>
      </c>
      <c r="H316">
        <f>IF(Klantgegevens_B!H315&lt;&gt;"", Klantgegevens_B!H315, Klantgegevens_A!I315)</f>
        <v>11</v>
      </c>
      <c r="I316" t="str">
        <f>IF(Klantgegevens_B!I315&lt;&gt;"", Klantgegevens_B!I315, SWITCH(Klantgegevens_A!J315, "Zelden", 1, "Af en toe", 4, "Regelmatig", 8, "Vaak", 12))</f>
        <v>Bancontact</v>
      </c>
      <c r="J316" t="str">
        <f>IF(Klantgegevens_B!J315&lt;&gt;"", Klantgegevens_B!J315, Klantgegevens_A!K315)</f>
        <v>ja</v>
      </c>
      <c r="K316">
        <f>IF(Klantgegevens_B!K315&lt;&gt;"", AVERAGE(--(Klantgegevens_B!K315="ja"), --(Klantgegevens_B!L315="ja"), --(Klantgegevens_B!M315="ja"), --(Klantgegevens_B!N315="ja"), --(Klantgegevens_B!O315="ja"))*10, Klantgegevens_A!L315)</f>
        <v>6</v>
      </c>
      <c r="L316" t="str">
        <f>IF(Klantgegevens_B!K315&lt;&gt;"", Klantgegevens_B!K315, IF(Klantgegevens_A!L315&gt;=7, "ja", "nee"))</f>
        <v>ja</v>
      </c>
      <c r="M316" t="str">
        <f>IF(Klantgegevens_B!L315&lt;&gt;"", Klantgegevens_B!L315, IF(Klantgegevens_A!L315&gt;=7, "ja", "nee"))</f>
        <v>ja</v>
      </c>
      <c r="N316" t="str">
        <f>IF(Klantgegevens_B!M315&lt;&gt;"", Klantgegevens_B!M315, IF(Klantgegevens_A!L315&gt;=7, "ja", "nee"))</f>
        <v>nee</v>
      </c>
      <c r="O316" t="str">
        <f>IF(Klantgegevens_B!N315&lt;&gt;"", Klantgegevens_B!N315, IF(Klantgegevens_A!L315&gt;=7, "ja", "nee"))</f>
        <v>ja</v>
      </c>
      <c r="P316" t="str">
        <f>IF(Klantgegevens_B!O315&lt;&gt;"", Klantgegevens_B!O315, IF(Klantgegevens_A!L315&gt;=7, "ja", "nee"))</f>
        <v>Geen dieet</v>
      </c>
      <c r="Q316" t="str">
        <f>IF(Klantgegevens_B!P315&lt;&gt;"", Klantgegevens_B!P315, Klantgegevens_A!M315)</f>
        <v>Geen dieet</v>
      </c>
      <c r="R316" t="str">
        <f>IF(Klantgegevens_B!A315&lt;&gt;"", "B", "A")</f>
        <v>B</v>
      </c>
    </row>
    <row r="317" spans="1:18" x14ac:dyDescent="0.3">
      <c r="A317" t="str">
        <f>IF(Klantgegevens_B!A316&lt;&gt;"", Klantgegevens_B!A316, MID(Klantgegevens_A!A316, FIND(",", Klantgegevens_A!A316)+2, LEN(Klantgegevens_A!A316)))</f>
        <v>Dardan</v>
      </c>
      <c r="B317" t="str">
        <f>IF(Klantgegevens_B!B316&lt;&gt;"", Klantgegevens_B!B316, LEFT(Klantgegevens_A!A316, FIND(",", Klantgegevens_A!A316)-1))</f>
        <v>Moerman</v>
      </c>
      <c r="C317" t="str">
        <f t="shared" ca="1" si="4"/>
        <v/>
      </c>
      <c r="D317" t="str">
        <f>IF(Klantgegevens_B!F316&lt;&gt;"", Klantgegevens_B!F316, Klantgegevens_A!D316 &amp; " " &amp; Klantgegevens_A!E316 &amp; ", " &amp; Klantgegevens_A!F316)</f>
        <v>Dardan,Marieanne</v>
      </c>
      <c r="E317">
        <f>IF(Klantgegevens_B!G316&lt;&gt;"", Klantgegevens_B!G316, TEXTJOIN(",", TRUE, REPT("Volwassene,", Klantgegevens_A!G316), REPT("Kind,", Klantgegevens_A!H316)))</f>
        <v>118.88</v>
      </c>
      <c r="F317">
        <f>IF(Klantgegevens_B!G316&lt;&gt;"", LEN(Klantgegevens_B!G316)-LEN(SUBSTITUTE(Klantgegevens_B!G316, ",", ""))+1, Klantgegevens_A!G316)</f>
        <v>1</v>
      </c>
      <c r="G317">
        <f>IF(Klantgegevens_B!G316&lt;&gt;"", 0, Klantgegevens_A!H316)</f>
        <v>0</v>
      </c>
      <c r="H317">
        <f>IF(Klantgegevens_B!H316&lt;&gt;"", Klantgegevens_B!H316, Klantgegevens_A!I316)</f>
        <v>12</v>
      </c>
      <c r="I317" t="str">
        <f>IF(Klantgegevens_B!I316&lt;&gt;"", Klantgegevens_B!I316, SWITCH(Klantgegevens_A!J316, "Zelden", 1, "Af en toe", 4, "Regelmatig", 8, "Vaak", 12))</f>
        <v>Payconiq</v>
      </c>
      <c r="J317" t="str">
        <f>IF(Klantgegevens_B!J316&lt;&gt;"", Klantgegevens_B!J316, Klantgegevens_A!K316)</f>
        <v>ja</v>
      </c>
      <c r="K317">
        <f>IF(Klantgegevens_B!K316&lt;&gt;"", AVERAGE(--(Klantgegevens_B!K316="ja"), --(Klantgegevens_B!L316="ja"), --(Klantgegevens_B!M316="ja"), --(Klantgegevens_B!N316="ja"), --(Klantgegevens_B!O316="ja"))*10, Klantgegevens_A!L316)</f>
        <v>2</v>
      </c>
      <c r="L317" t="str">
        <f>IF(Klantgegevens_B!K316&lt;&gt;"", Klantgegevens_B!K316, IF(Klantgegevens_A!L316&gt;=7, "ja", "nee"))</f>
        <v>nee</v>
      </c>
      <c r="M317" t="str">
        <f>IF(Klantgegevens_B!L316&lt;&gt;"", Klantgegevens_B!L316, IF(Klantgegevens_A!L316&gt;=7, "ja", "nee"))</f>
        <v>nee</v>
      </c>
      <c r="N317" t="str">
        <f>IF(Klantgegevens_B!M316&lt;&gt;"", Klantgegevens_B!M316, IF(Klantgegevens_A!L316&gt;=7, "ja", "nee"))</f>
        <v>ja</v>
      </c>
      <c r="O317" t="str">
        <f>IF(Klantgegevens_B!N316&lt;&gt;"", Klantgegevens_B!N316, IF(Klantgegevens_A!L316&gt;=7, "ja", "nee"))</f>
        <v>nee</v>
      </c>
      <c r="P317" t="str">
        <f>IF(Klantgegevens_B!O316&lt;&gt;"", Klantgegevens_B!O316, IF(Klantgegevens_A!L316&gt;=7, "ja", "nee"))</f>
        <v>Geen dieet</v>
      </c>
      <c r="Q317" t="str">
        <f>IF(Klantgegevens_B!P316&lt;&gt;"", Klantgegevens_B!P316, Klantgegevens_A!M316)</f>
        <v>Geen dieet</v>
      </c>
      <c r="R317" t="str">
        <f>IF(Klantgegevens_B!A316&lt;&gt;"", "B", "A")</f>
        <v>B</v>
      </c>
    </row>
    <row r="318" spans="1:18" x14ac:dyDescent="0.3">
      <c r="A318" t="str">
        <f>IF(Klantgegevens_B!A317&lt;&gt;"", Klantgegevens_B!A317, MID(Klantgegevens_A!A317, FIND(",", Klantgegevens_A!A317)+2, LEN(Klantgegevens_A!A317)))</f>
        <v>Josée</v>
      </c>
      <c r="B318" t="str">
        <f>IF(Klantgegevens_B!B317&lt;&gt;"", Klantgegevens_B!B317, LEFT(Klantgegevens_A!A317, FIND(",", Klantgegevens_A!A317)-1))</f>
        <v>Van den bergh</v>
      </c>
      <c r="C318" t="str">
        <f t="shared" ca="1" si="4"/>
        <v/>
      </c>
      <c r="D318" t="str">
        <f>IF(Klantgegevens_B!F317&lt;&gt;"", Klantgegevens_B!F317, Klantgegevens_A!D317 &amp; " " &amp; Klantgegevens_A!E317 &amp; ", " &amp; Klantgegevens_A!F317)</f>
        <v>Josée,David,Théo,Carmela,Frédérique</v>
      </c>
      <c r="E318">
        <f>IF(Klantgegevens_B!G317&lt;&gt;"", Klantgegevens_B!G317, TEXTJOIN(",", TRUE, REPT("Volwassene,", Klantgegevens_A!G317), REPT("Kind,", Klantgegevens_A!H317)))</f>
        <v>145.79</v>
      </c>
      <c r="F318">
        <f>IF(Klantgegevens_B!G317&lt;&gt;"", LEN(Klantgegevens_B!G317)-LEN(SUBSTITUTE(Klantgegevens_B!G317, ",", ""))+1, Klantgegevens_A!G317)</f>
        <v>1</v>
      </c>
      <c r="G318">
        <f>IF(Klantgegevens_B!G317&lt;&gt;"", 0, Klantgegevens_A!H317)</f>
        <v>0</v>
      </c>
      <c r="H318">
        <f>IF(Klantgegevens_B!H317&lt;&gt;"", Klantgegevens_B!H317, Klantgegevens_A!I317)</f>
        <v>14</v>
      </c>
      <c r="I318" t="str">
        <f>IF(Klantgegevens_B!I317&lt;&gt;"", Klantgegevens_B!I317, SWITCH(Klantgegevens_A!J317, "Zelden", 1, "Af en toe", 4, "Regelmatig", 8, "Vaak", 12))</f>
        <v>Bancontact</v>
      </c>
      <c r="J318" t="str">
        <f>IF(Klantgegevens_B!J317&lt;&gt;"", Klantgegevens_B!J317, Klantgegevens_A!K317)</f>
        <v>ja</v>
      </c>
      <c r="K318">
        <f>IF(Klantgegevens_B!K317&lt;&gt;"", AVERAGE(--(Klantgegevens_B!K317="ja"), --(Klantgegevens_B!L317="ja"), --(Klantgegevens_B!M317="ja"), --(Klantgegevens_B!N317="ja"), --(Klantgegevens_B!O317="ja"))*10, Klantgegevens_A!L317)</f>
        <v>4</v>
      </c>
      <c r="L318" t="str">
        <f>IF(Klantgegevens_B!K317&lt;&gt;"", Klantgegevens_B!K317, IF(Klantgegevens_A!L317&gt;=7, "ja", "nee"))</f>
        <v>ja</v>
      </c>
      <c r="M318" t="str">
        <f>IF(Klantgegevens_B!L317&lt;&gt;"", Klantgegevens_B!L317, IF(Klantgegevens_A!L317&gt;=7, "ja", "nee"))</f>
        <v>nee</v>
      </c>
      <c r="N318" t="str">
        <f>IF(Klantgegevens_B!M317&lt;&gt;"", Klantgegevens_B!M317, IF(Klantgegevens_A!L317&gt;=7, "ja", "nee"))</f>
        <v>ja</v>
      </c>
      <c r="O318" t="str">
        <f>IF(Klantgegevens_B!N317&lt;&gt;"", Klantgegevens_B!N317, IF(Klantgegevens_A!L317&gt;=7, "ja", "nee"))</f>
        <v>nee</v>
      </c>
      <c r="P318" t="str">
        <f>IF(Klantgegevens_B!O317&lt;&gt;"", Klantgegevens_B!O317, IF(Klantgegevens_A!L317&gt;=7, "ja", "nee"))</f>
        <v>Vegetarisch</v>
      </c>
      <c r="Q318" t="str">
        <f>IF(Klantgegevens_B!P317&lt;&gt;"", Klantgegevens_B!P317, Klantgegevens_A!M317)</f>
        <v>Geen dieet</v>
      </c>
      <c r="R318" t="str">
        <f>IF(Klantgegevens_B!A317&lt;&gt;"", "B", "A")</f>
        <v>B</v>
      </c>
    </row>
    <row r="319" spans="1:18" x14ac:dyDescent="0.3">
      <c r="A319" t="str">
        <f>IF(Klantgegevens_B!A318&lt;&gt;"", Klantgegevens_B!A318, MID(Klantgegevens_A!A318, FIND(",", Klantgegevens_A!A318)+2, LEN(Klantgegevens_A!A318)))</f>
        <v>Tenzin</v>
      </c>
      <c r="B319" t="str">
        <f>IF(Klantgegevens_B!B318&lt;&gt;"", Klantgegevens_B!B318, LEFT(Klantgegevens_A!A318, FIND(",", Klantgegevens_A!A318)-1))</f>
        <v>Janssens</v>
      </c>
      <c r="C319" t="str">
        <f t="shared" ca="1" si="4"/>
        <v/>
      </c>
      <c r="D319" t="str">
        <f>IF(Klantgegevens_B!F318&lt;&gt;"", Klantgegevens_B!F318, Klantgegevens_A!D318 &amp; " " &amp; Klantgegevens_A!E318 &amp; ", " &amp; Klantgegevens_A!F318)</f>
        <v>Tenzin,Dirk,Saar,Jean</v>
      </c>
      <c r="E319">
        <f>IF(Klantgegevens_B!G318&lt;&gt;"", Klantgegevens_B!G318, TEXTJOIN(",", TRUE, REPT("Volwassene,", Klantgegevens_A!G318), REPT("Kind,", Klantgegevens_A!H318)))</f>
        <v>195.52</v>
      </c>
      <c r="F319">
        <f>IF(Klantgegevens_B!G318&lt;&gt;"", LEN(Klantgegevens_B!G318)-LEN(SUBSTITUTE(Klantgegevens_B!G318, ",", ""))+1, Klantgegevens_A!G318)</f>
        <v>1</v>
      </c>
      <c r="G319">
        <f>IF(Klantgegevens_B!G318&lt;&gt;"", 0, Klantgegevens_A!H318)</f>
        <v>0</v>
      </c>
      <c r="H319">
        <f>IF(Klantgegevens_B!H318&lt;&gt;"", Klantgegevens_B!H318, Klantgegevens_A!I318)</f>
        <v>12</v>
      </c>
      <c r="I319" t="str">
        <f>IF(Klantgegevens_B!I318&lt;&gt;"", Klantgegevens_B!I318, SWITCH(Klantgegevens_A!J318, "Zelden", 1, "Af en toe", 4, "Regelmatig", 8, "Vaak", 12))</f>
        <v>Bancontact</v>
      </c>
      <c r="J319" t="str">
        <f>IF(Klantgegevens_B!J318&lt;&gt;"", Klantgegevens_B!J318, Klantgegevens_A!K318)</f>
        <v>ja</v>
      </c>
      <c r="K319">
        <f>IF(Klantgegevens_B!K318&lt;&gt;"", AVERAGE(--(Klantgegevens_B!K318="ja"), --(Klantgegevens_B!L318="ja"), --(Klantgegevens_B!M318="ja"), --(Klantgegevens_B!N318="ja"), --(Klantgegevens_B!O318="ja"))*10, Klantgegevens_A!L318)</f>
        <v>8</v>
      </c>
      <c r="L319" t="str">
        <f>IF(Klantgegevens_B!K318&lt;&gt;"", Klantgegevens_B!K318, IF(Klantgegevens_A!L318&gt;=7, "ja", "nee"))</f>
        <v>ja</v>
      </c>
      <c r="M319" t="str">
        <f>IF(Klantgegevens_B!L318&lt;&gt;"", Klantgegevens_B!L318, IF(Klantgegevens_A!L318&gt;=7, "ja", "nee"))</f>
        <v>ja</v>
      </c>
      <c r="N319" t="str">
        <f>IF(Klantgegevens_B!M318&lt;&gt;"", Klantgegevens_B!M318, IF(Klantgegevens_A!L318&gt;=7, "ja", "nee"))</f>
        <v>ja</v>
      </c>
      <c r="O319" t="str">
        <f>IF(Klantgegevens_B!N318&lt;&gt;"", Klantgegevens_B!N318, IF(Klantgegevens_A!L318&gt;=7, "ja", "nee"))</f>
        <v>ja</v>
      </c>
      <c r="P319" t="str">
        <f>IF(Klantgegevens_B!O318&lt;&gt;"", Klantgegevens_B!O318, IF(Klantgegevens_A!L318&gt;=7, "ja", "nee"))</f>
        <v>Geen dieet</v>
      </c>
      <c r="Q319" t="str">
        <f>IF(Klantgegevens_B!P318&lt;&gt;"", Klantgegevens_B!P318, Klantgegevens_A!M318)</f>
        <v>Geen dieet</v>
      </c>
      <c r="R319" t="str">
        <f>IF(Klantgegevens_B!A318&lt;&gt;"", "B", "A")</f>
        <v>B</v>
      </c>
    </row>
    <row r="320" spans="1:18" x14ac:dyDescent="0.3">
      <c r="A320" t="str">
        <f>IF(Klantgegevens_B!A319&lt;&gt;"", Klantgegevens_B!A319, MID(Klantgegevens_A!A319, FIND(",", Klantgegevens_A!A319)+2, LEN(Klantgegevens_A!A319)))</f>
        <v>Jeannine</v>
      </c>
      <c r="B320" t="str">
        <f>IF(Klantgegevens_B!B319&lt;&gt;"", Klantgegevens_B!B319, LEFT(Klantgegevens_A!A319, FIND(",", Klantgegevens_A!A319)-1))</f>
        <v>Cornelis</v>
      </c>
      <c r="C320" t="str">
        <f t="shared" ca="1" si="4"/>
        <v/>
      </c>
      <c r="D320" t="str">
        <f>IF(Klantgegevens_B!F319&lt;&gt;"", Klantgegevens_B!F319, Klantgegevens_A!D319 &amp; " " &amp; Klantgegevens_A!E319 &amp; ", " &amp; Klantgegevens_A!F319)</f>
        <v>Jeannine,Tom,Henricus,Julien</v>
      </c>
      <c r="E320">
        <f>IF(Klantgegevens_B!G319&lt;&gt;"", Klantgegevens_B!G319, TEXTJOIN(",", TRUE, REPT("Volwassene,", Klantgegevens_A!G319), REPT("Kind,", Klantgegevens_A!H319)))</f>
        <v>126.77</v>
      </c>
      <c r="F320">
        <f>IF(Klantgegevens_B!G319&lt;&gt;"", LEN(Klantgegevens_B!G319)-LEN(SUBSTITUTE(Klantgegevens_B!G319, ",", ""))+1, Klantgegevens_A!G319)</f>
        <v>1</v>
      </c>
      <c r="G320">
        <f>IF(Klantgegevens_B!G319&lt;&gt;"", 0, Klantgegevens_A!H319)</f>
        <v>0</v>
      </c>
      <c r="H320">
        <f>IF(Klantgegevens_B!H319&lt;&gt;"", Klantgegevens_B!H319, Klantgegevens_A!I319)</f>
        <v>5</v>
      </c>
      <c r="I320" t="str">
        <f>IF(Klantgegevens_B!I319&lt;&gt;"", Klantgegevens_B!I319, SWITCH(Klantgegevens_A!J319, "Zelden", 1, "Af en toe", 4, "Regelmatig", 8, "Vaak", 12))</f>
        <v>Cash</v>
      </c>
      <c r="J320" t="str">
        <f>IF(Klantgegevens_B!J319&lt;&gt;"", Klantgegevens_B!J319, Klantgegevens_A!K319)</f>
        <v>nee</v>
      </c>
      <c r="K320">
        <f>IF(Klantgegevens_B!K319&lt;&gt;"", AVERAGE(--(Klantgegevens_B!K319="ja"), --(Klantgegevens_B!L319="ja"), --(Klantgegevens_B!M319="ja"), --(Klantgegevens_B!N319="ja"), --(Klantgegevens_B!O319="ja"))*10, Klantgegevens_A!L319)</f>
        <v>4</v>
      </c>
      <c r="L320" t="str">
        <f>IF(Klantgegevens_B!K319&lt;&gt;"", Klantgegevens_B!K319, IF(Klantgegevens_A!L319&gt;=7, "ja", "nee"))</f>
        <v>nee</v>
      </c>
      <c r="M320" t="str">
        <f>IF(Klantgegevens_B!L319&lt;&gt;"", Klantgegevens_B!L319, IF(Klantgegevens_A!L319&gt;=7, "ja", "nee"))</f>
        <v>ja</v>
      </c>
      <c r="N320" t="str">
        <f>IF(Klantgegevens_B!M319&lt;&gt;"", Klantgegevens_B!M319, IF(Klantgegevens_A!L319&gt;=7, "ja", "nee"))</f>
        <v>ja</v>
      </c>
      <c r="O320" t="str">
        <f>IF(Klantgegevens_B!N319&lt;&gt;"", Klantgegevens_B!N319, IF(Klantgegevens_A!L319&gt;=7, "ja", "nee"))</f>
        <v>nee</v>
      </c>
      <c r="P320" t="str">
        <f>IF(Klantgegevens_B!O319&lt;&gt;"", Klantgegevens_B!O319, IF(Klantgegevens_A!L319&gt;=7, "ja", "nee"))</f>
        <v>Geen dieet</v>
      </c>
      <c r="Q320" t="str">
        <f>IF(Klantgegevens_B!P319&lt;&gt;"", Klantgegevens_B!P319, Klantgegevens_A!M319)</f>
        <v>Geen dieet</v>
      </c>
      <c r="R320" t="str">
        <f>IF(Klantgegevens_B!A319&lt;&gt;"", "B", "A")</f>
        <v>B</v>
      </c>
    </row>
    <row r="321" spans="1:18" x14ac:dyDescent="0.3">
      <c r="A321" t="str">
        <f>IF(Klantgegevens_B!A320&lt;&gt;"", Klantgegevens_B!A320, MID(Klantgegevens_A!A320, FIND(",", Klantgegevens_A!A320)+2, LEN(Klantgegevens_A!A320)))</f>
        <v>Émilie</v>
      </c>
      <c r="B321" t="str">
        <f>IF(Klantgegevens_B!B320&lt;&gt;"", Klantgegevens_B!B320, LEFT(Klantgegevens_A!A320, FIND(",", Klantgegevens_A!A320)-1))</f>
        <v>Guillaume</v>
      </c>
      <c r="C321" t="str">
        <f t="shared" ca="1" si="4"/>
        <v/>
      </c>
      <c r="D321" t="str">
        <f>IF(Klantgegevens_B!F320&lt;&gt;"", Klantgegevens_B!F320, Klantgegevens_A!D320 &amp; " " &amp; Klantgegevens_A!E320 &amp; ", " &amp; Klantgegevens_A!F320)</f>
        <v>Émilie,Cynthia,Maxime,Wim,Benjamin</v>
      </c>
      <c r="E321">
        <f>IF(Klantgegevens_B!G320&lt;&gt;"", Klantgegevens_B!G320, TEXTJOIN(",", TRUE, REPT("Volwassene,", Klantgegevens_A!G320), REPT("Kind,", Klantgegevens_A!H320)))</f>
        <v>23.13</v>
      </c>
      <c r="F321">
        <f>IF(Klantgegevens_B!G320&lt;&gt;"", LEN(Klantgegevens_B!G320)-LEN(SUBSTITUTE(Klantgegevens_B!G320, ",", ""))+1, Klantgegevens_A!G320)</f>
        <v>1</v>
      </c>
      <c r="G321">
        <f>IF(Klantgegevens_B!G320&lt;&gt;"", 0, Klantgegevens_A!H320)</f>
        <v>0</v>
      </c>
      <c r="H321">
        <f>IF(Klantgegevens_B!H320&lt;&gt;"", Klantgegevens_B!H320, Klantgegevens_A!I320)</f>
        <v>5</v>
      </c>
      <c r="I321" t="str">
        <f>IF(Klantgegevens_B!I320&lt;&gt;"", Klantgegevens_B!I320, SWITCH(Klantgegevens_A!J320, "Zelden", 1, "Af en toe", 4, "Regelmatig", 8, "Vaak", 12))</f>
        <v>Creditcard</v>
      </c>
      <c r="J321" t="str">
        <f>IF(Klantgegevens_B!J320&lt;&gt;"", Klantgegevens_B!J320, Klantgegevens_A!K320)</f>
        <v>ja</v>
      </c>
      <c r="K321">
        <f>IF(Klantgegevens_B!K320&lt;&gt;"", AVERAGE(--(Klantgegevens_B!K320="ja"), --(Klantgegevens_B!L320="ja"), --(Klantgegevens_B!M320="ja"), --(Klantgegevens_B!N320="ja"), --(Klantgegevens_B!O320="ja"))*10, Klantgegevens_A!L320)</f>
        <v>8</v>
      </c>
      <c r="L321" t="str">
        <f>IF(Klantgegevens_B!K320&lt;&gt;"", Klantgegevens_B!K320, IF(Klantgegevens_A!L320&gt;=7, "ja", "nee"))</f>
        <v>ja</v>
      </c>
      <c r="M321" t="str">
        <f>IF(Klantgegevens_B!L320&lt;&gt;"", Klantgegevens_B!L320, IF(Klantgegevens_A!L320&gt;=7, "ja", "nee"))</f>
        <v>ja</v>
      </c>
      <c r="N321" t="str">
        <f>IF(Klantgegevens_B!M320&lt;&gt;"", Klantgegevens_B!M320, IF(Klantgegevens_A!L320&gt;=7, "ja", "nee"))</f>
        <v>ja</v>
      </c>
      <c r="O321" t="str">
        <f>IF(Klantgegevens_B!N320&lt;&gt;"", Klantgegevens_B!N320, IF(Klantgegevens_A!L320&gt;=7, "ja", "nee"))</f>
        <v>ja</v>
      </c>
      <c r="P321" t="str">
        <f>IF(Klantgegevens_B!O320&lt;&gt;"", Klantgegevens_B!O320, IF(Klantgegevens_A!L320&gt;=7, "ja", "nee"))</f>
        <v>Geen dieet</v>
      </c>
      <c r="Q321" t="str">
        <f>IF(Klantgegevens_B!P320&lt;&gt;"", Klantgegevens_B!P320, Klantgegevens_A!M320)</f>
        <v>Vegetarisch</v>
      </c>
      <c r="R321" t="str">
        <f>IF(Klantgegevens_B!A320&lt;&gt;"", "B", "A")</f>
        <v>B</v>
      </c>
    </row>
    <row r="322" spans="1:18" x14ac:dyDescent="0.3">
      <c r="A322" t="str">
        <f>IF(Klantgegevens_B!A321&lt;&gt;"", Klantgegevens_B!A321, MID(Klantgegevens_A!A321, FIND(",", Klantgegevens_A!A321)+2, LEN(Klantgegevens_A!A321)))</f>
        <v>Margaretha</v>
      </c>
      <c r="B322" t="str">
        <f>IF(Klantgegevens_B!B321&lt;&gt;"", Klantgegevens_B!B321, LEFT(Klantgegevens_A!A321, FIND(",", Klantgegevens_A!A321)-1))</f>
        <v>Dierckx</v>
      </c>
      <c r="C322" t="str">
        <f t="shared" ca="1" si="4"/>
        <v/>
      </c>
      <c r="D322" t="str">
        <f>IF(Klantgegevens_B!F321&lt;&gt;"", Klantgegevens_B!F321, Klantgegevens_A!D321 &amp; " " &amp; Klantgegevens_A!E321 &amp; ", " &amp; Klantgegevens_A!F321)</f>
        <v>Margaretha</v>
      </c>
      <c r="E322">
        <f>IF(Klantgegevens_B!G321&lt;&gt;"", Klantgegevens_B!G321, TEXTJOIN(",", TRUE, REPT("Volwassene,", Klantgegevens_A!G321), REPT("Kind,", Klantgegevens_A!H321)))</f>
        <v>174.91</v>
      </c>
      <c r="F322">
        <f>IF(Klantgegevens_B!G321&lt;&gt;"", LEN(Klantgegevens_B!G321)-LEN(SUBSTITUTE(Klantgegevens_B!G321, ",", ""))+1, Klantgegevens_A!G321)</f>
        <v>1</v>
      </c>
      <c r="G322">
        <f>IF(Klantgegevens_B!G321&lt;&gt;"", 0, Klantgegevens_A!H321)</f>
        <v>0</v>
      </c>
      <c r="H322">
        <f>IF(Klantgegevens_B!H321&lt;&gt;"", Klantgegevens_B!H321, Klantgegevens_A!I321)</f>
        <v>12</v>
      </c>
      <c r="I322" t="str">
        <f>IF(Klantgegevens_B!I321&lt;&gt;"", Klantgegevens_B!I321, SWITCH(Klantgegevens_A!J321, "Zelden", 1, "Af en toe", 4, "Regelmatig", 8, "Vaak", 12))</f>
        <v>Bancontact</v>
      </c>
      <c r="J322" t="str">
        <f>IF(Klantgegevens_B!J321&lt;&gt;"", Klantgegevens_B!J321, Klantgegevens_A!K321)</f>
        <v>ja</v>
      </c>
      <c r="K322">
        <f>IF(Klantgegevens_B!K321&lt;&gt;"", AVERAGE(--(Klantgegevens_B!K321="ja"), --(Klantgegevens_B!L321="ja"), --(Klantgegevens_B!M321="ja"), --(Klantgegevens_B!N321="ja"), --(Klantgegevens_B!O321="ja"))*10, Klantgegevens_A!L321)</f>
        <v>4</v>
      </c>
      <c r="L322" t="str">
        <f>IF(Klantgegevens_B!K321&lt;&gt;"", Klantgegevens_B!K321, IF(Klantgegevens_A!L321&gt;=7, "ja", "nee"))</f>
        <v>nee</v>
      </c>
      <c r="M322" t="str">
        <f>IF(Klantgegevens_B!L321&lt;&gt;"", Klantgegevens_B!L321, IF(Klantgegevens_A!L321&gt;=7, "ja", "nee"))</f>
        <v>nee</v>
      </c>
      <c r="N322" t="str">
        <f>IF(Klantgegevens_B!M321&lt;&gt;"", Klantgegevens_B!M321, IF(Klantgegevens_A!L321&gt;=7, "ja", "nee"))</f>
        <v>ja</v>
      </c>
      <c r="O322" t="str">
        <f>IF(Klantgegevens_B!N321&lt;&gt;"", Klantgegevens_B!N321, IF(Klantgegevens_A!L321&gt;=7, "ja", "nee"))</f>
        <v>ja</v>
      </c>
      <c r="P322" t="str">
        <f>IF(Klantgegevens_B!O321&lt;&gt;"", Klantgegevens_B!O321, IF(Klantgegevens_A!L321&gt;=7, "ja", "nee"))</f>
        <v>Geen dieet</v>
      </c>
      <c r="Q322" t="str">
        <f>IF(Klantgegevens_B!P321&lt;&gt;"", Klantgegevens_B!P321, Klantgegevens_A!M321)</f>
        <v>Geen dieet</v>
      </c>
      <c r="R322" t="str">
        <f>IF(Klantgegevens_B!A321&lt;&gt;"", "B", "A")</f>
        <v>B</v>
      </c>
    </row>
    <row r="323" spans="1:18" x14ac:dyDescent="0.3">
      <c r="A323" t="str">
        <f>IF(Klantgegevens_B!A322&lt;&gt;"", Klantgegevens_B!A322, MID(Klantgegevens_A!A322, FIND(",", Klantgegevens_A!A322)+2, LEN(Klantgegevens_A!A322)))</f>
        <v>Elien</v>
      </c>
      <c r="B323" t="str">
        <f>IF(Klantgegevens_B!B322&lt;&gt;"", Klantgegevens_B!B322, LEFT(Klantgegevens_A!A322, FIND(",", Klantgegevens_A!A322)-1))</f>
        <v>Dewaele</v>
      </c>
      <c r="C323" t="str">
        <f t="shared" ref="C323:C386" ca="1" si="5">C322 &amp; ", " &amp; B322</f>
        <v/>
      </c>
      <c r="D323" t="str">
        <f>IF(Klantgegevens_B!F322&lt;&gt;"", Klantgegevens_B!F322, Klantgegevens_A!D322 &amp; " " &amp; Klantgegevens_A!E322 &amp; ", " &amp; Klantgegevens_A!F322)</f>
        <v>Elien,Els,Jeannine</v>
      </c>
      <c r="E323">
        <f>IF(Klantgegevens_B!G322&lt;&gt;"", Klantgegevens_B!G322, TEXTJOIN(",", TRUE, REPT("Volwassene,", Klantgegevens_A!G322), REPT("Kind,", Klantgegevens_A!H322)))</f>
        <v>129.91999999999999</v>
      </c>
      <c r="F323">
        <f>IF(Klantgegevens_B!G322&lt;&gt;"", LEN(Klantgegevens_B!G322)-LEN(SUBSTITUTE(Klantgegevens_B!G322, ",", ""))+1, Klantgegevens_A!G322)</f>
        <v>1</v>
      </c>
      <c r="G323">
        <f>IF(Klantgegevens_B!G322&lt;&gt;"", 0, Klantgegevens_A!H322)</f>
        <v>0</v>
      </c>
      <c r="H323">
        <f>IF(Klantgegevens_B!H322&lt;&gt;"", Klantgegevens_B!H322, Klantgegevens_A!I322)</f>
        <v>6</v>
      </c>
      <c r="I323" t="str">
        <f>IF(Klantgegevens_B!I322&lt;&gt;"", Klantgegevens_B!I322, SWITCH(Klantgegevens_A!J322, "Zelden", 1, "Af en toe", 4, "Regelmatig", 8, "Vaak", 12))</f>
        <v>Bancontact</v>
      </c>
      <c r="J323" t="str">
        <f>IF(Klantgegevens_B!J322&lt;&gt;"", Klantgegevens_B!J322, Klantgegevens_A!K322)</f>
        <v>ja</v>
      </c>
      <c r="K323">
        <f>IF(Klantgegevens_B!K322&lt;&gt;"", AVERAGE(--(Klantgegevens_B!K322="ja"), --(Klantgegevens_B!L322="ja"), --(Klantgegevens_B!M322="ja"), --(Klantgegevens_B!N322="ja"), --(Klantgegevens_B!O322="ja"))*10, Klantgegevens_A!L322)</f>
        <v>4</v>
      </c>
      <c r="L323" t="str">
        <f>IF(Klantgegevens_B!K322&lt;&gt;"", Klantgegevens_B!K322, IF(Klantgegevens_A!L322&gt;=7, "ja", "nee"))</f>
        <v>nee</v>
      </c>
      <c r="M323" t="str">
        <f>IF(Klantgegevens_B!L322&lt;&gt;"", Klantgegevens_B!L322, IF(Klantgegevens_A!L322&gt;=7, "ja", "nee"))</f>
        <v>ja</v>
      </c>
      <c r="N323" t="str">
        <f>IF(Klantgegevens_B!M322&lt;&gt;"", Klantgegevens_B!M322, IF(Klantgegevens_A!L322&gt;=7, "ja", "nee"))</f>
        <v>nee</v>
      </c>
      <c r="O323" t="str">
        <f>IF(Klantgegevens_B!N322&lt;&gt;"", Klantgegevens_B!N322, IF(Klantgegevens_A!L322&gt;=7, "ja", "nee"))</f>
        <v>ja</v>
      </c>
      <c r="P323" t="str">
        <f>IF(Klantgegevens_B!O322&lt;&gt;"", Klantgegevens_B!O322, IF(Klantgegevens_A!L322&gt;=7, "ja", "nee"))</f>
        <v>Veganistisch</v>
      </c>
      <c r="Q323" t="str">
        <f>IF(Klantgegevens_B!P322&lt;&gt;"", Klantgegevens_B!P322, Klantgegevens_A!M322)</f>
        <v>Geen dieet</v>
      </c>
      <c r="R323" t="str">
        <f>IF(Klantgegevens_B!A322&lt;&gt;"", "B", "A")</f>
        <v>B</v>
      </c>
    </row>
    <row r="324" spans="1:18" x14ac:dyDescent="0.3">
      <c r="A324" t="str">
        <f>IF(Klantgegevens_B!A323&lt;&gt;"", Klantgegevens_B!A323, MID(Klantgegevens_A!A323, FIND(",", Klantgegevens_A!A323)+2, LEN(Klantgegevens_A!A323)))</f>
        <v>Iara</v>
      </c>
      <c r="B324" t="str">
        <f>IF(Klantgegevens_B!B323&lt;&gt;"", Klantgegevens_B!B323, LEFT(Klantgegevens_A!A323, FIND(",", Klantgegevens_A!A323)-1))</f>
        <v>Engelen</v>
      </c>
      <c r="C324" t="str">
        <f t="shared" ca="1" si="5"/>
        <v/>
      </c>
      <c r="D324" t="str">
        <f>IF(Klantgegevens_B!F323&lt;&gt;"", Klantgegevens_B!F323, Klantgegevens_A!D323 &amp; " " &amp; Klantgegevens_A!E323 &amp; ", " &amp; Klantgegevens_A!F323)</f>
        <v>Iara,Willy</v>
      </c>
      <c r="E324">
        <f>IF(Klantgegevens_B!G323&lt;&gt;"", Klantgegevens_B!G323, TEXTJOIN(",", TRUE, REPT("Volwassene,", Klantgegevens_A!G323), REPT("Kind,", Klantgegevens_A!H323)))</f>
        <v>71.48</v>
      </c>
      <c r="F324">
        <f>IF(Klantgegevens_B!G323&lt;&gt;"", LEN(Klantgegevens_B!G323)-LEN(SUBSTITUTE(Klantgegevens_B!G323, ",", ""))+1, Klantgegevens_A!G323)</f>
        <v>1</v>
      </c>
      <c r="G324">
        <f>IF(Klantgegevens_B!G323&lt;&gt;"", 0, Klantgegevens_A!H323)</f>
        <v>0</v>
      </c>
      <c r="H324">
        <f>IF(Klantgegevens_B!H323&lt;&gt;"", Klantgegevens_B!H323, Klantgegevens_A!I323)</f>
        <v>11</v>
      </c>
      <c r="I324" t="str">
        <f>IF(Klantgegevens_B!I323&lt;&gt;"", Klantgegevens_B!I323, SWITCH(Klantgegevens_A!J323, "Zelden", 1, "Af en toe", 4, "Regelmatig", 8, "Vaak", 12))</f>
        <v>Bancontact</v>
      </c>
      <c r="J324" t="str">
        <f>IF(Klantgegevens_B!J323&lt;&gt;"", Klantgegevens_B!J323, Klantgegevens_A!K323)</f>
        <v>nee</v>
      </c>
      <c r="K324">
        <f>IF(Klantgegevens_B!K323&lt;&gt;"", AVERAGE(--(Klantgegevens_B!K323="ja"), --(Klantgegevens_B!L323="ja"), --(Klantgegevens_B!M323="ja"), --(Klantgegevens_B!N323="ja"), --(Klantgegevens_B!O323="ja"))*10, Klantgegevens_A!L323)</f>
        <v>8</v>
      </c>
      <c r="L324" t="str">
        <f>IF(Klantgegevens_B!K323&lt;&gt;"", Klantgegevens_B!K323, IF(Klantgegevens_A!L323&gt;=7, "ja", "nee"))</f>
        <v>ja</v>
      </c>
      <c r="M324" t="str">
        <f>IF(Klantgegevens_B!L323&lt;&gt;"", Klantgegevens_B!L323, IF(Klantgegevens_A!L323&gt;=7, "ja", "nee"))</f>
        <v>ja</v>
      </c>
      <c r="N324" t="str">
        <f>IF(Klantgegevens_B!M323&lt;&gt;"", Klantgegevens_B!M323, IF(Klantgegevens_A!L323&gt;=7, "ja", "nee"))</f>
        <v>ja</v>
      </c>
      <c r="O324" t="str">
        <f>IF(Klantgegevens_B!N323&lt;&gt;"", Klantgegevens_B!N323, IF(Klantgegevens_A!L323&gt;=7, "ja", "nee"))</f>
        <v>ja</v>
      </c>
      <c r="P324" t="str">
        <f>IF(Klantgegevens_B!O323&lt;&gt;"", Klantgegevens_B!O323, IF(Klantgegevens_A!L323&gt;=7, "ja", "nee"))</f>
        <v>Vegetarisch</v>
      </c>
      <c r="Q324" t="str">
        <f>IF(Klantgegevens_B!P323&lt;&gt;"", Klantgegevens_B!P323, Klantgegevens_A!M323)</f>
        <v>Veganistisch</v>
      </c>
      <c r="R324" t="str">
        <f>IF(Klantgegevens_B!A323&lt;&gt;"", "B", "A")</f>
        <v>B</v>
      </c>
    </row>
    <row r="325" spans="1:18" x14ac:dyDescent="0.3">
      <c r="A325" t="str">
        <f>IF(Klantgegevens_B!A324&lt;&gt;"", Klantgegevens_B!A324, MID(Klantgegevens_A!A324, FIND(",", Klantgegevens_A!A324)+2, LEN(Klantgegevens_A!A324)))</f>
        <v>Maria</v>
      </c>
      <c r="B325" t="str">
        <f>IF(Klantgegevens_B!B324&lt;&gt;"", Klantgegevens_B!B324, LEFT(Klantgegevens_A!A324, FIND(",", Klantgegevens_A!A324)-1))</f>
        <v>Etienne</v>
      </c>
      <c r="C325" t="str">
        <f t="shared" ca="1" si="5"/>
        <v/>
      </c>
      <c r="D325" t="str">
        <f>IF(Klantgegevens_B!F324&lt;&gt;"", Klantgegevens_B!F324, Klantgegevens_A!D324 &amp; " " &amp; Klantgegevens_A!E324 &amp; ", " &amp; Klantgegevens_A!F324)</f>
        <v>Maria,Sarah</v>
      </c>
      <c r="E325">
        <f>IF(Klantgegevens_B!G324&lt;&gt;"", Klantgegevens_B!G324, TEXTJOIN(",", TRUE, REPT("Volwassene,", Klantgegevens_A!G324), REPT("Kind,", Klantgegevens_A!H324)))</f>
        <v>119.58</v>
      </c>
      <c r="F325">
        <f>IF(Klantgegevens_B!G324&lt;&gt;"", LEN(Klantgegevens_B!G324)-LEN(SUBSTITUTE(Klantgegevens_B!G324, ",", ""))+1, Klantgegevens_A!G324)</f>
        <v>1</v>
      </c>
      <c r="G325">
        <f>IF(Klantgegevens_B!G324&lt;&gt;"", 0, Klantgegevens_A!H324)</f>
        <v>0</v>
      </c>
      <c r="H325">
        <f>IF(Klantgegevens_B!H324&lt;&gt;"", Klantgegevens_B!H324, Klantgegevens_A!I324)</f>
        <v>7</v>
      </c>
      <c r="I325" t="str">
        <f>IF(Klantgegevens_B!I324&lt;&gt;"", Klantgegevens_B!I324, SWITCH(Klantgegevens_A!J324, "Zelden", 1, "Af en toe", 4, "Regelmatig", 8, "Vaak", 12))</f>
        <v>Bancontact</v>
      </c>
      <c r="J325" t="str">
        <f>IF(Klantgegevens_B!J324&lt;&gt;"", Klantgegevens_B!J324, Klantgegevens_A!K324)</f>
        <v>ja</v>
      </c>
      <c r="K325">
        <f>IF(Klantgegevens_B!K324&lt;&gt;"", AVERAGE(--(Klantgegevens_B!K324="ja"), --(Klantgegevens_B!L324="ja"), --(Klantgegevens_B!M324="ja"), --(Klantgegevens_B!N324="ja"), --(Klantgegevens_B!O324="ja"))*10, Klantgegevens_A!L324)</f>
        <v>4</v>
      </c>
      <c r="L325" t="str">
        <f>IF(Klantgegevens_B!K324&lt;&gt;"", Klantgegevens_B!K324, IF(Klantgegevens_A!L324&gt;=7, "ja", "nee"))</f>
        <v>nee</v>
      </c>
      <c r="M325" t="str">
        <f>IF(Klantgegevens_B!L324&lt;&gt;"", Klantgegevens_B!L324, IF(Klantgegevens_A!L324&gt;=7, "ja", "nee"))</f>
        <v>nee</v>
      </c>
      <c r="N325" t="str">
        <f>IF(Klantgegevens_B!M324&lt;&gt;"", Klantgegevens_B!M324, IF(Klantgegevens_A!L324&gt;=7, "ja", "nee"))</f>
        <v>ja</v>
      </c>
      <c r="O325" t="str">
        <f>IF(Klantgegevens_B!N324&lt;&gt;"", Klantgegevens_B!N324, IF(Klantgegevens_A!L324&gt;=7, "ja", "nee"))</f>
        <v>ja</v>
      </c>
      <c r="P325" t="str">
        <f>IF(Klantgegevens_B!O324&lt;&gt;"", Klantgegevens_B!O324, IF(Klantgegevens_A!L324&gt;=7, "ja", "nee"))</f>
        <v>Geen dieet</v>
      </c>
      <c r="Q325" t="str">
        <f>IF(Klantgegevens_B!P324&lt;&gt;"", Klantgegevens_B!P324, Klantgegevens_A!M324)</f>
        <v>Geen dieet</v>
      </c>
      <c r="R325" t="str">
        <f>IF(Klantgegevens_B!A324&lt;&gt;"", "B", "A")</f>
        <v>B</v>
      </c>
    </row>
    <row r="326" spans="1:18" x14ac:dyDescent="0.3">
      <c r="A326" t="str">
        <f>IF(Klantgegevens_B!A325&lt;&gt;"", Klantgegevens_B!A325, MID(Klantgegevens_A!A325, FIND(",", Klantgegevens_A!A325)+2, LEN(Klantgegevens_A!A325)))</f>
        <v>Francine</v>
      </c>
      <c r="B326" t="str">
        <f>IF(Klantgegevens_B!B325&lt;&gt;"", Klantgegevens_B!B325, LEFT(Klantgegevens_A!A325, FIND(",", Klantgegevens_A!A325)-1))</f>
        <v>Bogaerts</v>
      </c>
      <c r="C326" t="str">
        <f t="shared" ca="1" si="5"/>
        <v/>
      </c>
      <c r="D326" t="str">
        <f>IF(Klantgegevens_B!F325&lt;&gt;"", Klantgegevens_B!F325, Klantgegevens_A!D325 &amp; " " &amp; Klantgegevens_A!E325 &amp; ", " &amp; Klantgegevens_A!F325)</f>
        <v>Francine,Christine,Sven,Ahmed</v>
      </c>
      <c r="E326">
        <f>IF(Klantgegevens_B!G325&lt;&gt;"", Klantgegevens_B!G325, TEXTJOIN(",", TRUE, REPT("Volwassene,", Klantgegevens_A!G325), REPT("Kind,", Klantgegevens_A!H325)))</f>
        <v>74</v>
      </c>
      <c r="F326">
        <f>IF(Klantgegevens_B!G325&lt;&gt;"", LEN(Klantgegevens_B!G325)-LEN(SUBSTITUTE(Klantgegevens_B!G325, ",", ""))+1, Klantgegevens_A!G325)</f>
        <v>1</v>
      </c>
      <c r="G326">
        <f>IF(Klantgegevens_B!G325&lt;&gt;"", 0, Klantgegevens_A!H325)</f>
        <v>0</v>
      </c>
      <c r="H326">
        <f>IF(Klantgegevens_B!H325&lt;&gt;"", Klantgegevens_B!H325, Klantgegevens_A!I325)</f>
        <v>12</v>
      </c>
      <c r="I326" t="str">
        <f>IF(Klantgegevens_B!I325&lt;&gt;"", Klantgegevens_B!I325, SWITCH(Klantgegevens_A!J325, "Zelden", 1, "Af en toe", 4, "Regelmatig", 8, "Vaak", 12))</f>
        <v>Bancontact</v>
      </c>
      <c r="J326" t="str">
        <f>IF(Klantgegevens_B!J325&lt;&gt;"", Klantgegevens_B!J325, Klantgegevens_A!K325)</f>
        <v>ja</v>
      </c>
      <c r="K326">
        <f>IF(Klantgegevens_B!K325&lt;&gt;"", AVERAGE(--(Klantgegevens_B!K325="ja"), --(Klantgegevens_B!L325="ja"), --(Klantgegevens_B!M325="ja"), --(Klantgegevens_B!N325="ja"), --(Klantgegevens_B!O325="ja"))*10, Klantgegevens_A!L325)</f>
        <v>6</v>
      </c>
      <c r="L326" t="str">
        <f>IF(Klantgegevens_B!K325&lt;&gt;"", Klantgegevens_B!K325, IF(Klantgegevens_A!L325&gt;=7, "ja", "nee"))</f>
        <v>ja</v>
      </c>
      <c r="M326" t="str">
        <f>IF(Klantgegevens_B!L325&lt;&gt;"", Klantgegevens_B!L325, IF(Klantgegevens_A!L325&gt;=7, "ja", "nee"))</f>
        <v>nee</v>
      </c>
      <c r="N326" t="str">
        <f>IF(Klantgegevens_B!M325&lt;&gt;"", Klantgegevens_B!M325, IF(Klantgegevens_A!L325&gt;=7, "ja", "nee"))</f>
        <v>ja</v>
      </c>
      <c r="O326" t="str">
        <f>IF(Klantgegevens_B!N325&lt;&gt;"", Klantgegevens_B!N325, IF(Klantgegevens_A!L325&gt;=7, "ja", "nee"))</f>
        <v>ja</v>
      </c>
      <c r="P326" t="str">
        <f>IF(Klantgegevens_B!O325&lt;&gt;"", Klantgegevens_B!O325, IF(Klantgegevens_A!L325&gt;=7, "ja", "nee"))</f>
        <v>Geen dieet</v>
      </c>
      <c r="Q326" t="str">
        <f>IF(Klantgegevens_B!P325&lt;&gt;"", Klantgegevens_B!P325, Klantgegevens_A!M325)</f>
        <v>Geen dieet</v>
      </c>
      <c r="R326" t="str">
        <f>IF(Klantgegevens_B!A325&lt;&gt;"", "B", "A")</f>
        <v>B</v>
      </c>
    </row>
    <row r="327" spans="1:18" x14ac:dyDescent="0.3">
      <c r="A327" t="str">
        <f>IF(Klantgegevens_B!A326&lt;&gt;"", Klantgegevens_B!A326, MID(Klantgegevens_A!A326, FIND(",", Klantgegevens_A!A326)+2, LEN(Klantgegevens_A!A326)))</f>
        <v>Fabienne</v>
      </c>
      <c r="B327" t="str">
        <f>IF(Klantgegevens_B!B326&lt;&gt;"", Klantgegevens_B!B326, LEFT(Klantgegevens_A!A326, FIND(",", Klantgegevens_A!A326)-1))</f>
        <v>Dupont</v>
      </c>
      <c r="C327" t="str">
        <f t="shared" ca="1" si="5"/>
        <v/>
      </c>
      <c r="D327" t="str">
        <f>IF(Klantgegevens_B!F326&lt;&gt;"", Klantgegevens_B!F326, Klantgegevens_A!D326 &amp; " " &amp; Klantgegevens_A!E326 &amp; ", " &amp; Klantgegevens_A!F326)</f>
        <v>Fabienne</v>
      </c>
      <c r="E327">
        <f>IF(Klantgegevens_B!G326&lt;&gt;"", Klantgegevens_B!G326, TEXTJOIN(",", TRUE, REPT("Volwassene,", Klantgegevens_A!G326), REPT("Kind,", Klantgegevens_A!H326)))</f>
        <v>76.260000000000005</v>
      </c>
      <c r="F327">
        <f>IF(Klantgegevens_B!G326&lt;&gt;"", LEN(Klantgegevens_B!G326)-LEN(SUBSTITUTE(Klantgegevens_B!G326, ",", ""))+1, Klantgegevens_A!G326)</f>
        <v>1</v>
      </c>
      <c r="G327">
        <f>IF(Klantgegevens_B!G326&lt;&gt;"", 0, Klantgegevens_A!H326)</f>
        <v>0</v>
      </c>
      <c r="H327">
        <f>IF(Klantgegevens_B!H326&lt;&gt;"", Klantgegevens_B!H326, Klantgegevens_A!I326)</f>
        <v>15</v>
      </c>
      <c r="I327" t="str">
        <f>IF(Klantgegevens_B!I326&lt;&gt;"", Klantgegevens_B!I326, SWITCH(Klantgegevens_A!J326, "Zelden", 1, "Af en toe", 4, "Regelmatig", 8, "Vaak", 12))</f>
        <v>Bancontact</v>
      </c>
      <c r="J327" t="str">
        <f>IF(Klantgegevens_B!J326&lt;&gt;"", Klantgegevens_B!J326, Klantgegevens_A!K326)</f>
        <v>ja</v>
      </c>
      <c r="K327">
        <f>IF(Klantgegevens_B!K326&lt;&gt;"", AVERAGE(--(Klantgegevens_B!K326="ja"), --(Klantgegevens_B!L326="ja"), --(Klantgegevens_B!M326="ja"), --(Klantgegevens_B!N326="ja"), --(Klantgegevens_B!O326="ja"))*10, Klantgegevens_A!L326)</f>
        <v>6</v>
      </c>
      <c r="L327" t="str">
        <f>IF(Klantgegevens_B!K326&lt;&gt;"", Klantgegevens_B!K326, IF(Klantgegevens_A!L326&gt;=7, "ja", "nee"))</f>
        <v>ja</v>
      </c>
      <c r="M327" t="str">
        <f>IF(Klantgegevens_B!L326&lt;&gt;"", Klantgegevens_B!L326, IF(Klantgegevens_A!L326&gt;=7, "ja", "nee"))</f>
        <v>nee</v>
      </c>
      <c r="N327" t="str">
        <f>IF(Klantgegevens_B!M326&lt;&gt;"", Klantgegevens_B!M326, IF(Klantgegevens_A!L326&gt;=7, "ja", "nee"))</f>
        <v>ja</v>
      </c>
      <c r="O327" t="str">
        <f>IF(Klantgegevens_B!N326&lt;&gt;"", Klantgegevens_B!N326, IF(Klantgegevens_A!L326&gt;=7, "ja", "nee"))</f>
        <v>ja</v>
      </c>
      <c r="P327" t="str">
        <f>IF(Klantgegevens_B!O326&lt;&gt;"", Klantgegevens_B!O326, IF(Klantgegevens_A!L326&gt;=7, "ja", "nee"))</f>
        <v>Geen dieet</v>
      </c>
      <c r="Q327" t="str">
        <f>IF(Klantgegevens_B!P326&lt;&gt;"", Klantgegevens_B!P326, Klantgegevens_A!M326)</f>
        <v>Veganistisch</v>
      </c>
      <c r="R327" t="str">
        <f>IF(Klantgegevens_B!A326&lt;&gt;"", "B", "A")</f>
        <v>B</v>
      </c>
    </row>
    <row r="328" spans="1:18" x14ac:dyDescent="0.3">
      <c r="A328" t="str">
        <f>IF(Klantgegevens_B!A327&lt;&gt;"", Klantgegevens_B!A327, MID(Klantgegevens_A!A327, FIND(",", Klantgegevens_A!A327)+2, LEN(Klantgegevens_A!A327)))</f>
        <v>Lot</v>
      </c>
      <c r="B328" t="str">
        <f>IF(Klantgegevens_B!B327&lt;&gt;"", Klantgegevens_B!B327, LEFT(Klantgegevens_A!A327, FIND(",", Klantgegevens_A!A327)-1))</f>
        <v>Coppens</v>
      </c>
      <c r="C328" t="str">
        <f t="shared" ca="1" si="5"/>
        <v/>
      </c>
      <c r="D328" t="str">
        <f>IF(Klantgegevens_B!F327&lt;&gt;"", Klantgegevens_B!F327, Klantgegevens_A!D327 &amp; " " &amp; Klantgegevens_A!E327 &amp; ", " &amp; Klantgegevens_A!F327)</f>
        <v>Lot</v>
      </c>
      <c r="E328">
        <f>IF(Klantgegevens_B!G327&lt;&gt;"", Klantgegevens_B!G327, TEXTJOIN(",", TRUE, REPT("Volwassene,", Klantgegevens_A!G327), REPT("Kind,", Klantgegevens_A!H327)))</f>
        <v>19.54</v>
      </c>
      <c r="F328">
        <f>IF(Klantgegevens_B!G327&lt;&gt;"", LEN(Klantgegevens_B!G327)-LEN(SUBSTITUTE(Klantgegevens_B!G327, ",", ""))+1, Klantgegevens_A!G327)</f>
        <v>1</v>
      </c>
      <c r="G328">
        <f>IF(Klantgegevens_B!G327&lt;&gt;"", 0, Klantgegevens_A!H327)</f>
        <v>0</v>
      </c>
      <c r="H328">
        <f>IF(Klantgegevens_B!H327&lt;&gt;"", Klantgegevens_B!H327, Klantgegevens_A!I327)</f>
        <v>19</v>
      </c>
      <c r="I328" t="str">
        <f>IF(Klantgegevens_B!I327&lt;&gt;"", Klantgegevens_B!I327, SWITCH(Klantgegevens_A!J327, "Zelden", 1, "Af en toe", 4, "Regelmatig", 8, "Vaak", 12))</f>
        <v>Cash</v>
      </c>
      <c r="J328" t="str">
        <f>IF(Klantgegevens_B!J327&lt;&gt;"", Klantgegevens_B!J327, Klantgegevens_A!K327)</f>
        <v>ja</v>
      </c>
      <c r="K328">
        <f>IF(Klantgegevens_B!K327&lt;&gt;"", AVERAGE(--(Klantgegevens_B!K327="ja"), --(Klantgegevens_B!L327="ja"), --(Klantgegevens_B!M327="ja"), --(Klantgegevens_B!N327="ja"), --(Klantgegevens_B!O327="ja"))*10, Klantgegevens_A!L327)</f>
        <v>6</v>
      </c>
      <c r="L328" t="str">
        <f>IF(Klantgegevens_B!K327&lt;&gt;"", Klantgegevens_B!K327, IF(Klantgegevens_A!L327&gt;=7, "ja", "nee"))</f>
        <v>ja</v>
      </c>
      <c r="M328" t="str">
        <f>IF(Klantgegevens_B!L327&lt;&gt;"", Klantgegevens_B!L327, IF(Klantgegevens_A!L327&gt;=7, "ja", "nee"))</f>
        <v>ja</v>
      </c>
      <c r="N328" t="str">
        <f>IF(Klantgegevens_B!M327&lt;&gt;"", Klantgegevens_B!M327, IF(Klantgegevens_A!L327&gt;=7, "ja", "nee"))</f>
        <v>nee</v>
      </c>
      <c r="O328" t="str">
        <f>IF(Klantgegevens_B!N327&lt;&gt;"", Klantgegevens_B!N327, IF(Klantgegevens_A!L327&gt;=7, "ja", "nee"))</f>
        <v>ja</v>
      </c>
      <c r="P328" t="str">
        <f>IF(Klantgegevens_B!O327&lt;&gt;"", Klantgegevens_B!O327, IF(Klantgegevens_A!L327&gt;=7, "ja", "nee"))</f>
        <v>Geen dieet</v>
      </c>
      <c r="Q328" t="str">
        <f>IF(Klantgegevens_B!P327&lt;&gt;"", Klantgegevens_B!P327, Klantgegevens_A!M327)</f>
        <v>Geen dieet</v>
      </c>
      <c r="R328" t="str">
        <f>IF(Klantgegevens_B!A327&lt;&gt;"", "B", "A")</f>
        <v>B</v>
      </c>
    </row>
    <row r="329" spans="1:18" x14ac:dyDescent="0.3">
      <c r="A329" t="str">
        <f>IF(Klantgegevens_B!A328&lt;&gt;"", Klantgegevens_B!A328, MID(Klantgegevens_A!A328, FIND(",", Klantgegevens_A!A328)+2, LEN(Klantgegevens_A!A328)))</f>
        <v>Thomas</v>
      </c>
      <c r="B329" t="str">
        <f>IF(Klantgegevens_B!B328&lt;&gt;"", Klantgegevens_B!B328, LEFT(Klantgegevens_A!A328, FIND(",", Klantgegevens_A!A328)-1))</f>
        <v>Cuvelier</v>
      </c>
      <c r="C329" t="str">
        <f t="shared" ca="1" si="5"/>
        <v/>
      </c>
      <c r="D329" t="str">
        <f>IF(Klantgegevens_B!F328&lt;&gt;"", Klantgegevens_B!F328, Klantgegevens_A!D328 &amp; " " &amp; Klantgegevens_A!E328 &amp; ", " &amp; Klantgegevens_A!F328)</f>
        <v>Thomas,Thomas,Nassim,Laurens</v>
      </c>
      <c r="E329">
        <f>IF(Klantgegevens_B!G328&lt;&gt;"", Klantgegevens_B!G328, TEXTJOIN(",", TRUE, REPT("Volwassene,", Klantgegevens_A!G328), REPT("Kind,", Klantgegevens_A!H328)))</f>
        <v>237.9</v>
      </c>
      <c r="F329">
        <f>IF(Klantgegevens_B!G328&lt;&gt;"", LEN(Klantgegevens_B!G328)-LEN(SUBSTITUTE(Klantgegevens_B!G328, ",", ""))+1, Klantgegevens_A!G328)</f>
        <v>1</v>
      </c>
      <c r="G329">
        <f>IF(Klantgegevens_B!G328&lt;&gt;"", 0, Klantgegevens_A!H328)</f>
        <v>0</v>
      </c>
      <c r="H329">
        <f>IF(Klantgegevens_B!H328&lt;&gt;"", Klantgegevens_B!H328, Klantgegevens_A!I328)</f>
        <v>5</v>
      </c>
      <c r="I329" t="str">
        <f>IF(Klantgegevens_B!I328&lt;&gt;"", Klantgegevens_B!I328, SWITCH(Klantgegevens_A!J328, "Zelden", 1, "Af en toe", 4, "Regelmatig", 8, "Vaak", 12))</f>
        <v>Payconiq</v>
      </c>
      <c r="J329" t="str">
        <f>IF(Klantgegevens_B!J328&lt;&gt;"", Klantgegevens_B!J328, Klantgegevens_A!K328)</f>
        <v>ja</v>
      </c>
      <c r="K329">
        <f>IF(Klantgegevens_B!K328&lt;&gt;"", AVERAGE(--(Klantgegevens_B!K328="ja"), --(Klantgegevens_B!L328="ja"), --(Klantgegevens_B!M328="ja"), --(Klantgegevens_B!N328="ja"), --(Klantgegevens_B!O328="ja"))*10, Klantgegevens_A!L328)</f>
        <v>8</v>
      </c>
      <c r="L329" t="str">
        <f>IF(Klantgegevens_B!K328&lt;&gt;"", Klantgegevens_B!K328, IF(Klantgegevens_A!L328&gt;=7, "ja", "nee"))</f>
        <v>ja</v>
      </c>
      <c r="M329" t="str">
        <f>IF(Klantgegevens_B!L328&lt;&gt;"", Klantgegevens_B!L328, IF(Klantgegevens_A!L328&gt;=7, "ja", "nee"))</f>
        <v>ja</v>
      </c>
      <c r="N329" t="str">
        <f>IF(Klantgegevens_B!M328&lt;&gt;"", Klantgegevens_B!M328, IF(Klantgegevens_A!L328&gt;=7, "ja", "nee"))</f>
        <v>ja</v>
      </c>
      <c r="O329" t="str">
        <f>IF(Klantgegevens_B!N328&lt;&gt;"", Klantgegevens_B!N328, IF(Klantgegevens_A!L328&gt;=7, "ja", "nee"))</f>
        <v>ja</v>
      </c>
      <c r="P329" t="str">
        <f>IF(Klantgegevens_B!O328&lt;&gt;"", Klantgegevens_B!O328, IF(Klantgegevens_A!L328&gt;=7, "ja", "nee"))</f>
        <v>Geen dieet</v>
      </c>
      <c r="Q329" t="str">
        <f>IF(Klantgegevens_B!P328&lt;&gt;"", Klantgegevens_B!P328, Klantgegevens_A!M328)</f>
        <v>Vegetarisch</v>
      </c>
      <c r="R329" t="str">
        <f>IF(Klantgegevens_B!A328&lt;&gt;"", "B", "A")</f>
        <v>B</v>
      </c>
    </row>
    <row r="330" spans="1:18" x14ac:dyDescent="0.3">
      <c r="A330" t="str">
        <f>IF(Klantgegevens_B!A329&lt;&gt;"", Klantgegevens_B!A329, MID(Klantgegevens_A!A329, FIND(",", Klantgegevens_A!A329)+2, LEN(Klantgegevens_A!A329)))</f>
        <v>Arno</v>
      </c>
      <c r="B330" t="str">
        <f>IF(Klantgegevens_B!B329&lt;&gt;"", Klantgegevens_B!B329, LEFT(Klantgegevens_A!A329, FIND(",", Klantgegevens_A!A329)-1))</f>
        <v>Hermans</v>
      </c>
      <c r="C330" t="str">
        <f t="shared" ca="1" si="5"/>
        <v/>
      </c>
      <c r="D330" t="str">
        <f>IF(Klantgegevens_B!F329&lt;&gt;"", Klantgegevens_B!F329, Klantgegevens_A!D329 &amp; " " &amp; Klantgegevens_A!E329 &amp; ", " &amp; Klantgegevens_A!F329)</f>
        <v>Arno,Yvonne</v>
      </c>
      <c r="E330">
        <f>IF(Klantgegevens_B!G329&lt;&gt;"", Klantgegevens_B!G329, TEXTJOIN(",", TRUE, REPT("Volwassene,", Klantgegevens_A!G329), REPT("Kind,", Klantgegevens_A!H329)))</f>
        <v>145.44999999999999</v>
      </c>
      <c r="F330">
        <f>IF(Klantgegevens_B!G329&lt;&gt;"", LEN(Klantgegevens_B!G329)-LEN(SUBSTITUTE(Klantgegevens_B!G329, ",", ""))+1, Klantgegevens_A!G329)</f>
        <v>1</v>
      </c>
      <c r="G330">
        <f>IF(Klantgegevens_B!G329&lt;&gt;"", 0, Klantgegevens_A!H329)</f>
        <v>0</v>
      </c>
      <c r="H330">
        <f>IF(Klantgegevens_B!H329&lt;&gt;"", Klantgegevens_B!H329, Klantgegevens_A!I329)</f>
        <v>16</v>
      </c>
      <c r="I330" t="str">
        <f>IF(Klantgegevens_B!I329&lt;&gt;"", Klantgegevens_B!I329, SWITCH(Klantgegevens_A!J329, "Zelden", 1, "Af en toe", 4, "Regelmatig", 8, "Vaak", 12))</f>
        <v>Payconiq</v>
      </c>
      <c r="J330" t="str">
        <f>IF(Klantgegevens_B!J329&lt;&gt;"", Klantgegevens_B!J329, Klantgegevens_A!K329)</f>
        <v>nee</v>
      </c>
      <c r="K330">
        <f>IF(Klantgegevens_B!K329&lt;&gt;"", AVERAGE(--(Klantgegevens_B!K329="ja"), --(Klantgegevens_B!L329="ja"), --(Klantgegevens_B!M329="ja"), --(Klantgegevens_B!N329="ja"), --(Klantgegevens_B!O329="ja"))*10, Klantgegevens_A!L329)</f>
        <v>2</v>
      </c>
      <c r="L330" t="str">
        <f>IF(Klantgegevens_B!K329&lt;&gt;"", Klantgegevens_B!K329, IF(Klantgegevens_A!L329&gt;=7, "ja", "nee"))</f>
        <v>nee</v>
      </c>
      <c r="M330" t="str">
        <f>IF(Klantgegevens_B!L329&lt;&gt;"", Klantgegevens_B!L329, IF(Klantgegevens_A!L329&gt;=7, "ja", "nee"))</f>
        <v>ja</v>
      </c>
      <c r="N330" t="str">
        <f>IF(Klantgegevens_B!M329&lt;&gt;"", Klantgegevens_B!M329, IF(Klantgegevens_A!L329&gt;=7, "ja", "nee"))</f>
        <v>nee</v>
      </c>
      <c r="O330" t="str">
        <f>IF(Klantgegevens_B!N329&lt;&gt;"", Klantgegevens_B!N329, IF(Klantgegevens_A!L329&gt;=7, "ja", "nee"))</f>
        <v>nee</v>
      </c>
      <c r="P330" t="str">
        <f>IF(Klantgegevens_B!O329&lt;&gt;"", Klantgegevens_B!O329, IF(Klantgegevens_A!L329&gt;=7, "ja", "nee"))</f>
        <v>Geen dieet</v>
      </c>
      <c r="Q330" t="str">
        <f>IF(Klantgegevens_B!P329&lt;&gt;"", Klantgegevens_B!P329, Klantgegevens_A!M329)</f>
        <v>Geen dieet</v>
      </c>
      <c r="R330" t="str">
        <f>IF(Klantgegevens_B!A329&lt;&gt;"", "B", "A")</f>
        <v>B</v>
      </c>
    </row>
    <row r="331" spans="1:18" x14ac:dyDescent="0.3">
      <c r="A331" t="str">
        <f>IF(Klantgegevens_B!A330&lt;&gt;"", Klantgegevens_B!A330, MID(Klantgegevens_A!A330, FIND(",", Klantgegevens_A!A330)+2, LEN(Klantgegevens_A!A330)))</f>
        <v>An</v>
      </c>
      <c r="B331" t="str">
        <f>IF(Klantgegevens_B!B330&lt;&gt;"", Klantgegevens_B!B330, LEFT(Klantgegevens_A!A330, FIND(",", Klantgegevens_A!A330)-1))</f>
        <v>Joris</v>
      </c>
      <c r="C331" t="str">
        <f t="shared" ca="1" si="5"/>
        <v/>
      </c>
      <c r="D331" t="str">
        <f>IF(Klantgegevens_B!F330&lt;&gt;"", Klantgegevens_B!F330, Klantgegevens_A!D330 &amp; " " &amp; Klantgegevens_A!E330 &amp; ", " &amp; Klantgegevens_A!F330)</f>
        <v>An,Léana,Najat,Georges,Jule</v>
      </c>
      <c r="E331">
        <f>IF(Klantgegevens_B!G330&lt;&gt;"", Klantgegevens_B!G330, TEXTJOIN(",", TRUE, REPT("Volwassene,", Klantgegevens_A!G330), REPT("Kind,", Klantgegevens_A!H330)))</f>
        <v>114.95</v>
      </c>
      <c r="F331">
        <f>IF(Klantgegevens_B!G330&lt;&gt;"", LEN(Klantgegevens_B!G330)-LEN(SUBSTITUTE(Klantgegevens_B!G330, ",", ""))+1, Klantgegevens_A!G330)</f>
        <v>1</v>
      </c>
      <c r="G331">
        <f>IF(Klantgegevens_B!G330&lt;&gt;"", 0, Klantgegevens_A!H330)</f>
        <v>0</v>
      </c>
      <c r="H331">
        <f>IF(Klantgegevens_B!H330&lt;&gt;"", Klantgegevens_B!H330, Klantgegevens_A!I330)</f>
        <v>7</v>
      </c>
      <c r="I331" t="str">
        <f>IF(Klantgegevens_B!I330&lt;&gt;"", Klantgegevens_B!I330, SWITCH(Klantgegevens_A!J330, "Zelden", 1, "Af en toe", 4, "Regelmatig", 8, "Vaak", 12))</f>
        <v>Bancontact</v>
      </c>
      <c r="J331" t="str">
        <f>IF(Klantgegevens_B!J330&lt;&gt;"", Klantgegevens_B!J330, Klantgegevens_A!K330)</f>
        <v>ja</v>
      </c>
      <c r="K331">
        <f>IF(Klantgegevens_B!K330&lt;&gt;"", AVERAGE(--(Klantgegevens_B!K330="ja"), --(Klantgegevens_B!L330="ja"), --(Klantgegevens_B!M330="ja"), --(Klantgegevens_B!N330="ja"), --(Klantgegevens_B!O330="ja"))*10, Klantgegevens_A!L330)</f>
        <v>0</v>
      </c>
      <c r="L331" t="str">
        <f>IF(Klantgegevens_B!K330&lt;&gt;"", Klantgegevens_B!K330, IF(Klantgegevens_A!L330&gt;=7, "ja", "nee"))</f>
        <v>nee</v>
      </c>
      <c r="M331" t="str">
        <f>IF(Klantgegevens_B!L330&lt;&gt;"", Klantgegevens_B!L330, IF(Klantgegevens_A!L330&gt;=7, "ja", "nee"))</f>
        <v>nee</v>
      </c>
      <c r="N331" t="str">
        <f>IF(Klantgegevens_B!M330&lt;&gt;"", Klantgegevens_B!M330, IF(Klantgegevens_A!L330&gt;=7, "ja", "nee"))</f>
        <v>nee</v>
      </c>
      <c r="O331" t="str">
        <f>IF(Klantgegevens_B!N330&lt;&gt;"", Klantgegevens_B!N330, IF(Klantgegevens_A!L330&gt;=7, "ja", "nee"))</f>
        <v>nee</v>
      </c>
      <c r="P331" t="str">
        <f>IF(Klantgegevens_B!O330&lt;&gt;"", Klantgegevens_B!O330, IF(Klantgegevens_A!L330&gt;=7, "ja", "nee"))</f>
        <v>Veganistisch</v>
      </c>
      <c r="Q331" t="str">
        <f>IF(Klantgegevens_B!P330&lt;&gt;"", Klantgegevens_B!P330, Klantgegevens_A!M330)</f>
        <v>Geen dieet</v>
      </c>
      <c r="R331" t="str">
        <f>IF(Klantgegevens_B!A330&lt;&gt;"", "B", "A")</f>
        <v>B</v>
      </c>
    </row>
    <row r="332" spans="1:18" x14ac:dyDescent="0.3">
      <c r="A332" t="str">
        <f>IF(Klantgegevens_B!A331&lt;&gt;"", Klantgegevens_B!A331, MID(Klantgegevens_A!A331, FIND(",", Klantgegevens_A!A331)+2, LEN(Klantgegevens_A!A331)))</f>
        <v>Nassira</v>
      </c>
      <c r="B332" t="str">
        <f>IF(Klantgegevens_B!B331&lt;&gt;"", Klantgegevens_B!B331, LEFT(Klantgegevens_A!A331, FIND(",", Klantgegevens_A!A331)-1))</f>
        <v>Michel</v>
      </c>
      <c r="C332" t="str">
        <f t="shared" ca="1" si="5"/>
        <v/>
      </c>
      <c r="D332" t="str">
        <f>IF(Klantgegevens_B!F331&lt;&gt;"", Klantgegevens_B!F331, Klantgegevens_A!D331 &amp; " " &amp; Klantgegevens_A!E331 &amp; ", " &amp; Klantgegevens_A!F331)</f>
        <v>Nassira,Vladimir,Sarah</v>
      </c>
      <c r="E332">
        <f>IF(Klantgegevens_B!G331&lt;&gt;"", Klantgegevens_B!G331, TEXTJOIN(",", TRUE, REPT("Volwassene,", Klantgegevens_A!G331), REPT("Kind,", Klantgegevens_A!H331)))</f>
        <v>118.67</v>
      </c>
      <c r="F332">
        <f>IF(Klantgegevens_B!G331&lt;&gt;"", LEN(Klantgegevens_B!G331)-LEN(SUBSTITUTE(Klantgegevens_B!G331, ",", ""))+1, Klantgegevens_A!G331)</f>
        <v>1</v>
      </c>
      <c r="G332">
        <f>IF(Klantgegevens_B!G331&lt;&gt;"", 0, Klantgegevens_A!H331)</f>
        <v>0</v>
      </c>
      <c r="H332">
        <f>IF(Klantgegevens_B!H331&lt;&gt;"", Klantgegevens_B!H331, Klantgegevens_A!I331)</f>
        <v>7</v>
      </c>
      <c r="I332" t="str">
        <f>IF(Klantgegevens_B!I331&lt;&gt;"", Klantgegevens_B!I331, SWITCH(Klantgegevens_A!J331, "Zelden", 1, "Af en toe", 4, "Regelmatig", 8, "Vaak", 12))</f>
        <v>Payconiq</v>
      </c>
      <c r="J332" t="str">
        <f>IF(Klantgegevens_B!J331&lt;&gt;"", Klantgegevens_B!J331, Klantgegevens_A!K331)</f>
        <v>ja</v>
      </c>
      <c r="K332">
        <f>IF(Klantgegevens_B!K331&lt;&gt;"", AVERAGE(--(Klantgegevens_B!K331="ja"), --(Klantgegevens_B!L331="ja"), --(Klantgegevens_B!M331="ja"), --(Klantgegevens_B!N331="ja"), --(Klantgegevens_B!O331="ja"))*10, Klantgegevens_A!L331)</f>
        <v>4</v>
      </c>
      <c r="L332" t="str">
        <f>IF(Klantgegevens_B!K331&lt;&gt;"", Klantgegevens_B!K331, IF(Klantgegevens_A!L331&gt;=7, "ja", "nee"))</f>
        <v>ja</v>
      </c>
      <c r="M332" t="str">
        <f>IF(Klantgegevens_B!L331&lt;&gt;"", Klantgegevens_B!L331, IF(Klantgegevens_A!L331&gt;=7, "ja", "nee"))</f>
        <v>ja</v>
      </c>
      <c r="N332" t="str">
        <f>IF(Klantgegevens_B!M331&lt;&gt;"", Klantgegevens_B!M331, IF(Klantgegevens_A!L331&gt;=7, "ja", "nee"))</f>
        <v>nee</v>
      </c>
      <c r="O332" t="str">
        <f>IF(Klantgegevens_B!N331&lt;&gt;"", Klantgegevens_B!N331, IF(Klantgegevens_A!L331&gt;=7, "ja", "nee"))</f>
        <v>nee</v>
      </c>
      <c r="P332" t="str">
        <f>IF(Klantgegevens_B!O331&lt;&gt;"", Klantgegevens_B!O331, IF(Klantgegevens_A!L331&gt;=7, "ja", "nee"))</f>
        <v>Geen dieet</v>
      </c>
      <c r="Q332" t="str">
        <f>IF(Klantgegevens_B!P331&lt;&gt;"", Klantgegevens_B!P331, Klantgegevens_A!M331)</f>
        <v>Veganistisch</v>
      </c>
      <c r="R332" t="str">
        <f>IF(Klantgegevens_B!A331&lt;&gt;"", "B", "A")</f>
        <v>B</v>
      </c>
    </row>
    <row r="333" spans="1:18" x14ac:dyDescent="0.3">
      <c r="A333" t="str">
        <f>IF(Klantgegevens_B!A332&lt;&gt;"", Klantgegevens_B!A332, MID(Klantgegevens_A!A332, FIND(",", Klantgegevens_A!A332)+2, LEN(Klantgegevens_A!A332)))</f>
        <v>Patrick</v>
      </c>
      <c r="B333" t="str">
        <f>IF(Klantgegevens_B!B332&lt;&gt;"", Klantgegevens_B!B332, LEFT(Klantgegevens_A!A332, FIND(",", Klantgegevens_A!A332)-1))</f>
        <v>Janssens</v>
      </c>
      <c r="C333" t="str">
        <f t="shared" ca="1" si="5"/>
        <v/>
      </c>
      <c r="D333" t="str">
        <f>IF(Klantgegevens_B!F332&lt;&gt;"", Klantgegevens_B!F332, Klantgegevens_A!D332 &amp; " " &amp; Klantgegevens_A!E332 &amp; ", " &amp; Klantgegevens_A!F332)</f>
        <v>Patrick,Serife,Elano</v>
      </c>
      <c r="E333">
        <f>IF(Klantgegevens_B!G332&lt;&gt;"", Klantgegevens_B!G332, TEXTJOIN(",", TRUE, REPT("Volwassene,", Klantgegevens_A!G332), REPT("Kind,", Klantgegevens_A!H332)))</f>
        <v>129.79</v>
      </c>
      <c r="F333">
        <f>IF(Klantgegevens_B!G332&lt;&gt;"", LEN(Klantgegevens_B!G332)-LEN(SUBSTITUTE(Klantgegevens_B!G332, ",", ""))+1, Klantgegevens_A!G332)</f>
        <v>1</v>
      </c>
      <c r="G333">
        <f>IF(Klantgegevens_B!G332&lt;&gt;"", 0, Klantgegevens_A!H332)</f>
        <v>0</v>
      </c>
      <c r="H333">
        <f>IF(Klantgegevens_B!H332&lt;&gt;"", Klantgegevens_B!H332, Klantgegevens_A!I332)</f>
        <v>4</v>
      </c>
      <c r="I333" t="str">
        <f>IF(Klantgegevens_B!I332&lt;&gt;"", Klantgegevens_B!I332, SWITCH(Klantgegevens_A!J332, "Zelden", 1, "Af en toe", 4, "Regelmatig", 8, "Vaak", 12))</f>
        <v>Bancontact</v>
      </c>
      <c r="J333" t="str">
        <f>IF(Klantgegevens_B!J332&lt;&gt;"", Klantgegevens_B!J332, Klantgegevens_A!K332)</f>
        <v>ja</v>
      </c>
      <c r="K333">
        <f>IF(Klantgegevens_B!K332&lt;&gt;"", AVERAGE(--(Klantgegevens_B!K332="ja"), --(Klantgegevens_B!L332="ja"), --(Klantgegevens_B!M332="ja"), --(Klantgegevens_B!N332="ja"), --(Klantgegevens_B!O332="ja"))*10, Klantgegevens_A!L332)</f>
        <v>6</v>
      </c>
      <c r="L333" t="str">
        <f>IF(Klantgegevens_B!K332&lt;&gt;"", Klantgegevens_B!K332, IF(Klantgegevens_A!L332&gt;=7, "ja", "nee"))</f>
        <v>nee</v>
      </c>
      <c r="M333" t="str">
        <f>IF(Klantgegevens_B!L332&lt;&gt;"", Klantgegevens_B!L332, IF(Klantgegevens_A!L332&gt;=7, "ja", "nee"))</f>
        <v>ja</v>
      </c>
      <c r="N333" t="str">
        <f>IF(Klantgegevens_B!M332&lt;&gt;"", Klantgegevens_B!M332, IF(Klantgegevens_A!L332&gt;=7, "ja", "nee"))</f>
        <v>ja</v>
      </c>
      <c r="O333" t="str">
        <f>IF(Klantgegevens_B!N332&lt;&gt;"", Klantgegevens_B!N332, IF(Klantgegevens_A!L332&gt;=7, "ja", "nee"))</f>
        <v>ja</v>
      </c>
      <c r="P333" t="str">
        <f>IF(Klantgegevens_B!O332&lt;&gt;"", Klantgegevens_B!O332, IF(Klantgegevens_A!L332&gt;=7, "ja", "nee"))</f>
        <v>Geen dieet</v>
      </c>
      <c r="Q333" t="str">
        <f>IF(Klantgegevens_B!P332&lt;&gt;"", Klantgegevens_B!P332, Klantgegevens_A!M332)</f>
        <v>Geen dieet</v>
      </c>
      <c r="R333" t="str">
        <f>IF(Klantgegevens_B!A332&lt;&gt;"", "B", "A")</f>
        <v>B</v>
      </c>
    </row>
    <row r="334" spans="1:18" x14ac:dyDescent="0.3">
      <c r="A334" t="str">
        <f>IF(Klantgegevens_B!A333&lt;&gt;"", Klantgegevens_B!A333, MID(Klantgegevens_A!A333, FIND(",", Klantgegevens_A!A333)+2, LEN(Klantgegevens_A!A333)))</f>
        <v>Benoît</v>
      </c>
      <c r="B334" t="str">
        <f>IF(Klantgegevens_B!B333&lt;&gt;"", Klantgegevens_B!B333, LEFT(Klantgegevens_A!A333, FIND(",", Klantgegevens_A!A333)-1))</f>
        <v>Van hoof</v>
      </c>
      <c r="C334" t="str">
        <f t="shared" ca="1" si="5"/>
        <v/>
      </c>
      <c r="D334" t="str">
        <f>IF(Klantgegevens_B!F333&lt;&gt;"", Klantgegevens_B!F333, Klantgegevens_A!D333 &amp; " " &amp; Klantgegevens_A!E333 &amp; ", " &amp; Klantgegevens_A!F333)</f>
        <v>Benoît,Ilian</v>
      </c>
      <c r="E334">
        <f>IF(Klantgegevens_B!G333&lt;&gt;"", Klantgegevens_B!G333, TEXTJOIN(",", TRUE, REPT("Volwassene,", Klantgegevens_A!G333), REPT("Kind,", Klantgegevens_A!H333)))</f>
        <v>77.38</v>
      </c>
      <c r="F334">
        <f>IF(Klantgegevens_B!G333&lt;&gt;"", LEN(Klantgegevens_B!G333)-LEN(SUBSTITUTE(Klantgegevens_B!G333, ",", ""))+1, Klantgegevens_A!G333)</f>
        <v>1</v>
      </c>
      <c r="G334">
        <f>IF(Klantgegevens_B!G333&lt;&gt;"", 0, Klantgegevens_A!H333)</f>
        <v>0</v>
      </c>
      <c r="H334">
        <f>IF(Klantgegevens_B!H333&lt;&gt;"", Klantgegevens_B!H333, Klantgegevens_A!I333)</f>
        <v>1</v>
      </c>
      <c r="I334" t="str">
        <f>IF(Klantgegevens_B!I333&lt;&gt;"", Klantgegevens_B!I333, SWITCH(Klantgegevens_A!J333, "Zelden", 1, "Af en toe", 4, "Regelmatig", 8, "Vaak", 12))</f>
        <v>Bancontact</v>
      </c>
      <c r="J334" t="str">
        <f>IF(Klantgegevens_B!J333&lt;&gt;"", Klantgegevens_B!J333, Klantgegevens_A!K333)</f>
        <v>ja</v>
      </c>
      <c r="K334">
        <f>IF(Klantgegevens_B!K333&lt;&gt;"", AVERAGE(--(Klantgegevens_B!K333="ja"), --(Klantgegevens_B!L333="ja"), --(Klantgegevens_B!M333="ja"), --(Klantgegevens_B!N333="ja"), --(Klantgegevens_B!O333="ja"))*10, Klantgegevens_A!L333)</f>
        <v>4</v>
      </c>
      <c r="L334" t="str">
        <f>IF(Klantgegevens_B!K333&lt;&gt;"", Klantgegevens_B!K333, IF(Klantgegevens_A!L333&gt;=7, "ja", "nee"))</f>
        <v>nee</v>
      </c>
      <c r="M334" t="str">
        <f>IF(Klantgegevens_B!L333&lt;&gt;"", Klantgegevens_B!L333, IF(Klantgegevens_A!L333&gt;=7, "ja", "nee"))</f>
        <v>ja</v>
      </c>
      <c r="N334" t="str">
        <f>IF(Klantgegevens_B!M333&lt;&gt;"", Klantgegevens_B!M333, IF(Klantgegevens_A!L333&gt;=7, "ja", "nee"))</f>
        <v>nee</v>
      </c>
      <c r="O334" t="str">
        <f>IF(Klantgegevens_B!N333&lt;&gt;"", Klantgegevens_B!N333, IF(Klantgegevens_A!L333&gt;=7, "ja", "nee"))</f>
        <v>ja</v>
      </c>
      <c r="P334" t="str">
        <f>IF(Klantgegevens_B!O333&lt;&gt;"", Klantgegevens_B!O333, IF(Klantgegevens_A!L333&gt;=7, "ja", "nee"))</f>
        <v>Geen dieet</v>
      </c>
      <c r="Q334" t="str">
        <f>IF(Klantgegevens_B!P333&lt;&gt;"", Klantgegevens_B!P333, Klantgegevens_A!M333)</f>
        <v>Geen dieet</v>
      </c>
      <c r="R334" t="str">
        <f>IF(Klantgegevens_B!A333&lt;&gt;"", "B", "A")</f>
        <v>B</v>
      </c>
    </row>
    <row r="335" spans="1:18" x14ac:dyDescent="0.3">
      <c r="A335" t="str">
        <f>IF(Klantgegevens_B!A334&lt;&gt;"", Klantgegevens_B!A334, MID(Klantgegevens_A!A334, FIND(",", Klantgegevens_A!A334)+2, LEN(Klantgegevens_A!A334)))</f>
        <v>Anouar</v>
      </c>
      <c r="B335" t="str">
        <f>IF(Klantgegevens_B!B334&lt;&gt;"", Klantgegevens_B!B334, LEFT(Klantgegevens_A!A334, FIND(",", Klantgegevens_A!A334)-1))</f>
        <v>Daems</v>
      </c>
      <c r="C335" t="str">
        <f t="shared" ca="1" si="5"/>
        <v/>
      </c>
      <c r="D335" t="str">
        <f>IF(Klantgegevens_B!F334&lt;&gt;"", Klantgegevens_B!F334, Klantgegevens_A!D334 &amp; " " &amp; Klantgegevens_A!E334 &amp; ", " &amp; Klantgegevens_A!F334)</f>
        <v>Anouar,Frederik</v>
      </c>
      <c r="E335">
        <f>IF(Klantgegevens_B!G334&lt;&gt;"", Klantgegevens_B!G334, TEXTJOIN(",", TRUE, REPT("Volwassene,", Klantgegevens_A!G334), REPT("Kind,", Klantgegevens_A!H334)))</f>
        <v>119.21</v>
      </c>
      <c r="F335">
        <f>IF(Klantgegevens_B!G334&lt;&gt;"", LEN(Klantgegevens_B!G334)-LEN(SUBSTITUTE(Klantgegevens_B!G334, ",", ""))+1, Klantgegevens_A!G334)</f>
        <v>1</v>
      </c>
      <c r="G335">
        <f>IF(Klantgegevens_B!G334&lt;&gt;"", 0, Klantgegevens_A!H334)</f>
        <v>0</v>
      </c>
      <c r="H335">
        <f>IF(Klantgegevens_B!H334&lt;&gt;"", Klantgegevens_B!H334, Klantgegevens_A!I334)</f>
        <v>10</v>
      </c>
      <c r="I335" t="str">
        <f>IF(Klantgegevens_B!I334&lt;&gt;"", Klantgegevens_B!I334, SWITCH(Klantgegevens_A!J334, "Zelden", 1, "Af en toe", 4, "Regelmatig", 8, "Vaak", 12))</f>
        <v>Bancontact</v>
      </c>
      <c r="J335" t="str">
        <f>IF(Klantgegevens_B!J334&lt;&gt;"", Klantgegevens_B!J334, Klantgegevens_A!K334)</f>
        <v>nee</v>
      </c>
      <c r="K335">
        <f>IF(Klantgegevens_B!K334&lt;&gt;"", AVERAGE(--(Klantgegevens_B!K334="ja"), --(Klantgegevens_B!L334="ja"), --(Klantgegevens_B!M334="ja"), --(Klantgegevens_B!N334="ja"), --(Klantgegevens_B!O334="ja"))*10, Klantgegevens_A!L334)</f>
        <v>4</v>
      </c>
      <c r="L335" t="str">
        <f>IF(Klantgegevens_B!K334&lt;&gt;"", Klantgegevens_B!K334, IF(Klantgegevens_A!L334&gt;=7, "ja", "nee"))</f>
        <v>nee</v>
      </c>
      <c r="M335" t="str">
        <f>IF(Klantgegevens_B!L334&lt;&gt;"", Klantgegevens_B!L334, IF(Klantgegevens_A!L334&gt;=7, "ja", "nee"))</f>
        <v>ja</v>
      </c>
      <c r="N335" t="str">
        <f>IF(Klantgegevens_B!M334&lt;&gt;"", Klantgegevens_B!M334, IF(Klantgegevens_A!L334&gt;=7, "ja", "nee"))</f>
        <v>nee</v>
      </c>
      <c r="O335" t="str">
        <f>IF(Klantgegevens_B!N334&lt;&gt;"", Klantgegevens_B!N334, IF(Klantgegevens_A!L334&gt;=7, "ja", "nee"))</f>
        <v>ja</v>
      </c>
      <c r="P335" t="str">
        <f>IF(Klantgegevens_B!O334&lt;&gt;"", Klantgegevens_B!O334, IF(Klantgegevens_A!L334&gt;=7, "ja", "nee"))</f>
        <v>Geen dieet</v>
      </c>
      <c r="Q335" t="str">
        <f>IF(Klantgegevens_B!P334&lt;&gt;"", Klantgegevens_B!P334, Klantgegevens_A!M334)</f>
        <v>Geen dieet</v>
      </c>
      <c r="R335" t="str">
        <f>IF(Klantgegevens_B!A334&lt;&gt;"", "B", "A")</f>
        <v>B</v>
      </c>
    </row>
    <row r="336" spans="1:18" x14ac:dyDescent="0.3">
      <c r="A336" t="str">
        <f>IF(Klantgegevens_B!A335&lt;&gt;"", Klantgegevens_B!A335, MID(Klantgegevens_A!A335, FIND(",", Klantgegevens_A!A335)+2, LEN(Klantgegevens_A!A335)))</f>
        <v>Ewout</v>
      </c>
      <c r="B336" t="str">
        <f>IF(Klantgegevens_B!B335&lt;&gt;"", Klantgegevens_B!B335, LEFT(Klantgegevens_A!A335, FIND(",", Klantgegevens_A!A335)-1))</f>
        <v>Leclercq</v>
      </c>
      <c r="C336" t="str">
        <f t="shared" ca="1" si="5"/>
        <v/>
      </c>
      <c r="D336" t="str">
        <f>IF(Klantgegevens_B!F335&lt;&gt;"", Klantgegevens_B!F335, Klantgegevens_A!D335 &amp; " " &amp; Klantgegevens_A!E335 &amp; ", " &amp; Klantgegevens_A!F335)</f>
        <v>Ewout,Tomas,Anaïs,Flor,Olga</v>
      </c>
      <c r="E336">
        <f>IF(Klantgegevens_B!G335&lt;&gt;"", Klantgegevens_B!G335, TEXTJOIN(",", TRUE, REPT("Volwassene,", Klantgegevens_A!G335), REPT("Kind,", Klantgegevens_A!H335)))</f>
        <v>159.85</v>
      </c>
      <c r="F336">
        <f>IF(Klantgegevens_B!G335&lt;&gt;"", LEN(Klantgegevens_B!G335)-LEN(SUBSTITUTE(Klantgegevens_B!G335, ",", ""))+1, Klantgegevens_A!G335)</f>
        <v>1</v>
      </c>
      <c r="G336">
        <f>IF(Klantgegevens_B!G335&lt;&gt;"", 0, Klantgegevens_A!H335)</f>
        <v>0</v>
      </c>
      <c r="H336">
        <f>IF(Klantgegevens_B!H335&lt;&gt;"", Klantgegevens_B!H335, Klantgegevens_A!I335)</f>
        <v>1</v>
      </c>
      <c r="I336" t="str">
        <f>IF(Klantgegevens_B!I335&lt;&gt;"", Klantgegevens_B!I335, SWITCH(Klantgegevens_A!J335, "Zelden", 1, "Af en toe", 4, "Regelmatig", 8, "Vaak", 12))</f>
        <v>Bancontact</v>
      </c>
      <c r="J336" t="str">
        <f>IF(Klantgegevens_B!J335&lt;&gt;"", Klantgegevens_B!J335, Klantgegevens_A!K335)</f>
        <v>nee</v>
      </c>
      <c r="K336">
        <f>IF(Klantgegevens_B!K335&lt;&gt;"", AVERAGE(--(Klantgegevens_B!K335="ja"), --(Klantgegevens_B!L335="ja"), --(Klantgegevens_B!M335="ja"), --(Klantgegevens_B!N335="ja"), --(Klantgegevens_B!O335="ja"))*10, Klantgegevens_A!L335)</f>
        <v>6</v>
      </c>
      <c r="L336" t="str">
        <f>IF(Klantgegevens_B!K335&lt;&gt;"", Klantgegevens_B!K335, IF(Klantgegevens_A!L335&gt;=7, "ja", "nee"))</f>
        <v>ja</v>
      </c>
      <c r="M336" t="str">
        <f>IF(Klantgegevens_B!L335&lt;&gt;"", Klantgegevens_B!L335, IF(Klantgegevens_A!L335&gt;=7, "ja", "nee"))</f>
        <v>ja</v>
      </c>
      <c r="N336" t="str">
        <f>IF(Klantgegevens_B!M335&lt;&gt;"", Klantgegevens_B!M335, IF(Klantgegevens_A!L335&gt;=7, "ja", "nee"))</f>
        <v>ja</v>
      </c>
      <c r="O336" t="str">
        <f>IF(Klantgegevens_B!N335&lt;&gt;"", Klantgegevens_B!N335, IF(Klantgegevens_A!L335&gt;=7, "ja", "nee"))</f>
        <v>nee</v>
      </c>
      <c r="P336" t="str">
        <f>IF(Klantgegevens_B!O335&lt;&gt;"", Klantgegevens_B!O335, IF(Klantgegevens_A!L335&gt;=7, "ja", "nee"))</f>
        <v>Geen dieet</v>
      </c>
      <c r="Q336" t="str">
        <f>IF(Klantgegevens_B!P335&lt;&gt;"", Klantgegevens_B!P335, Klantgegevens_A!M335)</f>
        <v>Geen dieet</v>
      </c>
      <c r="R336" t="str">
        <f>IF(Klantgegevens_B!A335&lt;&gt;"", "B", "A")</f>
        <v>B</v>
      </c>
    </row>
    <row r="337" spans="1:18" x14ac:dyDescent="0.3">
      <c r="A337" t="str">
        <f>IF(Klantgegevens_B!A336&lt;&gt;"", Klantgegevens_B!A336, MID(Klantgegevens_A!A336, FIND(",", Klantgegevens_A!A336)+2, LEN(Klantgegevens_A!A336)))</f>
        <v>Özer</v>
      </c>
      <c r="B337" t="str">
        <f>IF(Klantgegevens_B!B336&lt;&gt;"", Klantgegevens_B!B336, LEFT(Klantgegevens_A!A336, FIND(",", Klantgegevens_A!A336)-1))</f>
        <v>Huysmans</v>
      </c>
      <c r="C337" t="str">
        <f t="shared" ca="1" si="5"/>
        <v/>
      </c>
      <c r="D337" t="str">
        <f>IF(Klantgegevens_B!F336&lt;&gt;"", Klantgegevens_B!F336, Klantgegevens_A!D336 &amp; " " &amp; Klantgegevens_A!E336 &amp; ", " &amp; Klantgegevens_A!F336)</f>
        <v>Özer</v>
      </c>
      <c r="E337">
        <f>IF(Klantgegevens_B!G336&lt;&gt;"", Klantgegevens_B!G336, TEXTJOIN(",", TRUE, REPT("Volwassene,", Klantgegevens_A!G336), REPT("Kind,", Klantgegevens_A!H336)))</f>
        <v>18.95</v>
      </c>
      <c r="F337">
        <f>IF(Klantgegevens_B!G336&lt;&gt;"", LEN(Klantgegevens_B!G336)-LEN(SUBSTITUTE(Klantgegevens_B!G336, ",", ""))+1, Klantgegevens_A!G336)</f>
        <v>1</v>
      </c>
      <c r="G337">
        <f>IF(Klantgegevens_B!G336&lt;&gt;"", 0, Klantgegevens_A!H336)</f>
        <v>0</v>
      </c>
      <c r="H337">
        <f>IF(Klantgegevens_B!H336&lt;&gt;"", Klantgegevens_B!H336, Klantgegevens_A!I336)</f>
        <v>5</v>
      </c>
      <c r="I337" t="str">
        <f>IF(Klantgegevens_B!I336&lt;&gt;"", Klantgegevens_B!I336, SWITCH(Klantgegevens_A!J336, "Zelden", 1, "Af en toe", 4, "Regelmatig", 8, "Vaak", 12))</f>
        <v>Payconiq</v>
      </c>
      <c r="J337" t="str">
        <f>IF(Klantgegevens_B!J336&lt;&gt;"", Klantgegevens_B!J336, Klantgegevens_A!K336)</f>
        <v>nee</v>
      </c>
      <c r="K337">
        <f>IF(Klantgegevens_B!K336&lt;&gt;"", AVERAGE(--(Klantgegevens_B!K336="ja"), --(Klantgegevens_B!L336="ja"), --(Klantgegevens_B!M336="ja"), --(Klantgegevens_B!N336="ja"), --(Klantgegevens_B!O336="ja"))*10, Klantgegevens_A!L336)</f>
        <v>2</v>
      </c>
      <c r="L337" t="str">
        <f>IF(Klantgegevens_B!K336&lt;&gt;"", Klantgegevens_B!K336, IF(Klantgegevens_A!L336&gt;=7, "ja", "nee"))</f>
        <v>ja</v>
      </c>
      <c r="M337" t="str">
        <f>IF(Klantgegevens_B!L336&lt;&gt;"", Klantgegevens_B!L336, IF(Klantgegevens_A!L336&gt;=7, "ja", "nee"))</f>
        <v>nee</v>
      </c>
      <c r="N337" t="str">
        <f>IF(Klantgegevens_B!M336&lt;&gt;"", Klantgegevens_B!M336, IF(Klantgegevens_A!L336&gt;=7, "ja", "nee"))</f>
        <v>nee</v>
      </c>
      <c r="O337" t="str">
        <f>IF(Klantgegevens_B!N336&lt;&gt;"", Klantgegevens_B!N336, IF(Klantgegevens_A!L336&gt;=7, "ja", "nee"))</f>
        <v>nee</v>
      </c>
      <c r="P337" t="str">
        <f>IF(Klantgegevens_B!O336&lt;&gt;"", Klantgegevens_B!O336, IF(Klantgegevens_A!L336&gt;=7, "ja", "nee"))</f>
        <v>Geen dieet</v>
      </c>
      <c r="Q337" t="str">
        <f>IF(Klantgegevens_B!P336&lt;&gt;"", Klantgegevens_B!P336, Klantgegevens_A!M336)</f>
        <v>Geen dieet</v>
      </c>
      <c r="R337" t="str">
        <f>IF(Klantgegevens_B!A336&lt;&gt;"", "B", "A")</f>
        <v>B</v>
      </c>
    </row>
    <row r="338" spans="1:18" x14ac:dyDescent="0.3">
      <c r="A338" t="str">
        <f>IF(Klantgegevens_B!A337&lt;&gt;"", Klantgegevens_B!A337, MID(Klantgegevens_A!A337, FIND(",", Klantgegevens_A!A337)+2, LEN(Klantgegevens_A!A337)))</f>
        <v>José</v>
      </c>
      <c r="B338" t="str">
        <f>IF(Klantgegevens_B!B337&lt;&gt;"", Klantgegevens_B!B337, LEFT(Klantgegevens_A!A337, FIND(",", Klantgegevens_A!A337)-1))</f>
        <v>De backer</v>
      </c>
      <c r="C338" t="str">
        <f t="shared" ca="1" si="5"/>
        <v/>
      </c>
      <c r="D338" t="str">
        <f>IF(Klantgegevens_B!F337&lt;&gt;"", Klantgegevens_B!F337, Klantgegevens_A!D337 &amp; " " &amp; Klantgegevens_A!E337 &amp; ", " &amp; Klantgegevens_A!F337)</f>
        <v>José,Noah</v>
      </c>
      <c r="E338">
        <f>IF(Klantgegevens_B!G337&lt;&gt;"", Klantgegevens_B!G337, TEXTJOIN(",", TRUE, REPT("Volwassene,", Klantgegevens_A!G337), REPT("Kind,", Klantgegevens_A!H337)))</f>
        <v>62.53</v>
      </c>
      <c r="F338">
        <f>IF(Klantgegevens_B!G337&lt;&gt;"", LEN(Klantgegevens_B!G337)-LEN(SUBSTITUTE(Klantgegevens_B!G337, ",", ""))+1, Klantgegevens_A!G337)</f>
        <v>1</v>
      </c>
      <c r="G338">
        <f>IF(Klantgegevens_B!G337&lt;&gt;"", 0, Klantgegevens_A!H337)</f>
        <v>0</v>
      </c>
      <c r="H338">
        <f>IF(Klantgegevens_B!H337&lt;&gt;"", Klantgegevens_B!H337, Klantgegevens_A!I337)</f>
        <v>16</v>
      </c>
      <c r="I338" t="str">
        <f>IF(Klantgegevens_B!I337&lt;&gt;"", Klantgegevens_B!I337, SWITCH(Klantgegevens_A!J337, "Zelden", 1, "Af en toe", 4, "Regelmatig", 8, "Vaak", 12))</f>
        <v>Bancontact</v>
      </c>
      <c r="J338" t="str">
        <f>IF(Klantgegevens_B!J337&lt;&gt;"", Klantgegevens_B!J337, Klantgegevens_A!K337)</f>
        <v>ja</v>
      </c>
      <c r="K338">
        <f>IF(Klantgegevens_B!K337&lt;&gt;"", AVERAGE(--(Klantgegevens_B!K337="ja"), --(Klantgegevens_B!L337="ja"), --(Klantgegevens_B!M337="ja"), --(Klantgegevens_B!N337="ja"), --(Klantgegevens_B!O337="ja"))*10, Klantgegevens_A!L337)</f>
        <v>8</v>
      </c>
      <c r="L338" t="str">
        <f>IF(Klantgegevens_B!K337&lt;&gt;"", Klantgegevens_B!K337, IF(Klantgegevens_A!L337&gt;=7, "ja", "nee"))</f>
        <v>ja</v>
      </c>
      <c r="M338" t="str">
        <f>IF(Klantgegevens_B!L337&lt;&gt;"", Klantgegevens_B!L337, IF(Klantgegevens_A!L337&gt;=7, "ja", "nee"))</f>
        <v>ja</v>
      </c>
      <c r="N338" t="str">
        <f>IF(Klantgegevens_B!M337&lt;&gt;"", Klantgegevens_B!M337, IF(Klantgegevens_A!L337&gt;=7, "ja", "nee"))</f>
        <v>ja</v>
      </c>
      <c r="O338" t="str">
        <f>IF(Klantgegevens_B!N337&lt;&gt;"", Klantgegevens_B!N337, IF(Klantgegevens_A!L337&gt;=7, "ja", "nee"))</f>
        <v>ja</v>
      </c>
      <c r="P338" t="str">
        <f>IF(Klantgegevens_B!O337&lt;&gt;"", Klantgegevens_B!O337, IF(Klantgegevens_A!L337&gt;=7, "ja", "nee"))</f>
        <v>Vegetarisch</v>
      </c>
      <c r="Q338" t="str">
        <f>IF(Klantgegevens_B!P337&lt;&gt;"", Klantgegevens_B!P337, Klantgegevens_A!M337)</f>
        <v>Vegetarisch</v>
      </c>
      <c r="R338" t="str">
        <f>IF(Klantgegevens_B!A337&lt;&gt;"", "B", "A")</f>
        <v>B</v>
      </c>
    </row>
    <row r="339" spans="1:18" x14ac:dyDescent="0.3">
      <c r="A339" t="str">
        <f>IF(Klantgegevens_B!A338&lt;&gt;"", Klantgegevens_B!A338, MID(Klantgegevens_A!A338, FIND(",", Klantgegevens_A!A338)+2, LEN(Klantgegevens_A!A338)))</f>
        <v>Louis</v>
      </c>
      <c r="B339" t="str">
        <f>IF(Klantgegevens_B!B338&lt;&gt;"", Klantgegevens_B!B338, LEFT(Klantgegevens_A!A338, FIND(",", Klantgegevens_A!A338)-1))</f>
        <v>Goffin</v>
      </c>
      <c r="C339" t="str">
        <f t="shared" ca="1" si="5"/>
        <v/>
      </c>
      <c r="D339" t="str">
        <f>IF(Klantgegevens_B!F338&lt;&gt;"", Klantgegevens_B!F338, Klantgegevens_A!D338 &amp; " " &amp; Klantgegevens_A!E338 &amp; ", " &amp; Klantgegevens_A!F338)</f>
        <v>Louis,Michel,Dany,Constantinus</v>
      </c>
      <c r="E339">
        <f>IF(Klantgegevens_B!G338&lt;&gt;"", Klantgegevens_B!G338, TEXTJOIN(",", TRUE, REPT("Volwassene,", Klantgegevens_A!G338), REPT("Kind,", Klantgegevens_A!H338)))</f>
        <v>174.22</v>
      </c>
      <c r="F339">
        <f>IF(Klantgegevens_B!G338&lt;&gt;"", LEN(Klantgegevens_B!G338)-LEN(SUBSTITUTE(Klantgegevens_B!G338, ",", ""))+1, Klantgegevens_A!G338)</f>
        <v>1</v>
      </c>
      <c r="G339">
        <f>IF(Klantgegevens_B!G338&lt;&gt;"", 0, Klantgegevens_A!H338)</f>
        <v>0</v>
      </c>
      <c r="H339">
        <f>IF(Klantgegevens_B!H338&lt;&gt;"", Klantgegevens_B!H338, Klantgegevens_A!I338)</f>
        <v>19</v>
      </c>
      <c r="I339" t="str">
        <f>IF(Klantgegevens_B!I338&lt;&gt;"", Klantgegevens_B!I338, SWITCH(Klantgegevens_A!J338, "Zelden", 1, "Af en toe", 4, "Regelmatig", 8, "Vaak", 12))</f>
        <v>Payconiq</v>
      </c>
      <c r="J339" t="str">
        <f>IF(Klantgegevens_B!J338&lt;&gt;"", Klantgegevens_B!J338, Klantgegevens_A!K338)</f>
        <v>ja</v>
      </c>
      <c r="K339">
        <f>IF(Klantgegevens_B!K338&lt;&gt;"", AVERAGE(--(Klantgegevens_B!K338="ja"), --(Klantgegevens_B!L338="ja"), --(Klantgegevens_B!M338="ja"), --(Klantgegevens_B!N338="ja"), --(Klantgegevens_B!O338="ja"))*10, Klantgegevens_A!L338)</f>
        <v>6</v>
      </c>
      <c r="L339" t="str">
        <f>IF(Klantgegevens_B!K338&lt;&gt;"", Klantgegevens_B!K338, IF(Klantgegevens_A!L338&gt;=7, "ja", "nee"))</f>
        <v>ja</v>
      </c>
      <c r="M339" t="str">
        <f>IF(Klantgegevens_B!L338&lt;&gt;"", Klantgegevens_B!L338, IF(Klantgegevens_A!L338&gt;=7, "ja", "nee"))</f>
        <v>ja</v>
      </c>
      <c r="N339" t="str">
        <f>IF(Klantgegevens_B!M338&lt;&gt;"", Klantgegevens_B!M338, IF(Klantgegevens_A!L338&gt;=7, "ja", "nee"))</f>
        <v>nee</v>
      </c>
      <c r="O339" t="str">
        <f>IF(Klantgegevens_B!N338&lt;&gt;"", Klantgegevens_B!N338, IF(Klantgegevens_A!L338&gt;=7, "ja", "nee"))</f>
        <v>ja</v>
      </c>
      <c r="P339" t="str">
        <f>IF(Klantgegevens_B!O338&lt;&gt;"", Klantgegevens_B!O338, IF(Klantgegevens_A!L338&gt;=7, "ja", "nee"))</f>
        <v>Geen dieet</v>
      </c>
      <c r="Q339" t="str">
        <f>IF(Klantgegevens_B!P338&lt;&gt;"", Klantgegevens_B!P338, Klantgegevens_A!M338)</f>
        <v>Veganistisch</v>
      </c>
      <c r="R339" t="str">
        <f>IF(Klantgegevens_B!A338&lt;&gt;"", "B", "A")</f>
        <v>B</v>
      </c>
    </row>
    <row r="340" spans="1:18" x14ac:dyDescent="0.3">
      <c r="A340" t="str">
        <f>IF(Klantgegevens_B!A339&lt;&gt;"", Klantgegevens_B!A339, MID(Klantgegevens_A!A339, FIND(",", Klantgegevens_A!A339)+2, LEN(Klantgegevens_A!A339)))</f>
        <v>Pauline</v>
      </c>
      <c r="B340" t="str">
        <f>IF(Klantgegevens_B!B339&lt;&gt;"", Klantgegevens_B!B339, LEFT(Klantgegevens_A!A339, FIND(",", Klantgegevens_A!A339)-1))</f>
        <v>Vanneste</v>
      </c>
      <c r="C340" t="str">
        <f t="shared" ca="1" si="5"/>
        <v/>
      </c>
      <c r="D340" t="str">
        <f>IF(Klantgegevens_B!F339&lt;&gt;"", Klantgegevens_B!F339, Klantgegevens_A!D339 &amp; " " &amp; Klantgegevens_A!E339 &amp; ", " &amp; Klantgegevens_A!F339)</f>
        <v>Pauline,Wafaa,Yentl,Juliette</v>
      </c>
      <c r="E340">
        <f>IF(Klantgegevens_B!G339&lt;&gt;"", Klantgegevens_B!G339, TEXTJOIN(",", TRUE, REPT("Volwassene,", Klantgegevens_A!G339), REPT("Kind,", Klantgegevens_A!H339)))</f>
        <v>77.53</v>
      </c>
      <c r="F340">
        <f>IF(Klantgegevens_B!G339&lt;&gt;"", LEN(Klantgegevens_B!G339)-LEN(SUBSTITUTE(Klantgegevens_B!G339, ",", ""))+1, Klantgegevens_A!G339)</f>
        <v>1</v>
      </c>
      <c r="G340">
        <f>IF(Klantgegevens_B!G339&lt;&gt;"", 0, Klantgegevens_A!H339)</f>
        <v>0</v>
      </c>
      <c r="H340">
        <f>IF(Klantgegevens_B!H339&lt;&gt;"", Klantgegevens_B!H339, Klantgegevens_A!I339)</f>
        <v>2</v>
      </c>
      <c r="I340" t="str">
        <f>IF(Klantgegevens_B!I339&lt;&gt;"", Klantgegevens_B!I339, SWITCH(Klantgegevens_A!J339, "Zelden", 1, "Af en toe", 4, "Regelmatig", 8, "Vaak", 12))</f>
        <v>Payconiq</v>
      </c>
      <c r="J340" t="str">
        <f>IF(Klantgegevens_B!J339&lt;&gt;"", Klantgegevens_B!J339, Klantgegevens_A!K339)</f>
        <v>ja</v>
      </c>
      <c r="K340">
        <f>IF(Klantgegevens_B!K339&lt;&gt;"", AVERAGE(--(Klantgegevens_B!K339="ja"), --(Klantgegevens_B!L339="ja"), --(Klantgegevens_B!M339="ja"), --(Klantgegevens_B!N339="ja"), --(Klantgegevens_B!O339="ja"))*10, Klantgegevens_A!L339)</f>
        <v>8</v>
      </c>
      <c r="L340" t="str">
        <f>IF(Klantgegevens_B!K339&lt;&gt;"", Klantgegevens_B!K339, IF(Klantgegevens_A!L339&gt;=7, "ja", "nee"))</f>
        <v>ja</v>
      </c>
      <c r="M340" t="str">
        <f>IF(Klantgegevens_B!L339&lt;&gt;"", Klantgegevens_B!L339, IF(Klantgegevens_A!L339&gt;=7, "ja", "nee"))</f>
        <v>ja</v>
      </c>
      <c r="N340" t="str">
        <f>IF(Klantgegevens_B!M339&lt;&gt;"", Klantgegevens_B!M339, IF(Klantgegevens_A!L339&gt;=7, "ja", "nee"))</f>
        <v>ja</v>
      </c>
      <c r="O340" t="str">
        <f>IF(Klantgegevens_B!N339&lt;&gt;"", Klantgegevens_B!N339, IF(Klantgegevens_A!L339&gt;=7, "ja", "nee"))</f>
        <v>ja</v>
      </c>
      <c r="P340" t="str">
        <f>IF(Klantgegevens_B!O339&lt;&gt;"", Klantgegevens_B!O339, IF(Klantgegevens_A!L339&gt;=7, "ja", "nee"))</f>
        <v>Geen dieet</v>
      </c>
      <c r="Q340" t="str">
        <f>IF(Klantgegevens_B!P339&lt;&gt;"", Klantgegevens_B!P339, Klantgegevens_A!M339)</f>
        <v>Geen dieet</v>
      </c>
      <c r="R340" t="str">
        <f>IF(Klantgegevens_B!A339&lt;&gt;"", "B", "A")</f>
        <v>B</v>
      </c>
    </row>
    <row r="341" spans="1:18" x14ac:dyDescent="0.3">
      <c r="A341" t="str">
        <f>IF(Klantgegevens_B!A340&lt;&gt;"", Klantgegevens_B!A340, MID(Klantgegevens_A!A340, FIND(",", Klantgegevens_A!A340)+2, LEN(Klantgegevens_A!A340)))</f>
        <v>Rachel</v>
      </c>
      <c r="B341" t="str">
        <f>IF(Klantgegevens_B!B340&lt;&gt;"", Klantgegevens_B!B340, LEFT(Klantgegevens_A!A340, FIND(",", Klantgegevens_A!A340)-1))</f>
        <v>Dewulf</v>
      </c>
      <c r="C341" t="str">
        <f t="shared" ca="1" si="5"/>
        <v/>
      </c>
      <c r="D341" t="str">
        <f>IF(Klantgegevens_B!F340&lt;&gt;"", Klantgegevens_B!F340, Klantgegevens_A!D340 &amp; " " &amp; Klantgegevens_A!E340 &amp; ", " &amp; Klantgegevens_A!F340)</f>
        <v>Rachel,Dries</v>
      </c>
      <c r="E341">
        <f>IF(Klantgegevens_B!G340&lt;&gt;"", Klantgegevens_B!G340, TEXTJOIN(",", TRUE, REPT("Volwassene,", Klantgegevens_A!G340), REPT("Kind,", Klantgegevens_A!H340)))</f>
        <v>170.39</v>
      </c>
      <c r="F341">
        <f>IF(Klantgegevens_B!G340&lt;&gt;"", LEN(Klantgegevens_B!G340)-LEN(SUBSTITUTE(Klantgegevens_B!G340, ",", ""))+1, Klantgegevens_A!G340)</f>
        <v>1</v>
      </c>
      <c r="G341">
        <f>IF(Klantgegevens_B!G340&lt;&gt;"", 0, Klantgegevens_A!H340)</f>
        <v>0</v>
      </c>
      <c r="H341">
        <f>IF(Klantgegevens_B!H340&lt;&gt;"", Klantgegevens_B!H340, Klantgegevens_A!I340)</f>
        <v>4</v>
      </c>
      <c r="I341" t="str">
        <f>IF(Klantgegevens_B!I340&lt;&gt;"", Klantgegevens_B!I340, SWITCH(Klantgegevens_A!J340, "Zelden", 1, "Af en toe", 4, "Regelmatig", 8, "Vaak", 12))</f>
        <v>Cash</v>
      </c>
      <c r="J341" t="str">
        <f>IF(Klantgegevens_B!J340&lt;&gt;"", Klantgegevens_B!J340, Klantgegevens_A!K340)</f>
        <v>ja</v>
      </c>
      <c r="K341">
        <f>IF(Klantgegevens_B!K340&lt;&gt;"", AVERAGE(--(Klantgegevens_B!K340="ja"), --(Klantgegevens_B!L340="ja"), --(Klantgegevens_B!M340="ja"), --(Klantgegevens_B!N340="ja"), --(Klantgegevens_B!O340="ja"))*10, Klantgegevens_A!L340)</f>
        <v>4</v>
      </c>
      <c r="L341" t="str">
        <f>IF(Klantgegevens_B!K340&lt;&gt;"", Klantgegevens_B!K340, IF(Klantgegevens_A!L340&gt;=7, "ja", "nee"))</f>
        <v>ja</v>
      </c>
      <c r="M341" t="str">
        <f>IF(Klantgegevens_B!L340&lt;&gt;"", Klantgegevens_B!L340, IF(Klantgegevens_A!L340&gt;=7, "ja", "nee"))</f>
        <v>nee</v>
      </c>
      <c r="N341" t="str">
        <f>IF(Klantgegevens_B!M340&lt;&gt;"", Klantgegevens_B!M340, IF(Klantgegevens_A!L340&gt;=7, "ja", "nee"))</f>
        <v>ja</v>
      </c>
      <c r="O341" t="str">
        <f>IF(Klantgegevens_B!N340&lt;&gt;"", Klantgegevens_B!N340, IF(Klantgegevens_A!L340&gt;=7, "ja", "nee"))</f>
        <v>nee</v>
      </c>
      <c r="P341" t="str">
        <f>IF(Klantgegevens_B!O340&lt;&gt;"", Klantgegevens_B!O340, IF(Klantgegevens_A!L340&gt;=7, "ja", "nee"))</f>
        <v>Geen dieet</v>
      </c>
      <c r="Q341" t="str">
        <f>IF(Klantgegevens_B!P340&lt;&gt;"", Klantgegevens_B!P340, Klantgegevens_A!M340)</f>
        <v>Geen dieet</v>
      </c>
      <c r="R341" t="str">
        <f>IF(Klantgegevens_B!A340&lt;&gt;"", "B", "A")</f>
        <v>B</v>
      </c>
    </row>
    <row r="342" spans="1:18" x14ac:dyDescent="0.3">
      <c r="A342" t="str">
        <f>IF(Klantgegevens_B!A341&lt;&gt;"", Klantgegevens_B!A341, MID(Klantgegevens_A!A341, FIND(",", Klantgegevens_A!A341)+2, LEN(Klantgegevens_A!A341)))</f>
        <v>René</v>
      </c>
      <c r="B342" t="str">
        <f>IF(Klantgegevens_B!B341&lt;&gt;"", Klantgegevens_B!B341, LEFT(Klantgegevens_A!A341, FIND(",", Klantgegevens_A!A341)-1))</f>
        <v>Stevens</v>
      </c>
      <c r="C342" t="str">
        <f t="shared" ca="1" si="5"/>
        <v/>
      </c>
      <c r="D342" t="str">
        <f>IF(Klantgegevens_B!F341&lt;&gt;"", Klantgegevens_B!F341, Klantgegevens_A!D341 &amp; " " &amp; Klantgegevens_A!E341 &amp; ", " &amp; Klantgegevens_A!F341)</f>
        <v>René,Aurélien</v>
      </c>
      <c r="E342">
        <f>IF(Klantgegevens_B!G341&lt;&gt;"", Klantgegevens_B!G341, TEXTJOIN(",", TRUE, REPT("Volwassene,", Klantgegevens_A!G341), REPT("Kind,", Klantgegevens_A!H341)))</f>
        <v>124.5</v>
      </c>
      <c r="F342">
        <f>IF(Klantgegevens_B!G341&lt;&gt;"", LEN(Klantgegevens_B!G341)-LEN(SUBSTITUTE(Klantgegevens_B!G341, ",", ""))+1, Klantgegevens_A!G341)</f>
        <v>1</v>
      </c>
      <c r="G342">
        <f>IF(Klantgegevens_B!G341&lt;&gt;"", 0, Klantgegevens_A!H341)</f>
        <v>0</v>
      </c>
      <c r="H342">
        <f>IF(Klantgegevens_B!H341&lt;&gt;"", Klantgegevens_B!H341, Klantgegevens_A!I341)</f>
        <v>14</v>
      </c>
      <c r="I342" t="str">
        <f>IF(Klantgegevens_B!I341&lt;&gt;"", Klantgegevens_B!I341, SWITCH(Klantgegevens_A!J341, "Zelden", 1, "Af en toe", 4, "Regelmatig", 8, "Vaak", 12))</f>
        <v>Payconiq</v>
      </c>
      <c r="J342" t="str">
        <f>IF(Klantgegevens_B!J341&lt;&gt;"", Klantgegevens_B!J341, Klantgegevens_A!K341)</f>
        <v>ja</v>
      </c>
      <c r="K342">
        <f>IF(Klantgegevens_B!K341&lt;&gt;"", AVERAGE(--(Klantgegevens_B!K341="ja"), --(Klantgegevens_B!L341="ja"), --(Klantgegevens_B!M341="ja"), --(Klantgegevens_B!N341="ja"), --(Klantgegevens_B!O341="ja"))*10, Klantgegevens_A!L341)</f>
        <v>4</v>
      </c>
      <c r="L342" t="str">
        <f>IF(Klantgegevens_B!K341&lt;&gt;"", Klantgegevens_B!K341, IF(Klantgegevens_A!L341&gt;=7, "ja", "nee"))</f>
        <v>ja</v>
      </c>
      <c r="M342" t="str">
        <f>IF(Klantgegevens_B!L341&lt;&gt;"", Klantgegevens_B!L341, IF(Klantgegevens_A!L341&gt;=7, "ja", "nee"))</f>
        <v>ja</v>
      </c>
      <c r="N342" t="str">
        <f>IF(Klantgegevens_B!M341&lt;&gt;"", Klantgegevens_B!M341, IF(Klantgegevens_A!L341&gt;=7, "ja", "nee"))</f>
        <v>nee</v>
      </c>
      <c r="O342" t="str">
        <f>IF(Klantgegevens_B!N341&lt;&gt;"", Klantgegevens_B!N341, IF(Klantgegevens_A!L341&gt;=7, "ja", "nee"))</f>
        <v>nee</v>
      </c>
      <c r="P342" t="str">
        <f>IF(Klantgegevens_B!O341&lt;&gt;"", Klantgegevens_B!O341, IF(Klantgegevens_A!L341&gt;=7, "ja", "nee"))</f>
        <v>Geen dieet</v>
      </c>
      <c r="Q342" t="str">
        <f>IF(Klantgegevens_B!P341&lt;&gt;"", Klantgegevens_B!P341, Klantgegevens_A!M341)</f>
        <v>Geen dieet</v>
      </c>
      <c r="R342" t="str">
        <f>IF(Klantgegevens_B!A341&lt;&gt;"", "B", "A")</f>
        <v>B</v>
      </c>
    </row>
    <row r="343" spans="1:18" x14ac:dyDescent="0.3">
      <c r="A343" t="str">
        <f>IF(Klantgegevens_B!A342&lt;&gt;"", Klantgegevens_B!A342, MID(Klantgegevens_A!A342, FIND(",", Klantgegevens_A!A342)+2, LEN(Klantgegevens_A!A342)))</f>
        <v>Leon</v>
      </c>
      <c r="B343" t="str">
        <f>IF(Klantgegevens_B!B342&lt;&gt;"", Klantgegevens_B!B342, LEFT(Klantgegevens_A!A342, FIND(",", Klantgegevens_A!A342)-1))</f>
        <v>De wilde</v>
      </c>
      <c r="C343" t="str">
        <f t="shared" ca="1" si="5"/>
        <v/>
      </c>
      <c r="D343" t="str">
        <f>IF(Klantgegevens_B!F342&lt;&gt;"", Klantgegevens_B!F342, Klantgegevens_A!D342 &amp; " " &amp; Klantgegevens_A!E342 &amp; ", " &amp; Klantgegevens_A!F342)</f>
        <v>Leon,Felix,André,Wael</v>
      </c>
      <c r="E343">
        <f>IF(Klantgegevens_B!G342&lt;&gt;"", Klantgegevens_B!G342, TEXTJOIN(",", TRUE, REPT("Volwassene,", Klantgegevens_A!G342), REPT("Kind,", Klantgegevens_A!H342)))</f>
        <v>247.01</v>
      </c>
      <c r="F343">
        <f>IF(Klantgegevens_B!G342&lt;&gt;"", LEN(Klantgegevens_B!G342)-LEN(SUBSTITUTE(Klantgegevens_B!G342, ",", ""))+1, Klantgegevens_A!G342)</f>
        <v>1</v>
      </c>
      <c r="G343">
        <f>IF(Klantgegevens_B!G342&lt;&gt;"", 0, Klantgegevens_A!H342)</f>
        <v>0</v>
      </c>
      <c r="H343">
        <f>IF(Klantgegevens_B!H342&lt;&gt;"", Klantgegevens_B!H342, Klantgegevens_A!I342)</f>
        <v>6</v>
      </c>
      <c r="I343" t="str">
        <f>IF(Klantgegevens_B!I342&lt;&gt;"", Klantgegevens_B!I342, SWITCH(Klantgegevens_A!J342, "Zelden", 1, "Af en toe", 4, "Regelmatig", 8, "Vaak", 12))</f>
        <v>Cash</v>
      </c>
      <c r="J343" t="str">
        <f>IF(Klantgegevens_B!J342&lt;&gt;"", Klantgegevens_B!J342, Klantgegevens_A!K342)</f>
        <v>ja</v>
      </c>
      <c r="K343">
        <f>IF(Klantgegevens_B!K342&lt;&gt;"", AVERAGE(--(Klantgegevens_B!K342="ja"), --(Klantgegevens_B!L342="ja"), --(Klantgegevens_B!M342="ja"), --(Klantgegevens_B!N342="ja"), --(Klantgegevens_B!O342="ja"))*10, Klantgegevens_A!L342)</f>
        <v>8</v>
      </c>
      <c r="L343" t="str">
        <f>IF(Klantgegevens_B!K342&lt;&gt;"", Klantgegevens_B!K342, IF(Klantgegevens_A!L342&gt;=7, "ja", "nee"))</f>
        <v>ja</v>
      </c>
      <c r="M343" t="str">
        <f>IF(Klantgegevens_B!L342&lt;&gt;"", Klantgegevens_B!L342, IF(Klantgegevens_A!L342&gt;=7, "ja", "nee"))</f>
        <v>ja</v>
      </c>
      <c r="N343" t="str">
        <f>IF(Klantgegevens_B!M342&lt;&gt;"", Klantgegevens_B!M342, IF(Klantgegevens_A!L342&gt;=7, "ja", "nee"))</f>
        <v>ja</v>
      </c>
      <c r="O343" t="str">
        <f>IF(Klantgegevens_B!N342&lt;&gt;"", Klantgegevens_B!N342, IF(Klantgegevens_A!L342&gt;=7, "ja", "nee"))</f>
        <v>ja</v>
      </c>
      <c r="P343" t="str">
        <f>IF(Klantgegevens_B!O342&lt;&gt;"", Klantgegevens_B!O342, IF(Klantgegevens_A!L342&gt;=7, "ja", "nee"))</f>
        <v>Geen dieet</v>
      </c>
      <c r="Q343" t="str">
        <f>IF(Klantgegevens_B!P342&lt;&gt;"", Klantgegevens_B!P342, Klantgegevens_A!M342)</f>
        <v>Geen dieet</v>
      </c>
      <c r="R343" t="str">
        <f>IF(Klantgegevens_B!A342&lt;&gt;"", "B", "A")</f>
        <v>B</v>
      </c>
    </row>
    <row r="344" spans="1:18" x14ac:dyDescent="0.3">
      <c r="A344" t="str">
        <f>IF(Klantgegevens_B!A343&lt;&gt;"", Klantgegevens_B!A343, MID(Klantgegevens_A!A343, FIND(",", Klantgegevens_A!A343)+2, LEN(Klantgegevens_A!A343)))</f>
        <v>Piet</v>
      </c>
      <c r="B344" t="str">
        <f>IF(Klantgegevens_B!B343&lt;&gt;"", Klantgegevens_B!B343, LEFT(Klantgegevens_A!A343, FIND(",", Klantgegevens_A!A343)-1))</f>
        <v>Martens</v>
      </c>
      <c r="C344" t="str">
        <f t="shared" ca="1" si="5"/>
        <v/>
      </c>
      <c r="D344" t="str">
        <f>IF(Klantgegevens_B!F343&lt;&gt;"", Klantgegevens_B!F343, Klantgegevens_A!D343 &amp; " " &amp; Klantgegevens_A!E343 &amp; ", " &amp; Klantgegevens_A!F343)</f>
        <v>Piet,Margit,Dany</v>
      </c>
      <c r="E344">
        <f>IF(Klantgegevens_B!G343&lt;&gt;"", Klantgegevens_B!G343, TEXTJOIN(",", TRUE, REPT("Volwassene,", Klantgegevens_A!G343), REPT("Kind,", Klantgegevens_A!H343)))</f>
        <v>128.83000000000001</v>
      </c>
      <c r="F344">
        <f>IF(Klantgegevens_B!G343&lt;&gt;"", LEN(Klantgegevens_B!G343)-LEN(SUBSTITUTE(Klantgegevens_B!G343, ",", ""))+1, Klantgegevens_A!G343)</f>
        <v>1</v>
      </c>
      <c r="G344">
        <f>IF(Klantgegevens_B!G343&lt;&gt;"", 0, Klantgegevens_A!H343)</f>
        <v>0</v>
      </c>
      <c r="H344">
        <f>IF(Klantgegevens_B!H343&lt;&gt;"", Klantgegevens_B!H343, Klantgegevens_A!I343)</f>
        <v>1</v>
      </c>
      <c r="I344" t="str">
        <f>IF(Klantgegevens_B!I343&lt;&gt;"", Klantgegevens_B!I343, SWITCH(Klantgegevens_A!J343, "Zelden", 1, "Af en toe", 4, "Regelmatig", 8, "Vaak", 12))</f>
        <v>Bancontact</v>
      </c>
      <c r="J344" t="str">
        <f>IF(Klantgegevens_B!J343&lt;&gt;"", Klantgegevens_B!J343, Klantgegevens_A!K343)</f>
        <v>ja</v>
      </c>
      <c r="K344">
        <f>IF(Klantgegevens_B!K343&lt;&gt;"", AVERAGE(--(Klantgegevens_B!K343="ja"), --(Klantgegevens_B!L343="ja"), --(Klantgegevens_B!M343="ja"), --(Klantgegevens_B!N343="ja"), --(Klantgegevens_B!O343="ja"))*10, Klantgegevens_A!L343)</f>
        <v>6</v>
      </c>
      <c r="L344" t="str">
        <f>IF(Klantgegevens_B!K343&lt;&gt;"", Klantgegevens_B!K343, IF(Klantgegevens_A!L343&gt;=7, "ja", "nee"))</f>
        <v>ja</v>
      </c>
      <c r="M344" t="str">
        <f>IF(Klantgegevens_B!L343&lt;&gt;"", Klantgegevens_B!L343, IF(Klantgegevens_A!L343&gt;=7, "ja", "nee"))</f>
        <v>ja</v>
      </c>
      <c r="N344" t="str">
        <f>IF(Klantgegevens_B!M343&lt;&gt;"", Klantgegevens_B!M343, IF(Klantgegevens_A!L343&gt;=7, "ja", "nee"))</f>
        <v>ja</v>
      </c>
      <c r="O344" t="str">
        <f>IF(Klantgegevens_B!N343&lt;&gt;"", Klantgegevens_B!N343, IF(Klantgegevens_A!L343&gt;=7, "ja", "nee"))</f>
        <v>nee</v>
      </c>
      <c r="P344" t="str">
        <f>IF(Klantgegevens_B!O343&lt;&gt;"", Klantgegevens_B!O343, IF(Klantgegevens_A!L343&gt;=7, "ja", "nee"))</f>
        <v>Geen dieet</v>
      </c>
      <c r="Q344" t="str">
        <f>IF(Klantgegevens_B!P343&lt;&gt;"", Klantgegevens_B!P343, Klantgegevens_A!M343)</f>
        <v>Geen dieet</v>
      </c>
      <c r="R344" t="str">
        <f>IF(Klantgegevens_B!A343&lt;&gt;"", "B", "A")</f>
        <v>B</v>
      </c>
    </row>
    <row r="345" spans="1:18" x14ac:dyDescent="0.3">
      <c r="A345" t="str">
        <f>IF(Klantgegevens_B!A344&lt;&gt;"", Klantgegevens_B!A344, MID(Klantgegevens_A!A344, FIND(",", Klantgegevens_A!A344)+2, LEN(Klantgegevens_A!A344)))</f>
        <v>Fabio</v>
      </c>
      <c r="B345" t="str">
        <f>IF(Klantgegevens_B!B344&lt;&gt;"", Klantgegevens_B!B344, LEFT(Klantgegevens_A!A344, FIND(",", Klantgegevens_A!A344)-1))</f>
        <v>Smits</v>
      </c>
      <c r="C345" t="str">
        <f t="shared" ca="1" si="5"/>
        <v/>
      </c>
      <c r="D345" t="str">
        <f>IF(Klantgegevens_B!F344&lt;&gt;"", Klantgegevens_B!F344, Klantgegevens_A!D344 &amp; " " &amp; Klantgegevens_A!E344 &amp; ", " &amp; Klantgegevens_A!F344)</f>
        <v>Fabio,Abdul,Richard</v>
      </c>
      <c r="E345">
        <f>IF(Klantgegevens_B!G344&lt;&gt;"", Klantgegevens_B!G344, TEXTJOIN(",", TRUE, REPT("Volwassene,", Klantgegevens_A!G344), REPT("Kind,", Klantgegevens_A!H344)))</f>
        <v>121.07</v>
      </c>
      <c r="F345">
        <f>IF(Klantgegevens_B!G344&lt;&gt;"", LEN(Klantgegevens_B!G344)-LEN(SUBSTITUTE(Klantgegevens_B!G344, ",", ""))+1, Klantgegevens_A!G344)</f>
        <v>1</v>
      </c>
      <c r="G345">
        <f>IF(Klantgegevens_B!G344&lt;&gt;"", 0, Klantgegevens_A!H344)</f>
        <v>0</v>
      </c>
      <c r="H345">
        <f>IF(Klantgegevens_B!H344&lt;&gt;"", Klantgegevens_B!H344, Klantgegevens_A!I344)</f>
        <v>11</v>
      </c>
      <c r="I345" t="str">
        <f>IF(Klantgegevens_B!I344&lt;&gt;"", Klantgegevens_B!I344, SWITCH(Klantgegevens_A!J344, "Zelden", 1, "Af en toe", 4, "Regelmatig", 8, "Vaak", 12))</f>
        <v>Bancontact</v>
      </c>
      <c r="J345" t="str">
        <f>IF(Klantgegevens_B!J344&lt;&gt;"", Klantgegevens_B!J344, Klantgegevens_A!K344)</f>
        <v>nee</v>
      </c>
      <c r="K345">
        <f>IF(Klantgegevens_B!K344&lt;&gt;"", AVERAGE(--(Klantgegevens_B!K344="ja"), --(Klantgegevens_B!L344="ja"), --(Klantgegevens_B!M344="ja"), --(Klantgegevens_B!N344="ja"), --(Klantgegevens_B!O344="ja"))*10, Klantgegevens_A!L344)</f>
        <v>8</v>
      </c>
      <c r="L345" t="str">
        <f>IF(Klantgegevens_B!K344&lt;&gt;"", Klantgegevens_B!K344, IF(Klantgegevens_A!L344&gt;=7, "ja", "nee"))</f>
        <v>ja</v>
      </c>
      <c r="M345" t="str">
        <f>IF(Klantgegevens_B!L344&lt;&gt;"", Klantgegevens_B!L344, IF(Klantgegevens_A!L344&gt;=7, "ja", "nee"))</f>
        <v>ja</v>
      </c>
      <c r="N345" t="str">
        <f>IF(Klantgegevens_B!M344&lt;&gt;"", Klantgegevens_B!M344, IF(Klantgegevens_A!L344&gt;=7, "ja", "nee"))</f>
        <v>ja</v>
      </c>
      <c r="O345" t="str">
        <f>IF(Klantgegevens_B!N344&lt;&gt;"", Klantgegevens_B!N344, IF(Klantgegevens_A!L344&gt;=7, "ja", "nee"))</f>
        <v>ja</v>
      </c>
      <c r="P345" t="str">
        <f>IF(Klantgegevens_B!O344&lt;&gt;"", Klantgegevens_B!O344, IF(Klantgegevens_A!L344&gt;=7, "ja", "nee"))</f>
        <v>Geen dieet</v>
      </c>
      <c r="Q345" t="str">
        <f>IF(Klantgegevens_B!P344&lt;&gt;"", Klantgegevens_B!P344, Klantgegevens_A!M344)</f>
        <v>Geen dieet</v>
      </c>
      <c r="R345" t="str">
        <f>IF(Klantgegevens_B!A344&lt;&gt;"", "B", "A")</f>
        <v>B</v>
      </c>
    </row>
    <row r="346" spans="1:18" x14ac:dyDescent="0.3">
      <c r="A346" t="str">
        <f>IF(Klantgegevens_B!A345&lt;&gt;"", Klantgegevens_B!A345, MID(Klantgegevens_A!A345, FIND(",", Klantgegevens_A!A345)+2, LEN(Klantgegevens_A!A345)))</f>
        <v>Gilberte</v>
      </c>
      <c r="B346" t="str">
        <f>IF(Klantgegevens_B!B345&lt;&gt;"", Klantgegevens_B!B345, LEFT(Klantgegevens_A!A345, FIND(",", Klantgegevens_A!A345)-1))</f>
        <v>De paepe</v>
      </c>
      <c r="C346" t="str">
        <f t="shared" ca="1" si="5"/>
        <v/>
      </c>
      <c r="D346" t="str">
        <f>IF(Klantgegevens_B!F345&lt;&gt;"", Klantgegevens_B!F345, Klantgegevens_A!D345 &amp; " " &amp; Klantgegevens_A!E345 &amp; ", " &amp; Klantgegevens_A!F345)</f>
        <v>Gilberte,Miel</v>
      </c>
      <c r="E346">
        <f>IF(Klantgegevens_B!G345&lt;&gt;"", Klantgegevens_B!G345, TEXTJOIN(",", TRUE, REPT("Volwassene,", Klantgegevens_A!G345), REPT("Kind,", Klantgegevens_A!H345)))</f>
        <v>22.6</v>
      </c>
      <c r="F346">
        <f>IF(Klantgegevens_B!G345&lt;&gt;"", LEN(Klantgegevens_B!G345)-LEN(SUBSTITUTE(Klantgegevens_B!G345, ",", ""))+1, Klantgegevens_A!G345)</f>
        <v>1</v>
      </c>
      <c r="G346">
        <f>IF(Klantgegevens_B!G345&lt;&gt;"", 0, Klantgegevens_A!H345)</f>
        <v>0</v>
      </c>
      <c r="H346">
        <f>IF(Klantgegevens_B!H345&lt;&gt;"", Klantgegevens_B!H345, Klantgegevens_A!I345)</f>
        <v>12</v>
      </c>
      <c r="I346" t="str">
        <f>IF(Klantgegevens_B!I345&lt;&gt;"", Klantgegevens_B!I345, SWITCH(Klantgegevens_A!J345, "Zelden", 1, "Af en toe", 4, "Regelmatig", 8, "Vaak", 12))</f>
        <v>Bancontact</v>
      </c>
      <c r="J346" t="str">
        <f>IF(Klantgegevens_B!J345&lt;&gt;"", Klantgegevens_B!J345, Klantgegevens_A!K345)</f>
        <v>ja</v>
      </c>
      <c r="K346">
        <f>IF(Klantgegevens_B!K345&lt;&gt;"", AVERAGE(--(Klantgegevens_B!K345="ja"), --(Klantgegevens_B!L345="ja"), --(Klantgegevens_B!M345="ja"), --(Klantgegevens_B!N345="ja"), --(Klantgegevens_B!O345="ja"))*10, Klantgegevens_A!L345)</f>
        <v>8</v>
      </c>
      <c r="L346" t="str">
        <f>IF(Klantgegevens_B!K345&lt;&gt;"", Klantgegevens_B!K345, IF(Klantgegevens_A!L345&gt;=7, "ja", "nee"))</f>
        <v>ja</v>
      </c>
      <c r="M346" t="str">
        <f>IF(Klantgegevens_B!L345&lt;&gt;"", Klantgegevens_B!L345, IF(Klantgegevens_A!L345&gt;=7, "ja", "nee"))</f>
        <v>ja</v>
      </c>
      <c r="N346" t="str">
        <f>IF(Klantgegevens_B!M345&lt;&gt;"", Klantgegevens_B!M345, IF(Klantgegevens_A!L345&gt;=7, "ja", "nee"))</f>
        <v>ja</v>
      </c>
      <c r="O346" t="str">
        <f>IF(Klantgegevens_B!N345&lt;&gt;"", Klantgegevens_B!N345, IF(Klantgegevens_A!L345&gt;=7, "ja", "nee"))</f>
        <v>ja</v>
      </c>
      <c r="P346" t="str">
        <f>IF(Klantgegevens_B!O345&lt;&gt;"", Klantgegevens_B!O345, IF(Klantgegevens_A!L345&gt;=7, "ja", "nee"))</f>
        <v>Vegetarisch</v>
      </c>
      <c r="Q346" t="str">
        <f>IF(Klantgegevens_B!P345&lt;&gt;"", Klantgegevens_B!P345, Klantgegevens_A!M345)</f>
        <v>Vegetarisch</v>
      </c>
      <c r="R346" t="str">
        <f>IF(Klantgegevens_B!A345&lt;&gt;"", "B", "A")</f>
        <v>B</v>
      </c>
    </row>
    <row r="347" spans="1:18" x14ac:dyDescent="0.3">
      <c r="A347" t="str">
        <f>IF(Klantgegevens_B!A346&lt;&gt;"", Klantgegevens_B!A346, MID(Klantgegevens_A!A346, FIND(",", Klantgegevens_A!A346)+2, LEN(Klantgegevens_A!A346)))</f>
        <v>Rosa</v>
      </c>
      <c r="B347" t="str">
        <f>IF(Klantgegevens_B!B346&lt;&gt;"", Klantgegevens_B!B346, LEFT(Klantgegevens_A!A346, FIND(",", Klantgegevens_A!A346)-1))</f>
        <v>Vercammen</v>
      </c>
      <c r="C347" t="str">
        <f t="shared" ca="1" si="5"/>
        <v/>
      </c>
      <c r="D347" t="str">
        <f>IF(Klantgegevens_B!F346&lt;&gt;"", Klantgegevens_B!F346, Klantgegevens_A!D346 &amp; " " &amp; Klantgegevens_A!E346 &amp; ", " &amp; Klantgegevens_A!F346)</f>
        <v>Rosa,Patricia</v>
      </c>
      <c r="E347">
        <f>IF(Klantgegevens_B!G346&lt;&gt;"", Klantgegevens_B!G346, TEXTJOIN(",", TRUE, REPT("Volwassene,", Klantgegevens_A!G346), REPT("Kind,", Klantgegevens_A!H346)))</f>
        <v>134.35</v>
      </c>
      <c r="F347">
        <f>IF(Klantgegevens_B!G346&lt;&gt;"", LEN(Klantgegevens_B!G346)-LEN(SUBSTITUTE(Klantgegevens_B!G346, ",", ""))+1, Klantgegevens_A!G346)</f>
        <v>1</v>
      </c>
      <c r="G347">
        <f>IF(Klantgegevens_B!G346&lt;&gt;"", 0, Klantgegevens_A!H346)</f>
        <v>0</v>
      </c>
      <c r="H347">
        <f>IF(Klantgegevens_B!H346&lt;&gt;"", Klantgegevens_B!H346, Klantgegevens_A!I346)</f>
        <v>13</v>
      </c>
      <c r="I347" t="str">
        <f>IF(Klantgegevens_B!I346&lt;&gt;"", Klantgegevens_B!I346, SWITCH(Klantgegevens_A!J346, "Zelden", 1, "Af en toe", 4, "Regelmatig", 8, "Vaak", 12))</f>
        <v>Bancontact</v>
      </c>
      <c r="J347" t="str">
        <f>IF(Klantgegevens_B!J346&lt;&gt;"", Klantgegevens_B!J346, Klantgegevens_A!K346)</f>
        <v>nee</v>
      </c>
      <c r="K347">
        <f>IF(Klantgegevens_B!K346&lt;&gt;"", AVERAGE(--(Klantgegevens_B!K346="ja"), --(Klantgegevens_B!L346="ja"), --(Klantgegevens_B!M346="ja"), --(Klantgegevens_B!N346="ja"), --(Klantgegevens_B!O346="ja"))*10, Klantgegevens_A!L346)</f>
        <v>6</v>
      </c>
      <c r="L347" t="str">
        <f>IF(Klantgegevens_B!K346&lt;&gt;"", Klantgegevens_B!K346, IF(Klantgegevens_A!L346&gt;=7, "ja", "nee"))</f>
        <v>ja</v>
      </c>
      <c r="M347" t="str">
        <f>IF(Klantgegevens_B!L346&lt;&gt;"", Klantgegevens_B!L346, IF(Klantgegevens_A!L346&gt;=7, "ja", "nee"))</f>
        <v>ja</v>
      </c>
      <c r="N347" t="str">
        <f>IF(Klantgegevens_B!M346&lt;&gt;"", Klantgegevens_B!M346, IF(Klantgegevens_A!L346&gt;=7, "ja", "nee"))</f>
        <v>nee</v>
      </c>
      <c r="O347" t="str">
        <f>IF(Klantgegevens_B!N346&lt;&gt;"", Klantgegevens_B!N346, IF(Klantgegevens_A!L346&gt;=7, "ja", "nee"))</f>
        <v>ja</v>
      </c>
      <c r="P347" t="str">
        <f>IF(Klantgegevens_B!O346&lt;&gt;"", Klantgegevens_B!O346, IF(Klantgegevens_A!L346&gt;=7, "ja", "nee"))</f>
        <v>Geen dieet</v>
      </c>
      <c r="Q347" t="str">
        <f>IF(Klantgegevens_B!P346&lt;&gt;"", Klantgegevens_B!P346, Klantgegevens_A!M346)</f>
        <v>Geen dieet</v>
      </c>
      <c r="R347" t="str">
        <f>IF(Klantgegevens_B!A346&lt;&gt;"", "B", "A")</f>
        <v>B</v>
      </c>
    </row>
    <row r="348" spans="1:18" x14ac:dyDescent="0.3">
      <c r="A348" t="str">
        <f>IF(Klantgegevens_B!A347&lt;&gt;"", Klantgegevens_B!A347, MID(Klantgegevens_A!A347, FIND(",", Klantgegevens_A!A347)+2, LEN(Klantgegevens_A!A347)))</f>
        <v>Juan</v>
      </c>
      <c r="B348" t="str">
        <f>IF(Klantgegevens_B!B347&lt;&gt;"", Klantgegevens_B!B347, LEFT(Klantgegevens_A!A347, FIND(",", Klantgegevens_A!A347)-1))</f>
        <v>Cornet</v>
      </c>
      <c r="C348" t="str">
        <f t="shared" ca="1" si="5"/>
        <v/>
      </c>
      <c r="D348" t="str">
        <f>IF(Klantgegevens_B!F347&lt;&gt;"", Klantgegevens_B!F347, Klantgegevens_A!D347 &amp; " " &amp; Klantgegevens_A!E347 &amp; ", " &amp; Klantgegevens_A!F347)</f>
        <v>Juan,Yavin,Jean-Paul</v>
      </c>
      <c r="E348">
        <f>IF(Klantgegevens_B!G347&lt;&gt;"", Klantgegevens_B!G347, TEXTJOIN(",", TRUE, REPT("Volwassene,", Klantgegevens_A!G347), REPT("Kind,", Klantgegevens_A!H347)))</f>
        <v>132.43</v>
      </c>
      <c r="F348">
        <f>IF(Klantgegevens_B!G347&lt;&gt;"", LEN(Klantgegevens_B!G347)-LEN(SUBSTITUTE(Klantgegevens_B!G347, ",", ""))+1, Klantgegevens_A!G347)</f>
        <v>1</v>
      </c>
      <c r="G348">
        <f>IF(Klantgegevens_B!G347&lt;&gt;"", 0, Klantgegevens_A!H347)</f>
        <v>0</v>
      </c>
      <c r="H348">
        <f>IF(Klantgegevens_B!H347&lt;&gt;"", Klantgegevens_B!H347, Klantgegevens_A!I347)</f>
        <v>16</v>
      </c>
      <c r="I348" t="str">
        <f>IF(Klantgegevens_B!I347&lt;&gt;"", Klantgegevens_B!I347, SWITCH(Klantgegevens_A!J347, "Zelden", 1, "Af en toe", 4, "Regelmatig", 8, "Vaak", 12))</f>
        <v>Bancontact</v>
      </c>
      <c r="J348" t="str">
        <f>IF(Klantgegevens_B!J347&lt;&gt;"", Klantgegevens_B!J347, Klantgegevens_A!K347)</f>
        <v>nee</v>
      </c>
      <c r="K348">
        <f>IF(Klantgegevens_B!K347&lt;&gt;"", AVERAGE(--(Klantgegevens_B!K347="ja"), --(Klantgegevens_B!L347="ja"), --(Klantgegevens_B!M347="ja"), --(Klantgegevens_B!N347="ja"), --(Klantgegevens_B!O347="ja"))*10, Klantgegevens_A!L347)</f>
        <v>4</v>
      </c>
      <c r="L348" t="str">
        <f>IF(Klantgegevens_B!K347&lt;&gt;"", Klantgegevens_B!K347, IF(Klantgegevens_A!L347&gt;=7, "ja", "nee"))</f>
        <v>ja</v>
      </c>
      <c r="M348" t="str">
        <f>IF(Klantgegevens_B!L347&lt;&gt;"", Klantgegevens_B!L347, IF(Klantgegevens_A!L347&gt;=7, "ja", "nee"))</f>
        <v>nee</v>
      </c>
      <c r="N348" t="str">
        <f>IF(Klantgegevens_B!M347&lt;&gt;"", Klantgegevens_B!M347, IF(Klantgegevens_A!L347&gt;=7, "ja", "nee"))</f>
        <v>ja</v>
      </c>
      <c r="O348" t="str">
        <f>IF(Klantgegevens_B!N347&lt;&gt;"", Klantgegevens_B!N347, IF(Klantgegevens_A!L347&gt;=7, "ja", "nee"))</f>
        <v>nee</v>
      </c>
      <c r="P348" t="str">
        <f>IF(Klantgegevens_B!O347&lt;&gt;"", Klantgegevens_B!O347, IF(Klantgegevens_A!L347&gt;=7, "ja", "nee"))</f>
        <v>Geen dieet</v>
      </c>
      <c r="Q348" t="str">
        <f>IF(Klantgegevens_B!P347&lt;&gt;"", Klantgegevens_B!P347, Klantgegevens_A!M347)</f>
        <v>Geen dieet</v>
      </c>
      <c r="R348" t="str">
        <f>IF(Klantgegevens_B!A347&lt;&gt;"", "B", "A")</f>
        <v>B</v>
      </c>
    </row>
    <row r="349" spans="1:18" x14ac:dyDescent="0.3">
      <c r="A349" t="str">
        <f>IF(Klantgegevens_B!A348&lt;&gt;"", Klantgegevens_B!A348, MID(Klantgegevens_A!A348, FIND(",", Klantgegevens_A!A348)+2, LEN(Klantgegevens_A!A348)))</f>
        <v>Vicky</v>
      </c>
      <c r="B349" t="str">
        <f>IF(Klantgegevens_B!B348&lt;&gt;"", Klantgegevens_B!B348, LEFT(Klantgegevens_A!A348, FIND(",", Klantgegevens_A!A348)-1))</f>
        <v>Peeters</v>
      </c>
      <c r="C349" t="str">
        <f t="shared" ca="1" si="5"/>
        <v/>
      </c>
      <c r="D349" t="str">
        <f>IF(Klantgegevens_B!F348&lt;&gt;"", Klantgegevens_B!F348, Klantgegevens_A!D348 &amp; " " &amp; Klantgegevens_A!E348 &amp; ", " &amp; Klantgegevens_A!F348)</f>
        <v>Vicky,Adeline</v>
      </c>
      <c r="E349">
        <f>IF(Klantgegevens_B!G348&lt;&gt;"", Klantgegevens_B!G348, TEXTJOIN(",", TRUE, REPT("Volwassene,", Klantgegevens_A!G348), REPT("Kind,", Klantgegevens_A!H348)))</f>
        <v>128.69</v>
      </c>
      <c r="F349">
        <f>IF(Klantgegevens_B!G348&lt;&gt;"", LEN(Klantgegevens_B!G348)-LEN(SUBSTITUTE(Klantgegevens_B!G348, ",", ""))+1, Klantgegevens_A!G348)</f>
        <v>1</v>
      </c>
      <c r="G349">
        <f>IF(Klantgegevens_B!G348&lt;&gt;"", 0, Klantgegevens_A!H348)</f>
        <v>0</v>
      </c>
      <c r="H349">
        <f>IF(Klantgegevens_B!H348&lt;&gt;"", Klantgegevens_B!H348, Klantgegevens_A!I348)</f>
        <v>7</v>
      </c>
      <c r="I349" t="str">
        <f>IF(Klantgegevens_B!I348&lt;&gt;"", Klantgegevens_B!I348, SWITCH(Klantgegevens_A!J348, "Zelden", 1, "Af en toe", 4, "Regelmatig", 8, "Vaak", 12))</f>
        <v>Cash</v>
      </c>
      <c r="J349" t="str">
        <f>IF(Klantgegevens_B!J348&lt;&gt;"", Klantgegevens_B!J348, Klantgegevens_A!K348)</f>
        <v>ja</v>
      </c>
      <c r="K349">
        <f>IF(Klantgegevens_B!K348&lt;&gt;"", AVERAGE(--(Klantgegevens_B!K348="ja"), --(Klantgegevens_B!L348="ja"), --(Klantgegevens_B!M348="ja"), --(Klantgegevens_B!N348="ja"), --(Klantgegevens_B!O348="ja"))*10, Klantgegevens_A!L348)</f>
        <v>2</v>
      </c>
      <c r="L349" t="str">
        <f>IF(Klantgegevens_B!K348&lt;&gt;"", Klantgegevens_B!K348, IF(Klantgegevens_A!L348&gt;=7, "ja", "nee"))</f>
        <v>nee</v>
      </c>
      <c r="M349" t="str">
        <f>IF(Klantgegevens_B!L348&lt;&gt;"", Klantgegevens_B!L348, IF(Klantgegevens_A!L348&gt;=7, "ja", "nee"))</f>
        <v>ja</v>
      </c>
      <c r="N349" t="str">
        <f>IF(Klantgegevens_B!M348&lt;&gt;"", Klantgegevens_B!M348, IF(Klantgegevens_A!L348&gt;=7, "ja", "nee"))</f>
        <v>nee</v>
      </c>
      <c r="O349" t="str">
        <f>IF(Klantgegevens_B!N348&lt;&gt;"", Klantgegevens_B!N348, IF(Klantgegevens_A!L348&gt;=7, "ja", "nee"))</f>
        <v>nee</v>
      </c>
      <c r="P349" t="str">
        <f>IF(Klantgegevens_B!O348&lt;&gt;"", Klantgegevens_B!O348, IF(Klantgegevens_A!L348&gt;=7, "ja", "nee"))</f>
        <v>Geen dieet</v>
      </c>
      <c r="Q349" t="str">
        <f>IF(Klantgegevens_B!P348&lt;&gt;"", Klantgegevens_B!P348, Klantgegevens_A!M348)</f>
        <v>Geen dieet</v>
      </c>
      <c r="R349" t="str">
        <f>IF(Klantgegevens_B!A348&lt;&gt;"", "B", "A")</f>
        <v>B</v>
      </c>
    </row>
    <row r="350" spans="1:18" x14ac:dyDescent="0.3">
      <c r="A350" t="str">
        <f>IF(Klantgegevens_B!A349&lt;&gt;"", Klantgegevens_B!A349, MID(Klantgegevens_A!A349, FIND(",", Klantgegevens_A!A349)+2, LEN(Klantgegevens_A!A349)))</f>
        <v>Jack</v>
      </c>
      <c r="B350" t="str">
        <f>IF(Klantgegevens_B!B349&lt;&gt;"", Klantgegevens_B!B349, LEFT(Klantgegevens_A!A349, FIND(",", Klantgegevens_A!A349)-1))</f>
        <v>Hubert</v>
      </c>
      <c r="C350" t="str">
        <f t="shared" ca="1" si="5"/>
        <v/>
      </c>
      <c r="D350" t="str">
        <f>IF(Klantgegevens_B!F349&lt;&gt;"", Klantgegevens_B!F349, Klantgegevens_A!D349 &amp; " " &amp; Klantgegevens_A!E349 &amp; ", " &amp; Klantgegevens_A!F349)</f>
        <v>Jack,Benjamin</v>
      </c>
      <c r="E350">
        <f>IF(Klantgegevens_B!G349&lt;&gt;"", Klantgegevens_B!G349, TEXTJOIN(",", TRUE, REPT("Volwassene,", Klantgegevens_A!G349), REPT("Kind,", Klantgegevens_A!H349)))</f>
        <v>161.5</v>
      </c>
      <c r="F350">
        <f>IF(Klantgegevens_B!G349&lt;&gt;"", LEN(Klantgegevens_B!G349)-LEN(SUBSTITUTE(Klantgegevens_B!G349, ",", ""))+1, Klantgegevens_A!G349)</f>
        <v>1</v>
      </c>
      <c r="G350">
        <f>IF(Klantgegevens_B!G349&lt;&gt;"", 0, Klantgegevens_A!H349)</f>
        <v>0</v>
      </c>
      <c r="H350">
        <f>IF(Klantgegevens_B!H349&lt;&gt;"", Klantgegevens_B!H349, Klantgegevens_A!I349)</f>
        <v>1</v>
      </c>
      <c r="I350" t="str">
        <f>IF(Klantgegevens_B!I349&lt;&gt;"", Klantgegevens_B!I349, SWITCH(Klantgegevens_A!J349, "Zelden", 1, "Af en toe", 4, "Regelmatig", 8, "Vaak", 12))</f>
        <v>Payconiq</v>
      </c>
      <c r="J350" t="str">
        <f>IF(Klantgegevens_B!J349&lt;&gt;"", Klantgegevens_B!J349, Klantgegevens_A!K349)</f>
        <v>ja</v>
      </c>
      <c r="K350">
        <f>IF(Klantgegevens_B!K349&lt;&gt;"", AVERAGE(--(Klantgegevens_B!K349="ja"), --(Klantgegevens_B!L349="ja"), --(Klantgegevens_B!M349="ja"), --(Klantgegevens_B!N349="ja"), --(Klantgegevens_B!O349="ja"))*10, Klantgegevens_A!L349)</f>
        <v>8</v>
      </c>
      <c r="L350" t="str">
        <f>IF(Klantgegevens_B!K349&lt;&gt;"", Klantgegevens_B!K349, IF(Klantgegevens_A!L349&gt;=7, "ja", "nee"))</f>
        <v>ja</v>
      </c>
      <c r="M350" t="str">
        <f>IF(Klantgegevens_B!L349&lt;&gt;"", Klantgegevens_B!L349, IF(Klantgegevens_A!L349&gt;=7, "ja", "nee"))</f>
        <v>ja</v>
      </c>
      <c r="N350" t="str">
        <f>IF(Klantgegevens_B!M349&lt;&gt;"", Klantgegevens_B!M349, IF(Klantgegevens_A!L349&gt;=7, "ja", "nee"))</f>
        <v>ja</v>
      </c>
      <c r="O350" t="str">
        <f>IF(Klantgegevens_B!N349&lt;&gt;"", Klantgegevens_B!N349, IF(Klantgegevens_A!L349&gt;=7, "ja", "nee"))</f>
        <v>ja</v>
      </c>
      <c r="P350" t="str">
        <f>IF(Klantgegevens_B!O349&lt;&gt;"", Klantgegevens_B!O349, IF(Klantgegevens_A!L349&gt;=7, "ja", "nee"))</f>
        <v>Vegetarisch</v>
      </c>
      <c r="Q350" t="str">
        <f>IF(Klantgegevens_B!P349&lt;&gt;"", Klantgegevens_B!P349, Klantgegevens_A!M349)</f>
        <v>Geen dieet</v>
      </c>
      <c r="R350" t="str">
        <f>IF(Klantgegevens_B!A349&lt;&gt;"", "B", "A")</f>
        <v>B</v>
      </c>
    </row>
    <row r="351" spans="1:18" x14ac:dyDescent="0.3">
      <c r="A351" t="str">
        <f>IF(Klantgegevens_B!A350&lt;&gt;"", Klantgegevens_B!A350, MID(Klantgegevens_A!A350, FIND(",", Klantgegevens_A!A350)+2, LEN(Klantgegevens_A!A350)))</f>
        <v>Mariet</v>
      </c>
      <c r="B351" t="str">
        <f>IF(Klantgegevens_B!B350&lt;&gt;"", Klantgegevens_B!B350, LEFT(Klantgegevens_A!A350, FIND(",", Klantgegevens_A!A350)-1))</f>
        <v>Coppens</v>
      </c>
      <c r="C351" t="str">
        <f t="shared" ca="1" si="5"/>
        <v/>
      </c>
      <c r="D351" t="str">
        <f>IF(Klantgegevens_B!F350&lt;&gt;"", Klantgegevens_B!F350, Klantgegevens_A!D350 &amp; " " &amp; Klantgegevens_A!E350 &amp; ", " &amp; Klantgegevens_A!F350)</f>
        <v>Mariet,Shihab</v>
      </c>
      <c r="E351">
        <f>IF(Klantgegevens_B!G350&lt;&gt;"", Klantgegevens_B!G350, TEXTJOIN(",", TRUE, REPT("Volwassene,", Klantgegevens_A!G350), REPT("Kind,", Klantgegevens_A!H350)))</f>
        <v>98.11</v>
      </c>
      <c r="F351">
        <f>IF(Klantgegevens_B!G350&lt;&gt;"", LEN(Klantgegevens_B!G350)-LEN(SUBSTITUTE(Klantgegevens_B!G350, ",", ""))+1, Klantgegevens_A!G350)</f>
        <v>1</v>
      </c>
      <c r="G351">
        <f>IF(Klantgegevens_B!G350&lt;&gt;"", 0, Klantgegevens_A!H350)</f>
        <v>0</v>
      </c>
      <c r="H351">
        <f>IF(Klantgegevens_B!H350&lt;&gt;"", Klantgegevens_B!H350, Klantgegevens_A!I350)</f>
        <v>21</v>
      </c>
      <c r="I351" t="str">
        <f>IF(Klantgegevens_B!I350&lt;&gt;"", Klantgegevens_B!I350, SWITCH(Klantgegevens_A!J350, "Zelden", 1, "Af en toe", 4, "Regelmatig", 8, "Vaak", 12))</f>
        <v>Payconiq</v>
      </c>
      <c r="J351" t="str">
        <f>IF(Klantgegevens_B!J350&lt;&gt;"", Klantgegevens_B!J350, Klantgegevens_A!K350)</f>
        <v>ja</v>
      </c>
      <c r="K351">
        <f>IF(Klantgegevens_B!K350&lt;&gt;"", AVERAGE(--(Klantgegevens_B!K350="ja"), --(Klantgegevens_B!L350="ja"), --(Klantgegevens_B!M350="ja"), --(Klantgegevens_B!N350="ja"), --(Klantgegevens_B!O350="ja"))*10, Klantgegevens_A!L350)</f>
        <v>6</v>
      </c>
      <c r="L351" t="str">
        <f>IF(Klantgegevens_B!K350&lt;&gt;"", Klantgegevens_B!K350, IF(Klantgegevens_A!L350&gt;=7, "ja", "nee"))</f>
        <v>ja</v>
      </c>
      <c r="M351" t="str">
        <f>IF(Klantgegevens_B!L350&lt;&gt;"", Klantgegevens_B!L350, IF(Klantgegevens_A!L350&gt;=7, "ja", "nee"))</f>
        <v>ja</v>
      </c>
      <c r="N351" t="str">
        <f>IF(Klantgegevens_B!M350&lt;&gt;"", Klantgegevens_B!M350, IF(Klantgegevens_A!L350&gt;=7, "ja", "nee"))</f>
        <v>ja</v>
      </c>
      <c r="O351" t="str">
        <f>IF(Klantgegevens_B!N350&lt;&gt;"", Klantgegevens_B!N350, IF(Klantgegevens_A!L350&gt;=7, "ja", "nee"))</f>
        <v>nee</v>
      </c>
      <c r="P351" t="str">
        <f>IF(Klantgegevens_B!O350&lt;&gt;"", Klantgegevens_B!O350, IF(Klantgegevens_A!L350&gt;=7, "ja", "nee"))</f>
        <v>Geen dieet</v>
      </c>
      <c r="Q351" t="str">
        <f>IF(Klantgegevens_B!P350&lt;&gt;"", Klantgegevens_B!P350, Klantgegevens_A!M350)</f>
        <v>Vegetarisch</v>
      </c>
      <c r="R351" t="str">
        <f>IF(Klantgegevens_B!A350&lt;&gt;"", "B", "A")</f>
        <v>B</v>
      </c>
    </row>
    <row r="352" spans="1:18" x14ac:dyDescent="0.3">
      <c r="A352" t="str">
        <f>IF(Klantgegevens_B!A351&lt;&gt;"", Klantgegevens_B!A351, MID(Klantgegevens_A!A351, FIND(",", Klantgegevens_A!A351)+2, LEN(Klantgegevens_A!A351)))</f>
        <v>Freddy</v>
      </c>
      <c r="B352" t="str">
        <f>IF(Klantgegevens_B!B351&lt;&gt;"", Klantgegevens_B!B351, LEFT(Klantgegevens_A!A351, FIND(",", Klantgegevens_A!A351)-1))</f>
        <v>Maes</v>
      </c>
      <c r="C352" t="str">
        <f t="shared" ca="1" si="5"/>
        <v/>
      </c>
      <c r="D352" t="str">
        <f>IF(Klantgegevens_B!F351&lt;&gt;"", Klantgegevens_B!F351, Klantgegevens_A!D351 &amp; " " &amp; Klantgegevens_A!E351 &amp; ", " &amp; Klantgegevens_A!F351)</f>
        <v>Freddy,Sulayman</v>
      </c>
      <c r="E352">
        <f>IF(Klantgegevens_B!G351&lt;&gt;"", Klantgegevens_B!G351, TEXTJOIN(",", TRUE, REPT("Volwassene,", Klantgegevens_A!G351), REPT("Kind,", Klantgegevens_A!H351)))</f>
        <v>54.08</v>
      </c>
      <c r="F352">
        <f>IF(Klantgegevens_B!G351&lt;&gt;"", LEN(Klantgegevens_B!G351)-LEN(SUBSTITUTE(Klantgegevens_B!G351, ",", ""))+1, Klantgegevens_A!G351)</f>
        <v>1</v>
      </c>
      <c r="G352">
        <f>IF(Klantgegevens_B!G351&lt;&gt;"", 0, Klantgegevens_A!H351)</f>
        <v>0</v>
      </c>
      <c r="H352">
        <f>IF(Klantgegevens_B!H351&lt;&gt;"", Klantgegevens_B!H351, Klantgegevens_A!I351)</f>
        <v>13</v>
      </c>
      <c r="I352" t="str">
        <f>IF(Klantgegevens_B!I351&lt;&gt;"", Klantgegevens_B!I351, SWITCH(Klantgegevens_A!J351, "Zelden", 1, "Af en toe", 4, "Regelmatig", 8, "Vaak", 12))</f>
        <v>Bancontact</v>
      </c>
      <c r="J352" t="str">
        <f>IF(Klantgegevens_B!J351&lt;&gt;"", Klantgegevens_B!J351, Klantgegevens_A!K351)</f>
        <v>ja</v>
      </c>
      <c r="K352">
        <f>IF(Klantgegevens_B!K351&lt;&gt;"", AVERAGE(--(Klantgegevens_B!K351="ja"), --(Klantgegevens_B!L351="ja"), --(Klantgegevens_B!M351="ja"), --(Klantgegevens_B!N351="ja"), --(Klantgegevens_B!O351="ja"))*10, Klantgegevens_A!L351)</f>
        <v>2</v>
      </c>
      <c r="L352" t="str">
        <f>IF(Klantgegevens_B!K351&lt;&gt;"", Klantgegevens_B!K351, IF(Klantgegevens_A!L351&gt;=7, "ja", "nee"))</f>
        <v>ja</v>
      </c>
      <c r="M352" t="str">
        <f>IF(Klantgegevens_B!L351&lt;&gt;"", Klantgegevens_B!L351, IF(Klantgegevens_A!L351&gt;=7, "ja", "nee"))</f>
        <v>nee</v>
      </c>
      <c r="N352" t="str">
        <f>IF(Klantgegevens_B!M351&lt;&gt;"", Klantgegevens_B!M351, IF(Klantgegevens_A!L351&gt;=7, "ja", "nee"))</f>
        <v>nee</v>
      </c>
      <c r="O352" t="str">
        <f>IF(Klantgegevens_B!N351&lt;&gt;"", Klantgegevens_B!N351, IF(Klantgegevens_A!L351&gt;=7, "ja", "nee"))</f>
        <v>nee</v>
      </c>
      <c r="P352" t="str">
        <f>IF(Klantgegevens_B!O351&lt;&gt;"", Klantgegevens_B!O351, IF(Klantgegevens_A!L351&gt;=7, "ja", "nee"))</f>
        <v>Geen dieet</v>
      </c>
      <c r="Q352" t="str">
        <f>IF(Klantgegevens_B!P351&lt;&gt;"", Klantgegevens_B!P351, Klantgegevens_A!M351)</f>
        <v>Geen dieet</v>
      </c>
      <c r="R352" t="str">
        <f>IF(Klantgegevens_B!A351&lt;&gt;"", "B", "A")</f>
        <v>B</v>
      </c>
    </row>
    <row r="353" spans="1:18" x14ac:dyDescent="0.3">
      <c r="A353" t="str">
        <f>IF(Klantgegevens_B!A352&lt;&gt;"", Klantgegevens_B!A352, MID(Klantgegevens_A!A352, FIND(",", Klantgegevens_A!A352)+2, LEN(Klantgegevens_A!A352)))</f>
        <v>Willy</v>
      </c>
      <c r="B353" t="str">
        <f>IF(Klantgegevens_B!B352&lt;&gt;"", Klantgegevens_B!B352, LEFT(Klantgegevens_A!A352, FIND(",", Klantgegevens_A!A352)-1))</f>
        <v>Verhulst</v>
      </c>
      <c r="C353" t="str">
        <f t="shared" ca="1" si="5"/>
        <v/>
      </c>
      <c r="D353" t="str">
        <f>IF(Klantgegevens_B!F352&lt;&gt;"", Klantgegevens_B!F352, Klantgegevens_A!D352 &amp; " " &amp; Klantgegevens_A!E352 &amp; ", " &amp; Klantgegevens_A!F352)</f>
        <v>Willy,Zoë</v>
      </c>
      <c r="E353">
        <f>IF(Klantgegevens_B!G352&lt;&gt;"", Klantgegevens_B!G352, TEXTJOIN(",", TRUE, REPT("Volwassene,", Klantgegevens_A!G352), REPT("Kind,", Klantgegevens_A!H352)))</f>
        <v>78.239999999999995</v>
      </c>
      <c r="F353">
        <f>IF(Klantgegevens_B!G352&lt;&gt;"", LEN(Klantgegevens_B!G352)-LEN(SUBSTITUTE(Klantgegevens_B!G352, ",", ""))+1, Klantgegevens_A!G352)</f>
        <v>1</v>
      </c>
      <c r="G353">
        <f>IF(Klantgegevens_B!G352&lt;&gt;"", 0, Klantgegevens_A!H352)</f>
        <v>0</v>
      </c>
      <c r="H353">
        <f>IF(Klantgegevens_B!H352&lt;&gt;"", Klantgegevens_B!H352, Klantgegevens_A!I352)</f>
        <v>3</v>
      </c>
      <c r="I353" t="str">
        <f>IF(Klantgegevens_B!I352&lt;&gt;"", Klantgegevens_B!I352, SWITCH(Klantgegevens_A!J352, "Zelden", 1, "Af en toe", 4, "Regelmatig", 8, "Vaak", 12))</f>
        <v>Bancontact</v>
      </c>
      <c r="J353" t="str">
        <f>IF(Klantgegevens_B!J352&lt;&gt;"", Klantgegevens_B!J352, Klantgegevens_A!K352)</f>
        <v>ja</v>
      </c>
      <c r="K353">
        <f>IF(Klantgegevens_B!K352&lt;&gt;"", AVERAGE(--(Klantgegevens_B!K352="ja"), --(Klantgegevens_B!L352="ja"), --(Klantgegevens_B!M352="ja"), --(Klantgegevens_B!N352="ja"), --(Klantgegevens_B!O352="ja"))*10, Klantgegevens_A!L352)</f>
        <v>8</v>
      </c>
      <c r="L353" t="str">
        <f>IF(Klantgegevens_B!K352&lt;&gt;"", Klantgegevens_B!K352, IF(Klantgegevens_A!L352&gt;=7, "ja", "nee"))</f>
        <v>ja</v>
      </c>
      <c r="M353" t="str">
        <f>IF(Klantgegevens_B!L352&lt;&gt;"", Klantgegevens_B!L352, IF(Klantgegevens_A!L352&gt;=7, "ja", "nee"))</f>
        <v>ja</v>
      </c>
      <c r="N353" t="str">
        <f>IF(Klantgegevens_B!M352&lt;&gt;"", Klantgegevens_B!M352, IF(Klantgegevens_A!L352&gt;=7, "ja", "nee"))</f>
        <v>ja</v>
      </c>
      <c r="O353" t="str">
        <f>IF(Klantgegevens_B!N352&lt;&gt;"", Klantgegevens_B!N352, IF(Klantgegevens_A!L352&gt;=7, "ja", "nee"))</f>
        <v>ja</v>
      </c>
      <c r="P353" t="str">
        <f>IF(Klantgegevens_B!O352&lt;&gt;"", Klantgegevens_B!O352, IF(Klantgegevens_A!L352&gt;=7, "ja", "nee"))</f>
        <v>Geen dieet</v>
      </c>
      <c r="Q353" t="str">
        <f>IF(Klantgegevens_B!P352&lt;&gt;"", Klantgegevens_B!P352, Klantgegevens_A!M352)</f>
        <v>Vegetarisch</v>
      </c>
      <c r="R353" t="str">
        <f>IF(Klantgegevens_B!A352&lt;&gt;"", "B", "A")</f>
        <v>B</v>
      </c>
    </row>
    <row r="354" spans="1:18" x14ac:dyDescent="0.3">
      <c r="A354" t="str">
        <f>IF(Klantgegevens_B!A353&lt;&gt;"", Klantgegevens_B!A353, MID(Klantgegevens_A!A353, FIND(",", Klantgegevens_A!A353)+2, LEN(Klantgegevens_A!A353)))</f>
        <v>Robbe</v>
      </c>
      <c r="B354" t="str">
        <f>IF(Klantgegevens_B!B353&lt;&gt;"", Klantgegevens_B!B353, LEFT(Klantgegevens_A!A353, FIND(",", Klantgegevens_A!A353)-1))</f>
        <v>De bruyn</v>
      </c>
      <c r="C354" t="str">
        <f t="shared" ca="1" si="5"/>
        <v/>
      </c>
      <c r="D354" t="str">
        <f>IF(Klantgegevens_B!F353&lt;&gt;"", Klantgegevens_B!F353, Klantgegevens_A!D353 &amp; " " &amp; Klantgegevens_A!E353 &amp; ", " &amp; Klantgegevens_A!F353)</f>
        <v>Robbe,Nathan,Louise,Kevin</v>
      </c>
      <c r="E354">
        <f>IF(Klantgegevens_B!G353&lt;&gt;"", Klantgegevens_B!G353, TEXTJOIN(",", TRUE, REPT("Volwassene,", Klantgegevens_A!G353), REPT("Kind,", Klantgegevens_A!H353)))</f>
        <v>63.35</v>
      </c>
      <c r="F354">
        <f>IF(Klantgegevens_B!G353&lt;&gt;"", LEN(Klantgegevens_B!G353)-LEN(SUBSTITUTE(Klantgegevens_B!G353, ",", ""))+1, Klantgegevens_A!G353)</f>
        <v>1</v>
      </c>
      <c r="G354">
        <f>IF(Klantgegevens_B!G353&lt;&gt;"", 0, Klantgegevens_A!H353)</f>
        <v>0</v>
      </c>
      <c r="H354">
        <f>IF(Klantgegevens_B!H353&lt;&gt;"", Klantgegevens_B!H353, Klantgegevens_A!I353)</f>
        <v>6</v>
      </c>
      <c r="I354" t="str">
        <f>IF(Klantgegevens_B!I353&lt;&gt;"", Klantgegevens_B!I353, SWITCH(Klantgegevens_A!J353, "Zelden", 1, "Af en toe", 4, "Regelmatig", 8, "Vaak", 12))</f>
        <v>Bancontact</v>
      </c>
      <c r="J354" t="str">
        <f>IF(Klantgegevens_B!J353&lt;&gt;"", Klantgegevens_B!J353, Klantgegevens_A!K353)</f>
        <v>ja</v>
      </c>
      <c r="K354">
        <f>IF(Klantgegevens_B!K353&lt;&gt;"", AVERAGE(--(Klantgegevens_B!K353="ja"), --(Klantgegevens_B!L353="ja"), --(Klantgegevens_B!M353="ja"), --(Klantgegevens_B!N353="ja"), --(Klantgegevens_B!O353="ja"))*10, Klantgegevens_A!L353)</f>
        <v>4</v>
      </c>
      <c r="L354" t="str">
        <f>IF(Klantgegevens_B!K353&lt;&gt;"", Klantgegevens_B!K353, IF(Klantgegevens_A!L353&gt;=7, "ja", "nee"))</f>
        <v>ja</v>
      </c>
      <c r="M354" t="str">
        <f>IF(Klantgegevens_B!L353&lt;&gt;"", Klantgegevens_B!L353, IF(Klantgegevens_A!L353&gt;=7, "ja", "nee"))</f>
        <v>nee</v>
      </c>
      <c r="N354" t="str">
        <f>IF(Klantgegevens_B!M353&lt;&gt;"", Klantgegevens_B!M353, IF(Klantgegevens_A!L353&gt;=7, "ja", "nee"))</f>
        <v>nee</v>
      </c>
      <c r="O354" t="str">
        <f>IF(Klantgegevens_B!N353&lt;&gt;"", Klantgegevens_B!N353, IF(Klantgegevens_A!L353&gt;=7, "ja", "nee"))</f>
        <v>ja</v>
      </c>
      <c r="P354" t="str">
        <f>IF(Klantgegevens_B!O353&lt;&gt;"", Klantgegevens_B!O353, IF(Klantgegevens_A!L353&gt;=7, "ja", "nee"))</f>
        <v>Geen dieet</v>
      </c>
      <c r="Q354" t="str">
        <f>IF(Klantgegevens_B!P353&lt;&gt;"", Klantgegevens_B!P353, Klantgegevens_A!M353)</f>
        <v>Geen dieet</v>
      </c>
      <c r="R354" t="str">
        <f>IF(Klantgegevens_B!A353&lt;&gt;"", "B", "A")</f>
        <v>B</v>
      </c>
    </row>
    <row r="355" spans="1:18" x14ac:dyDescent="0.3">
      <c r="A355" t="str">
        <f>IF(Klantgegevens_B!A354&lt;&gt;"", Klantgegevens_B!A354, MID(Klantgegevens_A!A354, FIND(",", Klantgegevens_A!A354)+2, LEN(Klantgegevens_A!A354)))</f>
        <v>Mathieu</v>
      </c>
      <c r="B355" t="str">
        <f>IF(Klantgegevens_B!B354&lt;&gt;"", Klantgegevens_B!B354, LEFT(Klantgegevens_A!A354, FIND(",", Klantgegevens_A!A354)-1))</f>
        <v>De roeck</v>
      </c>
      <c r="C355" t="str">
        <f t="shared" ca="1" si="5"/>
        <v/>
      </c>
      <c r="D355" t="str">
        <f>IF(Klantgegevens_B!F354&lt;&gt;"", Klantgegevens_B!F354, Klantgegevens_A!D354 &amp; " " &amp; Klantgegevens_A!E354 &amp; ", " &amp; Klantgegevens_A!F354)</f>
        <v>Mathieu,Alain,Florian</v>
      </c>
      <c r="E355">
        <f>IF(Klantgegevens_B!G354&lt;&gt;"", Klantgegevens_B!G354, TEXTJOIN(",", TRUE, REPT("Volwassene,", Klantgegevens_A!G354), REPT("Kind,", Klantgegevens_A!H354)))</f>
        <v>114.58</v>
      </c>
      <c r="F355">
        <f>IF(Klantgegevens_B!G354&lt;&gt;"", LEN(Klantgegevens_B!G354)-LEN(SUBSTITUTE(Klantgegevens_B!G354, ",", ""))+1, Klantgegevens_A!G354)</f>
        <v>1</v>
      </c>
      <c r="G355">
        <f>IF(Klantgegevens_B!G354&lt;&gt;"", 0, Klantgegevens_A!H354)</f>
        <v>0</v>
      </c>
      <c r="H355">
        <f>IF(Klantgegevens_B!H354&lt;&gt;"", Klantgegevens_B!H354, Klantgegevens_A!I354)</f>
        <v>11</v>
      </c>
      <c r="I355" t="str">
        <f>IF(Klantgegevens_B!I354&lt;&gt;"", Klantgegevens_B!I354, SWITCH(Klantgegevens_A!J354, "Zelden", 1, "Af en toe", 4, "Regelmatig", 8, "Vaak", 12))</f>
        <v>Bancontact</v>
      </c>
      <c r="J355" t="str">
        <f>IF(Klantgegevens_B!J354&lt;&gt;"", Klantgegevens_B!J354, Klantgegevens_A!K354)</f>
        <v>nee</v>
      </c>
      <c r="K355">
        <f>IF(Klantgegevens_B!K354&lt;&gt;"", AVERAGE(--(Klantgegevens_B!K354="ja"), --(Klantgegevens_B!L354="ja"), --(Klantgegevens_B!M354="ja"), --(Klantgegevens_B!N354="ja"), --(Klantgegevens_B!O354="ja"))*10, Klantgegevens_A!L354)</f>
        <v>4</v>
      </c>
      <c r="L355" t="str">
        <f>IF(Klantgegevens_B!K354&lt;&gt;"", Klantgegevens_B!K354, IF(Klantgegevens_A!L354&gt;=7, "ja", "nee"))</f>
        <v>nee</v>
      </c>
      <c r="M355" t="str">
        <f>IF(Klantgegevens_B!L354&lt;&gt;"", Klantgegevens_B!L354, IF(Klantgegevens_A!L354&gt;=7, "ja", "nee"))</f>
        <v>nee</v>
      </c>
      <c r="N355" t="str">
        <f>IF(Klantgegevens_B!M354&lt;&gt;"", Klantgegevens_B!M354, IF(Klantgegevens_A!L354&gt;=7, "ja", "nee"))</f>
        <v>ja</v>
      </c>
      <c r="O355" t="str">
        <f>IF(Klantgegevens_B!N354&lt;&gt;"", Klantgegevens_B!N354, IF(Klantgegevens_A!L354&gt;=7, "ja", "nee"))</f>
        <v>ja</v>
      </c>
      <c r="P355" t="str">
        <f>IF(Klantgegevens_B!O354&lt;&gt;"", Klantgegevens_B!O354, IF(Klantgegevens_A!L354&gt;=7, "ja", "nee"))</f>
        <v>Geen dieet</v>
      </c>
      <c r="Q355" t="str">
        <f>IF(Klantgegevens_B!P354&lt;&gt;"", Klantgegevens_B!P354, Klantgegevens_A!M354)</f>
        <v>Geen dieet</v>
      </c>
      <c r="R355" t="str">
        <f>IF(Klantgegevens_B!A354&lt;&gt;"", "B", "A")</f>
        <v>B</v>
      </c>
    </row>
    <row r="356" spans="1:18" x14ac:dyDescent="0.3">
      <c r="A356" t="str">
        <f>IF(Klantgegevens_B!A355&lt;&gt;"", Klantgegevens_B!A355, MID(Klantgegevens_A!A355, FIND(",", Klantgegevens_A!A355)+2, LEN(Klantgegevens_A!A355)))</f>
        <v>Muriel</v>
      </c>
      <c r="B356" t="str">
        <f>IF(Klantgegevens_B!B355&lt;&gt;"", Klantgegevens_B!B355, LEFT(Klantgegevens_A!A355, FIND(",", Klantgegevens_A!A355)-1))</f>
        <v>Charlier</v>
      </c>
      <c r="C356" t="str">
        <f t="shared" ca="1" si="5"/>
        <v/>
      </c>
      <c r="D356" t="str">
        <f>IF(Klantgegevens_B!F355&lt;&gt;"", Klantgegevens_B!F355, Klantgegevens_A!D355 &amp; " " &amp; Klantgegevens_A!E355 &amp; ", " &amp; Klantgegevens_A!F355)</f>
        <v>Muriel,Hanna,Dominique,Eric,Lucas,Sayfdine,Simonne</v>
      </c>
      <c r="E356">
        <f>IF(Klantgegevens_B!G355&lt;&gt;"", Klantgegevens_B!G355, TEXTJOIN(",", TRUE, REPT("Volwassene,", Klantgegevens_A!G355), REPT("Kind,", Klantgegevens_A!H355)))</f>
        <v>269.66000000000003</v>
      </c>
      <c r="F356">
        <f>IF(Klantgegevens_B!G355&lt;&gt;"", LEN(Klantgegevens_B!G355)-LEN(SUBSTITUTE(Klantgegevens_B!G355, ",", ""))+1, Klantgegevens_A!G355)</f>
        <v>1</v>
      </c>
      <c r="G356">
        <f>IF(Klantgegevens_B!G355&lt;&gt;"", 0, Klantgegevens_A!H355)</f>
        <v>0</v>
      </c>
      <c r="H356">
        <f>IF(Klantgegevens_B!H355&lt;&gt;"", Klantgegevens_B!H355, Klantgegevens_A!I355)</f>
        <v>9</v>
      </c>
      <c r="I356" t="str">
        <f>IF(Klantgegevens_B!I355&lt;&gt;"", Klantgegevens_B!I355, SWITCH(Klantgegevens_A!J355, "Zelden", 1, "Af en toe", 4, "Regelmatig", 8, "Vaak", 12))</f>
        <v>Bancontact</v>
      </c>
      <c r="J356" t="str">
        <f>IF(Klantgegevens_B!J355&lt;&gt;"", Klantgegevens_B!J355, Klantgegevens_A!K355)</f>
        <v>ja</v>
      </c>
      <c r="K356">
        <f>IF(Klantgegevens_B!K355&lt;&gt;"", AVERAGE(--(Klantgegevens_B!K355="ja"), --(Klantgegevens_B!L355="ja"), --(Klantgegevens_B!M355="ja"), --(Klantgegevens_B!N355="ja"), --(Klantgegevens_B!O355="ja"))*10, Klantgegevens_A!L355)</f>
        <v>6</v>
      </c>
      <c r="L356" t="str">
        <f>IF(Klantgegevens_B!K355&lt;&gt;"", Klantgegevens_B!K355, IF(Klantgegevens_A!L355&gt;=7, "ja", "nee"))</f>
        <v>ja</v>
      </c>
      <c r="M356" t="str">
        <f>IF(Klantgegevens_B!L355&lt;&gt;"", Klantgegevens_B!L355, IF(Klantgegevens_A!L355&gt;=7, "ja", "nee"))</f>
        <v>ja</v>
      </c>
      <c r="N356" t="str">
        <f>IF(Klantgegevens_B!M355&lt;&gt;"", Klantgegevens_B!M355, IF(Klantgegevens_A!L355&gt;=7, "ja", "nee"))</f>
        <v>ja</v>
      </c>
      <c r="O356" t="str">
        <f>IF(Klantgegevens_B!N355&lt;&gt;"", Klantgegevens_B!N355, IF(Klantgegevens_A!L355&gt;=7, "ja", "nee"))</f>
        <v>nee</v>
      </c>
      <c r="P356" t="str">
        <f>IF(Klantgegevens_B!O355&lt;&gt;"", Klantgegevens_B!O355, IF(Klantgegevens_A!L355&gt;=7, "ja", "nee"))</f>
        <v>Vegetarisch</v>
      </c>
      <c r="Q356" t="str">
        <f>IF(Klantgegevens_B!P355&lt;&gt;"", Klantgegevens_B!P355, Klantgegevens_A!M355)</f>
        <v>Geen dieet</v>
      </c>
      <c r="R356" t="str">
        <f>IF(Klantgegevens_B!A355&lt;&gt;"", "B", "A")</f>
        <v>B</v>
      </c>
    </row>
    <row r="357" spans="1:18" x14ac:dyDescent="0.3">
      <c r="A357" t="str">
        <f>IF(Klantgegevens_B!A356&lt;&gt;"", Klantgegevens_B!A356, MID(Klantgegevens_A!A356, FIND(",", Klantgegevens_A!A356)+2, LEN(Klantgegevens_A!A356)))</f>
        <v>Théa</v>
      </c>
      <c r="B357" t="str">
        <f>IF(Klantgegevens_B!B356&lt;&gt;"", Klantgegevens_B!B356, LEFT(Klantgegevens_A!A356, FIND(",", Klantgegevens_A!A356)-1))</f>
        <v>Gilson</v>
      </c>
      <c r="C357" t="str">
        <f t="shared" ca="1" si="5"/>
        <v/>
      </c>
      <c r="D357" t="str">
        <f>IF(Klantgegevens_B!F356&lt;&gt;"", Klantgegevens_B!F356, Klantgegevens_A!D356 &amp; " " &amp; Klantgegevens_A!E356 &amp; ", " &amp; Klantgegevens_A!F356)</f>
        <v>Théa,Laïla</v>
      </c>
      <c r="E357">
        <f>IF(Klantgegevens_B!G356&lt;&gt;"", Klantgegevens_B!G356, TEXTJOIN(",", TRUE, REPT("Volwassene,", Klantgegevens_A!G356), REPT("Kind,", Klantgegevens_A!H356)))</f>
        <v>104.44</v>
      </c>
      <c r="F357">
        <f>IF(Klantgegevens_B!G356&lt;&gt;"", LEN(Klantgegevens_B!G356)-LEN(SUBSTITUTE(Klantgegevens_B!G356, ",", ""))+1, Klantgegevens_A!G356)</f>
        <v>1</v>
      </c>
      <c r="G357">
        <f>IF(Klantgegevens_B!G356&lt;&gt;"", 0, Klantgegevens_A!H356)</f>
        <v>0</v>
      </c>
      <c r="H357">
        <f>IF(Klantgegevens_B!H356&lt;&gt;"", Klantgegevens_B!H356, Klantgegevens_A!I356)</f>
        <v>18</v>
      </c>
      <c r="I357" t="str">
        <f>IF(Klantgegevens_B!I356&lt;&gt;"", Klantgegevens_B!I356, SWITCH(Klantgegevens_A!J356, "Zelden", 1, "Af en toe", 4, "Regelmatig", 8, "Vaak", 12))</f>
        <v>Bancontact</v>
      </c>
      <c r="J357" t="str">
        <f>IF(Klantgegevens_B!J356&lt;&gt;"", Klantgegevens_B!J356, Klantgegevens_A!K356)</f>
        <v>ja</v>
      </c>
      <c r="K357">
        <f>IF(Klantgegevens_B!K356&lt;&gt;"", AVERAGE(--(Klantgegevens_B!K356="ja"), --(Klantgegevens_B!L356="ja"), --(Klantgegevens_B!M356="ja"), --(Klantgegevens_B!N356="ja"), --(Klantgegevens_B!O356="ja"))*10, Klantgegevens_A!L356)</f>
        <v>8</v>
      </c>
      <c r="L357" t="str">
        <f>IF(Klantgegevens_B!K356&lt;&gt;"", Klantgegevens_B!K356, IF(Klantgegevens_A!L356&gt;=7, "ja", "nee"))</f>
        <v>ja</v>
      </c>
      <c r="M357" t="str">
        <f>IF(Klantgegevens_B!L356&lt;&gt;"", Klantgegevens_B!L356, IF(Klantgegevens_A!L356&gt;=7, "ja", "nee"))</f>
        <v>ja</v>
      </c>
      <c r="N357" t="str">
        <f>IF(Klantgegevens_B!M356&lt;&gt;"", Klantgegevens_B!M356, IF(Klantgegevens_A!L356&gt;=7, "ja", "nee"))</f>
        <v>ja</v>
      </c>
      <c r="O357" t="str">
        <f>IF(Klantgegevens_B!N356&lt;&gt;"", Klantgegevens_B!N356, IF(Klantgegevens_A!L356&gt;=7, "ja", "nee"))</f>
        <v>ja</v>
      </c>
      <c r="P357" t="str">
        <f>IF(Klantgegevens_B!O356&lt;&gt;"", Klantgegevens_B!O356, IF(Klantgegevens_A!L356&gt;=7, "ja", "nee"))</f>
        <v>Geen dieet</v>
      </c>
      <c r="Q357" t="str">
        <f>IF(Klantgegevens_B!P356&lt;&gt;"", Klantgegevens_B!P356, Klantgegevens_A!M356)</f>
        <v>Geen dieet</v>
      </c>
      <c r="R357" t="str">
        <f>IF(Klantgegevens_B!A356&lt;&gt;"", "B", "A")</f>
        <v>B</v>
      </c>
    </row>
    <row r="358" spans="1:18" x14ac:dyDescent="0.3">
      <c r="A358" t="str">
        <f>IF(Klantgegevens_B!A357&lt;&gt;"", Klantgegevens_B!A357, MID(Klantgegevens_A!A357, FIND(",", Klantgegevens_A!A357)+2, LEN(Klantgegevens_A!A357)))</f>
        <v>Jean</v>
      </c>
      <c r="B358" t="str">
        <f>IF(Klantgegevens_B!B357&lt;&gt;"", Klantgegevens_B!B357, LEFT(Klantgegevens_A!A357, FIND(",", Klantgegevens_A!A357)-1))</f>
        <v>Lievens</v>
      </c>
      <c r="C358" t="str">
        <f t="shared" ca="1" si="5"/>
        <v/>
      </c>
      <c r="D358" t="str">
        <f>IF(Klantgegevens_B!F357&lt;&gt;"", Klantgegevens_B!F357, Klantgegevens_A!D357 &amp; " " &amp; Klantgegevens_A!E357 &amp; ", " &amp; Klantgegevens_A!F357)</f>
        <v>Jean,Idalie,Susana,Guy</v>
      </c>
      <c r="E358">
        <f>IF(Klantgegevens_B!G357&lt;&gt;"", Klantgegevens_B!G357, TEXTJOIN(",", TRUE, REPT("Volwassene,", Klantgegevens_A!G357), REPT("Kind,", Klantgegevens_A!H357)))</f>
        <v>116.94</v>
      </c>
      <c r="F358">
        <f>IF(Klantgegevens_B!G357&lt;&gt;"", LEN(Klantgegevens_B!G357)-LEN(SUBSTITUTE(Klantgegevens_B!G357, ",", ""))+1, Klantgegevens_A!G357)</f>
        <v>1</v>
      </c>
      <c r="G358">
        <f>IF(Klantgegevens_B!G357&lt;&gt;"", 0, Klantgegevens_A!H357)</f>
        <v>0</v>
      </c>
      <c r="H358">
        <f>IF(Klantgegevens_B!H357&lt;&gt;"", Klantgegevens_B!H357, Klantgegevens_A!I357)</f>
        <v>3</v>
      </c>
      <c r="I358" t="str">
        <f>IF(Klantgegevens_B!I357&lt;&gt;"", Klantgegevens_B!I357, SWITCH(Klantgegevens_A!J357, "Zelden", 1, "Af en toe", 4, "Regelmatig", 8, "Vaak", 12))</f>
        <v>Cash</v>
      </c>
      <c r="J358" t="str">
        <f>IF(Klantgegevens_B!J357&lt;&gt;"", Klantgegevens_B!J357, Klantgegevens_A!K357)</f>
        <v>nee</v>
      </c>
      <c r="K358">
        <f>IF(Klantgegevens_B!K357&lt;&gt;"", AVERAGE(--(Klantgegevens_B!K357="ja"), --(Klantgegevens_B!L357="ja"), --(Klantgegevens_B!M357="ja"), --(Klantgegevens_B!N357="ja"), --(Klantgegevens_B!O357="ja"))*10, Klantgegevens_A!L357)</f>
        <v>4</v>
      </c>
      <c r="L358" t="str">
        <f>IF(Klantgegevens_B!K357&lt;&gt;"", Klantgegevens_B!K357, IF(Klantgegevens_A!L357&gt;=7, "ja", "nee"))</f>
        <v>ja</v>
      </c>
      <c r="M358" t="str">
        <f>IF(Klantgegevens_B!L357&lt;&gt;"", Klantgegevens_B!L357, IF(Klantgegevens_A!L357&gt;=7, "ja", "nee"))</f>
        <v>nee</v>
      </c>
      <c r="N358" t="str">
        <f>IF(Klantgegevens_B!M357&lt;&gt;"", Klantgegevens_B!M357, IF(Klantgegevens_A!L357&gt;=7, "ja", "nee"))</f>
        <v>nee</v>
      </c>
      <c r="O358" t="str">
        <f>IF(Klantgegevens_B!N357&lt;&gt;"", Klantgegevens_B!N357, IF(Klantgegevens_A!L357&gt;=7, "ja", "nee"))</f>
        <v>ja</v>
      </c>
      <c r="P358" t="str">
        <f>IF(Klantgegevens_B!O357&lt;&gt;"", Klantgegevens_B!O357, IF(Klantgegevens_A!L357&gt;=7, "ja", "nee"))</f>
        <v>Geen dieet</v>
      </c>
      <c r="Q358" t="str">
        <f>IF(Klantgegevens_B!P357&lt;&gt;"", Klantgegevens_B!P357, Klantgegevens_A!M357)</f>
        <v>Geen dieet</v>
      </c>
      <c r="R358" t="str">
        <f>IF(Klantgegevens_B!A357&lt;&gt;"", "B", "A")</f>
        <v>B</v>
      </c>
    </row>
    <row r="359" spans="1:18" x14ac:dyDescent="0.3">
      <c r="A359" t="str">
        <f>IF(Klantgegevens_B!A358&lt;&gt;"", Klantgegevens_B!A358, MID(Klantgegevens_A!A358, FIND(",", Klantgegevens_A!A358)+2, LEN(Klantgegevens_A!A358)))</f>
        <v>Daniel</v>
      </c>
      <c r="B359" t="str">
        <f>IF(Klantgegevens_B!B358&lt;&gt;"", Klantgegevens_B!B358, LEFT(Klantgegevens_A!A358, FIND(",", Klantgegevens_A!A358)-1))</f>
        <v>Peeters</v>
      </c>
      <c r="C359" t="str">
        <f t="shared" ca="1" si="5"/>
        <v/>
      </c>
      <c r="D359" t="str">
        <f>IF(Klantgegevens_B!F358&lt;&gt;"", Klantgegevens_B!F358, Klantgegevens_A!D358 &amp; " " &amp; Klantgegevens_A!E358 &amp; ", " &amp; Klantgegevens_A!F358)</f>
        <v>Daniel,Carina</v>
      </c>
      <c r="E359">
        <f>IF(Klantgegevens_B!G358&lt;&gt;"", Klantgegevens_B!G358, TEXTJOIN(",", TRUE, REPT("Volwassene,", Klantgegevens_A!G358), REPT("Kind,", Klantgegevens_A!H358)))</f>
        <v>125.34</v>
      </c>
      <c r="F359">
        <f>IF(Klantgegevens_B!G358&lt;&gt;"", LEN(Klantgegevens_B!G358)-LEN(SUBSTITUTE(Klantgegevens_B!G358, ",", ""))+1, Klantgegevens_A!G358)</f>
        <v>1</v>
      </c>
      <c r="G359">
        <f>IF(Klantgegevens_B!G358&lt;&gt;"", 0, Klantgegevens_A!H358)</f>
        <v>0</v>
      </c>
      <c r="H359">
        <f>IF(Klantgegevens_B!H358&lt;&gt;"", Klantgegevens_B!H358, Klantgegevens_A!I358)</f>
        <v>1</v>
      </c>
      <c r="I359" t="str">
        <f>IF(Klantgegevens_B!I358&lt;&gt;"", Klantgegevens_B!I358, SWITCH(Klantgegevens_A!J358, "Zelden", 1, "Af en toe", 4, "Regelmatig", 8, "Vaak", 12))</f>
        <v>Payconiq</v>
      </c>
      <c r="J359" t="str">
        <f>IF(Klantgegevens_B!J358&lt;&gt;"", Klantgegevens_B!J358, Klantgegevens_A!K358)</f>
        <v>nee</v>
      </c>
      <c r="K359">
        <f>IF(Klantgegevens_B!K358&lt;&gt;"", AVERAGE(--(Klantgegevens_B!K358="ja"), --(Klantgegevens_B!L358="ja"), --(Klantgegevens_B!M358="ja"), --(Klantgegevens_B!N358="ja"), --(Klantgegevens_B!O358="ja"))*10, Klantgegevens_A!L358)</f>
        <v>4</v>
      </c>
      <c r="L359" t="str">
        <f>IF(Klantgegevens_B!K358&lt;&gt;"", Klantgegevens_B!K358, IF(Klantgegevens_A!L358&gt;=7, "ja", "nee"))</f>
        <v>ja</v>
      </c>
      <c r="M359" t="str">
        <f>IF(Klantgegevens_B!L358&lt;&gt;"", Klantgegevens_B!L358, IF(Klantgegevens_A!L358&gt;=7, "ja", "nee"))</f>
        <v>ja</v>
      </c>
      <c r="N359" t="str">
        <f>IF(Klantgegevens_B!M358&lt;&gt;"", Klantgegevens_B!M358, IF(Klantgegevens_A!L358&gt;=7, "ja", "nee"))</f>
        <v>nee</v>
      </c>
      <c r="O359" t="str">
        <f>IF(Klantgegevens_B!N358&lt;&gt;"", Klantgegevens_B!N358, IF(Klantgegevens_A!L358&gt;=7, "ja", "nee"))</f>
        <v>nee</v>
      </c>
      <c r="P359" t="str">
        <f>IF(Klantgegevens_B!O358&lt;&gt;"", Klantgegevens_B!O358, IF(Klantgegevens_A!L358&gt;=7, "ja", "nee"))</f>
        <v>Geen dieet</v>
      </c>
      <c r="Q359" t="str">
        <f>IF(Klantgegevens_B!P358&lt;&gt;"", Klantgegevens_B!P358, Klantgegevens_A!M358)</f>
        <v>Geen dieet</v>
      </c>
      <c r="R359" t="str">
        <f>IF(Klantgegevens_B!A358&lt;&gt;"", "B", "A")</f>
        <v>B</v>
      </c>
    </row>
    <row r="360" spans="1:18" x14ac:dyDescent="0.3">
      <c r="A360" t="str">
        <f>IF(Klantgegevens_B!A359&lt;&gt;"", Klantgegevens_B!A359, MID(Klantgegevens_A!A359, FIND(",", Klantgegevens_A!A359)+2, LEN(Klantgegevens_A!A359)))</f>
        <v>Catharina</v>
      </c>
      <c r="B360" t="str">
        <f>IF(Klantgegevens_B!B359&lt;&gt;"", Klantgegevens_B!B359, LEFT(Klantgegevens_A!A359, FIND(",", Klantgegevens_A!A359)-1))</f>
        <v>Leroy</v>
      </c>
      <c r="C360" t="str">
        <f t="shared" ca="1" si="5"/>
        <v/>
      </c>
      <c r="D360" t="str">
        <f>IF(Klantgegevens_B!F359&lt;&gt;"", Klantgegevens_B!F359, Klantgegevens_A!D359 &amp; " " &amp; Klantgegevens_A!E359 &amp; ", " &amp; Klantgegevens_A!F359)</f>
        <v>Catharina</v>
      </c>
      <c r="E360">
        <f>IF(Klantgegevens_B!G359&lt;&gt;"", Klantgegevens_B!G359, TEXTJOIN(",", TRUE, REPT("Volwassene,", Klantgegevens_A!G359), REPT("Kind,", Klantgegevens_A!H359)))</f>
        <v>89.81</v>
      </c>
      <c r="F360">
        <f>IF(Klantgegevens_B!G359&lt;&gt;"", LEN(Klantgegevens_B!G359)-LEN(SUBSTITUTE(Klantgegevens_B!G359, ",", ""))+1, Klantgegevens_A!G359)</f>
        <v>1</v>
      </c>
      <c r="G360">
        <f>IF(Klantgegevens_B!G359&lt;&gt;"", 0, Klantgegevens_A!H359)</f>
        <v>0</v>
      </c>
      <c r="H360">
        <f>IF(Klantgegevens_B!H359&lt;&gt;"", Klantgegevens_B!H359, Klantgegevens_A!I359)</f>
        <v>9</v>
      </c>
      <c r="I360" t="str">
        <f>IF(Klantgegevens_B!I359&lt;&gt;"", Klantgegevens_B!I359, SWITCH(Klantgegevens_A!J359, "Zelden", 1, "Af en toe", 4, "Regelmatig", 8, "Vaak", 12))</f>
        <v>Cash</v>
      </c>
      <c r="J360" t="str">
        <f>IF(Klantgegevens_B!J359&lt;&gt;"", Klantgegevens_B!J359, Klantgegevens_A!K359)</f>
        <v>ja</v>
      </c>
      <c r="K360">
        <f>IF(Klantgegevens_B!K359&lt;&gt;"", AVERAGE(--(Klantgegevens_B!K359="ja"), --(Klantgegevens_B!L359="ja"), --(Klantgegevens_B!M359="ja"), --(Klantgegevens_B!N359="ja"), --(Klantgegevens_B!O359="ja"))*10, Klantgegevens_A!L359)</f>
        <v>6</v>
      </c>
      <c r="L360" t="str">
        <f>IF(Klantgegevens_B!K359&lt;&gt;"", Klantgegevens_B!K359, IF(Klantgegevens_A!L359&gt;=7, "ja", "nee"))</f>
        <v>nee</v>
      </c>
      <c r="M360" t="str">
        <f>IF(Klantgegevens_B!L359&lt;&gt;"", Klantgegevens_B!L359, IF(Klantgegevens_A!L359&gt;=7, "ja", "nee"))</f>
        <v>ja</v>
      </c>
      <c r="N360" t="str">
        <f>IF(Klantgegevens_B!M359&lt;&gt;"", Klantgegevens_B!M359, IF(Klantgegevens_A!L359&gt;=7, "ja", "nee"))</f>
        <v>ja</v>
      </c>
      <c r="O360" t="str">
        <f>IF(Klantgegevens_B!N359&lt;&gt;"", Klantgegevens_B!N359, IF(Klantgegevens_A!L359&gt;=7, "ja", "nee"))</f>
        <v>ja</v>
      </c>
      <c r="P360" t="str">
        <f>IF(Klantgegevens_B!O359&lt;&gt;"", Klantgegevens_B!O359, IF(Klantgegevens_A!L359&gt;=7, "ja", "nee"))</f>
        <v>Veganistisch</v>
      </c>
      <c r="Q360" t="str">
        <f>IF(Klantgegevens_B!P359&lt;&gt;"", Klantgegevens_B!P359, Klantgegevens_A!M359)</f>
        <v>Geen dieet</v>
      </c>
      <c r="R360" t="str">
        <f>IF(Klantgegevens_B!A359&lt;&gt;"", "B", "A")</f>
        <v>B</v>
      </c>
    </row>
    <row r="361" spans="1:18" x14ac:dyDescent="0.3">
      <c r="A361" t="str">
        <f>IF(Klantgegevens_B!A360&lt;&gt;"", Klantgegevens_B!A360, MID(Klantgegevens_A!A360, FIND(",", Klantgegevens_A!A360)+2, LEN(Klantgegevens_A!A360)))</f>
        <v>Tony</v>
      </c>
      <c r="B361" t="str">
        <f>IF(Klantgegevens_B!B360&lt;&gt;"", Klantgegevens_B!B360, LEFT(Klantgegevens_A!A360, FIND(",", Klantgegevens_A!A360)-1))</f>
        <v>Jacobs</v>
      </c>
      <c r="C361" t="str">
        <f t="shared" ca="1" si="5"/>
        <v/>
      </c>
      <c r="D361" t="str">
        <f>IF(Klantgegevens_B!F360&lt;&gt;"", Klantgegevens_B!F360, Klantgegevens_A!D360 &amp; " " &amp; Klantgegevens_A!E360 &amp; ", " &amp; Klantgegevens_A!F360)</f>
        <v>Tony,Denise,Anthony</v>
      </c>
      <c r="E361">
        <f>IF(Klantgegevens_B!G360&lt;&gt;"", Klantgegevens_B!G360, TEXTJOIN(",", TRUE, REPT("Volwassene,", Klantgegevens_A!G360), REPT("Kind,", Klantgegevens_A!H360)))</f>
        <v>80.36</v>
      </c>
      <c r="F361">
        <f>IF(Klantgegevens_B!G360&lt;&gt;"", LEN(Klantgegevens_B!G360)-LEN(SUBSTITUTE(Klantgegevens_B!G360, ",", ""))+1, Klantgegevens_A!G360)</f>
        <v>1</v>
      </c>
      <c r="G361">
        <f>IF(Klantgegevens_B!G360&lt;&gt;"", 0, Klantgegevens_A!H360)</f>
        <v>0</v>
      </c>
      <c r="H361">
        <f>IF(Klantgegevens_B!H360&lt;&gt;"", Klantgegevens_B!H360, Klantgegevens_A!I360)</f>
        <v>2</v>
      </c>
      <c r="I361" t="str">
        <f>IF(Klantgegevens_B!I360&lt;&gt;"", Klantgegevens_B!I360, SWITCH(Klantgegevens_A!J360, "Zelden", 1, "Af en toe", 4, "Regelmatig", 8, "Vaak", 12))</f>
        <v>Payconiq</v>
      </c>
      <c r="J361" t="str">
        <f>IF(Klantgegevens_B!J360&lt;&gt;"", Klantgegevens_B!J360, Klantgegevens_A!K360)</f>
        <v>nee</v>
      </c>
      <c r="K361">
        <f>IF(Klantgegevens_B!K360&lt;&gt;"", AVERAGE(--(Klantgegevens_B!K360="ja"), --(Klantgegevens_B!L360="ja"), --(Klantgegevens_B!M360="ja"), --(Klantgegevens_B!N360="ja"), --(Klantgegevens_B!O360="ja"))*10, Klantgegevens_A!L360)</f>
        <v>6</v>
      </c>
      <c r="L361" t="str">
        <f>IF(Klantgegevens_B!K360&lt;&gt;"", Klantgegevens_B!K360, IF(Klantgegevens_A!L360&gt;=7, "ja", "nee"))</f>
        <v>ja</v>
      </c>
      <c r="M361" t="str">
        <f>IF(Klantgegevens_B!L360&lt;&gt;"", Klantgegevens_B!L360, IF(Klantgegevens_A!L360&gt;=7, "ja", "nee"))</f>
        <v>ja</v>
      </c>
      <c r="N361" t="str">
        <f>IF(Klantgegevens_B!M360&lt;&gt;"", Klantgegevens_B!M360, IF(Klantgegevens_A!L360&gt;=7, "ja", "nee"))</f>
        <v>nee</v>
      </c>
      <c r="O361" t="str">
        <f>IF(Klantgegevens_B!N360&lt;&gt;"", Klantgegevens_B!N360, IF(Klantgegevens_A!L360&gt;=7, "ja", "nee"))</f>
        <v>ja</v>
      </c>
      <c r="P361" t="str">
        <f>IF(Klantgegevens_B!O360&lt;&gt;"", Klantgegevens_B!O360, IF(Klantgegevens_A!L360&gt;=7, "ja", "nee"))</f>
        <v>Geen dieet</v>
      </c>
      <c r="Q361" t="str">
        <f>IF(Klantgegevens_B!P360&lt;&gt;"", Klantgegevens_B!P360, Klantgegevens_A!M360)</f>
        <v>Geen dieet</v>
      </c>
      <c r="R361" t="str">
        <f>IF(Klantgegevens_B!A360&lt;&gt;"", "B", "A")</f>
        <v>B</v>
      </c>
    </row>
    <row r="362" spans="1:18" x14ac:dyDescent="0.3">
      <c r="A362" t="str">
        <f>IF(Klantgegevens_B!A361&lt;&gt;"", Klantgegevens_B!A361, MID(Klantgegevens_A!A361, FIND(",", Klantgegevens_A!A361)+2, LEN(Klantgegevens_A!A361)))</f>
        <v>Emi</v>
      </c>
      <c r="B362" t="str">
        <f>IF(Klantgegevens_B!B361&lt;&gt;"", Klantgegevens_B!B361, LEFT(Klantgegevens_A!A361, FIND(",", Klantgegevens_A!A361)-1))</f>
        <v>Vanhoutte</v>
      </c>
      <c r="C362" t="str">
        <f t="shared" ca="1" si="5"/>
        <v/>
      </c>
      <c r="D362" t="str">
        <f>IF(Klantgegevens_B!F361&lt;&gt;"", Klantgegevens_B!F361, Klantgegevens_A!D361 &amp; " " &amp; Klantgegevens_A!E361 &amp; ", " &amp; Klantgegevens_A!F361)</f>
        <v>Emi,Léa,Kevin,Halil</v>
      </c>
      <c r="E362">
        <f>IF(Klantgegevens_B!G361&lt;&gt;"", Klantgegevens_B!G361, TEXTJOIN(",", TRUE, REPT("Volwassene,", Klantgegevens_A!G361), REPT("Kind,", Klantgegevens_A!H361)))</f>
        <v>190.14</v>
      </c>
      <c r="F362">
        <f>IF(Klantgegevens_B!G361&lt;&gt;"", LEN(Klantgegevens_B!G361)-LEN(SUBSTITUTE(Klantgegevens_B!G361, ",", ""))+1, Klantgegevens_A!G361)</f>
        <v>1</v>
      </c>
      <c r="G362">
        <f>IF(Klantgegevens_B!G361&lt;&gt;"", 0, Klantgegevens_A!H361)</f>
        <v>0</v>
      </c>
      <c r="H362">
        <f>IF(Klantgegevens_B!H361&lt;&gt;"", Klantgegevens_B!H361, Klantgegevens_A!I361)</f>
        <v>5</v>
      </c>
      <c r="I362" t="str">
        <f>IF(Klantgegevens_B!I361&lt;&gt;"", Klantgegevens_B!I361, SWITCH(Klantgegevens_A!J361, "Zelden", 1, "Af en toe", 4, "Regelmatig", 8, "Vaak", 12))</f>
        <v>Bancontact</v>
      </c>
      <c r="J362" t="str">
        <f>IF(Klantgegevens_B!J361&lt;&gt;"", Klantgegevens_B!J361, Klantgegevens_A!K361)</f>
        <v>ja</v>
      </c>
      <c r="K362">
        <f>IF(Klantgegevens_B!K361&lt;&gt;"", AVERAGE(--(Klantgegevens_B!K361="ja"), --(Klantgegevens_B!L361="ja"), --(Klantgegevens_B!M361="ja"), --(Klantgegevens_B!N361="ja"), --(Klantgegevens_B!O361="ja"))*10, Klantgegevens_A!L361)</f>
        <v>8</v>
      </c>
      <c r="L362" t="str">
        <f>IF(Klantgegevens_B!K361&lt;&gt;"", Klantgegevens_B!K361, IF(Klantgegevens_A!L361&gt;=7, "ja", "nee"))</f>
        <v>ja</v>
      </c>
      <c r="M362" t="str">
        <f>IF(Klantgegevens_B!L361&lt;&gt;"", Klantgegevens_B!L361, IF(Klantgegevens_A!L361&gt;=7, "ja", "nee"))</f>
        <v>ja</v>
      </c>
      <c r="N362" t="str">
        <f>IF(Klantgegevens_B!M361&lt;&gt;"", Klantgegevens_B!M361, IF(Klantgegevens_A!L361&gt;=7, "ja", "nee"))</f>
        <v>ja</v>
      </c>
      <c r="O362" t="str">
        <f>IF(Klantgegevens_B!N361&lt;&gt;"", Klantgegevens_B!N361, IF(Klantgegevens_A!L361&gt;=7, "ja", "nee"))</f>
        <v>ja</v>
      </c>
      <c r="P362" t="str">
        <f>IF(Klantgegevens_B!O361&lt;&gt;"", Klantgegevens_B!O361, IF(Klantgegevens_A!L361&gt;=7, "ja", "nee"))</f>
        <v>Vegetarisch</v>
      </c>
      <c r="Q362" t="str">
        <f>IF(Klantgegevens_B!P361&lt;&gt;"", Klantgegevens_B!P361, Klantgegevens_A!M361)</f>
        <v>Geen dieet</v>
      </c>
      <c r="R362" t="str">
        <f>IF(Klantgegevens_B!A361&lt;&gt;"", "B", "A")</f>
        <v>B</v>
      </c>
    </row>
    <row r="363" spans="1:18" x14ac:dyDescent="0.3">
      <c r="A363" t="str">
        <f>IF(Klantgegevens_B!A362&lt;&gt;"", Klantgegevens_B!A362, MID(Klantgegevens_A!A362, FIND(",", Klantgegevens_A!A362)+2, LEN(Klantgegevens_A!A362)))</f>
        <v>Julie</v>
      </c>
      <c r="B363" t="str">
        <f>IF(Klantgegevens_B!B362&lt;&gt;"", Klantgegevens_B!B362, LEFT(Klantgegevens_A!A362, FIND(",", Klantgegevens_A!A362)-1))</f>
        <v>Robert</v>
      </c>
      <c r="C363" t="str">
        <f t="shared" ca="1" si="5"/>
        <v/>
      </c>
      <c r="D363" t="str">
        <f>IF(Klantgegevens_B!F362&lt;&gt;"", Klantgegevens_B!F362, Klantgegevens_A!D362 &amp; " " &amp; Klantgegevens_A!E362 &amp; ", " &amp; Klantgegevens_A!F362)</f>
        <v>Julie,Anne,Lisa</v>
      </c>
      <c r="E363">
        <f>IF(Klantgegevens_B!G362&lt;&gt;"", Klantgegevens_B!G362, TEXTJOIN(",", TRUE, REPT("Volwassene,", Klantgegevens_A!G362), REPT("Kind,", Klantgegevens_A!H362)))</f>
        <v>116.07</v>
      </c>
      <c r="F363">
        <f>IF(Klantgegevens_B!G362&lt;&gt;"", LEN(Klantgegevens_B!G362)-LEN(SUBSTITUTE(Klantgegevens_B!G362, ",", ""))+1, Klantgegevens_A!G362)</f>
        <v>1</v>
      </c>
      <c r="G363">
        <f>IF(Klantgegevens_B!G362&lt;&gt;"", 0, Klantgegevens_A!H362)</f>
        <v>0</v>
      </c>
      <c r="H363">
        <f>IF(Klantgegevens_B!H362&lt;&gt;"", Klantgegevens_B!H362, Klantgegevens_A!I362)</f>
        <v>3</v>
      </c>
      <c r="I363" t="str">
        <f>IF(Klantgegevens_B!I362&lt;&gt;"", Klantgegevens_B!I362, SWITCH(Klantgegevens_A!J362, "Zelden", 1, "Af en toe", 4, "Regelmatig", 8, "Vaak", 12))</f>
        <v>Cash</v>
      </c>
      <c r="J363" t="str">
        <f>IF(Klantgegevens_B!J362&lt;&gt;"", Klantgegevens_B!J362, Klantgegevens_A!K362)</f>
        <v>ja</v>
      </c>
      <c r="K363">
        <f>IF(Klantgegevens_B!K362&lt;&gt;"", AVERAGE(--(Klantgegevens_B!K362="ja"), --(Klantgegevens_B!L362="ja"), --(Klantgegevens_B!M362="ja"), --(Klantgegevens_B!N362="ja"), --(Klantgegevens_B!O362="ja"))*10, Klantgegevens_A!L362)</f>
        <v>6</v>
      </c>
      <c r="L363" t="str">
        <f>IF(Klantgegevens_B!K362&lt;&gt;"", Klantgegevens_B!K362, IF(Klantgegevens_A!L362&gt;=7, "ja", "nee"))</f>
        <v>ja</v>
      </c>
      <c r="M363" t="str">
        <f>IF(Klantgegevens_B!L362&lt;&gt;"", Klantgegevens_B!L362, IF(Klantgegevens_A!L362&gt;=7, "ja", "nee"))</f>
        <v>ja</v>
      </c>
      <c r="N363" t="str">
        <f>IF(Klantgegevens_B!M362&lt;&gt;"", Klantgegevens_B!M362, IF(Klantgegevens_A!L362&gt;=7, "ja", "nee"))</f>
        <v>ja</v>
      </c>
      <c r="O363" t="str">
        <f>IF(Klantgegevens_B!N362&lt;&gt;"", Klantgegevens_B!N362, IF(Klantgegevens_A!L362&gt;=7, "ja", "nee"))</f>
        <v>nee</v>
      </c>
      <c r="P363" t="str">
        <f>IF(Klantgegevens_B!O362&lt;&gt;"", Klantgegevens_B!O362, IF(Klantgegevens_A!L362&gt;=7, "ja", "nee"))</f>
        <v>Vegetarisch</v>
      </c>
      <c r="Q363" t="str">
        <f>IF(Klantgegevens_B!P362&lt;&gt;"", Klantgegevens_B!P362, Klantgegevens_A!M362)</f>
        <v>Geen dieet</v>
      </c>
      <c r="R363" t="str">
        <f>IF(Klantgegevens_B!A362&lt;&gt;"", "B", "A")</f>
        <v>B</v>
      </c>
    </row>
    <row r="364" spans="1:18" x14ac:dyDescent="0.3">
      <c r="A364" t="str">
        <f>IF(Klantgegevens_B!A363&lt;&gt;"", Klantgegevens_B!A363, MID(Klantgegevens_A!A363, FIND(",", Klantgegevens_A!A363)+2, LEN(Klantgegevens_A!A363)))</f>
        <v>Mustapha</v>
      </c>
      <c r="B364" t="str">
        <f>IF(Klantgegevens_B!B363&lt;&gt;"", Klantgegevens_B!B363, LEFT(Klantgegevens_A!A363, FIND(",", Klantgegevens_A!A363)-1))</f>
        <v>Peeters</v>
      </c>
      <c r="C364" t="str">
        <f t="shared" ca="1" si="5"/>
        <v/>
      </c>
      <c r="D364" t="str">
        <f>IF(Klantgegevens_B!F363&lt;&gt;"", Klantgegevens_B!F363, Klantgegevens_A!D363 &amp; " " &amp; Klantgegevens_A!E363 &amp; ", " &amp; Klantgegevens_A!F363)</f>
        <v>Mustapha,Benjamin</v>
      </c>
      <c r="E364">
        <f>IF(Klantgegevens_B!G363&lt;&gt;"", Klantgegevens_B!G363, TEXTJOIN(",", TRUE, REPT("Volwassene,", Klantgegevens_A!G363), REPT("Kind,", Klantgegevens_A!H363)))</f>
        <v>241.86</v>
      </c>
      <c r="F364">
        <f>IF(Klantgegevens_B!G363&lt;&gt;"", LEN(Klantgegevens_B!G363)-LEN(SUBSTITUTE(Klantgegevens_B!G363, ",", ""))+1, Klantgegevens_A!G363)</f>
        <v>1</v>
      </c>
      <c r="G364">
        <f>IF(Klantgegevens_B!G363&lt;&gt;"", 0, Klantgegevens_A!H363)</f>
        <v>0</v>
      </c>
      <c r="H364">
        <f>IF(Klantgegevens_B!H363&lt;&gt;"", Klantgegevens_B!H363, Klantgegevens_A!I363)</f>
        <v>10</v>
      </c>
      <c r="I364" t="str">
        <f>IF(Klantgegevens_B!I363&lt;&gt;"", Klantgegevens_B!I363, SWITCH(Klantgegevens_A!J363, "Zelden", 1, "Af en toe", 4, "Regelmatig", 8, "Vaak", 12))</f>
        <v>Bancontact</v>
      </c>
      <c r="J364" t="str">
        <f>IF(Klantgegevens_B!J363&lt;&gt;"", Klantgegevens_B!J363, Klantgegevens_A!K363)</f>
        <v>ja</v>
      </c>
      <c r="K364">
        <f>IF(Klantgegevens_B!K363&lt;&gt;"", AVERAGE(--(Klantgegevens_B!K363="ja"), --(Klantgegevens_B!L363="ja"), --(Klantgegevens_B!M363="ja"), --(Klantgegevens_B!N363="ja"), --(Klantgegevens_B!O363="ja"))*10, Klantgegevens_A!L363)</f>
        <v>6</v>
      </c>
      <c r="L364" t="str">
        <f>IF(Klantgegevens_B!K363&lt;&gt;"", Klantgegevens_B!K363, IF(Klantgegevens_A!L363&gt;=7, "ja", "nee"))</f>
        <v>ja</v>
      </c>
      <c r="M364" t="str">
        <f>IF(Klantgegevens_B!L363&lt;&gt;"", Klantgegevens_B!L363, IF(Klantgegevens_A!L363&gt;=7, "ja", "nee"))</f>
        <v>ja</v>
      </c>
      <c r="N364" t="str">
        <f>IF(Klantgegevens_B!M363&lt;&gt;"", Klantgegevens_B!M363, IF(Klantgegevens_A!L363&gt;=7, "ja", "nee"))</f>
        <v>nee</v>
      </c>
      <c r="O364" t="str">
        <f>IF(Klantgegevens_B!N363&lt;&gt;"", Klantgegevens_B!N363, IF(Klantgegevens_A!L363&gt;=7, "ja", "nee"))</f>
        <v>ja</v>
      </c>
      <c r="P364" t="str">
        <f>IF(Klantgegevens_B!O363&lt;&gt;"", Klantgegevens_B!O363, IF(Klantgegevens_A!L363&gt;=7, "ja", "nee"))</f>
        <v>Geen dieet</v>
      </c>
      <c r="Q364" t="str">
        <f>IF(Klantgegevens_B!P363&lt;&gt;"", Klantgegevens_B!P363, Klantgegevens_A!M363)</f>
        <v>Vegetarisch</v>
      </c>
      <c r="R364" t="str">
        <f>IF(Klantgegevens_B!A363&lt;&gt;"", "B", "A")</f>
        <v>B</v>
      </c>
    </row>
    <row r="365" spans="1:18" x14ac:dyDescent="0.3">
      <c r="A365" t="str">
        <f>IF(Klantgegevens_B!A364&lt;&gt;"", Klantgegevens_B!A364, MID(Klantgegevens_A!A364, FIND(",", Klantgegevens_A!A364)+2, LEN(Klantgegevens_A!A364)))</f>
        <v>Thomas</v>
      </c>
      <c r="B365" t="str">
        <f>IF(Klantgegevens_B!B364&lt;&gt;"", Klantgegevens_B!B364, LEFT(Klantgegevens_A!A364, FIND(",", Klantgegevens_A!A364)-1))</f>
        <v>Nijs</v>
      </c>
      <c r="C365" t="str">
        <f t="shared" ca="1" si="5"/>
        <v/>
      </c>
      <c r="D365" t="str">
        <f>IF(Klantgegevens_B!F364&lt;&gt;"", Klantgegevens_B!F364, Klantgegevens_A!D364 &amp; " " &amp; Klantgegevens_A!E364 &amp; ", " &amp; Klantgegevens_A!F364)</f>
        <v>Thomas,Romaysaa,Louise,Anca</v>
      </c>
      <c r="E365">
        <f>IF(Klantgegevens_B!G364&lt;&gt;"", Klantgegevens_B!G364, TEXTJOIN(",", TRUE, REPT("Volwassene,", Klantgegevens_A!G364), REPT("Kind,", Klantgegevens_A!H364)))</f>
        <v>160.54</v>
      </c>
      <c r="F365">
        <f>IF(Klantgegevens_B!G364&lt;&gt;"", LEN(Klantgegevens_B!G364)-LEN(SUBSTITUTE(Klantgegevens_B!G364, ",", ""))+1, Klantgegevens_A!G364)</f>
        <v>1</v>
      </c>
      <c r="G365">
        <f>IF(Klantgegevens_B!G364&lt;&gt;"", 0, Klantgegevens_A!H364)</f>
        <v>0</v>
      </c>
      <c r="H365">
        <f>IF(Klantgegevens_B!H364&lt;&gt;"", Klantgegevens_B!H364, Klantgegevens_A!I364)</f>
        <v>6</v>
      </c>
      <c r="I365" t="str">
        <f>IF(Klantgegevens_B!I364&lt;&gt;"", Klantgegevens_B!I364, SWITCH(Klantgegevens_A!J364, "Zelden", 1, "Af en toe", 4, "Regelmatig", 8, "Vaak", 12))</f>
        <v>Payconiq</v>
      </c>
      <c r="J365" t="str">
        <f>IF(Klantgegevens_B!J364&lt;&gt;"", Klantgegevens_B!J364, Klantgegevens_A!K364)</f>
        <v>ja</v>
      </c>
      <c r="K365">
        <f>IF(Klantgegevens_B!K364&lt;&gt;"", AVERAGE(--(Klantgegevens_B!K364="ja"), --(Klantgegevens_B!L364="ja"), --(Klantgegevens_B!M364="ja"), --(Klantgegevens_B!N364="ja"), --(Klantgegevens_B!O364="ja"))*10, Klantgegevens_A!L364)</f>
        <v>4</v>
      </c>
      <c r="L365" t="str">
        <f>IF(Klantgegevens_B!K364&lt;&gt;"", Klantgegevens_B!K364, IF(Klantgegevens_A!L364&gt;=7, "ja", "nee"))</f>
        <v>nee</v>
      </c>
      <c r="M365" t="str">
        <f>IF(Klantgegevens_B!L364&lt;&gt;"", Klantgegevens_B!L364, IF(Klantgegevens_A!L364&gt;=7, "ja", "nee"))</f>
        <v>ja</v>
      </c>
      <c r="N365" t="str">
        <f>IF(Klantgegevens_B!M364&lt;&gt;"", Klantgegevens_B!M364, IF(Klantgegevens_A!L364&gt;=7, "ja", "nee"))</f>
        <v>nee</v>
      </c>
      <c r="O365" t="str">
        <f>IF(Klantgegevens_B!N364&lt;&gt;"", Klantgegevens_B!N364, IF(Klantgegevens_A!L364&gt;=7, "ja", "nee"))</f>
        <v>ja</v>
      </c>
      <c r="P365" t="str">
        <f>IF(Klantgegevens_B!O364&lt;&gt;"", Klantgegevens_B!O364, IF(Klantgegevens_A!L364&gt;=7, "ja", "nee"))</f>
        <v>Geen dieet</v>
      </c>
      <c r="Q365" t="str">
        <f>IF(Klantgegevens_B!P364&lt;&gt;"", Klantgegevens_B!P364, Klantgegevens_A!M364)</f>
        <v>Geen dieet</v>
      </c>
      <c r="R365" t="str">
        <f>IF(Klantgegevens_B!A364&lt;&gt;"", "B", "A")</f>
        <v>B</v>
      </c>
    </row>
    <row r="366" spans="1:18" x14ac:dyDescent="0.3">
      <c r="A366" t="str">
        <f>IF(Klantgegevens_B!A365&lt;&gt;"", Klantgegevens_B!A365, MID(Klantgegevens_A!A365, FIND(",", Klantgegevens_A!A365)+2, LEN(Klantgegevens_A!A365)))</f>
        <v>Mohamed</v>
      </c>
      <c r="B366" t="str">
        <f>IF(Klantgegevens_B!B365&lt;&gt;"", Klantgegevens_B!B365, LEFT(Klantgegevens_A!A365, FIND(",", Klantgegevens_A!A365)-1))</f>
        <v>Nijs</v>
      </c>
      <c r="C366" t="str">
        <f t="shared" ca="1" si="5"/>
        <v/>
      </c>
      <c r="D366" t="str">
        <f>IF(Klantgegevens_B!F365&lt;&gt;"", Klantgegevens_B!F365, Klantgegevens_A!D365 &amp; " " &amp; Klantgegevens_A!E365 &amp; ", " &amp; Klantgegevens_A!F365)</f>
        <v>Mohamed,Lucas</v>
      </c>
      <c r="E366">
        <f>IF(Klantgegevens_B!G365&lt;&gt;"", Klantgegevens_B!G365, TEXTJOIN(",", TRUE, REPT("Volwassene,", Klantgegevens_A!G365), REPT("Kind,", Klantgegevens_A!H365)))</f>
        <v>20.239999999999998</v>
      </c>
      <c r="F366">
        <f>IF(Klantgegevens_B!G365&lt;&gt;"", LEN(Klantgegevens_B!G365)-LEN(SUBSTITUTE(Klantgegevens_B!G365, ",", ""))+1, Klantgegevens_A!G365)</f>
        <v>1</v>
      </c>
      <c r="G366">
        <f>IF(Klantgegevens_B!G365&lt;&gt;"", 0, Klantgegevens_A!H365)</f>
        <v>0</v>
      </c>
      <c r="H366">
        <f>IF(Klantgegevens_B!H365&lt;&gt;"", Klantgegevens_B!H365, Klantgegevens_A!I365)</f>
        <v>13</v>
      </c>
      <c r="I366" t="str">
        <f>IF(Klantgegevens_B!I365&lt;&gt;"", Klantgegevens_B!I365, SWITCH(Klantgegevens_A!J365, "Zelden", 1, "Af en toe", 4, "Regelmatig", 8, "Vaak", 12))</f>
        <v>Cash</v>
      </c>
      <c r="J366" t="str">
        <f>IF(Klantgegevens_B!J365&lt;&gt;"", Klantgegevens_B!J365, Klantgegevens_A!K365)</f>
        <v>nee</v>
      </c>
      <c r="K366">
        <f>IF(Klantgegevens_B!K365&lt;&gt;"", AVERAGE(--(Klantgegevens_B!K365="ja"), --(Klantgegevens_B!L365="ja"), --(Klantgegevens_B!M365="ja"), --(Klantgegevens_B!N365="ja"), --(Klantgegevens_B!O365="ja"))*10, Klantgegevens_A!L365)</f>
        <v>4</v>
      </c>
      <c r="L366" t="str">
        <f>IF(Klantgegevens_B!K365&lt;&gt;"", Klantgegevens_B!K365, IF(Klantgegevens_A!L365&gt;=7, "ja", "nee"))</f>
        <v>nee</v>
      </c>
      <c r="M366" t="str">
        <f>IF(Klantgegevens_B!L365&lt;&gt;"", Klantgegevens_B!L365, IF(Klantgegevens_A!L365&gt;=7, "ja", "nee"))</f>
        <v>ja</v>
      </c>
      <c r="N366" t="str">
        <f>IF(Klantgegevens_B!M365&lt;&gt;"", Klantgegevens_B!M365, IF(Klantgegevens_A!L365&gt;=7, "ja", "nee"))</f>
        <v>nee</v>
      </c>
      <c r="O366" t="str">
        <f>IF(Klantgegevens_B!N365&lt;&gt;"", Klantgegevens_B!N365, IF(Klantgegevens_A!L365&gt;=7, "ja", "nee"))</f>
        <v>ja</v>
      </c>
      <c r="P366" t="str">
        <f>IF(Klantgegevens_B!O365&lt;&gt;"", Klantgegevens_B!O365, IF(Klantgegevens_A!L365&gt;=7, "ja", "nee"))</f>
        <v>Geen dieet</v>
      </c>
      <c r="Q366" t="str">
        <f>IF(Klantgegevens_B!P365&lt;&gt;"", Klantgegevens_B!P365, Klantgegevens_A!M365)</f>
        <v>Geen dieet</v>
      </c>
      <c r="R366" t="str">
        <f>IF(Klantgegevens_B!A365&lt;&gt;"", "B", "A")</f>
        <v>B</v>
      </c>
    </row>
    <row r="367" spans="1:18" x14ac:dyDescent="0.3">
      <c r="A367" t="str">
        <f>IF(Klantgegevens_B!A366&lt;&gt;"", Klantgegevens_B!A366, MID(Klantgegevens_A!A366, FIND(",", Klantgegevens_A!A366)+2, LEN(Klantgegevens_A!A366)))</f>
        <v>Yahya</v>
      </c>
      <c r="B367" t="str">
        <f>IF(Klantgegevens_B!B366&lt;&gt;"", Klantgegevens_B!B366, LEFT(Klantgegevens_A!A366, FIND(",", Klantgegevens_A!A366)-1))</f>
        <v>Reynders</v>
      </c>
      <c r="C367" t="str">
        <f t="shared" ca="1" si="5"/>
        <v/>
      </c>
      <c r="D367" t="str">
        <f>IF(Klantgegevens_B!F366&lt;&gt;"", Klantgegevens_B!F366, Klantgegevens_A!D366 &amp; " " &amp; Klantgegevens_A!E366 &amp; ", " &amp; Klantgegevens_A!F366)</f>
        <v>Yahya</v>
      </c>
      <c r="E367">
        <f>IF(Klantgegevens_B!G366&lt;&gt;"", Klantgegevens_B!G366, TEXTJOIN(",", TRUE, REPT("Volwassene,", Klantgegevens_A!G366), REPT("Kind,", Klantgegevens_A!H366)))</f>
        <v>50.46</v>
      </c>
      <c r="F367">
        <f>IF(Klantgegevens_B!G366&lt;&gt;"", LEN(Klantgegevens_B!G366)-LEN(SUBSTITUTE(Klantgegevens_B!G366, ",", ""))+1, Klantgegevens_A!G366)</f>
        <v>1</v>
      </c>
      <c r="G367">
        <f>IF(Klantgegevens_B!G366&lt;&gt;"", 0, Klantgegevens_A!H366)</f>
        <v>0</v>
      </c>
      <c r="H367">
        <f>IF(Klantgegevens_B!H366&lt;&gt;"", Klantgegevens_B!H366, Klantgegevens_A!I366)</f>
        <v>17</v>
      </c>
      <c r="I367" t="str">
        <f>IF(Klantgegevens_B!I366&lt;&gt;"", Klantgegevens_B!I366, SWITCH(Klantgegevens_A!J366, "Zelden", 1, "Af en toe", 4, "Regelmatig", 8, "Vaak", 12))</f>
        <v>Bancontact</v>
      </c>
      <c r="J367" t="str">
        <f>IF(Klantgegevens_B!J366&lt;&gt;"", Klantgegevens_B!J366, Klantgegevens_A!K366)</f>
        <v>nee</v>
      </c>
      <c r="K367">
        <f>IF(Klantgegevens_B!K366&lt;&gt;"", AVERAGE(--(Klantgegevens_B!K366="ja"), --(Klantgegevens_B!L366="ja"), --(Klantgegevens_B!M366="ja"), --(Klantgegevens_B!N366="ja"), --(Klantgegevens_B!O366="ja"))*10, Klantgegevens_A!L366)</f>
        <v>6</v>
      </c>
      <c r="L367" t="str">
        <f>IF(Klantgegevens_B!K366&lt;&gt;"", Klantgegevens_B!K366, IF(Klantgegevens_A!L366&gt;=7, "ja", "nee"))</f>
        <v>ja</v>
      </c>
      <c r="M367" t="str">
        <f>IF(Klantgegevens_B!L366&lt;&gt;"", Klantgegevens_B!L366, IF(Klantgegevens_A!L366&gt;=7, "ja", "nee"))</f>
        <v>nee</v>
      </c>
      <c r="N367" t="str">
        <f>IF(Klantgegevens_B!M366&lt;&gt;"", Klantgegevens_B!M366, IF(Klantgegevens_A!L366&gt;=7, "ja", "nee"))</f>
        <v>ja</v>
      </c>
      <c r="O367" t="str">
        <f>IF(Klantgegevens_B!N366&lt;&gt;"", Klantgegevens_B!N366, IF(Klantgegevens_A!L366&gt;=7, "ja", "nee"))</f>
        <v>ja</v>
      </c>
      <c r="P367" t="str">
        <f>IF(Klantgegevens_B!O366&lt;&gt;"", Klantgegevens_B!O366, IF(Klantgegevens_A!L366&gt;=7, "ja", "nee"))</f>
        <v>Geen dieet</v>
      </c>
      <c r="Q367" t="str">
        <f>IF(Klantgegevens_B!P366&lt;&gt;"", Klantgegevens_B!P366, Klantgegevens_A!M366)</f>
        <v>Geen dieet</v>
      </c>
      <c r="R367" t="str">
        <f>IF(Klantgegevens_B!A366&lt;&gt;"", "B", "A")</f>
        <v>B</v>
      </c>
    </row>
    <row r="368" spans="1:18" x14ac:dyDescent="0.3">
      <c r="A368" t="str">
        <f>IF(Klantgegevens_B!A367&lt;&gt;"", Klantgegevens_B!A367, MID(Klantgegevens_A!A367, FIND(",", Klantgegevens_A!A367)+2, LEN(Klantgegevens_A!A367)))</f>
        <v>Ludivine</v>
      </c>
      <c r="B368" t="str">
        <f>IF(Klantgegevens_B!B367&lt;&gt;"", Klantgegevens_B!B367, LEFT(Klantgegevens_A!A367, FIND(",", Klantgegevens_A!A367)-1))</f>
        <v>Delvaux</v>
      </c>
      <c r="C368" t="str">
        <f t="shared" ca="1" si="5"/>
        <v/>
      </c>
      <c r="D368" t="str">
        <f>IF(Klantgegevens_B!F367&lt;&gt;"", Klantgegevens_B!F367, Klantgegevens_A!D367 &amp; " " &amp; Klantgegevens_A!E367 &amp; ", " &amp; Klantgegevens_A!F367)</f>
        <v>Ludivine,Madeleine</v>
      </c>
      <c r="E368">
        <f>IF(Klantgegevens_B!G367&lt;&gt;"", Klantgegevens_B!G367, TEXTJOIN(",", TRUE, REPT("Volwassene,", Klantgegevens_A!G367), REPT("Kind,", Klantgegevens_A!H367)))</f>
        <v>77.239999999999995</v>
      </c>
      <c r="F368">
        <f>IF(Klantgegevens_B!G367&lt;&gt;"", LEN(Klantgegevens_B!G367)-LEN(SUBSTITUTE(Klantgegevens_B!G367, ",", ""))+1, Klantgegevens_A!G367)</f>
        <v>1</v>
      </c>
      <c r="G368">
        <f>IF(Klantgegevens_B!G367&lt;&gt;"", 0, Klantgegevens_A!H367)</f>
        <v>0</v>
      </c>
      <c r="H368">
        <f>IF(Klantgegevens_B!H367&lt;&gt;"", Klantgegevens_B!H367, Klantgegevens_A!I367)</f>
        <v>17</v>
      </c>
      <c r="I368" t="str">
        <f>IF(Klantgegevens_B!I367&lt;&gt;"", Klantgegevens_B!I367, SWITCH(Klantgegevens_A!J367, "Zelden", 1, "Af en toe", 4, "Regelmatig", 8, "Vaak", 12))</f>
        <v>Bancontact</v>
      </c>
      <c r="J368" t="str">
        <f>IF(Klantgegevens_B!J367&lt;&gt;"", Klantgegevens_B!J367, Klantgegevens_A!K367)</f>
        <v>ja</v>
      </c>
      <c r="K368">
        <f>IF(Klantgegevens_B!K367&lt;&gt;"", AVERAGE(--(Klantgegevens_B!K367="ja"), --(Klantgegevens_B!L367="ja"), --(Klantgegevens_B!M367="ja"), --(Klantgegevens_B!N367="ja"), --(Klantgegevens_B!O367="ja"))*10, Klantgegevens_A!L367)</f>
        <v>4</v>
      </c>
      <c r="L368" t="str">
        <f>IF(Klantgegevens_B!K367&lt;&gt;"", Klantgegevens_B!K367, IF(Klantgegevens_A!L367&gt;=7, "ja", "nee"))</f>
        <v>nee</v>
      </c>
      <c r="M368" t="str">
        <f>IF(Klantgegevens_B!L367&lt;&gt;"", Klantgegevens_B!L367, IF(Klantgegevens_A!L367&gt;=7, "ja", "nee"))</f>
        <v>ja</v>
      </c>
      <c r="N368" t="str">
        <f>IF(Klantgegevens_B!M367&lt;&gt;"", Klantgegevens_B!M367, IF(Klantgegevens_A!L367&gt;=7, "ja", "nee"))</f>
        <v>nee</v>
      </c>
      <c r="O368" t="str">
        <f>IF(Klantgegevens_B!N367&lt;&gt;"", Klantgegevens_B!N367, IF(Klantgegevens_A!L367&gt;=7, "ja", "nee"))</f>
        <v>ja</v>
      </c>
      <c r="P368" t="str">
        <f>IF(Klantgegevens_B!O367&lt;&gt;"", Klantgegevens_B!O367, IF(Klantgegevens_A!L367&gt;=7, "ja", "nee"))</f>
        <v>Geen dieet</v>
      </c>
      <c r="Q368" t="str">
        <f>IF(Klantgegevens_B!P367&lt;&gt;"", Klantgegevens_B!P367, Klantgegevens_A!M367)</f>
        <v>Geen dieet</v>
      </c>
      <c r="R368" t="str">
        <f>IF(Klantgegevens_B!A367&lt;&gt;"", "B", "A")</f>
        <v>B</v>
      </c>
    </row>
    <row r="369" spans="1:18" x14ac:dyDescent="0.3">
      <c r="A369" t="str">
        <f>IF(Klantgegevens_B!A368&lt;&gt;"", Klantgegevens_B!A368, MID(Klantgegevens_A!A368, FIND(",", Klantgegevens_A!A368)+2, LEN(Klantgegevens_A!A368)))</f>
        <v>Chloë</v>
      </c>
      <c r="B369" t="str">
        <f>IF(Klantgegevens_B!B368&lt;&gt;"", Klantgegevens_B!B368, LEFT(Klantgegevens_A!A368, FIND(",", Klantgegevens_A!A368)-1))</f>
        <v>Moons</v>
      </c>
      <c r="C369" t="str">
        <f t="shared" ca="1" si="5"/>
        <v/>
      </c>
      <c r="D369" t="str">
        <f>IF(Klantgegevens_B!F368&lt;&gt;"", Klantgegevens_B!F368, Klantgegevens_A!D368 &amp; " " &amp; Klantgegevens_A!E368 &amp; ", " &amp; Klantgegevens_A!F368)</f>
        <v>Chloë,Ilse,Marianne,Muhammad</v>
      </c>
      <c r="E369">
        <f>IF(Klantgegevens_B!G368&lt;&gt;"", Klantgegevens_B!G368, TEXTJOIN(",", TRUE, REPT("Volwassene,", Klantgegevens_A!G368), REPT("Kind,", Klantgegevens_A!H368)))</f>
        <v>151.66</v>
      </c>
      <c r="F369">
        <f>IF(Klantgegevens_B!G368&lt;&gt;"", LEN(Klantgegevens_B!G368)-LEN(SUBSTITUTE(Klantgegevens_B!G368, ",", ""))+1, Klantgegevens_A!G368)</f>
        <v>1</v>
      </c>
      <c r="G369">
        <f>IF(Klantgegevens_B!G368&lt;&gt;"", 0, Klantgegevens_A!H368)</f>
        <v>0</v>
      </c>
      <c r="H369">
        <f>IF(Klantgegevens_B!H368&lt;&gt;"", Klantgegevens_B!H368, Klantgegevens_A!I368)</f>
        <v>13</v>
      </c>
      <c r="I369" t="str">
        <f>IF(Klantgegevens_B!I368&lt;&gt;"", Klantgegevens_B!I368, SWITCH(Klantgegevens_A!J368, "Zelden", 1, "Af en toe", 4, "Regelmatig", 8, "Vaak", 12))</f>
        <v>Cash</v>
      </c>
      <c r="J369" t="str">
        <f>IF(Klantgegevens_B!J368&lt;&gt;"", Klantgegevens_B!J368, Klantgegevens_A!K368)</f>
        <v>ja</v>
      </c>
      <c r="K369">
        <f>IF(Klantgegevens_B!K368&lt;&gt;"", AVERAGE(--(Klantgegevens_B!K368="ja"), --(Klantgegevens_B!L368="ja"), --(Klantgegevens_B!M368="ja"), --(Klantgegevens_B!N368="ja"), --(Klantgegevens_B!O368="ja"))*10, Klantgegevens_A!L368)</f>
        <v>8</v>
      </c>
      <c r="L369" t="str">
        <f>IF(Klantgegevens_B!K368&lt;&gt;"", Klantgegevens_B!K368, IF(Klantgegevens_A!L368&gt;=7, "ja", "nee"))</f>
        <v>ja</v>
      </c>
      <c r="M369" t="str">
        <f>IF(Klantgegevens_B!L368&lt;&gt;"", Klantgegevens_B!L368, IF(Klantgegevens_A!L368&gt;=7, "ja", "nee"))</f>
        <v>ja</v>
      </c>
      <c r="N369" t="str">
        <f>IF(Klantgegevens_B!M368&lt;&gt;"", Klantgegevens_B!M368, IF(Klantgegevens_A!L368&gt;=7, "ja", "nee"))</f>
        <v>ja</v>
      </c>
      <c r="O369" t="str">
        <f>IF(Klantgegevens_B!N368&lt;&gt;"", Klantgegevens_B!N368, IF(Klantgegevens_A!L368&gt;=7, "ja", "nee"))</f>
        <v>ja</v>
      </c>
      <c r="P369" t="str">
        <f>IF(Klantgegevens_B!O368&lt;&gt;"", Klantgegevens_B!O368, IF(Klantgegevens_A!L368&gt;=7, "ja", "nee"))</f>
        <v>Vegetarisch</v>
      </c>
      <c r="Q369" t="str">
        <f>IF(Klantgegevens_B!P368&lt;&gt;"", Klantgegevens_B!P368, Klantgegevens_A!M368)</f>
        <v>Geen dieet</v>
      </c>
      <c r="R369" t="str">
        <f>IF(Klantgegevens_B!A368&lt;&gt;"", "B", "A")</f>
        <v>B</v>
      </c>
    </row>
    <row r="370" spans="1:18" x14ac:dyDescent="0.3">
      <c r="A370" t="str">
        <f>IF(Klantgegevens_B!A369&lt;&gt;"", Klantgegevens_B!A369, MID(Klantgegevens_A!A369, FIND(",", Klantgegevens_A!A369)+2, LEN(Klantgegevens_A!A369)))</f>
        <v>Vèronique</v>
      </c>
      <c r="B370" t="str">
        <f>IF(Klantgegevens_B!B369&lt;&gt;"", Klantgegevens_B!B369, LEFT(Klantgegevens_A!A369, FIND(",", Klantgegevens_A!A369)-1))</f>
        <v>Baeyens</v>
      </c>
      <c r="C370" t="str">
        <f t="shared" ca="1" si="5"/>
        <v/>
      </c>
      <c r="D370" t="str">
        <f>IF(Klantgegevens_B!F369&lt;&gt;"", Klantgegevens_B!F369, Klantgegevens_A!D369 &amp; " " &amp; Klantgegevens_A!E369 &amp; ", " &amp; Klantgegevens_A!F369)</f>
        <v>Vèronique,Robertus</v>
      </c>
      <c r="E370">
        <f>IF(Klantgegevens_B!G369&lt;&gt;"", Klantgegevens_B!G369, TEXTJOIN(",", TRUE, REPT("Volwassene,", Klantgegevens_A!G369), REPT("Kind,", Klantgegevens_A!H369)))</f>
        <v>109.24</v>
      </c>
      <c r="F370">
        <f>IF(Klantgegevens_B!G369&lt;&gt;"", LEN(Klantgegevens_B!G369)-LEN(SUBSTITUTE(Klantgegevens_B!G369, ",", ""))+1, Klantgegevens_A!G369)</f>
        <v>1</v>
      </c>
      <c r="G370">
        <f>IF(Klantgegevens_B!G369&lt;&gt;"", 0, Klantgegevens_A!H369)</f>
        <v>0</v>
      </c>
      <c r="H370">
        <f>IF(Klantgegevens_B!H369&lt;&gt;"", Klantgegevens_B!H369, Klantgegevens_A!I369)</f>
        <v>9</v>
      </c>
      <c r="I370" t="str">
        <f>IF(Klantgegevens_B!I369&lt;&gt;"", Klantgegevens_B!I369, SWITCH(Klantgegevens_A!J369, "Zelden", 1, "Af en toe", 4, "Regelmatig", 8, "Vaak", 12))</f>
        <v>Payconiq</v>
      </c>
      <c r="J370" t="str">
        <f>IF(Klantgegevens_B!J369&lt;&gt;"", Klantgegevens_B!J369, Klantgegevens_A!K369)</f>
        <v>ja</v>
      </c>
      <c r="K370">
        <f>IF(Klantgegevens_B!K369&lt;&gt;"", AVERAGE(--(Klantgegevens_B!K369="ja"), --(Klantgegevens_B!L369="ja"), --(Klantgegevens_B!M369="ja"), --(Klantgegevens_B!N369="ja"), --(Klantgegevens_B!O369="ja"))*10, Klantgegevens_A!L369)</f>
        <v>6</v>
      </c>
      <c r="L370" t="str">
        <f>IF(Klantgegevens_B!K369&lt;&gt;"", Klantgegevens_B!K369, IF(Klantgegevens_A!L369&gt;=7, "ja", "nee"))</f>
        <v>ja</v>
      </c>
      <c r="M370" t="str">
        <f>IF(Klantgegevens_B!L369&lt;&gt;"", Klantgegevens_B!L369, IF(Klantgegevens_A!L369&gt;=7, "ja", "nee"))</f>
        <v>nee</v>
      </c>
      <c r="N370" t="str">
        <f>IF(Klantgegevens_B!M369&lt;&gt;"", Klantgegevens_B!M369, IF(Klantgegevens_A!L369&gt;=7, "ja", "nee"))</f>
        <v>ja</v>
      </c>
      <c r="O370" t="str">
        <f>IF(Klantgegevens_B!N369&lt;&gt;"", Klantgegevens_B!N369, IF(Klantgegevens_A!L369&gt;=7, "ja", "nee"))</f>
        <v>ja</v>
      </c>
      <c r="P370" t="str">
        <f>IF(Klantgegevens_B!O369&lt;&gt;"", Klantgegevens_B!O369, IF(Klantgegevens_A!L369&gt;=7, "ja", "nee"))</f>
        <v>Geen dieet</v>
      </c>
      <c r="Q370" t="str">
        <f>IF(Klantgegevens_B!P369&lt;&gt;"", Klantgegevens_B!P369, Klantgegevens_A!M369)</f>
        <v>Geen dieet</v>
      </c>
      <c r="R370" t="str">
        <f>IF(Klantgegevens_B!A369&lt;&gt;"", "B", "A")</f>
        <v>B</v>
      </c>
    </row>
    <row r="371" spans="1:18" x14ac:dyDescent="0.3">
      <c r="A371" t="str">
        <f>IF(Klantgegevens_B!A370&lt;&gt;"", Klantgegevens_B!A370, MID(Klantgegevens_A!A370, FIND(",", Klantgegevens_A!A370)+2, LEN(Klantgegevens_A!A370)))</f>
        <v>Marina</v>
      </c>
      <c r="B371" t="str">
        <f>IF(Klantgegevens_B!B370&lt;&gt;"", Klantgegevens_B!B370, LEFT(Klantgegevens_A!A370, FIND(",", Klantgegevens_A!A370)-1))</f>
        <v>Vermeire</v>
      </c>
      <c r="C371" t="str">
        <f t="shared" ca="1" si="5"/>
        <v/>
      </c>
      <c r="D371" t="str">
        <f>IF(Klantgegevens_B!F370&lt;&gt;"", Klantgegevens_B!F370, Klantgegevens_A!D370 &amp; " " &amp; Klantgegevens_A!E370 &amp; ", " &amp; Klantgegevens_A!F370)</f>
        <v>Marina,Marlena,Rani</v>
      </c>
      <c r="E371">
        <f>IF(Klantgegevens_B!G370&lt;&gt;"", Klantgegevens_B!G370, TEXTJOIN(",", TRUE, REPT("Volwassene,", Klantgegevens_A!G370), REPT("Kind,", Klantgegevens_A!H370)))</f>
        <v>96.17</v>
      </c>
      <c r="F371">
        <f>IF(Klantgegevens_B!G370&lt;&gt;"", LEN(Klantgegevens_B!G370)-LEN(SUBSTITUTE(Klantgegevens_B!G370, ",", ""))+1, Klantgegevens_A!G370)</f>
        <v>1</v>
      </c>
      <c r="G371">
        <f>IF(Klantgegevens_B!G370&lt;&gt;"", 0, Klantgegevens_A!H370)</f>
        <v>0</v>
      </c>
      <c r="H371">
        <f>IF(Klantgegevens_B!H370&lt;&gt;"", Klantgegevens_B!H370, Klantgegevens_A!I370)</f>
        <v>5</v>
      </c>
      <c r="I371" t="str">
        <f>IF(Klantgegevens_B!I370&lt;&gt;"", Klantgegevens_B!I370, SWITCH(Klantgegevens_A!J370, "Zelden", 1, "Af en toe", 4, "Regelmatig", 8, "Vaak", 12))</f>
        <v>Cash</v>
      </c>
      <c r="J371" t="str">
        <f>IF(Klantgegevens_B!J370&lt;&gt;"", Klantgegevens_B!J370, Klantgegevens_A!K370)</f>
        <v>ja</v>
      </c>
      <c r="K371">
        <f>IF(Klantgegevens_B!K370&lt;&gt;"", AVERAGE(--(Klantgegevens_B!K370="ja"), --(Klantgegevens_B!L370="ja"), --(Klantgegevens_B!M370="ja"), --(Klantgegevens_B!N370="ja"), --(Klantgegevens_B!O370="ja"))*10, Klantgegevens_A!L370)</f>
        <v>6</v>
      </c>
      <c r="L371" t="str">
        <f>IF(Klantgegevens_B!K370&lt;&gt;"", Klantgegevens_B!K370, IF(Klantgegevens_A!L370&gt;=7, "ja", "nee"))</f>
        <v>ja</v>
      </c>
      <c r="M371" t="str">
        <f>IF(Klantgegevens_B!L370&lt;&gt;"", Klantgegevens_B!L370, IF(Klantgegevens_A!L370&gt;=7, "ja", "nee"))</f>
        <v>ja</v>
      </c>
      <c r="N371" t="str">
        <f>IF(Klantgegevens_B!M370&lt;&gt;"", Klantgegevens_B!M370, IF(Klantgegevens_A!L370&gt;=7, "ja", "nee"))</f>
        <v>nee</v>
      </c>
      <c r="O371" t="str">
        <f>IF(Klantgegevens_B!N370&lt;&gt;"", Klantgegevens_B!N370, IF(Klantgegevens_A!L370&gt;=7, "ja", "nee"))</f>
        <v>ja</v>
      </c>
      <c r="P371" t="str">
        <f>IF(Klantgegevens_B!O370&lt;&gt;"", Klantgegevens_B!O370, IF(Klantgegevens_A!L370&gt;=7, "ja", "nee"))</f>
        <v>Vegetarisch</v>
      </c>
      <c r="Q371" t="str">
        <f>IF(Klantgegevens_B!P370&lt;&gt;"", Klantgegevens_B!P370, Klantgegevens_A!M370)</f>
        <v>Geen dieet</v>
      </c>
      <c r="R371" t="str">
        <f>IF(Klantgegevens_B!A370&lt;&gt;"", "B", "A")</f>
        <v>B</v>
      </c>
    </row>
    <row r="372" spans="1:18" x14ac:dyDescent="0.3">
      <c r="A372" t="str">
        <f>IF(Klantgegevens_B!A371&lt;&gt;"", Klantgegevens_B!A371, MID(Klantgegevens_A!A371, FIND(",", Klantgegevens_A!A371)+2, LEN(Klantgegevens_A!A371)))</f>
        <v>Ana</v>
      </c>
      <c r="B372" t="str">
        <f>IF(Klantgegevens_B!B371&lt;&gt;"", Klantgegevens_B!B371, LEFT(Klantgegevens_A!A371, FIND(",", Klantgegevens_A!A371)-1))</f>
        <v>Schepers</v>
      </c>
      <c r="C372" t="str">
        <f t="shared" ca="1" si="5"/>
        <v/>
      </c>
      <c r="D372" t="str">
        <f>IF(Klantgegevens_B!F371&lt;&gt;"", Klantgegevens_B!F371, Klantgegevens_A!D371 &amp; " " &amp; Klantgegevens_A!E371 &amp; ", " &amp; Klantgegevens_A!F371)</f>
        <v>Ana,Fabienne,Nout</v>
      </c>
      <c r="E372">
        <f>IF(Klantgegevens_B!G371&lt;&gt;"", Klantgegevens_B!G371, TEXTJOIN(",", TRUE, REPT("Volwassene,", Klantgegevens_A!G371), REPT("Kind,", Klantgegevens_A!H371)))</f>
        <v>156.91</v>
      </c>
      <c r="F372">
        <f>IF(Klantgegevens_B!G371&lt;&gt;"", LEN(Klantgegevens_B!G371)-LEN(SUBSTITUTE(Klantgegevens_B!G371, ",", ""))+1, Klantgegevens_A!G371)</f>
        <v>1</v>
      </c>
      <c r="G372">
        <f>IF(Klantgegevens_B!G371&lt;&gt;"", 0, Klantgegevens_A!H371)</f>
        <v>0</v>
      </c>
      <c r="H372">
        <f>IF(Klantgegevens_B!H371&lt;&gt;"", Klantgegevens_B!H371, Klantgegevens_A!I371)</f>
        <v>2</v>
      </c>
      <c r="I372" t="str">
        <f>IF(Klantgegevens_B!I371&lt;&gt;"", Klantgegevens_B!I371, SWITCH(Klantgegevens_A!J371, "Zelden", 1, "Af en toe", 4, "Regelmatig", 8, "Vaak", 12))</f>
        <v>Cash</v>
      </c>
      <c r="J372" t="str">
        <f>IF(Klantgegevens_B!J371&lt;&gt;"", Klantgegevens_B!J371, Klantgegevens_A!K371)</f>
        <v>ja</v>
      </c>
      <c r="K372">
        <f>IF(Klantgegevens_B!K371&lt;&gt;"", AVERAGE(--(Klantgegevens_B!K371="ja"), --(Klantgegevens_B!L371="ja"), --(Klantgegevens_B!M371="ja"), --(Klantgegevens_B!N371="ja"), --(Klantgegevens_B!O371="ja"))*10, Klantgegevens_A!L371)</f>
        <v>4</v>
      </c>
      <c r="L372" t="str">
        <f>IF(Klantgegevens_B!K371&lt;&gt;"", Klantgegevens_B!K371, IF(Klantgegevens_A!L371&gt;=7, "ja", "nee"))</f>
        <v>nee</v>
      </c>
      <c r="M372" t="str">
        <f>IF(Klantgegevens_B!L371&lt;&gt;"", Klantgegevens_B!L371, IF(Klantgegevens_A!L371&gt;=7, "ja", "nee"))</f>
        <v>ja</v>
      </c>
      <c r="N372" t="str">
        <f>IF(Klantgegevens_B!M371&lt;&gt;"", Klantgegevens_B!M371, IF(Klantgegevens_A!L371&gt;=7, "ja", "nee"))</f>
        <v>ja</v>
      </c>
      <c r="O372" t="str">
        <f>IF(Klantgegevens_B!N371&lt;&gt;"", Klantgegevens_B!N371, IF(Klantgegevens_A!L371&gt;=7, "ja", "nee"))</f>
        <v>nee</v>
      </c>
      <c r="P372" t="str">
        <f>IF(Klantgegevens_B!O371&lt;&gt;"", Klantgegevens_B!O371, IF(Klantgegevens_A!L371&gt;=7, "ja", "nee"))</f>
        <v>Geen dieet</v>
      </c>
      <c r="Q372" t="str">
        <f>IF(Klantgegevens_B!P371&lt;&gt;"", Klantgegevens_B!P371, Klantgegevens_A!M371)</f>
        <v>Geen dieet</v>
      </c>
      <c r="R372" t="str">
        <f>IF(Klantgegevens_B!A371&lt;&gt;"", "B", "A")</f>
        <v>B</v>
      </c>
    </row>
    <row r="373" spans="1:18" x14ac:dyDescent="0.3">
      <c r="A373" t="str">
        <f>IF(Klantgegevens_B!A372&lt;&gt;"", Klantgegevens_B!A372, MID(Klantgegevens_A!A372, FIND(",", Klantgegevens_A!A372)+2, LEN(Klantgegevens_A!A372)))</f>
        <v>Lola</v>
      </c>
      <c r="B373" t="str">
        <f>IF(Klantgegevens_B!B372&lt;&gt;"", Klantgegevens_B!B372, LEFT(Klantgegevens_A!A372, FIND(",", Klantgegevens_A!A372)-1))</f>
        <v>Gilson</v>
      </c>
      <c r="C373" t="str">
        <f t="shared" ca="1" si="5"/>
        <v/>
      </c>
      <c r="D373" t="str">
        <f>IF(Klantgegevens_B!F372&lt;&gt;"", Klantgegevens_B!F372, Klantgegevens_A!D372 &amp; " " &amp; Klantgegevens_A!E372 &amp; ", " &amp; Klantgegevens_A!F372)</f>
        <v>Lola,Cristina</v>
      </c>
      <c r="E373">
        <f>IF(Klantgegevens_B!G372&lt;&gt;"", Klantgegevens_B!G372, TEXTJOIN(",", TRUE, REPT("Volwassene,", Klantgegevens_A!G372), REPT("Kind,", Klantgegevens_A!H372)))</f>
        <v>118.98</v>
      </c>
      <c r="F373">
        <f>IF(Klantgegevens_B!G372&lt;&gt;"", LEN(Klantgegevens_B!G372)-LEN(SUBSTITUTE(Klantgegevens_B!G372, ",", ""))+1, Klantgegevens_A!G372)</f>
        <v>1</v>
      </c>
      <c r="G373">
        <f>IF(Klantgegevens_B!G372&lt;&gt;"", 0, Klantgegevens_A!H372)</f>
        <v>0</v>
      </c>
      <c r="H373">
        <f>IF(Klantgegevens_B!H372&lt;&gt;"", Klantgegevens_B!H372, Klantgegevens_A!I372)</f>
        <v>22</v>
      </c>
      <c r="I373" t="str">
        <f>IF(Klantgegevens_B!I372&lt;&gt;"", Klantgegevens_B!I372, SWITCH(Klantgegevens_A!J372, "Zelden", 1, "Af en toe", 4, "Regelmatig", 8, "Vaak", 12))</f>
        <v>Payconiq</v>
      </c>
      <c r="J373" t="str">
        <f>IF(Klantgegevens_B!J372&lt;&gt;"", Klantgegevens_B!J372, Klantgegevens_A!K372)</f>
        <v>nee</v>
      </c>
      <c r="K373">
        <f>IF(Klantgegevens_B!K372&lt;&gt;"", AVERAGE(--(Klantgegevens_B!K372="ja"), --(Klantgegevens_B!L372="ja"), --(Klantgegevens_B!M372="ja"), --(Klantgegevens_B!N372="ja"), --(Klantgegevens_B!O372="ja"))*10, Klantgegevens_A!L372)</f>
        <v>6</v>
      </c>
      <c r="L373" t="str">
        <f>IF(Klantgegevens_B!K372&lt;&gt;"", Klantgegevens_B!K372, IF(Klantgegevens_A!L372&gt;=7, "ja", "nee"))</f>
        <v>nee</v>
      </c>
      <c r="M373" t="str">
        <f>IF(Klantgegevens_B!L372&lt;&gt;"", Klantgegevens_B!L372, IF(Klantgegevens_A!L372&gt;=7, "ja", "nee"))</f>
        <v>ja</v>
      </c>
      <c r="N373" t="str">
        <f>IF(Klantgegevens_B!M372&lt;&gt;"", Klantgegevens_B!M372, IF(Klantgegevens_A!L372&gt;=7, "ja", "nee"))</f>
        <v>ja</v>
      </c>
      <c r="O373" t="str">
        <f>IF(Klantgegevens_B!N372&lt;&gt;"", Klantgegevens_B!N372, IF(Klantgegevens_A!L372&gt;=7, "ja", "nee"))</f>
        <v>ja</v>
      </c>
      <c r="P373" t="str">
        <f>IF(Klantgegevens_B!O372&lt;&gt;"", Klantgegevens_B!O372, IF(Klantgegevens_A!L372&gt;=7, "ja", "nee"))</f>
        <v>Geen dieet</v>
      </c>
      <c r="Q373" t="str">
        <f>IF(Klantgegevens_B!P372&lt;&gt;"", Klantgegevens_B!P372, Klantgegevens_A!M372)</f>
        <v>Geen dieet</v>
      </c>
      <c r="R373" t="str">
        <f>IF(Klantgegevens_B!A372&lt;&gt;"", "B", "A")</f>
        <v>B</v>
      </c>
    </row>
    <row r="374" spans="1:18" x14ac:dyDescent="0.3">
      <c r="A374" t="str">
        <f>IF(Klantgegevens_B!A373&lt;&gt;"", Klantgegevens_B!A373, MID(Klantgegevens_A!A373, FIND(",", Klantgegevens_A!A373)+2, LEN(Klantgegevens_A!A373)))</f>
        <v>Shawn</v>
      </c>
      <c r="B374" t="str">
        <f>IF(Klantgegevens_B!B373&lt;&gt;"", Klantgegevens_B!B373, LEFT(Klantgegevens_A!A373, FIND(",", Klantgegevens_A!A373)-1))</f>
        <v>Wuyts</v>
      </c>
      <c r="C374" t="str">
        <f t="shared" ca="1" si="5"/>
        <v/>
      </c>
      <c r="D374" t="str">
        <f>IF(Klantgegevens_B!F373&lt;&gt;"", Klantgegevens_B!F373, Klantgegevens_A!D373 &amp; " " &amp; Klantgegevens_A!E373 &amp; ", " &amp; Klantgegevens_A!F373)</f>
        <v>Shawn,Sebastiaan</v>
      </c>
      <c r="E374">
        <f>IF(Klantgegevens_B!G373&lt;&gt;"", Klantgegevens_B!G373, TEXTJOIN(",", TRUE, REPT("Volwassene,", Klantgegevens_A!G373), REPT("Kind,", Klantgegevens_A!H373)))</f>
        <v>65.239999999999995</v>
      </c>
      <c r="F374">
        <f>IF(Klantgegevens_B!G373&lt;&gt;"", LEN(Klantgegevens_B!G373)-LEN(SUBSTITUTE(Klantgegevens_B!G373, ",", ""))+1, Klantgegevens_A!G373)</f>
        <v>1</v>
      </c>
      <c r="G374">
        <f>IF(Klantgegevens_B!G373&lt;&gt;"", 0, Klantgegevens_A!H373)</f>
        <v>0</v>
      </c>
      <c r="H374">
        <f>IF(Klantgegevens_B!H373&lt;&gt;"", Klantgegevens_B!H373, Klantgegevens_A!I373)</f>
        <v>15</v>
      </c>
      <c r="I374" t="str">
        <f>IF(Klantgegevens_B!I373&lt;&gt;"", Klantgegevens_B!I373, SWITCH(Klantgegevens_A!J373, "Zelden", 1, "Af en toe", 4, "Regelmatig", 8, "Vaak", 12))</f>
        <v>Bancontact</v>
      </c>
      <c r="J374" t="str">
        <f>IF(Klantgegevens_B!J373&lt;&gt;"", Klantgegevens_B!J373, Klantgegevens_A!K373)</f>
        <v>ja</v>
      </c>
      <c r="K374">
        <f>IF(Klantgegevens_B!K373&lt;&gt;"", AVERAGE(--(Klantgegevens_B!K373="ja"), --(Klantgegevens_B!L373="ja"), --(Klantgegevens_B!M373="ja"), --(Klantgegevens_B!N373="ja"), --(Klantgegevens_B!O373="ja"))*10, Klantgegevens_A!L373)</f>
        <v>8</v>
      </c>
      <c r="L374" t="str">
        <f>IF(Klantgegevens_B!K373&lt;&gt;"", Klantgegevens_B!K373, IF(Klantgegevens_A!L373&gt;=7, "ja", "nee"))</f>
        <v>ja</v>
      </c>
      <c r="M374" t="str">
        <f>IF(Klantgegevens_B!L373&lt;&gt;"", Klantgegevens_B!L373, IF(Klantgegevens_A!L373&gt;=7, "ja", "nee"))</f>
        <v>ja</v>
      </c>
      <c r="N374" t="str">
        <f>IF(Klantgegevens_B!M373&lt;&gt;"", Klantgegevens_B!M373, IF(Klantgegevens_A!L373&gt;=7, "ja", "nee"))</f>
        <v>ja</v>
      </c>
      <c r="O374" t="str">
        <f>IF(Klantgegevens_B!N373&lt;&gt;"", Klantgegevens_B!N373, IF(Klantgegevens_A!L373&gt;=7, "ja", "nee"))</f>
        <v>ja</v>
      </c>
      <c r="P374" t="str">
        <f>IF(Klantgegevens_B!O373&lt;&gt;"", Klantgegevens_B!O373, IF(Klantgegevens_A!L373&gt;=7, "ja", "nee"))</f>
        <v>Geen dieet</v>
      </c>
      <c r="Q374" t="str">
        <f>IF(Klantgegevens_B!P373&lt;&gt;"", Klantgegevens_B!P373, Klantgegevens_A!M373)</f>
        <v>Vegetarisch</v>
      </c>
      <c r="R374" t="str">
        <f>IF(Klantgegevens_B!A373&lt;&gt;"", "B", "A")</f>
        <v>B</v>
      </c>
    </row>
    <row r="375" spans="1:18" x14ac:dyDescent="0.3">
      <c r="A375" t="str">
        <f>IF(Klantgegevens_B!A374&lt;&gt;"", Klantgegevens_B!A374, MID(Klantgegevens_A!A374, FIND(",", Klantgegevens_A!A374)+2, LEN(Klantgegevens_A!A374)))</f>
        <v>Serge</v>
      </c>
      <c r="B375" t="str">
        <f>IF(Klantgegevens_B!B374&lt;&gt;"", Klantgegevens_B!B374, LEFT(Klantgegevens_A!A374, FIND(",", Klantgegevens_A!A374)-1))</f>
        <v>Declerck</v>
      </c>
      <c r="C375" t="str">
        <f t="shared" ca="1" si="5"/>
        <v/>
      </c>
      <c r="D375" t="str">
        <f>IF(Klantgegevens_B!F374&lt;&gt;"", Klantgegevens_B!F374, Klantgegevens_A!D374 &amp; " " &amp; Klantgegevens_A!E374 &amp; ", " &amp; Klantgegevens_A!F374)</f>
        <v>Serge,Antoine,Marie-Hélène,Karen</v>
      </c>
      <c r="E375">
        <f>IF(Klantgegevens_B!G374&lt;&gt;"", Klantgegevens_B!G374, TEXTJOIN(",", TRUE, REPT("Volwassene,", Klantgegevens_A!G374), REPT("Kind,", Klantgegevens_A!H374)))</f>
        <v>151.21</v>
      </c>
      <c r="F375">
        <f>IF(Klantgegevens_B!G374&lt;&gt;"", LEN(Klantgegevens_B!G374)-LEN(SUBSTITUTE(Klantgegevens_B!G374, ",", ""))+1, Klantgegevens_A!G374)</f>
        <v>1</v>
      </c>
      <c r="G375">
        <f>IF(Klantgegevens_B!G374&lt;&gt;"", 0, Klantgegevens_A!H374)</f>
        <v>0</v>
      </c>
      <c r="H375">
        <f>IF(Klantgegevens_B!H374&lt;&gt;"", Klantgegevens_B!H374, Klantgegevens_A!I374)</f>
        <v>6</v>
      </c>
      <c r="I375" t="str">
        <f>IF(Klantgegevens_B!I374&lt;&gt;"", Klantgegevens_B!I374, SWITCH(Klantgegevens_A!J374, "Zelden", 1, "Af en toe", 4, "Regelmatig", 8, "Vaak", 12))</f>
        <v>Cash</v>
      </c>
      <c r="J375" t="str">
        <f>IF(Klantgegevens_B!J374&lt;&gt;"", Klantgegevens_B!J374, Klantgegevens_A!K374)</f>
        <v>nee</v>
      </c>
      <c r="K375">
        <f>IF(Klantgegevens_B!K374&lt;&gt;"", AVERAGE(--(Klantgegevens_B!K374="ja"), --(Klantgegevens_B!L374="ja"), --(Klantgegevens_B!M374="ja"), --(Klantgegevens_B!N374="ja"), --(Klantgegevens_B!O374="ja"))*10, Klantgegevens_A!L374)</f>
        <v>6</v>
      </c>
      <c r="L375" t="str">
        <f>IF(Klantgegevens_B!K374&lt;&gt;"", Klantgegevens_B!K374, IF(Klantgegevens_A!L374&gt;=7, "ja", "nee"))</f>
        <v>ja</v>
      </c>
      <c r="M375" t="str">
        <f>IF(Klantgegevens_B!L374&lt;&gt;"", Klantgegevens_B!L374, IF(Klantgegevens_A!L374&gt;=7, "ja", "nee"))</f>
        <v>ja</v>
      </c>
      <c r="N375" t="str">
        <f>IF(Klantgegevens_B!M374&lt;&gt;"", Klantgegevens_B!M374, IF(Klantgegevens_A!L374&gt;=7, "ja", "nee"))</f>
        <v>ja</v>
      </c>
      <c r="O375" t="str">
        <f>IF(Klantgegevens_B!N374&lt;&gt;"", Klantgegevens_B!N374, IF(Klantgegevens_A!L374&gt;=7, "ja", "nee"))</f>
        <v>nee</v>
      </c>
      <c r="P375" t="str">
        <f>IF(Klantgegevens_B!O374&lt;&gt;"", Klantgegevens_B!O374, IF(Klantgegevens_A!L374&gt;=7, "ja", "nee"))</f>
        <v>Vegetarisch</v>
      </c>
      <c r="Q375" t="str">
        <f>IF(Klantgegevens_B!P374&lt;&gt;"", Klantgegevens_B!P374, Klantgegevens_A!M374)</f>
        <v>Geen dieet</v>
      </c>
      <c r="R375" t="str">
        <f>IF(Klantgegevens_B!A374&lt;&gt;"", "B", "A")</f>
        <v>B</v>
      </c>
    </row>
    <row r="376" spans="1:18" x14ac:dyDescent="0.3">
      <c r="A376" t="str">
        <f>IF(Klantgegevens_B!A375&lt;&gt;"", Klantgegevens_B!A375, MID(Klantgegevens_A!A375, FIND(",", Klantgegevens_A!A375)+2, LEN(Klantgegevens_A!A375)))</f>
        <v>Filip</v>
      </c>
      <c r="B376" t="str">
        <f>IF(Klantgegevens_B!B375&lt;&gt;"", Klantgegevens_B!B375, LEFT(Klantgegevens_A!A375, FIND(",", Klantgegevens_A!A375)-1))</f>
        <v>Engels</v>
      </c>
      <c r="C376" t="str">
        <f t="shared" ca="1" si="5"/>
        <v/>
      </c>
      <c r="D376" t="str">
        <f>IF(Klantgegevens_B!F375&lt;&gt;"", Klantgegevens_B!F375, Klantgegevens_A!D375 &amp; " " &amp; Klantgegevens_A!E375 &amp; ", " &amp; Klantgegevens_A!F375)</f>
        <v>Filip,Marie</v>
      </c>
      <c r="E376">
        <f>IF(Klantgegevens_B!G375&lt;&gt;"", Klantgegevens_B!G375, TEXTJOIN(",", TRUE, REPT("Volwassene,", Klantgegevens_A!G375), REPT("Kind,", Klantgegevens_A!H375)))</f>
        <v>73.83</v>
      </c>
      <c r="F376">
        <f>IF(Klantgegevens_B!G375&lt;&gt;"", LEN(Klantgegevens_B!G375)-LEN(SUBSTITUTE(Klantgegevens_B!G375, ",", ""))+1, Klantgegevens_A!G375)</f>
        <v>1</v>
      </c>
      <c r="G376">
        <f>IF(Klantgegevens_B!G375&lt;&gt;"", 0, Klantgegevens_A!H375)</f>
        <v>0</v>
      </c>
      <c r="H376">
        <f>IF(Klantgegevens_B!H375&lt;&gt;"", Klantgegevens_B!H375, Klantgegevens_A!I375)</f>
        <v>11</v>
      </c>
      <c r="I376" t="str">
        <f>IF(Klantgegevens_B!I375&lt;&gt;"", Klantgegevens_B!I375, SWITCH(Klantgegevens_A!J375, "Zelden", 1, "Af en toe", 4, "Regelmatig", 8, "Vaak", 12))</f>
        <v>Bancontact</v>
      </c>
      <c r="J376" t="str">
        <f>IF(Klantgegevens_B!J375&lt;&gt;"", Klantgegevens_B!J375, Klantgegevens_A!K375)</f>
        <v>ja</v>
      </c>
      <c r="K376">
        <f>IF(Klantgegevens_B!K375&lt;&gt;"", AVERAGE(--(Klantgegevens_B!K375="ja"), --(Klantgegevens_B!L375="ja"), --(Klantgegevens_B!M375="ja"), --(Klantgegevens_B!N375="ja"), --(Klantgegevens_B!O375="ja"))*10, Klantgegevens_A!L375)</f>
        <v>4</v>
      </c>
      <c r="L376" t="str">
        <f>IF(Klantgegevens_B!K375&lt;&gt;"", Klantgegevens_B!K375, IF(Klantgegevens_A!L375&gt;=7, "ja", "nee"))</f>
        <v>ja</v>
      </c>
      <c r="M376" t="str">
        <f>IF(Klantgegevens_B!L375&lt;&gt;"", Klantgegevens_B!L375, IF(Klantgegevens_A!L375&gt;=7, "ja", "nee"))</f>
        <v>ja</v>
      </c>
      <c r="N376" t="str">
        <f>IF(Klantgegevens_B!M375&lt;&gt;"", Klantgegevens_B!M375, IF(Klantgegevens_A!L375&gt;=7, "ja", "nee"))</f>
        <v>nee</v>
      </c>
      <c r="O376" t="str">
        <f>IF(Klantgegevens_B!N375&lt;&gt;"", Klantgegevens_B!N375, IF(Klantgegevens_A!L375&gt;=7, "ja", "nee"))</f>
        <v>nee</v>
      </c>
      <c r="P376" t="str">
        <f>IF(Klantgegevens_B!O375&lt;&gt;"", Klantgegevens_B!O375, IF(Klantgegevens_A!L375&gt;=7, "ja", "nee"))</f>
        <v>Geen dieet</v>
      </c>
      <c r="Q376" t="str">
        <f>IF(Klantgegevens_B!P375&lt;&gt;"", Klantgegevens_B!P375, Klantgegevens_A!M375)</f>
        <v>Veganistisch</v>
      </c>
      <c r="R376" t="str">
        <f>IF(Klantgegevens_B!A375&lt;&gt;"", "B", "A")</f>
        <v>B</v>
      </c>
    </row>
    <row r="377" spans="1:18" x14ac:dyDescent="0.3">
      <c r="A377" t="str">
        <f>IF(Klantgegevens_B!A376&lt;&gt;"", Klantgegevens_B!A376, MID(Klantgegevens_A!A376, FIND(",", Klantgegevens_A!A376)+2, LEN(Klantgegevens_A!A376)))</f>
        <v>Jean</v>
      </c>
      <c r="B377" t="str">
        <f>IF(Klantgegevens_B!B376&lt;&gt;"", Klantgegevens_B!B376, LEFT(Klantgegevens_A!A376, FIND(",", Klantgegevens_A!A376)-1))</f>
        <v>Van looy</v>
      </c>
      <c r="C377" t="str">
        <f t="shared" ca="1" si="5"/>
        <v/>
      </c>
      <c r="D377" t="str">
        <f>IF(Klantgegevens_B!F376&lt;&gt;"", Klantgegevens_B!F376, Klantgegevens_A!D376 &amp; " " &amp; Klantgegevens_A!E376 &amp; ", " &amp; Klantgegevens_A!F376)</f>
        <v>Jean,Léah</v>
      </c>
      <c r="E377">
        <f>IF(Klantgegevens_B!G376&lt;&gt;"", Klantgegevens_B!G376, TEXTJOIN(",", TRUE, REPT("Volwassene,", Klantgegevens_A!G376), REPT("Kind,", Klantgegevens_A!H376)))</f>
        <v>99.06</v>
      </c>
      <c r="F377">
        <f>IF(Klantgegevens_B!G376&lt;&gt;"", LEN(Klantgegevens_B!G376)-LEN(SUBSTITUTE(Klantgegevens_B!G376, ",", ""))+1, Klantgegevens_A!G376)</f>
        <v>1</v>
      </c>
      <c r="G377">
        <f>IF(Klantgegevens_B!G376&lt;&gt;"", 0, Klantgegevens_A!H376)</f>
        <v>0</v>
      </c>
      <c r="H377">
        <f>IF(Klantgegevens_B!H376&lt;&gt;"", Klantgegevens_B!H376, Klantgegevens_A!I376)</f>
        <v>16</v>
      </c>
      <c r="I377" t="str">
        <f>IF(Klantgegevens_B!I376&lt;&gt;"", Klantgegevens_B!I376, SWITCH(Klantgegevens_A!J376, "Zelden", 1, "Af en toe", 4, "Regelmatig", 8, "Vaak", 12))</f>
        <v>Payconiq</v>
      </c>
      <c r="J377" t="str">
        <f>IF(Klantgegevens_B!J376&lt;&gt;"", Klantgegevens_B!J376, Klantgegevens_A!K376)</f>
        <v>nee</v>
      </c>
      <c r="K377">
        <f>IF(Klantgegevens_B!K376&lt;&gt;"", AVERAGE(--(Klantgegevens_B!K376="ja"), --(Klantgegevens_B!L376="ja"), --(Klantgegevens_B!M376="ja"), --(Klantgegevens_B!N376="ja"), --(Klantgegevens_B!O376="ja"))*10, Klantgegevens_A!L376)</f>
        <v>8</v>
      </c>
      <c r="L377" t="str">
        <f>IF(Klantgegevens_B!K376&lt;&gt;"", Klantgegevens_B!K376, IF(Klantgegevens_A!L376&gt;=7, "ja", "nee"))</f>
        <v>ja</v>
      </c>
      <c r="M377" t="str">
        <f>IF(Klantgegevens_B!L376&lt;&gt;"", Klantgegevens_B!L376, IF(Klantgegevens_A!L376&gt;=7, "ja", "nee"))</f>
        <v>ja</v>
      </c>
      <c r="N377" t="str">
        <f>IF(Klantgegevens_B!M376&lt;&gt;"", Klantgegevens_B!M376, IF(Klantgegevens_A!L376&gt;=7, "ja", "nee"))</f>
        <v>ja</v>
      </c>
      <c r="O377" t="str">
        <f>IF(Klantgegevens_B!N376&lt;&gt;"", Klantgegevens_B!N376, IF(Klantgegevens_A!L376&gt;=7, "ja", "nee"))</f>
        <v>ja</v>
      </c>
      <c r="P377" t="str">
        <f>IF(Klantgegevens_B!O376&lt;&gt;"", Klantgegevens_B!O376, IF(Klantgegevens_A!L376&gt;=7, "ja", "nee"))</f>
        <v>Vegetarisch</v>
      </c>
      <c r="Q377" t="str">
        <f>IF(Klantgegevens_B!P376&lt;&gt;"", Klantgegevens_B!P376, Klantgegevens_A!M376)</f>
        <v>Geen dieet</v>
      </c>
      <c r="R377" t="str">
        <f>IF(Klantgegevens_B!A376&lt;&gt;"", "B", "A")</f>
        <v>B</v>
      </c>
    </row>
    <row r="378" spans="1:18" x14ac:dyDescent="0.3">
      <c r="A378" t="str">
        <f>IF(Klantgegevens_B!A377&lt;&gt;"", Klantgegevens_B!A377, MID(Klantgegevens_A!A377, FIND(",", Klantgegevens_A!A377)+2, LEN(Klantgegevens_A!A377)))</f>
        <v>Sonia</v>
      </c>
      <c r="B378" t="str">
        <f>IF(Klantgegevens_B!B377&lt;&gt;"", Klantgegevens_B!B377, LEFT(Klantgegevens_A!A377, FIND(",", Klantgegevens_A!A377)-1))</f>
        <v>Denis</v>
      </c>
      <c r="C378" t="str">
        <f t="shared" ca="1" si="5"/>
        <v/>
      </c>
      <c r="D378" t="str">
        <f>IF(Klantgegevens_B!F377&lt;&gt;"", Klantgegevens_B!F377, Klantgegevens_A!D377 &amp; " " &amp; Klantgegevens_A!E377 &amp; ", " &amp; Klantgegevens_A!F377)</f>
        <v>Sonia,Ann,Bastien</v>
      </c>
      <c r="E378">
        <f>IF(Klantgegevens_B!G377&lt;&gt;"", Klantgegevens_B!G377, TEXTJOIN(",", TRUE, REPT("Volwassene,", Klantgegevens_A!G377), REPT("Kind,", Klantgegevens_A!H377)))</f>
        <v>77.13</v>
      </c>
      <c r="F378">
        <f>IF(Klantgegevens_B!G377&lt;&gt;"", LEN(Klantgegevens_B!G377)-LEN(SUBSTITUTE(Klantgegevens_B!G377, ",", ""))+1, Klantgegevens_A!G377)</f>
        <v>1</v>
      </c>
      <c r="G378">
        <f>IF(Klantgegevens_B!G377&lt;&gt;"", 0, Klantgegevens_A!H377)</f>
        <v>0</v>
      </c>
      <c r="H378">
        <f>IF(Klantgegevens_B!H377&lt;&gt;"", Klantgegevens_B!H377, Klantgegevens_A!I377)</f>
        <v>11</v>
      </c>
      <c r="I378" t="str">
        <f>IF(Klantgegevens_B!I377&lt;&gt;"", Klantgegevens_B!I377, SWITCH(Klantgegevens_A!J377, "Zelden", 1, "Af en toe", 4, "Regelmatig", 8, "Vaak", 12))</f>
        <v>Payconiq</v>
      </c>
      <c r="J378" t="str">
        <f>IF(Klantgegevens_B!J377&lt;&gt;"", Klantgegevens_B!J377, Klantgegevens_A!K377)</f>
        <v>ja</v>
      </c>
      <c r="K378">
        <f>IF(Klantgegevens_B!K377&lt;&gt;"", AVERAGE(--(Klantgegevens_B!K377="ja"), --(Klantgegevens_B!L377="ja"), --(Klantgegevens_B!M377="ja"), --(Klantgegevens_B!N377="ja"), --(Klantgegevens_B!O377="ja"))*10, Klantgegevens_A!L377)</f>
        <v>2</v>
      </c>
      <c r="L378" t="str">
        <f>IF(Klantgegevens_B!K377&lt;&gt;"", Klantgegevens_B!K377, IF(Klantgegevens_A!L377&gt;=7, "ja", "nee"))</f>
        <v>nee</v>
      </c>
      <c r="M378" t="str">
        <f>IF(Klantgegevens_B!L377&lt;&gt;"", Klantgegevens_B!L377, IF(Klantgegevens_A!L377&gt;=7, "ja", "nee"))</f>
        <v>nee</v>
      </c>
      <c r="N378" t="str">
        <f>IF(Klantgegevens_B!M377&lt;&gt;"", Klantgegevens_B!M377, IF(Klantgegevens_A!L377&gt;=7, "ja", "nee"))</f>
        <v>ja</v>
      </c>
      <c r="O378" t="str">
        <f>IF(Klantgegevens_B!N377&lt;&gt;"", Klantgegevens_B!N377, IF(Klantgegevens_A!L377&gt;=7, "ja", "nee"))</f>
        <v>nee</v>
      </c>
      <c r="P378" t="str">
        <f>IF(Klantgegevens_B!O377&lt;&gt;"", Klantgegevens_B!O377, IF(Klantgegevens_A!L377&gt;=7, "ja", "nee"))</f>
        <v>Geen dieet</v>
      </c>
      <c r="Q378" t="str">
        <f>IF(Klantgegevens_B!P377&lt;&gt;"", Klantgegevens_B!P377, Klantgegevens_A!M377)</f>
        <v>Vegetarisch</v>
      </c>
      <c r="R378" t="str">
        <f>IF(Klantgegevens_B!A377&lt;&gt;"", "B", "A")</f>
        <v>B</v>
      </c>
    </row>
    <row r="379" spans="1:18" x14ac:dyDescent="0.3">
      <c r="A379" t="str">
        <f>IF(Klantgegevens_B!A378&lt;&gt;"", Klantgegevens_B!A378, MID(Klantgegevens_A!A378, FIND(",", Klantgegevens_A!A378)+2, LEN(Klantgegevens_A!A378)))</f>
        <v>Julie</v>
      </c>
      <c r="B379" t="str">
        <f>IF(Klantgegevens_B!B378&lt;&gt;"", Klantgegevens_B!B378, LEFT(Klantgegevens_A!A378, FIND(",", Klantgegevens_A!A378)-1))</f>
        <v>Vanhoutte</v>
      </c>
      <c r="C379" t="str">
        <f t="shared" ca="1" si="5"/>
        <v/>
      </c>
      <c r="D379" t="str">
        <f>IF(Klantgegevens_B!F378&lt;&gt;"", Klantgegevens_B!F378, Klantgegevens_A!D378 &amp; " " &amp; Klantgegevens_A!E378 &amp; ", " &amp; Klantgegevens_A!F378)</f>
        <v>Julie</v>
      </c>
      <c r="E379">
        <f>IF(Klantgegevens_B!G378&lt;&gt;"", Klantgegevens_B!G378, TEXTJOIN(",", TRUE, REPT("Volwassene,", Klantgegevens_A!G378), REPT("Kind,", Klantgegevens_A!H378)))</f>
        <v>105.07</v>
      </c>
      <c r="F379">
        <f>IF(Klantgegevens_B!G378&lt;&gt;"", LEN(Klantgegevens_B!G378)-LEN(SUBSTITUTE(Klantgegevens_B!G378, ",", ""))+1, Klantgegevens_A!G378)</f>
        <v>1</v>
      </c>
      <c r="G379">
        <f>IF(Klantgegevens_B!G378&lt;&gt;"", 0, Klantgegevens_A!H378)</f>
        <v>0</v>
      </c>
      <c r="H379">
        <f>IF(Klantgegevens_B!H378&lt;&gt;"", Klantgegevens_B!H378, Klantgegevens_A!I378)</f>
        <v>8</v>
      </c>
      <c r="I379" t="str">
        <f>IF(Klantgegevens_B!I378&lt;&gt;"", Klantgegevens_B!I378, SWITCH(Klantgegevens_A!J378, "Zelden", 1, "Af en toe", 4, "Regelmatig", 8, "Vaak", 12))</f>
        <v>Bancontact</v>
      </c>
      <c r="J379" t="str">
        <f>IF(Klantgegevens_B!J378&lt;&gt;"", Klantgegevens_B!J378, Klantgegevens_A!K378)</f>
        <v>ja</v>
      </c>
      <c r="K379">
        <f>IF(Klantgegevens_B!K378&lt;&gt;"", AVERAGE(--(Klantgegevens_B!K378="ja"), --(Klantgegevens_B!L378="ja"), --(Klantgegevens_B!M378="ja"), --(Klantgegevens_B!N378="ja"), --(Klantgegevens_B!O378="ja"))*10, Klantgegevens_A!L378)</f>
        <v>4</v>
      </c>
      <c r="L379" t="str">
        <f>IF(Klantgegevens_B!K378&lt;&gt;"", Klantgegevens_B!K378, IF(Klantgegevens_A!L378&gt;=7, "ja", "nee"))</f>
        <v>ja</v>
      </c>
      <c r="M379" t="str">
        <f>IF(Klantgegevens_B!L378&lt;&gt;"", Klantgegevens_B!L378, IF(Klantgegevens_A!L378&gt;=7, "ja", "nee"))</f>
        <v>nee</v>
      </c>
      <c r="N379" t="str">
        <f>IF(Klantgegevens_B!M378&lt;&gt;"", Klantgegevens_B!M378, IF(Klantgegevens_A!L378&gt;=7, "ja", "nee"))</f>
        <v>ja</v>
      </c>
      <c r="O379" t="str">
        <f>IF(Klantgegevens_B!N378&lt;&gt;"", Klantgegevens_B!N378, IF(Klantgegevens_A!L378&gt;=7, "ja", "nee"))</f>
        <v>nee</v>
      </c>
      <c r="P379" t="str">
        <f>IF(Klantgegevens_B!O378&lt;&gt;"", Klantgegevens_B!O378, IF(Klantgegevens_A!L378&gt;=7, "ja", "nee"))</f>
        <v>Geen dieet</v>
      </c>
      <c r="Q379" t="str">
        <f>IF(Klantgegevens_B!P378&lt;&gt;"", Klantgegevens_B!P378, Klantgegevens_A!M378)</f>
        <v>Geen dieet</v>
      </c>
      <c r="R379" t="str">
        <f>IF(Klantgegevens_B!A378&lt;&gt;"", "B", "A")</f>
        <v>B</v>
      </c>
    </row>
    <row r="380" spans="1:18" x14ac:dyDescent="0.3">
      <c r="A380" t="str">
        <f>IF(Klantgegevens_B!A379&lt;&gt;"", Klantgegevens_B!A379, MID(Klantgegevens_A!A379, FIND(",", Klantgegevens_A!A379)+2, LEN(Klantgegevens_A!A379)))</f>
        <v>Dylan</v>
      </c>
      <c r="B380" t="str">
        <f>IF(Klantgegevens_B!B379&lt;&gt;"", Klantgegevens_B!B379, LEFT(Klantgegevens_A!A379, FIND(",", Klantgegevens_A!A379)-1))</f>
        <v>Janssen</v>
      </c>
      <c r="C380" t="str">
        <f t="shared" ca="1" si="5"/>
        <v/>
      </c>
      <c r="D380" t="str">
        <f>IF(Klantgegevens_B!F379&lt;&gt;"", Klantgegevens_B!F379, Klantgegevens_A!D379 &amp; " " &amp; Klantgegevens_A!E379 &amp; ", " &amp; Klantgegevens_A!F379)</f>
        <v>Dylan,Benny,Emma,Achille</v>
      </c>
      <c r="E380">
        <f>IF(Klantgegevens_B!G379&lt;&gt;"", Klantgegevens_B!G379, TEXTJOIN(",", TRUE, REPT("Volwassene,", Klantgegevens_A!G379), REPT("Kind,", Klantgegevens_A!H379)))</f>
        <v>222.86</v>
      </c>
      <c r="F380">
        <f>IF(Klantgegevens_B!G379&lt;&gt;"", LEN(Klantgegevens_B!G379)-LEN(SUBSTITUTE(Klantgegevens_B!G379, ",", ""))+1, Klantgegevens_A!G379)</f>
        <v>1</v>
      </c>
      <c r="G380">
        <f>IF(Klantgegevens_B!G379&lt;&gt;"", 0, Klantgegevens_A!H379)</f>
        <v>0</v>
      </c>
      <c r="H380">
        <f>IF(Klantgegevens_B!H379&lt;&gt;"", Klantgegevens_B!H379, Klantgegevens_A!I379)</f>
        <v>28</v>
      </c>
      <c r="I380" t="str">
        <f>IF(Klantgegevens_B!I379&lt;&gt;"", Klantgegevens_B!I379, SWITCH(Klantgegevens_A!J379, "Zelden", 1, "Af en toe", 4, "Regelmatig", 8, "Vaak", 12))</f>
        <v>Bancontact</v>
      </c>
      <c r="J380" t="str">
        <f>IF(Klantgegevens_B!J379&lt;&gt;"", Klantgegevens_B!J379, Klantgegevens_A!K379)</f>
        <v>ja</v>
      </c>
      <c r="K380">
        <f>IF(Klantgegevens_B!K379&lt;&gt;"", AVERAGE(--(Klantgegevens_B!K379="ja"), --(Klantgegevens_B!L379="ja"), --(Klantgegevens_B!M379="ja"), --(Klantgegevens_B!N379="ja"), --(Klantgegevens_B!O379="ja"))*10, Klantgegevens_A!L379)</f>
        <v>6</v>
      </c>
      <c r="L380" t="str">
        <f>IF(Klantgegevens_B!K379&lt;&gt;"", Klantgegevens_B!K379, IF(Klantgegevens_A!L379&gt;=7, "ja", "nee"))</f>
        <v>ja</v>
      </c>
      <c r="M380" t="str">
        <f>IF(Klantgegevens_B!L379&lt;&gt;"", Klantgegevens_B!L379, IF(Klantgegevens_A!L379&gt;=7, "ja", "nee"))</f>
        <v>nee</v>
      </c>
      <c r="N380" t="str">
        <f>IF(Klantgegevens_B!M379&lt;&gt;"", Klantgegevens_B!M379, IF(Klantgegevens_A!L379&gt;=7, "ja", "nee"))</f>
        <v>ja</v>
      </c>
      <c r="O380" t="str">
        <f>IF(Klantgegevens_B!N379&lt;&gt;"", Klantgegevens_B!N379, IF(Klantgegevens_A!L379&gt;=7, "ja", "nee"))</f>
        <v>ja</v>
      </c>
      <c r="P380" t="str">
        <f>IF(Klantgegevens_B!O379&lt;&gt;"", Klantgegevens_B!O379, IF(Klantgegevens_A!L379&gt;=7, "ja", "nee"))</f>
        <v>Vegetarisch</v>
      </c>
      <c r="Q380" t="str">
        <f>IF(Klantgegevens_B!P379&lt;&gt;"", Klantgegevens_B!P379, Klantgegevens_A!M379)</f>
        <v>Geen dieet</v>
      </c>
      <c r="R380" t="str">
        <f>IF(Klantgegevens_B!A379&lt;&gt;"", "B", "A")</f>
        <v>B</v>
      </c>
    </row>
    <row r="381" spans="1:18" x14ac:dyDescent="0.3">
      <c r="A381" t="str">
        <f>IF(Klantgegevens_B!A380&lt;&gt;"", Klantgegevens_B!A380, MID(Klantgegevens_A!A380, FIND(",", Klantgegevens_A!A380)+2, LEN(Klantgegevens_A!A380)))</f>
        <v>Vincent</v>
      </c>
      <c r="B381" t="str">
        <f>IF(Klantgegevens_B!B380&lt;&gt;"", Klantgegevens_B!B380, LEFT(Klantgegevens_A!A380, FIND(",", Klantgegevens_A!A380)-1))</f>
        <v>Denis</v>
      </c>
      <c r="C381" t="str">
        <f t="shared" ca="1" si="5"/>
        <v/>
      </c>
      <c r="D381" t="str">
        <f>IF(Klantgegevens_B!F380&lt;&gt;"", Klantgegevens_B!F380, Klantgegevens_A!D380 &amp; " " &amp; Klantgegevens_A!E380 &amp; ", " &amp; Klantgegevens_A!F380)</f>
        <v>Vincent,David,Yassin,Eric</v>
      </c>
      <c r="E381">
        <f>IF(Klantgegevens_B!G380&lt;&gt;"", Klantgegevens_B!G380, TEXTJOIN(",", TRUE, REPT("Volwassene,", Klantgegevens_A!G380), REPT("Kind,", Klantgegevens_A!H380)))</f>
        <v>193.86</v>
      </c>
      <c r="F381">
        <f>IF(Klantgegevens_B!G380&lt;&gt;"", LEN(Klantgegevens_B!G380)-LEN(SUBSTITUTE(Klantgegevens_B!G380, ",", ""))+1, Klantgegevens_A!G380)</f>
        <v>1</v>
      </c>
      <c r="G381">
        <f>IF(Klantgegevens_B!G380&lt;&gt;"", 0, Klantgegevens_A!H380)</f>
        <v>0</v>
      </c>
      <c r="H381">
        <f>IF(Klantgegevens_B!H380&lt;&gt;"", Klantgegevens_B!H380, Klantgegevens_A!I380)</f>
        <v>4</v>
      </c>
      <c r="I381" t="str">
        <f>IF(Klantgegevens_B!I380&lt;&gt;"", Klantgegevens_B!I380, SWITCH(Klantgegevens_A!J380, "Zelden", 1, "Af en toe", 4, "Regelmatig", 8, "Vaak", 12))</f>
        <v>Payconiq</v>
      </c>
      <c r="J381" t="str">
        <f>IF(Klantgegevens_B!J380&lt;&gt;"", Klantgegevens_B!J380, Klantgegevens_A!K380)</f>
        <v>ja</v>
      </c>
      <c r="K381">
        <f>IF(Klantgegevens_B!K380&lt;&gt;"", AVERAGE(--(Klantgegevens_B!K380="ja"), --(Klantgegevens_B!L380="ja"), --(Klantgegevens_B!M380="ja"), --(Klantgegevens_B!N380="ja"), --(Klantgegevens_B!O380="ja"))*10, Klantgegevens_A!L380)</f>
        <v>4</v>
      </c>
      <c r="L381" t="str">
        <f>IF(Klantgegevens_B!K380&lt;&gt;"", Klantgegevens_B!K380, IF(Klantgegevens_A!L380&gt;=7, "ja", "nee"))</f>
        <v>ja</v>
      </c>
      <c r="M381" t="str">
        <f>IF(Klantgegevens_B!L380&lt;&gt;"", Klantgegevens_B!L380, IF(Klantgegevens_A!L380&gt;=7, "ja", "nee"))</f>
        <v>ja</v>
      </c>
      <c r="N381" t="str">
        <f>IF(Klantgegevens_B!M380&lt;&gt;"", Klantgegevens_B!M380, IF(Klantgegevens_A!L380&gt;=7, "ja", "nee"))</f>
        <v>nee</v>
      </c>
      <c r="O381" t="str">
        <f>IF(Klantgegevens_B!N380&lt;&gt;"", Klantgegevens_B!N380, IF(Klantgegevens_A!L380&gt;=7, "ja", "nee"))</f>
        <v>nee</v>
      </c>
      <c r="P381" t="str">
        <f>IF(Klantgegevens_B!O380&lt;&gt;"", Klantgegevens_B!O380, IF(Klantgegevens_A!L380&gt;=7, "ja", "nee"))</f>
        <v>Vegetarisch</v>
      </c>
      <c r="Q381" t="str">
        <f>IF(Klantgegevens_B!P380&lt;&gt;"", Klantgegevens_B!P380, Klantgegevens_A!M380)</f>
        <v>Geen dieet</v>
      </c>
      <c r="R381" t="str">
        <f>IF(Klantgegevens_B!A380&lt;&gt;"", "B", "A")</f>
        <v>B</v>
      </c>
    </row>
    <row r="382" spans="1:18" x14ac:dyDescent="0.3">
      <c r="A382" t="str">
        <f>IF(Klantgegevens_B!A381&lt;&gt;"", Klantgegevens_B!A381, MID(Klantgegevens_A!A381, FIND(",", Klantgegevens_A!A381)+2, LEN(Klantgegevens_A!A381)))</f>
        <v>Edwin</v>
      </c>
      <c r="B382" t="str">
        <f>IF(Klantgegevens_B!B381&lt;&gt;"", Klantgegevens_B!B381, LEFT(Klantgegevens_A!A381, FIND(",", Klantgegevens_A!A381)-1))</f>
        <v>Simon</v>
      </c>
      <c r="C382" t="str">
        <f t="shared" ca="1" si="5"/>
        <v/>
      </c>
      <c r="D382" t="str">
        <f>IF(Klantgegevens_B!F381&lt;&gt;"", Klantgegevens_B!F381, Klantgegevens_A!D381 &amp; " " &amp; Klantgegevens_A!E381 &amp; ", " &amp; Klantgegevens_A!F381)</f>
        <v>Edwin</v>
      </c>
      <c r="E382">
        <f>IF(Klantgegevens_B!G381&lt;&gt;"", Klantgegevens_B!G381, TEXTJOIN(",", TRUE, REPT("Volwassene,", Klantgegevens_A!G381), REPT("Kind,", Klantgegevens_A!H381)))</f>
        <v>61.75</v>
      </c>
      <c r="F382">
        <f>IF(Klantgegevens_B!G381&lt;&gt;"", LEN(Klantgegevens_B!G381)-LEN(SUBSTITUTE(Klantgegevens_B!G381, ",", ""))+1, Klantgegevens_A!G381)</f>
        <v>1</v>
      </c>
      <c r="G382">
        <f>IF(Klantgegevens_B!G381&lt;&gt;"", 0, Klantgegevens_A!H381)</f>
        <v>0</v>
      </c>
      <c r="H382">
        <f>IF(Klantgegevens_B!H381&lt;&gt;"", Klantgegevens_B!H381, Klantgegevens_A!I381)</f>
        <v>24</v>
      </c>
      <c r="I382" t="str">
        <f>IF(Klantgegevens_B!I381&lt;&gt;"", Klantgegevens_B!I381, SWITCH(Klantgegevens_A!J381, "Zelden", 1, "Af en toe", 4, "Regelmatig", 8, "Vaak", 12))</f>
        <v>Bancontact</v>
      </c>
      <c r="J382" t="str">
        <f>IF(Klantgegevens_B!J381&lt;&gt;"", Klantgegevens_B!J381, Klantgegevens_A!K381)</f>
        <v>ja</v>
      </c>
      <c r="K382">
        <f>IF(Klantgegevens_B!K381&lt;&gt;"", AVERAGE(--(Klantgegevens_B!K381="ja"), --(Klantgegevens_B!L381="ja"), --(Klantgegevens_B!M381="ja"), --(Klantgegevens_B!N381="ja"), --(Klantgegevens_B!O381="ja"))*10, Klantgegevens_A!L381)</f>
        <v>6</v>
      </c>
      <c r="L382" t="str">
        <f>IF(Klantgegevens_B!K381&lt;&gt;"", Klantgegevens_B!K381, IF(Klantgegevens_A!L381&gt;=7, "ja", "nee"))</f>
        <v>ja</v>
      </c>
      <c r="M382" t="str">
        <f>IF(Klantgegevens_B!L381&lt;&gt;"", Klantgegevens_B!L381, IF(Klantgegevens_A!L381&gt;=7, "ja", "nee"))</f>
        <v>nee</v>
      </c>
      <c r="N382" t="str">
        <f>IF(Klantgegevens_B!M381&lt;&gt;"", Klantgegevens_B!M381, IF(Klantgegevens_A!L381&gt;=7, "ja", "nee"))</f>
        <v>ja</v>
      </c>
      <c r="O382" t="str">
        <f>IF(Klantgegevens_B!N381&lt;&gt;"", Klantgegevens_B!N381, IF(Klantgegevens_A!L381&gt;=7, "ja", "nee"))</f>
        <v>ja</v>
      </c>
      <c r="P382" t="str">
        <f>IF(Klantgegevens_B!O381&lt;&gt;"", Klantgegevens_B!O381, IF(Klantgegevens_A!L381&gt;=7, "ja", "nee"))</f>
        <v>Geen dieet</v>
      </c>
      <c r="Q382" t="str">
        <f>IF(Klantgegevens_B!P381&lt;&gt;"", Klantgegevens_B!P381, Klantgegevens_A!M381)</f>
        <v>Geen dieet</v>
      </c>
      <c r="R382" t="str">
        <f>IF(Klantgegevens_B!A381&lt;&gt;"", "B", "A")</f>
        <v>B</v>
      </c>
    </row>
    <row r="383" spans="1:18" x14ac:dyDescent="0.3">
      <c r="A383" t="str">
        <f>IF(Klantgegevens_B!A382&lt;&gt;"", Klantgegevens_B!A382, MID(Klantgegevens_A!A382, FIND(",", Klantgegevens_A!A382)+2, LEN(Klantgegevens_A!A382)))</f>
        <v>Michel</v>
      </c>
      <c r="B383" t="str">
        <f>IF(Klantgegevens_B!B382&lt;&gt;"", Klantgegevens_B!B382, LEFT(Klantgegevens_A!A382, FIND(",", Klantgegevens_A!A382)-1))</f>
        <v>Stas</v>
      </c>
      <c r="C383" t="str">
        <f t="shared" ca="1" si="5"/>
        <v/>
      </c>
      <c r="D383" t="str">
        <f>IF(Klantgegevens_B!F382&lt;&gt;"", Klantgegevens_B!F382, Klantgegevens_A!D382 &amp; " " &amp; Klantgegevens_A!E382 &amp; ", " &amp; Klantgegevens_A!F382)</f>
        <v>Michel,David</v>
      </c>
      <c r="E383">
        <f>IF(Klantgegevens_B!G382&lt;&gt;"", Klantgegevens_B!G382, TEXTJOIN(",", TRUE, REPT("Volwassene,", Klantgegevens_A!G382), REPT("Kind,", Klantgegevens_A!H382)))</f>
        <v>214.47</v>
      </c>
      <c r="F383">
        <f>IF(Klantgegevens_B!G382&lt;&gt;"", LEN(Klantgegevens_B!G382)-LEN(SUBSTITUTE(Klantgegevens_B!G382, ",", ""))+1, Klantgegevens_A!G382)</f>
        <v>1</v>
      </c>
      <c r="G383">
        <f>IF(Klantgegevens_B!G382&lt;&gt;"", 0, Klantgegevens_A!H382)</f>
        <v>0</v>
      </c>
      <c r="H383">
        <f>IF(Klantgegevens_B!H382&lt;&gt;"", Klantgegevens_B!H382, Klantgegevens_A!I382)</f>
        <v>8</v>
      </c>
      <c r="I383" t="str">
        <f>IF(Klantgegevens_B!I382&lt;&gt;"", Klantgegevens_B!I382, SWITCH(Klantgegevens_A!J382, "Zelden", 1, "Af en toe", 4, "Regelmatig", 8, "Vaak", 12))</f>
        <v>Bancontact</v>
      </c>
      <c r="J383" t="str">
        <f>IF(Klantgegevens_B!J382&lt;&gt;"", Klantgegevens_B!J382, Klantgegevens_A!K382)</f>
        <v>ja</v>
      </c>
      <c r="K383">
        <f>IF(Klantgegevens_B!K382&lt;&gt;"", AVERAGE(--(Klantgegevens_B!K382="ja"), --(Klantgegevens_B!L382="ja"), --(Klantgegevens_B!M382="ja"), --(Klantgegevens_B!N382="ja"), --(Klantgegevens_B!O382="ja"))*10, Klantgegevens_A!L382)</f>
        <v>4</v>
      </c>
      <c r="L383" t="str">
        <f>IF(Klantgegevens_B!K382&lt;&gt;"", Klantgegevens_B!K382, IF(Klantgegevens_A!L382&gt;=7, "ja", "nee"))</f>
        <v>nee</v>
      </c>
      <c r="M383" t="str">
        <f>IF(Klantgegevens_B!L382&lt;&gt;"", Klantgegevens_B!L382, IF(Klantgegevens_A!L382&gt;=7, "ja", "nee"))</f>
        <v>nee</v>
      </c>
      <c r="N383" t="str">
        <f>IF(Klantgegevens_B!M382&lt;&gt;"", Klantgegevens_B!M382, IF(Klantgegevens_A!L382&gt;=7, "ja", "nee"))</f>
        <v>ja</v>
      </c>
      <c r="O383" t="str">
        <f>IF(Klantgegevens_B!N382&lt;&gt;"", Klantgegevens_B!N382, IF(Klantgegevens_A!L382&gt;=7, "ja", "nee"))</f>
        <v>ja</v>
      </c>
      <c r="P383" t="str">
        <f>IF(Klantgegevens_B!O382&lt;&gt;"", Klantgegevens_B!O382, IF(Klantgegevens_A!L382&gt;=7, "ja", "nee"))</f>
        <v>Geen dieet</v>
      </c>
      <c r="Q383" t="str">
        <f>IF(Klantgegevens_B!P382&lt;&gt;"", Klantgegevens_B!P382, Klantgegevens_A!M382)</f>
        <v>Geen dieet</v>
      </c>
      <c r="R383" t="str">
        <f>IF(Klantgegevens_B!A382&lt;&gt;"", "B", "A")</f>
        <v>B</v>
      </c>
    </row>
    <row r="384" spans="1:18" x14ac:dyDescent="0.3">
      <c r="A384" t="str">
        <f>IF(Klantgegevens_B!A383&lt;&gt;"", Klantgegevens_B!A383, MID(Klantgegevens_A!A383, FIND(",", Klantgegevens_A!A383)+2, LEN(Klantgegevens_A!A383)))</f>
        <v>Mia</v>
      </c>
      <c r="B384" t="str">
        <f>IF(Klantgegevens_B!B383&lt;&gt;"", Klantgegevens_B!B383, LEFT(Klantgegevens_A!A383, FIND(",", Klantgegevens_A!A383)-1))</f>
        <v>Verhaeghe</v>
      </c>
      <c r="C384" t="str">
        <f t="shared" ca="1" si="5"/>
        <v/>
      </c>
      <c r="D384" t="str">
        <f>IF(Klantgegevens_B!F383&lt;&gt;"", Klantgegevens_B!F383, Klantgegevens_A!D383 &amp; " " &amp; Klantgegevens_A!E383 &amp; ", " &amp; Klantgegevens_A!F383)</f>
        <v>Mia,Erna</v>
      </c>
      <c r="E384">
        <f>IF(Klantgegevens_B!G383&lt;&gt;"", Klantgegevens_B!G383, TEXTJOIN(",", TRUE, REPT("Volwassene,", Klantgegevens_A!G383), REPT("Kind,", Klantgegevens_A!H383)))</f>
        <v>119.53</v>
      </c>
      <c r="F384">
        <f>IF(Klantgegevens_B!G383&lt;&gt;"", LEN(Klantgegevens_B!G383)-LEN(SUBSTITUTE(Klantgegevens_B!G383, ",", ""))+1, Klantgegevens_A!G383)</f>
        <v>1</v>
      </c>
      <c r="G384">
        <f>IF(Klantgegevens_B!G383&lt;&gt;"", 0, Klantgegevens_A!H383)</f>
        <v>0</v>
      </c>
      <c r="H384">
        <f>IF(Klantgegevens_B!H383&lt;&gt;"", Klantgegevens_B!H383, Klantgegevens_A!I383)</f>
        <v>9</v>
      </c>
      <c r="I384" t="str">
        <f>IF(Klantgegevens_B!I383&lt;&gt;"", Klantgegevens_B!I383, SWITCH(Klantgegevens_A!J383, "Zelden", 1, "Af en toe", 4, "Regelmatig", 8, "Vaak", 12))</f>
        <v>Bancontact</v>
      </c>
      <c r="J384" t="str">
        <f>IF(Klantgegevens_B!J383&lt;&gt;"", Klantgegevens_B!J383, Klantgegevens_A!K383)</f>
        <v>ja</v>
      </c>
      <c r="K384">
        <f>IF(Klantgegevens_B!K383&lt;&gt;"", AVERAGE(--(Klantgegevens_B!K383="ja"), --(Klantgegevens_B!L383="ja"), --(Klantgegevens_B!M383="ja"), --(Klantgegevens_B!N383="ja"), --(Klantgegevens_B!O383="ja"))*10, Klantgegevens_A!L383)</f>
        <v>6</v>
      </c>
      <c r="L384" t="str">
        <f>IF(Klantgegevens_B!K383&lt;&gt;"", Klantgegevens_B!K383, IF(Klantgegevens_A!L383&gt;=7, "ja", "nee"))</f>
        <v>ja</v>
      </c>
      <c r="M384" t="str">
        <f>IF(Klantgegevens_B!L383&lt;&gt;"", Klantgegevens_B!L383, IF(Klantgegevens_A!L383&gt;=7, "ja", "nee"))</f>
        <v>ja</v>
      </c>
      <c r="N384" t="str">
        <f>IF(Klantgegevens_B!M383&lt;&gt;"", Klantgegevens_B!M383, IF(Klantgegevens_A!L383&gt;=7, "ja", "nee"))</f>
        <v>ja</v>
      </c>
      <c r="O384" t="str">
        <f>IF(Klantgegevens_B!N383&lt;&gt;"", Klantgegevens_B!N383, IF(Klantgegevens_A!L383&gt;=7, "ja", "nee"))</f>
        <v>nee</v>
      </c>
      <c r="P384" t="str">
        <f>IF(Klantgegevens_B!O383&lt;&gt;"", Klantgegevens_B!O383, IF(Klantgegevens_A!L383&gt;=7, "ja", "nee"))</f>
        <v>Vegetarisch</v>
      </c>
      <c r="Q384" t="str">
        <f>IF(Klantgegevens_B!P383&lt;&gt;"", Klantgegevens_B!P383, Klantgegevens_A!M383)</f>
        <v>Geen dieet</v>
      </c>
      <c r="R384" t="str">
        <f>IF(Klantgegevens_B!A383&lt;&gt;"", "B", "A")</f>
        <v>B</v>
      </c>
    </row>
    <row r="385" spans="1:18" x14ac:dyDescent="0.3">
      <c r="A385" t="str">
        <f>IF(Klantgegevens_B!A384&lt;&gt;"", Klantgegevens_B!A384, MID(Klantgegevens_A!A384, FIND(",", Klantgegevens_A!A384)+2, LEN(Klantgegevens_A!A384)))</f>
        <v>Said</v>
      </c>
      <c r="B385" t="str">
        <f>IF(Klantgegevens_B!B384&lt;&gt;"", Klantgegevens_B!B384, LEFT(Klantgegevens_A!A384, FIND(",", Klantgegevens_A!A384)-1))</f>
        <v>Claes</v>
      </c>
      <c r="C385" t="str">
        <f t="shared" ca="1" si="5"/>
        <v/>
      </c>
      <c r="D385" t="str">
        <f>IF(Klantgegevens_B!F384&lt;&gt;"", Klantgegevens_B!F384, Klantgegevens_A!D384 &amp; " " &amp; Klantgegevens_A!E384 &amp; ", " &amp; Klantgegevens_A!F384)</f>
        <v>Said,Kim,Patrick,Marc,Danny</v>
      </c>
      <c r="E385">
        <f>IF(Klantgegevens_B!G384&lt;&gt;"", Klantgegevens_B!G384, TEXTJOIN(",", TRUE, REPT("Volwassene,", Klantgegevens_A!G384), REPT("Kind,", Klantgegevens_A!H384)))</f>
        <v>107.19</v>
      </c>
      <c r="F385">
        <f>IF(Klantgegevens_B!G384&lt;&gt;"", LEN(Klantgegevens_B!G384)-LEN(SUBSTITUTE(Klantgegevens_B!G384, ",", ""))+1, Klantgegevens_A!G384)</f>
        <v>1</v>
      </c>
      <c r="G385">
        <f>IF(Klantgegevens_B!G384&lt;&gt;"", 0, Klantgegevens_A!H384)</f>
        <v>0</v>
      </c>
      <c r="H385">
        <f>IF(Klantgegevens_B!H384&lt;&gt;"", Klantgegevens_B!H384, Klantgegevens_A!I384)</f>
        <v>7</v>
      </c>
      <c r="I385" t="str">
        <f>IF(Klantgegevens_B!I384&lt;&gt;"", Klantgegevens_B!I384, SWITCH(Klantgegevens_A!J384, "Zelden", 1, "Af en toe", 4, "Regelmatig", 8, "Vaak", 12))</f>
        <v>Bancontact</v>
      </c>
      <c r="J385" t="str">
        <f>IF(Klantgegevens_B!J384&lt;&gt;"", Klantgegevens_B!J384, Klantgegevens_A!K384)</f>
        <v>ja</v>
      </c>
      <c r="K385">
        <f>IF(Klantgegevens_B!K384&lt;&gt;"", AVERAGE(--(Klantgegevens_B!K384="ja"), --(Klantgegevens_B!L384="ja"), --(Klantgegevens_B!M384="ja"), --(Klantgegevens_B!N384="ja"), --(Klantgegevens_B!O384="ja"))*10, Klantgegevens_A!L384)</f>
        <v>6</v>
      </c>
      <c r="L385" t="str">
        <f>IF(Klantgegevens_B!K384&lt;&gt;"", Klantgegevens_B!K384, IF(Klantgegevens_A!L384&gt;=7, "ja", "nee"))</f>
        <v>ja</v>
      </c>
      <c r="M385" t="str">
        <f>IF(Klantgegevens_B!L384&lt;&gt;"", Klantgegevens_B!L384, IF(Klantgegevens_A!L384&gt;=7, "ja", "nee"))</f>
        <v>ja</v>
      </c>
      <c r="N385" t="str">
        <f>IF(Klantgegevens_B!M384&lt;&gt;"", Klantgegevens_B!M384, IF(Klantgegevens_A!L384&gt;=7, "ja", "nee"))</f>
        <v>ja</v>
      </c>
      <c r="O385" t="str">
        <f>IF(Klantgegevens_B!N384&lt;&gt;"", Klantgegevens_B!N384, IF(Klantgegevens_A!L384&gt;=7, "ja", "nee"))</f>
        <v>nee</v>
      </c>
      <c r="P385" t="str">
        <f>IF(Klantgegevens_B!O384&lt;&gt;"", Klantgegevens_B!O384, IF(Klantgegevens_A!L384&gt;=7, "ja", "nee"))</f>
        <v>Geen dieet</v>
      </c>
      <c r="Q385" t="str">
        <f>IF(Klantgegevens_B!P384&lt;&gt;"", Klantgegevens_B!P384, Klantgegevens_A!M384)</f>
        <v>Geen dieet</v>
      </c>
      <c r="R385" t="str">
        <f>IF(Klantgegevens_B!A384&lt;&gt;"", "B", "A")</f>
        <v>B</v>
      </c>
    </row>
    <row r="386" spans="1:18" x14ac:dyDescent="0.3">
      <c r="A386" t="str">
        <f>IF(Klantgegevens_B!A385&lt;&gt;"", Klantgegevens_B!A385, MID(Klantgegevens_A!A385, FIND(",", Klantgegevens_A!A385)+2, LEN(Klantgegevens_A!A385)))</f>
        <v>Ludmila</v>
      </c>
      <c r="B386" t="str">
        <f>IF(Klantgegevens_B!B385&lt;&gt;"", Klantgegevens_B!B385, LEFT(Klantgegevens_A!A385, FIND(",", Klantgegevens_A!A385)-1))</f>
        <v>Heylen</v>
      </c>
      <c r="C386" t="str">
        <f t="shared" ca="1" si="5"/>
        <v/>
      </c>
      <c r="D386" t="str">
        <f>IF(Klantgegevens_B!F385&lt;&gt;"", Klantgegevens_B!F385, Klantgegevens_A!D385 &amp; " " &amp; Klantgegevens_A!E385 &amp; ", " &amp; Klantgegevens_A!F385)</f>
        <v>Ludmila,Claudia,Thibaut,Mounir,Anne-Marie</v>
      </c>
      <c r="E386">
        <f>IF(Klantgegevens_B!G385&lt;&gt;"", Klantgegevens_B!G385, TEXTJOIN(",", TRUE, REPT("Volwassene,", Klantgegevens_A!G385), REPT("Kind,", Klantgegevens_A!H385)))</f>
        <v>174.68</v>
      </c>
      <c r="F386">
        <f>IF(Klantgegevens_B!G385&lt;&gt;"", LEN(Klantgegevens_B!G385)-LEN(SUBSTITUTE(Klantgegevens_B!G385, ",", ""))+1, Klantgegevens_A!G385)</f>
        <v>1</v>
      </c>
      <c r="G386">
        <f>IF(Klantgegevens_B!G385&lt;&gt;"", 0, Klantgegevens_A!H385)</f>
        <v>0</v>
      </c>
      <c r="H386">
        <f>IF(Klantgegevens_B!H385&lt;&gt;"", Klantgegevens_B!H385, Klantgegevens_A!I385)</f>
        <v>18</v>
      </c>
      <c r="I386" t="str">
        <f>IF(Klantgegevens_B!I385&lt;&gt;"", Klantgegevens_B!I385, SWITCH(Klantgegevens_A!J385, "Zelden", 1, "Af en toe", 4, "Regelmatig", 8, "Vaak", 12))</f>
        <v>Bancontact</v>
      </c>
      <c r="J386" t="str">
        <f>IF(Klantgegevens_B!J385&lt;&gt;"", Klantgegevens_B!J385, Klantgegevens_A!K385)</f>
        <v>ja</v>
      </c>
      <c r="K386">
        <f>IF(Klantgegevens_B!K385&lt;&gt;"", AVERAGE(--(Klantgegevens_B!K385="ja"), --(Klantgegevens_B!L385="ja"), --(Klantgegevens_B!M385="ja"), --(Klantgegevens_B!N385="ja"), --(Klantgegevens_B!O385="ja"))*10, Klantgegevens_A!L385)</f>
        <v>4</v>
      </c>
      <c r="L386" t="str">
        <f>IF(Klantgegevens_B!K385&lt;&gt;"", Klantgegevens_B!K385, IF(Klantgegevens_A!L385&gt;=7, "ja", "nee"))</f>
        <v>nee</v>
      </c>
      <c r="M386" t="str">
        <f>IF(Klantgegevens_B!L385&lt;&gt;"", Klantgegevens_B!L385, IF(Klantgegevens_A!L385&gt;=7, "ja", "nee"))</f>
        <v>ja</v>
      </c>
      <c r="N386" t="str">
        <f>IF(Klantgegevens_B!M385&lt;&gt;"", Klantgegevens_B!M385, IF(Klantgegevens_A!L385&gt;=7, "ja", "nee"))</f>
        <v>nee</v>
      </c>
      <c r="O386" t="str">
        <f>IF(Klantgegevens_B!N385&lt;&gt;"", Klantgegevens_B!N385, IF(Klantgegevens_A!L385&gt;=7, "ja", "nee"))</f>
        <v>ja</v>
      </c>
      <c r="P386" t="str">
        <f>IF(Klantgegevens_B!O385&lt;&gt;"", Klantgegevens_B!O385, IF(Klantgegevens_A!L385&gt;=7, "ja", "nee"))</f>
        <v>Geen dieet</v>
      </c>
      <c r="Q386" t="str">
        <f>IF(Klantgegevens_B!P385&lt;&gt;"", Klantgegevens_B!P385, Klantgegevens_A!M385)</f>
        <v>Geen dieet</v>
      </c>
      <c r="R386" t="str">
        <f>IF(Klantgegevens_B!A385&lt;&gt;"", "B", "A")</f>
        <v>B</v>
      </c>
    </row>
    <row r="387" spans="1:18" x14ac:dyDescent="0.3">
      <c r="A387" t="str">
        <f>IF(Klantgegevens_B!A386&lt;&gt;"", Klantgegevens_B!A386, MID(Klantgegevens_A!A386, FIND(",", Klantgegevens_A!A386)+2, LEN(Klantgegevens_A!A386)))</f>
        <v>Mindy</v>
      </c>
      <c r="B387" t="str">
        <f>IF(Klantgegevens_B!B386&lt;&gt;"", Klantgegevens_B!B386, LEFT(Klantgegevens_A!A386, FIND(",", Klantgegevens_A!A386)-1))</f>
        <v>Thijs</v>
      </c>
      <c r="C387" t="str">
        <f t="shared" ref="C387:C450" ca="1" si="6">C386 &amp; ", " &amp; B386</f>
        <v/>
      </c>
      <c r="D387" t="str">
        <f>IF(Klantgegevens_B!F386&lt;&gt;"", Klantgegevens_B!F386, Klantgegevens_A!D386 &amp; " " &amp; Klantgegevens_A!E386 &amp; ", " &amp; Klantgegevens_A!F386)</f>
        <v>Mindy,Noam,Ali,Dennis,Jozef,Annelies</v>
      </c>
      <c r="E387">
        <f>IF(Klantgegevens_B!G386&lt;&gt;"", Klantgegevens_B!G386, TEXTJOIN(",", TRUE, REPT("Volwassene,", Klantgegevens_A!G386), REPT("Kind,", Klantgegevens_A!H386)))</f>
        <v>223.1</v>
      </c>
      <c r="F387">
        <f>IF(Klantgegevens_B!G386&lt;&gt;"", LEN(Klantgegevens_B!G386)-LEN(SUBSTITUTE(Klantgegevens_B!G386, ",", ""))+1, Klantgegevens_A!G386)</f>
        <v>1</v>
      </c>
      <c r="G387">
        <f>IF(Klantgegevens_B!G386&lt;&gt;"", 0, Klantgegevens_A!H386)</f>
        <v>0</v>
      </c>
      <c r="H387">
        <f>IF(Klantgegevens_B!H386&lt;&gt;"", Klantgegevens_B!H386, Klantgegevens_A!I386)</f>
        <v>10</v>
      </c>
      <c r="I387" t="str">
        <f>IF(Klantgegevens_B!I386&lt;&gt;"", Klantgegevens_B!I386, SWITCH(Klantgegevens_A!J386, "Zelden", 1, "Af en toe", 4, "Regelmatig", 8, "Vaak", 12))</f>
        <v>Bancontact</v>
      </c>
      <c r="J387" t="str">
        <f>IF(Klantgegevens_B!J386&lt;&gt;"", Klantgegevens_B!J386, Klantgegevens_A!K386)</f>
        <v>ja</v>
      </c>
      <c r="K387">
        <f>IF(Klantgegevens_B!K386&lt;&gt;"", AVERAGE(--(Klantgegevens_B!K386="ja"), --(Klantgegevens_B!L386="ja"), --(Klantgegevens_B!M386="ja"), --(Klantgegevens_B!N386="ja"), --(Klantgegevens_B!O386="ja"))*10, Klantgegevens_A!L386)</f>
        <v>8</v>
      </c>
      <c r="L387" t="str">
        <f>IF(Klantgegevens_B!K386&lt;&gt;"", Klantgegevens_B!K386, IF(Klantgegevens_A!L386&gt;=7, "ja", "nee"))</f>
        <v>ja</v>
      </c>
      <c r="M387" t="str">
        <f>IF(Klantgegevens_B!L386&lt;&gt;"", Klantgegevens_B!L386, IF(Klantgegevens_A!L386&gt;=7, "ja", "nee"))</f>
        <v>ja</v>
      </c>
      <c r="N387" t="str">
        <f>IF(Klantgegevens_B!M386&lt;&gt;"", Klantgegevens_B!M386, IF(Klantgegevens_A!L386&gt;=7, "ja", "nee"))</f>
        <v>ja</v>
      </c>
      <c r="O387" t="str">
        <f>IF(Klantgegevens_B!N386&lt;&gt;"", Klantgegevens_B!N386, IF(Klantgegevens_A!L386&gt;=7, "ja", "nee"))</f>
        <v>ja</v>
      </c>
      <c r="P387" t="str">
        <f>IF(Klantgegevens_B!O386&lt;&gt;"", Klantgegevens_B!O386, IF(Klantgegevens_A!L386&gt;=7, "ja", "nee"))</f>
        <v>Vegetarisch</v>
      </c>
      <c r="Q387" t="str">
        <f>IF(Klantgegevens_B!P386&lt;&gt;"", Klantgegevens_B!P386, Klantgegevens_A!M386)</f>
        <v>Geen dieet</v>
      </c>
      <c r="R387" t="str">
        <f>IF(Klantgegevens_B!A386&lt;&gt;"", "B", "A")</f>
        <v>B</v>
      </c>
    </row>
    <row r="388" spans="1:18" x14ac:dyDescent="0.3">
      <c r="A388" t="str">
        <f>IF(Klantgegevens_B!A387&lt;&gt;"", Klantgegevens_B!A387, MID(Klantgegevens_A!A387, FIND(",", Klantgegevens_A!A387)+2, LEN(Klantgegevens_A!A387)))</f>
        <v>Obaida</v>
      </c>
      <c r="B388" t="str">
        <f>IF(Klantgegevens_B!B387&lt;&gt;"", Klantgegevens_B!B387, LEFT(Klantgegevens_A!A387, FIND(",", Klantgegevens_A!A387)-1))</f>
        <v>Verstraeten</v>
      </c>
      <c r="C388" t="str">
        <f t="shared" ca="1" si="6"/>
        <v/>
      </c>
      <c r="D388" t="str">
        <f>IF(Klantgegevens_B!F387&lt;&gt;"", Klantgegevens_B!F387, Klantgegevens_A!D387 &amp; " " &amp; Klantgegevens_A!E387 &amp; ", " &amp; Klantgegevens_A!F387)</f>
        <v>Obaida,Andre</v>
      </c>
      <c r="E388">
        <f>IF(Klantgegevens_B!G387&lt;&gt;"", Klantgegevens_B!G387, TEXTJOIN(",", TRUE, REPT("Volwassene,", Klantgegevens_A!G387), REPT("Kind,", Klantgegevens_A!H387)))</f>
        <v>163.58000000000001</v>
      </c>
      <c r="F388">
        <f>IF(Klantgegevens_B!G387&lt;&gt;"", LEN(Klantgegevens_B!G387)-LEN(SUBSTITUTE(Klantgegevens_B!G387, ",", ""))+1, Klantgegevens_A!G387)</f>
        <v>1</v>
      </c>
      <c r="G388">
        <f>IF(Klantgegevens_B!G387&lt;&gt;"", 0, Klantgegevens_A!H387)</f>
        <v>0</v>
      </c>
      <c r="H388">
        <f>IF(Klantgegevens_B!H387&lt;&gt;"", Klantgegevens_B!H387, Klantgegevens_A!I387)</f>
        <v>17</v>
      </c>
      <c r="I388" t="str">
        <f>IF(Klantgegevens_B!I387&lt;&gt;"", Klantgegevens_B!I387, SWITCH(Klantgegevens_A!J387, "Zelden", 1, "Af en toe", 4, "Regelmatig", 8, "Vaak", 12))</f>
        <v>Payconiq</v>
      </c>
      <c r="J388" t="str">
        <f>IF(Klantgegevens_B!J387&lt;&gt;"", Klantgegevens_B!J387, Klantgegevens_A!K387)</f>
        <v>ja</v>
      </c>
      <c r="K388">
        <f>IF(Klantgegevens_B!K387&lt;&gt;"", AVERAGE(--(Klantgegevens_B!K387="ja"), --(Klantgegevens_B!L387="ja"), --(Klantgegevens_B!M387="ja"), --(Klantgegevens_B!N387="ja"), --(Klantgegevens_B!O387="ja"))*10, Klantgegevens_A!L387)</f>
        <v>8</v>
      </c>
      <c r="L388" t="str">
        <f>IF(Klantgegevens_B!K387&lt;&gt;"", Klantgegevens_B!K387, IF(Klantgegevens_A!L387&gt;=7, "ja", "nee"))</f>
        <v>ja</v>
      </c>
      <c r="M388" t="str">
        <f>IF(Klantgegevens_B!L387&lt;&gt;"", Klantgegevens_B!L387, IF(Klantgegevens_A!L387&gt;=7, "ja", "nee"))</f>
        <v>ja</v>
      </c>
      <c r="N388" t="str">
        <f>IF(Klantgegevens_B!M387&lt;&gt;"", Klantgegevens_B!M387, IF(Klantgegevens_A!L387&gt;=7, "ja", "nee"))</f>
        <v>ja</v>
      </c>
      <c r="O388" t="str">
        <f>IF(Klantgegevens_B!N387&lt;&gt;"", Klantgegevens_B!N387, IF(Klantgegevens_A!L387&gt;=7, "ja", "nee"))</f>
        <v>ja</v>
      </c>
      <c r="P388" t="str">
        <f>IF(Klantgegevens_B!O387&lt;&gt;"", Klantgegevens_B!O387, IF(Klantgegevens_A!L387&gt;=7, "ja", "nee"))</f>
        <v>Geen dieet</v>
      </c>
      <c r="Q388" t="str">
        <f>IF(Klantgegevens_B!P387&lt;&gt;"", Klantgegevens_B!P387, Klantgegevens_A!M387)</f>
        <v>Vegetarisch</v>
      </c>
      <c r="R388" t="str">
        <f>IF(Klantgegevens_B!A387&lt;&gt;"", "B", "A")</f>
        <v>B</v>
      </c>
    </row>
    <row r="389" spans="1:18" x14ac:dyDescent="0.3">
      <c r="A389" t="str">
        <f>IF(Klantgegevens_B!A388&lt;&gt;"", Klantgegevens_B!A388, MID(Klantgegevens_A!A388, FIND(",", Klantgegevens_A!A388)+2, LEN(Klantgegevens_A!A388)))</f>
        <v>Lisa</v>
      </c>
      <c r="B389" t="str">
        <f>IF(Klantgegevens_B!B388&lt;&gt;"", Klantgegevens_B!B388, LEFT(Klantgegevens_A!A388, FIND(",", Klantgegevens_A!A388)-1))</f>
        <v>Dethier</v>
      </c>
      <c r="C389" t="str">
        <f t="shared" ca="1" si="6"/>
        <v/>
      </c>
      <c r="D389" t="str">
        <f>IF(Klantgegevens_B!F388&lt;&gt;"", Klantgegevens_B!F388, Klantgegevens_A!D388 &amp; " " &amp; Klantgegevens_A!E388 &amp; ", " &amp; Klantgegevens_A!F388)</f>
        <v>Lisa,Valérie</v>
      </c>
      <c r="E389">
        <f>IF(Klantgegevens_B!G388&lt;&gt;"", Klantgegevens_B!G388, TEXTJOIN(",", TRUE, REPT("Volwassene,", Klantgegevens_A!G388), REPT("Kind,", Klantgegevens_A!H388)))</f>
        <v>25.25</v>
      </c>
      <c r="F389">
        <f>IF(Klantgegevens_B!G388&lt;&gt;"", LEN(Klantgegevens_B!G388)-LEN(SUBSTITUTE(Klantgegevens_B!G388, ",", ""))+1, Klantgegevens_A!G388)</f>
        <v>1</v>
      </c>
      <c r="G389">
        <f>IF(Klantgegevens_B!G388&lt;&gt;"", 0, Klantgegevens_A!H388)</f>
        <v>0</v>
      </c>
      <c r="H389">
        <f>IF(Klantgegevens_B!H388&lt;&gt;"", Klantgegevens_B!H388, Klantgegevens_A!I388)</f>
        <v>1</v>
      </c>
      <c r="I389" t="str">
        <f>IF(Klantgegevens_B!I388&lt;&gt;"", Klantgegevens_B!I388, SWITCH(Klantgegevens_A!J388, "Zelden", 1, "Af en toe", 4, "Regelmatig", 8, "Vaak", 12))</f>
        <v>Bancontact</v>
      </c>
      <c r="J389" t="str">
        <f>IF(Klantgegevens_B!J388&lt;&gt;"", Klantgegevens_B!J388, Klantgegevens_A!K388)</f>
        <v>ja</v>
      </c>
      <c r="K389">
        <f>IF(Klantgegevens_B!K388&lt;&gt;"", AVERAGE(--(Klantgegevens_B!K388="ja"), --(Klantgegevens_B!L388="ja"), --(Klantgegevens_B!M388="ja"), --(Klantgegevens_B!N388="ja"), --(Klantgegevens_B!O388="ja"))*10, Klantgegevens_A!L388)</f>
        <v>8</v>
      </c>
      <c r="L389" t="str">
        <f>IF(Klantgegevens_B!K388&lt;&gt;"", Klantgegevens_B!K388, IF(Klantgegevens_A!L388&gt;=7, "ja", "nee"))</f>
        <v>ja</v>
      </c>
      <c r="M389" t="str">
        <f>IF(Klantgegevens_B!L388&lt;&gt;"", Klantgegevens_B!L388, IF(Klantgegevens_A!L388&gt;=7, "ja", "nee"))</f>
        <v>ja</v>
      </c>
      <c r="N389" t="str">
        <f>IF(Klantgegevens_B!M388&lt;&gt;"", Klantgegevens_B!M388, IF(Klantgegevens_A!L388&gt;=7, "ja", "nee"))</f>
        <v>ja</v>
      </c>
      <c r="O389" t="str">
        <f>IF(Klantgegevens_B!N388&lt;&gt;"", Klantgegevens_B!N388, IF(Klantgegevens_A!L388&gt;=7, "ja", "nee"))</f>
        <v>ja</v>
      </c>
      <c r="P389" t="str">
        <f>IF(Klantgegevens_B!O388&lt;&gt;"", Klantgegevens_B!O388, IF(Klantgegevens_A!L388&gt;=7, "ja", "nee"))</f>
        <v>Vegetarisch</v>
      </c>
      <c r="Q389" t="str">
        <f>IF(Klantgegevens_B!P388&lt;&gt;"", Klantgegevens_B!P388, Klantgegevens_A!M388)</f>
        <v>Geen dieet</v>
      </c>
      <c r="R389" t="str">
        <f>IF(Klantgegevens_B!A388&lt;&gt;"", "B", "A")</f>
        <v>B</v>
      </c>
    </row>
    <row r="390" spans="1:18" x14ac:dyDescent="0.3">
      <c r="A390" t="str">
        <f>IF(Klantgegevens_B!A389&lt;&gt;"", Klantgegevens_B!A389, MID(Klantgegevens_A!A389, FIND(",", Klantgegevens_A!A389)+2, LEN(Klantgegevens_A!A389)))</f>
        <v>Christian</v>
      </c>
      <c r="B390" t="str">
        <f>IF(Klantgegevens_B!B389&lt;&gt;"", Klantgegevens_B!B389, LEFT(Klantgegevens_A!A389, FIND(",", Klantgegevens_A!A389)-1))</f>
        <v>Willems</v>
      </c>
      <c r="C390" t="str">
        <f t="shared" ca="1" si="6"/>
        <v/>
      </c>
      <c r="D390" t="str">
        <f>IF(Klantgegevens_B!F389&lt;&gt;"", Klantgegevens_B!F389, Klantgegevens_A!D389 &amp; " " &amp; Klantgegevens_A!E389 &amp; ", " &amp; Klantgegevens_A!F389)</f>
        <v>Christian,Paolo,Mathieu,Catherine</v>
      </c>
      <c r="E390">
        <f>IF(Klantgegevens_B!G389&lt;&gt;"", Klantgegevens_B!G389, TEXTJOIN(",", TRUE, REPT("Volwassene,", Klantgegevens_A!G389), REPT("Kind,", Klantgegevens_A!H389)))</f>
        <v>178.07</v>
      </c>
      <c r="F390">
        <f>IF(Klantgegevens_B!G389&lt;&gt;"", LEN(Klantgegevens_B!G389)-LEN(SUBSTITUTE(Klantgegevens_B!G389, ",", ""))+1, Klantgegevens_A!G389)</f>
        <v>1</v>
      </c>
      <c r="G390">
        <f>IF(Klantgegevens_B!G389&lt;&gt;"", 0, Klantgegevens_A!H389)</f>
        <v>0</v>
      </c>
      <c r="H390">
        <f>IF(Klantgegevens_B!H389&lt;&gt;"", Klantgegevens_B!H389, Klantgegevens_A!I389)</f>
        <v>17</v>
      </c>
      <c r="I390" t="str">
        <f>IF(Klantgegevens_B!I389&lt;&gt;"", Klantgegevens_B!I389, SWITCH(Klantgegevens_A!J389, "Zelden", 1, "Af en toe", 4, "Regelmatig", 8, "Vaak", 12))</f>
        <v>Bancontact</v>
      </c>
      <c r="J390" t="str">
        <f>IF(Klantgegevens_B!J389&lt;&gt;"", Klantgegevens_B!J389, Klantgegevens_A!K389)</f>
        <v>ja</v>
      </c>
      <c r="K390">
        <f>IF(Klantgegevens_B!K389&lt;&gt;"", AVERAGE(--(Klantgegevens_B!K389="ja"), --(Klantgegevens_B!L389="ja"), --(Klantgegevens_B!M389="ja"), --(Klantgegevens_B!N389="ja"), --(Klantgegevens_B!O389="ja"))*10, Klantgegevens_A!L389)</f>
        <v>4</v>
      </c>
      <c r="L390" t="str">
        <f>IF(Klantgegevens_B!K389&lt;&gt;"", Klantgegevens_B!K389, IF(Klantgegevens_A!L389&gt;=7, "ja", "nee"))</f>
        <v>ja</v>
      </c>
      <c r="M390" t="str">
        <f>IF(Klantgegevens_B!L389&lt;&gt;"", Klantgegevens_B!L389, IF(Klantgegevens_A!L389&gt;=7, "ja", "nee"))</f>
        <v>ja</v>
      </c>
      <c r="N390" t="str">
        <f>IF(Klantgegevens_B!M389&lt;&gt;"", Klantgegevens_B!M389, IF(Klantgegevens_A!L389&gt;=7, "ja", "nee"))</f>
        <v>nee</v>
      </c>
      <c r="O390" t="str">
        <f>IF(Klantgegevens_B!N389&lt;&gt;"", Klantgegevens_B!N389, IF(Klantgegevens_A!L389&gt;=7, "ja", "nee"))</f>
        <v>nee</v>
      </c>
      <c r="P390" t="str">
        <f>IF(Klantgegevens_B!O389&lt;&gt;"", Klantgegevens_B!O389, IF(Klantgegevens_A!L389&gt;=7, "ja", "nee"))</f>
        <v>Geen dieet</v>
      </c>
      <c r="Q390" t="str">
        <f>IF(Klantgegevens_B!P389&lt;&gt;"", Klantgegevens_B!P389, Klantgegevens_A!M389)</f>
        <v>Geen dieet</v>
      </c>
      <c r="R390" t="str">
        <f>IF(Klantgegevens_B!A389&lt;&gt;"", "B", "A")</f>
        <v>B</v>
      </c>
    </row>
    <row r="391" spans="1:18" x14ac:dyDescent="0.3">
      <c r="A391" t="str">
        <f>IF(Klantgegevens_B!A390&lt;&gt;"", Klantgegevens_B!A390, MID(Klantgegevens_A!A390, FIND(",", Klantgegevens_A!A390)+2, LEN(Klantgegevens_A!A390)))</f>
        <v>José</v>
      </c>
      <c r="B391" t="str">
        <f>IF(Klantgegevens_B!B390&lt;&gt;"", Klantgegevens_B!B390, LEFT(Klantgegevens_A!A390, FIND(",", Klantgegevens_A!A390)-1))</f>
        <v>Vrancken</v>
      </c>
      <c r="C391" t="str">
        <f t="shared" ca="1" si="6"/>
        <v/>
      </c>
      <c r="D391" t="str">
        <f>IF(Klantgegevens_B!F390&lt;&gt;"", Klantgegevens_B!F390, Klantgegevens_A!D390 &amp; " " &amp; Klantgegevens_A!E390 &amp; ", " &amp; Klantgegevens_A!F390)</f>
        <v>José</v>
      </c>
      <c r="E391">
        <f>IF(Klantgegevens_B!G390&lt;&gt;"", Klantgegevens_B!G390, TEXTJOIN(",", TRUE, REPT("Volwassene,", Klantgegevens_A!G390), REPT("Kind,", Klantgegevens_A!H390)))</f>
        <v>97.07</v>
      </c>
      <c r="F391">
        <f>IF(Klantgegevens_B!G390&lt;&gt;"", LEN(Klantgegevens_B!G390)-LEN(SUBSTITUTE(Klantgegevens_B!G390, ",", ""))+1, Klantgegevens_A!G390)</f>
        <v>1</v>
      </c>
      <c r="G391">
        <f>IF(Klantgegevens_B!G390&lt;&gt;"", 0, Klantgegevens_A!H390)</f>
        <v>0</v>
      </c>
      <c r="H391">
        <f>IF(Klantgegevens_B!H390&lt;&gt;"", Klantgegevens_B!H390, Klantgegevens_A!I390)</f>
        <v>6</v>
      </c>
      <c r="I391" t="str">
        <f>IF(Klantgegevens_B!I390&lt;&gt;"", Klantgegevens_B!I390, SWITCH(Klantgegevens_A!J390, "Zelden", 1, "Af en toe", 4, "Regelmatig", 8, "Vaak", 12))</f>
        <v>Cash</v>
      </c>
      <c r="J391" t="str">
        <f>IF(Klantgegevens_B!J390&lt;&gt;"", Klantgegevens_B!J390, Klantgegevens_A!K390)</f>
        <v>ja</v>
      </c>
      <c r="K391">
        <f>IF(Klantgegevens_B!K390&lt;&gt;"", AVERAGE(--(Klantgegevens_B!K390="ja"), --(Klantgegevens_B!L390="ja"), --(Klantgegevens_B!M390="ja"), --(Klantgegevens_B!N390="ja"), --(Klantgegevens_B!O390="ja"))*10, Klantgegevens_A!L390)</f>
        <v>8</v>
      </c>
      <c r="L391" t="str">
        <f>IF(Klantgegevens_B!K390&lt;&gt;"", Klantgegevens_B!K390, IF(Klantgegevens_A!L390&gt;=7, "ja", "nee"))</f>
        <v>ja</v>
      </c>
      <c r="M391" t="str">
        <f>IF(Klantgegevens_B!L390&lt;&gt;"", Klantgegevens_B!L390, IF(Klantgegevens_A!L390&gt;=7, "ja", "nee"))</f>
        <v>ja</v>
      </c>
      <c r="N391" t="str">
        <f>IF(Klantgegevens_B!M390&lt;&gt;"", Klantgegevens_B!M390, IF(Klantgegevens_A!L390&gt;=7, "ja", "nee"))</f>
        <v>ja</v>
      </c>
      <c r="O391" t="str">
        <f>IF(Klantgegevens_B!N390&lt;&gt;"", Klantgegevens_B!N390, IF(Klantgegevens_A!L390&gt;=7, "ja", "nee"))</f>
        <v>ja</v>
      </c>
      <c r="P391" t="str">
        <f>IF(Klantgegevens_B!O390&lt;&gt;"", Klantgegevens_B!O390, IF(Klantgegevens_A!L390&gt;=7, "ja", "nee"))</f>
        <v>Geen dieet</v>
      </c>
      <c r="Q391" t="str">
        <f>IF(Klantgegevens_B!P390&lt;&gt;"", Klantgegevens_B!P390, Klantgegevens_A!M390)</f>
        <v>Vegetarisch</v>
      </c>
      <c r="R391" t="str">
        <f>IF(Klantgegevens_B!A390&lt;&gt;"", "B", "A")</f>
        <v>B</v>
      </c>
    </row>
    <row r="392" spans="1:18" x14ac:dyDescent="0.3">
      <c r="A392" t="str">
        <f>IF(Klantgegevens_B!A391&lt;&gt;"", Klantgegevens_B!A391, MID(Klantgegevens_A!A391, FIND(",", Klantgegevens_A!A391)+2, LEN(Klantgegevens_A!A391)))</f>
        <v>Steve</v>
      </c>
      <c r="B392" t="str">
        <f>IF(Klantgegevens_B!B391&lt;&gt;"", Klantgegevens_B!B391, LEFT(Klantgegevens_A!A391, FIND(",", Klantgegevens_A!A391)-1))</f>
        <v>Lemmens</v>
      </c>
      <c r="C392" t="str">
        <f t="shared" ca="1" si="6"/>
        <v/>
      </c>
      <c r="D392" t="str">
        <f>IF(Klantgegevens_B!F391&lt;&gt;"", Klantgegevens_B!F391, Klantgegevens_A!D391 &amp; " " &amp; Klantgegevens_A!E391 &amp; ", " &amp; Klantgegevens_A!F391)</f>
        <v>Steve,Sonia,Efkan,Catharine</v>
      </c>
      <c r="E392">
        <f>IF(Klantgegevens_B!G391&lt;&gt;"", Klantgegevens_B!G391, TEXTJOIN(",", TRUE, REPT("Volwassene,", Klantgegevens_A!G391), REPT("Kind,", Klantgegevens_A!H391)))</f>
        <v>203.28</v>
      </c>
      <c r="F392">
        <f>IF(Klantgegevens_B!G391&lt;&gt;"", LEN(Klantgegevens_B!G391)-LEN(SUBSTITUTE(Klantgegevens_B!G391, ",", ""))+1, Klantgegevens_A!G391)</f>
        <v>1</v>
      </c>
      <c r="G392">
        <f>IF(Klantgegevens_B!G391&lt;&gt;"", 0, Klantgegevens_A!H391)</f>
        <v>0</v>
      </c>
      <c r="H392">
        <f>IF(Klantgegevens_B!H391&lt;&gt;"", Klantgegevens_B!H391, Klantgegevens_A!I391)</f>
        <v>8</v>
      </c>
      <c r="I392" t="str">
        <f>IF(Klantgegevens_B!I391&lt;&gt;"", Klantgegevens_B!I391, SWITCH(Klantgegevens_A!J391, "Zelden", 1, "Af en toe", 4, "Regelmatig", 8, "Vaak", 12))</f>
        <v>Bancontact</v>
      </c>
      <c r="J392" t="str">
        <f>IF(Klantgegevens_B!J391&lt;&gt;"", Klantgegevens_B!J391, Klantgegevens_A!K391)</f>
        <v>nee</v>
      </c>
      <c r="K392">
        <f>IF(Klantgegevens_B!K391&lt;&gt;"", AVERAGE(--(Klantgegevens_B!K391="ja"), --(Klantgegevens_B!L391="ja"), --(Klantgegevens_B!M391="ja"), --(Klantgegevens_B!N391="ja"), --(Klantgegevens_B!O391="ja"))*10, Klantgegevens_A!L391)</f>
        <v>6</v>
      </c>
      <c r="L392" t="str">
        <f>IF(Klantgegevens_B!K391&lt;&gt;"", Klantgegevens_B!K391, IF(Klantgegevens_A!L391&gt;=7, "ja", "nee"))</f>
        <v>nee</v>
      </c>
      <c r="M392" t="str">
        <f>IF(Klantgegevens_B!L391&lt;&gt;"", Klantgegevens_B!L391, IF(Klantgegevens_A!L391&gt;=7, "ja", "nee"))</f>
        <v>ja</v>
      </c>
      <c r="N392" t="str">
        <f>IF(Klantgegevens_B!M391&lt;&gt;"", Klantgegevens_B!M391, IF(Klantgegevens_A!L391&gt;=7, "ja", "nee"))</f>
        <v>ja</v>
      </c>
      <c r="O392" t="str">
        <f>IF(Klantgegevens_B!N391&lt;&gt;"", Klantgegevens_B!N391, IF(Klantgegevens_A!L391&gt;=7, "ja", "nee"))</f>
        <v>ja</v>
      </c>
      <c r="P392" t="str">
        <f>IF(Klantgegevens_B!O391&lt;&gt;"", Klantgegevens_B!O391, IF(Klantgegevens_A!L391&gt;=7, "ja", "nee"))</f>
        <v>Geen dieet</v>
      </c>
      <c r="Q392" t="str">
        <f>IF(Klantgegevens_B!P391&lt;&gt;"", Klantgegevens_B!P391, Klantgegevens_A!M391)</f>
        <v>Geen dieet</v>
      </c>
      <c r="R392" t="str">
        <f>IF(Klantgegevens_B!A391&lt;&gt;"", "B", "A")</f>
        <v>B</v>
      </c>
    </row>
    <row r="393" spans="1:18" x14ac:dyDescent="0.3">
      <c r="A393" t="str">
        <f>IF(Klantgegevens_B!A392&lt;&gt;"", Klantgegevens_B!A392, MID(Klantgegevens_A!A392, FIND(",", Klantgegevens_A!A392)+2, LEN(Klantgegevens_A!A392)))</f>
        <v>Nathalie</v>
      </c>
      <c r="B393" t="str">
        <f>IF(Klantgegevens_B!B392&lt;&gt;"", Klantgegevens_B!B392, LEFT(Klantgegevens_A!A392, FIND(",", Klantgegevens_A!A392)-1))</f>
        <v>Jacobs</v>
      </c>
      <c r="C393" t="str">
        <f t="shared" ca="1" si="6"/>
        <v/>
      </c>
      <c r="D393" t="str">
        <f>IF(Klantgegevens_B!F392&lt;&gt;"", Klantgegevens_B!F392, Klantgegevens_A!D392 &amp; " " &amp; Klantgegevens_A!E392 &amp; ", " &amp; Klantgegevens_A!F392)</f>
        <v>Nathalie,Dominique</v>
      </c>
      <c r="E393">
        <f>IF(Klantgegevens_B!G392&lt;&gt;"", Klantgegevens_B!G392, TEXTJOIN(",", TRUE, REPT("Volwassene,", Klantgegevens_A!G392), REPT("Kind,", Klantgegevens_A!H392)))</f>
        <v>89.56</v>
      </c>
      <c r="F393">
        <f>IF(Klantgegevens_B!G392&lt;&gt;"", LEN(Klantgegevens_B!G392)-LEN(SUBSTITUTE(Klantgegevens_B!G392, ",", ""))+1, Klantgegevens_A!G392)</f>
        <v>1</v>
      </c>
      <c r="G393">
        <f>IF(Klantgegevens_B!G392&lt;&gt;"", 0, Klantgegevens_A!H392)</f>
        <v>0</v>
      </c>
      <c r="H393">
        <f>IF(Klantgegevens_B!H392&lt;&gt;"", Klantgegevens_B!H392, Klantgegevens_A!I392)</f>
        <v>6</v>
      </c>
      <c r="I393" t="str">
        <f>IF(Klantgegevens_B!I392&lt;&gt;"", Klantgegevens_B!I392, SWITCH(Klantgegevens_A!J392, "Zelden", 1, "Af en toe", 4, "Regelmatig", 8, "Vaak", 12))</f>
        <v>Payconiq</v>
      </c>
      <c r="J393" t="str">
        <f>IF(Klantgegevens_B!J392&lt;&gt;"", Klantgegevens_B!J392, Klantgegevens_A!K392)</f>
        <v>nee</v>
      </c>
      <c r="K393">
        <f>IF(Klantgegevens_B!K392&lt;&gt;"", AVERAGE(--(Klantgegevens_B!K392="ja"), --(Klantgegevens_B!L392="ja"), --(Klantgegevens_B!M392="ja"), --(Klantgegevens_B!N392="ja"), --(Klantgegevens_B!O392="ja"))*10, Klantgegevens_A!L392)</f>
        <v>4</v>
      </c>
      <c r="L393" t="str">
        <f>IF(Klantgegevens_B!K392&lt;&gt;"", Klantgegevens_B!K392, IF(Klantgegevens_A!L392&gt;=7, "ja", "nee"))</f>
        <v>ja</v>
      </c>
      <c r="M393" t="str">
        <f>IF(Klantgegevens_B!L392&lt;&gt;"", Klantgegevens_B!L392, IF(Klantgegevens_A!L392&gt;=7, "ja", "nee"))</f>
        <v>nee</v>
      </c>
      <c r="N393" t="str">
        <f>IF(Klantgegevens_B!M392&lt;&gt;"", Klantgegevens_B!M392, IF(Klantgegevens_A!L392&gt;=7, "ja", "nee"))</f>
        <v>ja</v>
      </c>
      <c r="O393" t="str">
        <f>IF(Klantgegevens_B!N392&lt;&gt;"", Klantgegevens_B!N392, IF(Klantgegevens_A!L392&gt;=7, "ja", "nee"))</f>
        <v>nee</v>
      </c>
      <c r="P393" t="str">
        <f>IF(Klantgegevens_B!O392&lt;&gt;"", Klantgegevens_B!O392, IF(Klantgegevens_A!L392&gt;=7, "ja", "nee"))</f>
        <v>Geen dieet</v>
      </c>
      <c r="Q393" t="str">
        <f>IF(Klantgegevens_B!P392&lt;&gt;"", Klantgegevens_B!P392, Klantgegevens_A!M392)</f>
        <v>Geen dieet</v>
      </c>
      <c r="R393" t="str">
        <f>IF(Klantgegevens_B!A392&lt;&gt;"", "B", "A")</f>
        <v>B</v>
      </c>
    </row>
    <row r="394" spans="1:18" x14ac:dyDescent="0.3">
      <c r="A394" t="str">
        <f>IF(Klantgegevens_B!A393&lt;&gt;"", Klantgegevens_B!A393, MID(Klantgegevens_A!A393, FIND(",", Klantgegevens_A!A393)+2, LEN(Klantgegevens_A!A393)))</f>
        <v>Gilberte</v>
      </c>
      <c r="B394" t="str">
        <f>IF(Klantgegevens_B!B393&lt;&gt;"", Klantgegevens_B!B393, LEFT(Klantgegevens_A!A393, FIND(",", Klantgegevens_A!A393)-1))</f>
        <v>Carlier</v>
      </c>
      <c r="C394" t="str">
        <f t="shared" ca="1" si="6"/>
        <v/>
      </c>
      <c r="D394" t="str">
        <f>IF(Klantgegevens_B!F393&lt;&gt;"", Klantgegevens_B!F393, Klantgegevens_A!D393 &amp; " " &amp; Klantgegevens_A!E393 &amp; ", " &amp; Klantgegevens_A!F393)</f>
        <v>Gilberte,Rosette,Anna,Ellen</v>
      </c>
      <c r="E394">
        <f>IF(Klantgegevens_B!G393&lt;&gt;"", Klantgegevens_B!G393, TEXTJOIN(",", TRUE, REPT("Volwassene,", Klantgegevens_A!G393), REPT("Kind,", Klantgegevens_A!H393)))</f>
        <v>196.31</v>
      </c>
      <c r="F394">
        <f>IF(Klantgegevens_B!G393&lt;&gt;"", LEN(Klantgegevens_B!G393)-LEN(SUBSTITUTE(Klantgegevens_B!G393, ",", ""))+1, Klantgegevens_A!G393)</f>
        <v>1</v>
      </c>
      <c r="G394">
        <f>IF(Klantgegevens_B!G393&lt;&gt;"", 0, Klantgegevens_A!H393)</f>
        <v>0</v>
      </c>
      <c r="H394">
        <f>IF(Klantgegevens_B!H393&lt;&gt;"", Klantgegevens_B!H393, Klantgegevens_A!I393)</f>
        <v>2</v>
      </c>
      <c r="I394" t="str">
        <f>IF(Klantgegevens_B!I393&lt;&gt;"", Klantgegevens_B!I393, SWITCH(Klantgegevens_A!J393, "Zelden", 1, "Af en toe", 4, "Regelmatig", 8, "Vaak", 12))</f>
        <v>Bancontact</v>
      </c>
      <c r="J394" t="str">
        <f>IF(Klantgegevens_B!J393&lt;&gt;"", Klantgegevens_B!J393, Klantgegevens_A!K393)</f>
        <v>ja</v>
      </c>
      <c r="K394">
        <f>IF(Klantgegevens_B!K393&lt;&gt;"", AVERAGE(--(Klantgegevens_B!K393="ja"), --(Klantgegevens_B!L393="ja"), --(Klantgegevens_B!M393="ja"), --(Klantgegevens_B!N393="ja"), --(Klantgegevens_B!O393="ja"))*10, Klantgegevens_A!L393)</f>
        <v>6</v>
      </c>
      <c r="L394" t="str">
        <f>IF(Klantgegevens_B!K393&lt;&gt;"", Klantgegevens_B!K393, IF(Klantgegevens_A!L393&gt;=7, "ja", "nee"))</f>
        <v>ja</v>
      </c>
      <c r="M394" t="str">
        <f>IF(Klantgegevens_B!L393&lt;&gt;"", Klantgegevens_B!L393, IF(Klantgegevens_A!L393&gt;=7, "ja", "nee"))</f>
        <v>nee</v>
      </c>
      <c r="N394" t="str">
        <f>IF(Klantgegevens_B!M393&lt;&gt;"", Klantgegevens_B!M393, IF(Klantgegevens_A!L393&gt;=7, "ja", "nee"))</f>
        <v>ja</v>
      </c>
      <c r="O394" t="str">
        <f>IF(Klantgegevens_B!N393&lt;&gt;"", Klantgegevens_B!N393, IF(Klantgegevens_A!L393&gt;=7, "ja", "nee"))</f>
        <v>ja</v>
      </c>
      <c r="P394" t="str">
        <f>IF(Klantgegevens_B!O393&lt;&gt;"", Klantgegevens_B!O393, IF(Klantgegevens_A!L393&gt;=7, "ja", "nee"))</f>
        <v>Geen dieet</v>
      </c>
      <c r="Q394" t="str">
        <f>IF(Klantgegevens_B!P393&lt;&gt;"", Klantgegevens_B!P393, Klantgegevens_A!M393)</f>
        <v>Geen dieet</v>
      </c>
      <c r="R394" t="str">
        <f>IF(Klantgegevens_B!A393&lt;&gt;"", "B", "A")</f>
        <v>B</v>
      </c>
    </row>
    <row r="395" spans="1:18" x14ac:dyDescent="0.3">
      <c r="A395" t="str">
        <f>IF(Klantgegevens_B!A394&lt;&gt;"", Klantgegevens_B!A394, MID(Klantgegevens_A!A394, FIND(",", Klantgegevens_A!A394)+2, LEN(Klantgegevens_A!A394)))</f>
        <v>Mya</v>
      </c>
      <c r="B395" t="str">
        <f>IF(Klantgegevens_B!B394&lt;&gt;"", Klantgegevens_B!B394, LEFT(Klantgegevens_A!A394, FIND(",", Klantgegevens_A!A394)-1))</f>
        <v>Bernard</v>
      </c>
      <c r="C395" t="str">
        <f t="shared" ca="1" si="6"/>
        <v/>
      </c>
      <c r="D395" t="str">
        <f>IF(Klantgegevens_B!F394&lt;&gt;"", Klantgegevens_B!F394, Klantgegevens_A!D394 &amp; " " &amp; Klantgegevens_A!E394 &amp; ", " &amp; Klantgegevens_A!F394)</f>
        <v>Mya,Ben,Chantal,Yoann</v>
      </c>
      <c r="E395">
        <f>IF(Klantgegevens_B!G394&lt;&gt;"", Klantgegevens_B!G394, TEXTJOIN(",", TRUE, REPT("Volwassene,", Klantgegevens_A!G394), REPT("Kind,", Klantgegevens_A!H394)))</f>
        <v>195.06</v>
      </c>
      <c r="F395">
        <f>IF(Klantgegevens_B!G394&lt;&gt;"", LEN(Klantgegevens_B!G394)-LEN(SUBSTITUTE(Klantgegevens_B!G394, ",", ""))+1, Klantgegevens_A!G394)</f>
        <v>1</v>
      </c>
      <c r="G395">
        <f>IF(Klantgegevens_B!G394&lt;&gt;"", 0, Klantgegevens_A!H394)</f>
        <v>0</v>
      </c>
      <c r="H395">
        <f>IF(Klantgegevens_B!H394&lt;&gt;"", Klantgegevens_B!H394, Klantgegevens_A!I394)</f>
        <v>4</v>
      </c>
      <c r="I395" t="str">
        <f>IF(Klantgegevens_B!I394&lt;&gt;"", Klantgegevens_B!I394, SWITCH(Klantgegevens_A!J394, "Zelden", 1, "Af en toe", 4, "Regelmatig", 8, "Vaak", 12))</f>
        <v>Payconiq</v>
      </c>
      <c r="J395" t="str">
        <f>IF(Klantgegevens_B!J394&lt;&gt;"", Klantgegevens_B!J394, Klantgegevens_A!K394)</f>
        <v>ja</v>
      </c>
      <c r="K395">
        <f>IF(Klantgegevens_B!K394&lt;&gt;"", AVERAGE(--(Klantgegevens_B!K394="ja"), --(Klantgegevens_B!L394="ja"), --(Klantgegevens_B!M394="ja"), --(Klantgegevens_B!N394="ja"), --(Klantgegevens_B!O394="ja"))*10, Klantgegevens_A!L394)</f>
        <v>6</v>
      </c>
      <c r="L395" t="str">
        <f>IF(Klantgegevens_B!K394&lt;&gt;"", Klantgegevens_B!K394, IF(Klantgegevens_A!L394&gt;=7, "ja", "nee"))</f>
        <v>ja</v>
      </c>
      <c r="M395" t="str">
        <f>IF(Klantgegevens_B!L394&lt;&gt;"", Klantgegevens_B!L394, IF(Klantgegevens_A!L394&gt;=7, "ja", "nee"))</f>
        <v>ja</v>
      </c>
      <c r="N395" t="str">
        <f>IF(Klantgegevens_B!M394&lt;&gt;"", Klantgegevens_B!M394, IF(Klantgegevens_A!L394&gt;=7, "ja", "nee"))</f>
        <v>nee</v>
      </c>
      <c r="O395" t="str">
        <f>IF(Klantgegevens_B!N394&lt;&gt;"", Klantgegevens_B!N394, IF(Klantgegevens_A!L394&gt;=7, "ja", "nee"))</f>
        <v>ja</v>
      </c>
      <c r="P395" t="str">
        <f>IF(Klantgegevens_B!O394&lt;&gt;"", Klantgegevens_B!O394, IF(Klantgegevens_A!L394&gt;=7, "ja", "nee"))</f>
        <v>Geen dieet</v>
      </c>
      <c r="Q395" t="str">
        <f>IF(Klantgegevens_B!P394&lt;&gt;"", Klantgegevens_B!P394, Klantgegevens_A!M394)</f>
        <v>Geen dieet</v>
      </c>
      <c r="R395" t="str">
        <f>IF(Klantgegevens_B!A394&lt;&gt;"", "B", "A")</f>
        <v>B</v>
      </c>
    </row>
    <row r="396" spans="1:18" x14ac:dyDescent="0.3">
      <c r="A396" t="str">
        <f>IF(Klantgegevens_B!A395&lt;&gt;"", Klantgegevens_B!A395, MID(Klantgegevens_A!A395, FIND(",", Klantgegevens_A!A395)+2, LEN(Klantgegevens_A!A395)))</f>
        <v>Dalila</v>
      </c>
      <c r="B396" t="str">
        <f>IF(Klantgegevens_B!B395&lt;&gt;"", Klantgegevens_B!B395, LEFT(Klantgegevens_A!A395, FIND(",", Klantgegevens_A!A395)-1))</f>
        <v>Vandevelde</v>
      </c>
      <c r="C396" t="str">
        <f t="shared" ca="1" si="6"/>
        <v/>
      </c>
      <c r="D396" t="str">
        <f>IF(Klantgegevens_B!F395&lt;&gt;"", Klantgegevens_B!F395, Klantgegevens_A!D395 &amp; " " &amp; Klantgegevens_A!E395 &amp; ", " &amp; Klantgegevens_A!F395)</f>
        <v>Dalila,Maria,Mathieu</v>
      </c>
      <c r="E396">
        <f>IF(Klantgegevens_B!G395&lt;&gt;"", Klantgegevens_B!G395, TEXTJOIN(",", TRUE, REPT("Volwassene,", Klantgegevens_A!G395), REPT("Kind,", Klantgegevens_A!H395)))</f>
        <v>27.03</v>
      </c>
      <c r="F396">
        <f>IF(Klantgegevens_B!G395&lt;&gt;"", LEN(Klantgegevens_B!G395)-LEN(SUBSTITUTE(Klantgegevens_B!G395, ",", ""))+1, Klantgegevens_A!G395)</f>
        <v>1</v>
      </c>
      <c r="G396">
        <f>IF(Klantgegevens_B!G395&lt;&gt;"", 0, Klantgegevens_A!H395)</f>
        <v>0</v>
      </c>
      <c r="H396">
        <f>IF(Klantgegevens_B!H395&lt;&gt;"", Klantgegevens_B!H395, Klantgegevens_A!I395)</f>
        <v>16</v>
      </c>
      <c r="I396" t="str">
        <f>IF(Klantgegevens_B!I395&lt;&gt;"", Klantgegevens_B!I395, SWITCH(Klantgegevens_A!J395, "Zelden", 1, "Af en toe", 4, "Regelmatig", 8, "Vaak", 12))</f>
        <v>Payconiq</v>
      </c>
      <c r="J396" t="str">
        <f>IF(Klantgegevens_B!J395&lt;&gt;"", Klantgegevens_B!J395, Klantgegevens_A!K395)</f>
        <v>ja</v>
      </c>
      <c r="K396">
        <f>IF(Klantgegevens_B!K395&lt;&gt;"", AVERAGE(--(Klantgegevens_B!K395="ja"), --(Klantgegevens_B!L395="ja"), --(Klantgegevens_B!M395="ja"), --(Klantgegevens_B!N395="ja"), --(Klantgegevens_B!O395="ja"))*10, Klantgegevens_A!L395)</f>
        <v>8</v>
      </c>
      <c r="L396" t="str">
        <f>IF(Klantgegevens_B!K395&lt;&gt;"", Klantgegevens_B!K395, IF(Klantgegevens_A!L395&gt;=7, "ja", "nee"))</f>
        <v>ja</v>
      </c>
      <c r="M396" t="str">
        <f>IF(Klantgegevens_B!L395&lt;&gt;"", Klantgegevens_B!L395, IF(Klantgegevens_A!L395&gt;=7, "ja", "nee"))</f>
        <v>ja</v>
      </c>
      <c r="N396" t="str">
        <f>IF(Klantgegevens_B!M395&lt;&gt;"", Klantgegevens_B!M395, IF(Klantgegevens_A!L395&gt;=7, "ja", "nee"))</f>
        <v>ja</v>
      </c>
      <c r="O396" t="str">
        <f>IF(Klantgegevens_B!N395&lt;&gt;"", Klantgegevens_B!N395, IF(Klantgegevens_A!L395&gt;=7, "ja", "nee"))</f>
        <v>ja</v>
      </c>
      <c r="P396" t="str">
        <f>IF(Klantgegevens_B!O395&lt;&gt;"", Klantgegevens_B!O395, IF(Klantgegevens_A!L395&gt;=7, "ja", "nee"))</f>
        <v>Geen dieet</v>
      </c>
      <c r="Q396" t="str">
        <f>IF(Klantgegevens_B!P395&lt;&gt;"", Klantgegevens_B!P395, Klantgegevens_A!M395)</f>
        <v>Geen dieet</v>
      </c>
      <c r="R396" t="str">
        <f>IF(Klantgegevens_B!A395&lt;&gt;"", "B", "A")</f>
        <v>B</v>
      </c>
    </row>
    <row r="397" spans="1:18" x14ac:dyDescent="0.3">
      <c r="A397" t="str">
        <f>IF(Klantgegevens_B!A396&lt;&gt;"", Klantgegevens_B!A396, MID(Klantgegevens_A!A396, FIND(",", Klantgegevens_A!A396)+2, LEN(Klantgegevens_A!A396)))</f>
        <v>Antoine</v>
      </c>
      <c r="B397" t="str">
        <f>IF(Klantgegevens_B!B396&lt;&gt;"", Klantgegevens_B!B396, LEFT(Klantgegevens_A!A396, FIND(",", Klantgegevens_A!A396)-1))</f>
        <v>Robert</v>
      </c>
      <c r="C397" t="str">
        <f t="shared" ca="1" si="6"/>
        <v/>
      </c>
      <c r="D397" t="str">
        <f>IF(Klantgegevens_B!F396&lt;&gt;"", Klantgegevens_B!F396, Klantgegevens_A!D396 &amp; " " &amp; Klantgegevens_A!E396 &amp; ", " &amp; Klantgegevens_A!F396)</f>
        <v>Antoine</v>
      </c>
      <c r="E397">
        <f>IF(Klantgegevens_B!G396&lt;&gt;"", Klantgegevens_B!G396, TEXTJOIN(",", TRUE, REPT("Volwassene,", Klantgegevens_A!G396), REPT("Kind,", Klantgegevens_A!H396)))</f>
        <v>18.98</v>
      </c>
      <c r="F397">
        <f>IF(Klantgegevens_B!G396&lt;&gt;"", LEN(Klantgegevens_B!G396)-LEN(SUBSTITUTE(Klantgegevens_B!G396, ",", ""))+1, Klantgegevens_A!G396)</f>
        <v>1</v>
      </c>
      <c r="G397">
        <f>IF(Klantgegevens_B!G396&lt;&gt;"", 0, Klantgegevens_A!H396)</f>
        <v>0</v>
      </c>
      <c r="H397">
        <f>IF(Klantgegevens_B!H396&lt;&gt;"", Klantgegevens_B!H396, Klantgegevens_A!I396)</f>
        <v>16</v>
      </c>
      <c r="I397" t="str">
        <f>IF(Klantgegevens_B!I396&lt;&gt;"", Klantgegevens_B!I396, SWITCH(Klantgegevens_A!J396, "Zelden", 1, "Af en toe", 4, "Regelmatig", 8, "Vaak", 12))</f>
        <v>Bancontact</v>
      </c>
      <c r="J397" t="str">
        <f>IF(Klantgegevens_B!J396&lt;&gt;"", Klantgegevens_B!J396, Klantgegevens_A!K396)</f>
        <v>ja</v>
      </c>
      <c r="K397">
        <f>IF(Klantgegevens_B!K396&lt;&gt;"", AVERAGE(--(Klantgegevens_B!K396="ja"), --(Klantgegevens_B!L396="ja"), --(Klantgegevens_B!M396="ja"), --(Klantgegevens_B!N396="ja"), --(Klantgegevens_B!O396="ja"))*10, Klantgegevens_A!L396)</f>
        <v>6</v>
      </c>
      <c r="L397" t="str">
        <f>IF(Klantgegevens_B!K396&lt;&gt;"", Klantgegevens_B!K396, IF(Klantgegevens_A!L396&gt;=7, "ja", "nee"))</f>
        <v>ja</v>
      </c>
      <c r="M397" t="str">
        <f>IF(Klantgegevens_B!L396&lt;&gt;"", Klantgegevens_B!L396, IF(Klantgegevens_A!L396&gt;=7, "ja", "nee"))</f>
        <v>nee</v>
      </c>
      <c r="N397" t="str">
        <f>IF(Klantgegevens_B!M396&lt;&gt;"", Klantgegevens_B!M396, IF(Klantgegevens_A!L396&gt;=7, "ja", "nee"))</f>
        <v>ja</v>
      </c>
      <c r="O397" t="str">
        <f>IF(Klantgegevens_B!N396&lt;&gt;"", Klantgegevens_B!N396, IF(Klantgegevens_A!L396&gt;=7, "ja", "nee"))</f>
        <v>ja</v>
      </c>
      <c r="P397" t="str">
        <f>IF(Klantgegevens_B!O396&lt;&gt;"", Klantgegevens_B!O396, IF(Klantgegevens_A!L396&gt;=7, "ja", "nee"))</f>
        <v>Geen dieet</v>
      </c>
      <c r="Q397" t="str">
        <f>IF(Klantgegevens_B!P396&lt;&gt;"", Klantgegevens_B!P396, Klantgegevens_A!M396)</f>
        <v>Geen dieet</v>
      </c>
      <c r="R397" t="str">
        <f>IF(Klantgegevens_B!A396&lt;&gt;"", "B", "A")</f>
        <v>B</v>
      </c>
    </row>
    <row r="398" spans="1:18" x14ac:dyDescent="0.3">
      <c r="A398" t="str">
        <f>IF(Klantgegevens_B!A397&lt;&gt;"", Klantgegevens_B!A397, MID(Klantgegevens_A!A397, FIND(",", Klantgegevens_A!A397)+2, LEN(Klantgegevens_A!A397)))</f>
        <v>Monique</v>
      </c>
      <c r="B398" t="str">
        <f>IF(Klantgegevens_B!B397&lt;&gt;"", Klantgegevens_B!B397, LEFT(Klantgegevens_A!A397, FIND(",", Klantgegevens_A!A397)-1))</f>
        <v>Deckers</v>
      </c>
      <c r="C398" t="str">
        <f t="shared" ca="1" si="6"/>
        <v/>
      </c>
      <c r="D398" t="str">
        <f>IF(Klantgegevens_B!F397&lt;&gt;"", Klantgegevens_B!F397, Klantgegevens_A!D397 &amp; " " &amp; Klantgegevens_A!E397 &amp; ", " &amp; Klantgegevens_A!F397)</f>
        <v>Monique,Nikolai,Fares,Alia</v>
      </c>
      <c r="E398">
        <f>IF(Klantgegevens_B!G397&lt;&gt;"", Klantgegevens_B!G397, TEXTJOIN(",", TRUE, REPT("Volwassene,", Klantgegevens_A!G397), REPT("Kind,", Klantgegevens_A!H397)))</f>
        <v>135.13</v>
      </c>
      <c r="F398">
        <f>IF(Klantgegevens_B!G397&lt;&gt;"", LEN(Klantgegevens_B!G397)-LEN(SUBSTITUTE(Klantgegevens_B!G397, ",", ""))+1, Klantgegevens_A!G397)</f>
        <v>1</v>
      </c>
      <c r="G398">
        <f>IF(Klantgegevens_B!G397&lt;&gt;"", 0, Klantgegevens_A!H397)</f>
        <v>0</v>
      </c>
      <c r="H398">
        <f>IF(Klantgegevens_B!H397&lt;&gt;"", Klantgegevens_B!H397, Klantgegevens_A!I397)</f>
        <v>15</v>
      </c>
      <c r="I398" t="str">
        <f>IF(Klantgegevens_B!I397&lt;&gt;"", Klantgegevens_B!I397, SWITCH(Klantgegevens_A!J397, "Zelden", 1, "Af en toe", 4, "Regelmatig", 8, "Vaak", 12))</f>
        <v>Bancontact</v>
      </c>
      <c r="J398" t="str">
        <f>IF(Klantgegevens_B!J397&lt;&gt;"", Klantgegevens_B!J397, Klantgegevens_A!K397)</f>
        <v>ja</v>
      </c>
      <c r="K398">
        <f>IF(Klantgegevens_B!K397&lt;&gt;"", AVERAGE(--(Klantgegevens_B!K397="ja"), --(Klantgegevens_B!L397="ja"), --(Klantgegevens_B!M397="ja"), --(Klantgegevens_B!N397="ja"), --(Klantgegevens_B!O397="ja"))*10, Klantgegevens_A!L397)</f>
        <v>6</v>
      </c>
      <c r="L398" t="str">
        <f>IF(Klantgegevens_B!K397&lt;&gt;"", Klantgegevens_B!K397, IF(Klantgegevens_A!L397&gt;=7, "ja", "nee"))</f>
        <v>ja</v>
      </c>
      <c r="M398" t="str">
        <f>IF(Klantgegevens_B!L397&lt;&gt;"", Klantgegevens_B!L397, IF(Klantgegevens_A!L397&gt;=7, "ja", "nee"))</f>
        <v>ja</v>
      </c>
      <c r="N398" t="str">
        <f>IF(Klantgegevens_B!M397&lt;&gt;"", Klantgegevens_B!M397, IF(Klantgegevens_A!L397&gt;=7, "ja", "nee"))</f>
        <v>nee</v>
      </c>
      <c r="O398" t="str">
        <f>IF(Klantgegevens_B!N397&lt;&gt;"", Klantgegevens_B!N397, IF(Klantgegevens_A!L397&gt;=7, "ja", "nee"))</f>
        <v>ja</v>
      </c>
      <c r="P398" t="str">
        <f>IF(Klantgegevens_B!O397&lt;&gt;"", Klantgegevens_B!O397, IF(Klantgegevens_A!L397&gt;=7, "ja", "nee"))</f>
        <v>Geen dieet</v>
      </c>
      <c r="Q398" t="str">
        <f>IF(Klantgegevens_B!P397&lt;&gt;"", Klantgegevens_B!P397, Klantgegevens_A!M397)</f>
        <v>Geen dieet</v>
      </c>
      <c r="R398" t="str">
        <f>IF(Klantgegevens_B!A397&lt;&gt;"", "B", "A")</f>
        <v>B</v>
      </c>
    </row>
    <row r="399" spans="1:18" x14ac:dyDescent="0.3">
      <c r="A399" t="str">
        <f>IF(Klantgegevens_B!A398&lt;&gt;"", Klantgegevens_B!A398, MID(Klantgegevens_A!A398, FIND(",", Klantgegevens_A!A398)+2, LEN(Klantgegevens_A!A398)))</f>
        <v>Femke</v>
      </c>
      <c r="B399" t="str">
        <f>IF(Klantgegevens_B!B398&lt;&gt;"", Klantgegevens_B!B398, LEFT(Klantgegevens_A!A398, FIND(",", Klantgegevens_A!A398)-1))</f>
        <v>Parmentier</v>
      </c>
      <c r="C399" t="str">
        <f t="shared" ca="1" si="6"/>
        <v/>
      </c>
      <c r="D399" t="str">
        <f>IF(Klantgegevens_B!F398&lt;&gt;"", Klantgegevens_B!F398, Klantgegevens_A!D398 &amp; " " &amp; Klantgegevens_A!E398 &amp; ", " &amp; Klantgegevens_A!F398)</f>
        <v>Femke,Jasmien</v>
      </c>
      <c r="E399">
        <f>IF(Klantgegevens_B!G398&lt;&gt;"", Klantgegevens_B!G398, TEXTJOIN(",", TRUE, REPT("Volwassene,", Klantgegevens_A!G398), REPT("Kind,", Klantgegevens_A!H398)))</f>
        <v>103.78</v>
      </c>
      <c r="F399">
        <f>IF(Klantgegevens_B!G398&lt;&gt;"", LEN(Klantgegevens_B!G398)-LEN(SUBSTITUTE(Klantgegevens_B!G398, ",", ""))+1, Klantgegevens_A!G398)</f>
        <v>1</v>
      </c>
      <c r="G399">
        <f>IF(Klantgegevens_B!G398&lt;&gt;"", 0, Klantgegevens_A!H398)</f>
        <v>0</v>
      </c>
      <c r="H399">
        <f>IF(Klantgegevens_B!H398&lt;&gt;"", Klantgegevens_B!H398, Klantgegevens_A!I398)</f>
        <v>1</v>
      </c>
      <c r="I399" t="str">
        <f>IF(Klantgegevens_B!I398&lt;&gt;"", Klantgegevens_B!I398, SWITCH(Klantgegevens_A!J398, "Zelden", 1, "Af en toe", 4, "Regelmatig", 8, "Vaak", 12))</f>
        <v>Payconiq</v>
      </c>
      <c r="J399" t="str">
        <f>IF(Klantgegevens_B!J398&lt;&gt;"", Klantgegevens_B!J398, Klantgegevens_A!K398)</f>
        <v>ja</v>
      </c>
      <c r="K399">
        <f>IF(Klantgegevens_B!K398&lt;&gt;"", AVERAGE(--(Klantgegevens_B!K398="ja"), --(Klantgegevens_B!L398="ja"), --(Klantgegevens_B!M398="ja"), --(Klantgegevens_B!N398="ja"), --(Klantgegevens_B!O398="ja"))*10, Klantgegevens_A!L398)</f>
        <v>4</v>
      </c>
      <c r="L399" t="str">
        <f>IF(Klantgegevens_B!K398&lt;&gt;"", Klantgegevens_B!K398, IF(Klantgegevens_A!L398&gt;=7, "ja", "nee"))</f>
        <v>ja</v>
      </c>
      <c r="M399" t="str">
        <f>IF(Klantgegevens_B!L398&lt;&gt;"", Klantgegevens_B!L398, IF(Klantgegevens_A!L398&gt;=7, "ja", "nee"))</f>
        <v>ja</v>
      </c>
      <c r="N399" t="str">
        <f>IF(Klantgegevens_B!M398&lt;&gt;"", Klantgegevens_B!M398, IF(Klantgegevens_A!L398&gt;=7, "ja", "nee"))</f>
        <v>nee</v>
      </c>
      <c r="O399" t="str">
        <f>IF(Klantgegevens_B!N398&lt;&gt;"", Klantgegevens_B!N398, IF(Klantgegevens_A!L398&gt;=7, "ja", "nee"))</f>
        <v>nee</v>
      </c>
      <c r="P399" t="str">
        <f>IF(Klantgegevens_B!O398&lt;&gt;"", Klantgegevens_B!O398, IF(Klantgegevens_A!L398&gt;=7, "ja", "nee"))</f>
        <v>Geen dieet</v>
      </c>
      <c r="Q399" t="str">
        <f>IF(Klantgegevens_B!P398&lt;&gt;"", Klantgegevens_B!P398, Klantgegevens_A!M398)</f>
        <v>Geen dieet</v>
      </c>
      <c r="R399" t="str">
        <f>IF(Klantgegevens_B!A398&lt;&gt;"", "B", "A")</f>
        <v>B</v>
      </c>
    </row>
    <row r="400" spans="1:18" x14ac:dyDescent="0.3">
      <c r="A400" t="str">
        <f>IF(Klantgegevens_B!A399&lt;&gt;"", Klantgegevens_B!A399, MID(Klantgegevens_A!A399, FIND(",", Klantgegevens_A!A399)+2, LEN(Klantgegevens_A!A399)))</f>
        <v>Stijn</v>
      </c>
      <c r="B400" t="str">
        <f>IF(Klantgegevens_B!B399&lt;&gt;"", Klantgegevens_B!B399, LEFT(Klantgegevens_A!A399, FIND(",", Klantgegevens_A!A399)-1))</f>
        <v>Vaes</v>
      </c>
      <c r="C400" t="str">
        <f t="shared" ca="1" si="6"/>
        <v/>
      </c>
      <c r="D400" t="str">
        <f>IF(Klantgegevens_B!F399&lt;&gt;"", Klantgegevens_B!F399, Klantgegevens_A!D399 &amp; " " &amp; Klantgegevens_A!E399 &amp; ", " &amp; Klantgegevens_A!F399)</f>
        <v>Stijn,Jordan</v>
      </c>
      <c r="E400">
        <f>IF(Klantgegevens_B!G399&lt;&gt;"", Klantgegevens_B!G399, TEXTJOIN(",", TRUE, REPT("Volwassene,", Klantgegevens_A!G399), REPT("Kind,", Klantgegevens_A!H399)))</f>
        <v>75.760000000000005</v>
      </c>
      <c r="F400">
        <f>IF(Klantgegevens_B!G399&lt;&gt;"", LEN(Klantgegevens_B!G399)-LEN(SUBSTITUTE(Klantgegevens_B!G399, ",", ""))+1, Klantgegevens_A!G399)</f>
        <v>1</v>
      </c>
      <c r="G400">
        <f>IF(Klantgegevens_B!G399&lt;&gt;"", 0, Klantgegevens_A!H399)</f>
        <v>0</v>
      </c>
      <c r="H400">
        <f>IF(Klantgegevens_B!H399&lt;&gt;"", Klantgegevens_B!H399, Klantgegevens_A!I399)</f>
        <v>9</v>
      </c>
      <c r="I400" t="str">
        <f>IF(Klantgegevens_B!I399&lt;&gt;"", Klantgegevens_B!I399, SWITCH(Klantgegevens_A!J399, "Zelden", 1, "Af en toe", 4, "Regelmatig", 8, "Vaak", 12))</f>
        <v>Cash</v>
      </c>
      <c r="J400" t="str">
        <f>IF(Klantgegevens_B!J399&lt;&gt;"", Klantgegevens_B!J399, Klantgegevens_A!K399)</f>
        <v>ja</v>
      </c>
      <c r="K400">
        <f>IF(Klantgegevens_B!K399&lt;&gt;"", AVERAGE(--(Klantgegevens_B!K399="ja"), --(Klantgegevens_B!L399="ja"), --(Klantgegevens_B!M399="ja"), --(Klantgegevens_B!N399="ja"), --(Klantgegevens_B!O399="ja"))*10, Klantgegevens_A!L399)</f>
        <v>2</v>
      </c>
      <c r="L400" t="str">
        <f>IF(Klantgegevens_B!K399&lt;&gt;"", Klantgegevens_B!K399, IF(Klantgegevens_A!L399&gt;=7, "ja", "nee"))</f>
        <v>ja</v>
      </c>
      <c r="M400" t="str">
        <f>IF(Klantgegevens_B!L399&lt;&gt;"", Klantgegevens_B!L399, IF(Klantgegevens_A!L399&gt;=7, "ja", "nee"))</f>
        <v>nee</v>
      </c>
      <c r="N400" t="str">
        <f>IF(Klantgegevens_B!M399&lt;&gt;"", Klantgegevens_B!M399, IF(Klantgegevens_A!L399&gt;=7, "ja", "nee"))</f>
        <v>nee</v>
      </c>
      <c r="O400" t="str">
        <f>IF(Klantgegevens_B!N399&lt;&gt;"", Klantgegevens_B!N399, IF(Klantgegevens_A!L399&gt;=7, "ja", "nee"))</f>
        <v>nee</v>
      </c>
      <c r="P400" t="str">
        <f>IF(Klantgegevens_B!O399&lt;&gt;"", Klantgegevens_B!O399, IF(Klantgegevens_A!L399&gt;=7, "ja", "nee"))</f>
        <v>Geen dieet</v>
      </c>
      <c r="Q400" t="str">
        <f>IF(Klantgegevens_B!P399&lt;&gt;"", Klantgegevens_B!P399, Klantgegevens_A!M399)</f>
        <v>Geen dieet</v>
      </c>
      <c r="R400" t="str">
        <f>IF(Klantgegevens_B!A399&lt;&gt;"", "B", "A")</f>
        <v>B</v>
      </c>
    </row>
    <row r="401" spans="1:18" x14ac:dyDescent="0.3">
      <c r="A401" t="str">
        <f>IF(Klantgegevens_B!A400&lt;&gt;"", Klantgegevens_B!A400, MID(Klantgegevens_A!A400, FIND(",", Klantgegevens_A!A400)+2, LEN(Klantgegevens_A!A400)))</f>
        <v>Kim</v>
      </c>
      <c r="B401" t="str">
        <f>IF(Klantgegevens_B!B400&lt;&gt;"", Klantgegevens_B!B400, LEFT(Klantgegevens_A!A400, FIND(",", Klantgegevens_A!A400)-1))</f>
        <v>Willems</v>
      </c>
      <c r="C401" t="str">
        <f t="shared" ca="1" si="6"/>
        <v/>
      </c>
      <c r="D401" t="str">
        <f>IF(Klantgegevens_B!F400&lt;&gt;"", Klantgegevens_B!F400, Klantgegevens_A!D400 &amp; " " &amp; Klantgegevens_A!E400 &amp; ", " &amp; Klantgegevens_A!F400)</f>
        <v>Kim,Chantal,Cassandra,Salmane,Uzma</v>
      </c>
      <c r="E401">
        <f>IF(Klantgegevens_B!G400&lt;&gt;"", Klantgegevens_B!G400, TEXTJOIN(",", TRUE, REPT("Volwassene,", Klantgegevens_A!G400), REPT("Kind,", Klantgegevens_A!H400)))</f>
        <v>160.6</v>
      </c>
      <c r="F401">
        <f>IF(Klantgegevens_B!G400&lt;&gt;"", LEN(Klantgegevens_B!G400)-LEN(SUBSTITUTE(Klantgegevens_B!G400, ",", ""))+1, Klantgegevens_A!G400)</f>
        <v>1</v>
      </c>
      <c r="G401">
        <f>IF(Klantgegevens_B!G400&lt;&gt;"", 0, Klantgegevens_A!H400)</f>
        <v>0</v>
      </c>
      <c r="H401">
        <f>IF(Klantgegevens_B!H400&lt;&gt;"", Klantgegevens_B!H400, Klantgegevens_A!I400)</f>
        <v>13</v>
      </c>
      <c r="I401" t="str">
        <f>IF(Klantgegevens_B!I400&lt;&gt;"", Klantgegevens_B!I400, SWITCH(Klantgegevens_A!J400, "Zelden", 1, "Af en toe", 4, "Regelmatig", 8, "Vaak", 12))</f>
        <v>Payconiq</v>
      </c>
      <c r="J401" t="str">
        <f>IF(Klantgegevens_B!J400&lt;&gt;"", Klantgegevens_B!J400, Klantgegevens_A!K400)</f>
        <v>nee</v>
      </c>
      <c r="K401">
        <f>IF(Klantgegevens_B!K400&lt;&gt;"", AVERAGE(--(Klantgegevens_B!K400="ja"), --(Klantgegevens_B!L400="ja"), --(Klantgegevens_B!M400="ja"), --(Klantgegevens_B!N400="ja"), --(Klantgegevens_B!O400="ja"))*10, Klantgegevens_A!L400)</f>
        <v>4</v>
      </c>
      <c r="L401" t="str">
        <f>IF(Klantgegevens_B!K400&lt;&gt;"", Klantgegevens_B!K400, IF(Klantgegevens_A!L400&gt;=7, "ja", "nee"))</f>
        <v>ja</v>
      </c>
      <c r="M401" t="str">
        <f>IF(Klantgegevens_B!L400&lt;&gt;"", Klantgegevens_B!L400, IF(Klantgegevens_A!L400&gt;=7, "ja", "nee"))</f>
        <v>nee</v>
      </c>
      <c r="N401" t="str">
        <f>IF(Klantgegevens_B!M400&lt;&gt;"", Klantgegevens_B!M400, IF(Klantgegevens_A!L400&gt;=7, "ja", "nee"))</f>
        <v>ja</v>
      </c>
      <c r="O401" t="str">
        <f>IF(Klantgegevens_B!N400&lt;&gt;"", Klantgegevens_B!N400, IF(Klantgegevens_A!L400&gt;=7, "ja", "nee"))</f>
        <v>nee</v>
      </c>
      <c r="P401" t="str">
        <f>IF(Klantgegevens_B!O400&lt;&gt;"", Klantgegevens_B!O400, IF(Klantgegevens_A!L400&gt;=7, "ja", "nee"))</f>
        <v>Veganistisch</v>
      </c>
      <c r="Q401" t="str">
        <f>IF(Klantgegevens_B!P400&lt;&gt;"", Klantgegevens_B!P400, Klantgegevens_A!M400)</f>
        <v>Geen dieet</v>
      </c>
      <c r="R401" t="str">
        <f>IF(Klantgegevens_B!A400&lt;&gt;"", "B", "A")</f>
        <v>B</v>
      </c>
    </row>
    <row r="402" spans="1:18" x14ac:dyDescent="0.3">
      <c r="A402" t="str">
        <f>IF(Klantgegevens_B!A401&lt;&gt;"", Klantgegevens_B!A401, MID(Klantgegevens_A!A401, FIND(",", Klantgegevens_A!A401)+2, LEN(Klantgegevens_A!A401)))</f>
        <v>François</v>
      </c>
      <c r="B402" t="str">
        <f>IF(Klantgegevens_B!B401&lt;&gt;"", Klantgegevens_B!B401, LEFT(Klantgegevens_A!A401, FIND(",", Klantgegevens_A!A401)-1))</f>
        <v>Verheyen</v>
      </c>
      <c r="C402" t="str">
        <f t="shared" ca="1" si="6"/>
        <v/>
      </c>
      <c r="D402" t="str">
        <f>IF(Klantgegevens_B!F401&lt;&gt;"", Klantgegevens_B!F401, Klantgegevens_A!D401 &amp; " " &amp; Klantgegevens_A!E401 &amp; ", " &amp; Klantgegevens_A!F401)</f>
        <v>François,Jean-Charles</v>
      </c>
      <c r="E402">
        <f>IF(Klantgegevens_B!G401&lt;&gt;"", Klantgegevens_B!G401, TEXTJOIN(",", TRUE, REPT("Volwassene,", Klantgegevens_A!G401), REPT("Kind,", Klantgegevens_A!H401)))</f>
        <v>60.41</v>
      </c>
      <c r="F402">
        <f>IF(Klantgegevens_B!G401&lt;&gt;"", LEN(Klantgegevens_B!G401)-LEN(SUBSTITUTE(Klantgegevens_B!G401, ",", ""))+1, Klantgegevens_A!G401)</f>
        <v>1</v>
      </c>
      <c r="G402">
        <f>IF(Klantgegevens_B!G401&lt;&gt;"", 0, Klantgegevens_A!H401)</f>
        <v>0</v>
      </c>
      <c r="H402">
        <f>IF(Klantgegevens_B!H401&lt;&gt;"", Klantgegevens_B!H401, Klantgegevens_A!I401)</f>
        <v>4</v>
      </c>
      <c r="I402" t="str">
        <f>IF(Klantgegevens_B!I401&lt;&gt;"", Klantgegevens_B!I401, SWITCH(Klantgegevens_A!J401, "Zelden", 1, "Af en toe", 4, "Regelmatig", 8, "Vaak", 12))</f>
        <v>Payconiq</v>
      </c>
      <c r="J402" t="str">
        <f>IF(Klantgegevens_B!J401&lt;&gt;"", Klantgegevens_B!J401, Klantgegevens_A!K401)</f>
        <v>nee</v>
      </c>
      <c r="K402">
        <f>IF(Klantgegevens_B!K401&lt;&gt;"", AVERAGE(--(Klantgegevens_B!K401="ja"), --(Klantgegevens_B!L401="ja"), --(Klantgegevens_B!M401="ja"), --(Klantgegevens_B!N401="ja"), --(Klantgegevens_B!O401="ja"))*10, Klantgegevens_A!L401)</f>
        <v>6</v>
      </c>
      <c r="L402" t="str">
        <f>IF(Klantgegevens_B!K401&lt;&gt;"", Klantgegevens_B!K401, IF(Klantgegevens_A!L401&gt;=7, "ja", "nee"))</f>
        <v>nee</v>
      </c>
      <c r="M402" t="str">
        <f>IF(Klantgegevens_B!L401&lt;&gt;"", Klantgegevens_B!L401, IF(Klantgegevens_A!L401&gt;=7, "ja", "nee"))</f>
        <v>ja</v>
      </c>
      <c r="N402" t="str">
        <f>IF(Klantgegevens_B!M401&lt;&gt;"", Klantgegevens_B!M401, IF(Klantgegevens_A!L401&gt;=7, "ja", "nee"))</f>
        <v>ja</v>
      </c>
      <c r="O402" t="str">
        <f>IF(Klantgegevens_B!N401&lt;&gt;"", Klantgegevens_B!N401, IF(Klantgegevens_A!L401&gt;=7, "ja", "nee"))</f>
        <v>ja</v>
      </c>
      <c r="P402" t="str">
        <f>IF(Klantgegevens_B!O401&lt;&gt;"", Klantgegevens_B!O401, IF(Klantgegevens_A!L401&gt;=7, "ja", "nee"))</f>
        <v>Veganistisch</v>
      </c>
      <c r="Q402" t="str">
        <f>IF(Klantgegevens_B!P401&lt;&gt;"", Klantgegevens_B!P401, Klantgegevens_A!M401)</f>
        <v>Geen dieet</v>
      </c>
      <c r="R402" t="str">
        <f>IF(Klantgegevens_B!A401&lt;&gt;"", "B", "A")</f>
        <v>B</v>
      </c>
    </row>
    <row r="403" spans="1:18" x14ac:dyDescent="0.3">
      <c r="A403" t="str">
        <f>IF(Klantgegevens_B!A402&lt;&gt;"", Klantgegevens_B!A402, MID(Klantgegevens_A!A402, FIND(",", Klantgegevens_A!A402)+2, LEN(Klantgegevens_A!A402)))</f>
        <v>Elyana</v>
      </c>
      <c r="B403" t="str">
        <f>IF(Klantgegevens_B!B402&lt;&gt;"", Klantgegevens_B!B402, LEFT(Klantgegevens_A!A402, FIND(",", Klantgegevens_A!A402)-1))</f>
        <v>Bodart</v>
      </c>
      <c r="C403" t="str">
        <f t="shared" ca="1" si="6"/>
        <v/>
      </c>
      <c r="D403" t="str">
        <f>IF(Klantgegevens_B!F402&lt;&gt;"", Klantgegevens_B!F402, Klantgegevens_A!D402 &amp; " " &amp; Klantgegevens_A!E402 &amp; ", " &amp; Klantgegevens_A!F402)</f>
        <v>Elyana</v>
      </c>
      <c r="E403">
        <f>IF(Klantgegevens_B!G402&lt;&gt;"", Klantgegevens_B!G402, TEXTJOIN(",", TRUE, REPT("Volwassene,", Klantgegevens_A!G402), REPT("Kind,", Klantgegevens_A!H402)))</f>
        <v>19.920000000000002</v>
      </c>
      <c r="F403">
        <f>IF(Klantgegevens_B!G402&lt;&gt;"", LEN(Klantgegevens_B!G402)-LEN(SUBSTITUTE(Klantgegevens_B!G402, ",", ""))+1, Klantgegevens_A!G402)</f>
        <v>1</v>
      </c>
      <c r="G403">
        <f>IF(Klantgegevens_B!G402&lt;&gt;"", 0, Klantgegevens_A!H402)</f>
        <v>0</v>
      </c>
      <c r="H403">
        <f>IF(Klantgegevens_B!H402&lt;&gt;"", Klantgegevens_B!H402, Klantgegevens_A!I402)</f>
        <v>16</v>
      </c>
      <c r="I403" t="str">
        <f>IF(Klantgegevens_B!I402&lt;&gt;"", Klantgegevens_B!I402, SWITCH(Klantgegevens_A!J402, "Zelden", 1, "Af en toe", 4, "Regelmatig", 8, "Vaak", 12))</f>
        <v>Payconiq</v>
      </c>
      <c r="J403" t="str">
        <f>IF(Klantgegevens_B!J402&lt;&gt;"", Klantgegevens_B!J402, Klantgegevens_A!K402)</f>
        <v>ja</v>
      </c>
      <c r="K403">
        <f>IF(Klantgegevens_B!K402&lt;&gt;"", AVERAGE(--(Klantgegevens_B!K402="ja"), --(Klantgegevens_B!L402="ja"), --(Klantgegevens_B!M402="ja"), --(Klantgegevens_B!N402="ja"), --(Klantgegevens_B!O402="ja"))*10, Klantgegevens_A!L402)</f>
        <v>6</v>
      </c>
      <c r="L403" t="str">
        <f>IF(Klantgegevens_B!K402&lt;&gt;"", Klantgegevens_B!K402, IF(Klantgegevens_A!L402&gt;=7, "ja", "nee"))</f>
        <v>ja</v>
      </c>
      <c r="M403" t="str">
        <f>IF(Klantgegevens_B!L402&lt;&gt;"", Klantgegevens_B!L402, IF(Klantgegevens_A!L402&gt;=7, "ja", "nee"))</f>
        <v>ja</v>
      </c>
      <c r="N403" t="str">
        <f>IF(Klantgegevens_B!M402&lt;&gt;"", Klantgegevens_B!M402, IF(Klantgegevens_A!L402&gt;=7, "ja", "nee"))</f>
        <v>nee</v>
      </c>
      <c r="O403" t="str">
        <f>IF(Klantgegevens_B!N402&lt;&gt;"", Klantgegevens_B!N402, IF(Klantgegevens_A!L402&gt;=7, "ja", "nee"))</f>
        <v>ja</v>
      </c>
      <c r="P403" t="str">
        <f>IF(Klantgegevens_B!O402&lt;&gt;"", Klantgegevens_B!O402, IF(Klantgegevens_A!L402&gt;=7, "ja", "nee"))</f>
        <v>Geen dieet</v>
      </c>
      <c r="Q403" t="str">
        <f>IF(Klantgegevens_B!P402&lt;&gt;"", Klantgegevens_B!P402, Klantgegevens_A!M402)</f>
        <v>Geen dieet</v>
      </c>
      <c r="R403" t="str">
        <f>IF(Klantgegevens_B!A402&lt;&gt;"", "B", "A")</f>
        <v>B</v>
      </c>
    </row>
    <row r="404" spans="1:18" x14ac:dyDescent="0.3">
      <c r="A404" t="str">
        <f>IF(Klantgegevens_B!A403&lt;&gt;"", Klantgegevens_B!A403, MID(Klantgegevens_A!A403, FIND(",", Klantgegevens_A!A403)+2, LEN(Klantgegevens_A!A403)))</f>
        <v>Taher</v>
      </c>
      <c r="B404" t="str">
        <f>IF(Klantgegevens_B!B403&lt;&gt;"", Klantgegevens_B!B403, LEFT(Klantgegevens_A!A403, FIND(",", Klantgegevens_A!A403)-1))</f>
        <v>Lambert</v>
      </c>
      <c r="C404" t="str">
        <f t="shared" ca="1" si="6"/>
        <v/>
      </c>
      <c r="D404" t="str">
        <f>IF(Klantgegevens_B!F403&lt;&gt;"", Klantgegevens_B!F403, Klantgegevens_A!D403 &amp; " " &amp; Klantgegevens_A!E403 &amp; ", " &amp; Klantgegevens_A!F403)</f>
        <v>Taher,Ziggy</v>
      </c>
      <c r="E404">
        <f>IF(Klantgegevens_B!G403&lt;&gt;"", Klantgegevens_B!G403, TEXTJOIN(",", TRUE, REPT("Volwassene,", Klantgegevens_A!G403), REPT("Kind,", Klantgegevens_A!H403)))</f>
        <v>76.12</v>
      </c>
      <c r="F404">
        <f>IF(Klantgegevens_B!G403&lt;&gt;"", LEN(Klantgegevens_B!G403)-LEN(SUBSTITUTE(Klantgegevens_B!G403, ",", ""))+1, Klantgegevens_A!G403)</f>
        <v>1</v>
      </c>
      <c r="G404">
        <f>IF(Klantgegevens_B!G403&lt;&gt;"", 0, Klantgegevens_A!H403)</f>
        <v>0</v>
      </c>
      <c r="H404">
        <f>IF(Klantgegevens_B!H403&lt;&gt;"", Klantgegevens_B!H403, Klantgegevens_A!I403)</f>
        <v>1</v>
      </c>
      <c r="I404" t="str">
        <f>IF(Klantgegevens_B!I403&lt;&gt;"", Klantgegevens_B!I403, SWITCH(Klantgegevens_A!J403, "Zelden", 1, "Af en toe", 4, "Regelmatig", 8, "Vaak", 12))</f>
        <v>Cash</v>
      </c>
      <c r="J404" t="str">
        <f>IF(Klantgegevens_B!J403&lt;&gt;"", Klantgegevens_B!J403, Klantgegevens_A!K403)</f>
        <v>nee</v>
      </c>
      <c r="K404">
        <f>IF(Klantgegevens_B!K403&lt;&gt;"", AVERAGE(--(Klantgegevens_B!K403="ja"), --(Klantgegevens_B!L403="ja"), --(Klantgegevens_B!M403="ja"), --(Klantgegevens_B!N403="ja"), --(Klantgegevens_B!O403="ja"))*10, Klantgegevens_A!L403)</f>
        <v>6</v>
      </c>
      <c r="L404" t="str">
        <f>IF(Klantgegevens_B!K403&lt;&gt;"", Klantgegevens_B!K403, IF(Klantgegevens_A!L403&gt;=7, "ja", "nee"))</f>
        <v>ja</v>
      </c>
      <c r="M404" t="str">
        <f>IF(Klantgegevens_B!L403&lt;&gt;"", Klantgegevens_B!L403, IF(Klantgegevens_A!L403&gt;=7, "ja", "nee"))</f>
        <v>ja</v>
      </c>
      <c r="N404" t="str">
        <f>IF(Klantgegevens_B!M403&lt;&gt;"", Klantgegevens_B!M403, IF(Klantgegevens_A!L403&gt;=7, "ja", "nee"))</f>
        <v>nee</v>
      </c>
      <c r="O404" t="str">
        <f>IF(Klantgegevens_B!N403&lt;&gt;"", Klantgegevens_B!N403, IF(Klantgegevens_A!L403&gt;=7, "ja", "nee"))</f>
        <v>ja</v>
      </c>
      <c r="P404" t="str">
        <f>IF(Klantgegevens_B!O403&lt;&gt;"", Klantgegevens_B!O403, IF(Klantgegevens_A!L403&gt;=7, "ja", "nee"))</f>
        <v>Vegetarisch</v>
      </c>
      <c r="Q404" t="str">
        <f>IF(Klantgegevens_B!P403&lt;&gt;"", Klantgegevens_B!P403, Klantgegevens_A!M403)</f>
        <v>Veganistisch</v>
      </c>
      <c r="R404" t="str">
        <f>IF(Klantgegevens_B!A403&lt;&gt;"", "B", "A")</f>
        <v>B</v>
      </c>
    </row>
    <row r="405" spans="1:18" x14ac:dyDescent="0.3">
      <c r="A405" t="str">
        <f>IF(Klantgegevens_B!A404&lt;&gt;"", Klantgegevens_B!A404, MID(Klantgegevens_A!A404, FIND(",", Klantgegevens_A!A404)+2, LEN(Klantgegevens_A!A404)))</f>
        <v>Tony</v>
      </c>
      <c r="B405" t="str">
        <f>IF(Klantgegevens_B!B404&lt;&gt;"", Klantgegevens_B!B404, LEFT(Klantgegevens_A!A404, FIND(",", Klantgegevens_A!A404)-1))</f>
        <v>Vandenbussche</v>
      </c>
      <c r="C405" t="str">
        <f t="shared" ca="1" si="6"/>
        <v/>
      </c>
      <c r="D405" t="str">
        <f>IF(Klantgegevens_B!F404&lt;&gt;"", Klantgegevens_B!F404, Klantgegevens_A!D404 &amp; " " &amp; Klantgegevens_A!E404 &amp; ", " &amp; Klantgegevens_A!F404)</f>
        <v>Tony,Albert,Marinette,Sonja</v>
      </c>
      <c r="E405">
        <f>IF(Klantgegevens_B!G404&lt;&gt;"", Klantgegevens_B!G404, TEXTJOIN(",", TRUE, REPT("Volwassene,", Klantgegevens_A!G404), REPT("Kind,", Klantgegevens_A!H404)))</f>
        <v>94.54</v>
      </c>
      <c r="F405">
        <f>IF(Klantgegevens_B!G404&lt;&gt;"", LEN(Klantgegevens_B!G404)-LEN(SUBSTITUTE(Klantgegevens_B!G404, ",", ""))+1, Klantgegevens_A!G404)</f>
        <v>1</v>
      </c>
      <c r="G405">
        <f>IF(Klantgegevens_B!G404&lt;&gt;"", 0, Klantgegevens_A!H404)</f>
        <v>0</v>
      </c>
      <c r="H405">
        <f>IF(Klantgegevens_B!H404&lt;&gt;"", Klantgegevens_B!H404, Klantgegevens_A!I404)</f>
        <v>5</v>
      </c>
      <c r="I405" t="str">
        <f>IF(Klantgegevens_B!I404&lt;&gt;"", Klantgegevens_B!I404, SWITCH(Klantgegevens_A!J404, "Zelden", 1, "Af en toe", 4, "Regelmatig", 8, "Vaak", 12))</f>
        <v>Cash</v>
      </c>
      <c r="J405" t="str">
        <f>IF(Klantgegevens_B!J404&lt;&gt;"", Klantgegevens_B!J404, Klantgegevens_A!K404)</f>
        <v>ja</v>
      </c>
      <c r="K405">
        <f>IF(Klantgegevens_B!K404&lt;&gt;"", AVERAGE(--(Klantgegevens_B!K404="ja"), --(Klantgegevens_B!L404="ja"), --(Klantgegevens_B!M404="ja"), --(Klantgegevens_B!N404="ja"), --(Klantgegevens_B!O404="ja"))*10, Klantgegevens_A!L404)</f>
        <v>4</v>
      </c>
      <c r="L405" t="str">
        <f>IF(Klantgegevens_B!K404&lt;&gt;"", Klantgegevens_B!K404, IF(Klantgegevens_A!L404&gt;=7, "ja", "nee"))</f>
        <v>ja</v>
      </c>
      <c r="M405" t="str">
        <f>IF(Klantgegevens_B!L404&lt;&gt;"", Klantgegevens_B!L404, IF(Klantgegevens_A!L404&gt;=7, "ja", "nee"))</f>
        <v>nee</v>
      </c>
      <c r="N405" t="str">
        <f>IF(Klantgegevens_B!M404&lt;&gt;"", Klantgegevens_B!M404, IF(Klantgegevens_A!L404&gt;=7, "ja", "nee"))</f>
        <v>ja</v>
      </c>
      <c r="O405" t="str">
        <f>IF(Klantgegevens_B!N404&lt;&gt;"", Klantgegevens_B!N404, IF(Klantgegevens_A!L404&gt;=7, "ja", "nee"))</f>
        <v>nee</v>
      </c>
      <c r="P405" t="str">
        <f>IF(Klantgegevens_B!O404&lt;&gt;"", Klantgegevens_B!O404, IF(Klantgegevens_A!L404&gt;=7, "ja", "nee"))</f>
        <v>Geen dieet</v>
      </c>
      <c r="Q405" t="str">
        <f>IF(Klantgegevens_B!P404&lt;&gt;"", Klantgegevens_B!P404, Klantgegevens_A!M404)</f>
        <v>Vegetarisch</v>
      </c>
      <c r="R405" t="str">
        <f>IF(Klantgegevens_B!A404&lt;&gt;"", "B", "A")</f>
        <v>B</v>
      </c>
    </row>
    <row r="406" spans="1:18" x14ac:dyDescent="0.3">
      <c r="A406" t="str">
        <f>IF(Klantgegevens_B!A405&lt;&gt;"", Klantgegevens_B!A405, MID(Klantgegevens_A!A405, FIND(",", Klantgegevens_A!A405)+2, LEN(Klantgegevens_A!A405)))</f>
        <v>Ingrid</v>
      </c>
      <c r="B406" t="str">
        <f>IF(Klantgegevens_B!B405&lt;&gt;"", Klantgegevens_B!B405, LEFT(Klantgegevens_A!A405, FIND(",", Klantgegevens_A!A405)-1))</f>
        <v>Smets</v>
      </c>
      <c r="C406" t="str">
        <f t="shared" ca="1" si="6"/>
        <v/>
      </c>
      <c r="D406" t="str">
        <f>IF(Klantgegevens_B!F405&lt;&gt;"", Klantgegevens_B!F405, Klantgegevens_A!D405 &amp; " " &amp; Klantgegevens_A!E405 &amp; ", " &amp; Klantgegevens_A!F405)</f>
        <v>Ingrid,Sophie</v>
      </c>
      <c r="E406">
        <f>IF(Klantgegevens_B!G405&lt;&gt;"", Klantgegevens_B!G405, TEXTJOIN(",", TRUE, REPT("Volwassene,", Klantgegevens_A!G405), REPT("Kind,", Klantgegevens_A!H405)))</f>
        <v>171.11</v>
      </c>
      <c r="F406">
        <f>IF(Klantgegevens_B!G405&lt;&gt;"", LEN(Klantgegevens_B!G405)-LEN(SUBSTITUTE(Klantgegevens_B!G405, ",", ""))+1, Klantgegevens_A!G405)</f>
        <v>1</v>
      </c>
      <c r="G406">
        <f>IF(Klantgegevens_B!G405&lt;&gt;"", 0, Klantgegevens_A!H405)</f>
        <v>0</v>
      </c>
      <c r="H406">
        <f>IF(Klantgegevens_B!H405&lt;&gt;"", Klantgegevens_B!H405, Klantgegevens_A!I405)</f>
        <v>9</v>
      </c>
      <c r="I406" t="str">
        <f>IF(Klantgegevens_B!I405&lt;&gt;"", Klantgegevens_B!I405, SWITCH(Klantgegevens_A!J405, "Zelden", 1, "Af en toe", 4, "Regelmatig", 8, "Vaak", 12))</f>
        <v>Bancontact</v>
      </c>
      <c r="J406" t="str">
        <f>IF(Klantgegevens_B!J405&lt;&gt;"", Klantgegevens_B!J405, Klantgegevens_A!K405)</f>
        <v>ja</v>
      </c>
      <c r="K406">
        <f>IF(Klantgegevens_B!K405&lt;&gt;"", AVERAGE(--(Klantgegevens_B!K405="ja"), --(Klantgegevens_B!L405="ja"), --(Klantgegevens_B!M405="ja"), --(Klantgegevens_B!N405="ja"), --(Klantgegevens_B!O405="ja"))*10, Klantgegevens_A!L405)</f>
        <v>4</v>
      </c>
      <c r="L406" t="str">
        <f>IF(Klantgegevens_B!K405&lt;&gt;"", Klantgegevens_B!K405, IF(Klantgegevens_A!L405&gt;=7, "ja", "nee"))</f>
        <v>nee</v>
      </c>
      <c r="M406" t="str">
        <f>IF(Klantgegevens_B!L405&lt;&gt;"", Klantgegevens_B!L405, IF(Klantgegevens_A!L405&gt;=7, "ja", "nee"))</f>
        <v>nee</v>
      </c>
      <c r="N406" t="str">
        <f>IF(Klantgegevens_B!M405&lt;&gt;"", Klantgegevens_B!M405, IF(Klantgegevens_A!L405&gt;=7, "ja", "nee"))</f>
        <v>ja</v>
      </c>
      <c r="O406" t="str">
        <f>IF(Klantgegevens_B!N405&lt;&gt;"", Klantgegevens_B!N405, IF(Klantgegevens_A!L405&gt;=7, "ja", "nee"))</f>
        <v>ja</v>
      </c>
      <c r="P406" t="str">
        <f>IF(Klantgegevens_B!O405&lt;&gt;"", Klantgegevens_B!O405, IF(Klantgegevens_A!L405&gt;=7, "ja", "nee"))</f>
        <v>Vegetarisch</v>
      </c>
      <c r="Q406" t="str">
        <f>IF(Klantgegevens_B!P405&lt;&gt;"", Klantgegevens_B!P405, Klantgegevens_A!M405)</f>
        <v>Geen dieet</v>
      </c>
      <c r="R406" t="str">
        <f>IF(Klantgegevens_B!A405&lt;&gt;"", "B", "A")</f>
        <v>B</v>
      </c>
    </row>
    <row r="407" spans="1:18" x14ac:dyDescent="0.3">
      <c r="A407" t="str">
        <f>IF(Klantgegevens_B!A406&lt;&gt;"", Klantgegevens_B!A406, MID(Klantgegevens_A!A406, FIND(",", Klantgegevens_A!A406)+2, LEN(Klantgegevens_A!A406)))</f>
        <v>Martine</v>
      </c>
      <c r="B407" t="str">
        <f>IF(Klantgegevens_B!B406&lt;&gt;"", Klantgegevens_B!B406, LEFT(Klantgegevens_A!A406, FIND(",", Klantgegevens_A!A406)-1))</f>
        <v>Wouters</v>
      </c>
      <c r="C407" t="str">
        <f t="shared" ca="1" si="6"/>
        <v/>
      </c>
      <c r="D407" t="str">
        <f>IF(Klantgegevens_B!F406&lt;&gt;"", Klantgegevens_B!F406, Klantgegevens_A!D406 &amp; " " &amp; Klantgegevens_A!E406 &amp; ", " &amp; Klantgegevens_A!F406)</f>
        <v>Martine,Jeanine</v>
      </c>
      <c r="E407">
        <f>IF(Klantgegevens_B!G406&lt;&gt;"", Klantgegevens_B!G406, TEXTJOIN(",", TRUE, REPT("Volwassene,", Klantgegevens_A!G406), REPT("Kind,", Klantgegevens_A!H406)))</f>
        <v>133.16999999999999</v>
      </c>
      <c r="F407">
        <f>IF(Klantgegevens_B!G406&lt;&gt;"", LEN(Klantgegevens_B!G406)-LEN(SUBSTITUTE(Klantgegevens_B!G406, ",", ""))+1, Klantgegevens_A!G406)</f>
        <v>1</v>
      </c>
      <c r="G407">
        <f>IF(Klantgegevens_B!G406&lt;&gt;"", 0, Klantgegevens_A!H406)</f>
        <v>0</v>
      </c>
      <c r="H407">
        <f>IF(Klantgegevens_B!H406&lt;&gt;"", Klantgegevens_B!H406, Klantgegevens_A!I406)</f>
        <v>5</v>
      </c>
      <c r="I407" t="str">
        <f>IF(Klantgegevens_B!I406&lt;&gt;"", Klantgegevens_B!I406, SWITCH(Klantgegevens_A!J406, "Zelden", 1, "Af en toe", 4, "Regelmatig", 8, "Vaak", 12))</f>
        <v>Cash</v>
      </c>
      <c r="J407" t="str">
        <f>IF(Klantgegevens_B!J406&lt;&gt;"", Klantgegevens_B!J406, Klantgegevens_A!K406)</f>
        <v>ja</v>
      </c>
      <c r="K407">
        <f>IF(Klantgegevens_B!K406&lt;&gt;"", AVERAGE(--(Klantgegevens_B!K406="ja"), --(Klantgegevens_B!L406="ja"), --(Klantgegevens_B!M406="ja"), --(Klantgegevens_B!N406="ja"), --(Klantgegevens_B!O406="ja"))*10, Klantgegevens_A!L406)</f>
        <v>6</v>
      </c>
      <c r="L407" t="str">
        <f>IF(Klantgegevens_B!K406&lt;&gt;"", Klantgegevens_B!K406, IF(Klantgegevens_A!L406&gt;=7, "ja", "nee"))</f>
        <v>ja</v>
      </c>
      <c r="M407" t="str">
        <f>IF(Klantgegevens_B!L406&lt;&gt;"", Klantgegevens_B!L406, IF(Klantgegevens_A!L406&gt;=7, "ja", "nee"))</f>
        <v>nee</v>
      </c>
      <c r="N407" t="str">
        <f>IF(Klantgegevens_B!M406&lt;&gt;"", Klantgegevens_B!M406, IF(Klantgegevens_A!L406&gt;=7, "ja", "nee"))</f>
        <v>ja</v>
      </c>
      <c r="O407" t="str">
        <f>IF(Klantgegevens_B!N406&lt;&gt;"", Klantgegevens_B!N406, IF(Klantgegevens_A!L406&gt;=7, "ja", "nee"))</f>
        <v>ja</v>
      </c>
      <c r="P407" t="str">
        <f>IF(Klantgegevens_B!O406&lt;&gt;"", Klantgegevens_B!O406, IF(Klantgegevens_A!L406&gt;=7, "ja", "nee"))</f>
        <v>Vegetarisch</v>
      </c>
      <c r="Q407" t="str">
        <f>IF(Klantgegevens_B!P406&lt;&gt;"", Klantgegevens_B!P406, Klantgegevens_A!M406)</f>
        <v>Vegetarisch</v>
      </c>
      <c r="R407" t="str">
        <f>IF(Klantgegevens_B!A406&lt;&gt;"", "B", "A")</f>
        <v>B</v>
      </c>
    </row>
    <row r="408" spans="1:18" x14ac:dyDescent="0.3">
      <c r="A408" t="str">
        <f>IF(Klantgegevens_B!A407&lt;&gt;"", Klantgegevens_B!A407, MID(Klantgegevens_A!A407, FIND(",", Klantgegevens_A!A407)+2, LEN(Klantgegevens_A!A407)))</f>
        <v>Emma</v>
      </c>
      <c r="B408" t="str">
        <f>IF(Klantgegevens_B!B407&lt;&gt;"", Klantgegevens_B!B407, LEFT(Klantgegevens_A!A407, FIND(",", Klantgegevens_A!A407)-1))</f>
        <v>Van de velde</v>
      </c>
      <c r="C408" t="str">
        <f t="shared" ca="1" si="6"/>
        <v/>
      </c>
      <c r="D408" t="str">
        <f>IF(Klantgegevens_B!F407&lt;&gt;"", Klantgegevens_B!F407, Klantgegevens_A!D407 &amp; " " &amp; Klantgegevens_A!E407 &amp; ", " &amp; Klantgegevens_A!F407)</f>
        <v>Emma,Murielle,Rafaela</v>
      </c>
      <c r="E408">
        <f>IF(Klantgegevens_B!G407&lt;&gt;"", Klantgegevens_B!G407, TEXTJOIN(",", TRUE, REPT("Volwassene,", Klantgegevens_A!G407), REPT("Kind,", Klantgegevens_A!H407)))</f>
        <v>99.73</v>
      </c>
      <c r="F408">
        <f>IF(Klantgegevens_B!G407&lt;&gt;"", LEN(Klantgegevens_B!G407)-LEN(SUBSTITUTE(Klantgegevens_B!G407, ",", ""))+1, Klantgegevens_A!G407)</f>
        <v>1</v>
      </c>
      <c r="G408">
        <f>IF(Klantgegevens_B!G407&lt;&gt;"", 0, Klantgegevens_A!H407)</f>
        <v>0</v>
      </c>
      <c r="H408">
        <f>IF(Klantgegevens_B!H407&lt;&gt;"", Klantgegevens_B!H407, Klantgegevens_A!I407)</f>
        <v>16</v>
      </c>
      <c r="I408" t="str">
        <f>IF(Klantgegevens_B!I407&lt;&gt;"", Klantgegevens_B!I407, SWITCH(Klantgegevens_A!J407, "Zelden", 1, "Af en toe", 4, "Regelmatig", 8, "Vaak", 12))</f>
        <v>Bancontact</v>
      </c>
      <c r="J408" t="str">
        <f>IF(Klantgegevens_B!J407&lt;&gt;"", Klantgegevens_B!J407, Klantgegevens_A!K407)</f>
        <v>ja</v>
      </c>
      <c r="K408">
        <f>IF(Klantgegevens_B!K407&lt;&gt;"", AVERAGE(--(Klantgegevens_B!K407="ja"), --(Klantgegevens_B!L407="ja"), --(Klantgegevens_B!M407="ja"), --(Klantgegevens_B!N407="ja"), --(Klantgegevens_B!O407="ja"))*10, Klantgegevens_A!L407)</f>
        <v>6</v>
      </c>
      <c r="L408" t="str">
        <f>IF(Klantgegevens_B!K407&lt;&gt;"", Klantgegevens_B!K407, IF(Klantgegevens_A!L407&gt;=7, "ja", "nee"))</f>
        <v>ja</v>
      </c>
      <c r="M408" t="str">
        <f>IF(Klantgegevens_B!L407&lt;&gt;"", Klantgegevens_B!L407, IF(Klantgegevens_A!L407&gt;=7, "ja", "nee"))</f>
        <v>nee</v>
      </c>
      <c r="N408" t="str">
        <f>IF(Klantgegevens_B!M407&lt;&gt;"", Klantgegevens_B!M407, IF(Klantgegevens_A!L407&gt;=7, "ja", "nee"))</f>
        <v>ja</v>
      </c>
      <c r="O408" t="str">
        <f>IF(Klantgegevens_B!N407&lt;&gt;"", Klantgegevens_B!N407, IF(Klantgegevens_A!L407&gt;=7, "ja", "nee"))</f>
        <v>ja</v>
      </c>
      <c r="P408" t="str">
        <f>IF(Klantgegevens_B!O407&lt;&gt;"", Klantgegevens_B!O407, IF(Klantgegevens_A!L407&gt;=7, "ja", "nee"))</f>
        <v>Geen dieet</v>
      </c>
      <c r="Q408" t="str">
        <f>IF(Klantgegevens_B!P407&lt;&gt;"", Klantgegevens_B!P407, Klantgegevens_A!M407)</f>
        <v>Geen dieet</v>
      </c>
      <c r="R408" t="str">
        <f>IF(Klantgegevens_B!A407&lt;&gt;"", "B", "A")</f>
        <v>B</v>
      </c>
    </row>
    <row r="409" spans="1:18" x14ac:dyDescent="0.3">
      <c r="A409" t="str">
        <f>IF(Klantgegevens_B!A408&lt;&gt;"", Klantgegevens_B!A408, MID(Klantgegevens_A!A408, FIND(",", Klantgegevens_A!A408)+2, LEN(Klantgegevens_A!A408)))</f>
        <v>Alain</v>
      </c>
      <c r="B409" t="str">
        <f>IF(Klantgegevens_B!B408&lt;&gt;"", Klantgegevens_B!B408, LEFT(Klantgegevens_A!A408, FIND(",", Klantgegevens_A!A408)-1))</f>
        <v>Verheyen</v>
      </c>
      <c r="C409" t="str">
        <f t="shared" ca="1" si="6"/>
        <v/>
      </c>
      <c r="D409" t="str">
        <f>IF(Klantgegevens_B!F408&lt;&gt;"", Klantgegevens_B!F408, Klantgegevens_A!D408 &amp; " " &amp; Klantgegevens_A!E408 &amp; ", " &amp; Klantgegevens_A!F408)</f>
        <v>Alain,Juliette</v>
      </c>
      <c r="E409">
        <f>IF(Klantgegevens_B!G408&lt;&gt;"", Klantgegevens_B!G408, TEXTJOIN(",", TRUE, REPT("Volwassene,", Klantgegevens_A!G408), REPT("Kind,", Klantgegevens_A!H408)))</f>
        <v>134.58000000000001</v>
      </c>
      <c r="F409">
        <f>IF(Klantgegevens_B!G408&lt;&gt;"", LEN(Klantgegevens_B!G408)-LEN(SUBSTITUTE(Klantgegevens_B!G408, ",", ""))+1, Klantgegevens_A!G408)</f>
        <v>1</v>
      </c>
      <c r="G409">
        <f>IF(Klantgegevens_B!G408&lt;&gt;"", 0, Klantgegevens_A!H408)</f>
        <v>0</v>
      </c>
      <c r="H409">
        <f>IF(Klantgegevens_B!H408&lt;&gt;"", Klantgegevens_B!H408, Klantgegevens_A!I408)</f>
        <v>9</v>
      </c>
      <c r="I409" t="str">
        <f>IF(Klantgegevens_B!I408&lt;&gt;"", Klantgegevens_B!I408, SWITCH(Klantgegevens_A!J408, "Zelden", 1, "Af en toe", 4, "Regelmatig", 8, "Vaak", 12))</f>
        <v>Cash</v>
      </c>
      <c r="J409" t="str">
        <f>IF(Klantgegevens_B!J408&lt;&gt;"", Klantgegevens_B!J408, Klantgegevens_A!K408)</f>
        <v>ja</v>
      </c>
      <c r="K409">
        <f>IF(Klantgegevens_B!K408&lt;&gt;"", AVERAGE(--(Klantgegevens_B!K408="ja"), --(Klantgegevens_B!L408="ja"), --(Klantgegevens_B!M408="ja"), --(Klantgegevens_B!N408="ja"), --(Klantgegevens_B!O408="ja"))*10, Klantgegevens_A!L408)</f>
        <v>8</v>
      </c>
      <c r="L409" t="str">
        <f>IF(Klantgegevens_B!K408&lt;&gt;"", Klantgegevens_B!K408, IF(Klantgegevens_A!L408&gt;=7, "ja", "nee"))</f>
        <v>ja</v>
      </c>
      <c r="M409" t="str">
        <f>IF(Klantgegevens_B!L408&lt;&gt;"", Klantgegevens_B!L408, IF(Klantgegevens_A!L408&gt;=7, "ja", "nee"))</f>
        <v>ja</v>
      </c>
      <c r="N409" t="str">
        <f>IF(Klantgegevens_B!M408&lt;&gt;"", Klantgegevens_B!M408, IF(Klantgegevens_A!L408&gt;=7, "ja", "nee"))</f>
        <v>ja</v>
      </c>
      <c r="O409" t="str">
        <f>IF(Klantgegevens_B!N408&lt;&gt;"", Klantgegevens_B!N408, IF(Klantgegevens_A!L408&gt;=7, "ja", "nee"))</f>
        <v>ja</v>
      </c>
      <c r="P409" t="str">
        <f>IF(Klantgegevens_B!O408&lt;&gt;"", Klantgegevens_B!O408, IF(Klantgegevens_A!L408&gt;=7, "ja", "nee"))</f>
        <v>Vegetarisch</v>
      </c>
      <c r="Q409" t="str">
        <f>IF(Klantgegevens_B!P408&lt;&gt;"", Klantgegevens_B!P408, Klantgegevens_A!M408)</f>
        <v>Geen dieet</v>
      </c>
      <c r="R409" t="str">
        <f>IF(Klantgegevens_B!A408&lt;&gt;"", "B", "A")</f>
        <v>B</v>
      </c>
    </row>
    <row r="410" spans="1:18" x14ac:dyDescent="0.3">
      <c r="A410" t="str">
        <f>IF(Klantgegevens_B!A409&lt;&gt;"", Klantgegevens_B!A409, MID(Klantgegevens_A!A409, FIND(",", Klantgegevens_A!A409)+2, LEN(Klantgegevens_A!A409)))</f>
        <v>Sami</v>
      </c>
      <c r="B410" t="str">
        <f>IF(Klantgegevens_B!B409&lt;&gt;"", Klantgegevens_B!B409, LEFT(Klantgegevens_A!A409, FIND(",", Klantgegevens_A!A409)-1))</f>
        <v>Decock</v>
      </c>
      <c r="C410" t="str">
        <f t="shared" ca="1" si="6"/>
        <v/>
      </c>
      <c r="D410" t="str">
        <f>IF(Klantgegevens_B!F409&lt;&gt;"", Klantgegevens_B!F409, Klantgegevens_A!D409 &amp; " " &amp; Klantgegevens_A!E409 &amp; ", " &amp; Klantgegevens_A!F409)</f>
        <v>Sami,Marianne,Musa,Vanessa,Nina</v>
      </c>
      <c r="E410">
        <f>IF(Klantgegevens_B!G409&lt;&gt;"", Klantgegevens_B!G409, TEXTJOIN(",", TRUE, REPT("Volwassene,", Klantgegevens_A!G409), REPT("Kind,", Klantgegevens_A!H409)))</f>
        <v>138.38</v>
      </c>
      <c r="F410">
        <f>IF(Klantgegevens_B!G409&lt;&gt;"", LEN(Klantgegevens_B!G409)-LEN(SUBSTITUTE(Klantgegevens_B!G409, ",", ""))+1, Klantgegevens_A!G409)</f>
        <v>1</v>
      </c>
      <c r="G410">
        <f>IF(Klantgegevens_B!G409&lt;&gt;"", 0, Klantgegevens_A!H409)</f>
        <v>0</v>
      </c>
      <c r="H410">
        <f>IF(Klantgegevens_B!H409&lt;&gt;"", Klantgegevens_B!H409, Klantgegevens_A!I409)</f>
        <v>20</v>
      </c>
      <c r="I410" t="str">
        <f>IF(Klantgegevens_B!I409&lt;&gt;"", Klantgegevens_B!I409, SWITCH(Klantgegevens_A!J409, "Zelden", 1, "Af en toe", 4, "Regelmatig", 8, "Vaak", 12))</f>
        <v>Payconiq</v>
      </c>
      <c r="J410" t="str">
        <f>IF(Klantgegevens_B!J409&lt;&gt;"", Klantgegevens_B!J409, Klantgegevens_A!K409)</f>
        <v>ja</v>
      </c>
      <c r="K410">
        <f>IF(Klantgegevens_B!K409&lt;&gt;"", AVERAGE(--(Klantgegevens_B!K409="ja"), --(Klantgegevens_B!L409="ja"), --(Klantgegevens_B!M409="ja"), --(Klantgegevens_B!N409="ja"), --(Klantgegevens_B!O409="ja"))*10, Klantgegevens_A!L409)</f>
        <v>4</v>
      </c>
      <c r="L410" t="str">
        <f>IF(Klantgegevens_B!K409&lt;&gt;"", Klantgegevens_B!K409, IF(Klantgegevens_A!L409&gt;=7, "ja", "nee"))</f>
        <v>nee</v>
      </c>
      <c r="M410" t="str">
        <f>IF(Klantgegevens_B!L409&lt;&gt;"", Klantgegevens_B!L409, IF(Klantgegevens_A!L409&gt;=7, "ja", "nee"))</f>
        <v>nee</v>
      </c>
      <c r="N410" t="str">
        <f>IF(Klantgegevens_B!M409&lt;&gt;"", Klantgegevens_B!M409, IF(Klantgegevens_A!L409&gt;=7, "ja", "nee"))</f>
        <v>ja</v>
      </c>
      <c r="O410" t="str">
        <f>IF(Klantgegevens_B!N409&lt;&gt;"", Klantgegevens_B!N409, IF(Klantgegevens_A!L409&gt;=7, "ja", "nee"))</f>
        <v>ja</v>
      </c>
      <c r="P410" t="str">
        <f>IF(Klantgegevens_B!O409&lt;&gt;"", Klantgegevens_B!O409, IF(Klantgegevens_A!L409&gt;=7, "ja", "nee"))</f>
        <v>Geen dieet</v>
      </c>
      <c r="Q410" t="str">
        <f>IF(Klantgegevens_B!P409&lt;&gt;"", Klantgegevens_B!P409, Klantgegevens_A!M409)</f>
        <v>Geen dieet</v>
      </c>
      <c r="R410" t="str">
        <f>IF(Klantgegevens_B!A409&lt;&gt;"", "B", "A")</f>
        <v>B</v>
      </c>
    </row>
    <row r="411" spans="1:18" x14ac:dyDescent="0.3">
      <c r="A411" t="str">
        <f>IF(Klantgegevens_B!A410&lt;&gt;"", Klantgegevens_B!A410, MID(Klantgegevens_A!A410, FIND(",", Klantgegevens_A!A410)+2, LEN(Klantgegevens_A!A410)))</f>
        <v>Hilde</v>
      </c>
      <c r="B411" t="str">
        <f>IF(Klantgegevens_B!B410&lt;&gt;"", Klantgegevens_B!B410, LEFT(Klantgegevens_A!A410, FIND(",", Klantgegevens_A!A410)-1))</f>
        <v>Smets</v>
      </c>
      <c r="C411" t="str">
        <f t="shared" ca="1" si="6"/>
        <v/>
      </c>
      <c r="D411" t="str">
        <f>IF(Klantgegevens_B!F410&lt;&gt;"", Klantgegevens_B!F410, Klantgegevens_A!D410 &amp; " " &amp; Klantgegevens_A!E410 &amp; ", " &amp; Klantgegevens_A!F410)</f>
        <v>Hilde,Pascal,Nathan,Bram,Louis</v>
      </c>
      <c r="E411">
        <f>IF(Klantgegevens_B!G410&lt;&gt;"", Klantgegevens_B!G410, TEXTJOIN(",", TRUE, REPT("Volwassene,", Klantgegevens_A!G410), REPT("Kind,", Klantgegevens_A!H410)))</f>
        <v>181.4</v>
      </c>
      <c r="F411">
        <f>IF(Klantgegevens_B!G410&lt;&gt;"", LEN(Klantgegevens_B!G410)-LEN(SUBSTITUTE(Klantgegevens_B!G410, ",", ""))+1, Klantgegevens_A!G410)</f>
        <v>1</v>
      </c>
      <c r="G411">
        <f>IF(Klantgegevens_B!G410&lt;&gt;"", 0, Klantgegevens_A!H410)</f>
        <v>0</v>
      </c>
      <c r="H411">
        <f>IF(Klantgegevens_B!H410&lt;&gt;"", Klantgegevens_B!H410, Klantgegevens_A!I410)</f>
        <v>26</v>
      </c>
      <c r="I411" t="str">
        <f>IF(Klantgegevens_B!I410&lt;&gt;"", Klantgegevens_B!I410, SWITCH(Klantgegevens_A!J410, "Zelden", 1, "Af en toe", 4, "Regelmatig", 8, "Vaak", 12))</f>
        <v>Bancontact</v>
      </c>
      <c r="J411" t="str">
        <f>IF(Klantgegevens_B!J410&lt;&gt;"", Klantgegevens_B!J410, Klantgegevens_A!K410)</f>
        <v>ja</v>
      </c>
      <c r="K411">
        <f>IF(Klantgegevens_B!K410&lt;&gt;"", AVERAGE(--(Klantgegevens_B!K410="ja"), --(Klantgegevens_B!L410="ja"), --(Klantgegevens_B!M410="ja"), --(Klantgegevens_B!N410="ja"), --(Klantgegevens_B!O410="ja"))*10, Klantgegevens_A!L410)</f>
        <v>8</v>
      </c>
      <c r="L411" t="str">
        <f>IF(Klantgegevens_B!K410&lt;&gt;"", Klantgegevens_B!K410, IF(Klantgegevens_A!L410&gt;=7, "ja", "nee"))</f>
        <v>ja</v>
      </c>
      <c r="M411" t="str">
        <f>IF(Klantgegevens_B!L410&lt;&gt;"", Klantgegevens_B!L410, IF(Klantgegevens_A!L410&gt;=7, "ja", "nee"))</f>
        <v>ja</v>
      </c>
      <c r="N411" t="str">
        <f>IF(Klantgegevens_B!M410&lt;&gt;"", Klantgegevens_B!M410, IF(Klantgegevens_A!L410&gt;=7, "ja", "nee"))</f>
        <v>ja</v>
      </c>
      <c r="O411" t="str">
        <f>IF(Klantgegevens_B!N410&lt;&gt;"", Klantgegevens_B!N410, IF(Klantgegevens_A!L410&gt;=7, "ja", "nee"))</f>
        <v>ja</v>
      </c>
      <c r="P411" t="str">
        <f>IF(Klantgegevens_B!O410&lt;&gt;"", Klantgegevens_B!O410, IF(Klantgegevens_A!L410&gt;=7, "ja", "nee"))</f>
        <v>Geen dieet</v>
      </c>
      <c r="Q411" t="str">
        <f>IF(Klantgegevens_B!P410&lt;&gt;"", Klantgegevens_B!P410, Klantgegevens_A!M410)</f>
        <v>Veganistisch</v>
      </c>
      <c r="R411" t="str">
        <f>IF(Klantgegevens_B!A410&lt;&gt;"", "B", "A")</f>
        <v>B</v>
      </c>
    </row>
    <row r="412" spans="1:18" x14ac:dyDescent="0.3">
      <c r="A412" t="str">
        <f>IF(Klantgegevens_B!A411&lt;&gt;"", Klantgegevens_B!A411, MID(Klantgegevens_A!A411, FIND(",", Klantgegevens_A!A411)+2, LEN(Klantgegevens_A!A411)))</f>
        <v>Vanessa</v>
      </c>
      <c r="B412" t="str">
        <f>IF(Klantgegevens_B!B411&lt;&gt;"", Klantgegevens_B!B411, LEFT(Klantgegevens_A!A411, FIND(",", Klantgegevens_A!A411)-1))</f>
        <v>Goossens</v>
      </c>
      <c r="C412" t="str">
        <f t="shared" ca="1" si="6"/>
        <v/>
      </c>
      <c r="D412" t="str">
        <f>IF(Klantgegevens_B!F411&lt;&gt;"", Klantgegevens_B!F411, Klantgegevens_A!D411 &amp; " " &amp; Klantgegevens_A!E411 &amp; ", " &amp; Klantgegevens_A!F411)</f>
        <v>Vanessa,Viviane</v>
      </c>
      <c r="E412">
        <f>IF(Klantgegevens_B!G411&lt;&gt;"", Klantgegevens_B!G411, TEXTJOIN(",", TRUE, REPT("Volwassene,", Klantgegevens_A!G411), REPT("Kind,", Klantgegevens_A!H411)))</f>
        <v>190.76</v>
      </c>
      <c r="F412">
        <f>IF(Klantgegevens_B!G411&lt;&gt;"", LEN(Klantgegevens_B!G411)-LEN(SUBSTITUTE(Klantgegevens_B!G411, ",", ""))+1, Klantgegevens_A!G411)</f>
        <v>1</v>
      </c>
      <c r="G412">
        <f>IF(Klantgegevens_B!G411&lt;&gt;"", 0, Klantgegevens_A!H411)</f>
        <v>0</v>
      </c>
      <c r="H412">
        <f>IF(Klantgegevens_B!H411&lt;&gt;"", Klantgegevens_B!H411, Klantgegevens_A!I411)</f>
        <v>8</v>
      </c>
      <c r="I412" t="str">
        <f>IF(Klantgegevens_B!I411&lt;&gt;"", Klantgegevens_B!I411, SWITCH(Klantgegevens_A!J411, "Zelden", 1, "Af en toe", 4, "Regelmatig", 8, "Vaak", 12))</f>
        <v>Bancontact</v>
      </c>
      <c r="J412" t="str">
        <f>IF(Klantgegevens_B!J411&lt;&gt;"", Klantgegevens_B!J411, Klantgegevens_A!K411)</f>
        <v>nee</v>
      </c>
      <c r="K412">
        <f>IF(Klantgegevens_B!K411&lt;&gt;"", AVERAGE(--(Klantgegevens_B!K411="ja"), --(Klantgegevens_B!L411="ja"), --(Klantgegevens_B!M411="ja"), --(Klantgegevens_B!N411="ja"), --(Klantgegevens_B!O411="ja"))*10, Klantgegevens_A!L411)</f>
        <v>6</v>
      </c>
      <c r="L412" t="str">
        <f>IF(Klantgegevens_B!K411&lt;&gt;"", Klantgegevens_B!K411, IF(Klantgegevens_A!L411&gt;=7, "ja", "nee"))</f>
        <v>ja</v>
      </c>
      <c r="M412" t="str">
        <f>IF(Klantgegevens_B!L411&lt;&gt;"", Klantgegevens_B!L411, IF(Klantgegevens_A!L411&gt;=7, "ja", "nee"))</f>
        <v>ja</v>
      </c>
      <c r="N412" t="str">
        <f>IF(Klantgegevens_B!M411&lt;&gt;"", Klantgegevens_B!M411, IF(Klantgegevens_A!L411&gt;=7, "ja", "nee"))</f>
        <v>nee</v>
      </c>
      <c r="O412" t="str">
        <f>IF(Klantgegevens_B!N411&lt;&gt;"", Klantgegevens_B!N411, IF(Klantgegevens_A!L411&gt;=7, "ja", "nee"))</f>
        <v>ja</v>
      </c>
      <c r="P412" t="str">
        <f>IF(Klantgegevens_B!O411&lt;&gt;"", Klantgegevens_B!O411, IF(Klantgegevens_A!L411&gt;=7, "ja", "nee"))</f>
        <v>Geen dieet</v>
      </c>
      <c r="Q412" t="str">
        <f>IF(Klantgegevens_B!P411&lt;&gt;"", Klantgegevens_B!P411, Klantgegevens_A!M411)</f>
        <v>Geen dieet</v>
      </c>
      <c r="R412" t="str">
        <f>IF(Klantgegevens_B!A411&lt;&gt;"", "B", "A")</f>
        <v>B</v>
      </c>
    </row>
    <row r="413" spans="1:18" x14ac:dyDescent="0.3">
      <c r="A413" t="str">
        <f>IF(Klantgegevens_B!A412&lt;&gt;"", Klantgegevens_B!A412, MID(Klantgegevens_A!A412, FIND(",", Klantgegevens_A!A412)+2, LEN(Klantgegevens_A!A412)))</f>
        <v>Steven</v>
      </c>
      <c r="B413" t="str">
        <f>IF(Klantgegevens_B!B412&lt;&gt;"", Klantgegevens_B!B412, LEFT(Klantgegevens_A!A412, FIND(",", Klantgegevens_A!A412)-1))</f>
        <v>Van hoof</v>
      </c>
      <c r="C413" t="str">
        <f t="shared" ca="1" si="6"/>
        <v/>
      </c>
      <c r="D413" t="str">
        <f>IF(Klantgegevens_B!F412&lt;&gt;"", Klantgegevens_B!F412, Klantgegevens_A!D412 &amp; " " &amp; Klantgegevens_A!E412 &amp; ", " &amp; Klantgegevens_A!F412)</f>
        <v>Steven,Constant,Henri,Kevin</v>
      </c>
      <c r="E413">
        <f>IF(Klantgegevens_B!G412&lt;&gt;"", Klantgegevens_B!G412, TEXTJOIN(",", TRUE, REPT("Volwassene,", Klantgegevens_A!G412), REPT("Kind,", Klantgegevens_A!H412)))</f>
        <v>210.89</v>
      </c>
      <c r="F413">
        <f>IF(Klantgegevens_B!G412&lt;&gt;"", LEN(Klantgegevens_B!G412)-LEN(SUBSTITUTE(Klantgegevens_B!G412, ",", ""))+1, Klantgegevens_A!G412)</f>
        <v>1</v>
      </c>
      <c r="G413">
        <f>IF(Klantgegevens_B!G412&lt;&gt;"", 0, Klantgegevens_A!H412)</f>
        <v>0</v>
      </c>
      <c r="H413">
        <f>IF(Klantgegevens_B!H412&lt;&gt;"", Klantgegevens_B!H412, Klantgegevens_A!I412)</f>
        <v>1</v>
      </c>
      <c r="I413" t="str">
        <f>IF(Klantgegevens_B!I412&lt;&gt;"", Klantgegevens_B!I412, SWITCH(Klantgegevens_A!J412, "Zelden", 1, "Af en toe", 4, "Regelmatig", 8, "Vaak", 12))</f>
        <v>Payconiq</v>
      </c>
      <c r="J413" t="str">
        <f>IF(Klantgegevens_B!J412&lt;&gt;"", Klantgegevens_B!J412, Klantgegevens_A!K412)</f>
        <v>nee</v>
      </c>
      <c r="K413">
        <f>IF(Klantgegevens_B!K412&lt;&gt;"", AVERAGE(--(Klantgegevens_B!K412="ja"), --(Klantgegevens_B!L412="ja"), --(Klantgegevens_B!M412="ja"), --(Klantgegevens_B!N412="ja"), --(Klantgegevens_B!O412="ja"))*10, Klantgegevens_A!L412)</f>
        <v>8</v>
      </c>
      <c r="L413" t="str">
        <f>IF(Klantgegevens_B!K412&lt;&gt;"", Klantgegevens_B!K412, IF(Klantgegevens_A!L412&gt;=7, "ja", "nee"))</f>
        <v>ja</v>
      </c>
      <c r="M413" t="str">
        <f>IF(Klantgegevens_B!L412&lt;&gt;"", Klantgegevens_B!L412, IF(Klantgegevens_A!L412&gt;=7, "ja", "nee"))</f>
        <v>ja</v>
      </c>
      <c r="N413" t="str">
        <f>IF(Klantgegevens_B!M412&lt;&gt;"", Klantgegevens_B!M412, IF(Klantgegevens_A!L412&gt;=7, "ja", "nee"))</f>
        <v>ja</v>
      </c>
      <c r="O413" t="str">
        <f>IF(Klantgegevens_B!N412&lt;&gt;"", Klantgegevens_B!N412, IF(Klantgegevens_A!L412&gt;=7, "ja", "nee"))</f>
        <v>ja</v>
      </c>
      <c r="P413" t="str">
        <f>IF(Klantgegevens_B!O412&lt;&gt;"", Klantgegevens_B!O412, IF(Klantgegevens_A!L412&gt;=7, "ja", "nee"))</f>
        <v>Geen dieet</v>
      </c>
      <c r="Q413" t="str">
        <f>IF(Klantgegevens_B!P412&lt;&gt;"", Klantgegevens_B!P412, Klantgegevens_A!M412)</f>
        <v>Geen dieet</v>
      </c>
      <c r="R413" t="str">
        <f>IF(Klantgegevens_B!A412&lt;&gt;"", "B", "A")</f>
        <v>B</v>
      </c>
    </row>
    <row r="414" spans="1:18" x14ac:dyDescent="0.3">
      <c r="A414" t="str">
        <f>IF(Klantgegevens_B!A413&lt;&gt;"", Klantgegevens_B!A413, MID(Klantgegevens_A!A413, FIND(",", Klantgegevens_A!A413)+2, LEN(Klantgegevens_A!A413)))</f>
        <v>Peggy</v>
      </c>
      <c r="B414" t="str">
        <f>IF(Klantgegevens_B!B413&lt;&gt;"", Klantgegevens_B!B413, LEFT(Klantgegevens_A!A413, FIND(",", Klantgegevens_A!A413)-1))</f>
        <v>Smits</v>
      </c>
      <c r="C414" t="str">
        <f t="shared" ca="1" si="6"/>
        <v/>
      </c>
      <c r="D414" t="str">
        <f>IF(Klantgegevens_B!F413&lt;&gt;"", Klantgegevens_B!F413, Klantgegevens_A!D413 &amp; " " &amp; Klantgegevens_A!E413 &amp; ", " &amp; Klantgegevens_A!F413)</f>
        <v>Peggy,Bouchra,Jules,Sumitra,Delphine</v>
      </c>
      <c r="E414">
        <f>IF(Klantgegevens_B!G413&lt;&gt;"", Klantgegevens_B!G413, TEXTJOIN(",", TRUE, REPT("Volwassene,", Klantgegevens_A!G413), REPT("Kind,", Klantgegevens_A!H413)))</f>
        <v>122.41</v>
      </c>
      <c r="F414">
        <f>IF(Klantgegevens_B!G413&lt;&gt;"", LEN(Klantgegevens_B!G413)-LEN(SUBSTITUTE(Klantgegevens_B!G413, ",", ""))+1, Klantgegevens_A!G413)</f>
        <v>1</v>
      </c>
      <c r="G414">
        <f>IF(Klantgegevens_B!G413&lt;&gt;"", 0, Klantgegevens_A!H413)</f>
        <v>0</v>
      </c>
      <c r="H414">
        <f>IF(Klantgegevens_B!H413&lt;&gt;"", Klantgegevens_B!H413, Klantgegevens_A!I413)</f>
        <v>21</v>
      </c>
      <c r="I414" t="str">
        <f>IF(Klantgegevens_B!I413&lt;&gt;"", Klantgegevens_B!I413, SWITCH(Klantgegevens_A!J413, "Zelden", 1, "Af en toe", 4, "Regelmatig", 8, "Vaak", 12))</f>
        <v>Bancontact</v>
      </c>
      <c r="J414" t="str">
        <f>IF(Klantgegevens_B!J413&lt;&gt;"", Klantgegevens_B!J413, Klantgegevens_A!K413)</f>
        <v>ja</v>
      </c>
      <c r="K414">
        <f>IF(Klantgegevens_B!K413&lt;&gt;"", AVERAGE(--(Klantgegevens_B!K413="ja"), --(Klantgegevens_B!L413="ja"), --(Klantgegevens_B!M413="ja"), --(Klantgegevens_B!N413="ja"), --(Klantgegevens_B!O413="ja"))*10, Klantgegevens_A!L413)</f>
        <v>8</v>
      </c>
      <c r="L414" t="str">
        <f>IF(Klantgegevens_B!K413&lt;&gt;"", Klantgegevens_B!K413, IF(Klantgegevens_A!L413&gt;=7, "ja", "nee"))</f>
        <v>ja</v>
      </c>
      <c r="M414" t="str">
        <f>IF(Klantgegevens_B!L413&lt;&gt;"", Klantgegevens_B!L413, IF(Klantgegevens_A!L413&gt;=7, "ja", "nee"))</f>
        <v>ja</v>
      </c>
      <c r="N414" t="str">
        <f>IF(Klantgegevens_B!M413&lt;&gt;"", Klantgegevens_B!M413, IF(Klantgegevens_A!L413&gt;=7, "ja", "nee"))</f>
        <v>ja</v>
      </c>
      <c r="O414" t="str">
        <f>IF(Klantgegevens_B!N413&lt;&gt;"", Klantgegevens_B!N413, IF(Klantgegevens_A!L413&gt;=7, "ja", "nee"))</f>
        <v>ja</v>
      </c>
      <c r="P414" t="str">
        <f>IF(Klantgegevens_B!O413&lt;&gt;"", Klantgegevens_B!O413, IF(Klantgegevens_A!L413&gt;=7, "ja", "nee"))</f>
        <v>Vegetarisch</v>
      </c>
      <c r="Q414" t="str">
        <f>IF(Klantgegevens_B!P413&lt;&gt;"", Klantgegevens_B!P413, Klantgegevens_A!M413)</f>
        <v>Veganistisch</v>
      </c>
      <c r="R414" t="str">
        <f>IF(Klantgegevens_B!A413&lt;&gt;"", "B", "A")</f>
        <v>B</v>
      </c>
    </row>
    <row r="415" spans="1:18" x14ac:dyDescent="0.3">
      <c r="A415" t="str">
        <f>IF(Klantgegevens_B!A414&lt;&gt;"", Klantgegevens_B!A414, MID(Klantgegevens_A!A414, FIND(",", Klantgegevens_A!A414)+2, LEN(Klantgegevens_A!A414)))</f>
        <v>Rosa</v>
      </c>
      <c r="B415" t="str">
        <f>IF(Klantgegevens_B!B414&lt;&gt;"", Klantgegevens_B!B414, LEFT(Klantgegevens_A!A414, FIND(",", Klantgegevens_A!A414)-1))</f>
        <v>De smet</v>
      </c>
      <c r="C415" t="str">
        <f t="shared" ca="1" si="6"/>
        <v/>
      </c>
      <c r="D415" t="str">
        <f>IF(Klantgegevens_B!F414&lt;&gt;"", Klantgegevens_B!F414, Klantgegevens_A!D414 &amp; " " &amp; Klantgegevens_A!E414 &amp; ", " &amp; Klantgegevens_A!F414)</f>
        <v>Rosa</v>
      </c>
      <c r="E415">
        <f>IF(Klantgegevens_B!G414&lt;&gt;"", Klantgegevens_B!G414, TEXTJOIN(",", TRUE, REPT("Volwassene,", Klantgegevens_A!G414), REPT("Kind,", Klantgegevens_A!H414)))</f>
        <v>96.99</v>
      </c>
      <c r="F415">
        <f>IF(Klantgegevens_B!G414&lt;&gt;"", LEN(Klantgegevens_B!G414)-LEN(SUBSTITUTE(Klantgegevens_B!G414, ",", ""))+1, Klantgegevens_A!G414)</f>
        <v>1</v>
      </c>
      <c r="G415">
        <f>IF(Klantgegevens_B!G414&lt;&gt;"", 0, Klantgegevens_A!H414)</f>
        <v>0</v>
      </c>
      <c r="H415">
        <f>IF(Klantgegevens_B!H414&lt;&gt;"", Klantgegevens_B!H414, Klantgegevens_A!I414)</f>
        <v>7</v>
      </c>
      <c r="I415" t="str">
        <f>IF(Klantgegevens_B!I414&lt;&gt;"", Klantgegevens_B!I414, SWITCH(Klantgegevens_A!J414, "Zelden", 1, "Af en toe", 4, "Regelmatig", 8, "Vaak", 12))</f>
        <v>Bancontact</v>
      </c>
      <c r="J415" t="str">
        <f>IF(Klantgegevens_B!J414&lt;&gt;"", Klantgegevens_B!J414, Klantgegevens_A!K414)</f>
        <v>ja</v>
      </c>
      <c r="K415">
        <f>IF(Klantgegevens_B!K414&lt;&gt;"", AVERAGE(--(Klantgegevens_B!K414="ja"), --(Klantgegevens_B!L414="ja"), --(Klantgegevens_B!M414="ja"), --(Klantgegevens_B!N414="ja"), --(Klantgegevens_B!O414="ja"))*10, Klantgegevens_A!L414)</f>
        <v>4</v>
      </c>
      <c r="L415" t="str">
        <f>IF(Klantgegevens_B!K414&lt;&gt;"", Klantgegevens_B!K414, IF(Klantgegevens_A!L414&gt;=7, "ja", "nee"))</f>
        <v>ja</v>
      </c>
      <c r="M415" t="str">
        <f>IF(Klantgegevens_B!L414&lt;&gt;"", Klantgegevens_B!L414, IF(Klantgegevens_A!L414&gt;=7, "ja", "nee"))</f>
        <v>nee</v>
      </c>
      <c r="N415" t="str">
        <f>IF(Klantgegevens_B!M414&lt;&gt;"", Klantgegevens_B!M414, IF(Klantgegevens_A!L414&gt;=7, "ja", "nee"))</f>
        <v>ja</v>
      </c>
      <c r="O415" t="str">
        <f>IF(Klantgegevens_B!N414&lt;&gt;"", Klantgegevens_B!N414, IF(Klantgegevens_A!L414&gt;=7, "ja", "nee"))</f>
        <v>nee</v>
      </c>
      <c r="P415" t="str">
        <f>IF(Klantgegevens_B!O414&lt;&gt;"", Klantgegevens_B!O414, IF(Klantgegevens_A!L414&gt;=7, "ja", "nee"))</f>
        <v>Geen dieet</v>
      </c>
      <c r="Q415" t="str">
        <f>IF(Klantgegevens_B!P414&lt;&gt;"", Klantgegevens_B!P414, Klantgegevens_A!M414)</f>
        <v>Geen dieet</v>
      </c>
      <c r="R415" t="str">
        <f>IF(Klantgegevens_B!A414&lt;&gt;"", "B", "A")</f>
        <v>B</v>
      </c>
    </row>
    <row r="416" spans="1:18" x14ac:dyDescent="0.3">
      <c r="A416" t="str">
        <f>IF(Klantgegevens_B!A415&lt;&gt;"", Klantgegevens_B!A415, MID(Klantgegevens_A!A415, FIND(",", Klantgegevens_A!A415)+2, LEN(Klantgegevens_A!A415)))</f>
        <v>Amira</v>
      </c>
      <c r="B416" t="str">
        <f>IF(Klantgegevens_B!B415&lt;&gt;"", Klantgegevens_B!B415, LEFT(Klantgegevens_A!A415, FIND(",", Klantgegevens_A!A415)-1))</f>
        <v>Goffin</v>
      </c>
      <c r="C416" t="str">
        <f t="shared" ca="1" si="6"/>
        <v/>
      </c>
      <c r="D416" t="str">
        <f>IF(Klantgegevens_B!F415&lt;&gt;"", Klantgegevens_B!F415, Klantgegevens_A!D415 &amp; " " &amp; Klantgegevens_A!E415 &amp; ", " &amp; Klantgegevens_A!F415)</f>
        <v>Amira,Didier,Peter</v>
      </c>
      <c r="E416">
        <f>IF(Klantgegevens_B!G415&lt;&gt;"", Klantgegevens_B!G415, TEXTJOIN(",", TRUE, REPT("Volwassene,", Klantgegevens_A!G415), REPT("Kind,", Klantgegevens_A!H415)))</f>
        <v>186.24</v>
      </c>
      <c r="F416">
        <f>IF(Klantgegevens_B!G415&lt;&gt;"", LEN(Klantgegevens_B!G415)-LEN(SUBSTITUTE(Klantgegevens_B!G415, ",", ""))+1, Klantgegevens_A!G415)</f>
        <v>1</v>
      </c>
      <c r="G416">
        <f>IF(Klantgegevens_B!G415&lt;&gt;"", 0, Klantgegevens_A!H415)</f>
        <v>0</v>
      </c>
      <c r="H416">
        <f>IF(Klantgegevens_B!H415&lt;&gt;"", Klantgegevens_B!H415, Klantgegevens_A!I415)</f>
        <v>13</v>
      </c>
      <c r="I416" t="str">
        <f>IF(Klantgegevens_B!I415&lt;&gt;"", Klantgegevens_B!I415, SWITCH(Klantgegevens_A!J415, "Zelden", 1, "Af en toe", 4, "Regelmatig", 8, "Vaak", 12))</f>
        <v>Bancontact</v>
      </c>
      <c r="J416" t="str">
        <f>IF(Klantgegevens_B!J415&lt;&gt;"", Klantgegevens_B!J415, Klantgegevens_A!K415)</f>
        <v>ja</v>
      </c>
      <c r="K416">
        <f>IF(Klantgegevens_B!K415&lt;&gt;"", AVERAGE(--(Klantgegevens_B!K415="ja"), --(Klantgegevens_B!L415="ja"), --(Klantgegevens_B!M415="ja"), --(Klantgegevens_B!N415="ja"), --(Klantgegevens_B!O415="ja"))*10, Klantgegevens_A!L415)</f>
        <v>6</v>
      </c>
      <c r="L416" t="str">
        <f>IF(Klantgegevens_B!K415&lt;&gt;"", Klantgegevens_B!K415, IF(Klantgegevens_A!L415&gt;=7, "ja", "nee"))</f>
        <v>ja</v>
      </c>
      <c r="M416" t="str">
        <f>IF(Klantgegevens_B!L415&lt;&gt;"", Klantgegevens_B!L415, IF(Klantgegevens_A!L415&gt;=7, "ja", "nee"))</f>
        <v>nee</v>
      </c>
      <c r="N416" t="str">
        <f>IF(Klantgegevens_B!M415&lt;&gt;"", Klantgegevens_B!M415, IF(Klantgegevens_A!L415&gt;=7, "ja", "nee"))</f>
        <v>ja</v>
      </c>
      <c r="O416" t="str">
        <f>IF(Klantgegevens_B!N415&lt;&gt;"", Klantgegevens_B!N415, IF(Klantgegevens_A!L415&gt;=7, "ja", "nee"))</f>
        <v>ja</v>
      </c>
      <c r="P416" t="str">
        <f>IF(Klantgegevens_B!O415&lt;&gt;"", Klantgegevens_B!O415, IF(Klantgegevens_A!L415&gt;=7, "ja", "nee"))</f>
        <v>Veganistisch</v>
      </c>
      <c r="Q416" t="str">
        <f>IF(Klantgegevens_B!P415&lt;&gt;"", Klantgegevens_B!P415, Klantgegevens_A!M415)</f>
        <v>Vegetarisch</v>
      </c>
      <c r="R416" t="str">
        <f>IF(Klantgegevens_B!A415&lt;&gt;"", "B", "A")</f>
        <v>B</v>
      </c>
    </row>
    <row r="417" spans="1:18" x14ac:dyDescent="0.3">
      <c r="A417" t="str">
        <f>IF(Klantgegevens_B!A416&lt;&gt;"", Klantgegevens_B!A416, MID(Klantgegevens_A!A416, FIND(",", Klantgegevens_A!A416)+2, LEN(Klantgegevens_A!A416)))</f>
        <v>Julie</v>
      </c>
      <c r="B417" t="str">
        <f>IF(Klantgegevens_B!B416&lt;&gt;"", Klantgegevens_B!B416, LEFT(Klantgegevens_A!A416, FIND(",", Klantgegevens_A!A416)-1))</f>
        <v>Vanhove</v>
      </c>
      <c r="C417" t="str">
        <f t="shared" ca="1" si="6"/>
        <v/>
      </c>
      <c r="D417" t="str">
        <f>IF(Klantgegevens_B!F416&lt;&gt;"", Klantgegevens_B!F416, Klantgegevens_A!D416 &amp; " " &amp; Klantgegevens_A!E416 &amp; ", " &amp; Klantgegevens_A!F416)</f>
        <v>Julie,Lenka</v>
      </c>
      <c r="E417">
        <f>IF(Klantgegevens_B!G416&lt;&gt;"", Klantgegevens_B!G416, TEXTJOIN(",", TRUE, REPT("Volwassene,", Klantgegevens_A!G416), REPT("Kind,", Klantgegevens_A!H416)))</f>
        <v>37.49</v>
      </c>
      <c r="F417">
        <f>IF(Klantgegevens_B!G416&lt;&gt;"", LEN(Klantgegevens_B!G416)-LEN(SUBSTITUTE(Klantgegevens_B!G416, ",", ""))+1, Klantgegevens_A!G416)</f>
        <v>1</v>
      </c>
      <c r="G417">
        <f>IF(Klantgegevens_B!G416&lt;&gt;"", 0, Klantgegevens_A!H416)</f>
        <v>0</v>
      </c>
      <c r="H417">
        <f>IF(Klantgegevens_B!H416&lt;&gt;"", Klantgegevens_B!H416, Klantgegevens_A!I416)</f>
        <v>10</v>
      </c>
      <c r="I417" t="str">
        <f>IF(Klantgegevens_B!I416&lt;&gt;"", Klantgegevens_B!I416, SWITCH(Klantgegevens_A!J416, "Zelden", 1, "Af en toe", 4, "Regelmatig", 8, "Vaak", 12))</f>
        <v>Bancontact</v>
      </c>
      <c r="J417" t="str">
        <f>IF(Klantgegevens_B!J416&lt;&gt;"", Klantgegevens_B!J416, Klantgegevens_A!K416)</f>
        <v>ja</v>
      </c>
      <c r="K417">
        <f>IF(Klantgegevens_B!K416&lt;&gt;"", AVERAGE(--(Klantgegevens_B!K416="ja"), --(Klantgegevens_B!L416="ja"), --(Klantgegevens_B!M416="ja"), --(Klantgegevens_B!N416="ja"), --(Klantgegevens_B!O416="ja"))*10, Klantgegevens_A!L416)</f>
        <v>6</v>
      </c>
      <c r="L417" t="str">
        <f>IF(Klantgegevens_B!K416&lt;&gt;"", Klantgegevens_B!K416, IF(Klantgegevens_A!L416&gt;=7, "ja", "nee"))</f>
        <v>ja</v>
      </c>
      <c r="M417" t="str">
        <f>IF(Klantgegevens_B!L416&lt;&gt;"", Klantgegevens_B!L416, IF(Klantgegevens_A!L416&gt;=7, "ja", "nee"))</f>
        <v>nee</v>
      </c>
      <c r="N417" t="str">
        <f>IF(Klantgegevens_B!M416&lt;&gt;"", Klantgegevens_B!M416, IF(Klantgegevens_A!L416&gt;=7, "ja", "nee"))</f>
        <v>ja</v>
      </c>
      <c r="O417" t="str">
        <f>IF(Klantgegevens_B!N416&lt;&gt;"", Klantgegevens_B!N416, IF(Klantgegevens_A!L416&gt;=7, "ja", "nee"))</f>
        <v>ja</v>
      </c>
      <c r="P417" t="str">
        <f>IF(Klantgegevens_B!O416&lt;&gt;"", Klantgegevens_B!O416, IF(Klantgegevens_A!L416&gt;=7, "ja", "nee"))</f>
        <v>Geen dieet</v>
      </c>
      <c r="Q417" t="str">
        <f>IF(Klantgegevens_B!P416&lt;&gt;"", Klantgegevens_B!P416, Klantgegevens_A!M416)</f>
        <v>Geen dieet</v>
      </c>
      <c r="R417" t="str">
        <f>IF(Klantgegevens_B!A416&lt;&gt;"", "B", "A")</f>
        <v>B</v>
      </c>
    </row>
    <row r="418" spans="1:18" x14ac:dyDescent="0.3">
      <c r="A418" t="str">
        <f>IF(Klantgegevens_B!A417&lt;&gt;"", Klantgegevens_B!A417, MID(Klantgegevens_A!A417, FIND(",", Klantgegevens_A!A417)+2, LEN(Klantgegevens_A!A417)))</f>
        <v>Billie</v>
      </c>
      <c r="B418" t="str">
        <f>IF(Klantgegevens_B!B417&lt;&gt;"", Klantgegevens_B!B417, LEFT(Klantgegevens_A!A417, FIND(",", Klantgegevens_A!A417)-1))</f>
        <v>Dewaele</v>
      </c>
      <c r="C418" t="str">
        <f t="shared" ca="1" si="6"/>
        <v/>
      </c>
      <c r="D418" t="str">
        <f>IF(Klantgegevens_B!F417&lt;&gt;"", Klantgegevens_B!F417, Klantgegevens_A!D417 &amp; " " &amp; Klantgegevens_A!E417 &amp; ", " &amp; Klantgegevens_A!F417)</f>
        <v>Billie,Juliana,Stef,Christine</v>
      </c>
      <c r="E418">
        <f>IF(Klantgegevens_B!G417&lt;&gt;"", Klantgegevens_B!G417, TEXTJOIN(",", TRUE, REPT("Volwassene,", Klantgegevens_A!G417), REPT("Kind,", Klantgegevens_A!H417)))</f>
        <v>122.9</v>
      </c>
      <c r="F418">
        <f>IF(Klantgegevens_B!G417&lt;&gt;"", LEN(Klantgegevens_B!G417)-LEN(SUBSTITUTE(Klantgegevens_B!G417, ",", ""))+1, Klantgegevens_A!G417)</f>
        <v>1</v>
      </c>
      <c r="G418">
        <f>IF(Klantgegevens_B!G417&lt;&gt;"", 0, Klantgegevens_A!H417)</f>
        <v>0</v>
      </c>
      <c r="H418">
        <f>IF(Klantgegevens_B!H417&lt;&gt;"", Klantgegevens_B!H417, Klantgegevens_A!I417)</f>
        <v>5</v>
      </c>
      <c r="I418" t="str">
        <f>IF(Klantgegevens_B!I417&lt;&gt;"", Klantgegevens_B!I417, SWITCH(Klantgegevens_A!J417, "Zelden", 1, "Af en toe", 4, "Regelmatig", 8, "Vaak", 12))</f>
        <v>Payconiq</v>
      </c>
      <c r="J418" t="str">
        <f>IF(Klantgegevens_B!J417&lt;&gt;"", Klantgegevens_B!J417, Klantgegevens_A!K417)</f>
        <v>ja</v>
      </c>
      <c r="K418">
        <f>IF(Klantgegevens_B!K417&lt;&gt;"", AVERAGE(--(Klantgegevens_B!K417="ja"), --(Klantgegevens_B!L417="ja"), --(Klantgegevens_B!M417="ja"), --(Klantgegevens_B!N417="ja"), --(Klantgegevens_B!O417="ja"))*10, Klantgegevens_A!L417)</f>
        <v>6</v>
      </c>
      <c r="L418" t="str">
        <f>IF(Klantgegevens_B!K417&lt;&gt;"", Klantgegevens_B!K417, IF(Klantgegevens_A!L417&gt;=7, "ja", "nee"))</f>
        <v>nee</v>
      </c>
      <c r="M418" t="str">
        <f>IF(Klantgegevens_B!L417&lt;&gt;"", Klantgegevens_B!L417, IF(Klantgegevens_A!L417&gt;=7, "ja", "nee"))</f>
        <v>ja</v>
      </c>
      <c r="N418" t="str">
        <f>IF(Klantgegevens_B!M417&lt;&gt;"", Klantgegevens_B!M417, IF(Klantgegevens_A!L417&gt;=7, "ja", "nee"))</f>
        <v>ja</v>
      </c>
      <c r="O418" t="str">
        <f>IF(Klantgegevens_B!N417&lt;&gt;"", Klantgegevens_B!N417, IF(Klantgegevens_A!L417&gt;=7, "ja", "nee"))</f>
        <v>ja</v>
      </c>
      <c r="P418" t="str">
        <f>IF(Klantgegevens_B!O417&lt;&gt;"", Klantgegevens_B!O417, IF(Klantgegevens_A!L417&gt;=7, "ja", "nee"))</f>
        <v>Geen dieet</v>
      </c>
      <c r="Q418" t="str">
        <f>IF(Klantgegevens_B!P417&lt;&gt;"", Klantgegevens_B!P417, Klantgegevens_A!M417)</f>
        <v>Vegetarisch</v>
      </c>
      <c r="R418" t="str">
        <f>IF(Klantgegevens_B!A417&lt;&gt;"", "B", "A")</f>
        <v>B</v>
      </c>
    </row>
    <row r="419" spans="1:18" x14ac:dyDescent="0.3">
      <c r="A419" t="str">
        <f>IF(Klantgegevens_B!A418&lt;&gt;"", Klantgegevens_B!A418, MID(Klantgegevens_A!A418, FIND(",", Klantgegevens_A!A418)+2, LEN(Klantgegevens_A!A418)))</f>
        <v>Justine</v>
      </c>
      <c r="B419" t="str">
        <f>IF(Klantgegevens_B!B418&lt;&gt;"", Klantgegevens_B!B418, LEFT(Klantgegevens_A!A418, FIND(",", Klantgegevens_A!A418)-1))</f>
        <v>Maes</v>
      </c>
      <c r="C419" t="str">
        <f t="shared" ca="1" si="6"/>
        <v/>
      </c>
      <c r="D419" t="str">
        <f>IF(Klantgegevens_B!F418&lt;&gt;"", Klantgegevens_B!F418, Klantgegevens_A!D418 &amp; " " &amp; Klantgegevens_A!E418 &amp; ", " &amp; Klantgegevens_A!F418)</f>
        <v>Justine,Lutgarde</v>
      </c>
      <c r="E419">
        <f>IF(Klantgegevens_B!G418&lt;&gt;"", Klantgegevens_B!G418, TEXTJOIN(",", TRUE, REPT("Volwassene,", Klantgegevens_A!G418), REPT("Kind,", Klantgegevens_A!H418)))</f>
        <v>65.84</v>
      </c>
      <c r="F419">
        <f>IF(Klantgegevens_B!G418&lt;&gt;"", LEN(Klantgegevens_B!G418)-LEN(SUBSTITUTE(Klantgegevens_B!G418, ",", ""))+1, Klantgegevens_A!G418)</f>
        <v>1</v>
      </c>
      <c r="G419">
        <f>IF(Klantgegevens_B!G418&lt;&gt;"", 0, Klantgegevens_A!H418)</f>
        <v>0</v>
      </c>
      <c r="H419">
        <f>IF(Klantgegevens_B!H418&lt;&gt;"", Klantgegevens_B!H418, Klantgegevens_A!I418)</f>
        <v>9</v>
      </c>
      <c r="I419" t="str">
        <f>IF(Klantgegevens_B!I418&lt;&gt;"", Klantgegevens_B!I418, SWITCH(Klantgegevens_A!J418, "Zelden", 1, "Af en toe", 4, "Regelmatig", 8, "Vaak", 12))</f>
        <v>Payconiq</v>
      </c>
      <c r="J419" t="str">
        <f>IF(Klantgegevens_B!J418&lt;&gt;"", Klantgegevens_B!J418, Klantgegevens_A!K418)</f>
        <v>ja</v>
      </c>
      <c r="K419">
        <f>IF(Klantgegevens_B!K418&lt;&gt;"", AVERAGE(--(Klantgegevens_B!K418="ja"), --(Klantgegevens_B!L418="ja"), --(Klantgegevens_B!M418="ja"), --(Klantgegevens_B!N418="ja"), --(Klantgegevens_B!O418="ja"))*10, Klantgegevens_A!L418)</f>
        <v>8</v>
      </c>
      <c r="L419" t="str">
        <f>IF(Klantgegevens_B!K418&lt;&gt;"", Klantgegevens_B!K418, IF(Klantgegevens_A!L418&gt;=7, "ja", "nee"))</f>
        <v>ja</v>
      </c>
      <c r="M419" t="str">
        <f>IF(Klantgegevens_B!L418&lt;&gt;"", Klantgegevens_B!L418, IF(Klantgegevens_A!L418&gt;=7, "ja", "nee"))</f>
        <v>ja</v>
      </c>
      <c r="N419" t="str">
        <f>IF(Klantgegevens_B!M418&lt;&gt;"", Klantgegevens_B!M418, IF(Klantgegevens_A!L418&gt;=7, "ja", "nee"))</f>
        <v>ja</v>
      </c>
      <c r="O419" t="str">
        <f>IF(Klantgegevens_B!N418&lt;&gt;"", Klantgegevens_B!N418, IF(Klantgegevens_A!L418&gt;=7, "ja", "nee"))</f>
        <v>ja</v>
      </c>
      <c r="P419" t="str">
        <f>IF(Klantgegevens_B!O418&lt;&gt;"", Klantgegevens_B!O418, IF(Klantgegevens_A!L418&gt;=7, "ja", "nee"))</f>
        <v>Vegetarisch</v>
      </c>
      <c r="Q419" t="str">
        <f>IF(Klantgegevens_B!P418&lt;&gt;"", Klantgegevens_B!P418, Klantgegevens_A!M418)</f>
        <v>Vegetarisch</v>
      </c>
      <c r="R419" t="str">
        <f>IF(Klantgegevens_B!A418&lt;&gt;"", "B", "A")</f>
        <v>B</v>
      </c>
    </row>
    <row r="420" spans="1:18" x14ac:dyDescent="0.3">
      <c r="A420" t="str">
        <f>IF(Klantgegevens_B!A419&lt;&gt;"", Klantgegevens_B!A419, MID(Klantgegevens_A!A419, FIND(",", Klantgegevens_A!A419)+2, LEN(Klantgegevens_A!A419)))</f>
        <v>Virginie</v>
      </c>
      <c r="B420" t="str">
        <f>IF(Klantgegevens_B!B419&lt;&gt;"", Klantgegevens_B!B419, LEFT(Klantgegevens_A!A419, FIND(",", Klantgegevens_A!A419)-1))</f>
        <v>Robert</v>
      </c>
      <c r="C420" t="str">
        <f t="shared" ca="1" si="6"/>
        <v/>
      </c>
      <c r="D420" t="str">
        <f>IF(Klantgegevens_B!F419&lt;&gt;"", Klantgegevens_B!F419, Klantgegevens_A!D419 &amp; " " &amp; Klantgegevens_A!E419 &amp; ", " &amp; Klantgegevens_A!F419)</f>
        <v>Virginie,Lode,Isabel,Alicia</v>
      </c>
      <c r="E420">
        <f>IF(Klantgegevens_B!G419&lt;&gt;"", Klantgegevens_B!G419, TEXTJOIN(",", TRUE, REPT("Volwassene,", Klantgegevens_A!G419), REPT("Kind,", Klantgegevens_A!H419)))</f>
        <v>89.02</v>
      </c>
      <c r="F420">
        <f>IF(Klantgegevens_B!G419&lt;&gt;"", LEN(Klantgegevens_B!G419)-LEN(SUBSTITUTE(Klantgegevens_B!G419, ",", ""))+1, Klantgegevens_A!G419)</f>
        <v>1</v>
      </c>
      <c r="G420">
        <f>IF(Klantgegevens_B!G419&lt;&gt;"", 0, Klantgegevens_A!H419)</f>
        <v>0</v>
      </c>
      <c r="H420">
        <f>IF(Klantgegevens_B!H419&lt;&gt;"", Klantgegevens_B!H419, Klantgegevens_A!I419)</f>
        <v>12</v>
      </c>
      <c r="I420" t="str">
        <f>IF(Klantgegevens_B!I419&lt;&gt;"", Klantgegevens_B!I419, SWITCH(Klantgegevens_A!J419, "Zelden", 1, "Af en toe", 4, "Regelmatig", 8, "Vaak", 12))</f>
        <v>Bancontact</v>
      </c>
      <c r="J420" t="str">
        <f>IF(Klantgegevens_B!J419&lt;&gt;"", Klantgegevens_B!J419, Klantgegevens_A!K419)</f>
        <v>ja</v>
      </c>
      <c r="K420">
        <f>IF(Klantgegevens_B!K419&lt;&gt;"", AVERAGE(--(Klantgegevens_B!K419="ja"), --(Klantgegevens_B!L419="ja"), --(Klantgegevens_B!M419="ja"), --(Klantgegevens_B!N419="ja"), --(Klantgegevens_B!O419="ja"))*10, Klantgegevens_A!L419)</f>
        <v>6</v>
      </c>
      <c r="L420" t="str">
        <f>IF(Klantgegevens_B!K419&lt;&gt;"", Klantgegevens_B!K419, IF(Klantgegevens_A!L419&gt;=7, "ja", "nee"))</f>
        <v>ja</v>
      </c>
      <c r="M420" t="str">
        <f>IF(Klantgegevens_B!L419&lt;&gt;"", Klantgegevens_B!L419, IF(Klantgegevens_A!L419&gt;=7, "ja", "nee"))</f>
        <v>ja</v>
      </c>
      <c r="N420" t="str">
        <f>IF(Klantgegevens_B!M419&lt;&gt;"", Klantgegevens_B!M419, IF(Klantgegevens_A!L419&gt;=7, "ja", "nee"))</f>
        <v>nee</v>
      </c>
      <c r="O420" t="str">
        <f>IF(Klantgegevens_B!N419&lt;&gt;"", Klantgegevens_B!N419, IF(Klantgegevens_A!L419&gt;=7, "ja", "nee"))</f>
        <v>ja</v>
      </c>
      <c r="P420" t="str">
        <f>IF(Klantgegevens_B!O419&lt;&gt;"", Klantgegevens_B!O419, IF(Klantgegevens_A!L419&gt;=7, "ja", "nee"))</f>
        <v>Geen dieet</v>
      </c>
      <c r="Q420" t="str">
        <f>IF(Klantgegevens_B!P419&lt;&gt;"", Klantgegevens_B!P419, Klantgegevens_A!M419)</f>
        <v>Vegetarisch</v>
      </c>
      <c r="R420" t="str">
        <f>IF(Klantgegevens_B!A419&lt;&gt;"", "B", "A")</f>
        <v>B</v>
      </c>
    </row>
    <row r="421" spans="1:18" x14ac:dyDescent="0.3">
      <c r="A421" t="str">
        <f>IF(Klantgegevens_B!A420&lt;&gt;"", Klantgegevens_B!A420, MID(Klantgegevens_A!A420, FIND(",", Klantgegevens_A!A420)+2, LEN(Klantgegevens_A!A420)))</f>
        <v>Adele</v>
      </c>
      <c r="B421" t="str">
        <f>IF(Klantgegevens_B!B420&lt;&gt;"", Klantgegevens_B!B420, LEFT(Klantgegevens_A!A420, FIND(",", Klantgegevens_A!A420)-1))</f>
        <v>Smeets</v>
      </c>
      <c r="C421" t="str">
        <f t="shared" ca="1" si="6"/>
        <v/>
      </c>
      <c r="D421" t="str">
        <f>IF(Klantgegevens_B!F420&lt;&gt;"", Klantgegevens_B!F420, Klantgegevens_A!D420 &amp; " " &amp; Klantgegevens_A!E420 &amp; ", " &amp; Klantgegevens_A!F420)</f>
        <v>Adele,Valeria,Wim</v>
      </c>
      <c r="E421">
        <f>IF(Klantgegevens_B!G420&lt;&gt;"", Klantgegevens_B!G420, TEXTJOIN(",", TRUE, REPT("Volwassene,", Klantgegevens_A!G420), REPT("Kind,", Klantgegevens_A!H420)))</f>
        <v>101.86</v>
      </c>
      <c r="F421">
        <f>IF(Klantgegevens_B!G420&lt;&gt;"", LEN(Klantgegevens_B!G420)-LEN(SUBSTITUTE(Klantgegevens_B!G420, ",", ""))+1, Klantgegevens_A!G420)</f>
        <v>1</v>
      </c>
      <c r="G421">
        <f>IF(Klantgegevens_B!G420&lt;&gt;"", 0, Klantgegevens_A!H420)</f>
        <v>0</v>
      </c>
      <c r="H421">
        <f>IF(Klantgegevens_B!H420&lt;&gt;"", Klantgegevens_B!H420, Klantgegevens_A!I420)</f>
        <v>2</v>
      </c>
      <c r="I421" t="str">
        <f>IF(Klantgegevens_B!I420&lt;&gt;"", Klantgegevens_B!I420, SWITCH(Klantgegevens_A!J420, "Zelden", 1, "Af en toe", 4, "Regelmatig", 8, "Vaak", 12))</f>
        <v>Payconiq</v>
      </c>
      <c r="J421" t="str">
        <f>IF(Klantgegevens_B!J420&lt;&gt;"", Klantgegevens_B!J420, Klantgegevens_A!K420)</f>
        <v>nee</v>
      </c>
      <c r="K421">
        <f>IF(Klantgegevens_B!K420&lt;&gt;"", AVERAGE(--(Klantgegevens_B!K420="ja"), --(Klantgegevens_B!L420="ja"), --(Klantgegevens_B!M420="ja"), --(Klantgegevens_B!N420="ja"), --(Klantgegevens_B!O420="ja"))*10, Klantgegevens_A!L420)</f>
        <v>6</v>
      </c>
      <c r="L421" t="str">
        <f>IF(Klantgegevens_B!K420&lt;&gt;"", Klantgegevens_B!K420, IF(Klantgegevens_A!L420&gt;=7, "ja", "nee"))</f>
        <v>ja</v>
      </c>
      <c r="M421" t="str">
        <f>IF(Klantgegevens_B!L420&lt;&gt;"", Klantgegevens_B!L420, IF(Klantgegevens_A!L420&gt;=7, "ja", "nee"))</f>
        <v>nee</v>
      </c>
      <c r="N421" t="str">
        <f>IF(Klantgegevens_B!M420&lt;&gt;"", Klantgegevens_B!M420, IF(Klantgegevens_A!L420&gt;=7, "ja", "nee"))</f>
        <v>ja</v>
      </c>
      <c r="O421" t="str">
        <f>IF(Klantgegevens_B!N420&lt;&gt;"", Klantgegevens_B!N420, IF(Klantgegevens_A!L420&gt;=7, "ja", "nee"))</f>
        <v>ja</v>
      </c>
      <c r="P421" t="str">
        <f>IF(Klantgegevens_B!O420&lt;&gt;"", Klantgegevens_B!O420, IF(Klantgegevens_A!L420&gt;=7, "ja", "nee"))</f>
        <v>Geen dieet</v>
      </c>
      <c r="Q421" t="str">
        <f>IF(Klantgegevens_B!P420&lt;&gt;"", Klantgegevens_B!P420, Klantgegevens_A!M420)</f>
        <v>Geen dieet</v>
      </c>
      <c r="R421" t="str">
        <f>IF(Klantgegevens_B!A420&lt;&gt;"", "B", "A")</f>
        <v>B</v>
      </c>
    </row>
    <row r="422" spans="1:18" x14ac:dyDescent="0.3">
      <c r="A422" t="str">
        <f>IF(Klantgegevens_B!A421&lt;&gt;"", Klantgegevens_B!A421, MID(Klantgegevens_A!A421, FIND(",", Klantgegevens_A!A421)+2, LEN(Klantgegevens_A!A421)))</f>
        <v>Mohamed</v>
      </c>
      <c r="B422" t="str">
        <f>IF(Klantgegevens_B!B421&lt;&gt;"", Klantgegevens_B!B421, LEFT(Klantgegevens_A!A421, FIND(",", Klantgegevens_A!A421)-1))</f>
        <v>Remy</v>
      </c>
      <c r="C422" t="str">
        <f t="shared" ca="1" si="6"/>
        <v/>
      </c>
      <c r="D422" t="str">
        <f>IF(Klantgegevens_B!F421&lt;&gt;"", Klantgegevens_B!F421, Klantgegevens_A!D421 &amp; " " &amp; Klantgegevens_A!E421 &amp; ", " &amp; Klantgegevens_A!F421)</f>
        <v>Mohamed,Giuseppe,Justine</v>
      </c>
      <c r="E422">
        <f>IF(Klantgegevens_B!G421&lt;&gt;"", Klantgegevens_B!G421, TEXTJOIN(",", TRUE, REPT("Volwassene,", Klantgegevens_A!G421), REPT("Kind,", Klantgegevens_A!H421)))</f>
        <v>83</v>
      </c>
      <c r="F422">
        <f>IF(Klantgegevens_B!G421&lt;&gt;"", LEN(Klantgegevens_B!G421)-LEN(SUBSTITUTE(Klantgegevens_B!G421, ",", ""))+1, Klantgegevens_A!G421)</f>
        <v>1</v>
      </c>
      <c r="G422">
        <f>IF(Klantgegevens_B!G421&lt;&gt;"", 0, Klantgegevens_A!H421)</f>
        <v>0</v>
      </c>
      <c r="H422">
        <f>IF(Klantgegevens_B!H421&lt;&gt;"", Klantgegevens_B!H421, Klantgegevens_A!I421)</f>
        <v>14</v>
      </c>
      <c r="I422" t="str">
        <f>IF(Klantgegevens_B!I421&lt;&gt;"", Klantgegevens_B!I421, SWITCH(Klantgegevens_A!J421, "Zelden", 1, "Af en toe", 4, "Regelmatig", 8, "Vaak", 12))</f>
        <v>Cash</v>
      </c>
      <c r="J422" t="str">
        <f>IF(Klantgegevens_B!J421&lt;&gt;"", Klantgegevens_B!J421, Klantgegevens_A!K421)</f>
        <v>ja</v>
      </c>
      <c r="K422">
        <f>IF(Klantgegevens_B!K421&lt;&gt;"", AVERAGE(--(Klantgegevens_B!K421="ja"), --(Klantgegevens_B!L421="ja"), --(Klantgegevens_B!M421="ja"), --(Klantgegevens_B!N421="ja"), --(Klantgegevens_B!O421="ja"))*10, Klantgegevens_A!L421)</f>
        <v>6</v>
      </c>
      <c r="L422" t="str">
        <f>IF(Klantgegevens_B!K421&lt;&gt;"", Klantgegevens_B!K421, IF(Klantgegevens_A!L421&gt;=7, "ja", "nee"))</f>
        <v>ja</v>
      </c>
      <c r="M422" t="str">
        <f>IF(Klantgegevens_B!L421&lt;&gt;"", Klantgegevens_B!L421, IF(Klantgegevens_A!L421&gt;=7, "ja", "nee"))</f>
        <v>nee</v>
      </c>
      <c r="N422" t="str">
        <f>IF(Klantgegevens_B!M421&lt;&gt;"", Klantgegevens_B!M421, IF(Klantgegevens_A!L421&gt;=7, "ja", "nee"))</f>
        <v>ja</v>
      </c>
      <c r="O422" t="str">
        <f>IF(Klantgegevens_B!N421&lt;&gt;"", Klantgegevens_B!N421, IF(Klantgegevens_A!L421&gt;=7, "ja", "nee"))</f>
        <v>ja</v>
      </c>
      <c r="P422" t="str">
        <f>IF(Klantgegevens_B!O421&lt;&gt;"", Klantgegevens_B!O421, IF(Klantgegevens_A!L421&gt;=7, "ja", "nee"))</f>
        <v>Geen dieet</v>
      </c>
      <c r="Q422" t="str">
        <f>IF(Klantgegevens_B!P421&lt;&gt;"", Klantgegevens_B!P421, Klantgegevens_A!M421)</f>
        <v>Vegetarisch</v>
      </c>
      <c r="R422" t="str">
        <f>IF(Klantgegevens_B!A421&lt;&gt;"", "B", "A")</f>
        <v>B</v>
      </c>
    </row>
    <row r="423" spans="1:18" x14ac:dyDescent="0.3">
      <c r="A423" t="str">
        <f>IF(Klantgegevens_B!A422&lt;&gt;"", Klantgegevens_B!A422, MID(Klantgegevens_A!A422, FIND(",", Klantgegevens_A!A422)+2, LEN(Klantgegevens_A!A422)))</f>
        <v>Linda</v>
      </c>
      <c r="B423" t="str">
        <f>IF(Klantgegevens_B!B422&lt;&gt;"", Klantgegevens_B!B422, LEFT(Klantgegevens_A!A422, FIND(",", Klantgegevens_A!A422)-1))</f>
        <v>Callewaert</v>
      </c>
      <c r="C423" t="str">
        <f t="shared" ca="1" si="6"/>
        <v/>
      </c>
      <c r="D423" t="str">
        <f>IF(Klantgegevens_B!F422&lt;&gt;"", Klantgegevens_B!F422, Klantgegevens_A!D422 &amp; " " &amp; Klantgegevens_A!E422 &amp; ", " &amp; Klantgegevens_A!F422)</f>
        <v>Linda,Yano,Igor,Dominique,Ayoub</v>
      </c>
      <c r="E423">
        <f>IF(Klantgegevens_B!G422&lt;&gt;"", Klantgegevens_B!G422, TEXTJOIN(",", TRUE, REPT("Volwassene,", Klantgegevens_A!G422), REPT("Kind,", Klantgegevens_A!H422)))</f>
        <v>224.86</v>
      </c>
      <c r="F423">
        <f>IF(Klantgegevens_B!G422&lt;&gt;"", LEN(Klantgegevens_B!G422)-LEN(SUBSTITUTE(Klantgegevens_B!G422, ",", ""))+1, Klantgegevens_A!G422)</f>
        <v>1</v>
      </c>
      <c r="G423">
        <f>IF(Klantgegevens_B!G422&lt;&gt;"", 0, Klantgegevens_A!H422)</f>
        <v>0</v>
      </c>
      <c r="H423">
        <f>IF(Klantgegevens_B!H422&lt;&gt;"", Klantgegevens_B!H422, Klantgegevens_A!I422)</f>
        <v>1</v>
      </c>
      <c r="I423" t="str">
        <f>IF(Klantgegevens_B!I422&lt;&gt;"", Klantgegevens_B!I422, SWITCH(Klantgegevens_A!J422, "Zelden", 1, "Af en toe", 4, "Regelmatig", 8, "Vaak", 12))</f>
        <v>Bancontact</v>
      </c>
      <c r="J423" t="str">
        <f>IF(Klantgegevens_B!J422&lt;&gt;"", Klantgegevens_B!J422, Klantgegevens_A!K422)</f>
        <v>ja</v>
      </c>
      <c r="K423">
        <f>IF(Klantgegevens_B!K422&lt;&gt;"", AVERAGE(--(Klantgegevens_B!K422="ja"), --(Klantgegevens_B!L422="ja"), --(Klantgegevens_B!M422="ja"), --(Klantgegevens_B!N422="ja"), --(Klantgegevens_B!O422="ja"))*10, Klantgegevens_A!L422)</f>
        <v>6</v>
      </c>
      <c r="L423" t="str">
        <f>IF(Klantgegevens_B!K422&lt;&gt;"", Klantgegevens_B!K422, IF(Klantgegevens_A!L422&gt;=7, "ja", "nee"))</f>
        <v>ja</v>
      </c>
      <c r="M423" t="str">
        <f>IF(Klantgegevens_B!L422&lt;&gt;"", Klantgegevens_B!L422, IF(Klantgegevens_A!L422&gt;=7, "ja", "nee"))</f>
        <v>ja</v>
      </c>
      <c r="N423" t="str">
        <f>IF(Klantgegevens_B!M422&lt;&gt;"", Klantgegevens_B!M422, IF(Klantgegevens_A!L422&gt;=7, "ja", "nee"))</f>
        <v>ja</v>
      </c>
      <c r="O423" t="str">
        <f>IF(Klantgegevens_B!N422&lt;&gt;"", Klantgegevens_B!N422, IF(Klantgegevens_A!L422&gt;=7, "ja", "nee"))</f>
        <v>nee</v>
      </c>
      <c r="P423" t="str">
        <f>IF(Klantgegevens_B!O422&lt;&gt;"", Klantgegevens_B!O422, IF(Klantgegevens_A!L422&gt;=7, "ja", "nee"))</f>
        <v>Geen dieet</v>
      </c>
      <c r="Q423" t="str">
        <f>IF(Klantgegevens_B!P422&lt;&gt;"", Klantgegevens_B!P422, Klantgegevens_A!M422)</f>
        <v>Geen dieet</v>
      </c>
      <c r="R423" t="str">
        <f>IF(Klantgegevens_B!A422&lt;&gt;"", "B", "A")</f>
        <v>B</v>
      </c>
    </row>
    <row r="424" spans="1:18" x14ac:dyDescent="0.3">
      <c r="A424" t="str">
        <f>IF(Klantgegevens_B!A423&lt;&gt;"", Klantgegevens_B!A423, MID(Klantgegevens_A!A423, FIND(",", Klantgegevens_A!A423)+2, LEN(Klantgegevens_A!A423)))</f>
        <v>Annie</v>
      </c>
      <c r="B424" t="str">
        <f>IF(Klantgegevens_B!B423&lt;&gt;"", Klantgegevens_B!B423, LEFT(Klantgegevens_A!A423, FIND(",", Klantgegevens_A!A423)-1))</f>
        <v>Goossens</v>
      </c>
      <c r="C424" t="str">
        <f t="shared" ca="1" si="6"/>
        <v/>
      </c>
      <c r="D424" t="str">
        <f>IF(Klantgegevens_B!F423&lt;&gt;"", Klantgegevens_B!F423, Klantgegevens_A!D423 &amp; " " &amp; Klantgegevens_A!E423 &amp; ", " &amp; Klantgegevens_A!F423)</f>
        <v>Annie</v>
      </c>
      <c r="E424">
        <f>IF(Klantgegevens_B!G423&lt;&gt;"", Klantgegevens_B!G423, TEXTJOIN(",", TRUE, REPT("Volwassene,", Klantgegevens_A!G423), REPT("Kind,", Klantgegevens_A!H423)))</f>
        <v>44.28</v>
      </c>
      <c r="F424">
        <f>IF(Klantgegevens_B!G423&lt;&gt;"", LEN(Klantgegevens_B!G423)-LEN(SUBSTITUTE(Klantgegevens_B!G423, ",", ""))+1, Klantgegevens_A!G423)</f>
        <v>1</v>
      </c>
      <c r="G424">
        <f>IF(Klantgegevens_B!G423&lt;&gt;"", 0, Klantgegevens_A!H423)</f>
        <v>0</v>
      </c>
      <c r="H424">
        <f>IF(Klantgegevens_B!H423&lt;&gt;"", Klantgegevens_B!H423, Klantgegevens_A!I423)</f>
        <v>6</v>
      </c>
      <c r="I424" t="str">
        <f>IF(Klantgegevens_B!I423&lt;&gt;"", Klantgegevens_B!I423, SWITCH(Klantgegevens_A!J423, "Zelden", 1, "Af en toe", 4, "Regelmatig", 8, "Vaak", 12))</f>
        <v>Creditcard</v>
      </c>
      <c r="J424" t="str">
        <f>IF(Klantgegevens_B!J423&lt;&gt;"", Klantgegevens_B!J423, Klantgegevens_A!K423)</f>
        <v>ja</v>
      </c>
      <c r="K424">
        <f>IF(Klantgegevens_B!K423&lt;&gt;"", AVERAGE(--(Klantgegevens_B!K423="ja"), --(Klantgegevens_B!L423="ja"), --(Klantgegevens_B!M423="ja"), --(Klantgegevens_B!N423="ja"), --(Klantgegevens_B!O423="ja"))*10, Klantgegevens_A!L423)</f>
        <v>4</v>
      </c>
      <c r="L424" t="str">
        <f>IF(Klantgegevens_B!K423&lt;&gt;"", Klantgegevens_B!K423, IF(Klantgegevens_A!L423&gt;=7, "ja", "nee"))</f>
        <v>nee</v>
      </c>
      <c r="M424" t="str">
        <f>IF(Klantgegevens_B!L423&lt;&gt;"", Klantgegevens_B!L423, IF(Klantgegevens_A!L423&gt;=7, "ja", "nee"))</f>
        <v>ja</v>
      </c>
      <c r="N424" t="str">
        <f>IF(Klantgegevens_B!M423&lt;&gt;"", Klantgegevens_B!M423, IF(Klantgegevens_A!L423&gt;=7, "ja", "nee"))</f>
        <v>nee</v>
      </c>
      <c r="O424" t="str">
        <f>IF(Klantgegevens_B!N423&lt;&gt;"", Klantgegevens_B!N423, IF(Klantgegevens_A!L423&gt;=7, "ja", "nee"))</f>
        <v>ja</v>
      </c>
      <c r="P424" t="str">
        <f>IF(Klantgegevens_B!O423&lt;&gt;"", Klantgegevens_B!O423, IF(Klantgegevens_A!L423&gt;=7, "ja", "nee"))</f>
        <v>Veganistisch</v>
      </c>
      <c r="Q424" t="str">
        <f>IF(Klantgegevens_B!P423&lt;&gt;"", Klantgegevens_B!P423, Klantgegevens_A!M423)</f>
        <v>Geen dieet</v>
      </c>
      <c r="R424" t="str">
        <f>IF(Klantgegevens_B!A423&lt;&gt;"", "B", "A")</f>
        <v>B</v>
      </c>
    </row>
    <row r="425" spans="1:18" x14ac:dyDescent="0.3">
      <c r="A425" t="str">
        <f>IF(Klantgegevens_B!A424&lt;&gt;"", Klantgegevens_B!A424, MID(Klantgegevens_A!A424, FIND(",", Klantgegevens_A!A424)+2, LEN(Klantgegevens_A!A424)))</f>
        <v>Narong</v>
      </c>
      <c r="B425" t="str">
        <f>IF(Klantgegevens_B!B424&lt;&gt;"", Klantgegevens_B!B424, LEFT(Klantgegevens_A!A424, FIND(",", Klantgegevens_A!A424)-1))</f>
        <v>Heylen</v>
      </c>
      <c r="C425" t="str">
        <f t="shared" ca="1" si="6"/>
        <v/>
      </c>
      <c r="D425" t="str">
        <f>IF(Klantgegevens_B!F424&lt;&gt;"", Klantgegevens_B!F424, Klantgegevens_A!D424 &amp; " " &amp; Klantgegevens_A!E424 &amp; ", " &amp; Klantgegevens_A!F424)</f>
        <v>Narong,Adnan,Sébastien</v>
      </c>
      <c r="E425">
        <f>IF(Klantgegevens_B!G424&lt;&gt;"", Klantgegevens_B!G424, TEXTJOIN(",", TRUE, REPT("Volwassene,", Klantgegevens_A!G424), REPT("Kind,", Klantgegevens_A!H424)))</f>
        <v>115.26</v>
      </c>
      <c r="F425">
        <f>IF(Klantgegevens_B!G424&lt;&gt;"", LEN(Klantgegevens_B!G424)-LEN(SUBSTITUTE(Klantgegevens_B!G424, ",", ""))+1, Klantgegevens_A!G424)</f>
        <v>1</v>
      </c>
      <c r="G425">
        <f>IF(Klantgegevens_B!G424&lt;&gt;"", 0, Klantgegevens_A!H424)</f>
        <v>0</v>
      </c>
      <c r="H425">
        <f>IF(Klantgegevens_B!H424&lt;&gt;"", Klantgegevens_B!H424, Klantgegevens_A!I424)</f>
        <v>17</v>
      </c>
      <c r="I425" t="str">
        <f>IF(Klantgegevens_B!I424&lt;&gt;"", Klantgegevens_B!I424, SWITCH(Klantgegevens_A!J424, "Zelden", 1, "Af en toe", 4, "Regelmatig", 8, "Vaak", 12))</f>
        <v>Bancontact</v>
      </c>
      <c r="J425" t="str">
        <f>IF(Klantgegevens_B!J424&lt;&gt;"", Klantgegevens_B!J424, Klantgegevens_A!K424)</f>
        <v>nee</v>
      </c>
      <c r="K425">
        <f>IF(Klantgegevens_B!K424&lt;&gt;"", AVERAGE(--(Klantgegevens_B!K424="ja"), --(Klantgegevens_B!L424="ja"), --(Klantgegevens_B!M424="ja"), --(Klantgegevens_B!N424="ja"), --(Klantgegevens_B!O424="ja"))*10, Klantgegevens_A!L424)</f>
        <v>8</v>
      </c>
      <c r="L425" t="str">
        <f>IF(Klantgegevens_B!K424&lt;&gt;"", Klantgegevens_B!K424, IF(Klantgegevens_A!L424&gt;=7, "ja", "nee"))</f>
        <v>ja</v>
      </c>
      <c r="M425" t="str">
        <f>IF(Klantgegevens_B!L424&lt;&gt;"", Klantgegevens_B!L424, IF(Klantgegevens_A!L424&gt;=7, "ja", "nee"))</f>
        <v>ja</v>
      </c>
      <c r="N425" t="str">
        <f>IF(Klantgegevens_B!M424&lt;&gt;"", Klantgegevens_B!M424, IF(Klantgegevens_A!L424&gt;=7, "ja", "nee"))</f>
        <v>ja</v>
      </c>
      <c r="O425" t="str">
        <f>IF(Klantgegevens_B!N424&lt;&gt;"", Klantgegevens_B!N424, IF(Klantgegevens_A!L424&gt;=7, "ja", "nee"))</f>
        <v>ja</v>
      </c>
      <c r="P425" t="str">
        <f>IF(Klantgegevens_B!O424&lt;&gt;"", Klantgegevens_B!O424, IF(Klantgegevens_A!L424&gt;=7, "ja", "nee"))</f>
        <v>Geen dieet</v>
      </c>
      <c r="Q425" t="str">
        <f>IF(Klantgegevens_B!P424&lt;&gt;"", Klantgegevens_B!P424, Klantgegevens_A!M424)</f>
        <v>Geen dieet</v>
      </c>
      <c r="R425" t="str">
        <f>IF(Klantgegevens_B!A424&lt;&gt;"", "B", "A")</f>
        <v>B</v>
      </c>
    </row>
    <row r="426" spans="1:18" x14ac:dyDescent="0.3">
      <c r="A426" t="str">
        <f>IF(Klantgegevens_B!A425&lt;&gt;"", Klantgegevens_B!A425, MID(Klantgegevens_A!A425, FIND(",", Klantgegevens_A!A425)+2, LEN(Klantgegevens_A!A425)))</f>
        <v>Tifanny</v>
      </c>
      <c r="B426" t="str">
        <f>IF(Klantgegevens_B!B425&lt;&gt;"", Klantgegevens_B!B425, LEFT(Klantgegevens_A!A425, FIND(",", Klantgegevens_A!A425)-1))</f>
        <v>De paepe</v>
      </c>
      <c r="C426" t="str">
        <f t="shared" ca="1" si="6"/>
        <v/>
      </c>
      <c r="D426" t="str">
        <f>IF(Klantgegevens_B!F425&lt;&gt;"", Klantgegevens_B!F425, Klantgegevens_A!D425 &amp; " " &amp; Klantgegevens_A!E425 &amp; ", " &amp; Klantgegevens_A!F425)</f>
        <v>Tifanny,Johan</v>
      </c>
      <c r="E426">
        <f>IF(Klantgegevens_B!G425&lt;&gt;"", Klantgegevens_B!G425, TEXTJOIN(",", TRUE, REPT("Volwassene,", Klantgegevens_A!G425), REPT("Kind,", Klantgegevens_A!H425)))</f>
        <v>154.71</v>
      </c>
      <c r="F426">
        <f>IF(Klantgegevens_B!G425&lt;&gt;"", LEN(Klantgegevens_B!G425)-LEN(SUBSTITUTE(Klantgegevens_B!G425, ",", ""))+1, Klantgegevens_A!G425)</f>
        <v>1</v>
      </c>
      <c r="G426">
        <f>IF(Klantgegevens_B!G425&lt;&gt;"", 0, Klantgegevens_A!H425)</f>
        <v>0</v>
      </c>
      <c r="H426">
        <f>IF(Klantgegevens_B!H425&lt;&gt;"", Klantgegevens_B!H425, Klantgegevens_A!I425)</f>
        <v>15</v>
      </c>
      <c r="I426" t="str">
        <f>IF(Klantgegevens_B!I425&lt;&gt;"", Klantgegevens_B!I425, SWITCH(Klantgegevens_A!J425, "Zelden", 1, "Af en toe", 4, "Regelmatig", 8, "Vaak", 12))</f>
        <v>Payconiq</v>
      </c>
      <c r="J426" t="str">
        <f>IF(Klantgegevens_B!J425&lt;&gt;"", Klantgegevens_B!J425, Klantgegevens_A!K425)</f>
        <v>ja</v>
      </c>
      <c r="K426">
        <f>IF(Klantgegevens_B!K425&lt;&gt;"", AVERAGE(--(Klantgegevens_B!K425="ja"), --(Klantgegevens_B!L425="ja"), --(Klantgegevens_B!M425="ja"), --(Klantgegevens_B!N425="ja"), --(Klantgegevens_B!O425="ja"))*10, Klantgegevens_A!L425)</f>
        <v>6</v>
      </c>
      <c r="L426" t="str">
        <f>IF(Klantgegevens_B!K425&lt;&gt;"", Klantgegevens_B!K425, IF(Klantgegevens_A!L425&gt;=7, "ja", "nee"))</f>
        <v>ja</v>
      </c>
      <c r="M426" t="str">
        <f>IF(Klantgegevens_B!L425&lt;&gt;"", Klantgegevens_B!L425, IF(Klantgegevens_A!L425&gt;=7, "ja", "nee"))</f>
        <v>ja</v>
      </c>
      <c r="N426" t="str">
        <f>IF(Klantgegevens_B!M425&lt;&gt;"", Klantgegevens_B!M425, IF(Klantgegevens_A!L425&gt;=7, "ja", "nee"))</f>
        <v>nee</v>
      </c>
      <c r="O426" t="str">
        <f>IF(Klantgegevens_B!N425&lt;&gt;"", Klantgegevens_B!N425, IF(Klantgegevens_A!L425&gt;=7, "ja", "nee"))</f>
        <v>ja</v>
      </c>
      <c r="P426" t="str">
        <f>IF(Klantgegevens_B!O425&lt;&gt;"", Klantgegevens_B!O425, IF(Klantgegevens_A!L425&gt;=7, "ja", "nee"))</f>
        <v>Geen dieet</v>
      </c>
      <c r="Q426" t="str">
        <f>IF(Klantgegevens_B!P425&lt;&gt;"", Klantgegevens_B!P425, Klantgegevens_A!M425)</f>
        <v>Geen dieet</v>
      </c>
      <c r="R426" t="str">
        <f>IF(Klantgegevens_B!A425&lt;&gt;"", "B", "A")</f>
        <v>B</v>
      </c>
    </row>
    <row r="427" spans="1:18" x14ac:dyDescent="0.3">
      <c r="A427" t="str">
        <f>IF(Klantgegevens_B!A426&lt;&gt;"", Klantgegevens_B!A426, MID(Klantgegevens_A!A426, FIND(",", Klantgegevens_A!A426)+2, LEN(Klantgegevens_A!A426)))</f>
        <v>Eléonore</v>
      </c>
      <c r="B427" t="str">
        <f>IF(Klantgegevens_B!B426&lt;&gt;"", Klantgegevens_B!B426, LEFT(Klantgegevens_A!A426, FIND(",", Klantgegevens_A!A426)-1))</f>
        <v>Descamps</v>
      </c>
      <c r="C427" t="str">
        <f t="shared" ca="1" si="6"/>
        <v/>
      </c>
      <c r="D427" t="str">
        <f>IF(Klantgegevens_B!F426&lt;&gt;"", Klantgegevens_B!F426, Klantgegevens_A!D426 &amp; " " &amp; Klantgegevens_A!E426 &amp; ", " &amp; Klantgegevens_A!F426)</f>
        <v>Eléonore,Judith,Delphine</v>
      </c>
      <c r="E427">
        <f>IF(Klantgegevens_B!G426&lt;&gt;"", Klantgegevens_B!G426, TEXTJOIN(",", TRUE, REPT("Volwassene,", Klantgegevens_A!G426), REPT("Kind,", Klantgegevens_A!H426)))</f>
        <v>163.36000000000001</v>
      </c>
      <c r="F427">
        <f>IF(Klantgegevens_B!G426&lt;&gt;"", LEN(Klantgegevens_B!G426)-LEN(SUBSTITUTE(Klantgegevens_B!G426, ",", ""))+1, Klantgegevens_A!G426)</f>
        <v>1</v>
      </c>
      <c r="G427">
        <f>IF(Klantgegevens_B!G426&lt;&gt;"", 0, Klantgegevens_A!H426)</f>
        <v>0</v>
      </c>
      <c r="H427">
        <f>IF(Klantgegevens_B!H426&lt;&gt;"", Klantgegevens_B!H426, Klantgegevens_A!I426)</f>
        <v>16</v>
      </c>
      <c r="I427" t="str">
        <f>IF(Klantgegevens_B!I426&lt;&gt;"", Klantgegevens_B!I426, SWITCH(Klantgegevens_A!J426, "Zelden", 1, "Af en toe", 4, "Regelmatig", 8, "Vaak", 12))</f>
        <v>Bancontact</v>
      </c>
      <c r="J427" t="str">
        <f>IF(Klantgegevens_B!J426&lt;&gt;"", Klantgegevens_B!J426, Klantgegevens_A!K426)</f>
        <v>ja</v>
      </c>
      <c r="K427">
        <f>IF(Klantgegevens_B!K426&lt;&gt;"", AVERAGE(--(Klantgegevens_B!K426="ja"), --(Klantgegevens_B!L426="ja"), --(Klantgegevens_B!M426="ja"), --(Klantgegevens_B!N426="ja"), --(Klantgegevens_B!O426="ja"))*10, Klantgegevens_A!L426)</f>
        <v>6</v>
      </c>
      <c r="L427" t="str">
        <f>IF(Klantgegevens_B!K426&lt;&gt;"", Klantgegevens_B!K426, IF(Klantgegevens_A!L426&gt;=7, "ja", "nee"))</f>
        <v>ja</v>
      </c>
      <c r="M427" t="str">
        <f>IF(Klantgegevens_B!L426&lt;&gt;"", Klantgegevens_B!L426, IF(Klantgegevens_A!L426&gt;=7, "ja", "nee"))</f>
        <v>ja</v>
      </c>
      <c r="N427" t="str">
        <f>IF(Klantgegevens_B!M426&lt;&gt;"", Klantgegevens_B!M426, IF(Klantgegevens_A!L426&gt;=7, "ja", "nee"))</f>
        <v>nee</v>
      </c>
      <c r="O427" t="str">
        <f>IF(Klantgegevens_B!N426&lt;&gt;"", Klantgegevens_B!N426, IF(Klantgegevens_A!L426&gt;=7, "ja", "nee"))</f>
        <v>ja</v>
      </c>
      <c r="P427" t="str">
        <f>IF(Klantgegevens_B!O426&lt;&gt;"", Klantgegevens_B!O426, IF(Klantgegevens_A!L426&gt;=7, "ja", "nee"))</f>
        <v>Geen dieet</v>
      </c>
      <c r="Q427" t="str">
        <f>IF(Klantgegevens_B!P426&lt;&gt;"", Klantgegevens_B!P426, Klantgegevens_A!M426)</f>
        <v>Geen dieet</v>
      </c>
      <c r="R427" t="str">
        <f>IF(Klantgegevens_B!A426&lt;&gt;"", "B", "A")</f>
        <v>B</v>
      </c>
    </row>
    <row r="428" spans="1:18" x14ac:dyDescent="0.3">
      <c r="A428" t="str">
        <f>IF(Klantgegevens_B!A427&lt;&gt;"", Klantgegevens_B!A427, MID(Klantgegevens_A!A427, FIND(",", Klantgegevens_A!A427)+2, LEN(Klantgegevens_A!A427)))</f>
        <v>Marc</v>
      </c>
      <c r="B428" t="str">
        <f>IF(Klantgegevens_B!B427&lt;&gt;"", Klantgegevens_B!B427, LEFT(Klantgegevens_A!A427, FIND(",", Klantgegevens_A!A427)-1))</f>
        <v>Colson</v>
      </c>
      <c r="C428" t="str">
        <f t="shared" ca="1" si="6"/>
        <v/>
      </c>
      <c r="D428" t="str">
        <f>IF(Klantgegevens_B!F427&lt;&gt;"", Klantgegevens_B!F427, Klantgegevens_A!D427 &amp; " " &amp; Klantgegevens_A!E427 &amp; ", " &amp; Klantgegevens_A!F427)</f>
        <v>Marc,Carina,Marije,Thalya</v>
      </c>
      <c r="E428">
        <f>IF(Klantgegevens_B!G427&lt;&gt;"", Klantgegevens_B!G427, TEXTJOIN(",", TRUE, REPT("Volwassene,", Klantgegevens_A!G427), REPT("Kind,", Klantgegevens_A!H427)))</f>
        <v>174.33</v>
      </c>
      <c r="F428">
        <f>IF(Klantgegevens_B!G427&lt;&gt;"", LEN(Klantgegevens_B!G427)-LEN(SUBSTITUTE(Klantgegevens_B!G427, ",", ""))+1, Klantgegevens_A!G427)</f>
        <v>1</v>
      </c>
      <c r="G428">
        <f>IF(Klantgegevens_B!G427&lt;&gt;"", 0, Klantgegevens_A!H427)</f>
        <v>0</v>
      </c>
      <c r="H428">
        <f>IF(Klantgegevens_B!H427&lt;&gt;"", Klantgegevens_B!H427, Klantgegevens_A!I427)</f>
        <v>1</v>
      </c>
      <c r="I428" t="str">
        <f>IF(Klantgegevens_B!I427&lt;&gt;"", Klantgegevens_B!I427, SWITCH(Klantgegevens_A!J427, "Zelden", 1, "Af en toe", 4, "Regelmatig", 8, "Vaak", 12))</f>
        <v>Cash</v>
      </c>
      <c r="J428" t="str">
        <f>IF(Klantgegevens_B!J427&lt;&gt;"", Klantgegevens_B!J427, Klantgegevens_A!K427)</f>
        <v>ja</v>
      </c>
      <c r="K428">
        <f>IF(Klantgegevens_B!K427&lt;&gt;"", AVERAGE(--(Klantgegevens_B!K427="ja"), --(Klantgegevens_B!L427="ja"), --(Klantgegevens_B!M427="ja"), --(Klantgegevens_B!N427="ja"), --(Klantgegevens_B!O427="ja"))*10, Klantgegevens_A!L427)</f>
        <v>6</v>
      </c>
      <c r="L428" t="str">
        <f>IF(Klantgegevens_B!K427&lt;&gt;"", Klantgegevens_B!K427, IF(Klantgegevens_A!L427&gt;=7, "ja", "nee"))</f>
        <v>ja</v>
      </c>
      <c r="M428" t="str">
        <f>IF(Klantgegevens_B!L427&lt;&gt;"", Klantgegevens_B!L427, IF(Klantgegevens_A!L427&gt;=7, "ja", "nee"))</f>
        <v>nee</v>
      </c>
      <c r="N428" t="str">
        <f>IF(Klantgegevens_B!M427&lt;&gt;"", Klantgegevens_B!M427, IF(Klantgegevens_A!L427&gt;=7, "ja", "nee"))</f>
        <v>ja</v>
      </c>
      <c r="O428" t="str">
        <f>IF(Klantgegevens_B!N427&lt;&gt;"", Klantgegevens_B!N427, IF(Klantgegevens_A!L427&gt;=7, "ja", "nee"))</f>
        <v>ja</v>
      </c>
      <c r="P428" t="str">
        <f>IF(Klantgegevens_B!O427&lt;&gt;"", Klantgegevens_B!O427, IF(Klantgegevens_A!L427&gt;=7, "ja", "nee"))</f>
        <v>Geen dieet</v>
      </c>
      <c r="Q428" t="str">
        <f>IF(Klantgegevens_B!P427&lt;&gt;"", Klantgegevens_B!P427, Klantgegevens_A!M427)</f>
        <v>Geen dieet</v>
      </c>
      <c r="R428" t="str">
        <f>IF(Klantgegevens_B!A427&lt;&gt;"", "B", "A")</f>
        <v>B</v>
      </c>
    </row>
    <row r="429" spans="1:18" x14ac:dyDescent="0.3">
      <c r="A429" t="str">
        <f>IF(Klantgegevens_B!A428&lt;&gt;"", Klantgegevens_B!A428, MID(Klantgegevens_A!A428, FIND(",", Klantgegevens_A!A428)+2, LEN(Klantgegevens_A!A428)))</f>
        <v>Zakaria</v>
      </c>
      <c r="B429" t="str">
        <f>IF(Klantgegevens_B!B428&lt;&gt;"", Klantgegevens_B!B428, LEFT(Klantgegevens_A!A428, FIND(",", Klantgegevens_A!A428)-1))</f>
        <v>Smets</v>
      </c>
      <c r="C429" t="str">
        <f t="shared" ca="1" si="6"/>
        <v/>
      </c>
      <c r="D429" t="str">
        <f>IF(Klantgegevens_B!F428&lt;&gt;"", Klantgegevens_B!F428, Klantgegevens_A!D428 &amp; " " &amp; Klantgegevens_A!E428 &amp; ", " &amp; Klantgegevens_A!F428)</f>
        <v>Zakaria,Anas</v>
      </c>
      <c r="E429">
        <f>IF(Klantgegevens_B!G428&lt;&gt;"", Klantgegevens_B!G428, TEXTJOIN(",", TRUE, REPT("Volwassene,", Klantgegevens_A!G428), REPT("Kind,", Klantgegevens_A!H428)))</f>
        <v>20.04</v>
      </c>
      <c r="F429">
        <f>IF(Klantgegevens_B!G428&lt;&gt;"", LEN(Klantgegevens_B!G428)-LEN(SUBSTITUTE(Klantgegevens_B!G428, ",", ""))+1, Klantgegevens_A!G428)</f>
        <v>1</v>
      </c>
      <c r="G429">
        <f>IF(Klantgegevens_B!G428&lt;&gt;"", 0, Klantgegevens_A!H428)</f>
        <v>0</v>
      </c>
      <c r="H429">
        <f>IF(Klantgegevens_B!H428&lt;&gt;"", Klantgegevens_B!H428, Klantgegevens_A!I428)</f>
        <v>2</v>
      </c>
      <c r="I429" t="str">
        <f>IF(Klantgegevens_B!I428&lt;&gt;"", Klantgegevens_B!I428, SWITCH(Klantgegevens_A!J428, "Zelden", 1, "Af en toe", 4, "Regelmatig", 8, "Vaak", 12))</f>
        <v>Bancontact</v>
      </c>
      <c r="J429" t="str">
        <f>IF(Klantgegevens_B!J428&lt;&gt;"", Klantgegevens_B!J428, Klantgegevens_A!K428)</f>
        <v>ja</v>
      </c>
      <c r="K429">
        <f>IF(Klantgegevens_B!K428&lt;&gt;"", AVERAGE(--(Klantgegevens_B!K428="ja"), --(Klantgegevens_B!L428="ja"), --(Klantgegevens_B!M428="ja"), --(Klantgegevens_B!N428="ja"), --(Klantgegevens_B!O428="ja"))*10, Klantgegevens_A!L428)</f>
        <v>4</v>
      </c>
      <c r="L429" t="str">
        <f>IF(Klantgegevens_B!K428&lt;&gt;"", Klantgegevens_B!K428, IF(Klantgegevens_A!L428&gt;=7, "ja", "nee"))</f>
        <v>ja</v>
      </c>
      <c r="M429" t="str">
        <f>IF(Klantgegevens_B!L428&lt;&gt;"", Klantgegevens_B!L428, IF(Klantgegevens_A!L428&gt;=7, "ja", "nee"))</f>
        <v>ja</v>
      </c>
      <c r="N429" t="str">
        <f>IF(Klantgegevens_B!M428&lt;&gt;"", Klantgegevens_B!M428, IF(Klantgegevens_A!L428&gt;=7, "ja", "nee"))</f>
        <v>nee</v>
      </c>
      <c r="O429" t="str">
        <f>IF(Klantgegevens_B!N428&lt;&gt;"", Klantgegevens_B!N428, IF(Klantgegevens_A!L428&gt;=7, "ja", "nee"))</f>
        <v>nee</v>
      </c>
      <c r="P429" t="str">
        <f>IF(Klantgegevens_B!O428&lt;&gt;"", Klantgegevens_B!O428, IF(Klantgegevens_A!L428&gt;=7, "ja", "nee"))</f>
        <v>Geen dieet</v>
      </c>
      <c r="Q429" t="str">
        <f>IF(Klantgegevens_B!P428&lt;&gt;"", Klantgegevens_B!P428, Klantgegevens_A!M428)</f>
        <v>Geen dieet</v>
      </c>
      <c r="R429" t="str">
        <f>IF(Klantgegevens_B!A428&lt;&gt;"", "B", "A")</f>
        <v>B</v>
      </c>
    </row>
    <row r="430" spans="1:18" x14ac:dyDescent="0.3">
      <c r="A430" t="str">
        <f>IF(Klantgegevens_B!A429&lt;&gt;"", Klantgegevens_B!A429, MID(Klantgegevens_A!A429, FIND(",", Klantgegevens_A!A429)+2, LEN(Klantgegevens_A!A429)))</f>
        <v>Anny</v>
      </c>
      <c r="B430" t="str">
        <f>IF(Klantgegevens_B!B429&lt;&gt;"", Klantgegevens_B!B429, LEFT(Klantgegevens_A!A429, FIND(",", Klantgegevens_A!A429)-1))</f>
        <v>Collignon</v>
      </c>
      <c r="C430" t="str">
        <f t="shared" ca="1" si="6"/>
        <v/>
      </c>
      <c r="D430" t="str">
        <f>IF(Klantgegevens_B!F429&lt;&gt;"", Klantgegevens_B!F429, Klantgegevens_A!D429 &amp; " " &amp; Klantgegevens_A!E429 &amp; ", " &amp; Klantgegevens_A!F429)</f>
        <v>Anny,Sarah,Beatrix,Jean-Pierre</v>
      </c>
      <c r="E430">
        <f>IF(Klantgegevens_B!G429&lt;&gt;"", Klantgegevens_B!G429, TEXTJOIN(",", TRUE, REPT("Volwassene,", Klantgegevens_A!G429), REPT("Kind,", Klantgegevens_A!H429)))</f>
        <v>177.39</v>
      </c>
      <c r="F430">
        <f>IF(Klantgegevens_B!G429&lt;&gt;"", LEN(Klantgegevens_B!G429)-LEN(SUBSTITUTE(Klantgegevens_B!G429, ",", ""))+1, Klantgegevens_A!G429)</f>
        <v>1</v>
      </c>
      <c r="G430">
        <f>IF(Klantgegevens_B!G429&lt;&gt;"", 0, Klantgegevens_A!H429)</f>
        <v>0</v>
      </c>
      <c r="H430">
        <f>IF(Klantgegevens_B!H429&lt;&gt;"", Klantgegevens_B!H429, Klantgegevens_A!I429)</f>
        <v>22</v>
      </c>
      <c r="I430" t="str">
        <f>IF(Klantgegevens_B!I429&lt;&gt;"", Klantgegevens_B!I429, SWITCH(Klantgegevens_A!J429, "Zelden", 1, "Af en toe", 4, "Regelmatig", 8, "Vaak", 12))</f>
        <v>Bancontact</v>
      </c>
      <c r="J430" t="str">
        <f>IF(Klantgegevens_B!J429&lt;&gt;"", Klantgegevens_B!J429, Klantgegevens_A!K429)</f>
        <v>ja</v>
      </c>
      <c r="K430">
        <f>IF(Klantgegevens_B!K429&lt;&gt;"", AVERAGE(--(Klantgegevens_B!K429="ja"), --(Klantgegevens_B!L429="ja"), --(Klantgegevens_B!M429="ja"), --(Klantgegevens_B!N429="ja"), --(Klantgegevens_B!O429="ja"))*10, Klantgegevens_A!L429)</f>
        <v>4</v>
      </c>
      <c r="L430" t="str">
        <f>IF(Klantgegevens_B!K429&lt;&gt;"", Klantgegevens_B!K429, IF(Klantgegevens_A!L429&gt;=7, "ja", "nee"))</f>
        <v>ja</v>
      </c>
      <c r="M430" t="str">
        <f>IF(Klantgegevens_B!L429&lt;&gt;"", Klantgegevens_B!L429, IF(Klantgegevens_A!L429&gt;=7, "ja", "nee"))</f>
        <v>ja</v>
      </c>
      <c r="N430" t="str">
        <f>IF(Klantgegevens_B!M429&lt;&gt;"", Klantgegevens_B!M429, IF(Klantgegevens_A!L429&gt;=7, "ja", "nee"))</f>
        <v>nee</v>
      </c>
      <c r="O430" t="str">
        <f>IF(Klantgegevens_B!N429&lt;&gt;"", Klantgegevens_B!N429, IF(Klantgegevens_A!L429&gt;=7, "ja", "nee"))</f>
        <v>nee</v>
      </c>
      <c r="P430" t="str">
        <f>IF(Klantgegevens_B!O429&lt;&gt;"", Klantgegevens_B!O429, IF(Klantgegevens_A!L429&gt;=7, "ja", "nee"))</f>
        <v>Geen dieet</v>
      </c>
      <c r="Q430" t="str">
        <f>IF(Klantgegevens_B!P429&lt;&gt;"", Klantgegevens_B!P429, Klantgegevens_A!M429)</f>
        <v>Geen dieet</v>
      </c>
      <c r="R430" t="str">
        <f>IF(Klantgegevens_B!A429&lt;&gt;"", "B", "A")</f>
        <v>B</v>
      </c>
    </row>
    <row r="431" spans="1:18" x14ac:dyDescent="0.3">
      <c r="A431" t="str">
        <f>IF(Klantgegevens_B!A430&lt;&gt;"", Klantgegevens_B!A430, MID(Klantgegevens_A!A430, FIND(",", Klantgegevens_A!A430)+2, LEN(Klantgegevens_A!A430)))</f>
        <v>Dirk</v>
      </c>
      <c r="B431" t="str">
        <f>IF(Klantgegevens_B!B430&lt;&gt;"", Klantgegevens_B!B430, LEFT(Klantgegevens_A!A430, FIND(",", Klantgegevens_A!A430)-1))</f>
        <v>Verhelst</v>
      </c>
      <c r="C431" t="str">
        <f t="shared" ca="1" si="6"/>
        <v/>
      </c>
      <c r="D431" t="str">
        <f>IF(Klantgegevens_B!F430&lt;&gt;"", Klantgegevens_B!F430, Klantgegevens_A!D430 &amp; " " &amp; Klantgegevens_A!E430 &amp; ", " &amp; Klantgegevens_A!F430)</f>
        <v>Dirk,Bénédicte</v>
      </c>
      <c r="E431">
        <f>IF(Klantgegevens_B!G430&lt;&gt;"", Klantgegevens_B!G430, TEXTJOIN(",", TRUE, REPT("Volwassene,", Klantgegevens_A!G430), REPT("Kind,", Klantgegevens_A!H430)))</f>
        <v>96.06</v>
      </c>
      <c r="F431">
        <f>IF(Klantgegevens_B!G430&lt;&gt;"", LEN(Klantgegevens_B!G430)-LEN(SUBSTITUTE(Klantgegevens_B!G430, ",", ""))+1, Klantgegevens_A!G430)</f>
        <v>1</v>
      </c>
      <c r="G431">
        <f>IF(Klantgegevens_B!G430&lt;&gt;"", 0, Klantgegevens_A!H430)</f>
        <v>0</v>
      </c>
      <c r="H431">
        <f>IF(Klantgegevens_B!H430&lt;&gt;"", Klantgegevens_B!H430, Klantgegevens_A!I430)</f>
        <v>10</v>
      </c>
      <c r="I431" t="str">
        <f>IF(Klantgegevens_B!I430&lt;&gt;"", Klantgegevens_B!I430, SWITCH(Klantgegevens_A!J430, "Zelden", 1, "Af en toe", 4, "Regelmatig", 8, "Vaak", 12))</f>
        <v>Cash</v>
      </c>
      <c r="J431" t="str">
        <f>IF(Klantgegevens_B!J430&lt;&gt;"", Klantgegevens_B!J430, Klantgegevens_A!K430)</f>
        <v>ja</v>
      </c>
      <c r="K431">
        <f>IF(Klantgegevens_B!K430&lt;&gt;"", AVERAGE(--(Klantgegevens_B!K430="ja"), --(Klantgegevens_B!L430="ja"), --(Klantgegevens_B!M430="ja"), --(Klantgegevens_B!N430="ja"), --(Klantgegevens_B!O430="ja"))*10, Klantgegevens_A!L430)</f>
        <v>8</v>
      </c>
      <c r="L431" t="str">
        <f>IF(Klantgegevens_B!K430&lt;&gt;"", Klantgegevens_B!K430, IF(Klantgegevens_A!L430&gt;=7, "ja", "nee"))</f>
        <v>ja</v>
      </c>
      <c r="M431" t="str">
        <f>IF(Klantgegevens_B!L430&lt;&gt;"", Klantgegevens_B!L430, IF(Klantgegevens_A!L430&gt;=7, "ja", "nee"))</f>
        <v>ja</v>
      </c>
      <c r="N431" t="str">
        <f>IF(Klantgegevens_B!M430&lt;&gt;"", Klantgegevens_B!M430, IF(Klantgegevens_A!L430&gt;=7, "ja", "nee"))</f>
        <v>ja</v>
      </c>
      <c r="O431" t="str">
        <f>IF(Klantgegevens_B!N430&lt;&gt;"", Klantgegevens_B!N430, IF(Klantgegevens_A!L430&gt;=7, "ja", "nee"))</f>
        <v>ja</v>
      </c>
      <c r="P431" t="str">
        <f>IF(Klantgegevens_B!O430&lt;&gt;"", Klantgegevens_B!O430, IF(Klantgegevens_A!L430&gt;=7, "ja", "nee"))</f>
        <v>Geen dieet</v>
      </c>
      <c r="Q431" t="str">
        <f>IF(Klantgegevens_B!P430&lt;&gt;"", Klantgegevens_B!P430, Klantgegevens_A!M430)</f>
        <v>Vegetarisch</v>
      </c>
      <c r="R431" t="str">
        <f>IF(Klantgegevens_B!A430&lt;&gt;"", "B", "A")</f>
        <v>B</v>
      </c>
    </row>
    <row r="432" spans="1:18" x14ac:dyDescent="0.3">
      <c r="A432" t="str">
        <f>IF(Klantgegevens_B!A431&lt;&gt;"", Klantgegevens_B!A431, MID(Klantgegevens_A!A431, FIND(",", Klantgegevens_A!A431)+2, LEN(Klantgegevens_A!A431)))</f>
        <v>Benny</v>
      </c>
      <c r="B432" t="str">
        <f>IF(Klantgegevens_B!B431&lt;&gt;"", Klantgegevens_B!B431, LEFT(Klantgegevens_A!A431, FIND(",", Klantgegevens_A!A431)-1))</f>
        <v>Brasseur</v>
      </c>
      <c r="C432" t="str">
        <f t="shared" ca="1" si="6"/>
        <v/>
      </c>
      <c r="D432" t="str">
        <f>IF(Klantgegevens_B!F431&lt;&gt;"", Klantgegevens_B!F431, Klantgegevens_A!D431 &amp; " " &amp; Klantgegevens_A!E431 &amp; ", " &amp; Klantgegevens_A!F431)</f>
        <v>Benny,Manon,Harold</v>
      </c>
      <c r="E432">
        <f>IF(Klantgegevens_B!G431&lt;&gt;"", Klantgegevens_B!G431, TEXTJOIN(",", TRUE, REPT("Volwassene,", Klantgegevens_A!G431), REPT("Kind,", Klantgegevens_A!H431)))</f>
        <v>35.6</v>
      </c>
      <c r="F432">
        <f>IF(Klantgegevens_B!G431&lt;&gt;"", LEN(Klantgegevens_B!G431)-LEN(SUBSTITUTE(Klantgegevens_B!G431, ",", ""))+1, Klantgegevens_A!G431)</f>
        <v>1</v>
      </c>
      <c r="G432">
        <f>IF(Klantgegevens_B!G431&lt;&gt;"", 0, Klantgegevens_A!H431)</f>
        <v>0</v>
      </c>
      <c r="H432">
        <f>IF(Klantgegevens_B!H431&lt;&gt;"", Klantgegevens_B!H431, Klantgegevens_A!I431)</f>
        <v>2</v>
      </c>
      <c r="I432" t="str">
        <f>IF(Klantgegevens_B!I431&lt;&gt;"", Klantgegevens_B!I431, SWITCH(Klantgegevens_A!J431, "Zelden", 1, "Af en toe", 4, "Regelmatig", 8, "Vaak", 12))</f>
        <v>Payconiq</v>
      </c>
      <c r="J432" t="str">
        <f>IF(Klantgegevens_B!J431&lt;&gt;"", Klantgegevens_B!J431, Klantgegevens_A!K431)</f>
        <v>ja</v>
      </c>
      <c r="K432">
        <f>IF(Klantgegevens_B!K431&lt;&gt;"", AVERAGE(--(Klantgegevens_B!K431="ja"), --(Klantgegevens_B!L431="ja"), --(Klantgegevens_B!M431="ja"), --(Klantgegevens_B!N431="ja"), --(Klantgegevens_B!O431="ja"))*10, Klantgegevens_A!L431)</f>
        <v>8</v>
      </c>
      <c r="L432" t="str">
        <f>IF(Klantgegevens_B!K431&lt;&gt;"", Klantgegevens_B!K431, IF(Klantgegevens_A!L431&gt;=7, "ja", "nee"))</f>
        <v>ja</v>
      </c>
      <c r="M432" t="str">
        <f>IF(Klantgegevens_B!L431&lt;&gt;"", Klantgegevens_B!L431, IF(Klantgegevens_A!L431&gt;=7, "ja", "nee"))</f>
        <v>ja</v>
      </c>
      <c r="N432" t="str">
        <f>IF(Klantgegevens_B!M431&lt;&gt;"", Klantgegevens_B!M431, IF(Klantgegevens_A!L431&gt;=7, "ja", "nee"))</f>
        <v>ja</v>
      </c>
      <c r="O432" t="str">
        <f>IF(Klantgegevens_B!N431&lt;&gt;"", Klantgegevens_B!N431, IF(Klantgegevens_A!L431&gt;=7, "ja", "nee"))</f>
        <v>ja</v>
      </c>
      <c r="P432" t="str">
        <f>IF(Klantgegevens_B!O431&lt;&gt;"", Klantgegevens_B!O431, IF(Klantgegevens_A!L431&gt;=7, "ja", "nee"))</f>
        <v>Geen dieet</v>
      </c>
      <c r="Q432" t="str">
        <f>IF(Klantgegevens_B!P431&lt;&gt;"", Klantgegevens_B!P431, Klantgegevens_A!M431)</f>
        <v>Geen dieet</v>
      </c>
      <c r="R432" t="str">
        <f>IF(Klantgegevens_B!A431&lt;&gt;"", "B", "A")</f>
        <v>B</v>
      </c>
    </row>
    <row r="433" spans="1:18" x14ac:dyDescent="0.3">
      <c r="A433" t="str">
        <f>IF(Klantgegevens_B!A432&lt;&gt;"", Klantgegevens_B!A432, MID(Klantgegevens_A!A432, FIND(",", Klantgegevens_A!A432)+2, LEN(Klantgegevens_A!A432)))</f>
        <v>Wim</v>
      </c>
      <c r="B433" t="str">
        <f>IF(Klantgegevens_B!B432&lt;&gt;"", Klantgegevens_B!B432, LEFT(Klantgegevens_A!A432, FIND(",", Klantgegevens_A!A432)-1))</f>
        <v>Poncelet</v>
      </c>
      <c r="C433" t="str">
        <f t="shared" ca="1" si="6"/>
        <v/>
      </c>
      <c r="D433" t="str">
        <f>IF(Klantgegevens_B!F432&lt;&gt;"", Klantgegevens_B!F432, Klantgegevens_A!D432 &amp; " " &amp; Klantgegevens_A!E432 &amp; ", " &amp; Klantgegevens_A!F432)</f>
        <v>Wim,Ria,Ayfer</v>
      </c>
      <c r="E433">
        <f>IF(Klantgegevens_B!G432&lt;&gt;"", Klantgegevens_B!G432, TEXTJOIN(",", TRUE, REPT("Volwassene,", Klantgegevens_A!G432), REPT("Kind,", Klantgegevens_A!H432)))</f>
        <v>170.46</v>
      </c>
      <c r="F433">
        <f>IF(Klantgegevens_B!G432&lt;&gt;"", LEN(Klantgegevens_B!G432)-LEN(SUBSTITUTE(Klantgegevens_B!G432, ",", ""))+1, Klantgegevens_A!G432)</f>
        <v>1</v>
      </c>
      <c r="G433">
        <f>IF(Klantgegevens_B!G432&lt;&gt;"", 0, Klantgegevens_A!H432)</f>
        <v>0</v>
      </c>
      <c r="H433">
        <f>IF(Klantgegevens_B!H432&lt;&gt;"", Klantgegevens_B!H432, Klantgegevens_A!I432)</f>
        <v>4</v>
      </c>
      <c r="I433" t="str">
        <f>IF(Klantgegevens_B!I432&lt;&gt;"", Klantgegevens_B!I432, SWITCH(Klantgegevens_A!J432, "Zelden", 1, "Af en toe", 4, "Regelmatig", 8, "Vaak", 12))</f>
        <v>Cash</v>
      </c>
      <c r="J433" t="str">
        <f>IF(Klantgegevens_B!J432&lt;&gt;"", Klantgegevens_B!J432, Klantgegevens_A!K432)</f>
        <v>ja</v>
      </c>
      <c r="K433">
        <f>IF(Klantgegevens_B!K432&lt;&gt;"", AVERAGE(--(Klantgegevens_B!K432="ja"), --(Klantgegevens_B!L432="ja"), --(Klantgegevens_B!M432="ja"), --(Klantgegevens_B!N432="ja"), --(Klantgegevens_B!O432="ja"))*10, Klantgegevens_A!L432)</f>
        <v>6</v>
      </c>
      <c r="L433" t="str">
        <f>IF(Klantgegevens_B!K432&lt;&gt;"", Klantgegevens_B!K432, IF(Klantgegevens_A!L432&gt;=7, "ja", "nee"))</f>
        <v>nee</v>
      </c>
      <c r="M433" t="str">
        <f>IF(Klantgegevens_B!L432&lt;&gt;"", Klantgegevens_B!L432, IF(Klantgegevens_A!L432&gt;=7, "ja", "nee"))</f>
        <v>ja</v>
      </c>
      <c r="N433" t="str">
        <f>IF(Klantgegevens_B!M432&lt;&gt;"", Klantgegevens_B!M432, IF(Klantgegevens_A!L432&gt;=7, "ja", "nee"))</f>
        <v>ja</v>
      </c>
      <c r="O433" t="str">
        <f>IF(Klantgegevens_B!N432&lt;&gt;"", Klantgegevens_B!N432, IF(Klantgegevens_A!L432&gt;=7, "ja", "nee"))</f>
        <v>ja</v>
      </c>
      <c r="P433" t="str">
        <f>IF(Klantgegevens_B!O432&lt;&gt;"", Klantgegevens_B!O432, IF(Klantgegevens_A!L432&gt;=7, "ja", "nee"))</f>
        <v>Vegetarisch</v>
      </c>
      <c r="Q433" t="str">
        <f>IF(Klantgegevens_B!P432&lt;&gt;"", Klantgegevens_B!P432, Klantgegevens_A!M432)</f>
        <v>Geen dieet</v>
      </c>
      <c r="R433" t="str">
        <f>IF(Klantgegevens_B!A432&lt;&gt;"", "B", "A")</f>
        <v>B</v>
      </c>
    </row>
    <row r="434" spans="1:18" x14ac:dyDescent="0.3">
      <c r="A434" t="str">
        <f>IF(Klantgegevens_B!A433&lt;&gt;"", Klantgegevens_B!A433, MID(Klantgegevens_A!A433, FIND(",", Klantgegevens_A!A433)+2, LEN(Klantgegevens_A!A433)))</f>
        <v>Carole</v>
      </c>
      <c r="B434" t="str">
        <f>IF(Klantgegevens_B!B433&lt;&gt;"", Klantgegevens_B!B433, LEFT(Klantgegevens_A!A433, FIND(",", Klantgegevens_A!A433)-1))</f>
        <v>Thys</v>
      </c>
      <c r="C434" t="str">
        <f t="shared" ca="1" si="6"/>
        <v/>
      </c>
      <c r="D434" t="str">
        <f>IF(Klantgegevens_B!F433&lt;&gt;"", Klantgegevens_B!F433, Klantgegevens_A!D433 &amp; " " &amp; Klantgegevens_A!E433 &amp; ", " &amp; Klantgegevens_A!F433)</f>
        <v>Carole,Lars,Amany</v>
      </c>
      <c r="E434">
        <f>IF(Klantgegevens_B!G433&lt;&gt;"", Klantgegevens_B!G433, TEXTJOIN(",", TRUE, REPT("Volwassene,", Klantgegevens_A!G433), REPT("Kind,", Klantgegevens_A!H433)))</f>
        <v>78.349999999999994</v>
      </c>
      <c r="F434">
        <f>IF(Klantgegevens_B!G433&lt;&gt;"", LEN(Klantgegevens_B!G433)-LEN(SUBSTITUTE(Klantgegevens_B!G433, ",", ""))+1, Klantgegevens_A!G433)</f>
        <v>1</v>
      </c>
      <c r="G434">
        <f>IF(Klantgegevens_B!G433&lt;&gt;"", 0, Klantgegevens_A!H433)</f>
        <v>0</v>
      </c>
      <c r="H434">
        <f>IF(Klantgegevens_B!H433&lt;&gt;"", Klantgegevens_B!H433, Klantgegevens_A!I433)</f>
        <v>11</v>
      </c>
      <c r="I434" t="str">
        <f>IF(Klantgegevens_B!I433&lt;&gt;"", Klantgegevens_B!I433, SWITCH(Klantgegevens_A!J433, "Zelden", 1, "Af en toe", 4, "Regelmatig", 8, "Vaak", 12))</f>
        <v>Payconiq</v>
      </c>
      <c r="J434" t="str">
        <f>IF(Klantgegevens_B!J433&lt;&gt;"", Klantgegevens_B!J433, Klantgegevens_A!K433)</f>
        <v>ja</v>
      </c>
      <c r="K434">
        <f>IF(Klantgegevens_B!K433&lt;&gt;"", AVERAGE(--(Klantgegevens_B!K433="ja"), --(Klantgegevens_B!L433="ja"), --(Klantgegevens_B!M433="ja"), --(Klantgegevens_B!N433="ja"), --(Klantgegevens_B!O433="ja"))*10, Klantgegevens_A!L433)</f>
        <v>6</v>
      </c>
      <c r="L434" t="str">
        <f>IF(Klantgegevens_B!K433&lt;&gt;"", Klantgegevens_B!K433, IF(Klantgegevens_A!L433&gt;=7, "ja", "nee"))</f>
        <v>nee</v>
      </c>
      <c r="M434" t="str">
        <f>IF(Klantgegevens_B!L433&lt;&gt;"", Klantgegevens_B!L433, IF(Klantgegevens_A!L433&gt;=7, "ja", "nee"))</f>
        <v>ja</v>
      </c>
      <c r="N434" t="str">
        <f>IF(Klantgegevens_B!M433&lt;&gt;"", Klantgegevens_B!M433, IF(Klantgegevens_A!L433&gt;=7, "ja", "nee"))</f>
        <v>ja</v>
      </c>
      <c r="O434" t="str">
        <f>IF(Klantgegevens_B!N433&lt;&gt;"", Klantgegevens_B!N433, IF(Klantgegevens_A!L433&gt;=7, "ja", "nee"))</f>
        <v>ja</v>
      </c>
      <c r="P434" t="str">
        <f>IF(Klantgegevens_B!O433&lt;&gt;"", Klantgegevens_B!O433, IF(Klantgegevens_A!L433&gt;=7, "ja", "nee"))</f>
        <v>Geen dieet</v>
      </c>
      <c r="Q434" t="str">
        <f>IF(Klantgegevens_B!P433&lt;&gt;"", Klantgegevens_B!P433, Klantgegevens_A!M433)</f>
        <v>Vegetarisch</v>
      </c>
      <c r="R434" t="str">
        <f>IF(Klantgegevens_B!A433&lt;&gt;"", "B", "A")</f>
        <v>B</v>
      </c>
    </row>
    <row r="435" spans="1:18" x14ac:dyDescent="0.3">
      <c r="A435" t="str">
        <f>IF(Klantgegevens_B!A434&lt;&gt;"", Klantgegevens_B!A434, MID(Klantgegevens_A!A434, FIND(",", Klantgegevens_A!A434)+2, LEN(Klantgegevens_A!A434)))</f>
        <v>Liesbet</v>
      </c>
      <c r="B435" t="str">
        <f>IF(Klantgegevens_B!B434&lt;&gt;"", Klantgegevens_B!B434, LEFT(Klantgegevens_A!A434, FIND(",", Klantgegevens_A!A434)-1))</f>
        <v>Lejeune</v>
      </c>
      <c r="C435" t="str">
        <f t="shared" ca="1" si="6"/>
        <v/>
      </c>
      <c r="D435" t="str">
        <f>IF(Klantgegevens_B!F434&lt;&gt;"", Klantgegevens_B!F434, Klantgegevens_A!D434 &amp; " " &amp; Klantgegevens_A!E434 &amp; ", " &amp; Klantgegevens_A!F434)</f>
        <v>Liesbet,Lea</v>
      </c>
      <c r="E435">
        <f>IF(Klantgegevens_B!G434&lt;&gt;"", Klantgegevens_B!G434, TEXTJOIN(",", TRUE, REPT("Volwassene,", Klantgegevens_A!G434), REPT("Kind,", Klantgegevens_A!H434)))</f>
        <v>20.57</v>
      </c>
      <c r="F435">
        <f>IF(Klantgegevens_B!G434&lt;&gt;"", LEN(Klantgegevens_B!G434)-LEN(SUBSTITUTE(Klantgegevens_B!G434, ",", ""))+1, Klantgegevens_A!G434)</f>
        <v>1</v>
      </c>
      <c r="G435">
        <f>IF(Klantgegevens_B!G434&lt;&gt;"", 0, Klantgegevens_A!H434)</f>
        <v>0</v>
      </c>
      <c r="H435">
        <f>IF(Klantgegevens_B!H434&lt;&gt;"", Klantgegevens_B!H434, Klantgegevens_A!I434)</f>
        <v>17</v>
      </c>
      <c r="I435" t="str">
        <f>IF(Klantgegevens_B!I434&lt;&gt;"", Klantgegevens_B!I434, SWITCH(Klantgegevens_A!J434, "Zelden", 1, "Af en toe", 4, "Regelmatig", 8, "Vaak", 12))</f>
        <v>Bancontact</v>
      </c>
      <c r="J435" t="str">
        <f>IF(Klantgegevens_B!J434&lt;&gt;"", Klantgegevens_B!J434, Klantgegevens_A!K434)</f>
        <v>ja</v>
      </c>
      <c r="K435">
        <f>IF(Klantgegevens_B!K434&lt;&gt;"", AVERAGE(--(Klantgegevens_B!K434="ja"), --(Klantgegevens_B!L434="ja"), --(Klantgegevens_B!M434="ja"), --(Klantgegevens_B!N434="ja"), --(Klantgegevens_B!O434="ja"))*10, Klantgegevens_A!L434)</f>
        <v>6</v>
      </c>
      <c r="L435" t="str">
        <f>IF(Klantgegevens_B!K434&lt;&gt;"", Klantgegevens_B!K434, IF(Klantgegevens_A!L434&gt;=7, "ja", "nee"))</f>
        <v>ja</v>
      </c>
      <c r="M435" t="str">
        <f>IF(Klantgegevens_B!L434&lt;&gt;"", Klantgegevens_B!L434, IF(Klantgegevens_A!L434&gt;=7, "ja", "nee"))</f>
        <v>ja</v>
      </c>
      <c r="N435" t="str">
        <f>IF(Klantgegevens_B!M434&lt;&gt;"", Klantgegevens_B!M434, IF(Klantgegevens_A!L434&gt;=7, "ja", "nee"))</f>
        <v>ja</v>
      </c>
      <c r="O435" t="str">
        <f>IF(Klantgegevens_B!N434&lt;&gt;"", Klantgegevens_B!N434, IF(Klantgegevens_A!L434&gt;=7, "ja", "nee"))</f>
        <v>nee</v>
      </c>
      <c r="P435" t="str">
        <f>IF(Klantgegevens_B!O434&lt;&gt;"", Klantgegevens_B!O434, IF(Klantgegevens_A!L434&gt;=7, "ja", "nee"))</f>
        <v>Geen dieet</v>
      </c>
      <c r="Q435" t="str">
        <f>IF(Klantgegevens_B!P434&lt;&gt;"", Klantgegevens_B!P434, Klantgegevens_A!M434)</f>
        <v>Geen dieet</v>
      </c>
      <c r="R435" t="str">
        <f>IF(Klantgegevens_B!A434&lt;&gt;"", "B", "A")</f>
        <v>B</v>
      </c>
    </row>
    <row r="436" spans="1:18" x14ac:dyDescent="0.3">
      <c r="A436" t="str">
        <f>IF(Klantgegevens_B!A435&lt;&gt;"", Klantgegevens_B!A435, MID(Klantgegevens_A!A435, FIND(",", Klantgegevens_A!A435)+2, LEN(Klantgegevens_A!A435)))</f>
        <v>Karl</v>
      </c>
      <c r="B436" t="str">
        <f>IF(Klantgegevens_B!B435&lt;&gt;"", Klantgegevens_B!B435, LEFT(Klantgegevens_A!A435, FIND(",", Klantgegevens_A!A435)-1))</f>
        <v>Desmet</v>
      </c>
      <c r="C436" t="str">
        <f t="shared" ca="1" si="6"/>
        <v/>
      </c>
      <c r="D436" t="str">
        <f>IF(Klantgegevens_B!F435&lt;&gt;"", Klantgegevens_B!F435, Klantgegevens_A!D435 &amp; " " &amp; Klantgegevens_A!E435 &amp; ", " &amp; Klantgegevens_A!F435)</f>
        <v>Karl,Lies</v>
      </c>
      <c r="E436">
        <f>IF(Klantgegevens_B!G435&lt;&gt;"", Klantgegevens_B!G435, TEXTJOIN(",", TRUE, REPT("Volwassene,", Klantgegevens_A!G435), REPT("Kind,", Klantgegevens_A!H435)))</f>
        <v>122.65</v>
      </c>
      <c r="F436">
        <f>IF(Klantgegevens_B!G435&lt;&gt;"", LEN(Klantgegevens_B!G435)-LEN(SUBSTITUTE(Klantgegevens_B!G435, ",", ""))+1, Klantgegevens_A!G435)</f>
        <v>1</v>
      </c>
      <c r="G436">
        <f>IF(Klantgegevens_B!G435&lt;&gt;"", 0, Klantgegevens_A!H435)</f>
        <v>0</v>
      </c>
      <c r="H436">
        <f>IF(Klantgegevens_B!H435&lt;&gt;"", Klantgegevens_B!H435, Klantgegevens_A!I435)</f>
        <v>4</v>
      </c>
      <c r="I436" t="str">
        <f>IF(Klantgegevens_B!I435&lt;&gt;"", Klantgegevens_B!I435, SWITCH(Klantgegevens_A!J435, "Zelden", 1, "Af en toe", 4, "Regelmatig", 8, "Vaak", 12))</f>
        <v>Bancontact</v>
      </c>
      <c r="J436" t="str">
        <f>IF(Klantgegevens_B!J435&lt;&gt;"", Klantgegevens_B!J435, Klantgegevens_A!K435)</f>
        <v>ja</v>
      </c>
      <c r="K436">
        <f>IF(Klantgegevens_B!K435&lt;&gt;"", AVERAGE(--(Klantgegevens_B!K435="ja"), --(Klantgegevens_B!L435="ja"), --(Klantgegevens_B!M435="ja"), --(Klantgegevens_B!N435="ja"), --(Klantgegevens_B!O435="ja"))*10, Klantgegevens_A!L435)</f>
        <v>0</v>
      </c>
      <c r="L436" t="str">
        <f>IF(Klantgegevens_B!K435&lt;&gt;"", Klantgegevens_B!K435, IF(Klantgegevens_A!L435&gt;=7, "ja", "nee"))</f>
        <v>nee</v>
      </c>
      <c r="M436" t="str">
        <f>IF(Klantgegevens_B!L435&lt;&gt;"", Klantgegevens_B!L435, IF(Klantgegevens_A!L435&gt;=7, "ja", "nee"))</f>
        <v>nee</v>
      </c>
      <c r="N436" t="str">
        <f>IF(Klantgegevens_B!M435&lt;&gt;"", Klantgegevens_B!M435, IF(Klantgegevens_A!L435&gt;=7, "ja", "nee"))</f>
        <v>nee</v>
      </c>
      <c r="O436" t="str">
        <f>IF(Klantgegevens_B!N435&lt;&gt;"", Klantgegevens_B!N435, IF(Klantgegevens_A!L435&gt;=7, "ja", "nee"))</f>
        <v>nee</v>
      </c>
      <c r="P436" t="str">
        <f>IF(Klantgegevens_B!O435&lt;&gt;"", Klantgegevens_B!O435, IF(Klantgegevens_A!L435&gt;=7, "ja", "nee"))</f>
        <v>Geen dieet</v>
      </c>
      <c r="Q436" t="str">
        <f>IF(Klantgegevens_B!P435&lt;&gt;"", Klantgegevens_B!P435, Klantgegevens_A!M435)</f>
        <v>Vegetarisch</v>
      </c>
      <c r="R436" t="str">
        <f>IF(Klantgegevens_B!A435&lt;&gt;"", "B", "A")</f>
        <v>B</v>
      </c>
    </row>
    <row r="437" spans="1:18" x14ac:dyDescent="0.3">
      <c r="A437" t="str">
        <f>IF(Klantgegevens_B!A436&lt;&gt;"", Klantgegevens_B!A436, MID(Klantgegevens_A!A436, FIND(",", Klantgegevens_A!A436)+2, LEN(Klantgegevens_A!A436)))</f>
        <v>Evelien</v>
      </c>
      <c r="B437" t="str">
        <f>IF(Klantgegevens_B!B436&lt;&gt;"", Klantgegevens_B!B436, LEFT(Klantgegevens_A!A436, FIND(",", Klantgegevens_A!A436)-1))</f>
        <v>Piron</v>
      </c>
      <c r="C437" t="str">
        <f t="shared" ca="1" si="6"/>
        <v/>
      </c>
      <c r="D437" t="str">
        <f>IF(Klantgegevens_B!F436&lt;&gt;"", Klantgegevens_B!F436, Klantgegevens_A!D436 &amp; " " &amp; Klantgegevens_A!E436 &amp; ", " &amp; Klantgegevens_A!F436)</f>
        <v>Evelien,Tinne,Esteban,Aurelia,Michel</v>
      </c>
      <c r="E437">
        <f>IF(Klantgegevens_B!G436&lt;&gt;"", Klantgegevens_B!G436, TEXTJOIN(",", TRUE, REPT("Volwassene,", Klantgegevens_A!G436), REPT("Kind,", Klantgegevens_A!H436)))</f>
        <v>193.81</v>
      </c>
      <c r="F437">
        <f>IF(Klantgegevens_B!G436&lt;&gt;"", LEN(Klantgegevens_B!G436)-LEN(SUBSTITUTE(Klantgegevens_B!G436, ",", ""))+1, Klantgegevens_A!G436)</f>
        <v>1</v>
      </c>
      <c r="G437">
        <f>IF(Klantgegevens_B!G436&lt;&gt;"", 0, Klantgegevens_A!H436)</f>
        <v>0</v>
      </c>
      <c r="H437">
        <f>IF(Klantgegevens_B!H436&lt;&gt;"", Klantgegevens_B!H436, Klantgegevens_A!I436)</f>
        <v>17</v>
      </c>
      <c r="I437" t="str">
        <f>IF(Klantgegevens_B!I436&lt;&gt;"", Klantgegevens_B!I436, SWITCH(Klantgegevens_A!J436, "Zelden", 1, "Af en toe", 4, "Regelmatig", 8, "Vaak", 12))</f>
        <v>Cash</v>
      </c>
      <c r="J437" t="str">
        <f>IF(Klantgegevens_B!J436&lt;&gt;"", Klantgegevens_B!J436, Klantgegevens_A!K436)</f>
        <v>ja</v>
      </c>
      <c r="K437">
        <f>IF(Klantgegevens_B!K436&lt;&gt;"", AVERAGE(--(Klantgegevens_B!K436="ja"), --(Klantgegevens_B!L436="ja"), --(Klantgegevens_B!M436="ja"), --(Klantgegevens_B!N436="ja"), --(Klantgegevens_B!O436="ja"))*10, Klantgegevens_A!L436)</f>
        <v>8</v>
      </c>
      <c r="L437" t="str">
        <f>IF(Klantgegevens_B!K436&lt;&gt;"", Klantgegevens_B!K436, IF(Klantgegevens_A!L436&gt;=7, "ja", "nee"))</f>
        <v>ja</v>
      </c>
      <c r="M437" t="str">
        <f>IF(Klantgegevens_B!L436&lt;&gt;"", Klantgegevens_B!L436, IF(Klantgegevens_A!L436&gt;=7, "ja", "nee"))</f>
        <v>ja</v>
      </c>
      <c r="N437" t="str">
        <f>IF(Klantgegevens_B!M436&lt;&gt;"", Klantgegevens_B!M436, IF(Klantgegevens_A!L436&gt;=7, "ja", "nee"))</f>
        <v>ja</v>
      </c>
      <c r="O437" t="str">
        <f>IF(Klantgegevens_B!N436&lt;&gt;"", Klantgegevens_B!N436, IF(Klantgegevens_A!L436&gt;=7, "ja", "nee"))</f>
        <v>ja</v>
      </c>
      <c r="P437" t="str">
        <f>IF(Klantgegevens_B!O436&lt;&gt;"", Klantgegevens_B!O436, IF(Klantgegevens_A!L436&gt;=7, "ja", "nee"))</f>
        <v>Vegetarisch</v>
      </c>
      <c r="Q437" t="str">
        <f>IF(Klantgegevens_B!P436&lt;&gt;"", Klantgegevens_B!P436, Klantgegevens_A!M436)</f>
        <v>Veganistisch</v>
      </c>
      <c r="R437" t="str">
        <f>IF(Klantgegevens_B!A436&lt;&gt;"", "B", "A")</f>
        <v>B</v>
      </c>
    </row>
    <row r="438" spans="1:18" x14ac:dyDescent="0.3">
      <c r="A438" t="str">
        <f>IF(Klantgegevens_B!A437&lt;&gt;"", Klantgegevens_B!A437, MID(Klantgegevens_A!A437, FIND(",", Klantgegevens_A!A437)+2, LEN(Klantgegevens_A!A437)))</f>
        <v>Rachel</v>
      </c>
      <c r="B438" t="str">
        <f>IF(Klantgegevens_B!B437&lt;&gt;"", Klantgegevens_B!B437, LEFT(Klantgegevens_A!A437, FIND(",", Klantgegevens_A!A437)-1))</f>
        <v>Leroy</v>
      </c>
      <c r="C438" t="str">
        <f t="shared" ca="1" si="6"/>
        <v/>
      </c>
      <c r="D438" t="str">
        <f>IF(Klantgegevens_B!F437&lt;&gt;"", Klantgegevens_B!F437, Klantgegevens_A!D437 &amp; " " &amp; Klantgegevens_A!E437 &amp; ", " &amp; Klantgegevens_A!F437)</f>
        <v>Rachel,Ionela,Chloé,Dorian</v>
      </c>
      <c r="E438">
        <f>IF(Klantgegevens_B!G437&lt;&gt;"", Klantgegevens_B!G437, TEXTJOIN(",", TRUE, REPT("Volwassene,", Klantgegevens_A!G437), REPT("Kind,", Klantgegevens_A!H437)))</f>
        <v>195.87</v>
      </c>
      <c r="F438">
        <f>IF(Klantgegevens_B!G437&lt;&gt;"", LEN(Klantgegevens_B!G437)-LEN(SUBSTITUTE(Klantgegevens_B!G437, ",", ""))+1, Klantgegevens_A!G437)</f>
        <v>1</v>
      </c>
      <c r="G438">
        <f>IF(Klantgegevens_B!G437&lt;&gt;"", 0, Klantgegevens_A!H437)</f>
        <v>0</v>
      </c>
      <c r="H438">
        <f>IF(Klantgegevens_B!H437&lt;&gt;"", Klantgegevens_B!H437, Klantgegevens_A!I437)</f>
        <v>2</v>
      </c>
      <c r="I438" t="str">
        <f>IF(Klantgegevens_B!I437&lt;&gt;"", Klantgegevens_B!I437, SWITCH(Klantgegevens_A!J437, "Zelden", 1, "Af en toe", 4, "Regelmatig", 8, "Vaak", 12))</f>
        <v>Payconiq</v>
      </c>
      <c r="J438" t="str">
        <f>IF(Klantgegevens_B!J437&lt;&gt;"", Klantgegevens_B!J437, Klantgegevens_A!K437)</f>
        <v>nee</v>
      </c>
      <c r="K438">
        <f>IF(Klantgegevens_B!K437&lt;&gt;"", AVERAGE(--(Klantgegevens_B!K437="ja"), --(Klantgegevens_B!L437="ja"), --(Klantgegevens_B!M437="ja"), --(Klantgegevens_B!N437="ja"), --(Klantgegevens_B!O437="ja"))*10, Klantgegevens_A!L437)</f>
        <v>6</v>
      </c>
      <c r="L438" t="str">
        <f>IF(Klantgegevens_B!K437&lt;&gt;"", Klantgegevens_B!K437, IF(Klantgegevens_A!L437&gt;=7, "ja", "nee"))</f>
        <v>ja</v>
      </c>
      <c r="M438" t="str">
        <f>IF(Klantgegevens_B!L437&lt;&gt;"", Klantgegevens_B!L437, IF(Klantgegevens_A!L437&gt;=7, "ja", "nee"))</f>
        <v>nee</v>
      </c>
      <c r="N438" t="str">
        <f>IF(Klantgegevens_B!M437&lt;&gt;"", Klantgegevens_B!M437, IF(Klantgegevens_A!L437&gt;=7, "ja", "nee"))</f>
        <v>ja</v>
      </c>
      <c r="O438" t="str">
        <f>IF(Klantgegevens_B!N437&lt;&gt;"", Klantgegevens_B!N437, IF(Klantgegevens_A!L437&gt;=7, "ja", "nee"))</f>
        <v>ja</v>
      </c>
      <c r="P438" t="str">
        <f>IF(Klantgegevens_B!O437&lt;&gt;"", Klantgegevens_B!O437, IF(Klantgegevens_A!L437&gt;=7, "ja", "nee"))</f>
        <v>Vegetarisch</v>
      </c>
      <c r="Q438" t="str">
        <f>IF(Klantgegevens_B!P437&lt;&gt;"", Klantgegevens_B!P437, Klantgegevens_A!M437)</f>
        <v>Geen dieet</v>
      </c>
      <c r="R438" t="str">
        <f>IF(Klantgegevens_B!A437&lt;&gt;"", "B", "A")</f>
        <v>B</v>
      </c>
    </row>
    <row r="439" spans="1:18" x14ac:dyDescent="0.3">
      <c r="A439" t="str">
        <f>IF(Klantgegevens_B!A438&lt;&gt;"", Klantgegevens_B!A438, MID(Klantgegevens_A!A438, FIND(",", Klantgegevens_A!A438)+2, LEN(Klantgegevens_A!A438)))</f>
        <v>Rami</v>
      </c>
      <c r="B439" t="str">
        <f>IF(Klantgegevens_B!B438&lt;&gt;"", Klantgegevens_B!B438, LEFT(Klantgegevens_A!A438, FIND(",", Klantgegevens_A!A438)-1))</f>
        <v>Dewulf</v>
      </c>
      <c r="C439" t="str">
        <f t="shared" ca="1" si="6"/>
        <v/>
      </c>
      <c r="D439" t="str">
        <f>IF(Klantgegevens_B!F438&lt;&gt;"", Klantgegevens_B!F438, Klantgegevens_A!D438 &amp; " " &amp; Klantgegevens_A!E438 &amp; ", " &amp; Klantgegevens_A!F438)</f>
        <v>Rami,Jean-Marie,Annie,Ivo</v>
      </c>
      <c r="E439">
        <f>IF(Klantgegevens_B!G438&lt;&gt;"", Klantgegevens_B!G438, TEXTJOIN(",", TRUE, REPT("Volwassene,", Klantgegevens_A!G438), REPT("Kind,", Klantgegevens_A!H438)))</f>
        <v>156.47</v>
      </c>
      <c r="F439">
        <f>IF(Klantgegevens_B!G438&lt;&gt;"", LEN(Klantgegevens_B!G438)-LEN(SUBSTITUTE(Klantgegevens_B!G438, ",", ""))+1, Klantgegevens_A!G438)</f>
        <v>1</v>
      </c>
      <c r="G439">
        <f>IF(Klantgegevens_B!G438&lt;&gt;"", 0, Klantgegevens_A!H438)</f>
        <v>0</v>
      </c>
      <c r="H439">
        <f>IF(Klantgegevens_B!H438&lt;&gt;"", Klantgegevens_B!H438, Klantgegevens_A!I438)</f>
        <v>5</v>
      </c>
      <c r="I439" t="str">
        <f>IF(Klantgegevens_B!I438&lt;&gt;"", Klantgegevens_B!I438, SWITCH(Klantgegevens_A!J438, "Zelden", 1, "Af en toe", 4, "Regelmatig", 8, "Vaak", 12))</f>
        <v>Payconiq</v>
      </c>
      <c r="J439" t="str">
        <f>IF(Klantgegevens_B!J438&lt;&gt;"", Klantgegevens_B!J438, Klantgegevens_A!K438)</f>
        <v>ja</v>
      </c>
      <c r="K439">
        <f>IF(Klantgegevens_B!K438&lt;&gt;"", AVERAGE(--(Klantgegevens_B!K438="ja"), --(Klantgegevens_B!L438="ja"), --(Klantgegevens_B!M438="ja"), --(Klantgegevens_B!N438="ja"), --(Klantgegevens_B!O438="ja"))*10, Klantgegevens_A!L438)</f>
        <v>6</v>
      </c>
      <c r="L439" t="str">
        <f>IF(Klantgegevens_B!K438&lt;&gt;"", Klantgegevens_B!K438, IF(Klantgegevens_A!L438&gt;=7, "ja", "nee"))</f>
        <v>nee</v>
      </c>
      <c r="M439" t="str">
        <f>IF(Klantgegevens_B!L438&lt;&gt;"", Klantgegevens_B!L438, IF(Klantgegevens_A!L438&gt;=7, "ja", "nee"))</f>
        <v>ja</v>
      </c>
      <c r="N439" t="str">
        <f>IF(Klantgegevens_B!M438&lt;&gt;"", Klantgegevens_B!M438, IF(Klantgegevens_A!L438&gt;=7, "ja", "nee"))</f>
        <v>ja</v>
      </c>
      <c r="O439" t="str">
        <f>IF(Klantgegevens_B!N438&lt;&gt;"", Klantgegevens_B!N438, IF(Klantgegevens_A!L438&gt;=7, "ja", "nee"))</f>
        <v>ja</v>
      </c>
      <c r="P439" t="str">
        <f>IF(Klantgegevens_B!O438&lt;&gt;"", Klantgegevens_B!O438, IF(Klantgegevens_A!L438&gt;=7, "ja", "nee"))</f>
        <v>Geen dieet</v>
      </c>
      <c r="Q439" t="str">
        <f>IF(Klantgegevens_B!P438&lt;&gt;"", Klantgegevens_B!P438, Klantgegevens_A!M438)</f>
        <v>Vegetarisch</v>
      </c>
      <c r="R439" t="str">
        <f>IF(Klantgegevens_B!A438&lt;&gt;"", "B", "A")</f>
        <v>B</v>
      </c>
    </row>
    <row r="440" spans="1:18" x14ac:dyDescent="0.3">
      <c r="A440" t="str">
        <f>IF(Klantgegevens_B!A439&lt;&gt;"", Klantgegevens_B!A439, MID(Klantgegevens_A!A439, FIND(",", Klantgegevens_A!A439)+2, LEN(Klantgegevens_A!A439)))</f>
        <v>Ali</v>
      </c>
      <c r="B440" t="str">
        <f>IF(Klantgegevens_B!B439&lt;&gt;"", Klantgegevens_B!B439, LEFT(Klantgegevens_A!A439, FIND(",", Klantgegevens_A!A439)-1))</f>
        <v>Cornelis</v>
      </c>
      <c r="C440" t="str">
        <f t="shared" ca="1" si="6"/>
        <v/>
      </c>
      <c r="D440" t="str">
        <f>IF(Klantgegevens_B!F439&lt;&gt;"", Klantgegevens_B!F439, Klantgegevens_A!D439 &amp; " " &amp; Klantgegevens_A!E439 &amp; ", " &amp; Klantgegevens_A!F439)</f>
        <v>Ali,Jean-Pierre,Claire</v>
      </c>
      <c r="E440">
        <f>IF(Klantgegevens_B!G439&lt;&gt;"", Klantgegevens_B!G439, TEXTJOIN(",", TRUE, REPT("Volwassene,", Klantgegevens_A!G439), REPT("Kind,", Klantgegevens_A!H439)))</f>
        <v>103.56</v>
      </c>
      <c r="F440">
        <f>IF(Klantgegevens_B!G439&lt;&gt;"", LEN(Klantgegevens_B!G439)-LEN(SUBSTITUTE(Klantgegevens_B!G439, ",", ""))+1, Klantgegevens_A!G439)</f>
        <v>1</v>
      </c>
      <c r="G440">
        <f>IF(Klantgegevens_B!G439&lt;&gt;"", 0, Klantgegevens_A!H439)</f>
        <v>0</v>
      </c>
      <c r="H440">
        <f>IF(Klantgegevens_B!H439&lt;&gt;"", Klantgegevens_B!H439, Klantgegevens_A!I439)</f>
        <v>8</v>
      </c>
      <c r="I440" t="str">
        <f>IF(Klantgegevens_B!I439&lt;&gt;"", Klantgegevens_B!I439, SWITCH(Klantgegevens_A!J439, "Zelden", 1, "Af en toe", 4, "Regelmatig", 8, "Vaak", 12))</f>
        <v>Cash</v>
      </c>
      <c r="J440" t="str">
        <f>IF(Klantgegevens_B!J439&lt;&gt;"", Klantgegevens_B!J439, Klantgegevens_A!K439)</f>
        <v>ja</v>
      </c>
      <c r="K440">
        <f>IF(Klantgegevens_B!K439&lt;&gt;"", AVERAGE(--(Klantgegevens_B!K439="ja"), --(Klantgegevens_B!L439="ja"), --(Klantgegevens_B!M439="ja"), --(Klantgegevens_B!N439="ja"), --(Klantgegevens_B!O439="ja"))*10, Klantgegevens_A!L439)</f>
        <v>8</v>
      </c>
      <c r="L440" t="str">
        <f>IF(Klantgegevens_B!K439&lt;&gt;"", Klantgegevens_B!K439, IF(Klantgegevens_A!L439&gt;=7, "ja", "nee"))</f>
        <v>ja</v>
      </c>
      <c r="M440" t="str">
        <f>IF(Klantgegevens_B!L439&lt;&gt;"", Klantgegevens_B!L439, IF(Klantgegevens_A!L439&gt;=7, "ja", "nee"))</f>
        <v>ja</v>
      </c>
      <c r="N440" t="str">
        <f>IF(Klantgegevens_B!M439&lt;&gt;"", Klantgegevens_B!M439, IF(Klantgegevens_A!L439&gt;=7, "ja", "nee"))</f>
        <v>ja</v>
      </c>
      <c r="O440" t="str">
        <f>IF(Klantgegevens_B!N439&lt;&gt;"", Klantgegevens_B!N439, IF(Klantgegevens_A!L439&gt;=7, "ja", "nee"))</f>
        <v>ja</v>
      </c>
      <c r="P440" t="str">
        <f>IF(Klantgegevens_B!O439&lt;&gt;"", Klantgegevens_B!O439, IF(Klantgegevens_A!L439&gt;=7, "ja", "nee"))</f>
        <v>Geen dieet</v>
      </c>
      <c r="Q440" t="str">
        <f>IF(Klantgegevens_B!P439&lt;&gt;"", Klantgegevens_B!P439, Klantgegevens_A!M439)</f>
        <v>Veganistisch</v>
      </c>
      <c r="R440" t="str">
        <f>IF(Klantgegevens_B!A439&lt;&gt;"", "B", "A")</f>
        <v>B</v>
      </c>
    </row>
    <row r="441" spans="1:18" x14ac:dyDescent="0.3">
      <c r="A441" t="str">
        <f>IF(Klantgegevens_B!A440&lt;&gt;"", Klantgegevens_B!A440, MID(Klantgegevens_A!A440, FIND(",", Klantgegevens_A!A440)+2, LEN(Klantgegevens_A!A440)))</f>
        <v>Petra</v>
      </c>
      <c r="B441" t="str">
        <f>IF(Klantgegevens_B!B440&lt;&gt;"", Klantgegevens_B!B440, LEFT(Klantgegevens_A!A440, FIND(",", Klantgegevens_A!A440)-1))</f>
        <v>Vermeiren</v>
      </c>
      <c r="C441" t="str">
        <f t="shared" ca="1" si="6"/>
        <v/>
      </c>
      <c r="D441" t="str">
        <f>IF(Klantgegevens_B!F440&lt;&gt;"", Klantgegevens_B!F440, Klantgegevens_A!D440 &amp; " " &amp; Klantgegevens_A!E440 &amp; ", " &amp; Klantgegevens_A!F440)</f>
        <v>Petra</v>
      </c>
      <c r="E441">
        <f>IF(Klantgegevens_B!G440&lt;&gt;"", Klantgegevens_B!G440, TEXTJOIN(",", TRUE, REPT("Volwassene,", Klantgegevens_A!G440), REPT("Kind,", Klantgegevens_A!H440)))</f>
        <v>157.62</v>
      </c>
      <c r="F441">
        <f>IF(Klantgegevens_B!G440&lt;&gt;"", LEN(Klantgegevens_B!G440)-LEN(SUBSTITUTE(Klantgegevens_B!G440, ",", ""))+1, Klantgegevens_A!G440)</f>
        <v>1</v>
      </c>
      <c r="G441">
        <f>IF(Klantgegevens_B!G440&lt;&gt;"", 0, Klantgegevens_A!H440)</f>
        <v>0</v>
      </c>
      <c r="H441">
        <f>IF(Klantgegevens_B!H440&lt;&gt;"", Klantgegevens_B!H440, Klantgegevens_A!I440)</f>
        <v>10</v>
      </c>
      <c r="I441" t="str">
        <f>IF(Klantgegevens_B!I440&lt;&gt;"", Klantgegevens_B!I440, SWITCH(Klantgegevens_A!J440, "Zelden", 1, "Af en toe", 4, "Regelmatig", 8, "Vaak", 12))</f>
        <v>Bancontact</v>
      </c>
      <c r="J441" t="str">
        <f>IF(Klantgegevens_B!J440&lt;&gt;"", Klantgegevens_B!J440, Klantgegevens_A!K440)</f>
        <v>ja</v>
      </c>
      <c r="K441">
        <f>IF(Klantgegevens_B!K440&lt;&gt;"", AVERAGE(--(Klantgegevens_B!K440="ja"), --(Klantgegevens_B!L440="ja"), --(Klantgegevens_B!M440="ja"), --(Klantgegevens_B!N440="ja"), --(Klantgegevens_B!O440="ja"))*10, Klantgegevens_A!L440)</f>
        <v>6</v>
      </c>
      <c r="L441" t="str">
        <f>IF(Klantgegevens_B!K440&lt;&gt;"", Klantgegevens_B!K440, IF(Klantgegevens_A!L440&gt;=7, "ja", "nee"))</f>
        <v>nee</v>
      </c>
      <c r="M441" t="str">
        <f>IF(Klantgegevens_B!L440&lt;&gt;"", Klantgegevens_B!L440, IF(Klantgegevens_A!L440&gt;=7, "ja", "nee"))</f>
        <v>ja</v>
      </c>
      <c r="N441" t="str">
        <f>IF(Klantgegevens_B!M440&lt;&gt;"", Klantgegevens_B!M440, IF(Klantgegevens_A!L440&gt;=7, "ja", "nee"))</f>
        <v>ja</v>
      </c>
      <c r="O441" t="str">
        <f>IF(Klantgegevens_B!N440&lt;&gt;"", Klantgegevens_B!N440, IF(Klantgegevens_A!L440&gt;=7, "ja", "nee"))</f>
        <v>ja</v>
      </c>
      <c r="P441" t="str">
        <f>IF(Klantgegevens_B!O440&lt;&gt;"", Klantgegevens_B!O440, IF(Klantgegevens_A!L440&gt;=7, "ja", "nee"))</f>
        <v>Geen dieet</v>
      </c>
      <c r="Q441" t="str">
        <f>IF(Klantgegevens_B!P440&lt;&gt;"", Klantgegevens_B!P440, Klantgegevens_A!M440)</f>
        <v>Geen dieet</v>
      </c>
      <c r="R441" t="str">
        <f>IF(Klantgegevens_B!A440&lt;&gt;"", "B", "A")</f>
        <v>B</v>
      </c>
    </row>
    <row r="442" spans="1:18" x14ac:dyDescent="0.3">
      <c r="A442" t="str">
        <f>IF(Klantgegevens_B!A441&lt;&gt;"", Klantgegevens_B!A441, MID(Klantgegevens_A!A441, FIND(",", Klantgegevens_A!A441)+2, LEN(Klantgegevens_A!A441)))</f>
        <v>Kevin</v>
      </c>
      <c r="B442" t="str">
        <f>IF(Klantgegevens_B!B441&lt;&gt;"", Klantgegevens_B!B441, LEFT(Klantgegevens_A!A441, FIND(",", Klantgegevens_A!A441)-1))</f>
        <v>De vos</v>
      </c>
      <c r="C442" t="str">
        <f t="shared" ca="1" si="6"/>
        <v/>
      </c>
      <c r="D442" t="str">
        <f>IF(Klantgegevens_B!F441&lt;&gt;"", Klantgegevens_B!F441, Klantgegevens_A!D441 &amp; " " &amp; Klantgegevens_A!E441 &amp; ", " &amp; Klantgegevens_A!F441)</f>
        <v>Kevin,Roland,Irfan</v>
      </c>
      <c r="E442">
        <f>IF(Klantgegevens_B!G441&lt;&gt;"", Klantgegevens_B!G441, TEXTJOIN(",", TRUE, REPT("Volwassene,", Klantgegevens_A!G441), REPT("Kind,", Klantgegevens_A!H441)))</f>
        <v>210.61</v>
      </c>
      <c r="F442">
        <f>IF(Klantgegevens_B!G441&lt;&gt;"", LEN(Klantgegevens_B!G441)-LEN(SUBSTITUTE(Klantgegevens_B!G441, ",", ""))+1, Klantgegevens_A!G441)</f>
        <v>1</v>
      </c>
      <c r="G442">
        <f>IF(Klantgegevens_B!G441&lt;&gt;"", 0, Klantgegevens_A!H441)</f>
        <v>0</v>
      </c>
      <c r="H442">
        <f>IF(Klantgegevens_B!H441&lt;&gt;"", Klantgegevens_B!H441, Klantgegevens_A!I441)</f>
        <v>4</v>
      </c>
      <c r="I442" t="str">
        <f>IF(Klantgegevens_B!I441&lt;&gt;"", Klantgegevens_B!I441, SWITCH(Klantgegevens_A!J441, "Zelden", 1, "Af en toe", 4, "Regelmatig", 8, "Vaak", 12))</f>
        <v>Bancontact</v>
      </c>
      <c r="J442" t="str">
        <f>IF(Klantgegevens_B!J441&lt;&gt;"", Klantgegevens_B!J441, Klantgegevens_A!K441)</f>
        <v>ja</v>
      </c>
      <c r="K442">
        <f>IF(Klantgegevens_B!K441&lt;&gt;"", AVERAGE(--(Klantgegevens_B!K441="ja"), --(Klantgegevens_B!L441="ja"), --(Klantgegevens_B!M441="ja"), --(Klantgegevens_B!N441="ja"), --(Klantgegevens_B!O441="ja"))*10, Klantgegevens_A!L441)</f>
        <v>8</v>
      </c>
      <c r="L442" t="str">
        <f>IF(Klantgegevens_B!K441&lt;&gt;"", Klantgegevens_B!K441, IF(Klantgegevens_A!L441&gt;=7, "ja", "nee"))</f>
        <v>ja</v>
      </c>
      <c r="M442" t="str">
        <f>IF(Klantgegevens_B!L441&lt;&gt;"", Klantgegevens_B!L441, IF(Klantgegevens_A!L441&gt;=7, "ja", "nee"))</f>
        <v>ja</v>
      </c>
      <c r="N442" t="str">
        <f>IF(Klantgegevens_B!M441&lt;&gt;"", Klantgegevens_B!M441, IF(Klantgegevens_A!L441&gt;=7, "ja", "nee"))</f>
        <v>ja</v>
      </c>
      <c r="O442" t="str">
        <f>IF(Klantgegevens_B!N441&lt;&gt;"", Klantgegevens_B!N441, IF(Klantgegevens_A!L441&gt;=7, "ja", "nee"))</f>
        <v>ja</v>
      </c>
      <c r="P442" t="str">
        <f>IF(Klantgegevens_B!O441&lt;&gt;"", Klantgegevens_B!O441, IF(Klantgegevens_A!L441&gt;=7, "ja", "nee"))</f>
        <v>Geen dieet</v>
      </c>
      <c r="Q442" t="str">
        <f>IF(Klantgegevens_B!P441&lt;&gt;"", Klantgegevens_B!P441, Klantgegevens_A!M441)</f>
        <v>Geen dieet</v>
      </c>
      <c r="R442" t="str">
        <f>IF(Klantgegevens_B!A441&lt;&gt;"", "B", "A")</f>
        <v>B</v>
      </c>
    </row>
    <row r="443" spans="1:18" x14ac:dyDescent="0.3">
      <c r="A443" t="str">
        <f>IF(Klantgegevens_B!A442&lt;&gt;"", Klantgegevens_B!A442, MID(Klantgegevens_A!A442, FIND(",", Klantgegevens_A!A442)+2, LEN(Klantgegevens_A!A442)))</f>
        <v>Irina</v>
      </c>
      <c r="B443" t="str">
        <f>IF(Klantgegevens_B!B442&lt;&gt;"", Klantgegevens_B!B442, LEFT(Klantgegevens_A!A442, FIND(",", Klantgegevens_A!A442)-1))</f>
        <v>Christiaens</v>
      </c>
      <c r="C443" t="str">
        <f t="shared" ca="1" si="6"/>
        <v/>
      </c>
      <c r="D443" t="str">
        <f>IF(Klantgegevens_B!F442&lt;&gt;"", Klantgegevens_B!F442, Klantgegevens_A!D442 &amp; " " &amp; Klantgegevens_A!E442 &amp; ", " &amp; Klantgegevens_A!F442)</f>
        <v>Irina,Yevgeniya</v>
      </c>
      <c r="E443">
        <f>IF(Klantgegevens_B!G442&lt;&gt;"", Klantgegevens_B!G442, TEXTJOIN(",", TRUE, REPT("Volwassene,", Klantgegevens_A!G442), REPT("Kind,", Klantgegevens_A!H442)))</f>
        <v>172.94</v>
      </c>
      <c r="F443">
        <f>IF(Klantgegevens_B!G442&lt;&gt;"", LEN(Klantgegevens_B!G442)-LEN(SUBSTITUTE(Klantgegevens_B!G442, ",", ""))+1, Klantgegevens_A!G442)</f>
        <v>1</v>
      </c>
      <c r="G443">
        <f>IF(Klantgegevens_B!G442&lt;&gt;"", 0, Klantgegevens_A!H442)</f>
        <v>0</v>
      </c>
      <c r="H443">
        <f>IF(Klantgegevens_B!H442&lt;&gt;"", Klantgegevens_B!H442, Klantgegevens_A!I442)</f>
        <v>1</v>
      </c>
      <c r="I443" t="str">
        <f>IF(Klantgegevens_B!I442&lt;&gt;"", Klantgegevens_B!I442, SWITCH(Klantgegevens_A!J442, "Zelden", 1, "Af en toe", 4, "Regelmatig", 8, "Vaak", 12))</f>
        <v>Cash</v>
      </c>
      <c r="J443" t="str">
        <f>IF(Klantgegevens_B!J442&lt;&gt;"", Klantgegevens_B!J442, Klantgegevens_A!K442)</f>
        <v>nee</v>
      </c>
      <c r="K443">
        <f>IF(Klantgegevens_B!K442&lt;&gt;"", AVERAGE(--(Klantgegevens_B!K442="ja"), --(Klantgegevens_B!L442="ja"), --(Klantgegevens_B!M442="ja"), --(Klantgegevens_B!N442="ja"), --(Klantgegevens_B!O442="ja"))*10, Klantgegevens_A!L442)</f>
        <v>4</v>
      </c>
      <c r="L443" t="str">
        <f>IF(Klantgegevens_B!K442&lt;&gt;"", Klantgegevens_B!K442, IF(Klantgegevens_A!L442&gt;=7, "ja", "nee"))</f>
        <v>nee</v>
      </c>
      <c r="M443" t="str">
        <f>IF(Klantgegevens_B!L442&lt;&gt;"", Klantgegevens_B!L442, IF(Klantgegevens_A!L442&gt;=7, "ja", "nee"))</f>
        <v>ja</v>
      </c>
      <c r="N443" t="str">
        <f>IF(Klantgegevens_B!M442&lt;&gt;"", Klantgegevens_B!M442, IF(Klantgegevens_A!L442&gt;=7, "ja", "nee"))</f>
        <v>nee</v>
      </c>
      <c r="O443" t="str">
        <f>IF(Klantgegevens_B!N442&lt;&gt;"", Klantgegevens_B!N442, IF(Klantgegevens_A!L442&gt;=7, "ja", "nee"))</f>
        <v>ja</v>
      </c>
      <c r="P443" t="str">
        <f>IF(Klantgegevens_B!O442&lt;&gt;"", Klantgegevens_B!O442, IF(Klantgegevens_A!L442&gt;=7, "ja", "nee"))</f>
        <v>Geen dieet</v>
      </c>
      <c r="Q443" t="str">
        <f>IF(Klantgegevens_B!P442&lt;&gt;"", Klantgegevens_B!P442, Klantgegevens_A!M442)</f>
        <v>Geen dieet</v>
      </c>
      <c r="R443" t="str">
        <f>IF(Klantgegevens_B!A442&lt;&gt;"", "B", "A")</f>
        <v>B</v>
      </c>
    </row>
    <row r="444" spans="1:18" x14ac:dyDescent="0.3">
      <c r="A444" t="str">
        <f>IF(Klantgegevens_B!A443&lt;&gt;"", Klantgegevens_B!A443, MID(Klantgegevens_A!A443, FIND(",", Klantgegevens_A!A443)+2, LEN(Klantgegevens_A!A443)))</f>
        <v>Efe</v>
      </c>
      <c r="B444" t="str">
        <f>IF(Klantgegevens_B!B443&lt;&gt;"", Klantgegevens_B!B443, LEFT(Klantgegevens_A!A443, FIND(",", Klantgegevens_A!A443)-1))</f>
        <v>De laet</v>
      </c>
      <c r="C444" t="str">
        <f t="shared" ca="1" si="6"/>
        <v/>
      </c>
      <c r="D444" t="str">
        <f>IF(Klantgegevens_B!F443&lt;&gt;"", Klantgegevens_B!F443, Klantgegevens_A!D443 &amp; " " &amp; Klantgegevens_A!E443 &amp; ", " &amp; Klantgegevens_A!F443)</f>
        <v>Efe,Giuseppe,Maria</v>
      </c>
      <c r="E444">
        <f>IF(Klantgegevens_B!G443&lt;&gt;"", Klantgegevens_B!G443, TEXTJOIN(",", TRUE, REPT("Volwassene,", Klantgegevens_A!G443), REPT("Kind,", Klantgegevens_A!H443)))</f>
        <v>126.09</v>
      </c>
      <c r="F444">
        <f>IF(Klantgegevens_B!G443&lt;&gt;"", LEN(Klantgegevens_B!G443)-LEN(SUBSTITUTE(Klantgegevens_B!G443, ",", ""))+1, Klantgegevens_A!G443)</f>
        <v>1</v>
      </c>
      <c r="G444">
        <f>IF(Klantgegevens_B!G443&lt;&gt;"", 0, Klantgegevens_A!H443)</f>
        <v>0</v>
      </c>
      <c r="H444">
        <f>IF(Klantgegevens_B!H443&lt;&gt;"", Klantgegevens_B!H443, Klantgegevens_A!I443)</f>
        <v>9</v>
      </c>
      <c r="I444" t="str">
        <f>IF(Klantgegevens_B!I443&lt;&gt;"", Klantgegevens_B!I443, SWITCH(Klantgegevens_A!J443, "Zelden", 1, "Af en toe", 4, "Regelmatig", 8, "Vaak", 12))</f>
        <v>Payconiq</v>
      </c>
      <c r="J444" t="str">
        <f>IF(Klantgegevens_B!J443&lt;&gt;"", Klantgegevens_B!J443, Klantgegevens_A!K443)</f>
        <v>ja</v>
      </c>
      <c r="K444">
        <f>IF(Klantgegevens_B!K443&lt;&gt;"", AVERAGE(--(Klantgegevens_B!K443="ja"), --(Klantgegevens_B!L443="ja"), --(Klantgegevens_B!M443="ja"), --(Klantgegevens_B!N443="ja"), --(Klantgegevens_B!O443="ja"))*10, Klantgegevens_A!L443)</f>
        <v>4</v>
      </c>
      <c r="L444" t="str">
        <f>IF(Klantgegevens_B!K443&lt;&gt;"", Klantgegevens_B!K443, IF(Klantgegevens_A!L443&gt;=7, "ja", "nee"))</f>
        <v>ja</v>
      </c>
      <c r="M444" t="str">
        <f>IF(Klantgegevens_B!L443&lt;&gt;"", Klantgegevens_B!L443, IF(Klantgegevens_A!L443&gt;=7, "ja", "nee"))</f>
        <v>nee</v>
      </c>
      <c r="N444" t="str">
        <f>IF(Klantgegevens_B!M443&lt;&gt;"", Klantgegevens_B!M443, IF(Klantgegevens_A!L443&gt;=7, "ja", "nee"))</f>
        <v>nee</v>
      </c>
      <c r="O444" t="str">
        <f>IF(Klantgegevens_B!N443&lt;&gt;"", Klantgegevens_B!N443, IF(Klantgegevens_A!L443&gt;=7, "ja", "nee"))</f>
        <v>ja</v>
      </c>
      <c r="P444" t="str">
        <f>IF(Klantgegevens_B!O443&lt;&gt;"", Klantgegevens_B!O443, IF(Klantgegevens_A!L443&gt;=7, "ja", "nee"))</f>
        <v>Geen dieet</v>
      </c>
      <c r="Q444" t="str">
        <f>IF(Klantgegevens_B!P443&lt;&gt;"", Klantgegevens_B!P443, Klantgegevens_A!M443)</f>
        <v>Geen dieet</v>
      </c>
      <c r="R444" t="str">
        <f>IF(Klantgegevens_B!A443&lt;&gt;"", "B", "A")</f>
        <v>B</v>
      </c>
    </row>
    <row r="445" spans="1:18" x14ac:dyDescent="0.3">
      <c r="A445" t="str">
        <f>IF(Klantgegevens_B!A444&lt;&gt;"", Klantgegevens_B!A444, MID(Klantgegevens_A!A444, FIND(",", Klantgegevens_A!A444)+2, LEN(Klantgegevens_A!A444)))</f>
        <v>Selma</v>
      </c>
      <c r="B445" t="str">
        <f>IF(Klantgegevens_B!B444&lt;&gt;"", Klantgegevens_B!B444, LEFT(Klantgegevens_A!A444, FIND(",", Klantgegevens_A!A444)-1))</f>
        <v>Smets</v>
      </c>
      <c r="C445" t="str">
        <f t="shared" ca="1" si="6"/>
        <v/>
      </c>
      <c r="D445" t="str">
        <f>IF(Klantgegevens_B!F444&lt;&gt;"", Klantgegevens_B!F444, Klantgegevens_A!D444 &amp; " " &amp; Klantgegevens_A!E444 &amp; ", " &amp; Klantgegevens_A!F444)</f>
        <v>Selma,Peggy,Annie,Mike</v>
      </c>
      <c r="E445">
        <f>IF(Klantgegevens_B!G444&lt;&gt;"", Klantgegevens_B!G444, TEXTJOIN(",", TRUE, REPT("Volwassene,", Klantgegevens_A!G444), REPT("Kind,", Klantgegevens_A!H444)))</f>
        <v>214.08</v>
      </c>
      <c r="F445">
        <f>IF(Klantgegevens_B!G444&lt;&gt;"", LEN(Klantgegevens_B!G444)-LEN(SUBSTITUTE(Klantgegevens_B!G444, ",", ""))+1, Klantgegevens_A!G444)</f>
        <v>1</v>
      </c>
      <c r="G445">
        <f>IF(Klantgegevens_B!G444&lt;&gt;"", 0, Klantgegevens_A!H444)</f>
        <v>0</v>
      </c>
      <c r="H445">
        <f>IF(Klantgegevens_B!H444&lt;&gt;"", Klantgegevens_B!H444, Klantgegevens_A!I444)</f>
        <v>2</v>
      </c>
      <c r="I445" t="str">
        <f>IF(Klantgegevens_B!I444&lt;&gt;"", Klantgegevens_B!I444, SWITCH(Klantgegevens_A!J444, "Zelden", 1, "Af en toe", 4, "Regelmatig", 8, "Vaak", 12))</f>
        <v>Payconiq</v>
      </c>
      <c r="J445" t="str">
        <f>IF(Klantgegevens_B!J444&lt;&gt;"", Klantgegevens_B!J444, Klantgegevens_A!K444)</f>
        <v>nee</v>
      </c>
      <c r="K445">
        <f>IF(Klantgegevens_B!K444&lt;&gt;"", AVERAGE(--(Klantgegevens_B!K444="ja"), --(Klantgegevens_B!L444="ja"), --(Klantgegevens_B!M444="ja"), --(Klantgegevens_B!N444="ja"), --(Klantgegevens_B!O444="ja"))*10, Klantgegevens_A!L444)</f>
        <v>6</v>
      </c>
      <c r="L445" t="str">
        <f>IF(Klantgegevens_B!K444&lt;&gt;"", Klantgegevens_B!K444, IF(Klantgegevens_A!L444&gt;=7, "ja", "nee"))</f>
        <v>nee</v>
      </c>
      <c r="M445" t="str">
        <f>IF(Klantgegevens_B!L444&lt;&gt;"", Klantgegevens_B!L444, IF(Klantgegevens_A!L444&gt;=7, "ja", "nee"))</f>
        <v>ja</v>
      </c>
      <c r="N445" t="str">
        <f>IF(Klantgegevens_B!M444&lt;&gt;"", Klantgegevens_B!M444, IF(Klantgegevens_A!L444&gt;=7, "ja", "nee"))</f>
        <v>ja</v>
      </c>
      <c r="O445" t="str">
        <f>IF(Klantgegevens_B!N444&lt;&gt;"", Klantgegevens_B!N444, IF(Klantgegevens_A!L444&gt;=7, "ja", "nee"))</f>
        <v>ja</v>
      </c>
      <c r="P445" t="str">
        <f>IF(Klantgegevens_B!O444&lt;&gt;"", Klantgegevens_B!O444, IF(Klantgegevens_A!L444&gt;=7, "ja", "nee"))</f>
        <v>Vegetarisch</v>
      </c>
      <c r="Q445" t="str">
        <f>IF(Klantgegevens_B!P444&lt;&gt;"", Klantgegevens_B!P444, Klantgegevens_A!M444)</f>
        <v>Geen dieet</v>
      </c>
      <c r="R445" t="str">
        <f>IF(Klantgegevens_B!A444&lt;&gt;"", "B", "A")</f>
        <v>B</v>
      </c>
    </row>
    <row r="446" spans="1:18" x14ac:dyDescent="0.3">
      <c r="A446" t="str">
        <f>IF(Klantgegevens_B!A445&lt;&gt;"", Klantgegevens_B!A445, MID(Klantgegevens_A!A445, FIND(",", Klantgegevens_A!A445)+2, LEN(Klantgegevens_A!A445)))</f>
        <v>Geert</v>
      </c>
      <c r="B446" t="str">
        <f>IF(Klantgegevens_B!B445&lt;&gt;"", Klantgegevens_B!B445, LEFT(Klantgegevens_A!A445, FIND(",", Klantgegevens_A!A445)-1))</f>
        <v>Dujardin</v>
      </c>
      <c r="C446" t="str">
        <f t="shared" ca="1" si="6"/>
        <v/>
      </c>
      <c r="D446" t="str">
        <f>IF(Klantgegevens_B!F445&lt;&gt;"", Klantgegevens_B!F445, Klantgegevens_A!D445 &amp; " " &amp; Klantgegevens_A!E445 &amp; ", " &amp; Klantgegevens_A!F445)</f>
        <v>Geert,Nilda</v>
      </c>
      <c r="E446">
        <f>IF(Klantgegevens_B!G445&lt;&gt;"", Klantgegevens_B!G445, TEXTJOIN(",", TRUE, REPT("Volwassene,", Klantgegevens_A!G445), REPT("Kind,", Klantgegevens_A!H445)))</f>
        <v>127.11</v>
      </c>
      <c r="F446">
        <f>IF(Klantgegevens_B!G445&lt;&gt;"", LEN(Klantgegevens_B!G445)-LEN(SUBSTITUTE(Klantgegevens_B!G445, ",", ""))+1, Klantgegevens_A!G445)</f>
        <v>1</v>
      </c>
      <c r="G446">
        <f>IF(Klantgegevens_B!G445&lt;&gt;"", 0, Klantgegevens_A!H445)</f>
        <v>0</v>
      </c>
      <c r="H446">
        <f>IF(Klantgegevens_B!H445&lt;&gt;"", Klantgegevens_B!H445, Klantgegevens_A!I445)</f>
        <v>19</v>
      </c>
      <c r="I446" t="str">
        <f>IF(Klantgegevens_B!I445&lt;&gt;"", Klantgegevens_B!I445, SWITCH(Klantgegevens_A!J445, "Zelden", 1, "Af en toe", 4, "Regelmatig", 8, "Vaak", 12))</f>
        <v>Cash</v>
      </c>
      <c r="J446" t="str">
        <f>IF(Klantgegevens_B!J445&lt;&gt;"", Klantgegevens_B!J445, Klantgegevens_A!K445)</f>
        <v>nee</v>
      </c>
      <c r="K446">
        <f>IF(Klantgegevens_B!K445&lt;&gt;"", AVERAGE(--(Klantgegevens_B!K445="ja"), --(Klantgegevens_B!L445="ja"), --(Klantgegevens_B!M445="ja"), --(Klantgegevens_B!N445="ja"), --(Klantgegevens_B!O445="ja"))*10, Klantgegevens_A!L445)</f>
        <v>4</v>
      </c>
      <c r="L446" t="str">
        <f>IF(Klantgegevens_B!K445&lt;&gt;"", Klantgegevens_B!K445, IF(Klantgegevens_A!L445&gt;=7, "ja", "nee"))</f>
        <v>ja</v>
      </c>
      <c r="M446" t="str">
        <f>IF(Klantgegevens_B!L445&lt;&gt;"", Klantgegevens_B!L445, IF(Klantgegevens_A!L445&gt;=7, "ja", "nee"))</f>
        <v>nee</v>
      </c>
      <c r="N446" t="str">
        <f>IF(Klantgegevens_B!M445&lt;&gt;"", Klantgegevens_B!M445, IF(Klantgegevens_A!L445&gt;=7, "ja", "nee"))</f>
        <v>ja</v>
      </c>
      <c r="O446" t="str">
        <f>IF(Klantgegevens_B!N445&lt;&gt;"", Klantgegevens_B!N445, IF(Klantgegevens_A!L445&gt;=7, "ja", "nee"))</f>
        <v>nee</v>
      </c>
      <c r="P446" t="str">
        <f>IF(Klantgegevens_B!O445&lt;&gt;"", Klantgegevens_B!O445, IF(Klantgegevens_A!L445&gt;=7, "ja", "nee"))</f>
        <v>Vegetarisch</v>
      </c>
      <c r="Q446" t="str">
        <f>IF(Klantgegevens_B!P445&lt;&gt;"", Klantgegevens_B!P445, Klantgegevens_A!M445)</f>
        <v>Vegetarisch</v>
      </c>
      <c r="R446" t="str">
        <f>IF(Klantgegevens_B!A445&lt;&gt;"", "B", "A")</f>
        <v>B</v>
      </c>
    </row>
    <row r="447" spans="1:18" x14ac:dyDescent="0.3">
      <c r="A447" t="str">
        <f>IF(Klantgegevens_B!A446&lt;&gt;"", Klantgegevens_B!A446, MID(Klantgegevens_A!A446, FIND(",", Klantgegevens_A!A446)+2, LEN(Klantgegevens_A!A446)))</f>
        <v>Manel</v>
      </c>
      <c r="B447" t="str">
        <f>IF(Klantgegevens_B!B446&lt;&gt;"", Klantgegevens_B!B446, LEFT(Klantgegevens_A!A446, FIND(",", Klantgegevens_A!A446)-1))</f>
        <v>Pauwels</v>
      </c>
      <c r="C447" t="str">
        <f t="shared" ca="1" si="6"/>
        <v/>
      </c>
      <c r="D447" t="str">
        <f>IF(Klantgegevens_B!F446&lt;&gt;"", Klantgegevens_B!F446, Klantgegevens_A!D446 &amp; " " &amp; Klantgegevens_A!E446 &amp; ", " &amp; Klantgegevens_A!F446)</f>
        <v>Manel,Adam,Timon,Deborah,Natalie</v>
      </c>
      <c r="E447">
        <f>IF(Klantgegevens_B!G446&lt;&gt;"", Klantgegevens_B!G446, TEXTJOIN(",", TRUE, REPT("Volwassene,", Klantgegevens_A!G446), REPT("Kind,", Klantgegevens_A!H446)))</f>
        <v>226.16</v>
      </c>
      <c r="F447">
        <f>IF(Klantgegevens_B!G446&lt;&gt;"", LEN(Klantgegevens_B!G446)-LEN(SUBSTITUTE(Klantgegevens_B!G446, ",", ""))+1, Klantgegevens_A!G446)</f>
        <v>1</v>
      </c>
      <c r="G447">
        <f>IF(Klantgegevens_B!G446&lt;&gt;"", 0, Klantgegevens_A!H446)</f>
        <v>0</v>
      </c>
      <c r="H447">
        <f>IF(Klantgegevens_B!H446&lt;&gt;"", Klantgegevens_B!H446, Klantgegevens_A!I446)</f>
        <v>14</v>
      </c>
      <c r="I447" t="str">
        <f>IF(Klantgegevens_B!I446&lt;&gt;"", Klantgegevens_B!I446, SWITCH(Klantgegevens_A!J446, "Zelden", 1, "Af en toe", 4, "Regelmatig", 8, "Vaak", 12))</f>
        <v>Bancontact</v>
      </c>
      <c r="J447" t="str">
        <f>IF(Klantgegevens_B!J446&lt;&gt;"", Klantgegevens_B!J446, Klantgegevens_A!K446)</f>
        <v>nee</v>
      </c>
      <c r="K447">
        <f>IF(Klantgegevens_B!K446&lt;&gt;"", AVERAGE(--(Klantgegevens_B!K446="ja"), --(Klantgegevens_B!L446="ja"), --(Klantgegevens_B!M446="ja"), --(Klantgegevens_B!N446="ja"), --(Klantgegevens_B!O446="ja"))*10, Klantgegevens_A!L446)</f>
        <v>8</v>
      </c>
      <c r="L447" t="str">
        <f>IF(Klantgegevens_B!K446&lt;&gt;"", Klantgegevens_B!K446, IF(Klantgegevens_A!L446&gt;=7, "ja", "nee"))</f>
        <v>ja</v>
      </c>
      <c r="M447" t="str">
        <f>IF(Klantgegevens_B!L446&lt;&gt;"", Klantgegevens_B!L446, IF(Klantgegevens_A!L446&gt;=7, "ja", "nee"))</f>
        <v>ja</v>
      </c>
      <c r="N447" t="str">
        <f>IF(Klantgegevens_B!M446&lt;&gt;"", Klantgegevens_B!M446, IF(Klantgegevens_A!L446&gt;=7, "ja", "nee"))</f>
        <v>ja</v>
      </c>
      <c r="O447" t="str">
        <f>IF(Klantgegevens_B!N446&lt;&gt;"", Klantgegevens_B!N446, IF(Klantgegevens_A!L446&gt;=7, "ja", "nee"))</f>
        <v>ja</v>
      </c>
      <c r="P447" t="str">
        <f>IF(Klantgegevens_B!O446&lt;&gt;"", Klantgegevens_B!O446, IF(Klantgegevens_A!L446&gt;=7, "ja", "nee"))</f>
        <v>Geen dieet</v>
      </c>
      <c r="Q447" t="str">
        <f>IF(Klantgegevens_B!P446&lt;&gt;"", Klantgegevens_B!P446, Klantgegevens_A!M446)</f>
        <v>Vegetarisch</v>
      </c>
      <c r="R447" t="str">
        <f>IF(Klantgegevens_B!A446&lt;&gt;"", "B", "A")</f>
        <v>B</v>
      </c>
    </row>
    <row r="448" spans="1:18" x14ac:dyDescent="0.3">
      <c r="A448" t="str">
        <f>IF(Klantgegevens_B!A447&lt;&gt;"", Klantgegevens_B!A447, MID(Klantgegevens_A!A447, FIND(",", Klantgegevens_A!A447)+2, LEN(Klantgegevens_A!A447)))</f>
        <v>Liam</v>
      </c>
      <c r="B448" t="str">
        <f>IF(Klantgegevens_B!B447&lt;&gt;"", Klantgegevens_B!B447, LEFT(Klantgegevens_A!A447, FIND(",", Klantgegevens_A!A447)-1))</f>
        <v>De meyer</v>
      </c>
      <c r="C448" t="str">
        <f t="shared" ca="1" si="6"/>
        <v/>
      </c>
      <c r="D448" t="str">
        <f>IF(Klantgegevens_B!F447&lt;&gt;"", Klantgegevens_B!F447, Klantgegevens_A!D447 &amp; " " &amp; Klantgegevens_A!E447 &amp; ", " &amp; Klantgegevens_A!F447)</f>
        <v>Liam,Nabila,Flavie,Ange,Sacha</v>
      </c>
      <c r="E448">
        <f>IF(Klantgegevens_B!G447&lt;&gt;"", Klantgegevens_B!G447, TEXTJOIN(",", TRUE, REPT("Volwassene,", Klantgegevens_A!G447), REPT("Kind,", Klantgegevens_A!H447)))</f>
        <v>93.41</v>
      </c>
      <c r="F448">
        <f>IF(Klantgegevens_B!G447&lt;&gt;"", LEN(Klantgegevens_B!G447)-LEN(SUBSTITUTE(Klantgegevens_B!G447, ",", ""))+1, Klantgegevens_A!G447)</f>
        <v>1</v>
      </c>
      <c r="G448">
        <f>IF(Klantgegevens_B!G447&lt;&gt;"", 0, Klantgegevens_A!H447)</f>
        <v>0</v>
      </c>
      <c r="H448">
        <f>IF(Klantgegevens_B!H447&lt;&gt;"", Klantgegevens_B!H447, Klantgegevens_A!I447)</f>
        <v>18</v>
      </c>
      <c r="I448" t="str">
        <f>IF(Klantgegevens_B!I447&lt;&gt;"", Klantgegevens_B!I447, SWITCH(Klantgegevens_A!J447, "Zelden", 1, "Af en toe", 4, "Regelmatig", 8, "Vaak", 12))</f>
        <v>Bancontact</v>
      </c>
      <c r="J448" t="str">
        <f>IF(Klantgegevens_B!J447&lt;&gt;"", Klantgegevens_B!J447, Klantgegevens_A!K447)</f>
        <v>nee</v>
      </c>
      <c r="K448">
        <f>IF(Klantgegevens_B!K447&lt;&gt;"", AVERAGE(--(Klantgegevens_B!K447="ja"), --(Klantgegevens_B!L447="ja"), --(Klantgegevens_B!M447="ja"), --(Klantgegevens_B!N447="ja"), --(Klantgegevens_B!O447="ja"))*10, Klantgegevens_A!L447)</f>
        <v>8</v>
      </c>
      <c r="L448" t="str">
        <f>IF(Klantgegevens_B!K447&lt;&gt;"", Klantgegevens_B!K447, IF(Klantgegevens_A!L447&gt;=7, "ja", "nee"))</f>
        <v>ja</v>
      </c>
      <c r="M448" t="str">
        <f>IF(Klantgegevens_B!L447&lt;&gt;"", Klantgegevens_B!L447, IF(Klantgegevens_A!L447&gt;=7, "ja", "nee"))</f>
        <v>ja</v>
      </c>
      <c r="N448" t="str">
        <f>IF(Klantgegevens_B!M447&lt;&gt;"", Klantgegevens_B!M447, IF(Klantgegevens_A!L447&gt;=7, "ja", "nee"))</f>
        <v>ja</v>
      </c>
      <c r="O448" t="str">
        <f>IF(Klantgegevens_B!N447&lt;&gt;"", Klantgegevens_B!N447, IF(Klantgegevens_A!L447&gt;=7, "ja", "nee"))</f>
        <v>ja</v>
      </c>
      <c r="P448" t="str">
        <f>IF(Klantgegevens_B!O447&lt;&gt;"", Klantgegevens_B!O447, IF(Klantgegevens_A!L447&gt;=7, "ja", "nee"))</f>
        <v>Vegetarisch</v>
      </c>
      <c r="Q448" t="str">
        <f>IF(Klantgegevens_B!P447&lt;&gt;"", Klantgegevens_B!P447, Klantgegevens_A!M447)</f>
        <v>Geen dieet</v>
      </c>
      <c r="R448" t="str">
        <f>IF(Klantgegevens_B!A447&lt;&gt;"", "B", "A")</f>
        <v>B</v>
      </c>
    </row>
    <row r="449" spans="1:18" x14ac:dyDescent="0.3">
      <c r="A449" t="str">
        <f>IF(Klantgegevens_B!A448&lt;&gt;"", Klantgegevens_B!A448, MID(Klantgegevens_A!A448, FIND(",", Klantgegevens_A!A448)+2, LEN(Klantgegevens_A!A448)))</f>
        <v>Fidan</v>
      </c>
      <c r="B449" t="str">
        <f>IF(Klantgegevens_B!B448&lt;&gt;"", Klantgegevens_B!B448, LEFT(Klantgegevens_A!A448, FIND(",", Klantgegevens_A!A448)-1))</f>
        <v>Nys</v>
      </c>
      <c r="C449" t="str">
        <f t="shared" ca="1" si="6"/>
        <v/>
      </c>
      <c r="D449" t="str">
        <f>IF(Klantgegevens_B!F448&lt;&gt;"", Klantgegevens_B!F448, Klantgegevens_A!D448 &amp; " " &amp; Klantgegevens_A!E448 &amp; ", " &amp; Klantgegevens_A!F448)</f>
        <v>Fidan,Diego,Andy</v>
      </c>
      <c r="E449">
        <f>IF(Klantgegevens_B!G448&lt;&gt;"", Klantgegevens_B!G448, TEXTJOIN(",", TRUE, REPT("Volwassene,", Klantgegevens_A!G448), REPT("Kind,", Klantgegevens_A!H448)))</f>
        <v>134.59</v>
      </c>
      <c r="F449">
        <f>IF(Klantgegevens_B!G448&lt;&gt;"", LEN(Klantgegevens_B!G448)-LEN(SUBSTITUTE(Klantgegevens_B!G448, ",", ""))+1, Klantgegevens_A!G448)</f>
        <v>1</v>
      </c>
      <c r="G449">
        <f>IF(Klantgegevens_B!G448&lt;&gt;"", 0, Klantgegevens_A!H448)</f>
        <v>0</v>
      </c>
      <c r="H449">
        <f>IF(Klantgegevens_B!H448&lt;&gt;"", Klantgegevens_B!H448, Klantgegevens_A!I448)</f>
        <v>4</v>
      </c>
      <c r="I449" t="str">
        <f>IF(Klantgegevens_B!I448&lt;&gt;"", Klantgegevens_B!I448, SWITCH(Klantgegevens_A!J448, "Zelden", 1, "Af en toe", 4, "Regelmatig", 8, "Vaak", 12))</f>
        <v>Bancontact</v>
      </c>
      <c r="J449" t="str">
        <f>IF(Klantgegevens_B!J448&lt;&gt;"", Klantgegevens_B!J448, Klantgegevens_A!K448)</f>
        <v>nee</v>
      </c>
      <c r="K449">
        <f>IF(Klantgegevens_B!K448&lt;&gt;"", AVERAGE(--(Klantgegevens_B!K448="ja"), --(Klantgegevens_B!L448="ja"), --(Klantgegevens_B!M448="ja"), --(Klantgegevens_B!N448="ja"), --(Klantgegevens_B!O448="ja"))*10, Klantgegevens_A!L448)</f>
        <v>8</v>
      </c>
      <c r="L449" t="str">
        <f>IF(Klantgegevens_B!K448&lt;&gt;"", Klantgegevens_B!K448, IF(Klantgegevens_A!L448&gt;=7, "ja", "nee"))</f>
        <v>ja</v>
      </c>
      <c r="M449" t="str">
        <f>IF(Klantgegevens_B!L448&lt;&gt;"", Klantgegevens_B!L448, IF(Klantgegevens_A!L448&gt;=7, "ja", "nee"))</f>
        <v>ja</v>
      </c>
      <c r="N449" t="str">
        <f>IF(Klantgegevens_B!M448&lt;&gt;"", Klantgegevens_B!M448, IF(Klantgegevens_A!L448&gt;=7, "ja", "nee"))</f>
        <v>ja</v>
      </c>
      <c r="O449" t="str">
        <f>IF(Klantgegevens_B!N448&lt;&gt;"", Klantgegevens_B!N448, IF(Klantgegevens_A!L448&gt;=7, "ja", "nee"))</f>
        <v>ja</v>
      </c>
      <c r="P449" t="str">
        <f>IF(Klantgegevens_B!O448&lt;&gt;"", Klantgegevens_B!O448, IF(Klantgegevens_A!L448&gt;=7, "ja", "nee"))</f>
        <v>Vegetarisch</v>
      </c>
      <c r="Q449" t="str">
        <f>IF(Klantgegevens_B!P448&lt;&gt;"", Klantgegevens_B!P448, Klantgegevens_A!M448)</f>
        <v>Geen dieet</v>
      </c>
      <c r="R449" t="str">
        <f>IF(Klantgegevens_B!A448&lt;&gt;"", "B", "A")</f>
        <v>B</v>
      </c>
    </row>
    <row r="450" spans="1:18" x14ac:dyDescent="0.3">
      <c r="A450" t="str">
        <f>IF(Klantgegevens_B!A449&lt;&gt;"", Klantgegevens_B!A449, MID(Klantgegevens_A!A449, FIND(",", Klantgegevens_A!A449)+2, LEN(Klantgegevens_A!A449)))</f>
        <v>Isabella</v>
      </c>
      <c r="B450" t="str">
        <f>IF(Klantgegevens_B!B449&lt;&gt;"", Klantgegevens_B!B449, LEFT(Klantgegevens_A!A449, FIND(",", Klantgegevens_A!A449)-1))</f>
        <v>Jonckheere</v>
      </c>
      <c r="C450" t="str">
        <f t="shared" ca="1" si="6"/>
        <v/>
      </c>
      <c r="D450" t="str">
        <f>IF(Klantgegevens_B!F449&lt;&gt;"", Klantgegevens_B!F449, Klantgegevens_A!D449 &amp; " " &amp; Klantgegevens_A!E449 &amp; ", " &amp; Klantgegevens_A!F449)</f>
        <v>Isabella,Christine,Sevrine</v>
      </c>
      <c r="E450">
        <f>IF(Klantgegevens_B!G449&lt;&gt;"", Klantgegevens_B!G449, TEXTJOIN(",", TRUE, REPT("Volwassene,", Klantgegevens_A!G449), REPT("Kind,", Klantgegevens_A!H449)))</f>
        <v>99.31</v>
      </c>
      <c r="F450">
        <f>IF(Klantgegevens_B!G449&lt;&gt;"", LEN(Klantgegevens_B!G449)-LEN(SUBSTITUTE(Klantgegevens_B!G449, ",", ""))+1, Klantgegevens_A!G449)</f>
        <v>1</v>
      </c>
      <c r="G450">
        <f>IF(Klantgegevens_B!G449&lt;&gt;"", 0, Klantgegevens_A!H449)</f>
        <v>0</v>
      </c>
      <c r="H450">
        <f>IF(Klantgegevens_B!H449&lt;&gt;"", Klantgegevens_B!H449, Klantgegevens_A!I449)</f>
        <v>11</v>
      </c>
      <c r="I450" t="str">
        <f>IF(Klantgegevens_B!I449&lt;&gt;"", Klantgegevens_B!I449, SWITCH(Klantgegevens_A!J449, "Zelden", 1, "Af en toe", 4, "Regelmatig", 8, "Vaak", 12))</f>
        <v>Payconiq</v>
      </c>
      <c r="J450" t="str">
        <f>IF(Klantgegevens_B!J449&lt;&gt;"", Klantgegevens_B!J449, Klantgegevens_A!K449)</f>
        <v>ja</v>
      </c>
      <c r="K450">
        <f>IF(Klantgegevens_B!K449&lt;&gt;"", AVERAGE(--(Klantgegevens_B!K449="ja"), --(Klantgegevens_B!L449="ja"), --(Klantgegevens_B!M449="ja"), --(Klantgegevens_B!N449="ja"), --(Klantgegevens_B!O449="ja"))*10, Klantgegevens_A!L449)</f>
        <v>6</v>
      </c>
      <c r="L450" t="str">
        <f>IF(Klantgegevens_B!K449&lt;&gt;"", Klantgegevens_B!K449, IF(Klantgegevens_A!L449&gt;=7, "ja", "nee"))</f>
        <v>nee</v>
      </c>
      <c r="M450" t="str">
        <f>IF(Klantgegevens_B!L449&lt;&gt;"", Klantgegevens_B!L449, IF(Klantgegevens_A!L449&gt;=7, "ja", "nee"))</f>
        <v>ja</v>
      </c>
      <c r="N450" t="str">
        <f>IF(Klantgegevens_B!M449&lt;&gt;"", Klantgegevens_B!M449, IF(Klantgegevens_A!L449&gt;=7, "ja", "nee"))</f>
        <v>ja</v>
      </c>
      <c r="O450" t="str">
        <f>IF(Klantgegevens_B!N449&lt;&gt;"", Klantgegevens_B!N449, IF(Klantgegevens_A!L449&gt;=7, "ja", "nee"))</f>
        <v>ja</v>
      </c>
      <c r="P450" t="str">
        <f>IF(Klantgegevens_B!O449&lt;&gt;"", Klantgegevens_B!O449, IF(Klantgegevens_A!L449&gt;=7, "ja", "nee"))</f>
        <v>Geen dieet</v>
      </c>
      <c r="Q450" t="str">
        <f>IF(Klantgegevens_B!P449&lt;&gt;"", Klantgegevens_B!P449, Klantgegevens_A!M449)</f>
        <v>Geen dieet</v>
      </c>
      <c r="R450" t="str">
        <f>IF(Klantgegevens_B!A449&lt;&gt;"", "B", "A")</f>
        <v>B</v>
      </c>
    </row>
    <row r="451" spans="1:18" x14ac:dyDescent="0.3">
      <c r="A451" t="str">
        <f>IF(Klantgegevens_B!A450&lt;&gt;"", Klantgegevens_B!A450, MID(Klantgegevens_A!A450, FIND(",", Klantgegevens_A!A450)+2, LEN(Klantgegevens_A!A450)))</f>
        <v>Kleber</v>
      </c>
      <c r="B451" t="str">
        <f>IF(Klantgegevens_B!B450&lt;&gt;"", Klantgegevens_B!B450, LEFT(Klantgegevens_A!A450, FIND(",", Klantgegevens_A!A450)-1))</f>
        <v>Smeets</v>
      </c>
      <c r="C451" t="str">
        <f t="shared" ref="C451:C514" ca="1" si="7">C450 &amp; ", " &amp; B450</f>
        <v/>
      </c>
      <c r="D451" t="str">
        <f>IF(Klantgegevens_B!F450&lt;&gt;"", Klantgegevens_B!F450, Klantgegevens_A!D450 &amp; " " &amp; Klantgegevens_A!E450 &amp; ", " &amp; Klantgegevens_A!F450)</f>
        <v>Kleber</v>
      </c>
      <c r="E451">
        <f>IF(Klantgegevens_B!G450&lt;&gt;"", Klantgegevens_B!G450, TEXTJOIN(",", TRUE, REPT("Volwassene,", Klantgegevens_A!G450), REPT("Kind,", Klantgegevens_A!H450)))</f>
        <v>78.97</v>
      </c>
      <c r="F451">
        <f>IF(Klantgegevens_B!G450&lt;&gt;"", LEN(Klantgegevens_B!G450)-LEN(SUBSTITUTE(Klantgegevens_B!G450, ",", ""))+1, Klantgegevens_A!G450)</f>
        <v>1</v>
      </c>
      <c r="G451">
        <f>IF(Klantgegevens_B!G450&lt;&gt;"", 0, Klantgegevens_A!H450)</f>
        <v>0</v>
      </c>
      <c r="H451">
        <f>IF(Klantgegevens_B!H450&lt;&gt;"", Klantgegevens_B!H450, Klantgegevens_A!I450)</f>
        <v>2</v>
      </c>
      <c r="I451" t="str">
        <f>IF(Klantgegevens_B!I450&lt;&gt;"", Klantgegevens_B!I450, SWITCH(Klantgegevens_A!J450, "Zelden", 1, "Af en toe", 4, "Regelmatig", 8, "Vaak", 12))</f>
        <v>Payconiq</v>
      </c>
      <c r="J451" t="str">
        <f>IF(Klantgegevens_B!J450&lt;&gt;"", Klantgegevens_B!J450, Klantgegevens_A!K450)</f>
        <v>nee</v>
      </c>
      <c r="K451">
        <f>IF(Klantgegevens_B!K450&lt;&gt;"", AVERAGE(--(Klantgegevens_B!K450="ja"), --(Klantgegevens_B!L450="ja"), --(Klantgegevens_B!M450="ja"), --(Klantgegevens_B!N450="ja"), --(Klantgegevens_B!O450="ja"))*10, Klantgegevens_A!L450)</f>
        <v>8</v>
      </c>
      <c r="L451" t="str">
        <f>IF(Klantgegevens_B!K450&lt;&gt;"", Klantgegevens_B!K450, IF(Klantgegevens_A!L450&gt;=7, "ja", "nee"))</f>
        <v>ja</v>
      </c>
      <c r="M451" t="str">
        <f>IF(Klantgegevens_B!L450&lt;&gt;"", Klantgegevens_B!L450, IF(Klantgegevens_A!L450&gt;=7, "ja", "nee"))</f>
        <v>ja</v>
      </c>
      <c r="N451" t="str">
        <f>IF(Klantgegevens_B!M450&lt;&gt;"", Klantgegevens_B!M450, IF(Klantgegevens_A!L450&gt;=7, "ja", "nee"))</f>
        <v>ja</v>
      </c>
      <c r="O451" t="str">
        <f>IF(Klantgegevens_B!N450&lt;&gt;"", Klantgegevens_B!N450, IF(Klantgegevens_A!L450&gt;=7, "ja", "nee"))</f>
        <v>ja</v>
      </c>
      <c r="P451" t="str">
        <f>IF(Klantgegevens_B!O450&lt;&gt;"", Klantgegevens_B!O450, IF(Klantgegevens_A!L450&gt;=7, "ja", "nee"))</f>
        <v>Geen dieet</v>
      </c>
      <c r="Q451" t="str">
        <f>IF(Klantgegevens_B!P450&lt;&gt;"", Klantgegevens_B!P450, Klantgegevens_A!M450)</f>
        <v>Vegetarisch</v>
      </c>
      <c r="R451" t="str">
        <f>IF(Klantgegevens_B!A450&lt;&gt;"", "B", "A")</f>
        <v>B</v>
      </c>
    </row>
    <row r="452" spans="1:18" x14ac:dyDescent="0.3">
      <c r="A452" t="str">
        <f>IF(Klantgegevens_B!A451&lt;&gt;"", Klantgegevens_B!A451, MID(Klantgegevens_A!A451, FIND(",", Klantgegevens_A!A451)+2, LEN(Klantgegevens_A!A451)))</f>
        <v>Kaat</v>
      </c>
      <c r="B452" t="str">
        <f>IF(Klantgegevens_B!B451&lt;&gt;"", Klantgegevens_B!B451, LEFT(Klantgegevens_A!A451, FIND(",", Klantgegevens_A!A451)-1))</f>
        <v>Swinnen</v>
      </c>
      <c r="C452" t="str">
        <f t="shared" ca="1" si="7"/>
        <v/>
      </c>
      <c r="D452" t="str">
        <f>IF(Klantgegevens_B!F451&lt;&gt;"", Klantgegevens_B!F451, Klantgegevens_A!D451 &amp; " " &amp; Klantgegevens_A!E451 &amp; ", " &amp; Klantgegevens_A!F451)</f>
        <v>Kaat</v>
      </c>
      <c r="E452">
        <f>IF(Klantgegevens_B!G451&lt;&gt;"", Klantgegevens_B!G451, TEXTJOIN(",", TRUE, REPT("Volwassene,", Klantgegevens_A!G451), REPT("Kind,", Klantgegevens_A!H451)))</f>
        <v>22.47</v>
      </c>
      <c r="F452">
        <f>IF(Klantgegevens_B!G451&lt;&gt;"", LEN(Klantgegevens_B!G451)-LEN(SUBSTITUTE(Klantgegevens_B!G451, ",", ""))+1, Klantgegevens_A!G451)</f>
        <v>1</v>
      </c>
      <c r="G452">
        <f>IF(Klantgegevens_B!G451&lt;&gt;"", 0, Klantgegevens_A!H451)</f>
        <v>0</v>
      </c>
      <c r="H452">
        <f>IF(Klantgegevens_B!H451&lt;&gt;"", Klantgegevens_B!H451, Klantgegevens_A!I451)</f>
        <v>15</v>
      </c>
      <c r="I452" t="str">
        <f>IF(Klantgegevens_B!I451&lt;&gt;"", Klantgegevens_B!I451, SWITCH(Klantgegevens_A!J451, "Zelden", 1, "Af en toe", 4, "Regelmatig", 8, "Vaak", 12))</f>
        <v>Creditcard</v>
      </c>
      <c r="J452" t="str">
        <f>IF(Klantgegevens_B!J451&lt;&gt;"", Klantgegevens_B!J451, Klantgegevens_A!K451)</f>
        <v>nee</v>
      </c>
      <c r="K452">
        <f>IF(Klantgegevens_B!K451&lt;&gt;"", AVERAGE(--(Klantgegevens_B!K451="ja"), --(Klantgegevens_B!L451="ja"), --(Klantgegevens_B!M451="ja"), --(Klantgegevens_B!N451="ja"), --(Klantgegevens_B!O451="ja"))*10, Klantgegevens_A!L451)</f>
        <v>8</v>
      </c>
      <c r="L452" t="str">
        <f>IF(Klantgegevens_B!K451&lt;&gt;"", Klantgegevens_B!K451, IF(Klantgegevens_A!L451&gt;=7, "ja", "nee"))</f>
        <v>ja</v>
      </c>
      <c r="M452" t="str">
        <f>IF(Klantgegevens_B!L451&lt;&gt;"", Klantgegevens_B!L451, IF(Klantgegevens_A!L451&gt;=7, "ja", "nee"))</f>
        <v>ja</v>
      </c>
      <c r="N452" t="str">
        <f>IF(Klantgegevens_B!M451&lt;&gt;"", Klantgegevens_B!M451, IF(Klantgegevens_A!L451&gt;=7, "ja", "nee"))</f>
        <v>ja</v>
      </c>
      <c r="O452" t="str">
        <f>IF(Klantgegevens_B!N451&lt;&gt;"", Klantgegevens_B!N451, IF(Klantgegevens_A!L451&gt;=7, "ja", "nee"))</f>
        <v>ja</v>
      </c>
      <c r="P452" t="str">
        <f>IF(Klantgegevens_B!O451&lt;&gt;"", Klantgegevens_B!O451, IF(Klantgegevens_A!L451&gt;=7, "ja", "nee"))</f>
        <v>Geen dieet</v>
      </c>
      <c r="Q452" t="str">
        <f>IF(Klantgegevens_B!P451&lt;&gt;"", Klantgegevens_B!P451, Klantgegevens_A!M451)</f>
        <v>Veganistisch</v>
      </c>
      <c r="R452" t="str">
        <f>IF(Klantgegevens_B!A451&lt;&gt;"", "B", "A")</f>
        <v>B</v>
      </c>
    </row>
    <row r="453" spans="1:18" x14ac:dyDescent="0.3">
      <c r="A453" t="str">
        <f>IF(Klantgegevens_B!A452&lt;&gt;"", Klantgegevens_B!A452, MID(Klantgegevens_A!A452, FIND(",", Klantgegevens_A!A452)+2, LEN(Klantgegevens_A!A452)))</f>
        <v>Lowie</v>
      </c>
      <c r="B453" t="str">
        <f>IF(Klantgegevens_B!B452&lt;&gt;"", Klantgegevens_B!B452, LEFT(Klantgegevens_A!A452, FIND(",", Klantgegevens_A!A452)-1))</f>
        <v>De meyer</v>
      </c>
      <c r="C453" t="str">
        <f t="shared" ca="1" si="7"/>
        <v/>
      </c>
      <c r="D453" t="str">
        <f>IF(Klantgegevens_B!F452&lt;&gt;"", Klantgegevens_B!F452, Klantgegevens_A!D452 &amp; " " &amp; Klantgegevens_A!E452 &amp; ", " &amp; Klantgegevens_A!F452)</f>
        <v>Lowie,Quinten,Adam,Anne</v>
      </c>
      <c r="E453">
        <f>IF(Klantgegevens_B!G452&lt;&gt;"", Klantgegevens_B!G452, TEXTJOIN(",", TRUE, REPT("Volwassene,", Klantgegevens_A!G452), REPT("Kind,", Klantgegevens_A!H452)))</f>
        <v>100.03</v>
      </c>
      <c r="F453">
        <f>IF(Klantgegevens_B!G452&lt;&gt;"", LEN(Klantgegevens_B!G452)-LEN(SUBSTITUTE(Klantgegevens_B!G452, ",", ""))+1, Klantgegevens_A!G452)</f>
        <v>1</v>
      </c>
      <c r="G453">
        <f>IF(Klantgegevens_B!G452&lt;&gt;"", 0, Klantgegevens_A!H452)</f>
        <v>0</v>
      </c>
      <c r="H453">
        <f>IF(Klantgegevens_B!H452&lt;&gt;"", Klantgegevens_B!H452, Klantgegevens_A!I452)</f>
        <v>11</v>
      </c>
      <c r="I453" t="str">
        <f>IF(Klantgegevens_B!I452&lt;&gt;"", Klantgegevens_B!I452, SWITCH(Klantgegevens_A!J452, "Zelden", 1, "Af en toe", 4, "Regelmatig", 8, "Vaak", 12))</f>
        <v>Bancontact</v>
      </c>
      <c r="J453" t="str">
        <f>IF(Klantgegevens_B!J452&lt;&gt;"", Klantgegevens_B!J452, Klantgegevens_A!K452)</f>
        <v>ja</v>
      </c>
      <c r="K453">
        <f>IF(Klantgegevens_B!K452&lt;&gt;"", AVERAGE(--(Klantgegevens_B!K452="ja"), --(Klantgegevens_B!L452="ja"), --(Klantgegevens_B!M452="ja"), --(Klantgegevens_B!N452="ja"), --(Klantgegevens_B!O452="ja"))*10, Klantgegevens_A!L452)</f>
        <v>6</v>
      </c>
      <c r="L453" t="str">
        <f>IF(Klantgegevens_B!K452&lt;&gt;"", Klantgegevens_B!K452, IF(Klantgegevens_A!L452&gt;=7, "ja", "nee"))</f>
        <v>ja</v>
      </c>
      <c r="M453" t="str">
        <f>IF(Klantgegevens_B!L452&lt;&gt;"", Klantgegevens_B!L452, IF(Klantgegevens_A!L452&gt;=7, "ja", "nee"))</f>
        <v>ja</v>
      </c>
      <c r="N453" t="str">
        <f>IF(Klantgegevens_B!M452&lt;&gt;"", Klantgegevens_B!M452, IF(Klantgegevens_A!L452&gt;=7, "ja", "nee"))</f>
        <v>nee</v>
      </c>
      <c r="O453" t="str">
        <f>IF(Klantgegevens_B!N452&lt;&gt;"", Klantgegevens_B!N452, IF(Klantgegevens_A!L452&gt;=7, "ja", "nee"))</f>
        <v>ja</v>
      </c>
      <c r="P453" t="str">
        <f>IF(Klantgegevens_B!O452&lt;&gt;"", Klantgegevens_B!O452, IF(Klantgegevens_A!L452&gt;=7, "ja", "nee"))</f>
        <v>Geen dieet</v>
      </c>
      <c r="Q453" t="str">
        <f>IF(Klantgegevens_B!P452&lt;&gt;"", Klantgegevens_B!P452, Klantgegevens_A!M452)</f>
        <v>Geen dieet</v>
      </c>
      <c r="R453" t="str">
        <f>IF(Klantgegevens_B!A452&lt;&gt;"", "B", "A")</f>
        <v>B</v>
      </c>
    </row>
    <row r="454" spans="1:18" x14ac:dyDescent="0.3">
      <c r="A454" t="str">
        <f>IF(Klantgegevens_B!A453&lt;&gt;"", Klantgegevens_B!A453, MID(Klantgegevens_A!A453, FIND(",", Klantgegevens_A!A453)+2, LEN(Klantgegevens_A!A453)))</f>
        <v>Cécile</v>
      </c>
      <c r="B454" t="str">
        <f>IF(Klantgegevens_B!B453&lt;&gt;"", Klantgegevens_B!B453, LEFT(Klantgegevens_A!A453, FIND(",", Klantgegevens_A!A453)-1))</f>
        <v>Coppens</v>
      </c>
      <c r="C454" t="str">
        <f t="shared" ca="1" si="7"/>
        <v/>
      </c>
      <c r="D454" t="str">
        <f>IF(Klantgegevens_B!F453&lt;&gt;"", Klantgegevens_B!F453, Klantgegevens_A!D453 &amp; " " &amp; Klantgegevens_A!E453 &amp; ", " &amp; Klantgegevens_A!F453)</f>
        <v>Cécile,Regina,Djalila,Mihai</v>
      </c>
      <c r="E454">
        <f>IF(Klantgegevens_B!G453&lt;&gt;"", Klantgegevens_B!G453, TEXTJOIN(",", TRUE, REPT("Volwassene,", Klantgegevens_A!G453), REPT("Kind,", Klantgegevens_A!H453)))</f>
        <v>184.67</v>
      </c>
      <c r="F454">
        <f>IF(Klantgegevens_B!G453&lt;&gt;"", LEN(Klantgegevens_B!G453)-LEN(SUBSTITUTE(Klantgegevens_B!G453, ",", ""))+1, Klantgegevens_A!G453)</f>
        <v>1</v>
      </c>
      <c r="G454">
        <f>IF(Klantgegevens_B!G453&lt;&gt;"", 0, Klantgegevens_A!H453)</f>
        <v>0</v>
      </c>
      <c r="H454">
        <f>IF(Klantgegevens_B!H453&lt;&gt;"", Klantgegevens_B!H453, Klantgegevens_A!I453)</f>
        <v>10</v>
      </c>
      <c r="I454" t="str">
        <f>IF(Klantgegevens_B!I453&lt;&gt;"", Klantgegevens_B!I453, SWITCH(Klantgegevens_A!J453, "Zelden", 1, "Af en toe", 4, "Regelmatig", 8, "Vaak", 12))</f>
        <v>Bancontact</v>
      </c>
      <c r="J454" t="str">
        <f>IF(Klantgegevens_B!J453&lt;&gt;"", Klantgegevens_B!J453, Klantgegevens_A!K453)</f>
        <v>ja</v>
      </c>
      <c r="K454">
        <f>IF(Klantgegevens_B!K453&lt;&gt;"", AVERAGE(--(Klantgegevens_B!K453="ja"), --(Klantgegevens_B!L453="ja"), --(Klantgegevens_B!M453="ja"), --(Klantgegevens_B!N453="ja"), --(Klantgegevens_B!O453="ja"))*10, Klantgegevens_A!L453)</f>
        <v>8</v>
      </c>
      <c r="L454" t="str">
        <f>IF(Klantgegevens_B!K453&lt;&gt;"", Klantgegevens_B!K453, IF(Klantgegevens_A!L453&gt;=7, "ja", "nee"))</f>
        <v>ja</v>
      </c>
      <c r="M454" t="str">
        <f>IF(Klantgegevens_B!L453&lt;&gt;"", Klantgegevens_B!L453, IF(Klantgegevens_A!L453&gt;=7, "ja", "nee"))</f>
        <v>ja</v>
      </c>
      <c r="N454" t="str">
        <f>IF(Klantgegevens_B!M453&lt;&gt;"", Klantgegevens_B!M453, IF(Klantgegevens_A!L453&gt;=7, "ja", "nee"))</f>
        <v>ja</v>
      </c>
      <c r="O454" t="str">
        <f>IF(Klantgegevens_B!N453&lt;&gt;"", Klantgegevens_B!N453, IF(Klantgegevens_A!L453&gt;=7, "ja", "nee"))</f>
        <v>ja</v>
      </c>
      <c r="P454" t="str">
        <f>IF(Klantgegevens_B!O453&lt;&gt;"", Klantgegevens_B!O453, IF(Klantgegevens_A!L453&gt;=7, "ja", "nee"))</f>
        <v>Geen dieet</v>
      </c>
      <c r="Q454" t="str">
        <f>IF(Klantgegevens_B!P453&lt;&gt;"", Klantgegevens_B!P453, Klantgegevens_A!M453)</f>
        <v>Vegetarisch</v>
      </c>
      <c r="R454" t="str">
        <f>IF(Klantgegevens_B!A453&lt;&gt;"", "B", "A")</f>
        <v>B</v>
      </c>
    </row>
    <row r="455" spans="1:18" x14ac:dyDescent="0.3">
      <c r="A455" t="str">
        <f>IF(Klantgegevens_B!A454&lt;&gt;"", Klantgegevens_B!A454, MID(Klantgegevens_A!A454, FIND(",", Klantgegevens_A!A454)+2, LEN(Klantgegevens_A!A454)))</f>
        <v>Adam</v>
      </c>
      <c r="B455" t="str">
        <f>IF(Klantgegevens_B!B454&lt;&gt;"", Klantgegevens_B!B454, LEFT(Klantgegevens_A!A454, FIND(",", Klantgegevens_A!A454)-1))</f>
        <v>Pauwels</v>
      </c>
      <c r="C455" t="str">
        <f t="shared" ca="1" si="7"/>
        <v/>
      </c>
      <c r="D455" t="str">
        <f>IF(Klantgegevens_B!F454&lt;&gt;"", Klantgegevens_B!F454, Klantgegevens_A!D454 &amp; " " &amp; Klantgegevens_A!E454 &amp; ", " &amp; Klantgegevens_A!F454)</f>
        <v>Adam,Geneviève</v>
      </c>
      <c r="E455">
        <f>IF(Klantgegevens_B!G454&lt;&gt;"", Klantgegevens_B!G454, TEXTJOIN(",", TRUE, REPT("Volwassene,", Klantgegevens_A!G454), REPT("Kind,", Klantgegevens_A!H454)))</f>
        <v>169.03</v>
      </c>
      <c r="F455">
        <f>IF(Klantgegevens_B!G454&lt;&gt;"", LEN(Klantgegevens_B!G454)-LEN(SUBSTITUTE(Klantgegevens_B!G454, ",", ""))+1, Klantgegevens_A!G454)</f>
        <v>1</v>
      </c>
      <c r="G455">
        <f>IF(Klantgegevens_B!G454&lt;&gt;"", 0, Klantgegevens_A!H454)</f>
        <v>0</v>
      </c>
      <c r="H455">
        <f>IF(Klantgegevens_B!H454&lt;&gt;"", Klantgegevens_B!H454, Klantgegevens_A!I454)</f>
        <v>16</v>
      </c>
      <c r="I455" t="str">
        <f>IF(Klantgegevens_B!I454&lt;&gt;"", Klantgegevens_B!I454, SWITCH(Klantgegevens_A!J454, "Zelden", 1, "Af en toe", 4, "Regelmatig", 8, "Vaak", 12))</f>
        <v>Payconiq</v>
      </c>
      <c r="J455" t="str">
        <f>IF(Klantgegevens_B!J454&lt;&gt;"", Klantgegevens_B!J454, Klantgegevens_A!K454)</f>
        <v>ja</v>
      </c>
      <c r="K455">
        <f>IF(Klantgegevens_B!K454&lt;&gt;"", AVERAGE(--(Klantgegevens_B!K454="ja"), --(Klantgegevens_B!L454="ja"), --(Klantgegevens_B!M454="ja"), --(Klantgegevens_B!N454="ja"), --(Klantgegevens_B!O454="ja"))*10, Klantgegevens_A!L454)</f>
        <v>4</v>
      </c>
      <c r="L455" t="str">
        <f>IF(Klantgegevens_B!K454&lt;&gt;"", Klantgegevens_B!K454, IF(Klantgegevens_A!L454&gt;=7, "ja", "nee"))</f>
        <v>nee</v>
      </c>
      <c r="M455" t="str">
        <f>IF(Klantgegevens_B!L454&lt;&gt;"", Klantgegevens_B!L454, IF(Klantgegevens_A!L454&gt;=7, "ja", "nee"))</f>
        <v>ja</v>
      </c>
      <c r="N455" t="str">
        <f>IF(Klantgegevens_B!M454&lt;&gt;"", Klantgegevens_B!M454, IF(Klantgegevens_A!L454&gt;=7, "ja", "nee"))</f>
        <v>nee</v>
      </c>
      <c r="O455" t="str">
        <f>IF(Klantgegevens_B!N454&lt;&gt;"", Klantgegevens_B!N454, IF(Klantgegevens_A!L454&gt;=7, "ja", "nee"))</f>
        <v>ja</v>
      </c>
      <c r="P455" t="str">
        <f>IF(Klantgegevens_B!O454&lt;&gt;"", Klantgegevens_B!O454, IF(Klantgegevens_A!L454&gt;=7, "ja", "nee"))</f>
        <v>Geen dieet</v>
      </c>
      <c r="Q455" t="str">
        <f>IF(Klantgegevens_B!P454&lt;&gt;"", Klantgegevens_B!P454, Klantgegevens_A!M454)</f>
        <v>Geen dieet</v>
      </c>
      <c r="R455" t="str">
        <f>IF(Klantgegevens_B!A454&lt;&gt;"", "B", "A")</f>
        <v>B</v>
      </c>
    </row>
    <row r="456" spans="1:18" x14ac:dyDescent="0.3">
      <c r="A456" t="str">
        <f>IF(Klantgegevens_B!A455&lt;&gt;"", Klantgegevens_B!A455, MID(Klantgegevens_A!A455, FIND(",", Klantgegevens_A!A455)+2, LEN(Klantgegevens_A!A455)))</f>
        <v>Yanis</v>
      </c>
      <c r="B456" t="str">
        <f>IF(Klantgegevens_B!B455&lt;&gt;"", Klantgegevens_B!B455, LEFT(Klantgegevens_A!A455, FIND(",", Klantgegevens_A!A455)-1))</f>
        <v>Luyten</v>
      </c>
      <c r="C456" t="str">
        <f t="shared" ca="1" si="7"/>
        <v/>
      </c>
      <c r="D456" t="str">
        <f>IF(Klantgegevens_B!F455&lt;&gt;"", Klantgegevens_B!F455, Klantgegevens_A!D455 &amp; " " &amp; Klantgegevens_A!E455 &amp; ", " &amp; Klantgegevens_A!F455)</f>
        <v>Yanis,Jeanne,Didier,Tibo</v>
      </c>
      <c r="E456">
        <f>IF(Klantgegevens_B!G455&lt;&gt;"", Klantgegevens_B!G455, TEXTJOIN(",", TRUE, REPT("Volwassene,", Klantgegevens_A!G455), REPT("Kind,", Klantgegevens_A!H455)))</f>
        <v>184.32</v>
      </c>
      <c r="F456">
        <f>IF(Klantgegevens_B!G455&lt;&gt;"", LEN(Klantgegevens_B!G455)-LEN(SUBSTITUTE(Klantgegevens_B!G455, ",", ""))+1, Klantgegevens_A!G455)</f>
        <v>1</v>
      </c>
      <c r="G456">
        <f>IF(Klantgegevens_B!G455&lt;&gt;"", 0, Klantgegevens_A!H455)</f>
        <v>0</v>
      </c>
      <c r="H456">
        <f>IF(Klantgegevens_B!H455&lt;&gt;"", Klantgegevens_B!H455, Klantgegevens_A!I455)</f>
        <v>22</v>
      </c>
      <c r="I456" t="str">
        <f>IF(Klantgegevens_B!I455&lt;&gt;"", Klantgegevens_B!I455, SWITCH(Klantgegevens_A!J455, "Zelden", 1, "Af en toe", 4, "Regelmatig", 8, "Vaak", 12))</f>
        <v>Payconiq</v>
      </c>
      <c r="J456" t="str">
        <f>IF(Klantgegevens_B!J455&lt;&gt;"", Klantgegevens_B!J455, Klantgegevens_A!K455)</f>
        <v>ja</v>
      </c>
      <c r="K456">
        <f>IF(Klantgegevens_B!K455&lt;&gt;"", AVERAGE(--(Klantgegevens_B!K455="ja"), --(Klantgegevens_B!L455="ja"), --(Klantgegevens_B!M455="ja"), --(Klantgegevens_B!N455="ja"), --(Klantgegevens_B!O455="ja"))*10, Klantgegevens_A!L455)</f>
        <v>4</v>
      </c>
      <c r="L456" t="str">
        <f>IF(Klantgegevens_B!K455&lt;&gt;"", Klantgegevens_B!K455, IF(Klantgegevens_A!L455&gt;=7, "ja", "nee"))</f>
        <v>nee</v>
      </c>
      <c r="M456" t="str">
        <f>IF(Klantgegevens_B!L455&lt;&gt;"", Klantgegevens_B!L455, IF(Klantgegevens_A!L455&gt;=7, "ja", "nee"))</f>
        <v>ja</v>
      </c>
      <c r="N456" t="str">
        <f>IF(Klantgegevens_B!M455&lt;&gt;"", Klantgegevens_B!M455, IF(Klantgegevens_A!L455&gt;=7, "ja", "nee"))</f>
        <v>ja</v>
      </c>
      <c r="O456" t="str">
        <f>IF(Klantgegevens_B!N455&lt;&gt;"", Klantgegevens_B!N455, IF(Klantgegevens_A!L455&gt;=7, "ja", "nee"))</f>
        <v>nee</v>
      </c>
      <c r="P456" t="str">
        <f>IF(Klantgegevens_B!O455&lt;&gt;"", Klantgegevens_B!O455, IF(Klantgegevens_A!L455&gt;=7, "ja", "nee"))</f>
        <v>Geen dieet</v>
      </c>
      <c r="Q456" t="str">
        <f>IF(Klantgegevens_B!P455&lt;&gt;"", Klantgegevens_B!P455, Klantgegevens_A!M455)</f>
        <v>Geen dieet</v>
      </c>
      <c r="R456" t="str">
        <f>IF(Klantgegevens_B!A455&lt;&gt;"", "B", "A")</f>
        <v>B</v>
      </c>
    </row>
    <row r="457" spans="1:18" x14ac:dyDescent="0.3">
      <c r="A457" t="str">
        <f>IF(Klantgegevens_B!A456&lt;&gt;"", Klantgegevens_B!A456, MID(Klantgegevens_A!A456, FIND(",", Klantgegevens_A!A456)+2, LEN(Klantgegevens_A!A456)))</f>
        <v>Steffan</v>
      </c>
      <c r="B457" t="str">
        <f>IF(Klantgegevens_B!B456&lt;&gt;"", Klantgegevens_B!B456, LEFT(Klantgegevens_A!A456, FIND(",", Klantgegevens_A!A456)-1))</f>
        <v>De clerck</v>
      </c>
      <c r="C457" t="str">
        <f t="shared" ca="1" si="7"/>
        <v/>
      </c>
      <c r="D457" t="str">
        <f>IF(Klantgegevens_B!F456&lt;&gt;"", Klantgegevens_B!F456, Klantgegevens_A!D456 &amp; " " &amp; Klantgegevens_A!E456 &amp; ", " &amp; Klantgegevens_A!F456)</f>
        <v>Steffan,Alice,Gina</v>
      </c>
      <c r="E457">
        <f>IF(Klantgegevens_B!G456&lt;&gt;"", Klantgegevens_B!G456, TEXTJOIN(",", TRUE, REPT("Volwassene,", Klantgegevens_A!G456), REPT("Kind,", Klantgegevens_A!H456)))</f>
        <v>44.55</v>
      </c>
      <c r="F457">
        <f>IF(Klantgegevens_B!G456&lt;&gt;"", LEN(Klantgegevens_B!G456)-LEN(SUBSTITUTE(Klantgegevens_B!G456, ",", ""))+1, Klantgegevens_A!G456)</f>
        <v>1</v>
      </c>
      <c r="G457">
        <f>IF(Klantgegevens_B!G456&lt;&gt;"", 0, Klantgegevens_A!H456)</f>
        <v>0</v>
      </c>
      <c r="H457">
        <f>IF(Klantgegevens_B!H456&lt;&gt;"", Klantgegevens_B!H456, Klantgegevens_A!I456)</f>
        <v>7</v>
      </c>
      <c r="I457" t="str">
        <f>IF(Klantgegevens_B!I456&lt;&gt;"", Klantgegevens_B!I456, SWITCH(Klantgegevens_A!J456, "Zelden", 1, "Af en toe", 4, "Regelmatig", 8, "Vaak", 12))</f>
        <v>Payconiq</v>
      </c>
      <c r="J457" t="str">
        <f>IF(Klantgegevens_B!J456&lt;&gt;"", Klantgegevens_B!J456, Klantgegevens_A!K456)</f>
        <v>ja</v>
      </c>
      <c r="K457">
        <f>IF(Klantgegevens_B!K456&lt;&gt;"", AVERAGE(--(Klantgegevens_B!K456="ja"), --(Klantgegevens_B!L456="ja"), --(Klantgegevens_B!M456="ja"), --(Klantgegevens_B!N456="ja"), --(Klantgegevens_B!O456="ja"))*10, Klantgegevens_A!L456)</f>
        <v>8</v>
      </c>
      <c r="L457" t="str">
        <f>IF(Klantgegevens_B!K456&lt;&gt;"", Klantgegevens_B!K456, IF(Klantgegevens_A!L456&gt;=7, "ja", "nee"))</f>
        <v>ja</v>
      </c>
      <c r="M457" t="str">
        <f>IF(Klantgegevens_B!L456&lt;&gt;"", Klantgegevens_B!L456, IF(Klantgegevens_A!L456&gt;=7, "ja", "nee"))</f>
        <v>ja</v>
      </c>
      <c r="N457" t="str">
        <f>IF(Klantgegevens_B!M456&lt;&gt;"", Klantgegevens_B!M456, IF(Klantgegevens_A!L456&gt;=7, "ja", "nee"))</f>
        <v>ja</v>
      </c>
      <c r="O457" t="str">
        <f>IF(Klantgegevens_B!N456&lt;&gt;"", Klantgegevens_B!N456, IF(Klantgegevens_A!L456&gt;=7, "ja", "nee"))</f>
        <v>ja</v>
      </c>
      <c r="P457" t="str">
        <f>IF(Klantgegevens_B!O456&lt;&gt;"", Klantgegevens_B!O456, IF(Klantgegevens_A!L456&gt;=7, "ja", "nee"))</f>
        <v>Vegetarisch</v>
      </c>
      <c r="Q457" t="str">
        <f>IF(Klantgegevens_B!P456&lt;&gt;"", Klantgegevens_B!P456, Klantgegevens_A!M456)</f>
        <v>Geen dieet</v>
      </c>
      <c r="R457" t="str">
        <f>IF(Klantgegevens_B!A456&lt;&gt;"", "B", "A")</f>
        <v>B</v>
      </c>
    </row>
    <row r="458" spans="1:18" x14ac:dyDescent="0.3">
      <c r="A458" t="str">
        <f>IF(Klantgegevens_B!A457&lt;&gt;"", Klantgegevens_B!A457, MID(Klantgegevens_A!A457, FIND(",", Klantgegevens_A!A457)+2, LEN(Klantgegevens_A!A457)))</f>
        <v>Jacek</v>
      </c>
      <c r="B458" t="str">
        <f>IF(Klantgegevens_B!B457&lt;&gt;"", Klantgegevens_B!B457, LEFT(Klantgegevens_A!A457, FIND(",", Klantgegevens_A!A457)-1))</f>
        <v>Janssens</v>
      </c>
      <c r="C458" t="str">
        <f t="shared" ca="1" si="7"/>
        <v/>
      </c>
      <c r="D458" t="str">
        <f>IF(Klantgegevens_B!F457&lt;&gt;"", Klantgegevens_B!F457, Klantgegevens_A!D457 &amp; " " &amp; Klantgegevens_A!E457 &amp; ", " &amp; Klantgegevens_A!F457)</f>
        <v>Jacek,Alyssia,Kimberly,Alain</v>
      </c>
      <c r="E458">
        <f>IF(Klantgegevens_B!G457&lt;&gt;"", Klantgegevens_B!G457, TEXTJOIN(",", TRUE, REPT("Volwassene,", Klantgegevens_A!G457), REPT("Kind,", Klantgegevens_A!H457)))</f>
        <v>117.5</v>
      </c>
      <c r="F458">
        <f>IF(Klantgegevens_B!G457&lt;&gt;"", LEN(Klantgegevens_B!G457)-LEN(SUBSTITUTE(Klantgegevens_B!G457, ",", ""))+1, Klantgegevens_A!G457)</f>
        <v>1</v>
      </c>
      <c r="G458">
        <f>IF(Klantgegevens_B!G457&lt;&gt;"", 0, Klantgegevens_A!H457)</f>
        <v>0</v>
      </c>
      <c r="H458">
        <f>IF(Klantgegevens_B!H457&lt;&gt;"", Klantgegevens_B!H457, Klantgegevens_A!I457)</f>
        <v>7</v>
      </c>
      <c r="I458" t="str">
        <f>IF(Klantgegevens_B!I457&lt;&gt;"", Klantgegevens_B!I457, SWITCH(Klantgegevens_A!J457, "Zelden", 1, "Af en toe", 4, "Regelmatig", 8, "Vaak", 12))</f>
        <v>Bancontact</v>
      </c>
      <c r="J458" t="str">
        <f>IF(Klantgegevens_B!J457&lt;&gt;"", Klantgegevens_B!J457, Klantgegevens_A!K457)</f>
        <v>ja</v>
      </c>
      <c r="K458">
        <f>IF(Klantgegevens_B!K457&lt;&gt;"", AVERAGE(--(Klantgegevens_B!K457="ja"), --(Klantgegevens_B!L457="ja"), --(Klantgegevens_B!M457="ja"), --(Klantgegevens_B!N457="ja"), --(Klantgegevens_B!O457="ja"))*10, Klantgegevens_A!L457)</f>
        <v>8</v>
      </c>
      <c r="L458" t="str">
        <f>IF(Klantgegevens_B!K457&lt;&gt;"", Klantgegevens_B!K457, IF(Klantgegevens_A!L457&gt;=7, "ja", "nee"))</f>
        <v>ja</v>
      </c>
      <c r="M458" t="str">
        <f>IF(Klantgegevens_B!L457&lt;&gt;"", Klantgegevens_B!L457, IF(Klantgegevens_A!L457&gt;=7, "ja", "nee"))</f>
        <v>ja</v>
      </c>
      <c r="N458" t="str">
        <f>IF(Klantgegevens_B!M457&lt;&gt;"", Klantgegevens_B!M457, IF(Klantgegevens_A!L457&gt;=7, "ja", "nee"))</f>
        <v>ja</v>
      </c>
      <c r="O458" t="str">
        <f>IF(Klantgegevens_B!N457&lt;&gt;"", Klantgegevens_B!N457, IF(Klantgegevens_A!L457&gt;=7, "ja", "nee"))</f>
        <v>ja</v>
      </c>
      <c r="P458" t="str">
        <f>IF(Klantgegevens_B!O457&lt;&gt;"", Klantgegevens_B!O457, IF(Klantgegevens_A!L457&gt;=7, "ja", "nee"))</f>
        <v>Vegetarisch</v>
      </c>
      <c r="Q458" t="str">
        <f>IF(Klantgegevens_B!P457&lt;&gt;"", Klantgegevens_B!P457, Klantgegevens_A!M457)</f>
        <v>Geen dieet</v>
      </c>
      <c r="R458" t="str">
        <f>IF(Klantgegevens_B!A457&lt;&gt;"", "B", "A")</f>
        <v>B</v>
      </c>
    </row>
    <row r="459" spans="1:18" x14ac:dyDescent="0.3">
      <c r="A459" t="str">
        <f>IF(Klantgegevens_B!A458&lt;&gt;"", Klantgegevens_B!A458, MID(Klantgegevens_A!A458, FIND(",", Klantgegevens_A!A458)+2, LEN(Klantgegevens_A!A458)))</f>
        <v>Kristel</v>
      </c>
      <c r="B459" t="str">
        <f>IF(Klantgegevens_B!B458&lt;&gt;"", Klantgegevens_B!B458, LEFT(Klantgegevens_A!A458, FIND(",", Klantgegevens_A!A458)-1))</f>
        <v>Dumont</v>
      </c>
      <c r="C459" t="str">
        <f t="shared" ca="1" si="7"/>
        <v/>
      </c>
      <c r="D459" t="str">
        <f>IF(Klantgegevens_B!F458&lt;&gt;"", Klantgegevens_B!F458, Klantgegevens_A!D458 &amp; " " &amp; Klantgegevens_A!E458 &amp; ", " &amp; Klantgegevens_A!F458)</f>
        <v>Kristel,Andrzej</v>
      </c>
      <c r="E459">
        <f>IF(Klantgegevens_B!G458&lt;&gt;"", Klantgegevens_B!G458, TEXTJOIN(",", TRUE, REPT("Volwassene,", Klantgegevens_A!G458), REPT("Kind,", Klantgegevens_A!H458)))</f>
        <v>124.66</v>
      </c>
      <c r="F459">
        <f>IF(Klantgegevens_B!G458&lt;&gt;"", LEN(Klantgegevens_B!G458)-LEN(SUBSTITUTE(Klantgegevens_B!G458, ",", ""))+1, Klantgegevens_A!G458)</f>
        <v>1</v>
      </c>
      <c r="G459">
        <f>IF(Klantgegevens_B!G458&lt;&gt;"", 0, Klantgegevens_A!H458)</f>
        <v>0</v>
      </c>
      <c r="H459">
        <f>IF(Klantgegevens_B!H458&lt;&gt;"", Klantgegevens_B!H458, Klantgegevens_A!I458)</f>
        <v>8</v>
      </c>
      <c r="I459" t="str">
        <f>IF(Klantgegevens_B!I458&lt;&gt;"", Klantgegevens_B!I458, SWITCH(Klantgegevens_A!J458, "Zelden", 1, "Af en toe", 4, "Regelmatig", 8, "Vaak", 12))</f>
        <v>Payconiq</v>
      </c>
      <c r="J459" t="str">
        <f>IF(Klantgegevens_B!J458&lt;&gt;"", Klantgegevens_B!J458, Klantgegevens_A!K458)</f>
        <v>ja</v>
      </c>
      <c r="K459">
        <f>IF(Klantgegevens_B!K458&lt;&gt;"", AVERAGE(--(Klantgegevens_B!K458="ja"), --(Klantgegevens_B!L458="ja"), --(Klantgegevens_B!M458="ja"), --(Klantgegevens_B!N458="ja"), --(Klantgegevens_B!O458="ja"))*10, Klantgegevens_A!L458)</f>
        <v>8</v>
      </c>
      <c r="L459" t="str">
        <f>IF(Klantgegevens_B!K458&lt;&gt;"", Klantgegevens_B!K458, IF(Klantgegevens_A!L458&gt;=7, "ja", "nee"))</f>
        <v>ja</v>
      </c>
      <c r="M459" t="str">
        <f>IF(Klantgegevens_B!L458&lt;&gt;"", Klantgegevens_B!L458, IF(Klantgegevens_A!L458&gt;=7, "ja", "nee"))</f>
        <v>ja</v>
      </c>
      <c r="N459" t="str">
        <f>IF(Klantgegevens_B!M458&lt;&gt;"", Klantgegevens_B!M458, IF(Klantgegevens_A!L458&gt;=7, "ja", "nee"))</f>
        <v>ja</v>
      </c>
      <c r="O459" t="str">
        <f>IF(Klantgegevens_B!N458&lt;&gt;"", Klantgegevens_B!N458, IF(Klantgegevens_A!L458&gt;=7, "ja", "nee"))</f>
        <v>ja</v>
      </c>
      <c r="P459" t="str">
        <f>IF(Klantgegevens_B!O458&lt;&gt;"", Klantgegevens_B!O458, IF(Klantgegevens_A!L458&gt;=7, "ja", "nee"))</f>
        <v>Geen dieet</v>
      </c>
      <c r="Q459" t="str">
        <f>IF(Klantgegevens_B!P458&lt;&gt;"", Klantgegevens_B!P458, Klantgegevens_A!M458)</f>
        <v>Geen dieet</v>
      </c>
      <c r="R459" t="str">
        <f>IF(Klantgegevens_B!A458&lt;&gt;"", "B", "A")</f>
        <v>B</v>
      </c>
    </row>
    <row r="460" spans="1:18" x14ac:dyDescent="0.3">
      <c r="A460" t="str">
        <f>IF(Klantgegevens_B!A459&lt;&gt;"", Klantgegevens_B!A459, MID(Klantgegevens_A!A459, FIND(",", Klantgegevens_A!A459)+2, LEN(Klantgegevens_A!A459)))</f>
        <v>Mireille</v>
      </c>
      <c r="B460" t="str">
        <f>IF(Klantgegevens_B!B459&lt;&gt;"", Klantgegevens_B!B459, LEFT(Klantgegevens_A!A459, FIND(",", Klantgegevens_A!A459)-1))</f>
        <v>Verhoeven</v>
      </c>
      <c r="C460" t="str">
        <f t="shared" ca="1" si="7"/>
        <v/>
      </c>
      <c r="D460" t="str">
        <f>IF(Klantgegevens_B!F459&lt;&gt;"", Klantgegevens_B!F459, Klantgegevens_A!D459 &amp; " " &amp; Klantgegevens_A!E459 &amp; ", " &amp; Klantgegevens_A!F459)</f>
        <v>Mireille,Ruslan</v>
      </c>
      <c r="E460">
        <f>IF(Klantgegevens_B!G459&lt;&gt;"", Klantgegevens_B!G459, TEXTJOIN(",", TRUE, REPT("Volwassene,", Klantgegevens_A!G459), REPT("Kind,", Klantgegevens_A!H459)))</f>
        <v>71.849999999999994</v>
      </c>
      <c r="F460">
        <f>IF(Klantgegevens_B!G459&lt;&gt;"", LEN(Klantgegevens_B!G459)-LEN(SUBSTITUTE(Klantgegevens_B!G459, ",", ""))+1, Klantgegevens_A!G459)</f>
        <v>1</v>
      </c>
      <c r="G460">
        <f>IF(Klantgegevens_B!G459&lt;&gt;"", 0, Klantgegevens_A!H459)</f>
        <v>0</v>
      </c>
      <c r="H460">
        <f>IF(Klantgegevens_B!H459&lt;&gt;"", Klantgegevens_B!H459, Klantgegevens_A!I459)</f>
        <v>11</v>
      </c>
      <c r="I460" t="str">
        <f>IF(Klantgegevens_B!I459&lt;&gt;"", Klantgegevens_B!I459, SWITCH(Klantgegevens_A!J459, "Zelden", 1, "Af en toe", 4, "Regelmatig", 8, "Vaak", 12))</f>
        <v>Bancontact</v>
      </c>
      <c r="J460" t="str">
        <f>IF(Klantgegevens_B!J459&lt;&gt;"", Klantgegevens_B!J459, Klantgegevens_A!K459)</f>
        <v>ja</v>
      </c>
      <c r="K460">
        <f>IF(Klantgegevens_B!K459&lt;&gt;"", AVERAGE(--(Klantgegevens_B!K459="ja"), --(Klantgegevens_B!L459="ja"), --(Klantgegevens_B!M459="ja"), --(Klantgegevens_B!N459="ja"), --(Klantgegevens_B!O459="ja"))*10, Klantgegevens_A!L459)</f>
        <v>4</v>
      </c>
      <c r="L460" t="str">
        <f>IF(Klantgegevens_B!K459&lt;&gt;"", Klantgegevens_B!K459, IF(Klantgegevens_A!L459&gt;=7, "ja", "nee"))</f>
        <v>ja</v>
      </c>
      <c r="M460" t="str">
        <f>IF(Klantgegevens_B!L459&lt;&gt;"", Klantgegevens_B!L459, IF(Klantgegevens_A!L459&gt;=7, "ja", "nee"))</f>
        <v>nee</v>
      </c>
      <c r="N460" t="str">
        <f>IF(Klantgegevens_B!M459&lt;&gt;"", Klantgegevens_B!M459, IF(Klantgegevens_A!L459&gt;=7, "ja", "nee"))</f>
        <v>ja</v>
      </c>
      <c r="O460" t="str">
        <f>IF(Klantgegevens_B!N459&lt;&gt;"", Klantgegevens_B!N459, IF(Klantgegevens_A!L459&gt;=7, "ja", "nee"))</f>
        <v>nee</v>
      </c>
      <c r="P460" t="str">
        <f>IF(Klantgegevens_B!O459&lt;&gt;"", Klantgegevens_B!O459, IF(Klantgegevens_A!L459&gt;=7, "ja", "nee"))</f>
        <v>Geen dieet</v>
      </c>
      <c r="Q460" t="str">
        <f>IF(Klantgegevens_B!P459&lt;&gt;"", Klantgegevens_B!P459, Klantgegevens_A!M459)</f>
        <v>Geen dieet</v>
      </c>
      <c r="R460" t="str">
        <f>IF(Klantgegevens_B!A459&lt;&gt;"", "B", "A")</f>
        <v>B</v>
      </c>
    </row>
    <row r="461" spans="1:18" x14ac:dyDescent="0.3">
      <c r="A461" t="str">
        <f>IF(Klantgegevens_B!A460&lt;&gt;"", Klantgegevens_B!A460, MID(Klantgegevens_A!A460, FIND(",", Klantgegevens_A!A460)+2, LEN(Klantgegevens_A!A460)))</f>
        <v>Farida</v>
      </c>
      <c r="B461" t="str">
        <f>IF(Klantgegevens_B!B460&lt;&gt;"", Klantgegevens_B!B460, LEFT(Klantgegevens_A!A460, FIND(",", Klantgegevens_A!A460)-1))</f>
        <v>Peters</v>
      </c>
      <c r="C461" t="str">
        <f t="shared" ca="1" si="7"/>
        <v/>
      </c>
      <c r="D461" t="str">
        <f>IF(Klantgegevens_B!F460&lt;&gt;"", Klantgegevens_B!F460, Klantgegevens_A!D460 &amp; " " &amp; Klantgegevens_A!E460 &amp; ", " &amp; Klantgegevens_A!F460)</f>
        <v>Farida,Amélia,Bérénice</v>
      </c>
      <c r="E461">
        <f>IF(Klantgegevens_B!G460&lt;&gt;"", Klantgegevens_B!G460, TEXTJOIN(",", TRUE, REPT("Volwassene,", Klantgegevens_A!G460), REPT("Kind,", Klantgegevens_A!H460)))</f>
        <v>63.68</v>
      </c>
      <c r="F461">
        <f>IF(Klantgegevens_B!G460&lt;&gt;"", LEN(Klantgegevens_B!G460)-LEN(SUBSTITUTE(Klantgegevens_B!G460, ",", ""))+1, Klantgegevens_A!G460)</f>
        <v>1</v>
      </c>
      <c r="G461">
        <f>IF(Klantgegevens_B!G460&lt;&gt;"", 0, Klantgegevens_A!H460)</f>
        <v>0</v>
      </c>
      <c r="H461">
        <f>IF(Klantgegevens_B!H460&lt;&gt;"", Klantgegevens_B!H460, Klantgegevens_A!I460)</f>
        <v>3</v>
      </c>
      <c r="I461" t="str">
        <f>IF(Klantgegevens_B!I460&lt;&gt;"", Klantgegevens_B!I460, SWITCH(Klantgegevens_A!J460, "Zelden", 1, "Af en toe", 4, "Regelmatig", 8, "Vaak", 12))</f>
        <v>Cash</v>
      </c>
      <c r="J461" t="str">
        <f>IF(Klantgegevens_B!J460&lt;&gt;"", Klantgegevens_B!J460, Klantgegevens_A!K460)</f>
        <v>nee</v>
      </c>
      <c r="K461">
        <f>IF(Klantgegevens_B!K460&lt;&gt;"", AVERAGE(--(Klantgegevens_B!K460="ja"), --(Klantgegevens_B!L460="ja"), --(Klantgegevens_B!M460="ja"), --(Klantgegevens_B!N460="ja"), --(Klantgegevens_B!O460="ja"))*10, Klantgegevens_A!L460)</f>
        <v>6</v>
      </c>
      <c r="L461" t="str">
        <f>IF(Klantgegevens_B!K460&lt;&gt;"", Klantgegevens_B!K460, IF(Klantgegevens_A!L460&gt;=7, "ja", "nee"))</f>
        <v>ja</v>
      </c>
      <c r="M461" t="str">
        <f>IF(Klantgegevens_B!L460&lt;&gt;"", Klantgegevens_B!L460, IF(Klantgegevens_A!L460&gt;=7, "ja", "nee"))</f>
        <v>nee</v>
      </c>
      <c r="N461" t="str">
        <f>IF(Klantgegevens_B!M460&lt;&gt;"", Klantgegevens_B!M460, IF(Klantgegevens_A!L460&gt;=7, "ja", "nee"))</f>
        <v>ja</v>
      </c>
      <c r="O461" t="str">
        <f>IF(Klantgegevens_B!N460&lt;&gt;"", Klantgegevens_B!N460, IF(Klantgegevens_A!L460&gt;=7, "ja", "nee"))</f>
        <v>ja</v>
      </c>
      <c r="P461" t="str">
        <f>IF(Klantgegevens_B!O460&lt;&gt;"", Klantgegevens_B!O460, IF(Klantgegevens_A!L460&gt;=7, "ja", "nee"))</f>
        <v>Veganistisch</v>
      </c>
      <c r="Q461" t="str">
        <f>IF(Klantgegevens_B!P460&lt;&gt;"", Klantgegevens_B!P460, Klantgegevens_A!M460)</f>
        <v>Geen dieet</v>
      </c>
      <c r="R461" t="str">
        <f>IF(Klantgegevens_B!A460&lt;&gt;"", "B", "A")</f>
        <v>B</v>
      </c>
    </row>
    <row r="462" spans="1:18" x14ac:dyDescent="0.3">
      <c r="A462" t="str">
        <f>IF(Klantgegevens_B!A461&lt;&gt;"", Klantgegevens_B!A461, MID(Klantgegevens_A!A461, FIND(",", Klantgegevens_A!A461)+2, LEN(Klantgegevens_A!A461)))</f>
        <v>Dimitri</v>
      </c>
      <c r="B462" t="str">
        <f>IF(Klantgegevens_B!B461&lt;&gt;"", Klantgegevens_B!B461, LEFT(Klantgegevens_A!A461, FIND(",", Klantgegevens_A!A461)-1))</f>
        <v>Hermans</v>
      </c>
      <c r="C462" t="str">
        <f t="shared" ca="1" si="7"/>
        <v/>
      </c>
      <c r="D462" t="str">
        <f>IF(Klantgegevens_B!F461&lt;&gt;"", Klantgegevens_B!F461, Klantgegevens_A!D461 &amp; " " &amp; Klantgegevens_A!E461 &amp; ", " &amp; Klantgegevens_A!F461)</f>
        <v>Dimitri,Didier,Bertha,Metin</v>
      </c>
      <c r="E462">
        <f>IF(Klantgegevens_B!G461&lt;&gt;"", Klantgegevens_B!G461, TEXTJOIN(",", TRUE, REPT("Volwassene,", Klantgegevens_A!G461), REPT("Kind,", Klantgegevens_A!H461)))</f>
        <v>140.51</v>
      </c>
      <c r="F462">
        <f>IF(Klantgegevens_B!G461&lt;&gt;"", LEN(Klantgegevens_B!G461)-LEN(SUBSTITUTE(Klantgegevens_B!G461, ",", ""))+1, Klantgegevens_A!G461)</f>
        <v>1</v>
      </c>
      <c r="G462">
        <f>IF(Klantgegevens_B!G461&lt;&gt;"", 0, Klantgegevens_A!H461)</f>
        <v>0</v>
      </c>
      <c r="H462">
        <f>IF(Klantgegevens_B!H461&lt;&gt;"", Klantgegevens_B!H461, Klantgegevens_A!I461)</f>
        <v>18</v>
      </c>
      <c r="I462" t="str">
        <f>IF(Klantgegevens_B!I461&lt;&gt;"", Klantgegevens_B!I461, SWITCH(Klantgegevens_A!J461, "Zelden", 1, "Af en toe", 4, "Regelmatig", 8, "Vaak", 12))</f>
        <v>Payconiq</v>
      </c>
      <c r="J462" t="str">
        <f>IF(Klantgegevens_B!J461&lt;&gt;"", Klantgegevens_B!J461, Klantgegevens_A!K461)</f>
        <v>ja</v>
      </c>
      <c r="K462">
        <f>IF(Klantgegevens_B!K461&lt;&gt;"", AVERAGE(--(Klantgegevens_B!K461="ja"), --(Klantgegevens_B!L461="ja"), --(Klantgegevens_B!M461="ja"), --(Klantgegevens_B!N461="ja"), --(Klantgegevens_B!O461="ja"))*10, Klantgegevens_A!L461)</f>
        <v>4</v>
      </c>
      <c r="L462" t="str">
        <f>IF(Klantgegevens_B!K461&lt;&gt;"", Klantgegevens_B!K461, IF(Klantgegevens_A!L461&gt;=7, "ja", "nee"))</f>
        <v>nee</v>
      </c>
      <c r="M462" t="str">
        <f>IF(Klantgegevens_B!L461&lt;&gt;"", Klantgegevens_B!L461, IF(Klantgegevens_A!L461&gt;=7, "ja", "nee"))</f>
        <v>ja</v>
      </c>
      <c r="N462" t="str">
        <f>IF(Klantgegevens_B!M461&lt;&gt;"", Klantgegevens_B!M461, IF(Klantgegevens_A!L461&gt;=7, "ja", "nee"))</f>
        <v>nee</v>
      </c>
      <c r="O462" t="str">
        <f>IF(Klantgegevens_B!N461&lt;&gt;"", Klantgegevens_B!N461, IF(Klantgegevens_A!L461&gt;=7, "ja", "nee"))</f>
        <v>ja</v>
      </c>
      <c r="P462" t="str">
        <f>IF(Klantgegevens_B!O461&lt;&gt;"", Klantgegevens_B!O461, IF(Klantgegevens_A!L461&gt;=7, "ja", "nee"))</f>
        <v>Geen dieet</v>
      </c>
      <c r="Q462" t="str">
        <f>IF(Klantgegevens_B!P461&lt;&gt;"", Klantgegevens_B!P461, Klantgegevens_A!M461)</f>
        <v>Geen dieet</v>
      </c>
      <c r="R462" t="str">
        <f>IF(Klantgegevens_B!A461&lt;&gt;"", "B", "A")</f>
        <v>B</v>
      </c>
    </row>
    <row r="463" spans="1:18" x14ac:dyDescent="0.3">
      <c r="A463" t="str">
        <f>IF(Klantgegevens_B!A462&lt;&gt;"", Klantgegevens_B!A462, MID(Klantgegevens_A!A462, FIND(",", Klantgegevens_A!A462)+2, LEN(Klantgegevens_A!A462)))</f>
        <v>Firmin</v>
      </c>
      <c r="B463" t="str">
        <f>IF(Klantgegevens_B!B462&lt;&gt;"", Klantgegevens_B!B462, LEFT(Klantgegevens_A!A462, FIND(",", Klantgegevens_A!A462)-1))</f>
        <v>Pauwels</v>
      </c>
      <c r="C463" t="str">
        <f t="shared" ca="1" si="7"/>
        <v/>
      </c>
      <c r="D463" t="str">
        <f>IF(Klantgegevens_B!F462&lt;&gt;"", Klantgegevens_B!F462, Klantgegevens_A!D462 &amp; " " &amp; Klantgegevens_A!E462 &amp; ", " &amp; Klantgegevens_A!F462)</f>
        <v>Firmin,Rakhim,Ilaria,Maria,Tim</v>
      </c>
      <c r="E463">
        <f>IF(Klantgegevens_B!G462&lt;&gt;"", Klantgegevens_B!G462, TEXTJOIN(",", TRUE, REPT("Volwassene,", Klantgegevens_A!G462), REPT("Kind,", Klantgegevens_A!H462)))</f>
        <v>186.48</v>
      </c>
      <c r="F463">
        <f>IF(Klantgegevens_B!G462&lt;&gt;"", LEN(Klantgegevens_B!G462)-LEN(SUBSTITUTE(Klantgegevens_B!G462, ",", ""))+1, Klantgegevens_A!G462)</f>
        <v>1</v>
      </c>
      <c r="G463">
        <f>IF(Klantgegevens_B!G462&lt;&gt;"", 0, Klantgegevens_A!H462)</f>
        <v>0</v>
      </c>
      <c r="H463">
        <f>IF(Klantgegevens_B!H462&lt;&gt;"", Klantgegevens_B!H462, Klantgegevens_A!I462)</f>
        <v>5</v>
      </c>
      <c r="I463" t="str">
        <f>IF(Klantgegevens_B!I462&lt;&gt;"", Klantgegevens_B!I462, SWITCH(Klantgegevens_A!J462, "Zelden", 1, "Af en toe", 4, "Regelmatig", 8, "Vaak", 12))</f>
        <v>Payconiq</v>
      </c>
      <c r="J463" t="str">
        <f>IF(Klantgegevens_B!J462&lt;&gt;"", Klantgegevens_B!J462, Klantgegevens_A!K462)</f>
        <v>ja</v>
      </c>
      <c r="K463">
        <f>IF(Klantgegevens_B!K462&lt;&gt;"", AVERAGE(--(Klantgegevens_B!K462="ja"), --(Klantgegevens_B!L462="ja"), --(Klantgegevens_B!M462="ja"), --(Klantgegevens_B!N462="ja"), --(Klantgegevens_B!O462="ja"))*10, Klantgegevens_A!L462)</f>
        <v>8</v>
      </c>
      <c r="L463" t="str">
        <f>IF(Klantgegevens_B!K462&lt;&gt;"", Klantgegevens_B!K462, IF(Klantgegevens_A!L462&gt;=7, "ja", "nee"))</f>
        <v>ja</v>
      </c>
      <c r="M463" t="str">
        <f>IF(Klantgegevens_B!L462&lt;&gt;"", Klantgegevens_B!L462, IF(Klantgegevens_A!L462&gt;=7, "ja", "nee"))</f>
        <v>ja</v>
      </c>
      <c r="N463" t="str">
        <f>IF(Klantgegevens_B!M462&lt;&gt;"", Klantgegevens_B!M462, IF(Klantgegevens_A!L462&gt;=7, "ja", "nee"))</f>
        <v>ja</v>
      </c>
      <c r="O463" t="str">
        <f>IF(Klantgegevens_B!N462&lt;&gt;"", Klantgegevens_B!N462, IF(Klantgegevens_A!L462&gt;=7, "ja", "nee"))</f>
        <v>ja</v>
      </c>
      <c r="P463" t="str">
        <f>IF(Klantgegevens_B!O462&lt;&gt;"", Klantgegevens_B!O462, IF(Klantgegevens_A!L462&gt;=7, "ja", "nee"))</f>
        <v>Geen dieet</v>
      </c>
      <c r="Q463" t="str">
        <f>IF(Klantgegevens_B!P462&lt;&gt;"", Klantgegevens_B!P462, Klantgegevens_A!M462)</f>
        <v>Geen dieet</v>
      </c>
      <c r="R463" t="str">
        <f>IF(Klantgegevens_B!A462&lt;&gt;"", "B", "A")</f>
        <v>B</v>
      </c>
    </row>
    <row r="464" spans="1:18" x14ac:dyDescent="0.3">
      <c r="A464" t="str">
        <f>IF(Klantgegevens_B!A463&lt;&gt;"", Klantgegevens_B!A463, MID(Klantgegevens_A!A463, FIND(",", Klantgegevens_A!A463)+2, LEN(Klantgegevens_A!A463)))</f>
        <v>Magda</v>
      </c>
      <c r="B464" t="str">
        <f>IF(Klantgegevens_B!B463&lt;&gt;"", Klantgegevens_B!B463, LEFT(Klantgegevens_A!A463, FIND(",", Klantgegevens_A!A463)-1))</f>
        <v>Jansen</v>
      </c>
      <c r="C464" t="str">
        <f t="shared" ca="1" si="7"/>
        <v/>
      </c>
      <c r="D464" t="str">
        <f>IF(Klantgegevens_B!F463&lt;&gt;"", Klantgegevens_B!F463, Klantgegevens_A!D463 &amp; " " &amp; Klantgegevens_A!E463 &amp; ", " &amp; Klantgegevens_A!F463)</f>
        <v>Magda,Jutta,Yvette</v>
      </c>
      <c r="E464">
        <f>IF(Klantgegevens_B!G463&lt;&gt;"", Klantgegevens_B!G463, TEXTJOIN(",", TRUE, REPT("Volwassene,", Klantgegevens_A!G463), REPT("Kind,", Klantgegevens_A!H463)))</f>
        <v>147.27000000000001</v>
      </c>
      <c r="F464">
        <f>IF(Klantgegevens_B!G463&lt;&gt;"", LEN(Klantgegevens_B!G463)-LEN(SUBSTITUTE(Klantgegevens_B!G463, ",", ""))+1, Klantgegevens_A!G463)</f>
        <v>1</v>
      </c>
      <c r="G464">
        <f>IF(Klantgegevens_B!G463&lt;&gt;"", 0, Klantgegevens_A!H463)</f>
        <v>0</v>
      </c>
      <c r="H464">
        <f>IF(Klantgegevens_B!H463&lt;&gt;"", Klantgegevens_B!H463, Klantgegevens_A!I463)</f>
        <v>12</v>
      </c>
      <c r="I464" t="str">
        <f>IF(Klantgegevens_B!I463&lt;&gt;"", Klantgegevens_B!I463, SWITCH(Klantgegevens_A!J463, "Zelden", 1, "Af en toe", 4, "Regelmatig", 8, "Vaak", 12))</f>
        <v>Payconiq</v>
      </c>
      <c r="J464" t="str">
        <f>IF(Klantgegevens_B!J463&lt;&gt;"", Klantgegevens_B!J463, Klantgegevens_A!K463)</f>
        <v>nee</v>
      </c>
      <c r="K464">
        <f>IF(Klantgegevens_B!K463&lt;&gt;"", AVERAGE(--(Klantgegevens_B!K463="ja"), --(Klantgegevens_B!L463="ja"), --(Klantgegevens_B!M463="ja"), --(Klantgegevens_B!N463="ja"), --(Klantgegevens_B!O463="ja"))*10, Klantgegevens_A!L463)</f>
        <v>6</v>
      </c>
      <c r="L464" t="str">
        <f>IF(Klantgegevens_B!K463&lt;&gt;"", Klantgegevens_B!K463, IF(Klantgegevens_A!L463&gt;=7, "ja", "nee"))</f>
        <v>nee</v>
      </c>
      <c r="M464" t="str">
        <f>IF(Klantgegevens_B!L463&lt;&gt;"", Klantgegevens_B!L463, IF(Klantgegevens_A!L463&gt;=7, "ja", "nee"))</f>
        <v>ja</v>
      </c>
      <c r="N464" t="str">
        <f>IF(Klantgegevens_B!M463&lt;&gt;"", Klantgegevens_B!M463, IF(Klantgegevens_A!L463&gt;=7, "ja", "nee"))</f>
        <v>ja</v>
      </c>
      <c r="O464" t="str">
        <f>IF(Klantgegevens_B!N463&lt;&gt;"", Klantgegevens_B!N463, IF(Klantgegevens_A!L463&gt;=7, "ja", "nee"))</f>
        <v>ja</v>
      </c>
      <c r="P464" t="str">
        <f>IF(Klantgegevens_B!O463&lt;&gt;"", Klantgegevens_B!O463, IF(Klantgegevens_A!L463&gt;=7, "ja", "nee"))</f>
        <v>Geen dieet</v>
      </c>
      <c r="Q464" t="str">
        <f>IF(Klantgegevens_B!P463&lt;&gt;"", Klantgegevens_B!P463, Klantgegevens_A!M463)</f>
        <v>Geen dieet</v>
      </c>
      <c r="R464" t="str">
        <f>IF(Klantgegevens_B!A463&lt;&gt;"", "B", "A")</f>
        <v>B</v>
      </c>
    </row>
    <row r="465" spans="1:18" x14ac:dyDescent="0.3">
      <c r="A465" t="str">
        <f>IF(Klantgegevens_B!A464&lt;&gt;"", Klantgegevens_B!A464, MID(Klantgegevens_A!A464, FIND(",", Klantgegevens_A!A464)+2, LEN(Klantgegevens_A!A464)))</f>
        <v>Mads</v>
      </c>
      <c r="B465" t="str">
        <f>IF(Klantgegevens_B!B464&lt;&gt;"", Klantgegevens_B!B464, LEFT(Klantgegevens_A!A464, FIND(",", Klantgegevens_A!A464)-1))</f>
        <v>De decker</v>
      </c>
      <c r="C465" t="str">
        <f t="shared" ca="1" si="7"/>
        <v/>
      </c>
      <c r="D465" t="str">
        <f>IF(Klantgegevens_B!F464&lt;&gt;"", Klantgegevens_B!F464, Klantgegevens_A!D464 &amp; " " &amp; Klantgegevens_A!E464 &amp; ", " &amp; Klantgegevens_A!F464)</f>
        <v>Mads,Erik,Dorine</v>
      </c>
      <c r="E465">
        <f>IF(Klantgegevens_B!G464&lt;&gt;"", Klantgegevens_B!G464, TEXTJOIN(",", TRUE, REPT("Volwassene,", Klantgegevens_A!G464), REPT("Kind,", Klantgegevens_A!H464)))</f>
        <v>143.07</v>
      </c>
      <c r="F465">
        <f>IF(Klantgegevens_B!G464&lt;&gt;"", LEN(Klantgegevens_B!G464)-LEN(SUBSTITUTE(Klantgegevens_B!G464, ",", ""))+1, Klantgegevens_A!G464)</f>
        <v>1</v>
      </c>
      <c r="G465">
        <f>IF(Klantgegevens_B!G464&lt;&gt;"", 0, Klantgegevens_A!H464)</f>
        <v>0</v>
      </c>
      <c r="H465">
        <f>IF(Klantgegevens_B!H464&lt;&gt;"", Klantgegevens_B!H464, Klantgegevens_A!I464)</f>
        <v>4</v>
      </c>
      <c r="I465" t="str">
        <f>IF(Klantgegevens_B!I464&lt;&gt;"", Klantgegevens_B!I464, SWITCH(Klantgegevens_A!J464, "Zelden", 1, "Af en toe", 4, "Regelmatig", 8, "Vaak", 12))</f>
        <v>Payconiq</v>
      </c>
      <c r="J465" t="str">
        <f>IF(Klantgegevens_B!J464&lt;&gt;"", Klantgegevens_B!J464, Klantgegevens_A!K464)</f>
        <v>ja</v>
      </c>
      <c r="K465">
        <f>IF(Klantgegevens_B!K464&lt;&gt;"", AVERAGE(--(Klantgegevens_B!K464="ja"), --(Klantgegevens_B!L464="ja"), --(Klantgegevens_B!M464="ja"), --(Klantgegevens_B!N464="ja"), --(Klantgegevens_B!O464="ja"))*10, Klantgegevens_A!L464)</f>
        <v>4</v>
      </c>
      <c r="L465" t="str">
        <f>IF(Klantgegevens_B!K464&lt;&gt;"", Klantgegevens_B!K464, IF(Klantgegevens_A!L464&gt;=7, "ja", "nee"))</f>
        <v>ja</v>
      </c>
      <c r="M465" t="str">
        <f>IF(Klantgegevens_B!L464&lt;&gt;"", Klantgegevens_B!L464, IF(Klantgegevens_A!L464&gt;=7, "ja", "nee"))</f>
        <v>nee</v>
      </c>
      <c r="N465" t="str">
        <f>IF(Klantgegevens_B!M464&lt;&gt;"", Klantgegevens_B!M464, IF(Klantgegevens_A!L464&gt;=7, "ja", "nee"))</f>
        <v>nee</v>
      </c>
      <c r="O465" t="str">
        <f>IF(Klantgegevens_B!N464&lt;&gt;"", Klantgegevens_B!N464, IF(Klantgegevens_A!L464&gt;=7, "ja", "nee"))</f>
        <v>ja</v>
      </c>
      <c r="P465" t="str">
        <f>IF(Klantgegevens_B!O464&lt;&gt;"", Klantgegevens_B!O464, IF(Klantgegevens_A!L464&gt;=7, "ja", "nee"))</f>
        <v>Geen dieet</v>
      </c>
      <c r="Q465" t="str">
        <f>IF(Klantgegevens_B!P464&lt;&gt;"", Klantgegevens_B!P464, Klantgegevens_A!M464)</f>
        <v>Geen dieet</v>
      </c>
      <c r="R465" t="str">
        <f>IF(Klantgegevens_B!A464&lt;&gt;"", "B", "A")</f>
        <v>B</v>
      </c>
    </row>
    <row r="466" spans="1:18" x14ac:dyDescent="0.3">
      <c r="A466" t="str">
        <f>IF(Klantgegevens_B!A465&lt;&gt;"", Klantgegevens_B!A465, MID(Klantgegevens_A!A465, FIND(",", Klantgegevens_A!A465)+2, LEN(Klantgegevens_A!A465)))</f>
        <v>Gio</v>
      </c>
      <c r="B466" t="str">
        <f>IF(Klantgegevens_B!B465&lt;&gt;"", Klantgegevens_B!B465, LEFT(Klantgegevens_A!A465, FIND(",", Klantgegevens_A!A465)-1))</f>
        <v>De coster</v>
      </c>
      <c r="C466" t="str">
        <f t="shared" ca="1" si="7"/>
        <v/>
      </c>
      <c r="D466" t="str">
        <f>IF(Klantgegevens_B!F465&lt;&gt;"", Klantgegevens_B!F465, Klantgegevens_A!D465 &amp; " " &amp; Klantgegevens_A!E465 &amp; ", " &amp; Klantgegevens_A!F465)</f>
        <v>Gio,Siegrid,Gianfranco</v>
      </c>
      <c r="E466">
        <f>IF(Klantgegevens_B!G465&lt;&gt;"", Klantgegevens_B!G465, TEXTJOIN(",", TRUE, REPT("Volwassene,", Klantgegevens_A!G465), REPT("Kind,", Klantgegevens_A!H465)))</f>
        <v>165</v>
      </c>
      <c r="F466">
        <f>IF(Klantgegevens_B!G465&lt;&gt;"", LEN(Klantgegevens_B!G465)-LEN(SUBSTITUTE(Klantgegevens_B!G465, ",", ""))+1, Klantgegevens_A!G465)</f>
        <v>1</v>
      </c>
      <c r="G466">
        <f>IF(Klantgegevens_B!G465&lt;&gt;"", 0, Klantgegevens_A!H465)</f>
        <v>0</v>
      </c>
      <c r="H466">
        <f>IF(Klantgegevens_B!H465&lt;&gt;"", Klantgegevens_B!H465, Klantgegevens_A!I465)</f>
        <v>10</v>
      </c>
      <c r="I466" t="str">
        <f>IF(Klantgegevens_B!I465&lt;&gt;"", Klantgegevens_B!I465, SWITCH(Klantgegevens_A!J465, "Zelden", 1, "Af en toe", 4, "Regelmatig", 8, "Vaak", 12))</f>
        <v>Bancontact</v>
      </c>
      <c r="J466" t="str">
        <f>IF(Klantgegevens_B!J465&lt;&gt;"", Klantgegevens_B!J465, Klantgegevens_A!K465)</f>
        <v>nee</v>
      </c>
      <c r="K466">
        <f>IF(Klantgegevens_B!K465&lt;&gt;"", AVERAGE(--(Klantgegevens_B!K465="ja"), --(Klantgegevens_B!L465="ja"), --(Klantgegevens_B!M465="ja"), --(Klantgegevens_B!N465="ja"), --(Klantgegevens_B!O465="ja"))*10, Klantgegevens_A!L465)</f>
        <v>6</v>
      </c>
      <c r="L466" t="str">
        <f>IF(Klantgegevens_B!K465&lt;&gt;"", Klantgegevens_B!K465, IF(Klantgegevens_A!L465&gt;=7, "ja", "nee"))</f>
        <v>nee</v>
      </c>
      <c r="M466" t="str">
        <f>IF(Klantgegevens_B!L465&lt;&gt;"", Klantgegevens_B!L465, IF(Klantgegevens_A!L465&gt;=7, "ja", "nee"))</f>
        <v>ja</v>
      </c>
      <c r="N466" t="str">
        <f>IF(Klantgegevens_B!M465&lt;&gt;"", Klantgegevens_B!M465, IF(Klantgegevens_A!L465&gt;=7, "ja", "nee"))</f>
        <v>ja</v>
      </c>
      <c r="O466" t="str">
        <f>IF(Klantgegevens_B!N465&lt;&gt;"", Klantgegevens_B!N465, IF(Klantgegevens_A!L465&gt;=7, "ja", "nee"))</f>
        <v>ja</v>
      </c>
      <c r="P466" t="str">
        <f>IF(Klantgegevens_B!O465&lt;&gt;"", Klantgegevens_B!O465, IF(Klantgegevens_A!L465&gt;=7, "ja", "nee"))</f>
        <v>Geen dieet</v>
      </c>
      <c r="Q466" t="str">
        <f>IF(Klantgegevens_B!P465&lt;&gt;"", Klantgegevens_B!P465, Klantgegevens_A!M465)</f>
        <v>Geen dieet</v>
      </c>
      <c r="R466" t="str">
        <f>IF(Klantgegevens_B!A465&lt;&gt;"", "B", "A")</f>
        <v>B</v>
      </c>
    </row>
    <row r="467" spans="1:18" x14ac:dyDescent="0.3">
      <c r="A467" t="str">
        <f>IF(Klantgegevens_B!A466&lt;&gt;"", Klantgegevens_B!A466, MID(Klantgegevens_A!A466, FIND(",", Klantgegevens_A!A466)+2, LEN(Klantgegevens_A!A466)))</f>
        <v>Thérèse</v>
      </c>
      <c r="B467" t="str">
        <f>IF(Klantgegevens_B!B466&lt;&gt;"", Klantgegevens_B!B466, LEFT(Klantgegevens_A!A466, FIND(",", Klantgegevens_A!A466)-1))</f>
        <v>Vanderheyden</v>
      </c>
      <c r="C467" t="str">
        <f t="shared" ca="1" si="7"/>
        <v/>
      </c>
      <c r="D467" t="str">
        <f>IF(Klantgegevens_B!F466&lt;&gt;"", Klantgegevens_B!F466, Klantgegevens_A!D466 &amp; " " &amp; Klantgegevens_A!E466 &amp; ", " &amp; Klantgegevens_A!F466)</f>
        <v>Thérèse,Dylan,Mario,Jeremy</v>
      </c>
      <c r="E467">
        <f>IF(Klantgegevens_B!G466&lt;&gt;"", Klantgegevens_B!G466, TEXTJOIN(",", TRUE, REPT("Volwassene,", Klantgegevens_A!G466), REPT("Kind,", Klantgegevens_A!H466)))</f>
        <v>178.31</v>
      </c>
      <c r="F467">
        <f>IF(Klantgegevens_B!G466&lt;&gt;"", LEN(Klantgegevens_B!G466)-LEN(SUBSTITUTE(Klantgegevens_B!G466, ",", ""))+1, Klantgegevens_A!G466)</f>
        <v>1</v>
      </c>
      <c r="G467">
        <f>IF(Klantgegevens_B!G466&lt;&gt;"", 0, Klantgegevens_A!H466)</f>
        <v>0</v>
      </c>
      <c r="H467">
        <f>IF(Klantgegevens_B!H466&lt;&gt;"", Klantgegevens_B!H466, Klantgegevens_A!I466)</f>
        <v>10</v>
      </c>
      <c r="I467" t="str">
        <f>IF(Klantgegevens_B!I466&lt;&gt;"", Klantgegevens_B!I466, SWITCH(Klantgegevens_A!J466, "Zelden", 1, "Af en toe", 4, "Regelmatig", 8, "Vaak", 12))</f>
        <v>Payconiq</v>
      </c>
      <c r="J467" t="str">
        <f>IF(Klantgegevens_B!J466&lt;&gt;"", Klantgegevens_B!J466, Klantgegevens_A!K466)</f>
        <v>ja</v>
      </c>
      <c r="K467">
        <f>IF(Klantgegevens_B!K466&lt;&gt;"", AVERAGE(--(Klantgegevens_B!K466="ja"), --(Klantgegevens_B!L466="ja"), --(Klantgegevens_B!M466="ja"), --(Klantgegevens_B!N466="ja"), --(Klantgegevens_B!O466="ja"))*10, Klantgegevens_A!L466)</f>
        <v>8</v>
      </c>
      <c r="L467" t="str">
        <f>IF(Klantgegevens_B!K466&lt;&gt;"", Klantgegevens_B!K466, IF(Klantgegevens_A!L466&gt;=7, "ja", "nee"))</f>
        <v>ja</v>
      </c>
      <c r="M467" t="str">
        <f>IF(Klantgegevens_B!L466&lt;&gt;"", Klantgegevens_B!L466, IF(Klantgegevens_A!L466&gt;=7, "ja", "nee"))</f>
        <v>ja</v>
      </c>
      <c r="N467" t="str">
        <f>IF(Klantgegevens_B!M466&lt;&gt;"", Klantgegevens_B!M466, IF(Klantgegevens_A!L466&gt;=7, "ja", "nee"))</f>
        <v>ja</v>
      </c>
      <c r="O467" t="str">
        <f>IF(Klantgegevens_B!N466&lt;&gt;"", Klantgegevens_B!N466, IF(Klantgegevens_A!L466&gt;=7, "ja", "nee"))</f>
        <v>ja</v>
      </c>
      <c r="P467" t="str">
        <f>IF(Klantgegevens_B!O466&lt;&gt;"", Klantgegevens_B!O466, IF(Klantgegevens_A!L466&gt;=7, "ja", "nee"))</f>
        <v>Geen dieet</v>
      </c>
      <c r="Q467" t="str">
        <f>IF(Klantgegevens_B!P466&lt;&gt;"", Klantgegevens_B!P466, Klantgegevens_A!M466)</f>
        <v>Geen dieet</v>
      </c>
      <c r="R467" t="str">
        <f>IF(Klantgegevens_B!A466&lt;&gt;"", "B", "A")</f>
        <v>B</v>
      </c>
    </row>
    <row r="468" spans="1:18" x14ac:dyDescent="0.3">
      <c r="A468" t="str">
        <f>IF(Klantgegevens_B!A467&lt;&gt;"", Klantgegevens_B!A467, MID(Klantgegevens_A!A467, FIND(",", Klantgegevens_A!A467)+2, LEN(Klantgegevens_A!A467)))</f>
        <v>Mario</v>
      </c>
      <c r="B468" t="str">
        <f>IF(Klantgegevens_B!B467&lt;&gt;"", Klantgegevens_B!B467, LEFT(Klantgegevens_A!A467, FIND(",", Klantgegevens_A!A467)-1))</f>
        <v>Dubois</v>
      </c>
      <c r="C468" t="str">
        <f t="shared" ca="1" si="7"/>
        <v/>
      </c>
      <c r="D468" t="str">
        <f>IF(Klantgegevens_B!F467&lt;&gt;"", Klantgegevens_B!F467, Klantgegevens_A!D467 &amp; " " &amp; Klantgegevens_A!E467 &amp; ", " &amp; Klantgegevens_A!F467)</f>
        <v>Mario,Nicole,Olivier,Sarah</v>
      </c>
      <c r="E468">
        <f>IF(Klantgegevens_B!G467&lt;&gt;"", Klantgegevens_B!G467, TEXTJOIN(",", TRUE, REPT("Volwassene,", Klantgegevens_A!G467), REPT("Kind,", Klantgegevens_A!H467)))</f>
        <v>173.5</v>
      </c>
      <c r="F468">
        <f>IF(Klantgegevens_B!G467&lt;&gt;"", LEN(Klantgegevens_B!G467)-LEN(SUBSTITUTE(Klantgegevens_B!G467, ",", ""))+1, Klantgegevens_A!G467)</f>
        <v>1</v>
      </c>
      <c r="G468">
        <f>IF(Klantgegevens_B!G467&lt;&gt;"", 0, Klantgegevens_A!H467)</f>
        <v>0</v>
      </c>
      <c r="H468">
        <f>IF(Klantgegevens_B!H467&lt;&gt;"", Klantgegevens_B!H467, Klantgegevens_A!I467)</f>
        <v>6</v>
      </c>
      <c r="I468" t="str">
        <f>IF(Klantgegevens_B!I467&lt;&gt;"", Klantgegevens_B!I467, SWITCH(Klantgegevens_A!J467, "Zelden", 1, "Af en toe", 4, "Regelmatig", 8, "Vaak", 12))</f>
        <v>Payconiq</v>
      </c>
      <c r="J468" t="str">
        <f>IF(Klantgegevens_B!J467&lt;&gt;"", Klantgegevens_B!J467, Klantgegevens_A!K467)</f>
        <v>ja</v>
      </c>
      <c r="K468">
        <f>IF(Klantgegevens_B!K467&lt;&gt;"", AVERAGE(--(Klantgegevens_B!K467="ja"), --(Klantgegevens_B!L467="ja"), --(Klantgegevens_B!M467="ja"), --(Klantgegevens_B!N467="ja"), --(Klantgegevens_B!O467="ja"))*10, Klantgegevens_A!L467)</f>
        <v>6</v>
      </c>
      <c r="L468" t="str">
        <f>IF(Klantgegevens_B!K467&lt;&gt;"", Klantgegevens_B!K467, IF(Klantgegevens_A!L467&gt;=7, "ja", "nee"))</f>
        <v>nee</v>
      </c>
      <c r="M468" t="str">
        <f>IF(Klantgegevens_B!L467&lt;&gt;"", Klantgegevens_B!L467, IF(Klantgegevens_A!L467&gt;=7, "ja", "nee"))</f>
        <v>ja</v>
      </c>
      <c r="N468" t="str">
        <f>IF(Klantgegevens_B!M467&lt;&gt;"", Klantgegevens_B!M467, IF(Klantgegevens_A!L467&gt;=7, "ja", "nee"))</f>
        <v>ja</v>
      </c>
      <c r="O468" t="str">
        <f>IF(Klantgegevens_B!N467&lt;&gt;"", Klantgegevens_B!N467, IF(Klantgegevens_A!L467&gt;=7, "ja", "nee"))</f>
        <v>ja</v>
      </c>
      <c r="P468" t="str">
        <f>IF(Klantgegevens_B!O467&lt;&gt;"", Klantgegevens_B!O467, IF(Klantgegevens_A!L467&gt;=7, "ja", "nee"))</f>
        <v>Geen dieet</v>
      </c>
      <c r="Q468" t="str">
        <f>IF(Klantgegevens_B!P467&lt;&gt;"", Klantgegevens_B!P467, Klantgegevens_A!M467)</f>
        <v>Geen dieet</v>
      </c>
      <c r="R468" t="str">
        <f>IF(Klantgegevens_B!A467&lt;&gt;"", "B", "A")</f>
        <v>B</v>
      </c>
    </row>
    <row r="469" spans="1:18" x14ac:dyDescent="0.3">
      <c r="A469" t="str">
        <f>IF(Klantgegevens_B!A468&lt;&gt;"", Klantgegevens_B!A468, MID(Klantgegevens_A!A468, FIND(",", Klantgegevens_A!A468)+2, LEN(Klantgegevens_A!A468)))</f>
        <v>Joni</v>
      </c>
      <c r="B469" t="str">
        <f>IF(Klantgegevens_B!B468&lt;&gt;"", Klantgegevens_B!B468, LEFT(Klantgegevens_A!A468, FIND(",", Klantgegevens_A!A468)-1))</f>
        <v>Swinnen</v>
      </c>
      <c r="C469" t="str">
        <f t="shared" ca="1" si="7"/>
        <v/>
      </c>
      <c r="D469" t="str">
        <f>IF(Klantgegevens_B!F468&lt;&gt;"", Klantgegevens_B!F468, Klantgegevens_A!D468 &amp; " " &amp; Klantgegevens_A!E468 &amp; ", " &amp; Klantgegevens_A!F468)</f>
        <v>Joni,Hakim,Franky,Jordi,Lissandro</v>
      </c>
      <c r="E469">
        <f>IF(Klantgegevens_B!G468&lt;&gt;"", Klantgegevens_B!G468, TEXTJOIN(",", TRUE, REPT("Volwassene,", Klantgegevens_A!G468), REPT("Kind,", Klantgegevens_A!H468)))</f>
        <v>211.24</v>
      </c>
      <c r="F469">
        <f>IF(Klantgegevens_B!G468&lt;&gt;"", LEN(Klantgegevens_B!G468)-LEN(SUBSTITUTE(Klantgegevens_B!G468, ",", ""))+1, Klantgegevens_A!G468)</f>
        <v>1</v>
      </c>
      <c r="G469">
        <f>IF(Klantgegevens_B!G468&lt;&gt;"", 0, Klantgegevens_A!H468)</f>
        <v>0</v>
      </c>
      <c r="H469">
        <f>IF(Klantgegevens_B!H468&lt;&gt;"", Klantgegevens_B!H468, Klantgegevens_A!I468)</f>
        <v>5</v>
      </c>
      <c r="I469" t="str">
        <f>IF(Klantgegevens_B!I468&lt;&gt;"", Klantgegevens_B!I468, SWITCH(Klantgegevens_A!J468, "Zelden", 1, "Af en toe", 4, "Regelmatig", 8, "Vaak", 12))</f>
        <v>Payconiq</v>
      </c>
      <c r="J469" t="str">
        <f>IF(Klantgegevens_B!J468&lt;&gt;"", Klantgegevens_B!J468, Klantgegevens_A!K468)</f>
        <v>ja</v>
      </c>
      <c r="K469">
        <f>IF(Klantgegevens_B!K468&lt;&gt;"", AVERAGE(--(Klantgegevens_B!K468="ja"), --(Klantgegevens_B!L468="ja"), --(Klantgegevens_B!M468="ja"), --(Klantgegevens_B!N468="ja"), --(Klantgegevens_B!O468="ja"))*10, Klantgegevens_A!L468)</f>
        <v>6</v>
      </c>
      <c r="L469" t="str">
        <f>IF(Klantgegevens_B!K468&lt;&gt;"", Klantgegevens_B!K468, IF(Klantgegevens_A!L468&gt;=7, "ja", "nee"))</f>
        <v>ja</v>
      </c>
      <c r="M469" t="str">
        <f>IF(Klantgegevens_B!L468&lt;&gt;"", Klantgegevens_B!L468, IF(Klantgegevens_A!L468&gt;=7, "ja", "nee"))</f>
        <v>ja</v>
      </c>
      <c r="N469" t="str">
        <f>IF(Klantgegevens_B!M468&lt;&gt;"", Klantgegevens_B!M468, IF(Klantgegevens_A!L468&gt;=7, "ja", "nee"))</f>
        <v>nee</v>
      </c>
      <c r="O469" t="str">
        <f>IF(Klantgegevens_B!N468&lt;&gt;"", Klantgegevens_B!N468, IF(Klantgegevens_A!L468&gt;=7, "ja", "nee"))</f>
        <v>ja</v>
      </c>
      <c r="P469" t="str">
        <f>IF(Klantgegevens_B!O468&lt;&gt;"", Klantgegevens_B!O468, IF(Klantgegevens_A!L468&gt;=7, "ja", "nee"))</f>
        <v>Geen dieet</v>
      </c>
      <c r="Q469" t="str">
        <f>IF(Klantgegevens_B!P468&lt;&gt;"", Klantgegevens_B!P468, Klantgegevens_A!M468)</f>
        <v>Geen dieet</v>
      </c>
      <c r="R469" t="str">
        <f>IF(Klantgegevens_B!A468&lt;&gt;"", "B", "A")</f>
        <v>B</v>
      </c>
    </row>
    <row r="470" spans="1:18" x14ac:dyDescent="0.3">
      <c r="A470" t="str">
        <f>IF(Klantgegevens_B!A469&lt;&gt;"", Klantgegevens_B!A469, MID(Klantgegevens_A!A469, FIND(",", Klantgegevens_A!A469)+2, LEN(Klantgegevens_A!A469)))</f>
        <v>Patrick</v>
      </c>
      <c r="B470" t="str">
        <f>IF(Klantgegevens_B!B469&lt;&gt;"", Klantgegevens_B!B469, LEFT(Klantgegevens_A!A469, FIND(",", Klantgegevens_A!A469)-1))</f>
        <v>Leclercq</v>
      </c>
      <c r="C470" t="str">
        <f t="shared" ca="1" si="7"/>
        <v/>
      </c>
      <c r="D470" t="str">
        <f>IF(Klantgegevens_B!F469&lt;&gt;"", Klantgegevens_B!F469, Klantgegevens_A!D469 &amp; " " &amp; Klantgegevens_A!E469 &amp; ", " &amp; Klantgegevens_A!F469)</f>
        <v>Patrick,Marc,Luc</v>
      </c>
      <c r="E470">
        <f>IF(Klantgegevens_B!G469&lt;&gt;"", Klantgegevens_B!G469, TEXTJOIN(",", TRUE, REPT("Volwassene,", Klantgegevens_A!G469), REPT("Kind,", Klantgegevens_A!H469)))</f>
        <v>33.29</v>
      </c>
      <c r="F470">
        <f>IF(Klantgegevens_B!G469&lt;&gt;"", LEN(Klantgegevens_B!G469)-LEN(SUBSTITUTE(Klantgegevens_B!G469, ",", ""))+1, Klantgegevens_A!G469)</f>
        <v>1</v>
      </c>
      <c r="G470">
        <f>IF(Klantgegevens_B!G469&lt;&gt;"", 0, Klantgegevens_A!H469)</f>
        <v>0</v>
      </c>
      <c r="H470">
        <f>IF(Klantgegevens_B!H469&lt;&gt;"", Klantgegevens_B!H469, Klantgegevens_A!I469)</f>
        <v>9</v>
      </c>
      <c r="I470" t="str">
        <f>IF(Klantgegevens_B!I469&lt;&gt;"", Klantgegevens_B!I469, SWITCH(Klantgegevens_A!J469, "Zelden", 1, "Af en toe", 4, "Regelmatig", 8, "Vaak", 12))</f>
        <v>Bancontact</v>
      </c>
      <c r="J470" t="str">
        <f>IF(Klantgegevens_B!J469&lt;&gt;"", Klantgegevens_B!J469, Klantgegevens_A!K469)</f>
        <v>ja</v>
      </c>
      <c r="K470">
        <f>IF(Klantgegevens_B!K469&lt;&gt;"", AVERAGE(--(Klantgegevens_B!K469="ja"), --(Klantgegevens_B!L469="ja"), --(Klantgegevens_B!M469="ja"), --(Klantgegevens_B!N469="ja"), --(Klantgegevens_B!O469="ja"))*10, Klantgegevens_A!L469)</f>
        <v>6</v>
      </c>
      <c r="L470" t="str">
        <f>IF(Klantgegevens_B!K469&lt;&gt;"", Klantgegevens_B!K469, IF(Klantgegevens_A!L469&gt;=7, "ja", "nee"))</f>
        <v>nee</v>
      </c>
      <c r="M470" t="str">
        <f>IF(Klantgegevens_B!L469&lt;&gt;"", Klantgegevens_B!L469, IF(Klantgegevens_A!L469&gt;=7, "ja", "nee"))</f>
        <v>ja</v>
      </c>
      <c r="N470" t="str">
        <f>IF(Klantgegevens_B!M469&lt;&gt;"", Klantgegevens_B!M469, IF(Klantgegevens_A!L469&gt;=7, "ja", "nee"))</f>
        <v>ja</v>
      </c>
      <c r="O470" t="str">
        <f>IF(Klantgegevens_B!N469&lt;&gt;"", Klantgegevens_B!N469, IF(Klantgegevens_A!L469&gt;=7, "ja", "nee"))</f>
        <v>ja</v>
      </c>
      <c r="P470" t="str">
        <f>IF(Klantgegevens_B!O469&lt;&gt;"", Klantgegevens_B!O469, IF(Klantgegevens_A!L469&gt;=7, "ja", "nee"))</f>
        <v>Geen dieet</v>
      </c>
      <c r="Q470" t="str">
        <f>IF(Klantgegevens_B!P469&lt;&gt;"", Klantgegevens_B!P469, Klantgegevens_A!M469)</f>
        <v>Geen dieet</v>
      </c>
      <c r="R470" t="str">
        <f>IF(Klantgegevens_B!A469&lt;&gt;"", "B", "A")</f>
        <v>B</v>
      </c>
    </row>
    <row r="471" spans="1:18" x14ac:dyDescent="0.3">
      <c r="A471" t="str">
        <f>IF(Klantgegevens_B!A470&lt;&gt;"", Klantgegevens_B!A470, MID(Klantgegevens_A!A470, FIND(",", Klantgegevens_A!A470)+2, LEN(Klantgegevens_A!A470)))</f>
        <v>Natasja</v>
      </c>
      <c r="B471" t="str">
        <f>IF(Klantgegevens_B!B470&lt;&gt;"", Klantgegevens_B!B470, LEFT(Klantgegevens_A!A470, FIND(",", Klantgegevens_A!A470)-1))</f>
        <v>Verdonck</v>
      </c>
      <c r="C471" t="str">
        <f t="shared" ca="1" si="7"/>
        <v/>
      </c>
      <c r="D471" t="str">
        <f>IF(Klantgegevens_B!F470&lt;&gt;"", Klantgegevens_B!F470, Klantgegevens_A!D470 &amp; " " &amp; Klantgegevens_A!E470 &amp; ", " &amp; Klantgegevens_A!F470)</f>
        <v>Natasja</v>
      </c>
      <c r="E471">
        <f>IF(Klantgegevens_B!G470&lt;&gt;"", Klantgegevens_B!G470, TEXTJOIN(",", TRUE, REPT("Volwassene,", Klantgegevens_A!G470), REPT("Kind,", Klantgegevens_A!H470)))</f>
        <v>63.79</v>
      </c>
      <c r="F471">
        <f>IF(Klantgegevens_B!G470&lt;&gt;"", LEN(Klantgegevens_B!G470)-LEN(SUBSTITUTE(Klantgegevens_B!G470, ",", ""))+1, Klantgegevens_A!G470)</f>
        <v>1</v>
      </c>
      <c r="G471">
        <f>IF(Klantgegevens_B!G470&lt;&gt;"", 0, Klantgegevens_A!H470)</f>
        <v>0</v>
      </c>
      <c r="H471">
        <f>IF(Klantgegevens_B!H470&lt;&gt;"", Klantgegevens_B!H470, Klantgegevens_A!I470)</f>
        <v>7</v>
      </c>
      <c r="I471" t="str">
        <f>IF(Klantgegevens_B!I470&lt;&gt;"", Klantgegevens_B!I470, SWITCH(Klantgegevens_A!J470, "Zelden", 1, "Af en toe", 4, "Regelmatig", 8, "Vaak", 12))</f>
        <v>Payconiq</v>
      </c>
      <c r="J471" t="str">
        <f>IF(Klantgegevens_B!J470&lt;&gt;"", Klantgegevens_B!J470, Klantgegevens_A!K470)</f>
        <v>nee</v>
      </c>
      <c r="K471">
        <f>IF(Klantgegevens_B!K470&lt;&gt;"", AVERAGE(--(Klantgegevens_B!K470="ja"), --(Klantgegevens_B!L470="ja"), --(Klantgegevens_B!M470="ja"), --(Klantgegevens_B!N470="ja"), --(Klantgegevens_B!O470="ja"))*10, Klantgegevens_A!L470)</f>
        <v>4</v>
      </c>
      <c r="L471" t="str">
        <f>IF(Klantgegevens_B!K470&lt;&gt;"", Klantgegevens_B!K470, IF(Klantgegevens_A!L470&gt;=7, "ja", "nee"))</f>
        <v>nee</v>
      </c>
      <c r="M471" t="str">
        <f>IF(Klantgegevens_B!L470&lt;&gt;"", Klantgegevens_B!L470, IF(Klantgegevens_A!L470&gt;=7, "ja", "nee"))</f>
        <v>ja</v>
      </c>
      <c r="N471" t="str">
        <f>IF(Klantgegevens_B!M470&lt;&gt;"", Klantgegevens_B!M470, IF(Klantgegevens_A!L470&gt;=7, "ja", "nee"))</f>
        <v>nee</v>
      </c>
      <c r="O471" t="str">
        <f>IF(Klantgegevens_B!N470&lt;&gt;"", Klantgegevens_B!N470, IF(Klantgegevens_A!L470&gt;=7, "ja", "nee"))</f>
        <v>ja</v>
      </c>
      <c r="P471" t="str">
        <f>IF(Klantgegevens_B!O470&lt;&gt;"", Klantgegevens_B!O470, IF(Klantgegevens_A!L470&gt;=7, "ja", "nee"))</f>
        <v>Geen dieet</v>
      </c>
      <c r="Q471" t="str">
        <f>IF(Klantgegevens_B!P470&lt;&gt;"", Klantgegevens_B!P470, Klantgegevens_A!M470)</f>
        <v>Vegetarisch</v>
      </c>
      <c r="R471" t="str">
        <f>IF(Klantgegevens_B!A470&lt;&gt;"", "B", "A")</f>
        <v>B</v>
      </c>
    </row>
    <row r="472" spans="1:18" x14ac:dyDescent="0.3">
      <c r="A472" t="str">
        <f>IF(Klantgegevens_B!A471&lt;&gt;"", Klantgegevens_B!A471, MID(Klantgegevens_A!A471, FIND(",", Klantgegevens_A!A471)+2, LEN(Klantgegevens_A!A471)))</f>
        <v>Marie</v>
      </c>
      <c r="B472" t="str">
        <f>IF(Klantgegevens_B!B471&lt;&gt;"", Klantgegevens_B!B471, LEFT(Klantgegevens_A!A471, FIND(",", Klantgegevens_A!A471)-1))</f>
        <v>Jonckheere</v>
      </c>
      <c r="C472" t="str">
        <f t="shared" ca="1" si="7"/>
        <v/>
      </c>
      <c r="D472" t="str">
        <f>IF(Klantgegevens_B!F471&lt;&gt;"", Klantgegevens_B!F471, Klantgegevens_A!D471 &amp; " " &amp; Klantgegevens_A!E471 &amp; ", " &amp; Klantgegevens_A!F471)</f>
        <v>Marie,Erik,Ann</v>
      </c>
      <c r="E472">
        <f>IF(Klantgegevens_B!G471&lt;&gt;"", Klantgegevens_B!G471, TEXTJOIN(",", TRUE, REPT("Volwassene,", Klantgegevens_A!G471), REPT("Kind,", Klantgegevens_A!H471)))</f>
        <v>132.91999999999999</v>
      </c>
      <c r="F472">
        <f>IF(Klantgegevens_B!G471&lt;&gt;"", LEN(Klantgegevens_B!G471)-LEN(SUBSTITUTE(Klantgegevens_B!G471, ",", ""))+1, Klantgegevens_A!G471)</f>
        <v>1</v>
      </c>
      <c r="G472">
        <f>IF(Klantgegevens_B!G471&lt;&gt;"", 0, Klantgegevens_A!H471)</f>
        <v>0</v>
      </c>
      <c r="H472">
        <f>IF(Klantgegevens_B!H471&lt;&gt;"", Klantgegevens_B!H471, Klantgegevens_A!I471)</f>
        <v>1</v>
      </c>
      <c r="I472" t="str">
        <f>IF(Klantgegevens_B!I471&lt;&gt;"", Klantgegevens_B!I471, SWITCH(Klantgegevens_A!J471, "Zelden", 1, "Af en toe", 4, "Regelmatig", 8, "Vaak", 12))</f>
        <v>Bancontact</v>
      </c>
      <c r="J472" t="str">
        <f>IF(Klantgegevens_B!J471&lt;&gt;"", Klantgegevens_B!J471, Klantgegevens_A!K471)</f>
        <v>ja</v>
      </c>
      <c r="K472">
        <f>IF(Klantgegevens_B!K471&lt;&gt;"", AVERAGE(--(Klantgegevens_B!K471="ja"), --(Klantgegevens_B!L471="ja"), --(Klantgegevens_B!M471="ja"), --(Klantgegevens_B!N471="ja"), --(Klantgegevens_B!O471="ja"))*10, Klantgegevens_A!L471)</f>
        <v>6</v>
      </c>
      <c r="L472" t="str">
        <f>IF(Klantgegevens_B!K471&lt;&gt;"", Klantgegevens_B!K471, IF(Klantgegevens_A!L471&gt;=7, "ja", "nee"))</f>
        <v>nee</v>
      </c>
      <c r="M472" t="str">
        <f>IF(Klantgegevens_B!L471&lt;&gt;"", Klantgegevens_B!L471, IF(Klantgegevens_A!L471&gt;=7, "ja", "nee"))</f>
        <v>ja</v>
      </c>
      <c r="N472" t="str">
        <f>IF(Klantgegevens_B!M471&lt;&gt;"", Klantgegevens_B!M471, IF(Klantgegevens_A!L471&gt;=7, "ja", "nee"))</f>
        <v>ja</v>
      </c>
      <c r="O472" t="str">
        <f>IF(Klantgegevens_B!N471&lt;&gt;"", Klantgegevens_B!N471, IF(Klantgegevens_A!L471&gt;=7, "ja", "nee"))</f>
        <v>ja</v>
      </c>
      <c r="P472" t="str">
        <f>IF(Klantgegevens_B!O471&lt;&gt;"", Klantgegevens_B!O471, IF(Klantgegevens_A!L471&gt;=7, "ja", "nee"))</f>
        <v>Geen dieet</v>
      </c>
      <c r="Q472" t="str">
        <f>IF(Klantgegevens_B!P471&lt;&gt;"", Klantgegevens_B!P471, Klantgegevens_A!M471)</f>
        <v>Geen dieet</v>
      </c>
      <c r="R472" t="str">
        <f>IF(Klantgegevens_B!A471&lt;&gt;"", "B", "A")</f>
        <v>B</v>
      </c>
    </row>
    <row r="473" spans="1:18" x14ac:dyDescent="0.3">
      <c r="A473" t="str">
        <f>IF(Klantgegevens_B!A472&lt;&gt;"", Klantgegevens_B!A472, MID(Klantgegevens_A!A472, FIND(",", Klantgegevens_A!A472)+2, LEN(Klantgegevens_A!A472)))</f>
        <v>Muriel</v>
      </c>
      <c r="B473" t="str">
        <f>IF(Klantgegevens_B!B472&lt;&gt;"", Klantgegevens_B!B472, LEFT(Klantgegevens_A!A472, FIND(",", Klantgegevens_A!A472)-1))</f>
        <v>Renard</v>
      </c>
      <c r="C473" t="str">
        <f t="shared" ca="1" si="7"/>
        <v/>
      </c>
      <c r="D473" t="str">
        <f>IF(Klantgegevens_B!F472&lt;&gt;"", Klantgegevens_B!F472, Klantgegevens_A!D472 &amp; " " &amp; Klantgegevens_A!E472 &amp; ", " &amp; Klantgegevens_A!F472)</f>
        <v>Muriel,Maureen,Maria,Fenna,Maija</v>
      </c>
      <c r="E473">
        <f>IF(Klantgegevens_B!G472&lt;&gt;"", Klantgegevens_B!G472, TEXTJOIN(",", TRUE, REPT("Volwassene,", Klantgegevens_A!G472), REPT("Kind,", Klantgegevens_A!H472)))</f>
        <v>204.54</v>
      </c>
      <c r="F473">
        <f>IF(Klantgegevens_B!G472&lt;&gt;"", LEN(Klantgegevens_B!G472)-LEN(SUBSTITUTE(Klantgegevens_B!G472, ",", ""))+1, Klantgegevens_A!G472)</f>
        <v>1</v>
      </c>
      <c r="G473">
        <f>IF(Klantgegevens_B!G472&lt;&gt;"", 0, Klantgegevens_A!H472)</f>
        <v>0</v>
      </c>
      <c r="H473">
        <f>IF(Klantgegevens_B!H472&lt;&gt;"", Klantgegevens_B!H472, Klantgegevens_A!I472)</f>
        <v>11</v>
      </c>
      <c r="I473" t="str">
        <f>IF(Klantgegevens_B!I472&lt;&gt;"", Klantgegevens_B!I472, SWITCH(Klantgegevens_A!J472, "Zelden", 1, "Af en toe", 4, "Regelmatig", 8, "Vaak", 12))</f>
        <v>Bancontact</v>
      </c>
      <c r="J473" t="str">
        <f>IF(Klantgegevens_B!J472&lt;&gt;"", Klantgegevens_B!J472, Klantgegevens_A!K472)</f>
        <v>nee</v>
      </c>
      <c r="K473">
        <f>IF(Klantgegevens_B!K472&lt;&gt;"", AVERAGE(--(Klantgegevens_B!K472="ja"), --(Klantgegevens_B!L472="ja"), --(Klantgegevens_B!M472="ja"), --(Klantgegevens_B!N472="ja"), --(Klantgegevens_B!O472="ja"))*10, Klantgegevens_A!L472)</f>
        <v>6</v>
      </c>
      <c r="L473" t="str">
        <f>IF(Klantgegevens_B!K472&lt;&gt;"", Klantgegevens_B!K472, IF(Klantgegevens_A!L472&gt;=7, "ja", "nee"))</f>
        <v>ja</v>
      </c>
      <c r="M473" t="str">
        <f>IF(Klantgegevens_B!L472&lt;&gt;"", Klantgegevens_B!L472, IF(Klantgegevens_A!L472&gt;=7, "ja", "nee"))</f>
        <v>nee</v>
      </c>
      <c r="N473" t="str">
        <f>IF(Klantgegevens_B!M472&lt;&gt;"", Klantgegevens_B!M472, IF(Klantgegevens_A!L472&gt;=7, "ja", "nee"))</f>
        <v>ja</v>
      </c>
      <c r="O473" t="str">
        <f>IF(Klantgegevens_B!N472&lt;&gt;"", Klantgegevens_B!N472, IF(Klantgegevens_A!L472&gt;=7, "ja", "nee"))</f>
        <v>ja</v>
      </c>
      <c r="P473" t="str">
        <f>IF(Klantgegevens_B!O472&lt;&gt;"", Klantgegevens_B!O472, IF(Klantgegevens_A!L472&gt;=7, "ja", "nee"))</f>
        <v>Geen dieet</v>
      </c>
      <c r="Q473" t="str">
        <f>IF(Klantgegevens_B!P472&lt;&gt;"", Klantgegevens_B!P472, Klantgegevens_A!M472)</f>
        <v>Geen dieet</v>
      </c>
      <c r="R473" t="str">
        <f>IF(Klantgegevens_B!A472&lt;&gt;"", "B", "A")</f>
        <v>B</v>
      </c>
    </row>
    <row r="474" spans="1:18" x14ac:dyDescent="0.3">
      <c r="A474" t="str">
        <f>IF(Klantgegevens_B!A473&lt;&gt;"", Klantgegevens_B!A473, MID(Klantgegevens_A!A473, FIND(",", Klantgegevens_A!A473)+2, LEN(Klantgegevens_A!A473)))</f>
        <v>Patrice</v>
      </c>
      <c r="B474" t="str">
        <f>IF(Klantgegevens_B!B473&lt;&gt;"", Klantgegevens_B!B473, LEFT(Klantgegevens_A!A473, FIND(",", Klantgegevens_A!A473)-1))</f>
        <v>Pierre</v>
      </c>
      <c r="C474" t="str">
        <f t="shared" ca="1" si="7"/>
        <v/>
      </c>
      <c r="D474" t="str">
        <f>IF(Klantgegevens_B!F473&lt;&gt;"", Klantgegevens_B!F473, Klantgegevens_A!D473 &amp; " " &amp; Klantgegevens_A!E473 &amp; ", " &amp; Klantgegevens_A!F473)</f>
        <v>Patrice,Rolando,Rita</v>
      </c>
      <c r="E474">
        <f>IF(Klantgegevens_B!G473&lt;&gt;"", Klantgegevens_B!G473, TEXTJOIN(",", TRUE, REPT("Volwassene,", Klantgegevens_A!G473), REPT("Kind,", Klantgegevens_A!H473)))</f>
        <v>111.76</v>
      </c>
      <c r="F474">
        <f>IF(Klantgegevens_B!G473&lt;&gt;"", LEN(Klantgegevens_B!G473)-LEN(SUBSTITUTE(Klantgegevens_B!G473, ",", ""))+1, Klantgegevens_A!G473)</f>
        <v>1</v>
      </c>
      <c r="G474">
        <f>IF(Klantgegevens_B!G473&lt;&gt;"", 0, Klantgegevens_A!H473)</f>
        <v>0</v>
      </c>
      <c r="H474">
        <f>IF(Klantgegevens_B!H473&lt;&gt;"", Klantgegevens_B!H473, Klantgegevens_A!I473)</f>
        <v>1</v>
      </c>
      <c r="I474" t="str">
        <f>IF(Klantgegevens_B!I473&lt;&gt;"", Klantgegevens_B!I473, SWITCH(Klantgegevens_A!J473, "Zelden", 1, "Af en toe", 4, "Regelmatig", 8, "Vaak", 12))</f>
        <v>Bancontact</v>
      </c>
      <c r="J474" t="str">
        <f>IF(Klantgegevens_B!J473&lt;&gt;"", Klantgegevens_B!J473, Klantgegevens_A!K473)</f>
        <v>nee</v>
      </c>
      <c r="K474">
        <f>IF(Klantgegevens_B!K473&lt;&gt;"", AVERAGE(--(Klantgegevens_B!K473="ja"), --(Klantgegevens_B!L473="ja"), --(Klantgegevens_B!M473="ja"), --(Klantgegevens_B!N473="ja"), --(Klantgegevens_B!O473="ja"))*10, Klantgegevens_A!L473)</f>
        <v>4</v>
      </c>
      <c r="L474" t="str">
        <f>IF(Klantgegevens_B!K473&lt;&gt;"", Klantgegevens_B!K473, IF(Klantgegevens_A!L473&gt;=7, "ja", "nee"))</f>
        <v>ja</v>
      </c>
      <c r="M474" t="str">
        <f>IF(Klantgegevens_B!L473&lt;&gt;"", Klantgegevens_B!L473, IF(Klantgegevens_A!L473&gt;=7, "ja", "nee"))</f>
        <v>ja</v>
      </c>
      <c r="N474" t="str">
        <f>IF(Klantgegevens_B!M473&lt;&gt;"", Klantgegevens_B!M473, IF(Klantgegevens_A!L473&gt;=7, "ja", "nee"))</f>
        <v>nee</v>
      </c>
      <c r="O474" t="str">
        <f>IF(Klantgegevens_B!N473&lt;&gt;"", Klantgegevens_B!N473, IF(Klantgegevens_A!L473&gt;=7, "ja", "nee"))</f>
        <v>nee</v>
      </c>
      <c r="P474" t="str">
        <f>IF(Klantgegevens_B!O473&lt;&gt;"", Klantgegevens_B!O473, IF(Klantgegevens_A!L473&gt;=7, "ja", "nee"))</f>
        <v>Geen dieet</v>
      </c>
      <c r="Q474" t="str">
        <f>IF(Klantgegevens_B!P473&lt;&gt;"", Klantgegevens_B!P473, Klantgegevens_A!M473)</f>
        <v>Geen dieet</v>
      </c>
      <c r="R474" t="str">
        <f>IF(Klantgegevens_B!A473&lt;&gt;"", "B", "A")</f>
        <v>B</v>
      </c>
    </row>
    <row r="475" spans="1:18" x14ac:dyDescent="0.3">
      <c r="A475" t="str">
        <f>IF(Klantgegevens_B!A474&lt;&gt;"", Klantgegevens_B!A474, MID(Klantgegevens_A!A474, FIND(",", Klantgegevens_A!A474)+2, LEN(Klantgegevens_A!A474)))</f>
        <v>Olivier</v>
      </c>
      <c r="B475" t="str">
        <f>IF(Klantgegevens_B!B474&lt;&gt;"", Klantgegevens_B!B474, LEFT(Klantgegevens_A!A474, FIND(",", Klantgegevens_A!A474)-1))</f>
        <v>Maes</v>
      </c>
      <c r="C475" t="str">
        <f t="shared" ca="1" si="7"/>
        <v/>
      </c>
      <c r="D475" t="str">
        <f>IF(Klantgegevens_B!F474&lt;&gt;"", Klantgegevens_B!F474, Klantgegevens_A!D474 &amp; " " &amp; Klantgegevens_A!E474 &amp; ", " &amp; Klantgegevens_A!F474)</f>
        <v>Olivier</v>
      </c>
      <c r="E475">
        <f>IF(Klantgegevens_B!G474&lt;&gt;"", Klantgegevens_B!G474, TEXTJOIN(",", TRUE, REPT("Volwassene,", Klantgegevens_A!G474), REPT("Kind,", Klantgegevens_A!H474)))</f>
        <v>68.16</v>
      </c>
      <c r="F475">
        <f>IF(Klantgegevens_B!G474&lt;&gt;"", LEN(Klantgegevens_B!G474)-LEN(SUBSTITUTE(Klantgegevens_B!G474, ",", ""))+1, Klantgegevens_A!G474)</f>
        <v>1</v>
      </c>
      <c r="G475">
        <f>IF(Klantgegevens_B!G474&lt;&gt;"", 0, Klantgegevens_A!H474)</f>
        <v>0</v>
      </c>
      <c r="H475">
        <f>IF(Klantgegevens_B!H474&lt;&gt;"", Klantgegevens_B!H474, Klantgegevens_A!I474)</f>
        <v>2</v>
      </c>
      <c r="I475" t="str">
        <f>IF(Klantgegevens_B!I474&lt;&gt;"", Klantgegevens_B!I474, SWITCH(Klantgegevens_A!J474, "Zelden", 1, "Af en toe", 4, "Regelmatig", 8, "Vaak", 12))</f>
        <v>Cash</v>
      </c>
      <c r="J475" t="str">
        <f>IF(Klantgegevens_B!J474&lt;&gt;"", Klantgegevens_B!J474, Klantgegevens_A!K474)</f>
        <v>ja</v>
      </c>
      <c r="K475">
        <f>IF(Klantgegevens_B!K474&lt;&gt;"", AVERAGE(--(Klantgegevens_B!K474="ja"), --(Klantgegevens_B!L474="ja"), --(Klantgegevens_B!M474="ja"), --(Klantgegevens_B!N474="ja"), --(Klantgegevens_B!O474="ja"))*10, Klantgegevens_A!L474)</f>
        <v>8</v>
      </c>
      <c r="L475" t="str">
        <f>IF(Klantgegevens_B!K474&lt;&gt;"", Klantgegevens_B!K474, IF(Klantgegevens_A!L474&gt;=7, "ja", "nee"))</f>
        <v>ja</v>
      </c>
      <c r="M475" t="str">
        <f>IF(Klantgegevens_B!L474&lt;&gt;"", Klantgegevens_B!L474, IF(Klantgegevens_A!L474&gt;=7, "ja", "nee"))</f>
        <v>ja</v>
      </c>
      <c r="N475" t="str">
        <f>IF(Klantgegevens_B!M474&lt;&gt;"", Klantgegevens_B!M474, IF(Klantgegevens_A!L474&gt;=7, "ja", "nee"))</f>
        <v>ja</v>
      </c>
      <c r="O475" t="str">
        <f>IF(Klantgegevens_B!N474&lt;&gt;"", Klantgegevens_B!N474, IF(Klantgegevens_A!L474&gt;=7, "ja", "nee"))</f>
        <v>ja</v>
      </c>
      <c r="P475" t="str">
        <f>IF(Klantgegevens_B!O474&lt;&gt;"", Klantgegevens_B!O474, IF(Klantgegevens_A!L474&gt;=7, "ja", "nee"))</f>
        <v>Veganistisch</v>
      </c>
      <c r="Q475" t="str">
        <f>IF(Klantgegevens_B!P474&lt;&gt;"", Klantgegevens_B!P474, Klantgegevens_A!M474)</f>
        <v>Geen dieet</v>
      </c>
      <c r="R475" t="str">
        <f>IF(Klantgegevens_B!A474&lt;&gt;"", "B", "A")</f>
        <v>B</v>
      </c>
    </row>
    <row r="476" spans="1:18" x14ac:dyDescent="0.3">
      <c r="A476" t="str">
        <f>IF(Klantgegevens_B!A475&lt;&gt;"", Klantgegevens_B!A475, MID(Klantgegevens_A!A475, FIND(",", Klantgegevens_A!A475)+2, LEN(Klantgegevens_A!A475)))</f>
        <v>Norah</v>
      </c>
      <c r="B476" t="str">
        <f>IF(Klantgegevens_B!B475&lt;&gt;"", Klantgegevens_B!B475, LEFT(Klantgegevens_A!A475, FIND(",", Klantgegevens_A!A475)-1))</f>
        <v>Stevens</v>
      </c>
      <c r="C476" t="str">
        <f t="shared" ca="1" si="7"/>
        <v/>
      </c>
      <c r="D476" t="str">
        <f>IF(Klantgegevens_B!F475&lt;&gt;"", Klantgegevens_B!F475, Klantgegevens_A!D475 &amp; " " &amp; Klantgegevens_A!E475 &amp; ", " &amp; Klantgegevens_A!F475)</f>
        <v>Norah</v>
      </c>
      <c r="E476">
        <f>IF(Klantgegevens_B!G475&lt;&gt;"", Klantgegevens_B!G475, TEXTJOIN(",", TRUE, REPT("Volwassene,", Klantgegevens_A!G475), REPT("Kind,", Klantgegevens_A!H475)))</f>
        <v>118.07</v>
      </c>
      <c r="F476">
        <f>IF(Klantgegevens_B!G475&lt;&gt;"", LEN(Klantgegevens_B!G475)-LEN(SUBSTITUTE(Klantgegevens_B!G475, ",", ""))+1, Klantgegevens_A!G475)</f>
        <v>1</v>
      </c>
      <c r="G476">
        <f>IF(Klantgegevens_B!G475&lt;&gt;"", 0, Klantgegevens_A!H475)</f>
        <v>0</v>
      </c>
      <c r="H476">
        <f>IF(Klantgegevens_B!H475&lt;&gt;"", Klantgegevens_B!H475, Klantgegevens_A!I475)</f>
        <v>13</v>
      </c>
      <c r="I476" t="str">
        <f>IF(Klantgegevens_B!I475&lt;&gt;"", Klantgegevens_B!I475, SWITCH(Klantgegevens_A!J475, "Zelden", 1, "Af en toe", 4, "Regelmatig", 8, "Vaak", 12))</f>
        <v>Payconiq</v>
      </c>
      <c r="J476" t="str">
        <f>IF(Klantgegevens_B!J475&lt;&gt;"", Klantgegevens_B!J475, Klantgegevens_A!K475)</f>
        <v>ja</v>
      </c>
      <c r="K476">
        <f>IF(Klantgegevens_B!K475&lt;&gt;"", AVERAGE(--(Klantgegevens_B!K475="ja"), --(Klantgegevens_B!L475="ja"), --(Klantgegevens_B!M475="ja"), --(Klantgegevens_B!N475="ja"), --(Klantgegevens_B!O475="ja"))*10, Klantgegevens_A!L475)</f>
        <v>8</v>
      </c>
      <c r="L476" t="str">
        <f>IF(Klantgegevens_B!K475&lt;&gt;"", Klantgegevens_B!K475, IF(Klantgegevens_A!L475&gt;=7, "ja", "nee"))</f>
        <v>ja</v>
      </c>
      <c r="M476" t="str">
        <f>IF(Klantgegevens_B!L475&lt;&gt;"", Klantgegevens_B!L475, IF(Klantgegevens_A!L475&gt;=7, "ja", "nee"))</f>
        <v>ja</v>
      </c>
      <c r="N476" t="str">
        <f>IF(Klantgegevens_B!M475&lt;&gt;"", Klantgegevens_B!M475, IF(Klantgegevens_A!L475&gt;=7, "ja", "nee"))</f>
        <v>ja</v>
      </c>
      <c r="O476" t="str">
        <f>IF(Klantgegevens_B!N475&lt;&gt;"", Klantgegevens_B!N475, IF(Klantgegevens_A!L475&gt;=7, "ja", "nee"))</f>
        <v>ja</v>
      </c>
      <c r="P476" t="str">
        <f>IF(Klantgegevens_B!O475&lt;&gt;"", Klantgegevens_B!O475, IF(Klantgegevens_A!L475&gt;=7, "ja", "nee"))</f>
        <v>Geen dieet</v>
      </c>
      <c r="Q476" t="str">
        <f>IF(Klantgegevens_B!P475&lt;&gt;"", Klantgegevens_B!P475, Klantgegevens_A!M475)</f>
        <v>Geen dieet</v>
      </c>
      <c r="R476" t="str">
        <f>IF(Klantgegevens_B!A475&lt;&gt;"", "B", "A")</f>
        <v>B</v>
      </c>
    </row>
    <row r="477" spans="1:18" x14ac:dyDescent="0.3">
      <c r="A477" t="str">
        <f>IF(Klantgegevens_B!A476&lt;&gt;"", Klantgegevens_B!A476, MID(Klantgegevens_A!A476, FIND(",", Klantgegevens_A!A476)+2, LEN(Klantgegevens_A!A476)))</f>
        <v>Tony</v>
      </c>
      <c r="B477" t="str">
        <f>IF(Klantgegevens_B!B476&lt;&gt;"", Klantgegevens_B!B476, LEFT(Klantgegevens_A!A476, FIND(",", Klantgegevens_A!A476)-1))</f>
        <v>Verbruggen</v>
      </c>
      <c r="C477" t="str">
        <f t="shared" ca="1" si="7"/>
        <v/>
      </c>
      <c r="D477" t="str">
        <f>IF(Klantgegevens_B!F476&lt;&gt;"", Klantgegevens_B!F476, Klantgegevens_A!D476 &amp; " " &amp; Klantgegevens_A!E476 &amp; ", " &amp; Klantgegevens_A!F476)</f>
        <v>Tony,Jolien,Nathalie</v>
      </c>
      <c r="E477">
        <f>IF(Klantgegevens_B!G476&lt;&gt;"", Klantgegevens_B!G476, TEXTJOIN(",", TRUE, REPT("Volwassene,", Klantgegevens_A!G476), REPT("Kind,", Klantgegevens_A!H476)))</f>
        <v>105</v>
      </c>
      <c r="F477">
        <f>IF(Klantgegevens_B!G476&lt;&gt;"", LEN(Klantgegevens_B!G476)-LEN(SUBSTITUTE(Klantgegevens_B!G476, ",", ""))+1, Klantgegevens_A!G476)</f>
        <v>1</v>
      </c>
      <c r="G477">
        <f>IF(Klantgegevens_B!G476&lt;&gt;"", 0, Klantgegevens_A!H476)</f>
        <v>0</v>
      </c>
      <c r="H477">
        <f>IF(Klantgegevens_B!H476&lt;&gt;"", Klantgegevens_B!H476, Klantgegevens_A!I476)</f>
        <v>7</v>
      </c>
      <c r="I477" t="str">
        <f>IF(Klantgegevens_B!I476&lt;&gt;"", Klantgegevens_B!I476, SWITCH(Klantgegevens_A!J476, "Zelden", 1, "Af en toe", 4, "Regelmatig", 8, "Vaak", 12))</f>
        <v>Cash</v>
      </c>
      <c r="J477" t="str">
        <f>IF(Klantgegevens_B!J476&lt;&gt;"", Klantgegevens_B!J476, Klantgegevens_A!K476)</f>
        <v>ja</v>
      </c>
      <c r="K477">
        <f>IF(Klantgegevens_B!K476&lt;&gt;"", AVERAGE(--(Klantgegevens_B!K476="ja"), --(Klantgegevens_B!L476="ja"), --(Klantgegevens_B!M476="ja"), --(Klantgegevens_B!N476="ja"), --(Klantgegevens_B!O476="ja"))*10, Klantgegevens_A!L476)</f>
        <v>6</v>
      </c>
      <c r="L477" t="str">
        <f>IF(Klantgegevens_B!K476&lt;&gt;"", Klantgegevens_B!K476, IF(Klantgegevens_A!L476&gt;=7, "ja", "nee"))</f>
        <v>ja</v>
      </c>
      <c r="M477" t="str">
        <f>IF(Klantgegevens_B!L476&lt;&gt;"", Klantgegevens_B!L476, IF(Klantgegevens_A!L476&gt;=7, "ja", "nee"))</f>
        <v>nee</v>
      </c>
      <c r="N477" t="str">
        <f>IF(Klantgegevens_B!M476&lt;&gt;"", Klantgegevens_B!M476, IF(Klantgegevens_A!L476&gt;=7, "ja", "nee"))</f>
        <v>ja</v>
      </c>
      <c r="O477" t="str">
        <f>IF(Klantgegevens_B!N476&lt;&gt;"", Klantgegevens_B!N476, IF(Klantgegevens_A!L476&gt;=7, "ja", "nee"))</f>
        <v>ja</v>
      </c>
      <c r="P477" t="str">
        <f>IF(Klantgegevens_B!O476&lt;&gt;"", Klantgegevens_B!O476, IF(Klantgegevens_A!L476&gt;=7, "ja", "nee"))</f>
        <v>Geen dieet</v>
      </c>
      <c r="Q477" t="str">
        <f>IF(Klantgegevens_B!P476&lt;&gt;"", Klantgegevens_B!P476, Klantgegevens_A!M476)</f>
        <v>Geen dieet</v>
      </c>
      <c r="R477" t="str">
        <f>IF(Klantgegevens_B!A476&lt;&gt;"", "B", "A")</f>
        <v>B</v>
      </c>
    </row>
    <row r="478" spans="1:18" x14ac:dyDescent="0.3">
      <c r="A478" t="str">
        <f>IF(Klantgegevens_B!A477&lt;&gt;"", Klantgegevens_B!A477, MID(Klantgegevens_A!A477, FIND(",", Klantgegevens_A!A477)+2, LEN(Klantgegevens_A!A477)))</f>
        <v>Louise</v>
      </c>
      <c r="B478" t="str">
        <f>IF(Klantgegevens_B!B477&lt;&gt;"", Klantgegevens_B!B477, LEFT(Klantgegevens_A!A477, FIND(",", Klantgegevens_A!A477)-1))</f>
        <v>Desmet</v>
      </c>
      <c r="C478" t="str">
        <f t="shared" ca="1" si="7"/>
        <v/>
      </c>
      <c r="D478" t="str">
        <f>IF(Klantgegevens_B!F477&lt;&gt;"", Klantgegevens_B!F477, Klantgegevens_A!D477 &amp; " " &amp; Klantgegevens_A!E477 &amp; ", " &amp; Klantgegevens_A!F477)</f>
        <v>Louise,Steven</v>
      </c>
      <c r="E478">
        <f>IF(Klantgegevens_B!G477&lt;&gt;"", Klantgegevens_B!G477, TEXTJOIN(",", TRUE, REPT("Volwassene,", Klantgegevens_A!G477), REPT("Kind,", Klantgegevens_A!H477)))</f>
        <v>102.71</v>
      </c>
      <c r="F478">
        <f>IF(Klantgegevens_B!G477&lt;&gt;"", LEN(Klantgegevens_B!G477)-LEN(SUBSTITUTE(Klantgegevens_B!G477, ",", ""))+1, Klantgegevens_A!G477)</f>
        <v>1</v>
      </c>
      <c r="G478">
        <f>IF(Klantgegevens_B!G477&lt;&gt;"", 0, Klantgegevens_A!H477)</f>
        <v>0</v>
      </c>
      <c r="H478">
        <f>IF(Klantgegevens_B!H477&lt;&gt;"", Klantgegevens_B!H477, Klantgegevens_A!I477)</f>
        <v>12</v>
      </c>
      <c r="I478" t="str">
        <f>IF(Klantgegevens_B!I477&lt;&gt;"", Klantgegevens_B!I477, SWITCH(Klantgegevens_A!J477, "Zelden", 1, "Af en toe", 4, "Regelmatig", 8, "Vaak", 12))</f>
        <v>Payconiq</v>
      </c>
      <c r="J478" t="str">
        <f>IF(Klantgegevens_B!J477&lt;&gt;"", Klantgegevens_B!J477, Klantgegevens_A!K477)</f>
        <v>ja</v>
      </c>
      <c r="K478">
        <f>IF(Klantgegevens_B!K477&lt;&gt;"", AVERAGE(--(Klantgegevens_B!K477="ja"), --(Klantgegevens_B!L477="ja"), --(Klantgegevens_B!M477="ja"), --(Klantgegevens_B!N477="ja"), --(Klantgegevens_B!O477="ja"))*10, Klantgegevens_A!L477)</f>
        <v>6</v>
      </c>
      <c r="L478" t="str">
        <f>IF(Klantgegevens_B!K477&lt;&gt;"", Klantgegevens_B!K477, IF(Klantgegevens_A!L477&gt;=7, "ja", "nee"))</f>
        <v>nee</v>
      </c>
      <c r="M478" t="str">
        <f>IF(Klantgegevens_B!L477&lt;&gt;"", Klantgegevens_B!L477, IF(Klantgegevens_A!L477&gt;=7, "ja", "nee"))</f>
        <v>ja</v>
      </c>
      <c r="N478" t="str">
        <f>IF(Klantgegevens_B!M477&lt;&gt;"", Klantgegevens_B!M477, IF(Klantgegevens_A!L477&gt;=7, "ja", "nee"))</f>
        <v>ja</v>
      </c>
      <c r="O478" t="str">
        <f>IF(Klantgegevens_B!N477&lt;&gt;"", Klantgegevens_B!N477, IF(Klantgegevens_A!L477&gt;=7, "ja", "nee"))</f>
        <v>ja</v>
      </c>
      <c r="P478" t="str">
        <f>IF(Klantgegevens_B!O477&lt;&gt;"", Klantgegevens_B!O477, IF(Klantgegevens_A!L477&gt;=7, "ja", "nee"))</f>
        <v>Geen dieet</v>
      </c>
      <c r="Q478" t="str">
        <f>IF(Klantgegevens_B!P477&lt;&gt;"", Klantgegevens_B!P477, Klantgegevens_A!M477)</f>
        <v>Veganistisch</v>
      </c>
      <c r="R478" t="str">
        <f>IF(Klantgegevens_B!A477&lt;&gt;"", "B", "A")</f>
        <v>B</v>
      </c>
    </row>
    <row r="479" spans="1:18" x14ac:dyDescent="0.3">
      <c r="A479" t="str">
        <f>IF(Klantgegevens_B!A478&lt;&gt;"", Klantgegevens_B!A478, MID(Klantgegevens_A!A478, FIND(",", Klantgegevens_A!A478)+2, LEN(Klantgegevens_A!A478)))</f>
        <v>Laurent</v>
      </c>
      <c r="B479" t="str">
        <f>IF(Klantgegevens_B!B478&lt;&gt;"", Klantgegevens_B!B478, LEFT(Klantgegevens_A!A478, FIND(",", Klantgegevens_A!A478)-1))</f>
        <v>Gielen</v>
      </c>
      <c r="C479" t="str">
        <f t="shared" ca="1" si="7"/>
        <v/>
      </c>
      <c r="D479" t="str">
        <f>IF(Klantgegevens_B!F478&lt;&gt;"", Klantgegevens_B!F478, Klantgegevens_A!D478 &amp; " " &amp; Klantgegevens_A!E478 &amp; ", " &amp; Klantgegevens_A!F478)</f>
        <v>Laurent,Gerben,Rasha,Thomas,Valerica</v>
      </c>
      <c r="E479">
        <f>IF(Klantgegevens_B!G478&lt;&gt;"", Klantgegevens_B!G478, TEXTJOIN(",", TRUE, REPT("Volwassene,", Klantgegevens_A!G478), REPT("Kind,", Klantgegevens_A!H478)))</f>
        <v>142.38999999999999</v>
      </c>
      <c r="F479">
        <f>IF(Klantgegevens_B!G478&lt;&gt;"", LEN(Klantgegevens_B!G478)-LEN(SUBSTITUTE(Klantgegevens_B!G478, ",", ""))+1, Klantgegevens_A!G478)</f>
        <v>1</v>
      </c>
      <c r="G479">
        <f>IF(Klantgegevens_B!G478&lt;&gt;"", 0, Klantgegevens_A!H478)</f>
        <v>0</v>
      </c>
      <c r="H479">
        <f>IF(Klantgegevens_B!H478&lt;&gt;"", Klantgegevens_B!H478, Klantgegevens_A!I478)</f>
        <v>10</v>
      </c>
      <c r="I479" t="str">
        <f>IF(Klantgegevens_B!I478&lt;&gt;"", Klantgegevens_B!I478, SWITCH(Klantgegevens_A!J478, "Zelden", 1, "Af en toe", 4, "Regelmatig", 8, "Vaak", 12))</f>
        <v>Payconiq</v>
      </c>
      <c r="J479" t="str">
        <f>IF(Klantgegevens_B!J478&lt;&gt;"", Klantgegevens_B!J478, Klantgegevens_A!K478)</f>
        <v>ja</v>
      </c>
      <c r="K479">
        <f>IF(Klantgegevens_B!K478&lt;&gt;"", AVERAGE(--(Klantgegevens_B!K478="ja"), --(Klantgegevens_B!L478="ja"), --(Klantgegevens_B!M478="ja"), --(Klantgegevens_B!N478="ja"), --(Klantgegevens_B!O478="ja"))*10, Klantgegevens_A!L478)</f>
        <v>4</v>
      </c>
      <c r="L479" t="str">
        <f>IF(Klantgegevens_B!K478&lt;&gt;"", Klantgegevens_B!K478, IF(Klantgegevens_A!L478&gt;=7, "ja", "nee"))</f>
        <v>nee</v>
      </c>
      <c r="M479" t="str">
        <f>IF(Klantgegevens_B!L478&lt;&gt;"", Klantgegevens_B!L478, IF(Klantgegevens_A!L478&gt;=7, "ja", "nee"))</f>
        <v>nee</v>
      </c>
      <c r="N479" t="str">
        <f>IF(Klantgegevens_B!M478&lt;&gt;"", Klantgegevens_B!M478, IF(Klantgegevens_A!L478&gt;=7, "ja", "nee"))</f>
        <v>ja</v>
      </c>
      <c r="O479" t="str">
        <f>IF(Klantgegevens_B!N478&lt;&gt;"", Klantgegevens_B!N478, IF(Klantgegevens_A!L478&gt;=7, "ja", "nee"))</f>
        <v>ja</v>
      </c>
      <c r="P479" t="str">
        <f>IF(Klantgegevens_B!O478&lt;&gt;"", Klantgegevens_B!O478, IF(Klantgegevens_A!L478&gt;=7, "ja", "nee"))</f>
        <v>Geen dieet</v>
      </c>
      <c r="Q479" t="str">
        <f>IF(Klantgegevens_B!P478&lt;&gt;"", Klantgegevens_B!P478, Klantgegevens_A!M478)</f>
        <v>Geen dieet</v>
      </c>
      <c r="R479" t="str">
        <f>IF(Klantgegevens_B!A478&lt;&gt;"", "B", "A")</f>
        <v>B</v>
      </c>
    </row>
    <row r="480" spans="1:18" x14ac:dyDescent="0.3">
      <c r="A480" t="str">
        <f>IF(Klantgegevens_B!A479&lt;&gt;"", Klantgegevens_B!A479, MID(Klantgegevens_A!A479, FIND(",", Klantgegevens_A!A479)+2, LEN(Klantgegevens_A!A479)))</f>
        <v>Elien</v>
      </c>
      <c r="B480" t="str">
        <f>IF(Klantgegevens_B!B479&lt;&gt;"", Klantgegevens_B!B479, LEFT(Klantgegevens_A!A479, FIND(",", Klantgegevens_A!A479)-1))</f>
        <v>Goethals</v>
      </c>
      <c r="C480" t="str">
        <f t="shared" ca="1" si="7"/>
        <v/>
      </c>
      <c r="D480" t="str">
        <f>IF(Klantgegevens_B!F479&lt;&gt;"", Klantgegevens_B!F479, Klantgegevens_A!D479 &amp; " " &amp; Klantgegevens_A!E479 &amp; ", " &amp; Klantgegevens_A!F479)</f>
        <v>Elien,Greta</v>
      </c>
      <c r="E480">
        <f>IF(Klantgegevens_B!G479&lt;&gt;"", Klantgegevens_B!G479, TEXTJOIN(",", TRUE, REPT("Volwassene,", Klantgegevens_A!G479), REPT("Kind,", Klantgegevens_A!H479)))</f>
        <v>93.58</v>
      </c>
      <c r="F480">
        <f>IF(Klantgegevens_B!G479&lt;&gt;"", LEN(Klantgegevens_B!G479)-LEN(SUBSTITUTE(Klantgegevens_B!G479, ",", ""))+1, Klantgegevens_A!G479)</f>
        <v>1</v>
      </c>
      <c r="G480">
        <f>IF(Klantgegevens_B!G479&lt;&gt;"", 0, Klantgegevens_A!H479)</f>
        <v>0</v>
      </c>
      <c r="H480">
        <f>IF(Klantgegevens_B!H479&lt;&gt;"", Klantgegevens_B!H479, Klantgegevens_A!I479)</f>
        <v>16</v>
      </c>
      <c r="I480" t="str">
        <f>IF(Klantgegevens_B!I479&lt;&gt;"", Klantgegevens_B!I479, SWITCH(Klantgegevens_A!J479, "Zelden", 1, "Af en toe", 4, "Regelmatig", 8, "Vaak", 12))</f>
        <v>Bancontact</v>
      </c>
      <c r="J480" t="str">
        <f>IF(Klantgegevens_B!J479&lt;&gt;"", Klantgegevens_B!J479, Klantgegevens_A!K479)</f>
        <v>ja</v>
      </c>
      <c r="K480">
        <f>IF(Klantgegevens_B!K479&lt;&gt;"", AVERAGE(--(Klantgegevens_B!K479="ja"), --(Klantgegevens_B!L479="ja"), --(Klantgegevens_B!M479="ja"), --(Klantgegevens_B!N479="ja"), --(Klantgegevens_B!O479="ja"))*10, Klantgegevens_A!L479)</f>
        <v>8</v>
      </c>
      <c r="L480" t="str">
        <f>IF(Klantgegevens_B!K479&lt;&gt;"", Klantgegevens_B!K479, IF(Klantgegevens_A!L479&gt;=7, "ja", "nee"))</f>
        <v>ja</v>
      </c>
      <c r="M480" t="str">
        <f>IF(Klantgegevens_B!L479&lt;&gt;"", Klantgegevens_B!L479, IF(Klantgegevens_A!L479&gt;=7, "ja", "nee"))</f>
        <v>ja</v>
      </c>
      <c r="N480" t="str">
        <f>IF(Klantgegevens_B!M479&lt;&gt;"", Klantgegevens_B!M479, IF(Klantgegevens_A!L479&gt;=7, "ja", "nee"))</f>
        <v>ja</v>
      </c>
      <c r="O480" t="str">
        <f>IF(Klantgegevens_B!N479&lt;&gt;"", Klantgegevens_B!N479, IF(Klantgegevens_A!L479&gt;=7, "ja", "nee"))</f>
        <v>ja</v>
      </c>
      <c r="P480" t="str">
        <f>IF(Klantgegevens_B!O479&lt;&gt;"", Klantgegevens_B!O479, IF(Klantgegevens_A!L479&gt;=7, "ja", "nee"))</f>
        <v>Vegetarisch</v>
      </c>
      <c r="Q480" t="str">
        <f>IF(Klantgegevens_B!P479&lt;&gt;"", Klantgegevens_B!P479, Klantgegevens_A!M479)</f>
        <v>Vegetarisch</v>
      </c>
      <c r="R480" t="str">
        <f>IF(Klantgegevens_B!A479&lt;&gt;"", "B", "A")</f>
        <v>B</v>
      </c>
    </row>
    <row r="481" spans="1:18" x14ac:dyDescent="0.3">
      <c r="A481" t="str">
        <f>IF(Klantgegevens_B!A480&lt;&gt;"", Klantgegevens_B!A480, MID(Klantgegevens_A!A480, FIND(",", Klantgegevens_A!A480)+2, LEN(Klantgegevens_A!A480)))</f>
        <v>Mamadou</v>
      </c>
      <c r="B481" t="str">
        <f>IF(Klantgegevens_B!B480&lt;&gt;"", Klantgegevens_B!B480, LEFT(Klantgegevens_A!A480, FIND(",", Klantgegevens_A!A480)-1))</f>
        <v>Hermans</v>
      </c>
      <c r="C481" t="str">
        <f t="shared" ca="1" si="7"/>
        <v/>
      </c>
      <c r="D481" t="str">
        <f>IF(Klantgegevens_B!F480&lt;&gt;"", Klantgegevens_B!F480, Klantgegevens_A!D480 &amp; " " &amp; Klantgegevens_A!E480 &amp; ", " &amp; Klantgegevens_A!F480)</f>
        <v>Mamadou,Sigrid,Helen</v>
      </c>
      <c r="E481">
        <f>IF(Klantgegevens_B!G480&lt;&gt;"", Klantgegevens_B!G480, TEXTJOIN(",", TRUE, REPT("Volwassene,", Klantgegevens_A!G480), REPT("Kind,", Klantgegevens_A!H480)))</f>
        <v>135.04</v>
      </c>
      <c r="F481">
        <f>IF(Klantgegevens_B!G480&lt;&gt;"", LEN(Klantgegevens_B!G480)-LEN(SUBSTITUTE(Klantgegevens_B!G480, ",", ""))+1, Klantgegevens_A!G480)</f>
        <v>1</v>
      </c>
      <c r="G481">
        <f>IF(Klantgegevens_B!G480&lt;&gt;"", 0, Klantgegevens_A!H480)</f>
        <v>0</v>
      </c>
      <c r="H481">
        <f>IF(Klantgegevens_B!H480&lt;&gt;"", Klantgegevens_B!H480, Klantgegevens_A!I480)</f>
        <v>12</v>
      </c>
      <c r="I481" t="str">
        <f>IF(Klantgegevens_B!I480&lt;&gt;"", Klantgegevens_B!I480, SWITCH(Klantgegevens_A!J480, "Zelden", 1, "Af en toe", 4, "Regelmatig", 8, "Vaak", 12))</f>
        <v>Bancontact</v>
      </c>
      <c r="J481" t="str">
        <f>IF(Klantgegevens_B!J480&lt;&gt;"", Klantgegevens_B!J480, Klantgegevens_A!K480)</f>
        <v>ja</v>
      </c>
      <c r="K481">
        <f>IF(Klantgegevens_B!K480&lt;&gt;"", AVERAGE(--(Klantgegevens_B!K480="ja"), --(Klantgegevens_B!L480="ja"), --(Klantgegevens_B!M480="ja"), --(Klantgegevens_B!N480="ja"), --(Klantgegevens_B!O480="ja"))*10, Klantgegevens_A!L480)</f>
        <v>4</v>
      </c>
      <c r="L481" t="str">
        <f>IF(Klantgegevens_B!K480&lt;&gt;"", Klantgegevens_B!K480, IF(Klantgegevens_A!L480&gt;=7, "ja", "nee"))</f>
        <v>nee</v>
      </c>
      <c r="M481" t="str">
        <f>IF(Klantgegevens_B!L480&lt;&gt;"", Klantgegevens_B!L480, IF(Klantgegevens_A!L480&gt;=7, "ja", "nee"))</f>
        <v>nee</v>
      </c>
      <c r="N481" t="str">
        <f>IF(Klantgegevens_B!M480&lt;&gt;"", Klantgegevens_B!M480, IF(Klantgegevens_A!L480&gt;=7, "ja", "nee"))</f>
        <v>ja</v>
      </c>
      <c r="O481" t="str">
        <f>IF(Klantgegevens_B!N480&lt;&gt;"", Klantgegevens_B!N480, IF(Klantgegevens_A!L480&gt;=7, "ja", "nee"))</f>
        <v>ja</v>
      </c>
      <c r="P481" t="str">
        <f>IF(Klantgegevens_B!O480&lt;&gt;"", Klantgegevens_B!O480, IF(Klantgegevens_A!L480&gt;=7, "ja", "nee"))</f>
        <v>Geen dieet</v>
      </c>
      <c r="Q481" t="str">
        <f>IF(Klantgegevens_B!P480&lt;&gt;"", Klantgegevens_B!P480, Klantgegevens_A!M480)</f>
        <v>Geen dieet</v>
      </c>
      <c r="R481" t="str">
        <f>IF(Klantgegevens_B!A480&lt;&gt;"", "B", "A")</f>
        <v>B</v>
      </c>
    </row>
    <row r="482" spans="1:18" x14ac:dyDescent="0.3">
      <c r="A482" t="str">
        <f>IF(Klantgegevens_B!A481&lt;&gt;"", Klantgegevens_B!A481, MID(Klantgegevens_A!A481, FIND(",", Klantgegevens_A!A481)+2, LEN(Klantgegevens_A!A481)))</f>
        <v>Hermann</v>
      </c>
      <c r="B482" t="str">
        <f>IF(Klantgegevens_B!B481&lt;&gt;"", Klantgegevens_B!B481, LEFT(Klantgegevens_A!A481, FIND(",", Klantgegevens_A!A481)-1))</f>
        <v>De groote</v>
      </c>
      <c r="C482" t="str">
        <f t="shared" ca="1" si="7"/>
        <v/>
      </c>
      <c r="D482" t="str">
        <f>IF(Klantgegevens_B!F481&lt;&gt;"", Klantgegevens_B!F481, Klantgegevens_A!D481 &amp; " " &amp; Klantgegevens_A!E481 &amp; ", " &amp; Klantgegevens_A!F481)</f>
        <v>Hermann,Eléonore</v>
      </c>
      <c r="E482">
        <f>IF(Klantgegevens_B!G481&lt;&gt;"", Klantgegevens_B!G481, TEXTJOIN(",", TRUE, REPT("Volwassene,", Klantgegevens_A!G481), REPT("Kind,", Klantgegevens_A!H481)))</f>
        <v>59.51</v>
      </c>
      <c r="F482">
        <f>IF(Klantgegevens_B!G481&lt;&gt;"", LEN(Klantgegevens_B!G481)-LEN(SUBSTITUTE(Klantgegevens_B!G481, ",", ""))+1, Klantgegevens_A!G481)</f>
        <v>1</v>
      </c>
      <c r="G482">
        <f>IF(Klantgegevens_B!G481&lt;&gt;"", 0, Klantgegevens_A!H481)</f>
        <v>0</v>
      </c>
      <c r="H482">
        <f>IF(Klantgegevens_B!H481&lt;&gt;"", Klantgegevens_B!H481, Klantgegevens_A!I481)</f>
        <v>17</v>
      </c>
      <c r="I482" t="str">
        <f>IF(Klantgegevens_B!I481&lt;&gt;"", Klantgegevens_B!I481, SWITCH(Klantgegevens_A!J481, "Zelden", 1, "Af en toe", 4, "Regelmatig", 8, "Vaak", 12))</f>
        <v>Payconiq</v>
      </c>
      <c r="J482" t="str">
        <f>IF(Klantgegevens_B!J481&lt;&gt;"", Klantgegevens_B!J481, Klantgegevens_A!K481)</f>
        <v>nee</v>
      </c>
      <c r="K482">
        <f>IF(Klantgegevens_B!K481&lt;&gt;"", AVERAGE(--(Klantgegevens_B!K481="ja"), --(Klantgegevens_B!L481="ja"), --(Klantgegevens_B!M481="ja"), --(Klantgegevens_B!N481="ja"), --(Klantgegevens_B!O481="ja"))*10, Klantgegevens_A!L481)</f>
        <v>8</v>
      </c>
      <c r="L482" t="str">
        <f>IF(Klantgegevens_B!K481&lt;&gt;"", Klantgegevens_B!K481, IF(Klantgegevens_A!L481&gt;=7, "ja", "nee"))</f>
        <v>ja</v>
      </c>
      <c r="M482" t="str">
        <f>IF(Klantgegevens_B!L481&lt;&gt;"", Klantgegevens_B!L481, IF(Klantgegevens_A!L481&gt;=7, "ja", "nee"))</f>
        <v>ja</v>
      </c>
      <c r="N482" t="str">
        <f>IF(Klantgegevens_B!M481&lt;&gt;"", Klantgegevens_B!M481, IF(Klantgegevens_A!L481&gt;=7, "ja", "nee"))</f>
        <v>ja</v>
      </c>
      <c r="O482" t="str">
        <f>IF(Klantgegevens_B!N481&lt;&gt;"", Klantgegevens_B!N481, IF(Klantgegevens_A!L481&gt;=7, "ja", "nee"))</f>
        <v>ja</v>
      </c>
      <c r="P482" t="str">
        <f>IF(Klantgegevens_B!O481&lt;&gt;"", Klantgegevens_B!O481, IF(Klantgegevens_A!L481&gt;=7, "ja", "nee"))</f>
        <v>Geen dieet</v>
      </c>
      <c r="Q482" t="str">
        <f>IF(Klantgegevens_B!P481&lt;&gt;"", Klantgegevens_B!P481, Klantgegevens_A!M481)</f>
        <v>Geen dieet</v>
      </c>
      <c r="R482" t="str">
        <f>IF(Klantgegevens_B!A481&lt;&gt;"", "B", "A")</f>
        <v>B</v>
      </c>
    </row>
    <row r="483" spans="1:18" x14ac:dyDescent="0.3">
      <c r="A483" t="str">
        <f>IF(Klantgegevens_B!A482&lt;&gt;"", Klantgegevens_B!A482, MID(Klantgegevens_A!A482, FIND(",", Klantgegevens_A!A482)+2, LEN(Klantgegevens_A!A482)))</f>
        <v>Camille</v>
      </c>
      <c r="B483" t="str">
        <f>IF(Klantgegevens_B!B482&lt;&gt;"", Klantgegevens_B!B482, LEFT(Klantgegevens_A!A482, FIND(",", Klantgegevens_A!A482)-1))</f>
        <v>Henry</v>
      </c>
      <c r="C483" t="str">
        <f t="shared" ca="1" si="7"/>
        <v/>
      </c>
      <c r="D483" t="str">
        <f>IF(Klantgegevens_B!F482&lt;&gt;"", Klantgegevens_B!F482, Klantgegevens_A!D482 &amp; " " &amp; Klantgegevens_A!E482 &amp; ", " &amp; Klantgegevens_A!F482)</f>
        <v>Camille,Nour,Josette,Sarah,Liesl</v>
      </c>
      <c r="E483">
        <f>IF(Klantgegevens_B!G482&lt;&gt;"", Klantgegevens_B!G482, TEXTJOIN(",", TRUE, REPT("Volwassene,", Klantgegevens_A!G482), REPT("Kind,", Klantgegevens_A!H482)))</f>
        <v>178.61</v>
      </c>
      <c r="F483">
        <f>IF(Klantgegevens_B!G482&lt;&gt;"", LEN(Klantgegevens_B!G482)-LEN(SUBSTITUTE(Klantgegevens_B!G482, ",", ""))+1, Klantgegevens_A!G482)</f>
        <v>1</v>
      </c>
      <c r="G483">
        <f>IF(Klantgegevens_B!G482&lt;&gt;"", 0, Klantgegevens_A!H482)</f>
        <v>0</v>
      </c>
      <c r="H483">
        <f>IF(Klantgegevens_B!H482&lt;&gt;"", Klantgegevens_B!H482, Klantgegevens_A!I482)</f>
        <v>12</v>
      </c>
      <c r="I483" t="str">
        <f>IF(Klantgegevens_B!I482&lt;&gt;"", Klantgegevens_B!I482, SWITCH(Klantgegevens_A!J482, "Zelden", 1, "Af en toe", 4, "Regelmatig", 8, "Vaak", 12))</f>
        <v>Payconiq</v>
      </c>
      <c r="J483" t="str">
        <f>IF(Klantgegevens_B!J482&lt;&gt;"", Klantgegevens_B!J482, Klantgegevens_A!K482)</f>
        <v>ja</v>
      </c>
      <c r="K483">
        <f>IF(Klantgegevens_B!K482&lt;&gt;"", AVERAGE(--(Klantgegevens_B!K482="ja"), --(Klantgegevens_B!L482="ja"), --(Klantgegevens_B!M482="ja"), --(Klantgegevens_B!N482="ja"), --(Klantgegevens_B!O482="ja"))*10, Klantgegevens_A!L482)</f>
        <v>6</v>
      </c>
      <c r="L483" t="str">
        <f>IF(Klantgegevens_B!K482&lt;&gt;"", Klantgegevens_B!K482, IF(Klantgegevens_A!L482&gt;=7, "ja", "nee"))</f>
        <v>ja</v>
      </c>
      <c r="M483" t="str">
        <f>IF(Klantgegevens_B!L482&lt;&gt;"", Klantgegevens_B!L482, IF(Klantgegevens_A!L482&gt;=7, "ja", "nee"))</f>
        <v>nee</v>
      </c>
      <c r="N483" t="str">
        <f>IF(Klantgegevens_B!M482&lt;&gt;"", Klantgegevens_B!M482, IF(Klantgegevens_A!L482&gt;=7, "ja", "nee"))</f>
        <v>ja</v>
      </c>
      <c r="O483" t="str">
        <f>IF(Klantgegevens_B!N482&lt;&gt;"", Klantgegevens_B!N482, IF(Klantgegevens_A!L482&gt;=7, "ja", "nee"))</f>
        <v>ja</v>
      </c>
      <c r="P483" t="str">
        <f>IF(Klantgegevens_B!O482&lt;&gt;"", Klantgegevens_B!O482, IF(Klantgegevens_A!L482&gt;=7, "ja", "nee"))</f>
        <v>Geen dieet</v>
      </c>
      <c r="Q483" t="str">
        <f>IF(Klantgegevens_B!P482&lt;&gt;"", Klantgegevens_B!P482, Klantgegevens_A!M482)</f>
        <v>Geen dieet</v>
      </c>
      <c r="R483" t="str">
        <f>IF(Klantgegevens_B!A482&lt;&gt;"", "B", "A")</f>
        <v>B</v>
      </c>
    </row>
    <row r="484" spans="1:18" x14ac:dyDescent="0.3">
      <c r="A484" t="str">
        <f>IF(Klantgegevens_B!A483&lt;&gt;"", Klantgegevens_B!A483, MID(Klantgegevens_A!A483, FIND(",", Klantgegevens_A!A483)+2, LEN(Klantgegevens_A!A483)))</f>
        <v>Therese</v>
      </c>
      <c r="B484" t="str">
        <f>IF(Klantgegevens_B!B483&lt;&gt;"", Klantgegevens_B!B483, LEFT(Klantgegevens_A!A483, FIND(",", Klantgegevens_A!A483)-1))</f>
        <v>Mertens</v>
      </c>
      <c r="C484" t="str">
        <f t="shared" ca="1" si="7"/>
        <v/>
      </c>
      <c r="D484" t="str">
        <f>IF(Klantgegevens_B!F483&lt;&gt;"", Klantgegevens_B!F483, Klantgegevens_A!D483 &amp; " " &amp; Klantgegevens_A!E483 &amp; ", " &amp; Klantgegevens_A!F483)</f>
        <v>Therese,Nadine,Roland,Herman,Myriam</v>
      </c>
      <c r="E484">
        <f>IF(Klantgegevens_B!G483&lt;&gt;"", Klantgegevens_B!G483, TEXTJOIN(",", TRUE, REPT("Volwassene,", Klantgegevens_A!G483), REPT("Kind,", Klantgegevens_A!H483)))</f>
        <v>165.43</v>
      </c>
      <c r="F484">
        <f>IF(Klantgegevens_B!G483&lt;&gt;"", LEN(Klantgegevens_B!G483)-LEN(SUBSTITUTE(Klantgegevens_B!G483, ",", ""))+1, Klantgegevens_A!G483)</f>
        <v>1</v>
      </c>
      <c r="G484">
        <f>IF(Klantgegevens_B!G483&lt;&gt;"", 0, Klantgegevens_A!H483)</f>
        <v>0</v>
      </c>
      <c r="H484">
        <f>IF(Klantgegevens_B!H483&lt;&gt;"", Klantgegevens_B!H483, Klantgegevens_A!I483)</f>
        <v>8</v>
      </c>
      <c r="I484" t="str">
        <f>IF(Klantgegevens_B!I483&lt;&gt;"", Klantgegevens_B!I483, SWITCH(Klantgegevens_A!J483, "Zelden", 1, "Af en toe", 4, "Regelmatig", 8, "Vaak", 12))</f>
        <v>Bancontact</v>
      </c>
      <c r="J484" t="str">
        <f>IF(Klantgegevens_B!J483&lt;&gt;"", Klantgegevens_B!J483, Klantgegevens_A!K483)</f>
        <v>nee</v>
      </c>
      <c r="K484">
        <f>IF(Klantgegevens_B!K483&lt;&gt;"", AVERAGE(--(Klantgegevens_B!K483="ja"), --(Klantgegevens_B!L483="ja"), --(Klantgegevens_B!M483="ja"), --(Klantgegevens_B!N483="ja"), --(Klantgegevens_B!O483="ja"))*10, Klantgegevens_A!L483)</f>
        <v>6</v>
      </c>
      <c r="L484" t="str">
        <f>IF(Klantgegevens_B!K483&lt;&gt;"", Klantgegevens_B!K483, IF(Klantgegevens_A!L483&gt;=7, "ja", "nee"))</f>
        <v>ja</v>
      </c>
      <c r="M484" t="str">
        <f>IF(Klantgegevens_B!L483&lt;&gt;"", Klantgegevens_B!L483, IF(Klantgegevens_A!L483&gt;=7, "ja", "nee"))</f>
        <v>ja</v>
      </c>
      <c r="N484" t="str">
        <f>IF(Klantgegevens_B!M483&lt;&gt;"", Klantgegevens_B!M483, IF(Klantgegevens_A!L483&gt;=7, "ja", "nee"))</f>
        <v>nee</v>
      </c>
      <c r="O484" t="str">
        <f>IF(Klantgegevens_B!N483&lt;&gt;"", Klantgegevens_B!N483, IF(Klantgegevens_A!L483&gt;=7, "ja", "nee"))</f>
        <v>ja</v>
      </c>
      <c r="P484" t="str">
        <f>IF(Klantgegevens_B!O483&lt;&gt;"", Klantgegevens_B!O483, IF(Klantgegevens_A!L483&gt;=7, "ja", "nee"))</f>
        <v>Geen dieet</v>
      </c>
      <c r="Q484" t="str">
        <f>IF(Klantgegevens_B!P483&lt;&gt;"", Klantgegevens_B!P483, Klantgegevens_A!M483)</f>
        <v>Geen dieet</v>
      </c>
      <c r="R484" t="str">
        <f>IF(Klantgegevens_B!A483&lt;&gt;"", "B", "A")</f>
        <v>B</v>
      </c>
    </row>
    <row r="485" spans="1:18" x14ac:dyDescent="0.3">
      <c r="A485" t="str">
        <f>IF(Klantgegevens_B!A484&lt;&gt;"", Klantgegevens_B!A484, MID(Klantgegevens_A!A484, FIND(",", Klantgegevens_A!A484)+2, LEN(Klantgegevens_A!A484)))</f>
        <v>Bernard</v>
      </c>
      <c r="B485" t="str">
        <f>IF(Klantgegevens_B!B484&lt;&gt;"", Klantgegevens_B!B484, LEFT(Klantgegevens_A!A484, FIND(",", Klantgegevens_A!A484)-1))</f>
        <v>Lebrun</v>
      </c>
      <c r="C485" t="str">
        <f t="shared" ca="1" si="7"/>
        <v/>
      </c>
      <c r="D485" t="str">
        <f>IF(Klantgegevens_B!F484&lt;&gt;"", Klantgegevens_B!F484, Klantgegevens_A!D484 &amp; " " &amp; Klantgegevens_A!E484 &amp; ", " &amp; Klantgegevens_A!F484)</f>
        <v>Bernard,Kobe</v>
      </c>
      <c r="E485">
        <f>IF(Klantgegevens_B!G484&lt;&gt;"", Klantgegevens_B!G484, TEXTJOIN(",", TRUE, REPT("Volwassene,", Klantgegevens_A!G484), REPT("Kind,", Klantgegevens_A!H484)))</f>
        <v>20.079999999999998</v>
      </c>
      <c r="F485">
        <f>IF(Klantgegevens_B!G484&lt;&gt;"", LEN(Klantgegevens_B!G484)-LEN(SUBSTITUTE(Klantgegevens_B!G484, ",", ""))+1, Klantgegevens_A!G484)</f>
        <v>1</v>
      </c>
      <c r="G485">
        <f>IF(Klantgegevens_B!G484&lt;&gt;"", 0, Klantgegevens_A!H484)</f>
        <v>0</v>
      </c>
      <c r="H485">
        <f>IF(Klantgegevens_B!H484&lt;&gt;"", Klantgegevens_B!H484, Klantgegevens_A!I484)</f>
        <v>7</v>
      </c>
      <c r="I485" t="str">
        <f>IF(Klantgegevens_B!I484&lt;&gt;"", Klantgegevens_B!I484, SWITCH(Klantgegevens_A!J484, "Zelden", 1, "Af en toe", 4, "Regelmatig", 8, "Vaak", 12))</f>
        <v>Payconiq</v>
      </c>
      <c r="J485" t="str">
        <f>IF(Klantgegevens_B!J484&lt;&gt;"", Klantgegevens_B!J484, Klantgegevens_A!K484)</f>
        <v>nee</v>
      </c>
      <c r="K485">
        <f>IF(Klantgegevens_B!K484&lt;&gt;"", AVERAGE(--(Klantgegevens_B!K484="ja"), --(Klantgegevens_B!L484="ja"), --(Klantgegevens_B!M484="ja"), --(Klantgegevens_B!N484="ja"), --(Klantgegevens_B!O484="ja"))*10, Klantgegevens_A!L484)</f>
        <v>4</v>
      </c>
      <c r="L485" t="str">
        <f>IF(Klantgegevens_B!K484&lt;&gt;"", Klantgegevens_B!K484, IF(Klantgegevens_A!L484&gt;=7, "ja", "nee"))</f>
        <v>ja</v>
      </c>
      <c r="M485" t="str">
        <f>IF(Klantgegevens_B!L484&lt;&gt;"", Klantgegevens_B!L484, IF(Klantgegevens_A!L484&gt;=7, "ja", "nee"))</f>
        <v>nee</v>
      </c>
      <c r="N485" t="str">
        <f>IF(Klantgegevens_B!M484&lt;&gt;"", Klantgegevens_B!M484, IF(Klantgegevens_A!L484&gt;=7, "ja", "nee"))</f>
        <v>ja</v>
      </c>
      <c r="O485" t="str">
        <f>IF(Klantgegevens_B!N484&lt;&gt;"", Klantgegevens_B!N484, IF(Klantgegevens_A!L484&gt;=7, "ja", "nee"))</f>
        <v>nee</v>
      </c>
      <c r="P485" t="str">
        <f>IF(Klantgegevens_B!O484&lt;&gt;"", Klantgegevens_B!O484, IF(Klantgegevens_A!L484&gt;=7, "ja", "nee"))</f>
        <v>Geen dieet</v>
      </c>
      <c r="Q485" t="str">
        <f>IF(Klantgegevens_B!P484&lt;&gt;"", Klantgegevens_B!P484, Klantgegevens_A!M484)</f>
        <v>Geen dieet</v>
      </c>
      <c r="R485" t="str">
        <f>IF(Klantgegevens_B!A484&lt;&gt;"", "B", "A")</f>
        <v>B</v>
      </c>
    </row>
    <row r="486" spans="1:18" x14ac:dyDescent="0.3">
      <c r="A486" t="str">
        <f>IF(Klantgegevens_B!A485&lt;&gt;"", Klantgegevens_B!A485, MID(Klantgegevens_A!A485, FIND(",", Klantgegevens_A!A485)+2, LEN(Klantgegevens_A!A485)))</f>
        <v>Liya</v>
      </c>
      <c r="B486" t="str">
        <f>IF(Klantgegevens_B!B485&lt;&gt;"", Klantgegevens_B!B485, LEFT(Klantgegevens_A!A485, FIND(",", Klantgegevens_A!A485)-1))</f>
        <v>Vermeersch</v>
      </c>
      <c r="C486" t="str">
        <f t="shared" ca="1" si="7"/>
        <v/>
      </c>
      <c r="D486" t="str">
        <f>IF(Klantgegevens_B!F485&lt;&gt;"", Klantgegevens_B!F485, Klantgegevens_A!D485 &amp; " " &amp; Klantgegevens_A!E485 &amp; ", " &amp; Klantgegevens_A!F485)</f>
        <v>Liya,Looka,Ria,Dani</v>
      </c>
      <c r="E486">
        <f>IF(Klantgegevens_B!G485&lt;&gt;"", Klantgegevens_B!G485, TEXTJOIN(",", TRUE, REPT("Volwassene,", Klantgegevens_A!G485), REPT("Kind,", Klantgegevens_A!H485)))</f>
        <v>130.55000000000001</v>
      </c>
      <c r="F486">
        <f>IF(Klantgegevens_B!G485&lt;&gt;"", LEN(Klantgegevens_B!G485)-LEN(SUBSTITUTE(Klantgegevens_B!G485, ",", ""))+1, Klantgegevens_A!G485)</f>
        <v>1</v>
      </c>
      <c r="G486">
        <f>IF(Klantgegevens_B!G485&lt;&gt;"", 0, Klantgegevens_A!H485)</f>
        <v>0</v>
      </c>
      <c r="H486">
        <f>IF(Klantgegevens_B!H485&lt;&gt;"", Klantgegevens_B!H485, Klantgegevens_A!I485)</f>
        <v>32</v>
      </c>
      <c r="I486" t="str">
        <f>IF(Klantgegevens_B!I485&lt;&gt;"", Klantgegevens_B!I485, SWITCH(Klantgegevens_A!J485, "Zelden", 1, "Af en toe", 4, "Regelmatig", 8, "Vaak", 12))</f>
        <v>Cash</v>
      </c>
      <c r="J486" t="str">
        <f>IF(Klantgegevens_B!J485&lt;&gt;"", Klantgegevens_B!J485, Klantgegevens_A!K485)</f>
        <v>nee</v>
      </c>
      <c r="K486">
        <f>IF(Klantgegevens_B!K485&lt;&gt;"", AVERAGE(--(Klantgegevens_B!K485="ja"), --(Klantgegevens_B!L485="ja"), --(Klantgegevens_B!M485="ja"), --(Klantgegevens_B!N485="ja"), --(Klantgegevens_B!O485="ja"))*10, Klantgegevens_A!L485)</f>
        <v>4</v>
      </c>
      <c r="L486" t="str">
        <f>IF(Klantgegevens_B!K485&lt;&gt;"", Klantgegevens_B!K485, IF(Klantgegevens_A!L485&gt;=7, "ja", "nee"))</f>
        <v>ja</v>
      </c>
      <c r="M486" t="str">
        <f>IF(Klantgegevens_B!L485&lt;&gt;"", Klantgegevens_B!L485, IF(Klantgegevens_A!L485&gt;=7, "ja", "nee"))</f>
        <v>ja</v>
      </c>
      <c r="N486" t="str">
        <f>IF(Klantgegevens_B!M485&lt;&gt;"", Klantgegevens_B!M485, IF(Klantgegevens_A!L485&gt;=7, "ja", "nee"))</f>
        <v>nee</v>
      </c>
      <c r="O486" t="str">
        <f>IF(Klantgegevens_B!N485&lt;&gt;"", Klantgegevens_B!N485, IF(Klantgegevens_A!L485&gt;=7, "ja", "nee"))</f>
        <v>nee</v>
      </c>
      <c r="P486" t="str">
        <f>IF(Klantgegevens_B!O485&lt;&gt;"", Klantgegevens_B!O485, IF(Klantgegevens_A!L485&gt;=7, "ja", "nee"))</f>
        <v>Geen dieet</v>
      </c>
      <c r="Q486" t="str">
        <f>IF(Klantgegevens_B!P485&lt;&gt;"", Klantgegevens_B!P485, Klantgegevens_A!M485)</f>
        <v>Geen dieet</v>
      </c>
      <c r="R486" t="str">
        <f>IF(Klantgegevens_B!A485&lt;&gt;"", "B", "A")</f>
        <v>B</v>
      </c>
    </row>
    <row r="487" spans="1:18" x14ac:dyDescent="0.3">
      <c r="A487" t="str">
        <f>IF(Klantgegevens_B!A486&lt;&gt;"", Klantgegevens_B!A486, MID(Klantgegevens_A!A486, FIND(",", Klantgegevens_A!A486)+2, LEN(Klantgegevens_A!A486)))</f>
        <v>Parveen</v>
      </c>
      <c r="B487" t="str">
        <f>IF(Klantgegevens_B!B486&lt;&gt;"", Klantgegevens_B!B486, LEFT(Klantgegevens_A!A486, FIND(",", Klantgegevens_A!A486)-1))</f>
        <v>Wouters</v>
      </c>
      <c r="C487" t="str">
        <f t="shared" ca="1" si="7"/>
        <v/>
      </c>
      <c r="D487" t="str">
        <f>IF(Klantgegevens_B!F486&lt;&gt;"", Klantgegevens_B!F486, Klantgegevens_A!D486 &amp; " " &amp; Klantgegevens_A!E486 &amp; ", " &amp; Klantgegevens_A!F486)</f>
        <v>Parveen,Jacques,Salaheddine,Renelde,Louis</v>
      </c>
      <c r="E487">
        <f>IF(Klantgegevens_B!G486&lt;&gt;"", Klantgegevens_B!G486, TEXTJOIN(",", TRUE, REPT("Volwassene,", Klantgegevens_A!G486), REPT("Kind,", Klantgegevens_A!H486)))</f>
        <v>150.09</v>
      </c>
      <c r="F487">
        <f>IF(Klantgegevens_B!G486&lt;&gt;"", LEN(Klantgegevens_B!G486)-LEN(SUBSTITUTE(Klantgegevens_B!G486, ",", ""))+1, Klantgegevens_A!G486)</f>
        <v>1</v>
      </c>
      <c r="G487">
        <f>IF(Klantgegevens_B!G486&lt;&gt;"", 0, Klantgegevens_A!H486)</f>
        <v>0</v>
      </c>
      <c r="H487">
        <f>IF(Klantgegevens_B!H486&lt;&gt;"", Klantgegevens_B!H486, Klantgegevens_A!I486)</f>
        <v>14</v>
      </c>
      <c r="I487" t="str">
        <f>IF(Klantgegevens_B!I486&lt;&gt;"", Klantgegevens_B!I486, SWITCH(Klantgegevens_A!J486, "Zelden", 1, "Af en toe", 4, "Regelmatig", 8, "Vaak", 12))</f>
        <v>Cash</v>
      </c>
      <c r="J487" t="str">
        <f>IF(Klantgegevens_B!J486&lt;&gt;"", Klantgegevens_B!J486, Klantgegevens_A!K486)</f>
        <v>nee</v>
      </c>
      <c r="K487">
        <f>IF(Klantgegevens_B!K486&lt;&gt;"", AVERAGE(--(Klantgegevens_B!K486="ja"), --(Klantgegevens_B!L486="ja"), --(Klantgegevens_B!M486="ja"), --(Klantgegevens_B!N486="ja"), --(Klantgegevens_B!O486="ja"))*10, Klantgegevens_A!L486)</f>
        <v>4</v>
      </c>
      <c r="L487" t="str">
        <f>IF(Klantgegevens_B!K486&lt;&gt;"", Klantgegevens_B!K486, IF(Klantgegevens_A!L486&gt;=7, "ja", "nee"))</f>
        <v>nee</v>
      </c>
      <c r="M487" t="str">
        <f>IF(Klantgegevens_B!L486&lt;&gt;"", Klantgegevens_B!L486, IF(Klantgegevens_A!L486&gt;=7, "ja", "nee"))</f>
        <v>nee</v>
      </c>
      <c r="N487" t="str">
        <f>IF(Klantgegevens_B!M486&lt;&gt;"", Klantgegevens_B!M486, IF(Klantgegevens_A!L486&gt;=7, "ja", "nee"))</f>
        <v>ja</v>
      </c>
      <c r="O487" t="str">
        <f>IF(Klantgegevens_B!N486&lt;&gt;"", Klantgegevens_B!N486, IF(Klantgegevens_A!L486&gt;=7, "ja", "nee"))</f>
        <v>ja</v>
      </c>
      <c r="P487" t="str">
        <f>IF(Klantgegevens_B!O486&lt;&gt;"", Klantgegevens_B!O486, IF(Klantgegevens_A!L486&gt;=7, "ja", "nee"))</f>
        <v>Geen dieet</v>
      </c>
      <c r="Q487" t="str">
        <f>IF(Klantgegevens_B!P486&lt;&gt;"", Klantgegevens_B!P486, Klantgegevens_A!M486)</f>
        <v>Veganistisch</v>
      </c>
      <c r="R487" t="str">
        <f>IF(Klantgegevens_B!A486&lt;&gt;"", "B", "A")</f>
        <v>B</v>
      </c>
    </row>
    <row r="488" spans="1:18" x14ac:dyDescent="0.3">
      <c r="A488" t="str">
        <f>IF(Klantgegevens_B!A487&lt;&gt;"", Klantgegevens_B!A487, MID(Klantgegevens_A!A487, FIND(",", Klantgegevens_A!A487)+2, LEN(Klantgegevens_A!A487)))</f>
        <v>Hilda</v>
      </c>
      <c r="B488" t="str">
        <f>IF(Klantgegevens_B!B487&lt;&gt;"", Klantgegevens_B!B487, LEFT(Klantgegevens_A!A487, FIND(",", Klantgegevens_A!A487)-1))</f>
        <v>Leonard</v>
      </c>
      <c r="C488" t="str">
        <f t="shared" ca="1" si="7"/>
        <v/>
      </c>
      <c r="D488" t="str">
        <f>IF(Klantgegevens_B!F487&lt;&gt;"", Klantgegevens_B!F487, Klantgegevens_A!D487 &amp; " " &amp; Klantgegevens_A!E487 &amp; ", " &amp; Klantgegevens_A!F487)</f>
        <v>Hilda,Eden,Georges</v>
      </c>
      <c r="E488">
        <f>IF(Klantgegevens_B!G487&lt;&gt;"", Klantgegevens_B!G487, TEXTJOIN(",", TRUE, REPT("Volwassene,", Klantgegevens_A!G487), REPT("Kind,", Klantgegevens_A!H487)))</f>
        <v>114.28</v>
      </c>
      <c r="F488">
        <f>IF(Klantgegevens_B!G487&lt;&gt;"", LEN(Klantgegevens_B!G487)-LEN(SUBSTITUTE(Klantgegevens_B!G487, ",", ""))+1, Klantgegevens_A!G487)</f>
        <v>1</v>
      </c>
      <c r="G488">
        <f>IF(Klantgegevens_B!G487&lt;&gt;"", 0, Klantgegevens_A!H487)</f>
        <v>0</v>
      </c>
      <c r="H488">
        <f>IF(Klantgegevens_B!H487&lt;&gt;"", Klantgegevens_B!H487, Klantgegevens_A!I487)</f>
        <v>11</v>
      </c>
      <c r="I488" t="str">
        <f>IF(Klantgegevens_B!I487&lt;&gt;"", Klantgegevens_B!I487, SWITCH(Klantgegevens_A!J487, "Zelden", 1, "Af en toe", 4, "Regelmatig", 8, "Vaak", 12))</f>
        <v>Payconiq</v>
      </c>
      <c r="J488" t="str">
        <f>IF(Klantgegevens_B!J487&lt;&gt;"", Klantgegevens_B!J487, Klantgegevens_A!K487)</f>
        <v>nee</v>
      </c>
      <c r="K488">
        <f>IF(Klantgegevens_B!K487&lt;&gt;"", AVERAGE(--(Klantgegevens_B!K487="ja"), --(Klantgegevens_B!L487="ja"), --(Klantgegevens_B!M487="ja"), --(Klantgegevens_B!N487="ja"), --(Klantgegevens_B!O487="ja"))*10, Klantgegevens_A!L487)</f>
        <v>2</v>
      </c>
      <c r="L488" t="str">
        <f>IF(Klantgegevens_B!K487&lt;&gt;"", Klantgegevens_B!K487, IF(Klantgegevens_A!L487&gt;=7, "ja", "nee"))</f>
        <v>nee</v>
      </c>
      <c r="M488" t="str">
        <f>IF(Klantgegevens_B!L487&lt;&gt;"", Klantgegevens_B!L487, IF(Klantgegevens_A!L487&gt;=7, "ja", "nee"))</f>
        <v>ja</v>
      </c>
      <c r="N488" t="str">
        <f>IF(Klantgegevens_B!M487&lt;&gt;"", Klantgegevens_B!M487, IF(Klantgegevens_A!L487&gt;=7, "ja", "nee"))</f>
        <v>nee</v>
      </c>
      <c r="O488" t="str">
        <f>IF(Klantgegevens_B!N487&lt;&gt;"", Klantgegevens_B!N487, IF(Klantgegevens_A!L487&gt;=7, "ja", "nee"))</f>
        <v>nee</v>
      </c>
      <c r="P488" t="str">
        <f>IF(Klantgegevens_B!O487&lt;&gt;"", Klantgegevens_B!O487, IF(Klantgegevens_A!L487&gt;=7, "ja", "nee"))</f>
        <v>Geen dieet</v>
      </c>
      <c r="Q488" t="str">
        <f>IF(Klantgegevens_B!P487&lt;&gt;"", Klantgegevens_B!P487, Klantgegevens_A!M487)</f>
        <v>Geen dieet</v>
      </c>
      <c r="R488" t="str">
        <f>IF(Klantgegevens_B!A487&lt;&gt;"", "B", "A")</f>
        <v>B</v>
      </c>
    </row>
    <row r="489" spans="1:18" x14ac:dyDescent="0.3">
      <c r="A489" t="str">
        <f>IF(Klantgegevens_B!A488&lt;&gt;"", Klantgegevens_B!A488, MID(Klantgegevens_A!A488, FIND(",", Klantgegevens_A!A488)+2, LEN(Klantgegevens_A!A488)))</f>
        <v>Jonathan</v>
      </c>
      <c r="B489" t="str">
        <f>IF(Klantgegevens_B!B488&lt;&gt;"", Klantgegevens_B!B488, LEFT(Klantgegevens_A!A488, FIND(",", Klantgegevens_A!A488)-1))</f>
        <v>Merckx</v>
      </c>
      <c r="C489" t="str">
        <f t="shared" ca="1" si="7"/>
        <v/>
      </c>
      <c r="D489" t="str">
        <f>IF(Klantgegevens_B!F488&lt;&gt;"", Klantgegevens_B!F488, Klantgegevens_A!D488 &amp; " " &amp; Klantgegevens_A!E488 &amp; ", " &amp; Klantgegevens_A!F488)</f>
        <v>Jonathan,Jeremy,Patricia,Amber</v>
      </c>
      <c r="E489">
        <f>IF(Klantgegevens_B!G488&lt;&gt;"", Klantgegevens_B!G488, TEXTJOIN(",", TRUE, REPT("Volwassene,", Klantgegevens_A!G488), REPT("Kind,", Klantgegevens_A!H488)))</f>
        <v>159.79</v>
      </c>
      <c r="F489">
        <f>IF(Klantgegevens_B!G488&lt;&gt;"", LEN(Klantgegevens_B!G488)-LEN(SUBSTITUTE(Klantgegevens_B!G488, ",", ""))+1, Klantgegevens_A!G488)</f>
        <v>1</v>
      </c>
      <c r="G489">
        <f>IF(Klantgegevens_B!G488&lt;&gt;"", 0, Klantgegevens_A!H488)</f>
        <v>0</v>
      </c>
      <c r="H489">
        <f>IF(Klantgegevens_B!H488&lt;&gt;"", Klantgegevens_B!H488, Klantgegevens_A!I488)</f>
        <v>4</v>
      </c>
      <c r="I489" t="str">
        <f>IF(Klantgegevens_B!I488&lt;&gt;"", Klantgegevens_B!I488, SWITCH(Klantgegevens_A!J488, "Zelden", 1, "Af en toe", 4, "Regelmatig", 8, "Vaak", 12))</f>
        <v>Payconiq</v>
      </c>
      <c r="J489" t="str">
        <f>IF(Klantgegevens_B!J488&lt;&gt;"", Klantgegevens_B!J488, Klantgegevens_A!K488)</f>
        <v>nee</v>
      </c>
      <c r="K489">
        <f>IF(Klantgegevens_B!K488&lt;&gt;"", AVERAGE(--(Klantgegevens_B!K488="ja"), --(Klantgegevens_B!L488="ja"), --(Klantgegevens_B!M488="ja"), --(Klantgegevens_B!N488="ja"), --(Klantgegevens_B!O488="ja"))*10, Klantgegevens_A!L488)</f>
        <v>2</v>
      </c>
      <c r="L489" t="str">
        <f>IF(Klantgegevens_B!K488&lt;&gt;"", Klantgegevens_B!K488, IF(Klantgegevens_A!L488&gt;=7, "ja", "nee"))</f>
        <v>nee</v>
      </c>
      <c r="M489" t="str">
        <f>IF(Klantgegevens_B!L488&lt;&gt;"", Klantgegevens_B!L488, IF(Klantgegevens_A!L488&gt;=7, "ja", "nee"))</f>
        <v>ja</v>
      </c>
      <c r="N489" t="str">
        <f>IF(Klantgegevens_B!M488&lt;&gt;"", Klantgegevens_B!M488, IF(Klantgegevens_A!L488&gt;=7, "ja", "nee"))</f>
        <v>nee</v>
      </c>
      <c r="O489" t="str">
        <f>IF(Klantgegevens_B!N488&lt;&gt;"", Klantgegevens_B!N488, IF(Klantgegevens_A!L488&gt;=7, "ja", "nee"))</f>
        <v>nee</v>
      </c>
      <c r="P489" t="str">
        <f>IF(Klantgegevens_B!O488&lt;&gt;"", Klantgegevens_B!O488, IF(Klantgegevens_A!L488&gt;=7, "ja", "nee"))</f>
        <v>Geen dieet</v>
      </c>
      <c r="Q489" t="str">
        <f>IF(Klantgegevens_B!P488&lt;&gt;"", Klantgegevens_B!P488, Klantgegevens_A!M488)</f>
        <v>Geen dieet</v>
      </c>
      <c r="R489" t="str">
        <f>IF(Klantgegevens_B!A488&lt;&gt;"", "B", "A")</f>
        <v>B</v>
      </c>
    </row>
    <row r="490" spans="1:18" x14ac:dyDescent="0.3">
      <c r="A490" t="str">
        <f>IF(Klantgegevens_B!A489&lt;&gt;"", Klantgegevens_B!A489, MID(Klantgegevens_A!A489, FIND(",", Klantgegevens_A!A489)+2, LEN(Klantgegevens_A!A489)))</f>
        <v>Marco</v>
      </c>
      <c r="B490" t="str">
        <f>IF(Klantgegevens_B!B489&lt;&gt;"", Klantgegevens_B!B489, LEFT(Klantgegevens_A!A489, FIND(",", Klantgegevens_A!A489)-1))</f>
        <v>Thys</v>
      </c>
      <c r="C490" t="str">
        <f t="shared" ca="1" si="7"/>
        <v/>
      </c>
      <c r="D490" t="str">
        <f>IF(Klantgegevens_B!F489&lt;&gt;"", Klantgegevens_B!F489, Klantgegevens_A!D489 &amp; " " &amp; Klantgegevens_A!E489 &amp; ", " &amp; Klantgegevens_A!F489)</f>
        <v>Marco,Marc</v>
      </c>
      <c r="E490">
        <f>IF(Klantgegevens_B!G489&lt;&gt;"", Klantgegevens_B!G489, TEXTJOIN(",", TRUE, REPT("Volwassene,", Klantgegevens_A!G489), REPT("Kind,", Klantgegevens_A!H489)))</f>
        <v>54.25</v>
      </c>
      <c r="F490">
        <f>IF(Klantgegevens_B!G489&lt;&gt;"", LEN(Klantgegevens_B!G489)-LEN(SUBSTITUTE(Klantgegevens_B!G489, ",", ""))+1, Klantgegevens_A!G489)</f>
        <v>1</v>
      </c>
      <c r="G490">
        <f>IF(Klantgegevens_B!G489&lt;&gt;"", 0, Klantgegevens_A!H489)</f>
        <v>0</v>
      </c>
      <c r="H490">
        <f>IF(Klantgegevens_B!H489&lt;&gt;"", Klantgegevens_B!H489, Klantgegevens_A!I489)</f>
        <v>13</v>
      </c>
      <c r="I490" t="str">
        <f>IF(Klantgegevens_B!I489&lt;&gt;"", Klantgegevens_B!I489, SWITCH(Klantgegevens_A!J489, "Zelden", 1, "Af en toe", 4, "Regelmatig", 8, "Vaak", 12))</f>
        <v>Payconiq</v>
      </c>
      <c r="J490" t="str">
        <f>IF(Klantgegevens_B!J489&lt;&gt;"", Klantgegevens_B!J489, Klantgegevens_A!K489)</f>
        <v>ja</v>
      </c>
      <c r="K490">
        <f>IF(Klantgegevens_B!K489&lt;&gt;"", AVERAGE(--(Klantgegevens_B!K489="ja"), --(Klantgegevens_B!L489="ja"), --(Klantgegevens_B!M489="ja"), --(Klantgegevens_B!N489="ja"), --(Klantgegevens_B!O489="ja"))*10, Klantgegevens_A!L489)</f>
        <v>6</v>
      </c>
      <c r="L490" t="str">
        <f>IF(Klantgegevens_B!K489&lt;&gt;"", Klantgegevens_B!K489, IF(Klantgegevens_A!L489&gt;=7, "ja", "nee"))</f>
        <v>nee</v>
      </c>
      <c r="M490" t="str">
        <f>IF(Klantgegevens_B!L489&lt;&gt;"", Klantgegevens_B!L489, IF(Klantgegevens_A!L489&gt;=7, "ja", "nee"))</f>
        <v>ja</v>
      </c>
      <c r="N490" t="str">
        <f>IF(Klantgegevens_B!M489&lt;&gt;"", Klantgegevens_B!M489, IF(Klantgegevens_A!L489&gt;=7, "ja", "nee"))</f>
        <v>ja</v>
      </c>
      <c r="O490" t="str">
        <f>IF(Klantgegevens_B!N489&lt;&gt;"", Klantgegevens_B!N489, IF(Klantgegevens_A!L489&gt;=7, "ja", "nee"))</f>
        <v>ja</v>
      </c>
      <c r="P490" t="str">
        <f>IF(Klantgegevens_B!O489&lt;&gt;"", Klantgegevens_B!O489, IF(Klantgegevens_A!L489&gt;=7, "ja", "nee"))</f>
        <v>Veganistisch</v>
      </c>
      <c r="Q490" t="str">
        <f>IF(Klantgegevens_B!P489&lt;&gt;"", Klantgegevens_B!P489, Klantgegevens_A!M489)</f>
        <v>Geen dieet</v>
      </c>
      <c r="R490" t="str">
        <f>IF(Klantgegevens_B!A489&lt;&gt;"", "B", "A")</f>
        <v>B</v>
      </c>
    </row>
    <row r="491" spans="1:18" x14ac:dyDescent="0.3">
      <c r="A491" t="str">
        <f>IF(Klantgegevens_B!A490&lt;&gt;"", Klantgegevens_B!A490, MID(Klantgegevens_A!A490, FIND(",", Klantgegevens_A!A490)+2, LEN(Klantgegevens_A!A490)))</f>
        <v>Annie</v>
      </c>
      <c r="B491" t="str">
        <f>IF(Klantgegevens_B!B490&lt;&gt;"", Klantgegevens_B!B490, LEFT(Klantgegevens_A!A490, FIND(",", Klantgegevens_A!A490)-1))</f>
        <v>Smets</v>
      </c>
      <c r="C491" t="str">
        <f t="shared" ca="1" si="7"/>
        <v/>
      </c>
      <c r="D491" t="str">
        <f>IF(Klantgegevens_B!F490&lt;&gt;"", Klantgegevens_B!F490, Klantgegevens_A!D490 &amp; " " &amp; Klantgegevens_A!E490 &amp; ", " &amp; Klantgegevens_A!F490)</f>
        <v>Annie,Gilbert,Guy,Lewis</v>
      </c>
      <c r="E491">
        <f>IF(Klantgegevens_B!G490&lt;&gt;"", Klantgegevens_B!G490, TEXTJOIN(",", TRUE, REPT("Volwassene,", Klantgegevens_A!G490), REPT("Kind,", Klantgegevens_A!H490)))</f>
        <v>121.55</v>
      </c>
      <c r="F491">
        <f>IF(Klantgegevens_B!G490&lt;&gt;"", LEN(Klantgegevens_B!G490)-LEN(SUBSTITUTE(Klantgegevens_B!G490, ",", ""))+1, Klantgegevens_A!G490)</f>
        <v>1</v>
      </c>
      <c r="G491">
        <f>IF(Klantgegevens_B!G490&lt;&gt;"", 0, Klantgegevens_A!H490)</f>
        <v>0</v>
      </c>
      <c r="H491">
        <f>IF(Klantgegevens_B!H490&lt;&gt;"", Klantgegevens_B!H490, Klantgegevens_A!I490)</f>
        <v>10</v>
      </c>
      <c r="I491" t="str">
        <f>IF(Klantgegevens_B!I490&lt;&gt;"", Klantgegevens_B!I490, SWITCH(Klantgegevens_A!J490, "Zelden", 1, "Af en toe", 4, "Regelmatig", 8, "Vaak", 12))</f>
        <v>Payconiq</v>
      </c>
      <c r="J491" t="str">
        <f>IF(Klantgegevens_B!J490&lt;&gt;"", Klantgegevens_B!J490, Klantgegevens_A!K490)</f>
        <v>ja</v>
      </c>
      <c r="K491">
        <f>IF(Klantgegevens_B!K490&lt;&gt;"", AVERAGE(--(Klantgegevens_B!K490="ja"), --(Klantgegevens_B!L490="ja"), --(Klantgegevens_B!M490="ja"), --(Klantgegevens_B!N490="ja"), --(Klantgegevens_B!O490="ja"))*10, Klantgegevens_A!L490)</f>
        <v>8</v>
      </c>
      <c r="L491" t="str">
        <f>IF(Klantgegevens_B!K490&lt;&gt;"", Klantgegevens_B!K490, IF(Klantgegevens_A!L490&gt;=7, "ja", "nee"))</f>
        <v>ja</v>
      </c>
      <c r="M491" t="str">
        <f>IF(Klantgegevens_B!L490&lt;&gt;"", Klantgegevens_B!L490, IF(Klantgegevens_A!L490&gt;=7, "ja", "nee"))</f>
        <v>ja</v>
      </c>
      <c r="N491" t="str">
        <f>IF(Klantgegevens_B!M490&lt;&gt;"", Klantgegevens_B!M490, IF(Klantgegevens_A!L490&gt;=7, "ja", "nee"))</f>
        <v>ja</v>
      </c>
      <c r="O491" t="str">
        <f>IF(Klantgegevens_B!N490&lt;&gt;"", Klantgegevens_B!N490, IF(Klantgegevens_A!L490&gt;=7, "ja", "nee"))</f>
        <v>ja</v>
      </c>
      <c r="P491" t="str">
        <f>IF(Klantgegevens_B!O490&lt;&gt;"", Klantgegevens_B!O490, IF(Klantgegevens_A!L490&gt;=7, "ja", "nee"))</f>
        <v>Geen dieet</v>
      </c>
      <c r="Q491" t="str">
        <f>IF(Klantgegevens_B!P490&lt;&gt;"", Klantgegevens_B!P490, Klantgegevens_A!M490)</f>
        <v>Geen dieet</v>
      </c>
      <c r="R491" t="str">
        <f>IF(Klantgegevens_B!A490&lt;&gt;"", "B", "A")</f>
        <v>B</v>
      </c>
    </row>
    <row r="492" spans="1:18" x14ac:dyDescent="0.3">
      <c r="A492" t="str">
        <f>IF(Klantgegevens_B!A491&lt;&gt;"", Klantgegevens_B!A491, MID(Klantgegevens_A!A491, FIND(",", Klantgegevens_A!A491)+2, LEN(Klantgegevens_A!A491)))</f>
        <v>Tommy</v>
      </c>
      <c r="B492" t="str">
        <f>IF(Klantgegevens_B!B491&lt;&gt;"", Klantgegevens_B!B491, LEFT(Klantgegevens_A!A491, FIND(",", Klantgegevens_A!A491)-1))</f>
        <v>Callens</v>
      </c>
      <c r="C492" t="str">
        <f t="shared" ca="1" si="7"/>
        <v/>
      </c>
      <c r="D492" t="str">
        <f>IF(Klantgegevens_B!F491&lt;&gt;"", Klantgegevens_B!F491, Klantgegevens_A!D491 &amp; " " &amp; Klantgegevens_A!E491 &amp; ", " &amp; Klantgegevens_A!F491)</f>
        <v>Tommy,Geoffrey,Meryem,Joachim</v>
      </c>
      <c r="E492">
        <f>IF(Klantgegevens_B!G491&lt;&gt;"", Klantgegevens_B!G491, TEXTJOIN(",", TRUE, REPT("Volwassene,", Klantgegevens_A!G491), REPT("Kind,", Klantgegevens_A!H491)))</f>
        <v>115.83</v>
      </c>
      <c r="F492">
        <f>IF(Klantgegevens_B!G491&lt;&gt;"", LEN(Klantgegevens_B!G491)-LEN(SUBSTITUTE(Klantgegevens_B!G491, ",", ""))+1, Klantgegevens_A!G491)</f>
        <v>1</v>
      </c>
      <c r="G492">
        <f>IF(Klantgegevens_B!G491&lt;&gt;"", 0, Klantgegevens_A!H491)</f>
        <v>0</v>
      </c>
      <c r="H492">
        <f>IF(Klantgegevens_B!H491&lt;&gt;"", Klantgegevens_B!H491, Klantgegevens_A!I491)</f>
        <v>3</v>
      </c>
      <c r="I492" t="str">
        <f>IF(Klantgegevens_B!I491&lt;&gt;"", Klantgegevens_B!I491, SWITCH(Klantgegevens_A!J491, "Zelden", 1, "Af en toe", 4, "Regelmatig", 8, "Vaak", 12))</f>
        <v>Payconiq</v>
      </c>
      <c r="J492" t="str">
        <f>IF(Klantgegevens_B!J491&lt;&gt;"", Klantgegevens_B!J491, Klantgegevens_A!K491)</f>
        <v>nee</v>
      </c>
      <c r="K492">
        <f>IF(Klantgegevens_B!K491&lt;&gt;"", AVERAGE(--(Klantgegevens_B!K491="ja"), --(Klantgegevens_B!L491="ja"), --(Klantgegevens_B!M491="ja"), --(Klantgegevens_B!N491="ja"), --(Klantgegevens_B!O491="ja"))*10, Klantgegevens_A!L491)</f>
        <v>8</v>
      </c>
      <c r="L492" t="str">
        <f>IF(Klantgegevens_B!K491&lt;&gt;"", Klantgegevens_B!K491, IF(Klantgegevens_A!L491&gt;=7, "ja", "nee"))</f>
        <v>ja</v>
      </c>
      <c r="M492" t="str">
        <f>IF(Klantgegevens_B!L491&lt;&gt;"", Klantgegevens_B!L491, IF(Klantgegevens_A!L491&gt;=7, "ja", "nee"))</f>
        <v>ja</v>
      </c>
      <c r="N492" t="str">
        <f>IF(Klantgegevens_B!M491&lt;&gt;"", Klantgegevens_B!M491, IF(Klantgegevens_A!L491&gt;=7, "ja", "nee"))</f>
        <v>ja</v>
      </c>
      <c r="O492" t="str">
        <f>IF(Klantgegevens_B!N491&lt;&gt;"", Klantgegevens_B!N491, IF(Klantgegevens_A!L491&gt;=7, "ja", "nee"))</f>
        <v>ja</v>
      </c>
      <c r="P492" t="str">
        <f>IF(Klantgegevens_B!O491&lt;&gt;"", Klantgegevens_B!O491, IF(Klantgegevens_A!L491&gt;=7, "ja", "nee"))</f>
        <v>Geen dieet</v>
      </c>
      <c r="Q492" t="str">
        <f>IF(Klantgegevens_B!P491&lt;&gt;"", Klantgegevens_B!P491, Klantgegevens_A!M491)</f>
        <v>Vegetarisch</v>
      </c>
      <c r="R492" t="str">
        <f>IF(Klantgegevens_B!A491&lt;&gt;"", "B", "A")</f>
        <v>B</v>
      </c>
    </row>
    <row r="493" spans="1:18" x14ac:dyDescent="0.3">
      <c r="A493" t="str">
        <f>IF(Klantgegevens_B!A492&lt;&gt;"", Klantgegevens_B!A492, MID(Klantgegevens_A!A492, FIND(",", Klantgegevens_A!A492)+2, LEN(Klantgegevens_A!A492)))</f>
        <v>Rania</v>
      </c>
      <c r="B493" t="str">
        <f>IF(Klantgegevens_B!B492&lt;&gt;"", Klantgegevens_B!B492, LEFT(Klantgegevens_A!A492, FIND(",", Klantgegevens_A!A492)-1))</f>
        <v>Gilles</v>
      </c>
      <c r="C493" t="str">
        <f t="shared" ca="1" si="7"/>
        <v/>
      </c>
      <c r="D493" t="str">
        <f>IF(Klantgegevens_B!F492&lt;&gt;"", Klantgegevens_B!F492, Klantgegevens_A!D492 &amp; " " &amp; Klantgegevens_A!E492 &amp; ", " &amp; Klantgegevens_A!F492)</f>
        <v>Rania,Diana</v>
      </c>
      <c r="E493">
        <f>IF(Klantgegevens_B!G492&lt;&gt;"", Klantgegevens_B!G492, TEXTJOIN(",", TRUE, REPT("Volwassene,", Klantgegevens_A!G492), REPT("Kind,", Klantgegevens_A!H492)))</f>
        <v>102.25</v>
      </c>
      <c r="F493">
        <f>IF(Klantgegevens_B!G492&lt;&gt;"", LEN(Klantgegevens_B!G492)-LEN(SUBSTITUTE(Klantgegevens_B!G492, ",", ""))+1, Klantgegevens_A!G492)</f>
        <v>1</v>
      </c>
      <c r="G493">
        <f>IF(Klantgegevens_B!G492&lt;&gt;"", 0, Klantgegevens_A!H492)</f>
        <v>0</v>
      </c>
      <c r="H493">
        <f>IF(Klantgegevens_B!H492&lt;&gt;"", Klantgegevens_B!H492, Klantgegevens_A!I492)</f>
        <v>19</v>
      </c>
      <c r="I493" t="str">
        <f>IF(Klantgegevens_B!I492&lt;&gt;"", Klantgegevens_B!I492, SWITCH(Klantgegevens_A!J492, "Zelden", 1, "Af en toe", 4, "Regelmatig", 8, "Vaak", 12))</f>
        <v>Bancontact</v>
      </c>
      <c r="J493" t="str">
        <f>IF(Klantgegevens_B!J492&lt;&gt;"", Klantgegevens_B!J492, Klantgegevens_A!K492)</f>
        <v>nee</v>
      </c>
      <c r="K493">
        <f>IF(Klantgegevens_B!K492&lt;&gt;"", AVERAGE(--(Klantgegevens_B!K492="ja"), --(Klantgegevens_B!L492="ja"), --(Klantgegevens_B!M492="ja"), --(Klantgegevens_B!N492="ja"), --(Klantgegevens_B!O492="ja"))*10, Klantgegevens_A!L492)</f>
        <v>6</v>
      </c>
      <c r="L493" t="str">
        <f>IF(Klantgegevens_B!K492&lt;&gt;"", Klantgegevens_B!K492, IF(Klantgegevens_A!L492&gt;=7, "ja", "nee"))</f>
        <v>ja</v>
      </c>
      <c r="M493" t="str">
        <f>IF(Klantgegevens_B!L492&lt;&gt;"", Klantgegevens_B!L492, IF(Klantgegevens_A!L492&gt;=7, "ja", "nee"))</f>
        <v>ja</v>
      </c>
      <c r="N493" t="str">
        <f>IF(Klantgegevens_B!M492&lt;&gt;"", Klantgegevens_B!M492, IF(Klantgegevens_A!L492&gt;=7, "ja", "nee"))</f>
        <v>ja</v>
      </c>
      <c r="O493" t="str">
        <f>IF(Klantgegevens_B!N492&lt;&gt;"", Klantgegevens_B!N492, IF(Klantgegevens_A!L492&gt;=7, "ja", "nee"))</f>
        <v>nee</v>
      </c>
      <c r="P493" t="str">
        <f>IF(Klantgegevens_B!O492&lt;&gt;"", Klantgegevens_B!O492, IF(Klantgegevens_A!L492&gt;=7, "ja", "nee"))</f>
        <v>Geen dieet</v>
      </c>
      <c r="Q493" t="str">
        <f>IF(Klantgegevens_B!P492&lt;&gt;"", Klantgegevens_B!P492, Klantgegevens_A!M492)</f>
        <v>Geen dieet</v>
      </c>
      <c r="R493" t="str">
        <f>IF(Klantgegevens_B!A492&lt;&gt;"", "B", "A")</f>
        <v>B</v>
      </c>
    </row>
    <row r="494" spans="1:18" x14ac:dyDescent="0.3">
      <c r="A494" t="str">
        <f>IF(Klantgegevens_B!A493&lt;&gt;"", Klantgegevens_B!A493, MID(Klantgegevens_A!A493, FIND(",", Klantgegevens_A!A493)+2, LEN(Klantgegevens_A!A493)))</f>
        <v>Anny</v>
      </c>
      <c r="B494" t="str">
        <f>IF(Klantgegevens_B!B493&lt;&gt;"", Klantgegevens_B!B493, LEFT(Klantgegevens_A!A493, FIND(",", Klantgegevens_A!A493)-1))</f>
        <v>Nijs</v>
      </c>
      <c r="C494" t="str">
        <f t="shared" ca="1" si="7"/>
        <v/>
      </c>
      <c r="D494" t="str">
        <f>IF(Klantgegevens_B!F493&lt;&gt;"", Klantgegevens_B!F493, Klantgegevens_A!D493 &amp; " " &amp; Klantgegevens_A!E493 &amp; ", " &amp; Klantgegevens_A!F493)</f>
        <v>Anny,Lotte,Lea,Lisette</v>
      </c>
      <c r="E494">
        <f>IF(Klantgegevens_B!G493&lt;&gt;"", Klantgegevens_B!G493, TEXTJOIN(",", TRUE, REPT("Volwassene,", Klantgegevens_A!G493), REPT("Kind,", Klantgegevens_A!H493)))</f>
        <v>97.29</v>
      </c>
      <c r="F494">
        <f>IF(Klantgegevens_B!G493&lt;&gt;"", LEN(Klantgegevens_B!G493)-LEN(SUBSTITUTE(Klantgegevens_B!G493, ",", ""))+1, Klantgegevens_A!G493)</f>
        <v>1</v>
      </c>
      <c r="G494">
        <f>IF(Klantgegevens_B!G493&lt;&gt;"", 0, Klantgegevens_A!H493)</f>
        <v>0</v>
      </c>
      <c r="H494">
        <f>IF(Klantgegevens_B!H493&lt;&gt;"", Klantgegevens_B!H493, Klantgegevens_A!I493)</f>
        <v>4</v>
      </c>
      <c r="I494" t="str">
        <f>IF(Klantgegevens_B!I493&lt;&gt;"", Klantgegevens_B!I493, SWITCH(Klantgegevens_A!J493, "Zelden", 1, "Af en toe", 4, "Regelmatig", 8, "Vaak", 12))</f>
        <v>Bancontact</v>
      </c>
      <c r="J494" t="str">
        <f>IF(Klantgegevens_B!J493&lt;&gt;"", Klantgegevens_B!J493, Klantgegevens_A!K493)</f>
        <v>ja</v>
      </c>
      <c r="K494">
        <f>IF(Klantgegevens_B!K493&lt;&gt;"", AVERAGE(--(Klantgegevens_B!K493="ja"), --(Klantgegevens_B!L493="ja"), --(Klantgegevens_B!M493="ja"), --(Klantgegevens_B!N493="ja"), --(Klantgegevens_B!O493="ja"))*10, Klantgegevens_A!L493)</f>
        <v>2</v>
      </c>
      <c r="L494" t="str">
        <f>IF(Klantgegevens_B!K493&lt;&gt;"", Klantgegevens_B!K493, IF(Klantgegevens_A!L493&gt;=7, "ja", "nee"))</f>
        <v>nee</v>
      </c>
      <c r="M494" t="str">
        <f>IF(Klantgegevens_B!L493&lt;&gt;"", Klantgegevens_B!L493, IF(Klantgegevens_A!L493&gt;=7, "ja", "nee"))</f>
        <v>nee</v>
      </c>
      <c r="N494" t="str">
        <f>IF(Klantgegevens_B!M493&lt;&gt;"", Klantgegevens_B!M493, IF(Klantgegevens_A!L493&gt;=7, "ja", "nee"))</f>
        <v>ja</v>
      </c>
      <c r="O494" t="str">
        <f>IF(Klantgegevens_B!N493&lt;&gt;"", Klantgegevens_B!N493, IF(Klantgegevens_A!L493&gt;=7, "ja", "nee"))</f>
        <v>nee</v>
      </c>
      <c r="P494" t="str">
        <f>IF(Klantgegevens_B!O493&lt;&gt;"", Klantgegevens_B!O493, IF(Klantgegevens_A!L493&gt;=7, "ja", "nee"))</f>
        <v>Vegetarisch</v>
      </c>
      <c r="Q494" t="str">
        <f>IF(Klantgegevens_B!P493&lt;&gt;"", Klantgegevens_B!P493, Klantgegevens_A!M493)</f>
        <v>Geen dieet</v>
      </c>
      <c r="R494" t="str">
        <f>IF(Klantgegevens_B!A493&lt;&gt;"", "B", "A")</f>
        <v>B</v>
      </c>
    </row>
    <row r="495" spans="1:18" x14ac:dyDescent="0.3">
      <c r="A495" t="str">
        <f>IF(Klantgegevens_B!A494&lt;&gt;"", Klantgegevens_B!A494, MID(Klantgegevens_A!A494, FIND(",", Klantgegevens_A!A494)+2, LEN(Klantgegevens_A!A494)))</f>
        <v>Brigitte</v>
      </c>
      <c r="B495" t="str">
        <f>IF(Klantgegevens_B!B494&lt;&gt;"", Klantgegevens_B!B494, LEFT(Klantgegevens_A!A494, FIND(",", Klantgegevens_A!A494)-1))</f>
        <v>Borremans</v>
      </c>
      <c r="C495" t="str">
        <f t="shared" ca="1" si="7"/>
        <v/>
      </c>
      <c r="D495" t="str">
        <f>IF(Klantgegevens_B!F494&lt;&gt;"", Klantgegevens_B!F494, Klantgegevens_A!D494 &amp; " " &amp; Klantgegevens_A!E494 &amp; ", " &amp; Klantgegevens_A!F494)</f>
        <v>Brigitte,Belle,Estée</v>
      </c>
      <c r="E495">
        <f>IF(Klantgegevens_B!G494&lt;&gt;"", Klantgegevens_B!G494, TEXTJOIN(",", TRUE, REPT("Volwassene,", Klantgegevens_A!G494), REPT("Kind,", Klantgegevens_A!H494)))</f>
        <v>99.68</v>
      </c>
      <c r="F495">
        <f>IF(Klantgegevens_B!G494&lt;&gt;"", LEN(Klantgegevens_B!G494)-LEN(SUBSTITUTE(Klantgegevens_B!G494, ",", ""))+1, Klantgegevens_A!G494)</f>
        <v>1</v>
      </c>
      <c r="G495">
        <f>IF(Klantgegevens_B!G494&lt;&gt;"", 0, Klantgegevens_A!H494)</f>
        <v>0</v>
      </c>
      <c r="H495">
        <f>IF(Klantgegevens_B!H494&lt;&gt;"", Klantgegevens_B!H494, Klantgegevens_A!I494)</f>
        <v>13</v>
      </c>
      <c r="I495" t="str">
        <f>IF(Klantgegevens_B!I494&lt;&gt;"", Klantgegevens_B!I494, SWITCH(Klantgegevens_A!J494, "Zelden", 1, "Af en toe", 4, "Regelmatig", 8, "Vaak", 12))</f>
        <v>Bancontact</v>
      </c>
      <c r="J495" t="str">
        <f>IF(Klantgegevens_B!J494&lt;&gt;"", Klantgegevens_B!J494, Klantgegevens_A!K494)</f>
        <v>ja</v>
      </c>
      <c r="K495">
        <f>IF(Klantgegevens_B!K494&lt;&gt;"", AVERAGE(--(Klantgegevens_B!K494="ja"), --(Klantgegevens_B!L494="ja"), --(Klantgegevens_B!M494="ja"), --(Klantgegevens_B!N494="ja"), --(Klantgegevens_B!O494="ja"))*10, Klantgegevens_A!L494)</f>
        <v>6</v>
      </c>
      <c r="L495" t="str">
        <f>IF(Klantgegevens_B!K494&lt;&gt;"", Klantgegevens_B!K494, IF(Klantgegevens_A!L494&gt;=7, "ja", "nee"))</f>
        <v>ja</v>
      </c>
      <c r="M495" t="str">
        <f>IF(Klantgegevens_B!L494&lt;&gt;"", Klantgegevens_B!L494, IF(Klantgegevens_A!L494&gt;=7, "ja", "nee"))</f>
        <v>ja</v>
      </c>
      <c r="N495" t="str">
        <f>IF(Klantgegevens_B!M494&lt;&gt;"", Klantgegevens_B!M494, IF(Klantgegevens_A!L494&gt;=7, "ja", "nee"))</f>
        <v>nee</v>
      </c>
      <c r="O495" t="str">
        <f>IF(Klantgegevens_B!N494&lt;&gt;"", Klantgegevens_B!N494, IF(Klantgegevens_A!L494&gt;=7, "ja", "nee"))</f>
        <v>ja</v>
      </c>
      <c r="P495" t="str">
        <f>IF(Klantgegevens_B!O494&lt;&gt;"", Klantgegevens_B!O494, IF(Klantgegevens_A!L494&gt;=7, "ja", "nee"))</f>
        <v>Geen dieet</v>
      </c>
      <c r="Q495" t="str">
        <f>IF(Klantgegevens_B!P494&lt;&gt;"", Klantgegevens_B!P494, Klantgegevens_A!M494)</f>
        <v>Geen dieet</v>
      </c>
      <c r="R495" t="str">
        <f>IF(Klantgegevens_B!A494&lt;&gt;"", "B", "A")</f>
        <v>B</v>
      </c>
    </row>
    <row r="496" spans="1:18" x14ac:dyDescent="0.3">
      <c r="A496" t="str">
        <f>IF(Klantgegevens_B!A495&lt;&gt;"", Klantgegevens_B!A495, MID(Klantgegevens_A!A495, FIND(",", Klantgegevens_A!A495)+2, LEN(Klantgegevens_A!A495)))</f>
        <v>Jacques</v>
      </c>
      <c r="B496" t="str">
        <f>IF(Klantgegevens_B!B495&lt;&gt;"", Klantgegevens_B!B495, LEFT(Klantgegevens_A!A495, FIND(",", Klantgegevens_A!A495)-1))</f>
        <v>Vanderstraeten</v>
      </c>
      <c r="C496" t="str">
        <f t="shared" ca="1" si="7"/>
        <v/>
      </c>
      <c r="D496" t="str">
        <f>IF(Klantgegevens_B!F495&lt;&gt;"", Klantgegevens_B!F495, Klantgegevens_A!D495 &amp; " " &amp; Klantgegevens_A!E495 &amp; ", " &amp; Klantgegevens_A!F495)</f>
        <v>Jacques,Cindy,Tatiana</v>
      </c>
      <c r="E496">
        <f>IF(Klantgegevens_B!G495&lt;&gt;"", Klantgegevens_B!G495, TEXTJOIN(",", TRUE, REPT("Volwassene,", Klantgegevens_A!G495), REPT("Kind,", Klantgegevens_A!H495)))</f>
        <v>123.4</v>
      </c>
      <c r="F496">
        <f>IF(Klantgegevens_B!G495&lt;&gt;"", LEN(Klantgegevens_B!G495)-LEN(SUBSTITUTE(Klantgegevens_B!G495, ",", ""))+1, Klantgegevens_A!G495)</f>
        <v>1</v>
      </c>
      <c r="G496">
        <f>IF(Klantgegevens_B!G495&lt;&gt;"", 0, Klantgegevens_A!H495)</f>
        <v>0</v>
      </c>
      <c r="H496">
        <f>IF(Klantgegevens_B!H495&lt;&gt;"", Klantgegevens_B!H495, Klantgegevens_A!I495)</f>
        <v>11</v>
      </c>
      <c r="I496" t="str">
        <f>IF(Klantgegevens_B!I495&lt;&gt;"", Klantgegevens_B!I495, SWITCH(Klantgegevens_A!J495, "Zelden", 1, "Af en toe", 4, "Regelmatig", 8, "Vaak", 12))</f>
        <v>Cash</v>
      </c>
      <c r="J496" t="str">
        <f>IF(Klantgegevens_B!J495&lt;&gt;"", Klantgegevens_B!J495, Klantgegevens_A!K495)</f>
        <v>ja</v>
      </c>
      <c r="K496">
        <f>IF(Klantgegevens_B!K495&lt;&gt;"", AVERAGE(--(Klantgegevens_B!K495="ja"), --(Klantgegevens_B!L495="ja"), --(Klantgegevens_B!M495="ja"), --(Klantgegevens_B!N495="ja"), --(Klantgegevens_B!O495="ja"))*10, Klantgegevens_A!L495)</f>
        <v>6</v>
      </c>
      <c r="L496" t="str">
        <f>IF(Klantgegevens_B!K495&lt;&gt;"", Klantgegevens_B!K495, IF(Klantgegevens_A!L495&gt;=7, "ja", "nee"))</f>
        <v>nee</v>
      </c>
      <c r="M496" t="str">
        <f>IF(Klantgegevens_B!L495&lt;&gt;"", Klantgegevens_B!L495, IF(Klantgegevens_A!L495&gt;=7, "ja", "nee"))</f>
        <v>ja</v>
      </c>
      <c r="N496" t="str">
        <f>IF(Klantgegevens_B!M495&lt;&gt;"", Klantgegevens_B!M495, IF(Klantgegevens_A!L495&gt;=7, "ja", "nee"))</f>
        <v>ja</v>
      </c>
      <c r="O496" t="str">
        <f>IF(Klantgegevens_B!N495&lt;&gt;"", Klantgegevens_B!N495, IF(Klantgegevens_A!L495&gt;=7, "ja", "nee"))</f>
        <v>ja</v>
      </c>
      <c r="P496" t="str">
        <f>IF(Klantgegevens_B!O495&lt;&gt;"", Klantgegevens_B!O495, IF(Klantgegevens_A!L495&gt;=7, "ja", "nee"))</f>
        <v>Geen dieet</v>
      </c>
      <c r="Q496" t="str">
        <f>IF(Klantgegevens_B!P495&lt;&gt;"", Klantgegevens_B!P495, Klantgegevens_A!M495)</f>
        <v>Geen dieet</v>
      </c>
      <c r="R496" t="str">
        <f>IF(Klantgegevens_B!A495&lt;&gt;"", "B", "A")</f>
        <v>B</v>
      </c>
    </row>
    <row r="497" spans="1:18" x14ac:dyDescent="0.3">
      <c r="A497" t="str">
        <f>IF(Klantgegevens_B!A496&lt;&gt;"", Klantgegevens_B!A496, MID(Klantgegevens_A!A496, FIND(",", Klantgegevens_A!A496)+2, LEN(Klantgegevens_A!A496)))</f>
        <v>Karlijn</v>
      </c>
      <c r="B497" t="str">
        <f>IF(Klantgegevens_B!B496&lt;&gt;"", Klantgegevens_B!B496, LEFT(Klantgegevens_A!A496, FIND(",", Klantgegevens_A!A496)-1))</f>
        <v>De boeck</v>
      </c>
      <c r="C497" t="str">
        <f t="shared" ca="1" si="7"/>
        <v/>
      </c>
      <c r="D497" t="str">
        <f>IF(Klantgegevens_B!F496&lt;&gt;"", Klantgegevens_B!F496, Klantgegevens_A!D496 &amp; " " &amp; Klantgegevens_A!E496 &amp; ", " &amp; Klantgegevens_A!F496)</f>
        <v>Karlijn,Samet,Viggo</v>
      </c>
      <c r="E497">
        <f>IF(Klantgegevens_B!G496&lt;&gt;"", Klantgegevens_B!G496, TEXTJOIN(",", TRUE, REPT("Volwassene,", Klantgegevens_A!G496), REPT("Kind,", Klantgegevens_A!H496)))</f>
        <v>126.38</v>
      </c>
      <c r="F497">
        <f>IF(Klantgegevens_B!G496&lt;&gt;"", LEN(Klantgegevens_B!G496)-LEN(SUBSTITUTE(Klantgegevens_B!G496, ",", ""))+1, Klantgegevens_A!G496)</f>
        <v>1</v>
      </c>
      <c r="G497">
        <f>IF(Klantgegevens_B!G496&lt;&gt;"", 0, Klantgegevens_A!H496)</f>
        <v>0</v>
      </c>
      <c r="H497">
        <f>IF(Klantgegevens_B!H496&lt;&gt;"", Klantgegevens_B!H496, Klantgegevens_A!I496)</f>
        <v>7</v>
      </c>
      <c r="I497" t="str">
        <f>IF(Klantgegevens_B!I496&lt;&gt;"", Klantgegevens_B!I496, SWITCH(Klantgegevens_A!J496, "Zelden", 1, "Af en toe", 4, "Regelmatig", 8, "Vaak", 12))</f>
        <v>Bancontact</v>
      </c>
      <c r="J497" t="str">
        <f>IF(Klantgegevens_B!J496&lt;&gt;"", Klantgegevens_B!J496, Klantgegevens_A!K496)</f>
        <v>nee</v>
      </c>
      <c r="K497">
        <f>IF(Klantgegevens_B!K496&lt;&gt;"", AVERAGE(--(Klantgegevens_B!K496="ja"), --(Klantgegevens_B!L496="ja"), --(Klantgegevens_B!M496="ja"), --(Klantgegevens_B!N496="ja"), --(Klantgegevens_B!O496="ja"))*10, Klantgegevens_A!L496)</f>
        <v>6</v>
      </c>
      <c r="L497" t="str">
        <f>IF(Klantgegevens_B!K496&lt;&gt;"", Klantgegevens_B!K496, IF(Klantgegevens_A!L496&gt;=7, "ja", "nee"))</f>
        <v>nee</v>
      </c>
      <c r="M497" t="str">
        <f>IF(Klantgegevens_B!L496&lt;&gt;"", Klantgegevens_B!L496, IF(Klantgegevens_A!L496&gt;=7, "ja", "nee"))</f>
        <v>ja</v>
      </c>
      <c r="N497" t="str">
        <f>IF(Klantgegevens_B!M496&lt;&gt;"", Klantgegevens_B!M496, IF(Klantgegevens_A!L496&gt;=7, "ja", "nee"))</f>
        <v>ja</v>
      </c>
      <c r="O497" t="str">
        <f>IF(Klantgegevens_B!N496&lt;&gt;"", Klantgegevens_B!N496, IF(Klantgegevens_A!L496&gt;=7, "ja", "nee"))</f>
        <v>ja</v>
      </c>
      <c r="P497" t="str">
        <f>IF(Klantgegevens_B!O496&lt;&gt;"", Klantgegevens_B!O496, IF(Klantgegevens_A!L496&gt;=7, "ja", "nee"))</f>
        <v>Geen dieet</v>
      </c>
      <c r="Q497" t="str">
        <f>IF(Klantgegevens_B!P496&lt;&gt;"", Klantgegevens_B!P496, Klantgegevens_A!M496)</f>
        <v>Geen dieet</v>
      </c>
      <c r="R497" t="str">
        <f>IF(Klantgegevens_B!A496&lt;&gt;"", "B", "A")</f>
        <v>B</v>
      </c>
    </row>
    <row r="498" spans="1:18" x14ac:dyDescent="0.3">
      <c r="A498" t="str">
        <f>IF(Klantgegevens_B!A497&lt;&gt;"", Klantgegevens_B!A497, MID(Klantgegevens_A!A497, FIND(",", Klantgegevens_A!A497)+2, LEN(Klantgegevens_A!A497)))</f>
        <v>Ibe</v>
      </c>
      <c r="B498" t="str">
        <f>IF(Klantgegevens_B!B497&lt;&gt;"", Klantgegevens_B!B497, LEFT(Klantgegevens_A!A497, FIND(",", Klantgegevens_A!A497)-1))</f>
        <v>Mertens</v>
      </c>
      <c r="C498" t="str">
        <f t="shared" ca="1" si="7"/>
        <v/>
      </c>
      <c r="D498" t="str">
        <f>IF(Klantgegevens_B!F497&lt;&gt;"", Klantgegevens_B!F497, Klantgegevens_A!D497 &amp; " " &amp; Klantgegevens_A!E497 &amp; ", " &amp; Klantgegevens_A!F497)</f>
        <v>Ibe,Mirjam,Katrin</v>
      </c>
      <c r="E498">
        <f>IF(Klantgegevens_B!G497&lt;&gt;"", Klantgegevens_B!G497, TEXTJOIN(",", TRUE, REPT("Volwassene,", Klantgegevens_A!G497), REPT("Kind,", Klantgegevens_A!H497)))</f>
        <v>134.74</v>
      </c>
      <c r="F498">
        <f>IF(Klantgegevens_B!G497&lt;&gt;"", LEN(Klantgegevens_B!G497)-LEN(SUBSTITUTE(Klantgegevens_B!G497, ",", ""))+1, Klantgegevens_A!G497)</f>
        <v>1</v>
      </c>
      <c r="G498">
        <f>IF(Klantgegevens_B!G497&lt;&gt;"", 0, Klantgegevens_A!H497)</f>
        <v>0</v>
      </c>
      <c r="H498">
        <f>IF(Klantgegevens_B!H497&lt;&gt;"", Klantgegevens_B!H497, Klantgegevens_A!I497)</f>
        <v>3</v>
      </c>
      <c r="I498" t="str">
        <f>IF(Klantgegevens_B!I497&lt;&gt;"", Klantgegevens_B!I497, SWITCH(Klantgegevens_A!J497, "Zelden", 1, "Af en toe", 4, "Regelmatig", 8, "Vaak", 12))</f>
        <v>Payconiq</v>
      </c>
      <c r="J498" t="str">
        <f>IF(Klantgegevens_B!J497&lt;&gt;"", Klantgegevens_B!J497, Klantgegevens_A!K497)</f>
        <v>ja</v>
      </c>
      <c r="K498">
        <f>IF(Klantgegevens_B!K497&lt;&gt;"", AVERAGE(--(Klantgegevens_B!K497="ja"), --(Klantgegevens_B!L497="ja"), --(Klantgegevens_B!M497="ja"), --(Klantgegevens_B!N497="ja"), --(Klantgegevens_B!O497="ja"))*10, Klantgegevens_A!L497)</f>
        <v>2</v>
      </c>
      <c r="L498" t="str">
        <f>IF(Klantgegevens_B!K497&lt;&gt;"", Klantgegevens_B!K497, IF(Klantgegevens_A!L497&gt;=7, "ja", "nee"))</f>
        <v>nee</v>
      </c>
      <c r="M498" t="str">
        <f>IF(Klantgegevens_B!L497&lt;&gt;"", Klantgegevens_B!L497, IF(Klantgegevens_A!L497&gt;=7, "ja", "nee"))</f>
        <v>ja</v>
      </c>
      <c r="N498" t="str">
        <f>IF(Klantgegevens_B!M497&lt;&gt;"", Klantgegevens_B!M497, IF(Klantgegevens_A!L497&gt;=7, "ja", "nee"))</f>
        <v>nee</v>
      </c>
      <c r="O498" t="str">
        <f>IF(Klantgegevens_B!N497&lt;&gt;"", Klantgegevens_B!N497, IF(Klantgegevens_A!L497&gt;=7, "ja", "nee"))</f>
        <v>nee</v>
      </c>
      <c r="P498" t="str">
        <f>IF(Klantgegevens_B!O497&lt;&gt;"", Klantgegevens_B!O497, IF(Klantgegevens_A!L497&gt;=7, "ja", "nee"))</f>
        <v>Geen dieet</v>
      </c>
      <c r="Q498" t="str">
        <f>IF(Klantgegevens_B!P497&lt;&gt;"", Klantgegevens_B!P497, Klantgegevens_A!M497)</f>
        <v>Vegetarisch</v>
      </c>
      <c r="R498" t="str">
        <f>IF(Klantgegevens_B!A497&lt;&gt;"", "B", "A")</f>
        <v>B</v>
      </c>
    </row>
    <row r="499" spans="1:18" x14ac:dyDescent="0.3">
      <c r="A499" t="str">
        <f>IF(Klantgegevens_B!A498&lt;&gt;"", Klantgegevens_B!A498, MID(Klantgegevens_A!A498, FIND(",", Klantgegevens_A!A498)+2, LEN(Klantgegevens_A!A498)))</f>
        <v>Wesley</v>
      </c>
      <c r="B499" t="str">
        <f>IF(Klantgegevens_B!B498&lt;&gt;"", Klantgegevens_B!B498, LEFT(Klantgegevens_A!A498, FIND(",", Klantgegevens_A!A498)-1))</f>
        <v>De bruyn</v>
      </c>
      <c r="C499" t="str">
        <f t="shared" ca="1" si="7"/>
        <v/>
      </c>
      <c r="D499" t="str">
        <f>IF(Klantgegevens_B!F498&lt;&gt;"", Klantgegevens_B!F498, Klantgegevens_A!D498 &amp; " " &amp; Klantgegevens_A!E498 &amp; ", " &amp; Klantgegevens_A!F498)</f>
        <v>Wesley,Nel,Elisabeth,Martine</v>
      </c>
      <c r="E499">
        <f>IF(Klantgegevens_B!G498&lt;&gt;"", Klantgegevens_B!G498, TEXTJOIN(",", TRUE, REPT("Volwassene,", Klantgegevens_A!G498), REPT("Kind,", Klantgegevens_A!H498)))</f>
        <v>157.22999999999999</v>
      </c>
      <c r="F499">
        <f>IF(Klantgegevens_B!G498&lt;&gt;"", LEN(Klantgegevens_B!G498)-LEN(SUBSTITUTE(Klantgegevens_B!G498, ",", ""))+1, Klantgegevens_A!G498)</f>
        <v>1</v>
      </c>
      <c r="G499">
        <f>IF(Klantgegevens_B!G498&lt;&gt;"", 0, Klantgegevens_A!H498)</f>
        <v>0</v>
      </c>
      <c r="H499">
        <f>IF(Klantgegevens_B!H498&lt;&gt;"", Klantgegevens_B!H498, Klantgegevens_A!I498)</f>
        <v>3</v>
      </c>
      <c r="I499" t="str">
        <f>IF(Klantgegevens_B!I498&lt;&gt;"", Klantgegevens_B!I498, SWITCH(Klantgegevens_A!J498, "Zelden", 1, "Af en toe", 4, "Regelmatig", 8, "Vaak", 12))</f>
        <v>Bancontact</v>
      </c>
      <c r="J499" t="str">
        <f>IF(Klantgegevens_B!J498&lt;&gt;"", Klantgegevens_B!J498, Klantgegevens_A!K498)</f>
        <v>ja</v>
      </c>
      <c r="K499">
        <f>IF(Klantgegevens_B!K498&lt;&gt;"", AVERAGE(--(Klantgegevens_B!K498="ja"), --(Klantgegevens_B!L498="ja"), --(Klantgegevens_B!M498="ja"), --(Klantgegevens_B!N498="ja"), --(Klantgegevens_B!O498="ja"))*10, Klantgegevens_A!L498)</f>
        <v>8</v>
      </c>
      <c r="L499" t="str">
        <f>IF(Klantgegevens_B!K498&lt;&gt;"", Klantgegevens_B!K498, IF(Klantgegevens_A!L498&gt;=7, "ja", "nee"))</f>
        <v>ja</v>
      </c>
      <c r="M499" t="str">
        <f>IF(Klantgegevens_B!L498&lt;&gt;"", Klantgegevens_B!L498, IF(Klantgegevens_A!L498&gt;=7, "ja", "nee"))</f>
        <v>ja</v>
      </c>
      <c r="N499" t="str">
        <f>IF(Klantgegevens_B!M498&lt;&gt;"", Klantgegevens_B!M498, IF(Klantgegevens_A!L498&gt;=7, "ja", "nee"))</f>
        <v>ja</v>
      </c>
      <c r="O499" t="str">
        <f>IF(Klantgegevens_B!N498&lt;&gt;"", Klantgegevens_B!N498, IF(Klantgegevens_A!L498&gt;=7, "ja", "nee"))</f>
        <v>ja</v>
      </c>
      <c r="P499" t="str">
        <f>IF(Klantgegevens_B!O498&lt;&gt;"", Klantgegevens_B!O498, IF(Klantgegevens_A!L498&gt;=7, "ja", "nee"))</f>
        <v>Geen dieet</v>
      </c>
      <c r="Q499" t="str">
        <f>IF(Klantgegevens_B!P498&lt;&gt;"", Klantgegevens_B!P498, Klantgegevens_A!M498)</f>
        <v>Geen dieet</v>
      </c>
      <c r="R499" t="str">
        <f>IF(Klantgegevens_B!A498&lt;&gt;"", "B", "A")</f>
        <v>B</v>
      </c>
    </row>
    <row r="500" spans="1:18" x14ac:dyDescent="0.3">
      <c r="A500" t="str">
        <f>IF(Klantgegevens_B!A499&lt;&gt;"", Klantgegevens_B!A499, MID(Klantgegevens_A!A499, FIND(",", Klantgegevens_A!A499)+2, LEN(Klantgegevens_A!A499)))</f>
        <v>Helene</v>
      </c>
      <c r="B500" t="str">
        <f>IF(Klantgegevens_B!B499&lt;&gt;"", Klantgegevens_B!B499, LEFT(Klantgegevens_A!A499, FIND(",", Klantgegevens_A!A499)-1))</f>
        <v>Hermans</v>
      </c>
      <c r="C500" t="str">
        <f t="shared" ca="1" si="7"/>
        <v/>
      </c>
      <c r="D500" t="str">
        <f>IF(Klantgegevens_B!F499&lt;&gt;"", Klantgegevens_B!F499, Klantgegevens_A!D499 &amp; " " &amp; Klantgegevens_A!E499 &amp; ", " &amp; Klantgegevens_A!F499)</f>
        <v>Helene,Claude,Marie-Hélène,Wesley</v>
      </c>
      <c r="E500">
        <f>IF(Klantgegevens_B!G499&lt;&gt;"", Klantgegevens_B!G499, TEXTJOIN(",", TRUE, REPT("Volwassene,", Klantgegevens_A!G499), REPT("Kind,", Klantgegevens_A!H499)))</f>
        <v>161.25</v>
      </c>
      <c r="F500">
        <f>IF(Klantgegevens_B!G499&lt;&gt;"", LEN(Klantgegevens_B!G499)-LEN(SUBSTITUTE(Klantgegevens_B!G499, ",", ""))+1, Klantgegevens_A!G499)</f>
        <v>1</v>
      </c>
      <c r="G500">
        <f>IF(Klantgegevens_B!G499&lt;&gt;"", 0, Klantgegevens_A!H499)</f>
        <v>0</v>
      </c>
      <c r="H500">
        <f>IF(Klantgegevens_B!H499&lt;&gt;"", Klantgegevens_B!H499, Klantgegevens_A!I499)</f>
        <v>3</v>
      </c>
      <c r="I500" t="str">
        <f>IF(Klantgegevens_B!I499&lt;&gt;"", Klantgegevens_B!I499, SWITCH(Klantgegevens_A!J499, "Zelden", 1, "Af en toe", 4, "Regelmatig", 8, "Vaak", 12))</f>
        <v>Bancontact</v>
      </c>
      <c r="J500" t="str">
        <f>IF(Klantgegevens_B!J499&lt;&gt;"", Klantgegevens_B!J499, Klantgegevens_A!K499)</f>
        <v>nee</v>
      </c>
      <c r="K500">
        <f>IF(Klantgegevens_B!K499&lt;&gt;"", AVERAGE(--(Klantgegevens_B!K499="ja"), --(Klantgegevens_B!L499="ja"), --(Klantgegevens_B!M499="ja"), --(Klantgegevens_B!N499="ja"), --(Klantgegevens_B!O499="ja"))*10, Klantgegevens_A!L499)</f>
        <v>8</v>
      </c>
      <c r="L500" t="str">
        <f>IF(Klantgegevens_B!K499&lt;&gt;"", Klantgegevens_B!K499, IF(Klantgegevens_A!L499&gt;=7, "ja", "nee"))</f>
        <v>ja</v>
      </c>
      <c r="M500" t="str">
        <f>IF(Klantgegevens_B!L499&lt;&gt;"", Klantgegevens_B!L499, IF(Klantgegevens_A!L499&gt;=7, "ja", "nee"))</f>
        <v>ja</v>
      </c>
      <c r="N500" t="str">
        <f>IF(Klantgegevens_B!M499&lt;&gt;"", Klantgegevens_B!M499, IF(Klantgegevens_A!L499&gt;=7, "ja", "nee"))</f>
        <v>ja</v>
      </c>
      <c r="O500" t="str">
        <f>IF(Klantgegevens_B!N499&lt;&gt;"", Klantgegevens_B!N499, IF(Klantgegevens_A!L499&gt;=7, "ja", "nee"))</f>
        <v>ja</v>
      </c>
      <c r="P500" t="str">
        <f>IF(Klantgegevens_B!O499&lt;&gt;"", Klantgegevens_B!O499, IF(Klantgegevens_A!L499&gt;=7, "ja", "nee"))</f>
        <v>Geen dieet</v>
      </c>
      <c r="Q500" t="str">
        <f>IF(Klantgegevens_B!P499&lt;&gt;"", Klantgegevens_B!P499, Klantgegevens_A!M499)</f>
        <v>Vegetarisch</v>
      </c>
      <c r="R500" t="str">
        <f>IF(Klantgegevens_B!A499&lt;&gt;"", "B", "A")</f>
        <v>B</v>
      </c>
    </row>
    <row r="501" spans="1:18" x14ac:dyDescent="0.3">
      <c r="A501" t="str">
        <f>IF(Klantgegevens_B!A500&lt;&gt;"", Klantgegevens_B!A500, MID(Klantgegevens_A!A500, FIND(",", Klantgegevens_A!A500)+2, LEN(Klantgegevens_A!A500)))</f>
        <v>Lowie</v>
      </c>
      <c r="B501" t="str">
        <f>IF(Klantgegevens_B!B500&lt;&gt;"", Klantgegevens_B!B500, LEFT(Klantgegevens_A!A500, FIND(",", Klantgegevens_A!A500)-1))</f>
        <v>Fontaine</v>
      </c>
      <c r="C501" t="str">
        <f t="shared" ca="1" si="7"/>
        <v/>
      </c>
      <c r="D501" t="str">
        <f>IF(Klantgegevens_B!F500&lt;&gt;"", Klantgegevens_B!F500, Klantgegevens_A!D500 &amp; " " &amp; Klantgegevens_A!E500 &amp; ", " &amp; Klantgegevens_A!F500)</f>
        <v>Lowie,Gisela,Leentje</v>
      </c>
      <c r="E501">
        <f>IF(Klantgegevens_B!G500&lt;&gt;"", Klantgegevens_B!G500, TEXTJOIN(",", TRUE, REPT("Volwassene,", Klantgegevens_A!G500), REPT("Kind,", Klantgegevens_A!H500)))</f>
        <v>186.51</v>
      </c>
      <c r="F501">
        <f>IF(Klantgegevens_B!G500&lt;&gt;"", LEN(Klantgegevens_B!G500)-LEN(SUBSTITUTE(Klantgegevens_B!G500, ",", ""))+1, Klantgegevens_A!G500)</f>
        <v>1</v>
      </c>
      <c r="G501">
        <f>IF(Klantgegevens_B!G500&lt;&gt;"", 0, Klantgegevens_A!H500)</f>
        <v>0</v>
      </c>
      <c r="H501">
        <f>IF(Klantgegevens_B!H500&lt;&gt;"", Klantgegevens_B!H500, Klantgegevens_A!I500)</f>
        <v>9</v>
      </c>
      <c r="I501" t="str">
        <f>IF(Klantgegevens_B!I500&lt;&gt;"", Klantgegevens_B!I500, SWITCH(Klantgegevens_A!J500, "Zelden", 1, "Af en toe", 4, "Regelmatig", 8, "Vaak", 12))</f>
        <v>Bancontact</v>
      </c>
      <c r="J501" t="str">
        <f>IF(Klantgegevens_B!J500&lt;&gt;"", Klantgegevens_B!J500, Klantgegevens_A!K500)</f>
        <v>ja</v>
      </c>
      <c r="K501">
        <f>IF(Klantgegevens_B!K500&lt;&gt;"", AVERAGE(--(Klantgegevens_B!K500="ja"), --(Klantgegevens_B!L500="ja"), --(Klantgegevens_B!M500="ja"), --(Klantgegevens_B!N500="ja"), --(Klantgegevens_B!O500="ja"))*10, Klantgegevens_A!L500)</f>
        <v>6</v>
      </c>
      <c r="L501" t="str">
        <f>IF(Klantgegevens_B!K500&lt;&gt;"", Klantgegevens_B!K500, IF(Klantgegevens_A!L500&gt;=7, "ja", "nee"))</f>
        <v>ja</v>
      </c>
      <c r="M501" t="str">
        <f>IF(Klantgegevens_B!L500&lt;&gt;"", Klantgegevens_B!L500, IF(Klantgegevens_A!L500&gt;=7, "ja", "nee"))</f>
        <v>ja</v>
      </c>
      <c r="N501" t="str">
        <f>IF(Klantgegevens_B!M500&lt;&gt;"", Klantgegevens_B!M500, IF(Klantgegevens_A!L500&gt;=7, "ja", "nee"))</f>
        <v>ja</v>
      </c>
      <c r="O501" t="str">
        <f>IF(Klantgegevens_B!N500&lt;&gt;"", Klantgegevens_B!N500, IF(Klantgegevens_A!L500&gt;=7, "ja", "nee"))</f>
        <v>nee</v>
      </c>
      <c r="P501" t="str">
        <f>IF(Klantgegevens_B!O500&lt;&gt;"", Klantgegevens_B!O500, IF(Klantgegevens_A!L500&gt;=7, "ja", "nee"))</f>
        <v>Geen dieet</v>
      </c>
      <c r="Q501" t="str">
        <f>IF(Klantgegevens_B!P500&lt;&gt;"", Klantgegevens_B!P500, Klantgegevens_A!M500)</f>
        <v>Geen dieet</v>
      </c>
      <c r="R501" t="str">
        <f>IF(Klantgegevens_B!A500&lt;&gt;"", "B", "A")</f>
        <v>B</v>
      </c>
    </row>
    <row r="502" spans="1:18" x14ac:dyDescent="0.3">
      <c r="A502" t="str">
        <f>IF(Klantgegevens_B!A501&lt;&gt;"", Klantgegevens_B!A501, MID(Klantgegevens_A!A501, FIND(",", Klantgegevens_A!A501)+2, LEN(Klantgegevens_A!A501)))</f>
        <v>David</v>
      </c>
      <c r="B502" t="str">
        <f>IF(Klantgegevens_B!B501&lt;&gt;"", Klantgegevens_B!B501, LEFT(Klantgegevens_A!A501, FIND(",", Klantgegevens_A!A501)-1))</f>
        <v>Vandendriessche</v>
      </c>
      <c r="C502" t="str">
        <f t="shared" ca="1" si="7"/>
        <v/>
      </c>
      <c r="D502" t="str">
        <f>IF(Klantgegevens_B!F501&lt;&gt;"", Klantgegevens_B!F501, Klantgegevens_A!D501 &amp; " " &amp; Klantgegevens_A!E501 &amp; ", " &amp; Klantgegevens_A!F501)</f>
        <v>David,Zoé,Miguel</v>
      </c>
      <c r="E502">
        <f>IF(Klantgegevens_B!G501&lt;&gt;"", Klantgegevens_B!G501, TEXTJOIN(",", TRUE, REPT("Volwassene,", Klantgegevens_A!G501), REPT("Kind,", Klantgegevens_A!H501)))</f>
        <v>82.66</v>
      </c>
      <c r="F502">
        <f>IF(Klantgegevens_B!G501&lt;&gt;"", LEN(Klantgegevens_B!G501)-LEN(SUBSTITUTE(Klantgegevens_B!G501, ",", ""))+1, Klantgegevens_A!G501)</f>
        <v>1</v>
      </c>
      <c r="G502">
        <f>IF(Klantgegevens_B!G501&lt;&gt;"", 0, Klantgegevens_A!H501)</f>
        <v>0</v>
      </c>
      <c r="H502">
        <f>IF(Klantgegevens_B!H501&lt;&gt;"", Klantgegevens_B!H501, Klantgegevens_A!I501)</f>
        <v>13</v>
      </c>
      <c r="I502" t="str">
        <f>IF(Klantgegevens_B!I501&lt;&gt;"", Klantgegevens_B!I501, SWITCH(Klantgegevens_A!J501, "Zelden", 1, "Af en toe", 4, "Regelmatig", 8, "Vaak", 12))</f>
        <v>Bancontact</v>
      </c>
      <c r="J502" t="str">
        <f>IF(Klantgegevens_B!J501&lt;&gt;"", Klantgegevens_B!J501, Klantgegevens_A!K501)</f>
        <v>ja</v>
      </c>
      <c r="K502">
        <f>IF(Klantgegevens_B!K501&lt;&gt;"", AVERAGE(--(Klantgegevens_B!K501="ja"), --(Klantgegevens_B!L501="ja"), --(Klantgegevens_B!M501="ja"), --(Klantgegevens_B!N501="ja"), --(Klantgegevens_B!O501="ja"))*10, Klantgegevens_A!L501)</f>
        <v>4</v>
      </c>
      <c r="L502" t="str">
        <f>IF(Klantgegevens_B!K501&lt;&gt;"", Klantgegevens_B!K501, IF(Klantgegevens_A!L501&gt;=7, "ja", "nee"))</f>
        <v>nee</v>
      </c>
      <c r="M502" t="str">
        <f>IF(Klantgegevens_B!L501&lt;&gt;"", Klantgegevens_B!L501, IF(Klantgegevens_A!L501&gt;=7, "ja", "nee"))</f>
        <v>nee</v>
      </c>
      <c r="N502" t="str">
        <f>IF(Klantgegevens_B!M501&lt;&gt;"", Klantgegevens_B!M501, IF(Klantgegevens_A!L501&gt;=7, "ja", "nee"))</f>
        <v>ja</v>
      </c>
      <c r="O502" t="str">
        <f>IF(Klantgegevens_B!N501&lt;&gt;"", Klantgegevens_B!N501, IF(Klantgegevens_A!L501&gt;=7, "ja", "nee"))</f>
        <v>ja</v>
      </c>
      <c r="P502" t="str">
        <f>IF(Klantgegevens_B!O501&lt;&gt;"", Klantgegevens_B!O501, IF(Klantgegevens_A!L501&gt;=7, "ja", "nee"))</f>
        <v>Geen dieet</v>
      </c>
      <c r="Q502" t="str">
        <f>IF(Klantgegevens_B!P501&lt;&gt;"", Klantgegevens_B!P501, Klantgegevens_A!M501)</f>
        <v>Vegetarisch</v>
      </c>
      <c r="R502" t="str">
        <f>IF(Klantgegevens_B!A501&lt;&gt;"", "B", "A")</f>
        <v>B</v>
      </c>
    </row>
    <row r="503" spans="1:18" x14ac:dyDescent="0.3">
      <c r="A503" t="str">
        <f>IF(Klantgegevens_B!A502&lt;&gt;"", Klantgegevens_B!A502, MID(Klantgegevens_A!A502, FIND(",", Klantgegevens_A!A502)+2, LEN(Klantgegevens_A!A502)))</f>
        <v>Lander</v>
      </c>
      <c r="B503" t="str">
        <f>IF(Klantgegevens_B!B502&lt;&gt;"", Klantgegevens_B!B502, LEFT(Klantgegevens_A!A502, FIND(",", Klantgegevens_A!A502)-1))</f>
        <v>Vandenbroucke</v>
      </c>
      <c r="C503" t="str">
        <f t="shared" ca="1" si="7"/>
        <v/>
      </c>
      <c r="D503" t="str">
        <f>IF(Klantgegevens_B!F502&lt;&gt;"", Klantgegevens_B!F502, Klantgegevens_A!D502 &amp; " " &amp; Klantgegevens_A!E502 &amp; ", " &amp; Klantgegevens_A!F502)</f>
        <v>Lander,Lina,Jean</v>
      </c>
      <c r="E503">
        <f>IF(Klantgegevens_B!G502&lt;&gt;"", Klantgegevens_B!G502, TEXTJOIN(",", TRUE, REPT("Volwassene,", Klantgegevens_A!G502), REPT("Kind,", Klantgegevens_A!H502)))</f>
        <v>208.51</v>
      </c>
      <c r="F503">
        <f>IF(Klantgegevens_B!G502&lt;&gt;"", LEN(Klantgegevens_B!G502)-LEN(SUBSTITUTE(Klantgegevens_B!G502, ",", ""))+1, Klantgegevens_A!G502)</f>
        <v>1</v>
      </c>
      <c r="G503">
        <f>IF(Klantgegevens_B!G502&lt;&gt;"", 0, Klantgegevens_A!H502)</f>
        <v>0</v>
      </c>
      <c r="H503">
        <f>IF(Klantgegevens_B!H502&lt;&gt;"", Klantgegevens_B!H502, Klantgegevens_A!I502)</f>
        <v>16</v>
      </c>
      <c r="I503" t="str">
        <f>IF(Klantgegevens_B!I502&lt;&gt;"", Klantgegevens_B!I502, SWITCH(Klantgegevens_A!J502, "Zelden", 1, "Af en toe", 4, "Regelmatig", 8, "Vaak", 12))</f>
        <v>Bancontact</v>
      </c>
      <c r="J503" t="str">
        <f>IF(Klantgegevens_B!J502&lt;&gt;"", Klantgegevens_B!J502, Klantgegevens_A!K502)</f>
        <v>nee</v>
      </c>
      <c r="K503">
        <f>IF(Klantgegevens_B!K502&lt;&gt;"", AVERAGE(--(Klantgegevens_B!K502="ja"), --(Klantgegevens_B!L502="ja"), --(Klantgegevens_B!M502="ja"), --(Klantgegevens_B!N502="ja"), --(Klantgegevens_B!O502="ja"))*10, Klantgegevens_A!L502)</f>
        <v>6</v>
      </c>
      <c r="L503" t="str">
        <f>IF(Klantgegevens_B!K502&lt;&gt;"", Klantgegevens_B!K502, IF(Klantgegevens_A!L502&gt;=7, "ja", "nee"))</f>
        <v>nee</v>
      </c>
      <c r="M503" t="str">
        <f>IF(Klantgegevens_B!L502&lt;&gt;"", Klantgegevens_B!L502, IF(Klantgegevens_A!L502&gt;=7, "ja", "nee"))</f>
        <v>ja</v>
      </c>
      <c r="N503" t="str">
        <f>IF(Klantgegevens_B!M502&lt;&gt;"", Klantgegevens_B!M502, IF(Klantgegevens_A!L502&gt;=7, "ja", "nee"))</f>
        <v>ja</v>
      </c>
      <c r="O503" t="str">
        <f>IF(Klantgegevens_B!N502&lt;&gt;"", Klantgegevens_B!N502, IF(Klantgegevens_A!L502&gt;=7, "ja", "nee"))</f>
        <v>ja</v>
      </c>
      <c r="P503" t="str">
        <f>IF(Klantgegevens_B!O502&lt;&gt;"", Klantgegevens_B!O502, IF(Klantgegevens_A!L502&gt;=7, "ja", "nee"))</f>
        <v>Geen dieet</v>
      </c>
      <c r="Q503" t="str">
        <f>IF(Klantgegevens_B!P502&lt;&gt;"", Klantgegevens_B!P502, Klantgegevens_A!M502)</f>
        <v>Geen dieet</v>
      </c>
      <c r="R503" t="str">
        <f>IF(Klantgegevens_B!A502&lt;&gt;"", "B", "A")</f>
        <v>B</v>
      </c>
    </row>
    <row r="504" spans="1:18" x14ac:dyDescent="0.3">
      <c r="A504" t="str">
        <f>IF(Klantgegevens_B!A503&lt;&gt;"", Klantgegevens_B!A503, MID(Klantgegevens_A!A503, FIND(",", Klantgegevens_A!A503)+2, LEN(Klantgegevens_A!A503)))</f>
        <v>Koen</v>
      </c>
      <c r="B504" t="str">
        <f>IF(Klantgegevens_B!B503&lt;&gt;"", Klantgegevens_B!B503, LEFT(Klantgegevens_A!A503, FIND(",", Klantgegevens_A!A503)-1))</f>
        <v>Vandenbroucke</v>
      </c>
      <c r="C504" t="str">
        <f t="shared" ca="1" si="7"/>
        <v/>
      </c>
      <c r="D504" t="str">
        <f>IF(Klantgegevens_B!F503&lt;&gt;"", Klantgegevens_B!F503, Klantgegevens_A!D503 &amp; " " &amp; Klantgegevens_A!E503 &amp; ", " &amp; Klantgegevens_A!F503)</f>
        <v>Koen,Michael,Rudy,Roland</v>
      </c>
      <c r="E504">
        <f>IF(Klantgegevens_B!G503&lt;&gt;"", Klantgegevens_B!G503, TEXTJOIN(",", TRUE, REPT("Volwassene,", Klantgegevens_A!G503), REPT("Kind,", Klantgegevens_A!H503)))</f>
        <v>99.79</v>
      </c>
      <c r="F504">
        <f>IF(Klantgegevens_B!G503&lt;&gt;"", LEN(Klantgegevens_B!G503)-LEN(SUBSTITUTE(Klantgegevens_B!G503, ",", ""))+1, Klantgegevens_A!G503)</f>
        <v>1</v>
      </c>
      <c r="G504">
        <f>IF(Klantgegevens_B!G503&lt;&gt;"", 0, Klantgegevens_A!H503)</f>
        <v>0</v>
      </c>
      <c r="H504">
        <f>IF(Klantgegevens_B!H503&lt;&gt;"", Klantgegevens_B!H503, Klantgegevens_A!I503)</f>
        <v>20</v>
      </c>
      <c r="I504" t="str">
        <f>IF(Klantgegevens_B!I503&lt;&gt;"", Klantgegevens_B!I503, SWITCH(Klantgegevens_A!J503, "Zelden", 1, "Af en toe", 4, "Regelmatig", 8, "Vaak", 12))</f>
        <v>Cash</v>
      </c>
      <c r="J504" t="str">
        <f>IF(Klantgegevens_B!J503&lt;&gt;"", Klantgegevens_B!J503, Klantgegevens_A!K503)</f>
        <v>ja</v>
      </c>
      <c r="K504">
        <f>IF(Klantgegevens_B!K503&lt;&gt;"", AVERAGE(--(Klantgegevens_B!K503="ja"), --(Klantgegevens_B!L503="ja"), --(Klantgegevens_B!M503="ja"), --(Klantgegevens_B!N503="ja"), --(Klantgegevens_B!O503="ja"))*10, Klantgegevens_A!L503)</f>
        <v>8</v>
      </c>
      <c r="L504" t="str">
        <f>IF(Klantgegevens_B!K503&lt;&gt;"", Klantgegevens_B!K503, IF(Klantgegevens_A!L503&gt;=7, "ja", "nee"))</f>
        <v>ja</v>
      </c>
      <c r="M504" t="str">
        <f>IF(Klantgegevens_B!L503&lt;&gt;"", Klantgegevens_B!L503, IF(Klantgegevens_A!L503&gt;=7, "ja", "nee"))</f>
        <v>ja</v>
      </c>
      <c r="N504" t="str">
        <f>IF(Klantgegevens_B!M503&lt;&gt;"", Klantgegevens_B!M503, IF(Klantgegevens_A!L503&gt;=7, "ja", "nee"))</f>
        <v>ja</v>
      </c>
      <c r="O504" t="str">
        <f>IF(Klantgegevens_B!N503&lt;&gt;"", Klantgegevens_B!N503, IF(Klantgegevens_A!L503&gt;=7, "ja", "nee"))</f>
        <v>ja</v>
      </c>
      <c r="P504" t="str">
        <f>IF(Klantgegevens_B!O503&lt;&gt;"", Klantgegevens_B!O503, IF(Klantgegevens_A!L503&gt;=7, "ja", "nee"))</f>
        <v>Geen dieet</v>
      </c>
      <c r="Q504" t="str">
        <f>IF(Klantgegevens_B!P503&lt;&gt;"", Klantgegevens_B!P503, Klantgegevens_A!M503)</f>
        <v>Geen dieet</v>
      </c>
      <c r="R504" t="str">
        <f>IF(Klantgegevens_B!A503&lt;&gt;"", "B", "A")</f>
        <v>B</v>
      </c>
    </row>
    <row r="505" spans="1:18" x14ac:dyDescent="0.3">
      <c r="A505" t="str">
        <f>IF(Klantgegevens_B!A504&lt;&gt;"", Klantgegevens_B!A504, MID(Klantgegevens_A!A504, FIND(",", Klantgegevens_A!A504)+2, LEN(Klantgegevens_A!A504)))</f>
        <v>Aurore</v>
      </c>
      <c r="B505" t="str">
        <f>IF(Klantgegevens_B!B504&lt;&gt;"", Klantgegevens_B!B504, LEFT(Klantgegevens_A!A504, FIND(",", Klantgegevens_A!A504)-1))</f>
        <v>De wit</v>
      </c>
      <c r="C505" t="str">
        <f t="shared" ca="1" si="7"/>
        <v/>
      </c>
      <c r="D505" t="str">
        <f>IF(Klantgegevens_B!F504&lt;&gt;"", Klantgegevens_B!F504, Klantgegevens_A!D504 &amp; " " &amp; Klantgegevens_A!E504 &amp; ", " &amp; Klantgegevens_A!F504)</f>
        <v>Aurore,Jean-Bernard</v>
      </c>
      <c r="E505">
        <f>IF(Klantgegevens_B!G504&lt;&gt;"", Klantgegevens_B!G504, TEXTJOIN(",", TRUE, REPT("Volwassene,", Klantgegevens_A!G504), REPT("Kind,", Klantgegevens_A!H504)))</f>
        <v>34.71</v>
      </c>
      <c r="F505">
        <f>IF(Klantgegevens_B!G504&lt;&gt;"", LEN(Klantgegevens_B!G504)-LEN(SUBSTITUTE(Klantgegevens_B!G504, ",", ""))+1, Klantgegevens_A!G504)</f>
        <v>1</v>
      </c>
      <c r="G505">
        <f>IF(Klantgegevens_B!G504&lt;&gt;"", 0, Klantgegevens_A!H504)</f>
        <v>0</v>
      </c>
      <c r="H505">
        <f>IF(Klantgegevens_B!H504&lt;&gt;"", Klantgegevens_B!H504, Klantgegevens_A!I504)</f>
        <v>5</v>
      </c>
      <c r="I505" t="str">
        <f>IF(Klantgegevens_B!I504&lt;&gt;"", Klantgegevens_B!I504, SWITCH(Klantgegevens_A!J504, "Zelden", 1, "Af en toe", 4, "Regelmatig", 8, "Vaak", 12))</f>
        <v>Payconiq</v>
      </c>
      <c r="J505" t="str">
        <f>IF(Klantgegevens_B!J504&lt;&gt;"", Klantgegevens_B!J504, Klantgegevens_A!K504)</f>
        <v>ja</v>
      </c>
      <c r="K505">
        <f>IF(Klantgegevens_B!K504&lt;&gt;"", AVERAGE(--(Klantgegevens_B!K504="ja"), --(Klantgegevens_B!L504="ja"), --(Klantgegevens_B!M504="ja"), --(Klantgegevens_B!N504="ja"), --(Klantgegevens_B!O504="ja"))*10, Klantgegevens_A!L504)</f>
        <v>8</v>
      </c>
      <c r="L505" t="str">
        <f>IF(Klantgegevens_B!K504&lt;&gt;"", Klantgegevens_B!K504, IF(Klantgegevens_A!L504&gt;=7, "ja", "nee"))</f>
        <v>ja</v>
      </c>
      <c r="M505" t="str">
        <f>IF(Klantgegevens_B!L504&lt;&gt;"", Klantgegevens_B!L504, IF(Klantgegevens_A!L504&gt;=7, "ja", "nee"))</f>
        <v>ja</v>
      </c>
      <c r="N505" t="str">
        <f>IF(Klantgegevens_B!M504&lt;&gt;"", Klantgegevens_B!M504, IF(Klantgegevens_A!L504&gt;=7, "ja", "nee"))</f>
        <v>ja</v>
      </c>
      <c r="O505" t="str">
        <f>IF(Klantgegevens_B!N504&lt;&gt;"", Klantgegevens_B!N504, IF(Klantgegevens_A!L504&gt;=7, "ja", "nee"))</f>
        <v>ja</v>
      </c>
      <c r="P505" t="str">
        <f>IF(Klantgegevens_B!O504&lt;&gt;"", Klantgegevens_B!O504, IF(Klantgegevens_A!L504&gt;=7, "ja", "nee"))</f>
        <v>Geen dieet</v>
      </c>
      <c r="Q505" t="str">
        <f>IF(Klantgegevens_B!P504&lt;&gt;"", Klantgegevens_B!P504, Klantgegevens_A!M504)</f>
        <v>Geen dieet</v>
      </c>
      <c r="R505" t="str">
        <f>IF(Klantgegevens_B!A504&lt;&gt;"", "B", "A")</f>
        <v>B</v>
      </c>
    </row>
    <row r="506" spans="1:18" x14ac:dyDescent="0.3">
      <c r="A506" t="str">
        <f>IF(Klantgegevens_B!A505&lt;&gt;"", Klantgegevens_B!A505, MID(Klantgegevens_A!A505, FIND(",", Klantgegevens_A!A505)+2, LEN(Klantgegevens_A!A505)))</f>
        <v>Esther</v>
      </c>
      <c r="B506" t="str">
        <f>IF(Klantgegevens_B!B505&lt;&gt;"", Klantgegevens_B!B505, LEFT(Klantgegevens_A!A505, FIND(",", Klantgegevens_A!A505)-1))</f>
        <v>Schmitz</v>
      </c>
      <c r="C506" t="str">
        <f t="shared" ca="1" si="7"/>
        <v/>
      </c>
      <c r="D506" t="str">
        <f>IF(Klantgegevens_B!F505&lt;&gt;"", Klantgegevens_B!F505, Klantgegevens_A!D505 &amp; " " &amp; Klantgegevens_A!E505 &amp; ", " &amp; Klantgegevens_A!F505)</f>
        <v>Esther,Thierry,Bart,Mathias,Fatima</v>
      </c>
      <c r="E506">
        <f>IF(Klantgegevens_B!G505&lt;&gt;"", Klantgegevens_B!G505, TEXTJOIN(",", TRUE, REPT("Volwassene,", Klantgegevens_A!G505), REPT("Kind,", Klantgegevens_A!H505)))</f>
        <v>122.65</v>
      </c>
      <c r="F506">
        <f>IF(Klantgegevens_B!G505&lt;&gt;"", LEN(Klantgegevens_B!G505)-LEN(SUBSTITUTE(Klantgegevens_B!G505, ",", ""))+1, Klantgegevens_A!G505)</f>
        <v>1</v>
      </c>
      <c r="G506">
        <f>IF(Klantgegevens_B!G505&lt;&gt;"", 0, Klantgegevens_A!H505)</f>
        <v>0</v>
      </c>
      <c r="H506">
        <f>IF(Klantgegevens_B!H505&lt;&gt;"", Klantgegevens_B!H505, Klantgegevens_A!I505)</f>
        <v>7</v>
      </c>
      <c r="I506" t="str">
        <f>IF(Klantgegevens_B!I505&lt;&gt;"", Klantgegevens_B!I505, SWITCH(Klantgegevens_A!J505, "Zelden", 1, "Af en toe", 4, "Regelmatig", 8, "Vaak", 12))</f>
        <v>Bancontact</v>
      </c>
      <c r="J506" t="str">
        <f>IF(Klantgegevens_B!J505&lt;&gt;"", Klantgegevens_B!J505, Klantgegevens_A!K505)</f>
        <v>nee</v>
      </c>
      <c r="K506">
        <f>IF(Klantgegevens_B!K505&lt;&gt;"", AVERAGE(--(Klantgegevens_B!K505="ja"), --(Klantgegevens_B!L505="ja"), --(Klantgegevens_B!M505="ja"), --(Klantgegevens_B!N505="ja"), --(Klantgegevens_B!O505="ja"))*10, Klantgegevens_A!L505)</f>
        <v>2</v>
      </c>
      <c r="L506" t="str">
        <f>IF(Klantgegevens_B!K505&lt;&gt;"", Klantgegevens_B!K505, IF(Klantgegevens_A!L505&gt;=7, "ja", "nee"))</f>
        <v>nee</v>
      </c>
      <c r="M506" t="str">
        <f>IF(Klantgegevens_B!L505&lt;&gt;"", Klantgegevens_B!L505, IF(Klantgegevens_A!L505&gt;=7, "ja", "nee"))</f>
        <v>ja</v>
      </c>
      <c r="N506" t="str">
        <f>IF(Klantgegevens_B!M505&lt;&gt;"", Klantgegevens_B!M505, IF(Klantgegevens_A!L505&gt;=7, "ja", "nee"))</f>
        <v>nee</v>
      </c>
      <c r="O506" t="str">
        <f>IF(Klantgegevens_B!N505&lt;&gt;"", Klantgegevens_B!N505, IF(Klantgegevens_A!L505&gt;=7, "ja", "nee"))</f>
        <v>nee</v>
      </c>
      <c r="P506" t="str">
        <f>IF(Klantgegevens_B!O505&lt;&gt;"", Klantgegevens_B!O505, IF(Klantgegevens_A!L505&gt;=7, "ja", "nee"))</f>
        <v>Geen dieet</v>
      </c>
      <c r="Q506" t="str">
        <f>IF(Klantgegevens_B!P505&lt;&gt;"", Klantgegevens_B!P505, Klantgegevens_A!M505)</f>
        <v>Geen dieet</v>
      </c>
      <c r="R506" t="str">
        <f>IF(Klantgegevens_B!A505&lt;&gt;"", "B", "A")</f>
        <v>B</v>
      </c>
    </row>
    <row r="507" spans="1:18" x14ac:dyDescent="0.3">
      <c r="A507" t="str">
        <f>IF(Klantgegevens_B!A506&lt;&gt;"", Klantgegevens_B!A506, MID(Klantgegevens_A!A506, FIND(",", Klantgegevens_A!A506)+2, LEN(Klantgegevens_A!A506)))</f>
        <v>Mirthe</v>
      </c>
      <c r="B507" t="str">
        <f>IF(Klantgegevens_B!B506&lt;&gt;"", Klantgegevens_B!B506, LEFT(Klantgegevens_A!A506, FIND(",", Klantgegevens_A!A506)-1))</f>
        <v>Vanderheyden</v>
      </c>
      <c r="C507" t="str">
        <f t="shared" ca="1" si="7"/>
        <v/>
      </c>
      <c r="D507" t="str">
        <f>IF(Klantgegevens_B!F506&lt;&gt;"", Klantgegevens_B!F506, Klantgegevens_A!D506 &amp; " " &amp; Klantgegevens_A!E506 &amp; ", " &amp; Klantgegevens_A!F506)</f>
        <v>Mirthe,Bertrand</v>
      </c>
      <c r="E507">
        <f>IF(Klantgegevens_B!G506&lt;&gt;"", Klantgegevens_B!G506, TEXTJOIN(",", TRUE, REPT("Volwassene,", Klantgegevens_A!G506), REPT("Kind,", Klantgegevens_A!H506)))</f>
        <v>122.41</v>
      </c>
      <c r="F507">
        <f>IF(Klantgegevens_B!G506&lt;&gt;"", LEN(Klantgegevens_B!G506)-LEN(SUBSTITUTE(Klantgegevens_B!G506, ",", ""))+1, Klantgegevens_A!G506)</f>
        <v>1</v>
      </c>
      <c r="G507">
        <f>IF(Klantgegevens_B!G506&lt;&gt;"", 0, Klantgegevens_A!H506)</f>
        <v>0</v>
      </c>
      <c r="H507">
        <f>IF(Klantgegevens_B!H506&lt;&gt;"", Klantgegevens_B!H506, Klantgegevens_A!I506)</f>
        <v>1</v>
      </c>
      <c r="I507" t="str">
        <f>IF(Klantgegevens_B!I506&lt;&gt;"", Klantgegevens_B!I506, SWITCH(Klantgegevens_A!J506, "Zelden", 1, "Af en toe", 4, "Regelmatig", 8, "Vaak", 12))</f>
        <v>Bancontact</v>
      </c>
      <c r="J507" t="str">
        <f>IF(Klantgegevens_B!J506&lt;&gt;"", Klantgegevens_B!J506, Klantgegevens_A!K506)</f>
        <v>ja</v>
      </c>
      <c r="K507">
        <f>IF(Klantgegevens_B!K506&lt;&gt;"", AVERAGE(--(Klantgegevens_B!K506="ja"), --(Klantgegevens_B!L506="ja"), --(Klantgegevens_B!M506="ja"), --(Klantgegevens_B!N506="ja"), --(Klantgegevens_B!O506="ja"))*10, Klantgegevens_A!L506)</f>
        <v>8</v>
      </c>
      <c r="L507" t="str">
        <f>IF(Klantgegevens_B!K506&lt;&gt;"", Klantgegevens_B!K506, IF(Klantgegevens_A!L506&gt;=7, "ja", "nee"))</f>
        <v>ja</v>
      </c>
      <c r="M507" t="str">
        <f>IF(Klantgegevens_B!L506&lt;&gt;"", Klantgegevens_B!L506, IF(Klantgegevens_A!L506&gt;=7, "ja", "nee"))</f>
        <v>ja</v>
      </c>
      <c r="N507" t="str">
        <f>IF(Klantgegevens_B!M506&lt;&gt;"", Klantgegevens_B!M506, IF(Klantgegevens_A!L506&gt;=7, "ja", "nee"))</f>
        <v>ja</v>
      </c>
      <c r="O507" t="str">
        <f>IF(Klantgegevens_B!N506&lt;&gt;"", Klantgegevens_B!N506, IF(Klantgegevens_A!L506&gt;=7, "ja", "nee"))</f>
        <v>ja</v>
      </c>
      <c r="P507" t="str">
        <f>IF(Klantgegevens_B!O506&lt;&gt;"", Klantgegevens_B!O506, IF(Klantgegevens_A!L506&gt;=7, "ja", "nee"))</f>
        <v>Vegetarisch</v>
      </c>
      <c r="Q507" t="str">
        <f>IF(Klantgegevens_B!P506&lt;&gt;"", Klantgegevens_B!P506, Klantgegevens_A!M506)</f>
        <v>Geen dieet</v>
      </c>
      <c r="R507" t="str">
        <f>IF(Klantgegevens_B!A506&lt;&gt;"", "B", "A")</f>
        <v>B</v>
      </c>
    </row>
    <row r="508" spans="1:18" x14ac:dyDescent="0.3">
      <c r="A508" t="str">
        <f>IF(Klantgegevens_B!A507&lt;&gt;"", Klantgegevens_B!A507, MID(Klantgegevens_A!A507, FIND(",", Klantgegevens_A!A507)+2, LEN(Klantgegevens_A!A507)))</f>
        <v>Guido</v>
      </c>
      <c r="B508" t="str">
        <f>IF(Klantgegevens_B!B507&lt;&gt;"", Klantgegevens_B!B507, LEFT(Klantgegevens_A!A507, FIND(",", Klantgegevens_A!A507)-1))</f>
        <v>Michaux</v>
      </c>
      <c r="C508" t="str">
        <f t="shared" ca="1" si="7"/>
        <v/>
      </c>
      <c r="D508" t="str">
        <f>IF(Klantgegevens_B!F507&lt;&gt;"", Klantgegevens_B!F507, Klantgegevens_A!D507 &amp; " " &amp; Klantgegevens_A!E507 &amp; ", " &amp; Klantgegevens_A!F507)</f>
        <v>Guido</v>
      </c>
      <c r="E508">
        <f>IF(Klantgegevens_B!G507&lt;&gt;"", Klantgegevens_B!G507, TEXTJOIN(",", TRUE, REPT("Volwassene,", Klantgegevens_A!G507), REPT("Kind,", Klantgegevens_A!H507)))</f>
        <v>77.900000000000006</v>
      </c>
      <c r="F508">
        <f>IF(Klantgegevens_B!G507&lt;&gt;"", LEN(Klantgegevens_B!G507)-LEN(SUBSTITUTE(Klantgegevens_B!G507, ",", ""))+1, Klantgegevens_A!G507)</f>
        <v>1</v>
      </c>
      <c r="G508">
        <f>IF(Klantgegevens_B!G507&lt;&gt;"", 0, Klantgegevens_A!H507)</f>
        <v>0</v>
      </c>
      <c r="H508">
        <f>IF(Klantgegevens_B!H507&lt;&gt;"", Klantgegevens_B!H507, Klantgegevens_A!I507)</f>
        <v>14</v>
      </c>
      <c r="I508" t="str">
        <f>IF(Klantgegevens_B!I507&lt;&gt;"", Klantgegevens_B!I507, SWITCH(Klantgegevens_A!J507, "Zelden", 1, "Af en toe", 4, "Regelmatig", 8, "Vaak", 12))</f>
        <v>Payconiq</v>
      </c>
      <c r="J508" t="str">
        <f>IF(Klantgegevens_B!J507&lt;&gt;"", Klantgegevens_B!J507, Klantgegevens_A!K507)</f>
        <v>nee</v>
      </c>
      <c r="K508">
        <f>IF(Klantgegevens_B!K507&lt;&gt;"", AVERAGE(--(Klantgegevens_B!K507="ja"), --(Klantgegevens_B!L507="ja"), --(Klantgegevens_B!M507="ja"), --(Klantgegevens_B!N507="ja"), --(Klantgegevens_B!O507="ja"))*10, Klantgegevens_A!L507)</f>
        <v>4</v>
      </c>
      <c r="L508" t="str">
        <f>IF(Klantgegevens_B!K507&lt;&gt;"", Klantgegevens_B!K507, IF(Klantgegevens_A!L507&gt;=7, "ja", "nee"))</f>
        <v>nee</v>
      </c>
      <c r="M508" t="str">
        <f>IF(Klantgegevens_B!L507&lt;&gt;"", Klantgegevens_B!L507, IF(Klantgegevens_A!L507&gt;=7, "ja", "nee"))</f>
        <v>nee</v>
      </c>
      <c r="N508" t="str">
        <f>IF(Klantgegevens_B!M507&lt;&gt;"", Klantgegevens_B!M507, IF(Klantgegevens_A!L507&gt;=7, "ja", "nee"))</f>
        <v>ja</v>
      </c>
      <c r="O508" t="str">
        <f>IF(Klantgegevens_B!N507&lt;&gt;"", Klantgegevens_B!N507, IF(Klantgegevens_A!L507&gt;=7, "ja", "nee"))</f>
        <v>ja</v>
      </c>
      <c r="P508" t="str">
        <f>IF(Klantgegevens_B!O507&lt;&gt;"", Klantgegevens_B!O507, IF(Klantgegevens_A!L507&gt;=7, "ja", "nee"))</f>
        <v>Veganistisch</v>
      </c>
      <c r="Q508" t="str">
        <f>IF(Klantgegevens_B!P507&lt;&gt;"", Klantgegevens_B!P507, Klantgegevens_A!M507)</f>
        <v>Geen dieet</v>
      </c>
      <c r="R508" t="str">
        <f>IF(Klantgegevens_B!A507&lt;&gt;"", "B", "A")</f>
        <v>B</v>
      </c>
    </row>
    <row r="509" spans="1:18" x14ac:dyDescent="0.3">
      <c r="A509" t="str">
        <f>IF(Klantgegevens_B!A508&lt;&gt;"", Klantgegevens_B!A508, MID(Klantgegevens_A!A508, FIND(",", Klantgegevens_A!A508)+2, LEN(Klantgegevens_A!A508)))</f>
        <v>Guglielmo</v>
      </c>
      <c r="B509" t="str">
        <f>IF(Klantgegevens_B!B508&lt;&gt;"", Klantgegevens_B!B508, LEFT(Klantgegevens_A!A508, FIND(",", Klantgegevens_A!A508)-1))</f>
        <v>Dewulf</v>
      </c>
      <c r="C509" t="str">
        <f t="shared" ca="1" si="7"/>
        <v/>
      </c>
      <c r="D509" t="str">
        <f>IF(Klantgegevens_B!F508&lt;&gt;"", Klantgegevens_B!F508, Klantgegevens_A!D508 &amp; " " &amp; Klantgegevens_A!E508 &amp; ", " &amp; Klantgegevens_A!F508)</f>
        <v>Guglielmo,Wout,Filip,Stefan,Inge</v>
      </c>
      <c r="E509">
        <f>IF(Klantgegevens_B!G508&lt;&gt;"", Klantgegevens_B!G508, TEXTJOIN(",", TRUE, REPT("Volwassene,", Klantgegevens_A!G508), REPT("Kind,", Klantgegevens_A!H508)))</f>
        <v>157.07</v>
      </c>
      <c r="F509">
        <f>IF(Klantgegevens_B!G508&lt;&gt;"", LEN(Klantgegevens_B!G508)-LEN(SUBSTITUTE(Klantgegevens_B!G508, ",", ""))+1, Klantgegevens_A!G508)</f>
        <v>1</v>
      </c>
      <c r="G509">
        <f>IF(Klantgegevens_B!G508&lt;&gt;"", 0, Klantgegevens_A!H508)</f>
        <v>0</v>
      </c>
      <c r="H509">
        <f>IF(Klantgegevens_B!H508&lt;&gt;"", Klantgegevens_B!H508, Klantgegevens_A!I508)</f>
        <v>4</v>
      </c>
      <c r="I509" t="str">
        <f>IF(Klantgegevens_B!I508&lt;&gt;"", Klantgegevens_B!I508, SWITCH(Klantgegevens_A!J508, "Zelden", 1, "Af en toe", 4, "Regelmatig", 8, "Vaak", 12))</f>
        <v>Payconiq</v>
      </c>
      <c r="J509" t="str">
        <f>IF(Klantgegevens_B!J508&lt;&gt;"", Klantgegevens_B!J508, Klantgegevens_A!K508)</f>
        <v>ja</v>
      </c>
      <c r="K509">
        <f>IF(Klantgegevens_B!K508&lt;&gt;"", AVERAGE(--(Klantgegevens_B!K508="ja"), --(Klantgegevens_B!L508="ja"), --(Klantgegevens_B!M508="ja"), --(Klantgegevens_B!N508="ja"), --(Klantgegevens_B!O508="ja"))*10, Klantgegevens_A!L508)</f>
        <v>6</v>
      </c>
      <c r="L509" t="str">
        <f>IF(Klantgegevens_B!K508&lt;&gt;"", Klantgegevens_B!K508, IF(Klantgegevens_A!L508&gt;=7, "ja", "nee"))</f>
        <v>ja</v>
      </c>
      <c r="M509" t="str">
        <f>IF(Klantgegevens_B!L508&lt;&gt;"", Klantgegevens_B!L508, IF(Klantgegevens_A!L508&gt;=7, "ja", "nee"))</f>
        <v>ja</v>
      </c>
      <c r="N509" t="str">
        <f>IF(Klantgegevens_B!M508&lt;&gt;"", Klantgegevens_B!M508, IF(Klantgegevens_A!L508&gt;=7, "ja", "nee"))</f>
        <v>ja</v>
      </c>
      <c r="O509" t="str">
        <f>IF(Klantgegevens_B!N508&lt;&gt;"", Klantgegevens_B!N508, IF(Klantgegevens_A!L508&gt;=7, "ja", "nee"))</f>
        <v>nee</v>
      </c>
      <c r="P509" t="str">
        <f>IF(Klantgegevens_B!O508&lt;&gt;"", Klantgegevens_B!O508, IF(Klantgegevens_A!L508&gt;=7, "ja", "nee"))</f>
        <v>Geen dieet</v>
      </c>
      <c r="Q509" t="str">
        <f>IF(Klantgegevens_B!P508&lt;&gt;"", Klantgegevens_B!P508, Klantgegevens_A!M508)</f>
        <v>Geen dieet</v>
      </c>
      <c r="R509" t="str">
        <f>IF(Klantgegevens_B!A508&lt;&gt;"", "B", "A")</f>
        <v>B</v>
      </c>
    </row>
    <row r="510" spans="1:18" x14ac:dyDescent="0.3">
      <c r="A510" t="str">
        <f>IF(Klantgegevens_B!A509&lt;&gt;"", Klantgegevens_B!A509, MID(Klantgegevens_A!A509, FIND(",", Klantgegevens_A!A509)+2, LEN(Klantgegevens_A!A509)))</f>
        <v>Geert</v>
      </c>
      <c r="B510" t="str">
        <f>IF(Klantgegevens_B!B509&lt;&gt;"", Klantgegevens_B!B509, LEFT(Klantgegevens_A!A509, FIND(",", Klantgegevens_A!A509)-1))</f>
        <v>Marchal</v>
      </c>
      <c r="C510" t="str">
        <f t="shared" ca="1" si="7"/>
        <v/>
      </c>
      <c r="D510" t="str">
        <f>IF(Klantgegevens_B!F509&lt;&gt;"", Klantgegevens_B!F509, Klantgegevens_A!D509 &amp; " " &amp; Klantgegevens_A!E509 &amp; ", " &amp; Klantgegevens_A!F509)</f>
        <v>Geert,Caroline,Maria,Jim,Kato,Nikolinka,Rebecca</v>
      </c>
      <c r="E510">
        <f>IF(Klantgegevens_B!G509&lt;&gt;"", Klantgegevens_B!G509, TEXTJOIN(",", TRUE, REPT("Volwassene,", Klantgegevens_A!G509), REPT("Kind,", Klantgegevens_A!H509)))</f>
        <v>259.39999999999998</v>
      </c>
      <c r="F510">
        <f>IF(Klantgegevens_B!G509&lt;&gt;"", LEN(Klantgegevens_B!G509)-LEN(SUBSTITUTE(Klantgegevens_B!G509, ",", ""))+1, Klantgegevens_A!G509)</f>
        <v>1</v>
      </c>
      <c r="G510">
        <f>IF(Klantgegevens_B!G509&lt;&gt;"", 0, Klantgegevens_A!H509)</f>
        <v>0</v>
      </c>
      <c r="H510">
        <f>IF(Klantgegevens_B!H509&lt;&gt;"", Klantgegevens_B!H509, Klantgegevens_A!I509)</f>
        <v>19</v>
      </c>
      <c r="I510" t="str">
        <f>IF(Klantgegevens_B!I509&lt;&gt;"", Klantgegevens_B!I509, SWITCH(Klantgegevens_A!J509, "Zelden", 1, "Af en toe", 4, "Regelmatig", 8, "Vaak", 12))</f>
        <v>Payconiq</v>
      </c>
      <c r="J510" t="str">
        <f>IF(Klantgegevens_B!J509&lt;&gt;"", Klantgegevens_B!J509, Klantgegevens_A!K509)</f>
        <v>ja</v>
      </c>
      <c r="K510">
        <f>IF(Klantgegevens_B!K509&lt;&gt;"", AVERAGE(--(Klantgegevens_B!K509="ja"), --(Klantgegevens_B!L509="ja"), --(Klantgegevens_B!M509="ja"), --(Klantgegevens_B!N509="ja"), --(Klantgegevens_B!O509="ja"))*10, Klantgegevens_A!L509)</f>
        <v>4</v>
      </c>
      <c r="L510" t="str">
        <f>IF(Klantgegevens_B!K509&lt;&gt;"", Klantgegevens_B!K509, IF(Klantgegevens_A!L509&gt;=7, "ja", "nee"))</f>
        <v>nee</v>
      </c>
      <c r="M510" t="str">
        <f>IF(Klantgegevens_B!L509&lt;&gt;"", Klantgegevens_B!L509, IF(Klantgegevens_A!L509&gt;=7, "ja", "nee"))</f>
        <v>nee</v>
      </c>
      <c r="N510" t="str">
        <f>IF(Klantgegevens_B!M509&lt;&gt;"", Klantgegevens_B!M509, IF(Klantgegevens_A!L509&gt;=7, "ja", "nee"))</f>
        <v>ja</v>
      </c>
      <c r="O510" t="str">
        <f>IF(Klantgegevens_B!N509&lt;&gt;"", Klantgegevens_B!N509, IF(Klantgegevens_A!L509&gt;=7, "ja", "nee"))</f>
        <v>ja</v>
      </c>
      <c r="P510" t="str">
        <f>IF(Klantgegevens_B!O509&lt;&gt;"", Klantgegevens_B!O509, IF(Klantgegevens_A!L509&gt;=7, "ja", "nee"))</f>
        <v>Geen dieet</v>
      </c>
      <c r="Q510" t="str">
        <f>IF(Klantgegevens_B!P509&lt;&gt;"", Klantgegevens_B!P509, Klantgegevens_A!M509)</f>
        <v>Geen dieet</v>
      </c>
      <c r="R510" t="str">
        <f>IF(Klantgegevens_B!A509&lt;&gt;"", "B", "A")</f>
        <v>B</v>
      </c>
    </row>
    <row r="511" spans="1:18" x14ac:dyDescent="0.3">
      <c r="A511" t="str">
        <f>IF(Klantgegevens_B!A510&lt;&gt;"", Klantgegevens_B!A510, MID(Klantgegevens_A!A510, FIND(",", Klantgegevens_A!A510)+2, LEN(Klantgegevens_A!A510)))</f>
        <v>Anne-Sophie</v>
      </c>
      <c r="B511" t="str">
        <f>IF(Klantgegevens_B!B510&lt;&gt;"", Klantgegevens_B!B510, LEFT(Klantgegevens_A!A510, FIND(",", Klantgegevens_A!A510)-1))</f>
        <v>Moreau</v>
      </c>
      <c r="C511" t="str">
        <f t="shared" ca="1" si="7"/>
        <v/>
      </c>
      <c r="D511" t="str">
        <f>IF(Klantgegevens_B!F510&lt;&gt;"", Klantgegevens_B!F510, Klantgegevens_A!D510 &amp; " " &amp; Klantgegevens_A!E510 &amp; ", " &amp; Klantgegevens_A!F510)</f>
        <v>Anne-Sophie,Jutta</v>
      </c>
      <c r="E511">
        <f>IF(Klantgegevens_B!G510&lt;&gt;"", Klantgegevens_B!G510, TEXTJOIN(",", TRUE, REPT("Volwassene,", Klantgegevens_A!G510), REPT("Kind,", Klantgegevens_A!H510)))</f>
        <v>22.42</v>
      </c>
      <c r="F511">
        <f>IF(Klantgegevens_B!G510&lt;&gt;"", LEN(Klantgegevens_B!G510)-LEN(SUBSTITUTE(Klantgegevens_B!G510, ",", ""))+1, Klantgegevens_A!G510)</f>
        <v>1</v>
      </c>
      <c r="G511">
        <f>IF(Klantgegevens_B!G510&lt;&gt;"", 0, Klantgegevens_A!H510)</f>
        <v>0</v>
      </c>
      <c r="H511">
        <f>IF(Klantgegevens_B!H510&lt;&gt;"", Klantgegevens_B!H510, Klantgegevens_A!I510)</f>
        <v>12</v>
      </c>
      <c r="I511" t="str">
        <f>IF(Klantgegevens_B!I510&lt;&gt;"", Klantgegevens_B!I510, SWITCH(Klantgegevens_A!J510, "Zelden", 1, "Af en toe", 4, "Regelmatig", 8, "Vaak", 12))</f>
        <v>Bancontact</v>
      </c>
      <c r="J511" t="str">
        <f>IF(Klantgegevens_B!J510&lt;&gt;"", Klantgegevens_B!J510, Klantgegevens_A!K510)</f>
        <v>ja</v>
      </c>
      <c r="K511">
        <f>IF(Klantgegevens_B!K510&lt;&gt;"", AVERAGE(--(Klantgegevens_B!K510="ja"), --(Klantgegevens_B!L510="ja"), --(Klantgegevens_B!M510="ja"), --(Klantgegevens_B!N510="ja"), --(Klantgegevens_B!O510="ja"))*10, Klantgegevens_A!L510)</f>
        <v>8</v>
      </c>
      <c r="L511" t="str">
        <f>IF(Klantgegevens_B!K510&lt;&gt;"", Klantgegevens_B!K510, IF(Klantgegevens_A!L510&gt;=7, "ja", "nee"))</f>
        <v>ja</v>
      </c>
      <c r="M511" t="str">
        <f>IF(Klantgegevens_B!L510&lt;&gt;"", Klantgegevens_B!L510, IF(Klantgegevens_A!L510&gt;=7, "ja", "nee"))</f>
        <v>ja</v>
      </c>
      <c r="N511" t="str">
        <f>IF(Klantgegevens_B!M510&lt;&gt;"", Klantgegevens_B!M510, IF(Klantgegevens_A!L510&gt;=7, "ja", "nee"))</f>
        <v>ja</v>
      </c>
      <c r="O511" t="str">
        <f>IF(Klantgegevens_B!N510&lt;&gt;"", Klantgegevens_B!N510, IF(Klantgegevens_A!L510&gt;=7, "ja", "nee"))</f>
        <v>ja</v>
      </c>
      <c r="P511" t="str">
        <f>IF(Klantgegevens_B!O510&lt;&gt;"", Klantgegevens_B!O510, IF(Klantgegevens_A!L510&gt;=7, "ja", "nee"))</f>
        <v>Geen dieet</v>
      </c>
      <c r="Q511" t="str">
        <f>IF(Klantgegevens_B!P510&lt;&gt;"", Klantgegevens_B!P510, Klantgegevens_A!M510)</f>
        <v>Geen dieet</v>
      </c>
      <c r="R511" t="str">
        <f>IF(Klantgegevens_B!A510&lt;&gt;"", "B", "A")</f>
        <v>B</v>
      </c>
    </row>
    <row r="512" spans="1:18" x14ac:dyDescent="0.3">
      <c r="A512" t="str">
        <f>IF(Klantgegevens_B!A511&lt;&gt;"", Klantgegevens_B!A511, MID(Klantgegevens_A!A511, FIND(",", Klantgegevens_A!A511)+2, LEN(Klantgegevens_A!A511)))</f>
        <v>Adèle</v>
      </c>
      <c r="B512" t="str">
        <f>IF(Klantgegevens_B!B511&lt;&gt;"", Klantgegevens_B!B511, LEFT(Klantgegevens_A!A511, FIND(",", Klantgegevens_A!A511)-1))</f>
        <v>Vanderstraeten</v>
      </c>
      <c r="C512" t="str">
        <f t="shared" ca="1" si="7"/>
        <v/>
      </c>
      <c r="D512" t="str">
        <f>IF(Klantgegevens_B!F511&lt;&gt;"", Klantgegevens_B!F511, Klantgegevens_A!D511 &amp; " " &amp; Klantgegevens_A!E511 &amp; ", " &amp; Klantgegevens_A!F511)</f>
        <v>Adèle,Didier,Chantal</v>
      </c>
      <c r="E512">
        <f>IF(Klantgegevens_B!G511&lt;&gt;"", Klantgegevens_B!G511, TEXTJOIN(",", TRUE, REPT("Volwassene,", Klantgegevens_A!G511), REPT("Kind,", Klantgegevens_A!H511)))</f>
        <v>109.58</v>
      </c>
      <c r="F512">
        <f>IF(Klantgegevens_B!G511&lt;&gt;"", LEN(Klantgegevens_B!G511)-LEN(SUBSTITUTE(Klantgegevens_B!G511, ",", ""))+1, Klantgegevens_A!G511)</f>
        <v>1</v>
      </c>
      <c r="G512">
        <f>IF(Klantgegevens_B!G511&lt;&gt;"", 0, Klantgegevens_A!H511)</f>
        <v>0</v>
      </c>
      <c r="H512">
        <f>IF(Klantgegevens_B!H511&lt;&gt;"", Klantgegevens_B!H511, Klantgegevens_A!I511)</f>
        <v>12</v>
      </c>
      <c r="I512" t="str">
        <f>IF(Klantgegevens_B!I511&lt;&gt;"", Klantgegevens_B!I511, SWITCH(Klantgegevens_A!J511, "Zelden", 1, "Af en toe", 4, "Regelmatig", 8, "Vaak", 12))</f>
        <v>Bancontact</v>
      </c>
      <c r="J512" t="str">
        <f>IF(Klantgegevens_B!J511&lt;&gt;"", Klantgegevens_B!J511, Klantgegevens_A!K511)</f>
        <v>ja</v>
      </c>
      <c r="K512">
        <f>IF(Klantgegevens_B!K511&lt;&gt;"", AVERAGE(--(Klantgegevens_B!K511="ja"), --(Klantgegevens_B!L511="ja"), --(Klantgegevens_B!M511="ja"), --(Klantgegevens_B!N511="ja"), --(Klantgegevens_B!O511="ja"))*10, Klantgegevens_A!L511)</f>
        <v>4</v>
      </c>
      <c r="L512" t="str">
        <f>IF(Klantgegevens_B!K511&lt;&gt;"", Klantgegevens_B!K511, IF(Klantgegevens_A!L511&gt;=7, "ja", "nee"))</f>
        <v>nee</v>
      </c>
      <c r="M512" t="str">
        <f>IF(Klantgegevens_B!L511&lt;&gt;"", Klantgegevens_B!L511, IF(Klantgegevens_A!L511&gt;=7, "ja", "nee"))</f>
        <v>nee</v>
      </c>
      <c r="N512" t="str">
        <f>IF(Klantgegevens_B!M511&lt;&gt;"", Klantgegevens_B!M511, IF(Klantgegevens_A!L511&gt;=7, "ja", "nee"))</f>
        <v>ja</v>
      </c>
      <c r="O512" t="str">
        <f>IF(Klantgegevens_B!N511&lt;&gt;"", Klantgegevens_B!N511, IF(Klantgegevens_A!L511&gt;=7, "ja", "nee"))</f>
        <v>ja</v>
      </c>
      <c r="P512" t="str">
        <f>IF(Klantgegevens_B!O511&lt;&gt;"", Klantgegevens_B!O511, IF(Klantgegevens_A!L511&gt;=7, "ja", "nee"))</f>
        <v>Geen dieet</v>
      </c>
      <c r="Q512" t="str">
        <f>IF(Klantgegevens_B!P511&lt;&gt;"", Klantgegevens_B!P511, Klantgegevens_A!M511)</f>
        <v>Geen dieet</v>
      </c>
      <c r="R512" t="str">
        <f>IF(Klantgegevens_B!A511&lt;&gt;"", "B", "A")</f>
        <v>B</v>
      </c>
    </row>
    <row r="513" spans="1:18" x14ac:dyDescent="0.3">
      <c r="A513" t="str">
        <f>IF(Klantgegevens_B!A512&lt;&gt;"", Klantgegevens_B!A512, MID(Klantgegevens_A!A512, FIND(",", Klantgegevens_A!A512)+2, LEN(Klantgegevens_A!A512)))</f>
        <v>Rani</v>
      </c>
      <c r="B513" t="str">
        <f>IF(Klantgegevens_B!B512&lt;&gt;"", Klantgegevens_B!B512, LEFT(Klantgegevens_A!A512, FIND(",", Klantgegevens_A!A512)-1))</f>
        <v>Vermeulen</v>
      </c>
      <c r="C513" t="str">
        <f t="shared" ca="1" si="7"/>
        <v/>
      </c>
      <c r="D513" t="str">
        <f>IF(Klantgegevens_B!F512&lt;&gt;"", Klantgegevens_B!F512, Klantgegevens_A!D512 &amp; " " &amp; Klantgegevens_A!E512 &amp; ", " &amp; Klantgegevens_A!F512)</f>
        <v>Rani,Firmin,Lea,Fil</v>
      </c>
      <c r="E513">
        <f>IF(Klantgegevens_B!G512&lt;&gt;"", Klantgegevens_B!G512, TEXTJOIN(",", TRUE, REPT("Volwassene,", Klantgegevens_A!G512), REPT("Kind,", Klantgegevens_A!H512)))</f>
        <v>48.68</v>
      </c>
      <c r="F513">
        <f>IF(Klantgegevens_B!G512&lt;&gt;"", LEN(Klantgegevens_B!G512)-LEN(SUBSTITUTE(Klantgegevens_B!G512, ",", ""))+1, Klantgegevens_A!G512)</f>
        <v>1</v>
      </c>
      <c r="G513">
        <f>IF(Klantgegevens_B!G512&lt;&gt;"", 0, Klantgegevens_A!H512)</f>
        <v>0</v>
      </c>
      <c r="H513">
        <f>IF(Klantgegevens_B!H512&lt;&gt;"", Klantgegevens_B!H512, Klantgegevens_A!I512)</f>
        <v>1</v>
      </c>
      <c r="I513" t="str">
        <f>IF(Klantgegevens_B!I512&lt;&gt;"", Klantgegevens_B!I512, SWITCH(Klantgegevens_A!J512, "Zelden", 1, "Af en toe", 4, "Regelmatig", 8, "Vaak", 12))</f>
        <v>Payconiq</v>
      </c>
      <c r="J513" t="str">
        <f>IF(Klantgegevens_B!J512&lt;&gt;"", Klantgegevens_B!J512, Klantgegevens_A!K512)</f>
        <v>ja</v>
      </c>
      <c r="K513">
        <f>IF(Klantgegevens_B!K512&lt;&gt;"", AVERAGE(--(Klantgegevens_B!K512="ja"), --(Klantgegevens_B!L512="ja"), --(Klantgegevens_B!M512="ja"), --(Klantgegevens_B!N512="ja"), --(Klantgegevens_B!O512="ja"))*10, Klantgegevens_A!L512)</f>
        <v>6</v>
      </c>
      <c r="L513" t="str">
        <f>IF(Klantgegevens_B!K512&lt;&gt;"", Klantgegevens_B!K512, IF(Klantgegevens_A!L512&gt;=7, "ja", "nee"))</f>
        <v>ja</v>
      </c>
      <c r="M513" t="str">
        <f>IF(Klantgegevens_B!L512&lt;&gt;"", Klantgegevens_B!L512, IF(Klantgegevens_A!L512&gt;=7, "ja", "nee"))</f>
        <v>nee</v>
      </c>
      <c r="N513" t="str">
        <f>IF(Klantgegevens_B!M512&lt;&gt;"", Klantgegevens_B!M512, IF(Klantgegevens_A!L512&gt;=7, "ja", "nee"))</f>
        <v>ja</v>
      </c>
      <c r="O513" t="str">
        <f>IF(Klantgegevens_B!N512&lt;&gt;"", Klantgegevens_B!N512, IF(Klantgegevens_A!L512&gt;=7, "ja", "nee"))</f>
        <v>ja</v>
      </c>
      <c r="P513" t="str">
        <f>IF(Klantgegevens_B!O512&lt;&gt;"", Klantgegevens_B!O512, IF(Klantgegevens_A!L512&gt;=7, "ja", "nee"))</f>
        <v>Geen dieet</v>
      </c>
      <c r="Q513" t="str">
        <f>IF(Klantgegevens_B!P512&lt;&gt;"", Klantgegevens_B!P512, Klantgegevens_A!M512)</f>
        <v>Veganistisch</v>
      </c>
      <c r="R513" t="str">
        <f>IF(Klantgegevens_B!A512&lt;&gt;"", "B", "A")</f>
        <v>B</v>
      </c>
    </row>
    <row r="514" spans="1:18" x14ac:dyDescent="0.3">
      <c r="A514" t="str">
        <f>IF(Klantgegevens_B!A513&lt;&gt;"", Klantgegevens_B!A513, MID(Klantgegevens_A!A513, FIND(",", Klantgegevens_A!A513)+2, LEN(Klantgegevens_A!A513)))</f>
        <v>Antoine</v>
      </c>
      <c r="B514" t="str">
        <f>IF(Klantgegevens_B!B513&lt;&gt;"", Klantgegevens_B!B513, LEFT(Klantgegevens_A!A513, FIND(",", Klantgegevens_A!A513)-1))</f>
        <v>Massart</v>
      </c>
      <c r="C514" t="str">
        <f t="shared" ca="1" si="7"/>
        <v/>
      </c>
      <c r="D514" t="str">
        <f>IF(Klantgegevens_B!F513&lt;&gt;"", Klantgegevens_B!F513, Klantgegevens_A!D513 &amp; " " &amp; Klantgegevens_A!E513 &amp; ", " &amp; Klantgegevens_A!F513)</f>
        <v>Antoine</v>
      </c>
      <c r="E514">
        <f>IF(Klantgegevens_B!G513&lt;&gt;"", Klantgegevens_B!G513, TEXTJOIN(",", TRUE, REPT("Volwassene,", Klantgegevens_A!G513), REPT("Kind,", Klantgegevens_A!H513)))</f>
        <v>94.3</v>
      </c>
      <c r="F514">
        <f>IF(Klantgegevens_B!G513&lt;&gt;"", LEN(Klantgegevens_B!G513)-LEN(SUBSTITUTE(Klantgegevens_B!G513, ",", ""))+1, Klantgegevens_A!G513)</f>
        <v>1</v>
      </c>
      <c r="G514">
        <f>IF(Klantgegevens_B!G513&lt;&gt;"", 0, Klantgegevens_A!H513)</f>
        <v>0</v>
      </c>
      <c r="H514">
        <f>IF(Klantgegevens_B!H513&lt;&gt;"", Klantgegevens_B!H513, Klantgegevens_A!I513)</f>
        <v>5</v>
      </c>
      <c r="I514" t="str">
        <f>IF(Klantgegevens_B!I513&lt;&gt;"", Klantgegevens_B!I513, SWITCH(Klantgegevens_A!J513, "Zelden", 1, "Af en toe", 4, "Regelmatig", 8, "Vaak", 12))</f>
        <v>Cash</v>
      </c>
      <c r="J514" t="str">
        <f>IF(Klantgegevens_B!J513&lt;&gt;"", Klantgegevens_B!J513, Klantgegevens_A!K513)</f>
        <v>ja</v>
      </c>
      <c r="K514">
        <f>IF(Klantgegevens_B!K513&lt;&gt;"", AVERAGE(--(Klantgegevens_B!K513="ja"), --(Klantgegevens_B!L513="ja"), --(Klantgegevens_B!M513="ja"), --(Klantgegevens_B!N513="ja"), --(Klantgegevens_B!O513="ja"))*10, Klantgegevens_A!L513)</f>
        <v>2</v>
      </c>
      <c r="L514" t="str">
        <f>IF(Klantgegevens_B!K513&lt;&gt;"", Klantgegevens_B!K513, IF(Klantgegevens_A!L513&gt;=7, "ja", "nee"))</f>
        <v>nee</v>
      </c>
      <c r="M514" t="str">
        <f>IF(Klantgegevens_B!L513&lt;&gt;"", Klantgegevens_B!L513, IF(Klantgegevens_A!L513&gt;=7, "ja", "nee"))</f>
        <v>nee</v>
      </c>
      <c r="N514" t="str">
        <f>IF(Klantgegevens_B!M513&lt;&gt;"", Klantgegevens_B!M513, IF(Klantgegevens_A!L513&gt;=7, "ja", "nee"))</f>
        <v>ja</v>
      </c>
      <c r="O514" t="str">
        <f>IF(Klantgegevens_B!N513&lt;&gt;"", Klantgegevens_B!N513, IF(Klantgegevens_A!L513&gt;=7, "ja", "nee"))</f>
        <v>nee</v>
      </c>
      <c r="P514" t="str">
        <f>IF(Klantgegevens_B!O513&lt;&gt;"", Klantgegevens_B!O513, IF(Klantgegevens_A!L513&gt;=7, "ja", "nee"))</f>
        <v>Geen dieet</v>
      </c>
      <c r="Q514" t="str">
        <f>IF(Klantgegevens_B!P513&lt;&gt;"", Klantgegevens_B!P513, Klantgegevens_A!M513)</f>
        <v>Geen dieet</v>
      </c>
      <c r="R514" t="str">
        <f>IF(Klantgegevens_B!A513&lt;&gt;"", "B", "A")</f>
        <v>B</v>
      </c>
    </row>
    <row r="515" spans="1:18" x14ac:dyDescent="0.3">
      <c r="A515" t="str">
        <f>IF(Klantgegevens_B!A514&lt;&gt;"", Klantgegevens_B!A514, MID(Klantgegevens_A!A514, FIND(",", Klantgegevens_A!A514)+2, LEN(Klantgegevens_A!A514)))</f>
        <v>Mark</v>
      </c>
      <c r="B515" t="str">
        <f>IF(Klantgegevens_B!B514&lt;&gt;"", Klantgegevens_B!B514, LEFT(Klantgegevens_A!A514, FIND(",", Klantgegevens_A!A514)-1))</f>
        <v>Ceulemans</v>
      </c>
      <c r="C515" t="str">
        <f t="shared" ref="C515:C578" ca="1" si="8">C514 &amp; ", " &amp; B514</f>
        <v/>
      </c>
      <c r="D515" t="str">
        <f>IF(Klantgegevens_B!F514&lt;&gt;"", Klantgegevens_B!F514, Klantgegevens_A!D514 &amp; " " &amp; Klantgegevens_A!E514 &amp; ", " &amp; Klantgegevens_A!F514)</f>
        <v>Mark,Greet,Monique,Kyara</v>
      </c>
      <c r="E515">
        <f>IF(Klantgegevens_B!G514&lt;&gt;"", Klantgegevens_B!G514, TEXTJOIN(",", TRUE, REPT("Volwassene,", Klantgegevens_A!G514), REPT("Kind,", Klantgegevens_A!H514)))</f>
        <v>64.87</v>
      </c>
      <c r="F515">
        <f>IF(Klantgegevens_B!G514&lt;&gt;"", LEN(Klantgegevens_B!G514)-LEN(SUBSTITUTE(Klantgegevens_B!G514, ",", ""))+1, Klantgegevens_A!G514)</f>
        <v>1</v>
      </c>
      <c r="G515">
        <f>IF(Klantgegevens_B!G514&lt;&gt;"", 0, Klantgegevens_A!H514)</f>
        <v>0</v>
      </c>
      <c r="H515">
        <f>IF(Klantgegevens_B!H514&lt;&gt;"", Klantgegevens_B!H514, Klantgegevens_A!I514)</f>
        <v>12</v>
      </c>
      <c r="I515" t="str">
        <f>IF(Klantgegevens_B!I514&lt;&gt;"", Klantgegevens_B!I514, SWITCH(Klantgegevens_A!J514, "Zelden", 1, "Af en toe", 4, "Regelmatig", 8, "Vaak", 12))</f>
        <v>Payconiq</v>
      </c>
      <c r="J515" t="str">
        <f>IF(Klantgegevens_B!J514&lt;&gt;"", Klantgegevens_B!J514, Klantgegevens_A!K514)</f>
        <v>nee</v>
      </c>
      <c r="K515">
        <f>IF(Klantgegevens_B!K514&lt;&gt;"", AVERAGE(--(Klantgegevens_B!K514="ja"), --(Klantgegevens_B!L514="ja"), --(Klantgegevens_B!M514="ja"), --(Klantgegevens_B!N514="ja"), --(Klantgegevens_B!O514="ja"))*10, Klantgegevens_A!L514)</f>
        <v>4</v>
      </c>
      <c r="L515" t="str">
        <f>IF(Klantgegevens_B!K514&lt;&gt;"", Klantgegevens_B!K514, IF(Klantgegevens_A!L514&gt;=7, "ja", "nee"))</f>
        <v>nee</v>
      </c>
      <c r="M515" t="str">
        <f>IF(Klantgegevens_B!L514&lt;&gt;"", Klantgegevens_B!L514, IF(Klantgegevens_A!L514&gt;=7, "ja", "nee"))</f>
        <v>ja</v>
      </c>
      <c r="N515" t="str">
        <f>IF(Klantgegevens_B!M514&lt;&gt;"", Klantgegevens_B!M514, IF(Klantgegevens_A!L514&gt;=7, "ja", "nee"))</f>
        <v>nee</v>
      </c>
      <c r="O515" t="str">
        <f>IF(Klantgegevens_B!N514&lt;&gt;"", Klantgegevens_B!N514, IF(Klantgegevens_A!L514&gt;=7, "ja", "nee"))</f>
        <v>ja</v>
      </c>
      <c r="P515" t="str">
        <f>IF(Klantgegevens_B!O514&lt;&gt;"", Klantgegevens_B!O514, IF(Klantgegevens_A!L514&gt;=7, "ja", "nee"))</f>
        <v>Veganistisch</v>
      </c>
      <c r="Q515">
        <f>IF(Klantgegevens_B!P514&lt;&gt;"", Klantgegevens_B!P514, Klantgegevens_A!M514)</f>
        <v>0</v>
      </c>
      <c r="R515" t="str">
        <f>IF(Klantgegevens_B!A514&lt;&gt;"", "B", "A")</f>
        <v>B</v>
      </c>
    </row>
    <row r="516" spans="1:18" x14ac:dyDescent="0.3">
      <c r="A516" t="str">
        <f>IF(Klantgegevens_B!A515&lt;&gt;"", Klantgegevens_B!A515, MID(Klantgegevens_A!A515, FIND(",", Klantgegevens_A!A515)+2, LEN(Klantgegevens_A!A515)))</f>
        <v>Perrine</v>
      </c>
      <c r="B516" t="str">
        <f>IF(Klantgegevens_B!B515&lt;&gt;"", Klantgegevens_B!B515, LEFT(Klantgegevens_A!A515, FIND(",", Klantgegevens_A!A515)-1))</f>
        <v>Goffin</v>
      </c>
      <c r="C516" t="str">
        <f t="shared" ca="1" si="8"/>
        <v/>
      </c>
      <c r="D516" t="str">
        <f>IF(Klantgegevens_B!F515&lt;&gt;"", Klantgegevens_B!F515, Klantgegevens_A!D515 &amp; " " &amp; Klantgegevens_A!E515 &amp; ", " &amp; Klantgegevens_A!F515)</f>
        <v>Perrine,Ivana,Severine,Sarah</v>
      </c>
      <c r="E516">
        <f>IF(Klantgegevens_B!G515&lt;&gt;"", Klantgegevens_B!G515, TEXTJOIN(",", TRUE, REPT("Volwassene,", Klantgegevens_A!G515), REPT("Kind,", Klantgegevens_A!H515)))</f>
        <v>124.8</v>
      </c>
      <c r="F516">
        <f>IF(Klantgegevens_B!G515&lt;&gt;"", LEN(Klantgegevens_B!G515)-LEN(SUBSTITUTE(Klantgegevens_B!G515, ",", ""))+1, Klantgegevens_A!G515)</f>
        <v>1</v>
      </c>
      <c r="G516">
        <f>IF(Klantgegevens_B!G515&lt;&gt;"", 0, Klantgegevens_A!H515)</f>
        <v>0</v>
      </c>
      <c r="H516">
        <f>IF(Klantgegevens_B!H515&lt;&gt;"", Klantgegevens_B!H515, Klantgegevens_A!I515)</f>
        <v>14</v>
      </c>
      <c r="I516" t="str">
        <f>IF(Klantgegevens_B!I515&lt;&gt;"", Klantgegevens_B!I515, SWITCH(Klantgegevens_A!J515, "Zelden", 1, "Af en toe", 4, "Regelmatig", 8, "Vaak", 12))</f>
        <v>Bancontact</v>
      </c>
      <c r="J516" t="str">
        <f>IF(Klantgegevens_B!J515&lt;&gt;"", Klantgegevens_B!J515, Klantgegevens_A!K515)</f>
        <v>ja</v>
      </c>
      <c r="K516">
        <f>IF(Klantgegevens_B!K515&lt;&gt;"", AVERAGE(--(Klantgegevens_B!K515="ja"), --(Klantgegevens_B!L515="ja"), --(Klantgegevens_B!M515="ja"), --(Klantgegevens_B!N515="ja"), --(Klantgegevens_B!O515="ja"))*10, Klantgegevens_A!L515)</f>
        <v>6</v>
      </c>
      <c r="L516" t="str">
        <f>IF(Klantgegevens_B!K515&lt;&gt;"", Klantgegevens_B!K515, IF(Klantgegevens_A!L515&gt;=7, "ja", "nee"))</f>
        <v>ja</v>
      </c>
      <c r="M516" t="str">
        <f>IF(Klantgegevens_B!L515&lt;&gt;"", Klantgegevens_B!L515, IF(Klantgegevens_A!L515&gt;=7, "ja", "nee"))</f>
        <v>nee</v>
      </c>
      <c r="N516" t="str">
        <f>IF(Klantgegevens_B!M515&lt;&gt;"", Klantgegevens_B!M515, IF(Klantgegevens_A!L515&gt;=7, "ja", "nee"))</f>
        <v>ja</v>
      </c>
      <c r="O516" t="str">
        <f>IF(Klantgegevens_B!N515&lt;&gt;"", Klantgegevens_B!N515, IF(Klantgegevens_A!L515&gt;=7, "ja", "nee"))</f>
        <v>ja</v>
      </c>
      <c r="P516" t="str">
        <f>IF(Klantgegevens_B!O515&lt;&gt;"", Klantgegevens_B!O515, IF(Klantgegevens_A!L515&gt;=7, "ja", "nee"))</f>
        <v>Geen dieet</v>
      </c>
      <c r="Q516">
        <f>IF(Klantgegevens_B!P515&lt;&gt;"", Klantgegevens_B!P515, Klantgegevens_A!M515)</f>
        <v>0</v>
      </c>
      <c r="R516" t="str">
        <f>IF(Klantgegevens_B!A515&lt;&gt;"", "B", "A")</f>
        <v>B</v>
      </c>
    </row>
    <row r="517" spans="1:18" x14ac:dyDescent="0.3">
      <c r="A517" t="str">
        <f>IF(Klantgegevens_B!A516&lt;&gt;"", Klantgegevens_B!A516, MID(Klantgegevens_A!A516, FIND(",", Klantgegevens_A!A516)+2, LEN(Klantgegevens_A!A516)))</f>
        <v>Blanchette</v>
      </c>
      <c r="B517" t="str">
        <f>IF(Klantgegevens_B!B516&lt;&gt;"", Klantgegevens_B!B516, LEFT(Klantgegevens_A!A516, FIND(",", Klantgegevens_A!A516)-1))</f>
        <v>Bauwens</v>
      </c>
      <c r="C517" t="str">
        <f t="shared" ca="1" si="8"/>
        <v/>
      </c>
      <c r="D517" t="str">
        <f>IF(Klantgegevens_B!F516&lt;&gt;"", Klantgegevens_B!F516, Klantgegevens_A!D516 &amp; " " &amp; Klantgegevens_A!E516 &amp; ", " &amp; Klantgegevens_A!F516)</f>
        <v>Blanchette,Youssouf</v>
      </c>
      <c r="E517">
        <f>IF(Klantgegevens_B!G516&lt;&gt;"", Klantgegevens_B!G516, TEXTJOIN(",", TRUE, REPT("Volwassene,", Klantgegevens_A!G516), REPT("Kind,", Klantgegevens_A!H516)))</f>
        <v>64.489999999999995</v>
      </c>
      <c r="F517">
        <f>IF(Klantgegevens_B!G516&lt;&gt;"", LEN(Klantgegevens_B!G516)-LEN(SUBSTITUTE(Klantgegevens_B!G516, ",", ""))+1, Klantgegevens_A!G516)</f>
        <v>1</v>
      </c>
      <c r="G517">
        <f>IF(Klantgegevens_B!G516&lt;&gt;"", 0, Klantgegevens_A!H516)</f>
        <v>0</v>
      </c>
      <c r="H517">
        <f>IF(Klantgegevens_B!H516&lt;&gt;"", Klantgegevens_B!H516, Klantgegevens_A!I516)</f>
        <v>14</v>
      </c>
      <c r="I517" t="str">
        <f>IF(Klantgegevens_B!I516&lt;&gt;"", Klantgegevens_B!I516, SWITCH(Klantgegevens_A!J516, "Zelden", 1, "Af en toe", 4, "Regelmatig", 8, "Vaak", 12))</f>
        <v>Bancontact</v>
      </c>
      <c r="J517" t="str">
        <f>IF(Klantgegevens_B!J516&lt;&gt;"", Klantgegevens_B!J516, Klantgegevens_A!K516)</f>
        <v>nee</v>
      </c>
      <c r="K517">
        <f>IF(Klantgegevens_B!K516&lt;&gt;"", AVERAGE(--(Klantgegevens_B!K516="ja"), --(Klantgegevens_B!L516="ja"), --(Klantgegevens_B!M516="ja"), --(Klantgegevens_B!N516="ja"), --(Klantgegevens_B!O516="ja"))*10, Klantgegevens_A!L516)</f>
        <v>4</v>
      </c>
      <c r="L517" t="str">
        <f>IF(Klantgegevens_B!K516&lt;&gt;"", Klantgegevens_B!K516, IF(Klantgegevens_A!L516&gt;=7, "ja", "nee"))</f>
        <v>ja</v>
      </c>
      <c r="M517" t="str">
        <f>IF(Klantgegevens_B!L516&lt;&gt;"", Klantgegevens_B!L516, IF(Klantgegevens_A!L516&gt;=7, "ja", "nee"))</f>
        <v>nee</v>
      </c>
      <c r="N517" t="str">
        <f>IF(Klantgegevens_B!M516&lt;&gt;"", Klantgegevens_B!M516, IF(Klantgegevens_A!L516&gt;=7, "ja", "nee"))</f>
        <v>ja</v>
      </c>
      <c r="O517" t="str">
        <f>IF(Klantgegevens_B!N516&lt;&gt;"", Klantgegevens_B!N516, IF(Klantgegevens_A!L516&gt;=7, "ja", "nee"))</f>
        <v>nee</v>
      </c>
      <c r="P517" t="str">
        <f>IF(Klantgegevens_B!O516&lt;&gt;"", Klantgegevens_B!O516, IF(Klantgegevens_A!L516&gt;=7, "ja", "nee"))</f>
        <v>Geen dieet</v>
      </c>
      <c r="Q517">
        <f>IF(Klantgegevens_B!P516&lt;&gt;"", Klantgegevens_B!P516, Klantgegevens_A!M516)</f>
        <v>0</v>
      </c>
      <c r="R517" t="str">
        <f>IF(Klantgegevens_B!A516&lt;&gt;"", "B", "A")</f>
        <v>B</v>
      </c>
    </row>
    <row r="518" spans="1:18" x14ac:dyDescent="0.3">
      <c r="A518" t="str">
        <f>IF(Klantgegevens_B!A517&lt;&gt;"", Klantgegevens_B!A517, MID(Klantgegevens_A!A517, FIND(",", Klantgegevens_A!A517)+2, LEN(Klantgegevens_A!A517)))</f>
        <v>Paul</v>
      </c>
      <c r="B518" t="str">
        <f>IF(Klantgegevens_B!B517&lt;&gt;"", Klantgegevens_B!B517, LEFT(Klantgegevens_A!A517, FIND(",", Klantgegevens_A!A517)-1))</f>
        <v>Engels</v>
      </c>
      <c r="C518" t="str">
        <f t="shared" ca="1" si="8"/>
        <v/>
      </c>
      <c r="D518" t="str">
        <f>IF(Klantgegevens_B!F517&lt;&gt;"", Klantgegevens_B!F517, Klantgegevens_A!D517 &amp; " " &amp; Klantgegevens_A!E517 &amp; ", " &amp; Klantgegevens_A!F517)</f>
        <v>Paul</v>
      </c>
      <c r="E518">
        <f>IF(Klantgegevens_B!G517&lt;&gt;"", Klantgegevens_B!G517, TEXTJOIN(",", TRUE, REPT("Volwassene,", Klantgegevens_A!G517), REPT("Kind,", Klantgegevens_A!H517)))</f>
        <v>114.26</v>
      </c>
      <c r="F518">
        <f>IF(Klantgegevens_B!G517&lt;&gt;"", LEN(Klantgegevens_B!G517)-LEN(SUBSTITUTE(Klantgegevens_B!G517, ",", ""))+1, Klantgegevens_A!G517)</f>
        <v>1</v>
      </c>
      <c r="G518">
        <f>IF(Klantgegevens_B!G517&lt;&gt;"", 0, Klantgegevens_A!H517)</f>
        <v>0</v>
      </c>
      <c r="H518">
        <f>IF(Klantgegevens_B!H517&lt;&gt;"", Klantgegevens_B!H517, Klantgegevens_A!I517)</f>
        <v>6</v>
      </c>
      <c r="I518" t="str">
        <f>IF(Klantgegevens_B!I517&lt;&gt;"", Klantgegevens_B!I517, SWITCH(Klantgegevens_A!J517, "Zelden", 1, "Af en toe", 4, "Regelmatig", 8, "Vaak", 12))</f>
        <v>Payconiq</v>
      </c>
      <c r="J518" t="str">
        <f>IF(Klantgegevens_B!J517&lt;&gt;"", Klantgegevens_B!J517, Klantgegevens_A!K517)</f>
        <v>ja</v>
      </c>
      <c r="K518">
        <f>IF(Klantgegevens_B!K517&lt;&gt;"", AVERAGE(--(Klantgegevens_B!K517="ja"), --(Klantgegevens_B!L517="ja"), --(Klantgegevens_B!M517="ja"), --(Klantgegevens_B!N517="ja"), --(Klantgegevens_B!O517="ja"))*10, Klantgegevens_A!L517)</f>
        <v>8</v>
      </c>
      <c r="L518" t="str">
        <f>IF(Klantgegevens_B!K517&lt;&gt;"", Klantgegevens_B!K517, IF(Klantgegevens_A!L517&gt;=7, "ja", "nee"))</f>
        <v>ja</v>
      </c>
      <c r="M518" t="str">
        <f>IF(Klantgegevens_B!L517&lt;&gt;"", Klantgegevens_B!L517, IF(Klantgegevens_A!L517&gt;=7, "ja", "nee"))</f>
        <v>ja</v>
      </c>
      <c r="N518" t="str">
        <f>IF(Klantgegevens_B!M517&lt;&gt;"", Klantgegevens_B!M517, IF(Klantgegevens_A!L517&gt;=7, "ja", "nee"))</f>
        <v>ja</v>
      </c>
      <c r="O518" t="str">
        <f>IF(Klantgegevens_B!N517&lt;&gt;"", Klantgegevens_B!N517, IF(Klantgegevens_A!L517&gt;=7, "ja", "nee"))</f>
        <v>ja</v>
      </c>
      <c r="P518" t="str">
        <f>IF(Klantgegevens_B!O517&lt;&gt;"", Klantgegevens_B!O517, IF(Klantgegevens_A!L517&gt;=7, "ja", "nee"))</f>
        <v>Geen dieet</v>
      </c>
      <c r="Q518">
        <f>IF(Klantgegevens_B!P517&lt;&gt;"", Klantgegevens_B!P517, Klantgegevens_A!M517)</f>
        <v>0</v>
      </c>
      <c r="R518" t="str">
        <f>IF(Klantgegevens_B!A517&lt;&gt;"", "B", "A")</f>
        <v>B</v>
      </c>
    </row>
    <row r="519" spans="1:18" x14ac:dyDescent="0.3">
      <c r="A519" t="str">
        <f>IF(Klantgegevens_B!A518&lt;&gt;"", Klantgegevens_B!A518, MID(Klantgegevens_A!A518, FIND(",", Klantgegevens_A!A518)+2, LEN(Klantgegevens_A!A518)))</f>
        <v>Arne</v>
      </c>
      <c r="B519" t="str">
        <f>IF(Klantgegevens_B!B518&lt;&gt;"", Klantgegevens_B!B518, LEFT(Klantgegevens_A!A518, FIND(",", Klantgegevens_A!A518)-1))</f>
        <v>Dumont</v>
      </c>
      <c r="C519" t="str">
        <f t="shared" ca="1" si="8"/>
        <v/>
      </c>
      <c r="D519" t="str">
        <f>IF(Klantgegevens_B!F518&lt;&gt;"", Klantgegevens_B!F518, Klantgegevens_A!D518 &amp; " " &amp; Klantgegevens_A!E518 &amp; ", " &amp; Klantgegevens_A!F518)</f>
        <v>Arne</v>
      </c>
      <c r="E519">
        <f>IF(Klantgegevens_B!G518&lt;&gt;"", Klantgegevens_B!G518, TEXTJOIN(",", TRUE, REPT("Volwassene,", Klantgegevens_A!G518), REPT("Kind,", Klantgegevens_A!H518)))</f>
        <v>147.09</v>
      </c>
      <c r="F519">
        <f>IF(Klantgegevens_B!G518&lt;&gt;"", LEN(Klantgegevens_B!G518)-LEN(SUBSTITUTE(Klantgegevens_B!G518, ",", ""))+1, Klantgegevens_A!G518)</f>
        <v>1</v>
      </c>
      <c r="G519">
        <f>IF(Klantgegevens_B!G518&lt;&gt;"", 0, Klantgegevens_A!H518)</f>
        <v>0</v>
      </c>
      <c r="H519">
        <f>IF(Klantgegevens_B!H518&lt;&gt;"", Klantgegevens_B!H518, Klantgegevens_A!I518)</f>
        <v>16</v>
      </c>
      <c r="I519" t="str">
        <f>IF(Klantgegevens_B!I518&lt;&gt;"", Klantgegevens_B!I518, SWITCH(Klantgegevens_A!J518, "Zelden", 1, "Af en toe", 4, "Regelmatig", 8, "Vaak", 12))</f>
        <v>Bancontact</v>
      </c>
      <c r="J519" t="str">
        <f>IF(Klantgegevens_B!J518&lt;&gt;"", Klantgegevens_B!J518, Klantgegevens_A!K518)</f>
        <v>ja</v>
      </c>
      <c r="K519">
        <f>IF(Klantgegevens_B!K518&lt;&gt;"", AVERAGE(--(Klantgegevens_B!K518="ja"), --(Klantgegevens_B!L518="ja"), --(Klantgegevens_B!M518="ja"), --(Klantgegevens_B!N518="ja"), --(Klantgegevens_B!O518="ja"))*10, Klantgegevens_A!L518)</f>
        <v>6</v>
      </c>
      <c r="L519" t="str">
        <f>IF(Klantgegevens_B!K518&lt;&gt;"", Klantgegevens_B!K518, IF(Klantgegevens_A!L518&gt;=7, "ja", "nee"))</f>
        <v>nee</v>
      </c>
      <c r="M519" t="str">
        <f>IF(Klantgegevens_B!L518&lt;&gt;"", Klantgegevens_B!L518, IF(Klantgegevens_A!L518&gt;=7, "ja", "nee"))</f>
        <v>ja</v>
      </c>
      <c r="N519" t="str">
        <f>IF(Klantgegevens_B!M518&lt;&gt;"", Klantgegevens_B!M518, IF(Klantgegevens_A!L518&gt;=7, "ja", "nee"))</f>
        <v>ja</v>
      </c>
      <c r="O519" t="str">
        <f>IF(Klantgegevens_B!N518&lt;&gt;"", Klantgegevens_B!N518, IF(Klantgegevens_A!L518&gt;=7, "ja", "nee"))</f>
        <v>ja</v>
      </c>
      <c r="P519" t="str">
        <f>IF(Klantgegevens_B!O518&lt;&gt;"", Klantgegevens_B!O518, IF(Klantgegevens_A!L518&gt;=7, "ja", "nee"))</f>
        <v>Geen dieet</v>
      </c>
      <c r="Q519">
        <f>IF(Klantgegevens_B!P518&lt;&gt;"", Klantgegevens_B!P518, Klantgegevens_A!M518)</f>
        <v>0</v>
      </c>
      <c r="R519" t="str">
        <f>IF(Klantgegevens_B!A518&lt;&gt;"", "B", "A")</f>
        <v>B</v>
      </c>
    </row>
    <row r="520" spans="1:18" x14ac:dyDescent="0.3">
      <c r="A520" t="str">
        <f>IF(Klantgegevens_B!A519&lt;&gt;"", Klantgegevens_B!A519, MID(Klantgegevens_A!A519, FIND(",", Klantgegevens_A!A519)+2, LEN(Klantgegevens_A!A519)))</f>
        <v>Daniel</v>
      </c>
      <c r="B520" t="str">
        <f>IF(Klantgegevens_B!B519&lt;&gt;"", Klantgegevens_B!B519, LEFT(Klantgegevens_A!A519, FIND(",", Klantgegevens_A!A519)-1))</f>
        <v>Simon</v>
      </c>
      <c r="C520" t="str">
        <f t="shared" ca="1" si="8"/>
        <v/>
      </c>
      <c r="D520" t="str">
        <f>IF(Klantgegevens_B!F519&lt;&gt;"", Klantgegevens_B!F519, Klantgegevens_A!D519 &amp; " " &amp; Klantgegevens_A!E519 &amp; ", " &amp; Klantgegevens_A!F519)</f>
        <v>Daniel,Lucas</v>
      </c>
      <c r="E520">
        <f>IF(Klantgegevens_B!G519&lt;&gt;"", Klantgegevens_B!G519, TEXTJOIN(",", TRUE, REPT("Volwassene,", Klantgegevens_A!G519), REPT("Kind,", Klantgegevens_A!H519)))</f>
        <v>76.849999999999994</v>
      </c>
      <c r="F520">
        <f>IF(Klantgegevens_B!G519&lt;&gt;"", LEN(Klantgegevens_B!G519)-LEN(SUBSTITUTE(Klantgegevens_B!G519, ",", ""))+1, Klantgegevens_A!G519)</f>
        <v>1</v>
      </c>
      <c r="G520">
        <f>IF(Klantgegevens_B!G519&lt;&gt;"", 0, Klantgegevens_A!H519)</f>
        <v>0</v>
      </c>
      <c r="H520">
        <f>IF(Klantgegevens_B!H519&lt;&gt;"", Klantgegevens_B!H519, Klantgegevens_A!I519)</f>
        <v>10</v>
      </c>
      <c r="I520" t="str">
        <f>IF(Klantgegevens_B!I519&lt;&gt;"", Klantgegevens_B!I519, SWITCH(Klantgegevens_A!J519, "Zelden", 1, "Af en toe", 4, "Regelmatig", 8, "Vaak", 12))</f>
        <v>Bancontact</v>
      </c>
      <c r="J520" t="str">
        <f>IF(Klantgegevens_B!J519&lt;&gt;"", Klantgegevens_B!J519, Klantgegevens_A!K519)</f>
        <v>ja</v>
      </c>
      <c r="K520">
        <f>IF(Klantgegevens_B!K519&lt;&gt;"", AVERAGE(--(Klantgegevens_B!K519="ja"), --(Klantgegevens_B!L519="ja"), --(Klantgegevens_B!M519="ja"), --(Klantgegevens_B!N519="ja"), --(Klantgegevens_B!O519="ja"))*10, Klantgegevens_A!L519)</f>
        <v>6</v>
      </c>
      <c r="L520" t="str">
        <f>IF(Klantgegevens_B!K519&lt;&gt;"", Klantgegevens_B!K519, IF(Klantgegevens_A!L519&gt;=7, "ja", "nee"))</f>
        <v>nee</v>
      </c>
      <c r="M520" t="str">
        <f>IF(Klantgegevens_B!L519&lt;&gt;"", Klantgegevens_B!L519, IF(Klantgegevens_A!L519&gt;=7, "ja", "nee"))</f>
        <v>ja</v>
      </c>
      <c r="N520" t="str">
        <f>IF(Klantgegevens_B!M519&lt;&gt;"", Klantgegevens_B!M519, IF(Klantgegevens_A!L519&gt;=7, "ja", "nee"))</f>
        <v>ja</v>
      </c>
      <c r="O520" t="str">
        <f>IF(Klantgegevens_B!N519&lt;&gt;"", Klantgegevens_B!N519, IF(Klantgegevens_A!L519&gt;=7, "ja", "nee"))</f>
        <v>ja</v>
      </c>
      <c r="P520" t="str">
        <f>IF(Klantgegevens_B!O519&lt;&gt;"", Klantgegevens_B!O519, IF(Klantgegevens_A!L519&gt;=7, "ja", "nee"))</f>
        <v>Geen dieet</v>
      </c>
      <c r="Q520">
        <f>IF(Klantgegevens_B!P519&lt;&gt;"", Klantgegevens_B!P519, Klantgegevens_A!M519)</f>
        <v>0</v>
      </c>
      <c r="R520" t="str">
        <f>IF(Klantgegevens_B!A519&lt;&gt;"", "B", "A")</f>
        <v>B</v>
      </c>
    </row>
    <row r="521" spans="1:18" x14ac:dyDescent="0.3">
      <c r="A521" t="str">
        <f>IF(Klantgegevens_B!A520&lt;&gt;"", Klantgegevens_B!A520, MID(Klantgegevens_A!A520, FIND(",", Klantgegevens_A!A520)+2, LEN(Klantgegevens_A!A520)))</f>
        <v>Pieter</v>
      </c>
      <c r="B521" t="str">
        <f>IF(Klantgegevens_B!B520&lt;&gt;"", Klantgegevens_B!B520, LEFT(Klantgegevens_A!A520, FIND(",", Klantgegevens_A!A520)-1))</f>
        <v>D'hondt</v>
      </c>
      <c r="C521" t="str">
        <f t="shared" ca="1" si="8"/>
        <v/>
      </c>
      <c r="D521" t="str">
        <f>IF(Klantgegevens_B!F520&lt;&gt;"", Klantgegevens_B!F520, Klantgegevens_A!D520 &amp; " " &amp; Klantgegevens_A!E520 &amp; ", " &amp; Klantgegevens_A!F520)</f>
        <v>Pieter,Johan,Laurence</v>
      </c>
      <c r="E521">
        <f>IF(Klantgegevens_B!G520&lt;&gt;"", Klantgegevens_B!G520, TEXTJOIN(",", TRUE, REPT("Volwassene,", Klantgegevens_A!G520), REPT("Kind,", Klantgegevens_A!H520)))</f>
        <v>126.29</v>
      </c>
      <c r="F521">
        <f>IF(Klantgegevens_B!G520&lt;&gt;"", LEN(Klantgegevens_B!G520)-LEN(SUBSTITUTE(Klantgegevens_B!G520, ",", ""))+1, Klantgegevens_A!G520)</f>
        <v>1</v>
      </c>
      <c r="G521">
        <f>IF(Klantgegevens_B!G520&lt;&gt;"", 0, Klantgegevens_A!H520)</f>
        <v>0</v>
      </c>
      <c r="H521">
        <f>IF(Klantgegevens_B!H520&lt;&gt;"", Klantgegevens_B!H520, Klantgegevens_A!I520)</f>
        <v>9</v>
      </c>
      <c r="I521" t="str">
        <f>IF(Klantgegevens_B!I520&lt;&gt;"", Klantgegevens_B!I520, SWITCH(Klantgegevens_A!J520, "Zelden", 1, "Af en toe", 4, "Regelmatig", 8, "Vaak", 12))</f>
        <v>Payconiq</v>
      </c>
      <c r="J521" t="str">
        <f>IF(Klantgegevens_B!J520&lt;&gt;"", Klantgegevens_B!J520, Klantgegevens_A!K520)</f>
        <v>ja</v>
      </c>
      <c r="K521">
        <f>IF(Klantgegevens_B!K520&lt;&gt;"", AVERAGE(--(Klantgegevens_B!K520="ja"), --(Klantgegevens_B!L520="ja"), --(Klantgegevens_B!M520="ja"), --(Klantgegevens_B!N520="ja"), --(Klantgegevens_B!O520="ja"))*10, Klantgegevens_A!L520)</f>
        <v>6</v>
      </c>
      <c r="L521" t="str">
        <f>IF(Klantgegevens_B!K520&lt;&gt;"", Klantgegevens_B!K520, IF(Klantgegevens_A!L520&gt;=7, "ja", "nee"))</f>
        <v>ja</v>
      </c>
      <c r="M521" t="str">
        <f>IF(Klantgegevens_B!L520&lt;&gt;"", Klantgegevens_B!L520, IF(Klantgegevens_A!L520&gt;=7, "ja", "nee"))</f>
        <v>ja</v>
      </c>
      <c r="N521" t="str">
        <f>IF(Klantgegevens_B!M520&lt;&gt;"", Klantgegevens_B!M520, IF(Klantgegevens_A!L520&gt;=7, "ja", "nee"))</f>
        <v>nee</v>
      </c>
      <c r="O521" t="str">
        <f>IF(Klantgegevens_B!N520&lt;&gt;"", Klantgegevens_B!N520, IF(Klantgegevens_A!L520&gt;=7, "ja", "nee"))</f>
        <v>ja</v>
      </c>
      <c r="P521" t="str">
        <f>IF(Klantgegevens_B!O520&lt;&gt;"", Klantgegevens_B!O520, IF(Klantgegevens_A!L520&gt;=7, "ja", "nee"))</f>
        <v>Geen dieet</v>
      </c>
      <c r="Q521">
        <f>IF(Klantgegevens_B!P520&lt;&gt;"", Klantgegevens_B!P520, Klantgegevens_A!M520)</f>
        <v>0</v>
      </c>
      <c r="R521" t="str">
        <f>IF(Klantgegevens_B!A520&lt;&gt;"", "B", "A")</f>
        <v>B</v>
      </c>
    </row>
    <row r="522" spans="1:18" x14ac:dyDescent="0.3">
      <c r="A522" t="str">
        <f>IF(Klantgegevens_B!A521&lt;&gt;"", Klantgegevens_B!A521, MID(Klantgegevens_A!A521, FIND(",", Klantgegevens_A!A521)+2, LEN(Klantgegevens_A!A521)))</f>
        <v>Bruno</v>
      </c>
      <c r="B522" t="str">
        <f>IF(Klantgegevens_B!B521&lt;&gt;"", Klantgegevens_B!B521, LEFT(Klantgegevens_A!A521, FIND(",", Klantgegevens_A!A521)-1))</f>
        <v>Leysen</v>
      </c>
      <c r="C522" t="str">
        <f t="shared" ca="1" si="8"/>
        <v/>
      </c>
      <c r="D522" t="str">
        <f>IF(Klantgegevens_B!F521&lt;&gt;"", Klantgegevens_B!F521, Klantgegevens_A!D521 &amp; " " &amp; Klantgegevens_A!E521 &amp; ", " &amp; Klantgegevens_A!F521)</f>
        <v>Bruno,Bradley</v>
      </c>
      <c r="E522">
        <f>IF(Klantgegevens_B!G521&lt;&gt;"", Klantgegevens_B!G521, TEXTJOIN(",", TRUE, REPT("Volwassene,", Klantgegevens_A!G521), REPT("Kind,", Klantgegevens_A!H521)))</f>
        <v>78.88</v>
      </c>
      <c r="F522">
        <f>IF(Klantgegevens_B!G521&lt;&gt;"", LEN(Klantgegevens_B!G521)-LEN(SUBSTITUTE(Klantgegevens_B!G521, ",", ""))+1, Klantgegevens_A!G521)</f>
        <v>1</v>
      </c>
      <c r="G522">
        <f>IF(Klantgegevens_B!G521&lt;&gt;"", 0, Klantgegevens_A!H521)</f>
        <v>0</v>
      </c>
      <c r="H522">
        <f>IF(Klantgegevens_B!H521&lt;&gt;"", Klantgegevens_B!H521, Klantgegevens_A!I521)</f>
        <v>12</v>
      </c>
      <c r="I522" t="str">
        <f>IF(Klantgegevens_B!I521&lt;&gt;"", Klantgegevens_B!I521, SWITCH(Klantgegevens_A!J521, "Zelden", 1, "Af en toe", 4, "Regelmatig", 8, "Vaak", 12))</f>
        <v>Cash</v>
      </c>
      <c r="J522" t="str">
        <f>IF(Klantgegevens_B!J521&lt;&gt;"", Klantgegevens_B!J521, Klantgegevens_A!K521)</f>
        <v>ja</v>
      </c>
      <c r="K522">
        <f>IF(Klantgegevens_B!K521&lt;&gt;"", AVERAGE(--(Klantgegevens_B!K521="ja"), --(Klantgegevens_B!L521="ja"), --(Klantgegevens_B!M521="ja"), --(Klantgegevens_B!N521="ja"), --(Klantgegevens_B!O521="ja"))*10, Klantgegevens_A!L521)</f>
        <v>6</v>
      </c>
      <c r="L522" t="str">
        <f>IF(Klantgegevens_B!K521&lt;&gt;"", Klantgegevens_B!K521, IF(Klantgegevens_A!L521&gt;=7, "ja", "nee"))</f>
        <v>ja</v>
      </c>
      <c r="M522" t="str">
        <f>IF(Klantgegevens_B!L521&lt;&gt;"", Klantgegevens_B!L521, IF(Klantgegevens_A!L521&gt;=7, "ja", "nee"))</f>
        <v>ja</v>
      </c>
      <c r="N522" t="str">
        <f>IF(Klantgegevens_B!M521&lt;&gt;"", Klantgegevens_B!M521, IF(Klantgegevens_A!L521&gt;=7, "ja", "nee"))</f>
        <v>nee</v>
      </c>
      <c r="O522" t="str">
        <f>IF(Klantgegevens_B!N521&lt;&gt;"", Klantgegevens_B!N521, IF(Klantgegevens_A!L521&gt;=7, "ja", "nee"))</f>
        <v>ja</v>
      </c>
      <c r="P522" t="str">
        <f>IF(Klantgegevens_B!O521&lt;&gt;"", Klantgegevens_B!O521, IF(Klantgegevens_A!L521&gt;=7, "ja", "nee"))</f>
        <v>Vegetarisch</v>
      </c>
      <c r="Q522">
        <f>IF(Klantgegevens_B!P521&lt;&gt;"", Klantgegevens_B!P521, Klantgegevens_A!M521)</f>
        <v>0</v>
      </c>
      <c r="R522" t="str">
        <f>IF(Klantgegevens_B!A521&lt;&gt;"", "B", "A")</f>
        <v>B</v>
      </c>
    </row>
    <row r="523" spans="1:18" x14ac:dyDescent="0.3">
      <c r="A523" t="str">
        <f>IF(Klantgegevens_B!A522&lt;&gt;"", Klantgegevens_B!A522, MID(Klantgegevens_A!A522, FIND(",", Klantgegevens_A!A522)+2, LEN(Klantgegevens_A!A522)))</f>
        <v>Marina</v>
      </c>
      <c r="B523" t="str">
        <f>IF(Klantgegevens_B!B522&lt;&gt;"", Klantgegevens_B!B522, LEFT(Klantgegevens_A!A522, FIND(",", Klantgegevens_A!A522)-1))</f>
        <v>Verlinden</v>
      </c>
      <c r="C523" t="str">
        <f t="shared" ca="1" si="8"/>
        <v/>
      </c>
      <c r="D523" t="str">
        <f>IF(Klantgegevens_B!F522&lt;&gt;"", Klantgegevens_B!F522, Klantgegevens_A!D522 &amp; " " &amp; Klantgegevens_A!E522 &amp; ", " &amp; Klantgegevens_A!F522)</f>
        <v>Marina,Elisabeth,Walter,Nancy</v>
      </c>
      <c r="E523">
        <f>IF(Klantgegevens_B!G522&lt;&gt;"", Klantgegevens_B!G522, TEXTJOIN(",", TRUE, REPT("Volwassene,", Klantgegevens_A!G522), REPT("Kind,", Klantgegevens_A!H522)))</f>
        <v>114.5</v>
      </c>
      <c r="F523">
        <f>IF(Klantgegevens_B!G522&lt;&gt;"", LEN(Klantgegevens_B!G522)-LEN(SUBSTITUTE(Klantgegevens_B!G522, ",", ""))+1, Klantgegevens_A!G522)</f>
        <v>1</v>
      </c>
      <c r="G523">
        <f>IF(Klantgegevens_B!G522&lt;&gt;"", 0, Klantgegevens_A!H522)</f>
        <v>0</v>
      </c>
      <c r="H523">
        <f>IF(Klantgegevens_B!H522&lt;&gt;"", Klantgegevens_B!H522, Klantgegevens_A!I522)</f>
        <v>7</v>
      </c>
      <c r="I523" t="str">
        <f>IF(Klantgegevens_B!I522&lt;&gt;"", Klantgegevens_B!I522, SWITCH(Klantgegevens_A!J522, "Zelden", 1, "Af en toe", 4, "Regelmatig", 8, "Vaak", 12))</f>
        <v>Bancontact</v>
      </c>
      <c r="J523" t="str">
        <f>IF(Klantgegevens_B!J522&lt;&gt;"", Klantgegevens_B!J522, Klantgegevens_A!K522)</f>
        <v>ja</v>
      </c>
      <c r="K523">
        <f>IF(Klantgegevens_B!K522&lt;&gt;"", AVERAGE(--(Klantgegevens_B!K522="ja"), --(Klantgegevens_B!L522="ja"), --(Klantgegevens_B!M522="ja"), --(Klantgegevens_B!N522="ja"), --(Klantgegevens_B!O522="ja"))*10, Klantgegevens_A!L522)</f>
        <v>8</v>
      </c>
      <c r="L523" t="str">
        <f>IF(Klantgegevens_B!K522&lt;&gt;"", Klantgegevens_B!K522, IF(Klantgegevens_A!L522&gt;=7, "ja", "nee"))</f>
        <v>ja</v>
      </c>
      <c r="M523" t="str">
        <f>IF(Klantgegevens_B!L522&lt;&gt;"", Klantgegevens_B!L522, IF(Klantgegevens_A!L522&gt;=7, "ja", "nee"))</f>
        <v>ja</v>
      </c>
      <c r="N523" t="str">
        <f>IF(Klantgegevens_B!M522&lt;&gt;"", Klantgegevens_B!M522, IF(Klantgegevens_A!L522&gt;=7, "ja", "nee"))</f>
        <v>ja</v>
      </c>
      <c r="O523" t="str">
        <f>IF(Klantgegevens_B!N522&lt;&gt;"", Klantgegevens_B!N522, IF(Klantgegevens_A!L522&gt;=7, "ja", "nee"))</f>
        <v>ja</v>
      </c>
      <c r="P523" t="str">
        <f>IF(Klantgegevens_B!O522&lt;&gt;"", Klantgegevens_B!O522, IF(Klantgegevens_A!L522&gt;=7, "ja", "nee"))</f>
        <v>Geen dieet</v>
      </c>
      <c r="Q523">
        <f>IF(Klantgegevens_B!P522&lt;&gt;"", Klantgegevens_B!P522, Klantgegevens_A!M522)</f>
        <v>0</v>
      </c>
      <c r="R523" t="str">
        <f>IF(Klantgegevens_B!A522&lt;&gt;"", "B", "A")</f>
        <v>B</v>
      </c>
    </row>
    <row r="524" spans="1:18" x14ac:dyDescent="0.3">
      <c r="A524" t="str">
        <f>IF(Klantgegevens_B!A523&lt;&gt;"", Klantgegevens_B!A523, MID(Klantgegevens_A!A523, FIND(",", Klantgegevens_A!A523)+2, LEN(Klantgegevens_A!A523)))</f>
        <v>Françoise</v>
      </c>
      <c r="B524" t="str">
        <f>IF(Klantgegevens_B!B523&lt;&gt;"", Klantgegevens_B!B523, LEFT(Klantgegevens_A!A523, FIND(",", Klantgegevens_A!A523)-1))</f>
        <v>Pirotte</v>
      </c>
      <c r="C524" t="str">
        <f t="shared" ca="1" si="8"/>
        <v/>
      </c>
      <c r="D524" t="str">
        <f>IF(Klantgegevens_B!F523&lt;&gt;"", Klantgegevens_B!F523, Klantgegevens_A!D523 &amp; " " &amp; Klantgegevens_A!E523 &amp; ", " &amp; Klantgegevens_A!F523)</f>
        <v>Françoise,Jeanne,Michel,Bart</v>
      </c>
      <c r="E524">
        <f>IF(Klantgegevens_B!G523&lt;&gt;"", Klantgegevens_B!G523, TEXTJOIN(",", TRUE, REPT("Volwassene,", Klantgegevens_A!G523), REPT("Kind,", Klantgegevens_A!H523)))</f>
        <v>171.15</v>
      </c>
      <c r="F524">
        <f>IF(Klantgegevens_B!G523&lt;&gt;"", LEN(Klantgegevens_B!G523)-LEN(SUBSTITUTE(Klantgegevens_B!G523, ",", ""))+1, Klantgegevens_A!G523)</f>
        <v>1</v>
      </c>
      <c r="G524">
        <f>IF(Klantgegevens_B!G523&lt;&gt;"", 0, Klantgegevens_A!H523)</f>
        <v>0</v>
      </c>
      <c r="H524">
        <f>IF(Klantgegevens_B!H523&lt;&gt;"", Klantgegevens_B!H523, Klantgegevens_A!I523)</f>
        <v>12</v>
      </c>
      <c r="I524" t="str">
        <f>IF(Klantgegevens_B!I523&lt;&gt;"", Klantgegevens_B!I523, SWITCH(Klantgegevens_A!J523, "Zelden", 1, "Af en toe", 4, "Regelmatig", 8, "Vaak", 12))</f>
        <v>Cash</v>
      </c>
      <c r="J524" t="str">
        <f>IF(Klantgegevens_B!J523&lt;&gt;"", Klantgegevens_B!J523, Klantgegevens_A!K523)</f>
        <v>ja</v>
      </c>
      <c r="K524">
        <f>IF(Klantgegevens_B!K523&lt;&gt;"", AVERAGE(--(Klantgegevens_B!K523="ja"), --(Klantgegevens_B!L523="ja"), --(Klantgegevens_B!M523="ja"), --(Klantgegevens_B!N523="ja"), --(Klantgegevens_B!O523="ja"))*10, Klantgegevens_A!L523)</f>
        <v>8</v>
      </c>
      <c r="L524" t="str">
        <f>IF(Klantgegevens_B!K523&lt;&gt;"", Klantgegevens_B!K523, IF(Klantgegevens_A!L523&gt;=7, "ja", "nee"))</f>
        <v>ja</v>
      </c>
      <c r="M524" t="str">
        <f>IF(Klantgegevens_B!L523&lt;&gt;"", Klantgegevens_B!L523, IF(Klantgegevens_A!L523&gt;=7, "ja", "nee"))</f>
        <v>ja</v>
      </c>
      <c r="N524" t="str">
        <f>IF(Klantgegevens_B!M523&lt;&gt;"", Klantgegevens_B!M523, IF(Klantgegevens_A!L523&gt;=7, "ja", "nee"))</f>
        <v>ja</v>
      </c>
      <c r="O524" t="str">
        <f>IF(Klantgegevens_B!N523&lt;&gt;"", Klantgegevens_B!N523, IF(Klantgegevens_A!L523&gt;=7, "ja", "nee"))</f>
        <v>ja</v>
      </c>
      <c r="P524" t="str">
        <f>IF(Klantgegevens_B!O523&lt;&gt;"", Klantgegevens_B!O523, IF(Klantgegevens_A!L523&gt;=7, "ja", "nee"))</f>
        <v>Geen dieet</v>
      </c>
      <c r="Q524">
        <f>IF(Klantgegevens_B!P523&lt;&gt;"", Klantgegevens_B!P523, Klantgegevens_A!M523)</f>
        <v>0</v>
      </c>
      <c r="R524" t="str">
        <f>IF(Klantgegevens_B!A523&lt;&gt;"", "B", "A")</f>
        <v>B</v>
      </c>
    </row>
    <row r="525" spans="1:18" x14ac:dyDescent="0.3">
      <c r="A525" t="str">
        <f>IF(Klantgegevens_B!A524&lt;&gt;"", Klantgegevens_B!A524, MID(Klantgegevens_A!A524, FIND(",", Klantgegevens_A!A524)+2, LEN(Klantgegevens_A!A524)))</f>
        <v>Julie</v>
      </c>
      <c r="B525" t="str">
        <f>IF(Klantgegevens_B!B524&lt;&gt;"", Klantgegevens_B!B524, LEFT(Klantgegevens_A!A524, FIND(",", Klantgegevens_A!A524)-1))</f>
        <v>De clercq</v>
      </c>
      <c r="C525" t="str">
        <f t="shared" ca="1" si="8"/>
        <v/>
      </c>
      <c r="D525" t="str">
        <f>IF(Klantgegevens_B!F524&lt;&gt;"", Klantgegevens_B!F524, Klantgegevens_A!D524 &amp; " " &amp; Klantgegevens_A!E524 &amp; ", " &amp; Klantgegevens_A!F524)</f>
        <v>Julie,Paul,Rosalie</v>
      </c>
      <c r="E525">
        <f>IF(Klantgegevens_B!G524&lt;&gt;"", Klantgegevens_B!G524, TEXTJOIN(",", TRUE, REPT("Volwassene,", Klantgegevens_A!G524), REPT("Kind,", Klantgegevens_A!H524)))</f>
        <v>70.39</v>
      </c>
      <c r="F525">
        <f>IF(Klantgegevens_B!G524&lt;&gt;"", LEN(Klantgegevens_B!G524)-LEN(SUBSTITUTE(Klantgegevens_B!G524, ",", ""))+1, Klantgegevens_A!G524)</f>
        <v>1</v>
      </c>
      <c r="G525">
        <f>IF(Klantgegevens_B!G524&lt;&gt;"", 0, Klantgegevens_A!H524)</f>
        <v>0</v>
      </c>
      <c r="H525">
        <f>IF(Klantgegevens_B!H524&lt;&gt;"", Klantgegevens_B!H524, Klantgegevens_A!I524)</f>
        <v>15</v>
      </c>
      <c r="I525" t="str">
        <f>IF(Klantgegevens_B!I524&lt;&gt;"", Klantgegevens_B!I524, SWITCH(Klantgegevens_A!J524, "Zelden", 1, "Af en toe", 4, "Regelmatig", 8, "Vaak", 12))</f>
        <v>Payconiq</v>
      </c>
      <c r="J525" t="str">
        <f>IF(Klantgegevens_B!J524&lt;&gt;"", Klantgegevens_B!J524, Klantgegevens_A!K524)</f>
        <v>ja</v>
      </c>
      <c r="K525">
        <f>IF(Klantgegevens_B!K524&lt;&gt;"", AVERAGE(--(Klantgegevens_B!K524="ja"), --(Klantgegevens_B!L524="ja"), --(Klantgegevens_B!M524="ja"), --(Klantgegevens_B!N524="ja"), --(Klantgegevens_B!O524="ja"))*10, Klantgegevens_A!L524)</f>
        <v>4</v>
      </c>
      <c r="L525" t="str">
        <f>IF(Klantgegevens_B!K524&lt;&gt;"", Klantgegevens_B!K524, IF(Klantgegevens_A!L524&gt;=7, "ja", "nee"))</f>
        <v>nee</v>
      </c>
      <c r="M525" t="str">
        <f>IF(Klantgegevens_B!L524&lt;&gt;"", Klantgegevens_B!L524, IF(Klantgegevens_A!L524&gt;=7, "ja", "nee"))</f>
        <v>ja</v>
      </c>
      <c r="N525" t="str">
        <f>IF(Klantgegevens_B!M524&lt;&gt;"", Klantgegevens_B!M524, IF(Klantgegevens_A!L524&gt;=7, "ja", "nee"))</f>
        <v>ja</v>
      </c>
      <c r="O525" t="str">
        <f>IF(Klantgegevens_B!N524&lt;&gt;"", Klantgegevens_B!N524, IF(Klantgegevens_A!L524&gt;=7, "ja", "nee"))</f>
        <v>nee</v>
      </c>
      <c r="P525" t="str">
        <f>IF(Klantgegevens_B!O524&lt;&gt;"", Klantgegevens_B!O524, IF(Klantgegevens_A!L524&gt;=7, "ja", "nee"))</f>
        <v>Veganistisch</v>
      </c>
      <c r="Q525">
        <f>IF(Klantgegevens_B!P524&lt;&gt;"", Klantgegevens_B!P524, Klantgegevens_A!M524)</f>
        <v>0</v>
      </c>
      <c r="R525" t="str">
        <f>IF(Klantgegevens_B!A524&lt;&gt;"", "B", "A")</f>
        <v>B</v>
      </c>
    </row>
    <row r="526" spans="1:18" x14ac:dyDescent="0.3">
      <c r="A526" t="str">
        <f>IF(Klantgegevens_B!A525&lt;&gt;"", Klantgegevens_B!A525, MID(Klantgegevens_A!A525, FIND(",", Klantgegevens_A!A525)+2, LEN(Klantgegevens_A!A525)))</f>
        <v>Pinar</v>
      </c>
      <c r="B526" t="str">
        <f>IF(Klantgegevens_B!B525&lt;&gt;"", Klantgegevens_B!B525, LEFT(Klantgegevens_A!A525, FIND(",", Klantgegevens_A!A525)-1))</f>
        <v>Declercq</v>
      </c>
      <c r="C526" t="str">
        <f t="shared" ca="1" si="8"/>
        <v/>
      </c>
      <c r="D526" t="str">
        <f>IF(Klantgegevens_B!F525&lt;&gt;"", Klantgegevens_B!F525, Klantgegevens_A!D525 &amp; " " &amp; Klantgegevens_A!E525 &amp; ", " &amp; Klantgegevens_A!F525)</f>
        <v>Pinar,Tatjana</v>
      </c>
      <c r="E526">
        <f>IF(Klantgegevens_B!G525&lt;&gt;"", Klantgegevens_B!G525, TEXTJOIN(",", TRUE, REPT("Volwassene,", Klantgegevens_A!G525), REPT("Kind,", Klantgegevens_A!H525)))</f>
        <v>140.5</v>
      </c>
      <c r="F526">
        <f>IF(Klantgegevens_B!G525&lt;&gt;"", LEN(Klantgegevens_B!G525)-LEN(SUBSTITUTE(Klantgegevens_B!G525, ",", ""))+1, Klantgegevens_A!G525)</f>
        <v>1</v>
      </c>
      <c r="G526">
        <f>IF(Klantgegevens_B!G525&lt;&gt;"", 0, Klantgegevens_A!H525)</f>
        <v>0</v>
      </c>
      <c r="H526">
        <f>IF(Klantgegevens_B!H525&lt;&gt;"", Klantgegevens_B!H525, Klantgegevens_A!I525)</f>
        <v>10</v>
      </c>
      <c r="I526" t="str">
        <f>IF(Klantgegevens_B!I525&lt;&gt;"", Klantgegevens_B!I525, SWITCH(Klantgegevens_A!J525, "Zelden", 1, "Af en toe", 4, "Regelmatig", 8, "Vaak", 12))</f>
        <v>Bancontact</v>
      </c>
      <c r="J526" t="str">
        <f>IF(Klantgegevens_B!J525&lt;&gt;"", Klantgegevens_B!J525, Klantgegevens_A!K525)</f>
        <v>ja</v>
      </c>
      <c r="K526">
        <f>IF(Klantgegevens_B!K525&lt;&gt;"", AVERAGE(--(Klantgegevens_B!K525="ja"), --(Klantgegevens_B!L525="ja"), --(Klantgegevens_B!M525="ja"), --(Klantgegevens_B!N525="ja"), --(Klantgegevens_B!O525="ja"))*10, Klantgegevens_A!L525)</f>
        <v>8</v>
      </c>
      <c r="L526" t="str">
        <f>IF(Klantgegevens_B!K525&lt;&gt;"", Klantgegevens_B!K525, IF(Klantgegevens_A!L525&gt;=7, "ja", "nee"))</f>
        <v>ja</v>
      </c>
      <c r="M526" t="str">
        <f>IF(Klantgegevens_B!L525&lt;&gt;"", Klantgegevens_B!L525, IF(Klantgegevens_A!L525&gt;=7, "ja", "nee"))</f>
        <v>ja</v>
      </c>
      <c r="N526" t="str">
        <f>IF(Klantgegevens_B!M525&lt;&gt;"", Klantgegevens_B!M525, IF(Klantgegevens_A!L525&gt;=7, "ja", "nee"))</f>
        <v>ja</v>
      </c>
      <c r="O526" t="str">
        <f>IF(Klantgegevens_B!N525&lt;&gt;"", Klantgegevens_B!N525, IF(Klantgegevens_A!L525&gt;=7, "ja", "nee"))</f>
        <v>ja</v>
      </c>
      <c r="P526" t="str">
        <f>IF(Klantgegevens_B!O525&lt;&gt;"", Klantgegevens_B!O525, IF(Klantgegevens_A!L525&gt;=7, "ja", "nee"))</f>
        <v>Geen dieet</v>
      </c>
      <c r="Q526">
        <f>IF(Klantgegevens_B!P525&lt;&gt;"", Klantgegevens_B!P525, Klantgegevens_A!M525)</f>
        <v>0</v>
      </c>
      <c r="R526" t="str">
        <f>IF(Klantgegevens_B!A525&lt;&gt;"", "B", "A")</f>
        <v>B</v>
      </c>
    </row>
    <row r="527" spans="1:18" x14ac:dyDescent="0.3">
      <c r="A527" t="str">
        <f>IF(Klantgegevens_B!A526&lt;&gt;"", Klantgegevens_B!A526, MID(Klantgegevens_A!A526, FIND(",", Klantgegevens_A!A526)+2, LEN(Klantgegevens_A!A526)))</f>
        <v>Peter</v>
      </c>
      <c r="B527" t="str">
        <f>IF(Klantgegevens_B!B526&lt;&gt;"", Klantgegevens_B!B526, LEFT(Klantgegevens_A!A526, FIND(",", Klantgegevens_A!A526)-1))</f>
        <v>Vermeersch</v>
      </c>
      <c r="C527" t="str">
        <f t="shared" ca="1" si="8"/>
        <v/>
      </c>
      <c r="D527" t="str">
        <f>IF(Klantgegevens_B!F526&lt;&gt;"", Klantgegevens_B!F526, Klantgegevens_A!D526 &amp; " " &amp; Klantgegevens_A!E526 &amp; ", " &amp; Klantgegevens_A!F526)</f>
        <v>Peter,Marjolein</v>
      </c>
      <c r="E527">
        <f>IF(Klantgegevens_B!G526&lt;&gt;"", Klantgegevens_B!G526, TEXTJOIN(",", TRUE, REPT("Volwassene,", Klantgegevens_A!G526), REPT("Kind,", Klantgegevens_A!H526)))</f>
        <v>141.5</v>
      </c>
      <c r="F527">
        <f>IF(Klantgegevens_B!G526&lt;&gt;"", LEN(Klantgegevens_B!G526)-LEN(SUBSTITUTE(Klantgegevens_B!G526, ",", ""))+1, Klantgegevens_A!G526)</f>
        <v>1</v>
      </c>
      <c r="G527">
        <f>IF(Klantgegevens_B!G526&lt;&gt;"", 0, Klantgegevens_A!H526)</f>
        <v>0</v>
      </c>
      <c r="H527">
        <f>IF(Klantgegevens_B!H526&lt;&gt;"", Klantgegevens_B!H526, Klantgegevens_A!I526)</f>
        <v>23</v>
      </c>
      <c r="I527" t="str">
        <f>IF(Klantgegevens_B!I526&lt;&gt;"", Klantgegevens_B!I526, SWITCH(Klantgegevens_A!J526, "Zelden", 1, "Af en toe", 4, "Regelmatig", 8, "Vaak", 12))</f>
        <v>Payconiq</v>
      </c>
      <c r="J527" t="str">
        <f>IF(Klantgegevens_B!J526&lt;&gt;"", Klantgegevens_B!J526, Klantgegevens_A!K526)</f>
        <v>nee</v>
      </c>
      <c r="K527">
        <f>IF(Klantgegevens_B!K526&lt;&gt;"", AVERAGE(--(Klantgegevens_B!K526="ja"), --(Klantgegevens_B!L526="ja"), --(Klantgegevens_B!M526="ja"), --(Klantgegevens_B!N526="ja"), --(Klantgegevens_B!O526="ja"))*10, Klantgegevens_A!L526)</f>
        <v>8</v>
      </c>
      <c r="L527" t="str">
        <f>IF(Klantgegevens_B!K526&lt;&gt;"", Klantgegevens_B!K526, IF(Klantgegevens_A!L526&gt;=7, "ja", "nee"))</f>
        <v>ja</v>
      </c>
      <c r="M527" t="str">
        <f>IF(Klantgegevens_B!L526&lt;&gt;"", Klantgegevens_B!L526, IF(Klantgegevens_A!L526&gt;=7, "ja", "nee"))</f>
        <v>ja</v>
      </c>
      <c r="N527" t="str">
        <f>IF(Klantgegevens_B!M526&lt;&gt;"", Klantgegevens_B!M526, IF(Klantgegevens_A!L526&gt;=7, "ja", "nee"))</f>
        <v>ja</v>
      </c>
      <c r="O527" t="str">
        <f>IF(Klantgegevens_B!N526&lt;&gt;"", Klantgegevens_B!N526, IF(Klantgegevens_A!L526&gt;=7, "ja", "nee"))</f>
        <v>ja</v>
      </c>
      <c r="P527" t="str">
        <f>IF(Klantgegevens_B!O526&lt;&gt;"", Klantgegevens_B!O526, IF(Klantgegevens_A!L526&gt;=7, "ja", "nee"))</f>
        <v>Geen dieet</v>
      </c>
      <c r="Q527">
        <f>IF(Klantgegevens_B!P526&lt;&gt;"", Klantgegevens_B!P526, Klantgegevens_A!M526)</f>
        <v>0</v>
      </c>
      <c r="R527" t="str">
        <f>IF(Klantgegevens_B!A526&lt;&gt;"", "B", "A")</f>
        <v>B</v>
      </c>
    </row>
    <row r="528" spans="1:18" x14ac:dyDescent="0.3">
      <c r="A528" t="str">
        <f>IF(Klantgegevens_B!A527&lt;&gt;"", Klantgegevens_B!A527, MID(Klantgegevens_A!A527, FIND(",", Klantgegevens_A!A527)+2, LEN(Klantgegevens_A!A527)))</f>
        <v>Rachel</v>
      </c>
      <c r="B528" t="str">
        <f>IF(Klantgegevens_B!B527&lt;&gt;"", Klantgegevens_B!B527, LEFT(Klantgegevens_A!A527, FIND(",", Klantgegevens_A!A527)-1))</f>
        <v>Meunier</v>
      </c>
      <c r="C528" t="str">
        <f t="shared" ca="1" si="8"/>
        <v/>
      </c>
      <c r="D528" t="str">
        <f>IF(Klantgegevens_B!F527&lt;&gt;"", Klantgegevens_B!F527, Klantgegevens_A!D527 &amp; " " &amp; Klantgegevens_A!E527 &amp; ", " &amp; Klantgegevens_A!F527)</f>
        <v>Rachel,Sadiye,Glenn</v>
      </c>
      <c r="E528">
        <f>IF(Klantgegevens_B!G527&lt;&gt;"", Klantgegevens_B!G527, TEXTJOIN(",", TRUE, REPT("Volwassene,", Klantgegevens_A!G527), REPT("Kind,", Klantgegevens_A!H527)))</f>
        <v>124.92</v>
      </c>
      <c r="F528">
        <f>IF(Klantgegevens_B!G527&lt;&gt;"", LEN(Klantgegevens_B!G527)-LEN(SUBSTITUTE(Klantgegevens_B!G527, ",", ""))+1, Klantgegevens_A!G527)</f>
        <v>1</v>
      </c>
      <c r="G528">
        <f>IF(Klantgegevens_B!G527&lt;&gt;"", 0, Klantgegevens_A!H527)</f>
        <v>0</v>
      </c>
      <c r="H528">
        <f>IF(Klantgegevens_B!H527&lt;&gt;"", Klantgegevens_B!H527, Klantgegevens_A!I527)</f>
        <v>8</v>
      </c>
      <c r="I528" t="str">
        <f>IF(Klantgegevens_B!I527&lt;&gt;"", Klantgegevens_B!I527, SWITCH(Klantgegevens_A!J527, "Zelden", 1, "Af en toe", 4, "Regelmatig", 8, "Vaak", 12))</f>
        <v>Bancontact</v>
      </c>
      <c r="J528" t="str">
        <f>IF(Klantgegevens_B!J527&lt;&gt;"", Klantgegevens_B!J527, Klantgegevens_A!K527)</f>
        <v>nee</v>
      </c>
      <c r="K528">
        <f>IF(Klantgegevens_B!K527&lt;&gt;"", AVERAGE(--(Klantgegevens_B!K527="ja"), --(Klantgegevens_B!L527="ja"), --(Klantgegevens_B!M527="ja"), --(Klantgegevens_B!N527="ja"), --(Klantgegevens_B!O527="ja"))*10, Klantgegevens_A!L527)</f>
        <v>6</v>
      </c>
      <c r="L528" t="str">
        <f>IF(Klantgegevens_B!K527&lt;&gt;"", Klantgegevens_B!K527, IF(Klantgegevens_A!L527&gt;=7, "ja", "nee"))</f>
        <v>ja</v>
      </c>
      <c r="M528" t="str">
        <f>IF(Klantgegevens_B!L527&lt;&gt;"", Klantgegevens_B!L527, IF(Klantgegevens_A!L527&gt;=7, "ja", "nee"))</f>
        <v>ja</v>
      </c>
      <c r="N528" t="str">
        <f>IF(Klantgegevens_B!M527&lt;&gt;"", Klantgegevens_B!M527, IF(Klantgegevens_A!L527&gt;=7, "ja", "nee"))</f>
        <v>ja</v>
      </c>
      <c r="O528" t="str">
        <f>IF(Klantgegevens_B!N527&lt;&gt;"", Klantgegevens_B!N527, IF(Klantgegevens_A!L527&gt;=7, "ja", "nee"))</f>
        <v>nee</v>
      </c>
      <c r="P528" t="str">
        <f>IF(Klantgegevens_B!O527&lt;&gt;"", Klantgegevens_B!O527, IF(Klantgegevens_A!L527&gt;=7, "ja", "nee"))</f>
        <v>Geen dieet</v>
      </c>
      <c r="Q528">
        <f>IF(Klantgegevens_B!P527&lt;&gt;"", Klantgegevens_B!P527, Klantgegevens_A!M527)</f>
        <v>0</v>
      </c>
      <c r="R528" t="str">
        <f>IF(Klantgegevens_B!A527&lt;&gt;"", "B", "A")</f>
        <v>B</v>
      </c>
    </row>
    <row r="529" spans="1:18" x14ac:dyDescent="0.3">
      <c r="A529" t="str">
        <f>IF(Klantgegevens_B!A528&lt;&gt;"", Klantgegevens_B!A528, MID(Klantgegevens_A!A528, FIND(",", Klantgegevens_A!A528)+2, LEN(Klantgegevens_A!A528)))</f>
        <v>Rohat</v>
      </c>
      <c r="B529" t="str">
        <f>IF(Klantgegevens_B!B528&lt;&gt;"", Klantgegevens_B!B528, LEFT(Klantgegevens_A!A528, FIND(",", Klantgegevens_A!A528)-1))</f>
        <v>De backer</v>
      </c>
      <c r="C529" t="str">
        <f t="shared" ca="1" si="8"/>
        <v/>
      </c>
      <c r="D529" t="str">
        <f>IF(Klantgegevens_B!F528&lt;&gt;"", Klantgegevens_B!F528, Klantgegevens_A!D528 &amp; " " &amp; Klantgegevens_A!E528 &amp; ", " &amp; Klantgegevens_A!F528)</f>
        <v>Rohat</v>
      </c>
      <c r="E529">
        <f>IF(Klantgegevens_B!G528&lt;&gt;"", Klantgegevens_B!G528, TEXTJOIN(",", TRUE, REPT("Volwassene,", Klantgegevens_A!G528), REPT("Kind,", Klantgegevens_A!H528)))</f>
        <v>105.71</v>
      </c>
      <c r="F529">
        <f>IF(Klantgegevens_B!G528&lt;&gt;"", LEN(Klantgegevens_B!G528)-LEN(SUBSTITUTE(Klantgegevens_B!G528, ",", ""))+1, Klantgegevens_A!G528)</f>
        <v>1</v>
      </c>
      <c r="G529">
        <f>IF(Klantgegevens_B!G528&lt;&gt;"", 0, Klantgegevens_A!H528)</f>
        <v>0</v>
      </c>
      <c r="H529">
        <f>IF(Klantgegevens_B!H528&lt;&gt;"", Klantgegevens_B!H528, Klantgegevens_A!I528)</f>
        <v>19</v>
      </c>
      <c r="I529" t="str">
        <f>IF(Klantgegevens_B!I528&lt;&gt;"", Klantgegevens_B!I528, SWITCH(Klantgegevens_A!J528, "Zelden", 1, "Af en toe", 4, "Regelmatig", 8, "Vaak", 12))</f>
        <v>Payconiq</v>
      </c>
      <c r="J529" t="str">
        <f>IF(Klantgegevens_B!J528&lt;&gt;"", Klantgegevens_B!J528, Klantgegevens_A!K528)</f>
        <v>ja</v>
      </c>
      <c r="K529">
        <f>IF(Klantgegevens_B!K528&lt;&gt;"", AVERAGE(--(Klantgegevens_B!K528="ja"), --(Klantgegevens_B!L528="ja"), --(Klantgegevens_B!M528="ja"), --(Klantgegevens_B!N528="ja"), --(Klantgegevens_B!O528="ja"))*10, Klantgegevens_A!L528)</f>
        <v>2</v>
      </c>
      <c r="L529" t="str">
        <f>IF(Klantgegevens_B!K528&lt;&gt;"", Klantgegevens_B!K528, IF(Klantgegevens_A!L528&gt;=7, "ja", "nee"))</f>
        <v>nee</v>
      </c>
      <c r="M529" t="str">
        <f>IF(Klantgegevens_B!L528&lt;&gt;"", Klantgegevens_B!L528, IF(Klantgegevens_A!L528&gt;=7, "ja", "nee"))</f>
        <v>nee</v>
      </c>
      <c r="N529" t="str">
        <f>IF(Klantgegevens_B!M528&lt;&gt;"", Klantgegevens_B!M528, IF(Klantgegevens_A!L528&gt;=7, "ja", "nee"))</f>
        <v>nee</v>
      </c>
      <c r="O529" t="str">
        <f>IF(Klantgegevens_B!N528&lt;&gt;"", Klantgegevens_B!N528, IF(Klantgegevens_A!L528&gt;=7, "ja", "nee"))</f>
        <v>ja</v>
      </c>
      <c r="P529" t="str">
        <f>IF(Klantgegevens_B!O528&lt;&gt;"", Klantgegevens_B!O528, IF(Klantgegevens_A!L528&gt;=7, "ja", "nee"))</f>
        <v>Geen dieet</v>
      </c>
      <c r="Q529">
        <f>IF(Klantgegevens_B!P528&lt;&gt;"", Klantgegevens_B!P528, Klantgegevens_A!M528)</f>
        <v>0</v>
      </c>
      <c r="R529" t="str">
        <f>IF(Klantgegevens_B!A528&lt;&gt;"", "B", "A")</f>
        <v>B</v>
      </c>
    </row>
    <row r="530" spans="1:18" x14ac:dyDescent="0.3">
      <c r="A530" t="str">
        <f>IF(Klantgegevens_B!A529&lt;&gt;"", Klantgegevens_B!A529, MID(Klantgegevens_A!A529, FIND(",", Klantgegevens_A!A529)+2, LEN(Klantgegevens_A!A529)))</f>
        <v>Fabian</v>
      </c>
      <c r="B530" t="str">
        <f>IF(Klantgegevens_B!B529&lt;&gt;"", Klantgegevens_B!B529, LEFT(Klantgegevens_A!A529, FIND(",", Klantgegevens_A!A529)-1))</f>
        <v>Dhondt</v>
      </c>
      <c r="C530" t="str">
        <f t="shared" ca="1" si="8"/>
        <v/>
      </c>
      <c r="D530" t="str">
        <f>IF(Klantgegevens_B!F529&lt;&gt;"", Klantgegevens_B!F529, Klantgegevens_A!D529 &amp; " " &amp; Klantgegevens_A!E529 &amp; ", " &amp; Klantgegevens_A!F529)</f>
        <v>Fabian,Xandro</v>
      </c>
      <c r="E530">
        <f>IF(Klantgegevens_B!G529&lt;&gt;"", Klantgegevens_B!G529, TEXTJOIN(",", TRUE, REPT("Volwassene,", Klantgegevens_A!G529), REPT("Kind,", Klantgegevens_A!H529)))</f>
        <v>56.73</v>
      </c>
      <c r="F530">
        <f>IF(Klantgegevens_B!G529&lt;&gt;"", LEN(Klantgegevens_B!G529)-LEN(SUBSTITUTE(Klantgegevens_B!G529, ",", ""))+1, Klantgegevens_A!G529)</f>
        <v>1</v>
      </c>
      <c r="G530">
        <f>IF(Klantgegevens_B!G529&lt;&gt;"", 0, Klantgegevens_A!H529)</f>
        <v>0</v>
      </c>
      <c r="H530">
        <f>IF(Klantgegevens_B!H529&lt;&gt;"", Klantgegevens_B!H529, Klantgegevens_A!I529)</f>
        <v>6</v>
      </c>
      <c r="I530" t="str">
        <f>IF(Klantgegevens_B!I529&lt;&gt;"", Klantgegevens_B!I529, SWITCH(Klantgegevens_A!J529, "Zelden", 1, "Af en toe", 4, "Regelmatig", 8, "Vaak", 12))</f>
        <v>Bancontact</v>
      </c>
      <c r="J530" t="str">
        <f>IF(Klantgegevens_B!J529&lt;&gt;"", Klantgegevens_B!J529, Klantgegevens_A!K529)</f>
        <v>nee</v>
      </c>
      <c r="K530">
        <f>IF(Klantgegevens_B!K529&lt;&gt;"", AVERAGE(--(Klantgegevens_B!K529="ja"), --(Klantgegevens_B!L529="ja"), --(Klantgegevens_B!M529="ja"), --(Klantgegevens_B!N529="ja"), --(Klantgegevens_B!O529="ja"))*10, Klantgegevens_A!L529)</f>
        <v>6</v>
      </c>
      <c r="L530" t="str">
        <f>IF(Klantgegevens_B!K529&lt;&gt;"", Klantgegevens_B!K529, IF(Klantgegevens_A!L529&gt;=7, "ja", "nee"))</f>
        <v>ja</v>
      </c>
      <c r="M530" t="str">
        <f>IF(Klantgegevens_B!L529&lt;&gt;"", Klantgegevens_B!L529, IF(Klantgegevens_A!L529&gt;=7, "ja", "nee"))</f>
        <v>ja</v>
      </c>
      <c r="N530" t="str">
        <f>IF(Klantgegevens_B!M529&lt;&gt;"", Klantgegevens_B!M529, IF(Klantgegevens_A!L529&gt;=7, "ja", "nee"))</f>
        <v>ja</v>
      </c>
      <c r="O530" t="str">
        <f>IF(Klantgegevens_B!N529&lt;&gt;"", Klantgegevens_B!N529, IF(Klantgegevens_A!L529&gt;=7, "ja", "nee"))</f>
        <v>nee</v>
      </c>
      <c r="P530" t="str">
        <f>IF(Klantgegevens_B!O529&lt;&gt;"", Klantgegevens_B!O529, IF(Klantgegevens_A!L529&gt;=7, "ja", "nee"))</f>
        <v>Geen dieet</v>
      </c>
      <c r="Q530">
        <f>IF(Klantgegevens_B!P529&lt;&gt;"", Klantgegevens_B!P529, Klantgegevens_A!M529)</f>
        <v>0</v>
      </c>
      <c r="R530" t="str">
        <f>IF(Klantgegevens_B!A529&lt;&gt;"", "B", "A")</f>
        <v>B</v>
      </c>
    </row>
    <row r="531" spans="1:18" x14ac:dyDescent="0.3">
      <c r="A531" t="str">
        <f>IF(Klantgegevens_B!A530&lt;&gt;"", Klantgegevens_B!A530, MID(Klantgegevens_A!A530, FIND(",", Klantgegevens_A!A530)+2, LEN(Klantgegevens_A!A530)))</f>
        <v>Gustaaf</v>
      </c>
      <c r="B531" t="str">
        <f>IF(Klantgegevens_B!B530&lt;&gt;"", Klantgegevens_B!B530, LEFT(Klantgegevens_A!A530, FIND(",", Klantgegevens_A!A530)-1))</f>
        <v>Van de voorde</v>
      </c>
      <c r="C531" t="str">
        <f t="shared" ca="1" si="8"/>
        <v/>
      </c>
      <c r="D531" t="str">
        <f>IF(Klantgegevens_B!F530&lt;&gt;"", Klantgegevens_B!F530, Klantgegevens_A!D530 &amp; " " &amp; Klantgegevens_A!E530 &amp; ", " &amp; Klantgegevens_A!F530)</f>
        <v>Gustaaf,Romain</v>
      </c>
      <c r="E531">
        <f>IF(Klantgegevens_B!G530&lt;&gt;"", Klantgegevens_B!G530, TEXTJOIN(",", TRUE, REPT("Volwassene,", Klantgegevens_A!G530), REPT("Kind,", Klantgegevens_A!H530)))</f>
        <v>107.02</v>
      </c>
      <c r="F531">
        <f>IF(Klantgegevens_B!G530&lt;&gt;"", LEN(Klantgegevens_B!G530)-LEN(SUBSTITUTE(Klantgegevens_B!G530, ",", ""))+1, Klantgegevens_A!G530)</f>
        <v>1</v>
      </c>
      <c r="G531">
        <f>IF(Klantgegevens_B!G530&lt;&gt;"", 0, Klantgegevens_A!H530)</f>
        <v>0</v>
      </c>
      <c r="H531">
        <f>IF(Klantgegevens_B!H530&lt;&gt;"", Klantgegevens_B!H530, Klantgegevens_A!I530)</f>
        <v>4</v>
      </c>
      <c r="I531" t="str">
        <f>IF(Klantgegevens_B!I530&lt;&gt;"", Klantgegevens_B!I530, SWITCH(Klantgegevens_A!J530, "Zelden", 1, "Af en toe", 4, "Regelmatig", 8, "Vaak", 12))</f>
        <v>Creditcard</v>
      </c>
      <c r="J531" t="str">
        <f>IF(Klantgegevens_B!J530&lt;&gt;"", Klantgegevens_B!J530, Klantgegevens_A!K530)</f>
        <v>ja</v>
      </c>
      <c r="K531">
        <f>IF(Klantgegevens_B!K530&lt;&gt;"", AVERAGE(--(Klantgegevens_B!K530="ja"), --(Klantgegevens_B!L530="ja"), --(Klantgegevens_B!M530="ja"), --(Klantgegevens_B!N530="ja"), --(Klantgegevens_B!O530="ja"))*10, Klantgegevens_A!L530)</f>
        <v>4</v>
      </c>
      <c r="L531" t="str">
        <f>IF(Klantgegevens_B!K530&lt;&gt;"", Klantgegevens_B!K530, IF(Klantgegevens_A!L530&gt;=7, "ja", "nee"))</f>
        <v>nee</v>
      </c>
      <c r="M531" t="str">
        <f>IF(Klantgegevens_B!L530&lt;&gt;"", Klantgegevens_B!L530, IF(Klantgegevens_A!L530&gt;=7, "ja", "nee"))</f>
        <v>nee</v>
      </c>
      <c r="N531" t="str">
        <f>IF(Klantgegevens_B!M530&lt;&gt;"", Klantgegevens_B!M530, IF(Klantgegevens_A!L530&gt;=7, "ja", "nee"))</f>
        <v>ja</v>
      </c>
      <c r="O531" t="str">
        <f>IF(Klantgegevens_B!N530&lt;&gt;"", Klantgegevens_B!N530, IF(Klantgegevens_A!L530&gt;=7, "ja", "nee"))</f>
        <v>ja</v>
      </c>
      <c r="P531" t="str">
        <f>IF(Klantgegevens_B!O530&lt;&gt;"", Klantgegevens_B!O530, IF(Klantgegevens_A!L530&gt;=7, "ja", "nee"))</f>
        <v>Geen dieet</v>
      </c>
      <c r="Q531">
        <f>IF(Klantgegevens_B!P530&lt;&gt;"", Klantgegevens_B!P530, Klantgegevens_A!M530)</f>
        <v>0</v>
      </c>
      <c r="R531" t="str">
        <f>IF(Klantgegevens_B!A530&lt;&gt;"", "B", "A")</f>
        <v>B</v>
      </c>
    </row>
    <row r="532" spans="1:18" x14ac:dyDescent="0.3">
      <c r="A532" t="str">
        <f>IF(Klantgegevens_B!A531&lt;&gt;"", Klantgegevens_B!A531, MID(Klantgegevens_A!A531, FIND(",", Klantgegevens_A!A531)+2, LEN(Klantgegevens_A!A531)))</f>
        <v>André</v>
      </c>
      <c r="B532" t="str">
        <f>IF(Klantgegevens_B!B531&lt;&gt;"", Klantgegevens_B!B531, LEFT(Klantgegevens_A!A531, FIND(",", Klantgegevens_A!A531)-1))</f>
        <v>Blomme</v>
      </c>
      <c r="C532" t="str">
        <f t="shared" ca="1" si="8"/>
        <v/>
      </c>
      <c r="D532" t="str">
        <f>IF(Klantgegevens_B!F531&lt;&gt;"", Klantgegevens_B!F531, Klantgegevens_A!D531 &amp; " " &amp; Klantgegevens_A!E531 &amp; ", " &amp; Klantgegevens_A!F531)</f>
        <v>André,Marie,Yannick,Jean-Pierre</v>
      </c>
      <c r="E532">
        <f>IF(Klantgegevens_B!G531&lt;&gt;"", Klantgegevens_B!G531, TEXTJOIN(",", TRUE, REPT("Volwassene,", Klantgegevens_A!G531), REPT("Kind,", Klantgegevens_A!H531)))</f>
        <v>128.04</v>
      </c>
      <c r="F532">
        <f>IF(Klantgegevens_B!G531&lt;&gt;"", LEN(Klantgegevens_B!G531)-LEN(SUBSTITUTE(Klantgegevens_B!G531, ",", ""))+1, Klantgegevens_A!G531)</f>
        <v>1</v>
      </c>
      <c r="G532">
        <f>IF(Klantgegevens_B!G531&lt;&gt;"", 0, Klantgegevens_A!H531)</f>
        <v>0</v>
      </c>
      <c r="H532">
        <f>IF(Klantgegevens_B!H531&lt;&gt;"", Klantgegevens_B!H531, Klantgegevens_A!I531)</f>
        <v>7</v>
      </c>
      <c r="I532" t="str">
        <f>IF(Klantgegevens_B!I531&lt;&gt;"", Klantgegevens_B!I531, SWITCH(Klantgegevens_A!J531, "Zelden", 1, "Af en toe", 4, "Regelmatig", 8, "Vaak", 12))</f>
        <v>Bancontact</v>
      </c>
      <c r="J532" t="str">
        <f>IF(Klantgegevens_B!J531&lt;&gt;"", Klantgegevens_B!J531, Klantgegevens_A!K531)</f>
        <v>nee</v>
      </c>
      <c r="K532">
        <f>IF(Klantgegevens_B!K531&lt;&gt;"", AVERAGE(--(Klantgegevens_B!K531="ja"), --(Klantgegevens_B!L531="ja"), --(Klantgegevens_B!M531="ja"), --(Klantgegevens_B!N531="ja"), --(Klantgegevens_B!O531="ja"))*10, Klantgegevens_A!L531)</f>
        <v>4</v>
      </c>
      <c r="L532" t="str">
        <f>IF(Klantgegevens_B!K531&lt;&gt;"", Klantgegevens_B!K531, IF(Klantgegevens_A!L531&gt;=7, "ja", "nee"))</f>
        <v>nee</v>
      </c>
      <c r="M532" t="str">
        <f>IF(Klantgegevens_B!L531&lt;&gt;"", Klantgegevens_B!L531, IF(Klantgegevens_A!L531&gt;=7, "ja", "nee"))</f>
        <v>nee</v>
      </c>
      <c r="N532" t="str">
        <f>IF(Klantgegevens_B!M531&lt;&gt;"", Klantgegevens_B!M531, IF(Klantgegevens_A!L531&gt;=7, "ja", "nee"))</f>
        <v>ja</v>
      </c>
      <c r="O532" t="str">
        <f>IF(Klantgegevens_B!N531&lt;&gt;"", Klantgegevens_B!N531, IF(Klantgegevens_A!L531&gt;=7, "ja", "nee"))</f>
        <v>ja</v>
      </c>
      <c r="P532" t="str">
        <f>IF(Klantgegevens_B!O531&lt;&gt;"", Klantgegevens_B!O531, IF(Klantgegevens_A!L531&gt;=7, "ja", "nee"))</f>
        <v>Geen dieet</v>
      </c>
      <c r="Q532">
        <f>IF(Klantgegevens_B!P531&lt;&gt;"", Klantgegevens_B!P531, Klantgegevens_A!M531)</f>
        <v>0</v>
      </c>
      <c r="R532" t="str">
        <f>IF(Klantgegevens_B!A531&lt;&gt;"", "B", "A")</f>
        <v>B</v>
      </c>
    </row>
    <row r="533" spans="1:18" x14ac:dyDescent="0.3">
      <c r="A533" t="str">
        <f>IF(Klantgegevens_B!A532&lt;&gt;"", Klantgegevens_B!A532, MID(Klantgegevens_A!A532, FIND(",", Klantgegevens_A!A532)+2, LEN(Klantgegevens_A!A532)))</f>
        <v>Koen</v>
      </c>
      <c r="B533" t="str">
        <f>IF(Klantgegevens_B!B532&lt;&gt;"", Klantgegevens_B!B532, LEFT(Klantgegevens_A!A532, FIND(",", Klantgegevens_A!A532)-1))</f>
        <v>Vanhoutte</v>
      </c>
      <c r="C533" t="str">
        <f t="shared" ca="1" si="8"/>
        <v/>
      </c>
      <c r="D533" t="str">
        <f>IF(Klantgegevens_B!F532&lt;&gt;"", Klantgegevens_B!F532, Klantgegevens_A!D532 &amp; " " &amp; Klantgegevens_A!E532 &amp; ", " &amp; Klantgegevens_A!F532)</f>
        <v>Koen,Liliane,Mohamed,François,Mariia</v>
      </c>
      <c r="E533">
        <f>IF(Klantgegevens_B!G532&lt;&gt;"", Klantgegevens_B!G532, TEXTJOIN(",", TRUE, REPT("Volwassene,", Klantgegevens_A!G532), REPT("Kind,", Klantgegevens_A!H532)))</f>
        <v>169.82</v>
      </c>
      <c r="F533">
        <f>IF(Klantgegevens_B!G532&lt;&gt;"", LEN(Klantgegevens_B!G532)-LEN(SUBSTITUTE(Klantgegevens_B!G532, ",", ""))+1, Klantgegevens_A!G532)</f>
        <v>1</v>
      </c>
      <c r="G533">
        <f>IF(Klantgegevens_B!G532&lt;&gt;"", 0, Klantgegevens_A!H532)</f>
        <v>0</v>
      </c>
      <c r="H533">
        <f>IF(Klantgegevens_B!H532&lt;&gt;"", Klantgegevens_B!H532, Klantgegevens_A!I532)</f>
        <v>7</v>
      </c>
      <c r="I533" t="str">
        <f>IF(Klantgegevens_B!I532&lt;&gt;"", Klantgegevens_B!I532, SWITCH(Klantgegevens_A!J532, "Zelden", 1, "Af en toe", 4, "Regelmatig", 8, "Vaak", 12))</f>
        <v>Payconiq</v>
      </c>
      <c r="J533" t="str">
        <f>IF(Klantgegevens_B!J532&lt;&gt;"", Klantgegevens_B!J532, Klantgegevens_A!K532)</f>
        <v>nee</v>
      </c>
      <c r="K533">
        <f>IF(Klantgegevens_B!K532&lt;&gt;"", AVERAGE(--(Klantgegevens_B!K532="ja"), --(Klantgegevens_B!L532="ja"), --(Klantgegevens_B!M532="ja"), --(Klantgegevens_B!N532="ja"), --(Klantgegevens_B!O532="ja"))*10, Klantgegevens_A!L532)</f>
        <v>6</v>
      </c>
      <c r="L533" t="str">
        <f>IF(Klantgegevens_B!K532&lt;&gt;"", Klantgegevens_B!K532, IF(Klantgegevens_A!L532&gt;=7, "ja", "nee"))</f>
        <v>ja</v>
      </c>
      <c r="M533" t="str">
        <f>IF(Klantgegevens_B!L532&lt;&gt;"", Klantgegevens_B!L532, IF(Klantgegevens_A!L532&gt;=7, "ja", "nee"))</f>
        <v>ja</v>
      </c>
      <c r="N533" t="str">
        <f>IF(Klantgegevens_B!M532&lt;&gt;"", Klantgegevens_B!M532, IF(Klantgegevens_A!L532&gt;=7, "ja", "nee"))</f>
        <v>ja</v>
      </c>
      <c r="O533" t="str">
        <f>IF(Klantgegevens_B!N532&lt;&gt;"", Klantgegevens_B!N532, IF(Klantgegevens_A!L532&gt;=7, "ja", "nee"))</f>
        <v>nee</v>
      </c>
      <c r="P533" t="str">
        <f>IF(Klantgegevens_B!O532&lt;&gt;"", Klantgegevens_B!O532, IF(Klantgegevens_A!L532&gt;=7, "ja", "nee"))</f>
        <v>Geen dieet</v>
      </c>
      <c r="Q533">
        <f>IF(Klantgegevens_B!P532&lt;&gt;"", Klantgegevens_B!P532, Klantgegevens_A!M532)</f>
        <v>0</v>
      </c>
      <c r="R533" t="str">
        <f>IF(Klantgegevens_B!A532&lt;&gt;"", "B", "A")</f>
        <v>B</v>
      </c>
    </row>
    <row r="534" spans="1:18" x14ac:dyDescent="0.3">
      <c r="A534" t="str">
        <f>IF(Klantgegevens_B!A533&lt;&gt;"", Klantgegevens_B!A533, MID(Klantgegevens_A!A533, FIND(",", Klantgegevens_A!A533)+2, LEN(Klantgegevens_A!A533)))</f>
        <v>Elisabeth</v>
      </c>
      <c r="B534" t="str">
        <f>IF(Klantgegevens_B!B533&lt;&gt;"", Klantgegevens_B!B533, LEFT(Klantgegevens_A!A533, FIND(",", Klantgegevens_A!A533)-1))</f>
        <v>Callewaert</v>
      </c>
      <c r="C534" t="str">
        <f t="shared" ca="1" si="8"/>
        <v/>
      </c>
      <c r="D534" t="str">
        <f>IF(Klantgegevens_B!F533&lt;&gt;"", Klantgegevens_B!F533, Klantgegevens_A!D533 &amp; " " &amp; Klantgegevens_A!E533 &amp; ", " &amp; Klantgegevens_A!F533)</f>
        <v>Elisabeth,Patricia</v>
      </c>
      <c r="E534">
        <f>IF(Klantgegevens_B!G533&lt;&gt;"", Klantgegevens_B!G533, TEXTJOIN(",", TRUE, REPT("Volwassene,", Klantgegevens_A!G533), REPT("Kind,", Klantgegevens_A!H533)))</f>
        <v>176.42</v>
      </c>
      <c r="F534">
        <f>IF(Klantgegevens_B!G533&lt;&gt;"", LEN(Klantgegevens_B!G533)-LEN(SUBSTITUTE(Klantgegevens_B!G533, ",", ""))+1, Klantgegevens_A!G533)</f>
        <v>1</v>
      </c>
      <c r="G534">
        <f>IF(Klantgegevens_B!G533&lt;&gt;"", 0, Klantgegevens_A!H533)</f>
        <v>0</v>
      </c>
      <c r="H534">
        <f>IF(Klantgegevens_B!H533&lt;&gt;"", Klantgegevens_B!H533, Klantgegevens_A!I533)</f>
        <v>1</v>
      </c>
      <c r="I534" t="str">
        <f>IF(Klantgegevens_B!I533&lt;&gt;"", Klantgegevens_B!I533, SWITCH(Klantgegevens_A!J533, "Zelden", 1, "Af en toe", 4, "Regelmatig", 8, "Vaak", 12))</f>
        <v>Payconiq</v>
      </c>
      <c r="J534" t="str">
        <f>IF(Klantgegevens_B!J533&lt;&gt;"", Klantgegevens_B!J533, Klantgegevens_A!K533)</f>
        <v>nee</v>
      </c>
      <c r="K534">
        <f>IF(Klantgegevens_B!K533&lt;&gt;"", AVERAGE(--(Klantgegevens_B!K533="ja"), --(Klantgegevens_B!L533="ja"), --(Klantgegevens_B!M533="ja"), --(Klantgegevens_B!N533="ja"), --(Klantgegevens_B!O533="ja"))*10, Klantgegevens_A!L533)</f>
        <v>4</v>
      </c>
      <c r="L534" t="str">
        <f>IF(Klantgegevens_B!K533&lt;&gt;"", Klantgegevens_B!K533, IF(Klantgegevens_A!L533&gt;=7, "ja", "nee"))</f>
        <v>ja</v>
      </c>
      <c r="M534" t="str">
        <f>IF(Klantgegevens_B!L533&lt;&gt;"", Klantgegevens_B!L533, IF(Klantgegevens_A!L533&gt;=7, "ja", "nee"))</f>
        <v>ja</v>
      </c>
      <c r="N534" t="str">
        <f>IF(Klantgegevens_B!M533&lt;&gt;"", Klantgegevens_B!M533, IF(Klantgegevens_A!L533&gt;=7, "ja", "nee"))</f>
        <v>nee</v>
      </c>
      <c r="O534" t="str">
        <f>IF(Klantgegevens_B!N533&lt;&gt;"", Klantgegevens_B!N533, IF(Klantgegevens_A!L533&gt;=7, "ja", "nee"))</f>
        <v>nee</v>
      </c>
      <c r="P534" t="str">
        <f>IF(Klantgegevens_B!O533&lt;&gt;"", Klantgegevens_B!O533, IF(Klantgegevens_A!L533&gt;=7, "ja", "nee"))</f>
        <v>Geen dieet</v>
      </c>
      <c r="Q534">
        <f>IF(Klantgegevens_B!P533&lt;&gt;"", Klantgegevens_B!P533, Klantgegevens_A!M533)</f>
        <v>0</v>
      </c>
      <c r="R534" t="str">
        <f>IF(Klantgegevens_B!A533&lt;&gt;"", "B", "A")</f>
        <v>B</v>
      </c>
    </row>
    <row r="535" spans="1:18" x14ac:dyDescent="0.3">
      <c r="A535" t="str">
        <f>IF(Klantgegevens_B!A534&lt;&gt;"", Klantgegevens_B!A534, MID(Klantgegevens_A!A534, FIND(",", Klantgegevens_A!A534)+2, LEN(Klantgegevens_A!A534)))</f>
        <v>Isabelle</v>
      </c>
      <c r="B535" t="str">
        <f>IF(Klantgegevens_B!B534&lt;&gt;"", Klantgegevens_B!B534, LEFT(Klantgegevens_A!A534, FIND(",", Klantgegevens_A!A534)-1))</f>
        <v>Jacobs</v>
      </c>
      <c r="C535" t="str">
        <f t="shared" ca="1" si="8"/>
        <v/>
      </c>
      <c r="D535" t="str">
        <f>IF(Klantgegevens_B!F534&lt;&gt;"", Klantgegevens_B!F534, Klantgegevens_A!D534 &amp; " " &amp; Klantgegevens_A!E534 &amp; ", " &amp; Klantgegevens_A!F534)</f>
        <v>Isabelle,Henryk,Adrianus,Jarne,François</v>
      </c>
      <c r="E535">
        <f>IF(Klantgegevens_B!G534&lt;&gt;"", Klantgegevens_B!G534, TEXTJOIN(",", TRUE, REPT("Volwassene,", Klantgegevens_A!G534), REPT("Kind,", Klantgegevens_A!H534)))</f>
        <v>112.94</v>
      </c>
      <c r="F535">
        <f>IF(Klantgegevens_B!G534&lt;&gt;"", LEN(Klantgegevens_B!G534)-LEN(SUBSTITUTE(Klantgegevens_B!G534, ",", ""))+1, Klantgegevens_A!G534)</f>
        <v>1</v>
      </c>
      <c r="G535">
        <f>IF(Klantgegevens_B!G534&lt;&gt;"", 0, Klantgegevens_A!H534)</f>
        <v>0</v>
      </c>
      <c r="H535">
        <f>IF(Klantgegevens_B!H534&lt;&gt;"", Klantgegevens_B!H534, Klantgegevens_A!I534)</f>
        <v>11</v>
      </c>
      <c r="I535" t="str">
        <f>IF(Klantgegevens_B!I534&lt;&gt;"", Klantgegevens_B!I534, SWITCH(Klantgegevens_A!J534, "Zelden", 1, "Af en toe", 4, "Regelmatig", 8, "Vaak", 12))</f>
        <v>Payconiq</v>
      </c>
      <c r="J535" t="str">
        <f>IF(Klantgegevens_B!J534&lt;&gt;"", Klantgegevens_B!J534, Klantgegevens_A!K534)</f>
        <v>ja</v>
      </c>
      <c r="K535">
        <f>IF(Klantgegevens_B!K534&lt;&gt;"", AVERAGE(--(Klantgegevens_B!K534="ja"), --(Klantgegevens_B!L534="ja"), --(Klantgegevens_B!M534="ja"), --(Klantgegevens_B!N534="ja"), --(Klantgegevens_B!O534="ja"))*10, Klantgegevens_A!L534)</f>
        <v>4</v>
      </c>
      <c r="L535" t="str">
        <f>IF(Klantgegevens_B!K534&lt;&gt;"", Klantgegevens_B!K534, IF(Klantgegevens_A!L534&gt;=7, "ja", "nee"))</f>
        <v>nee</v>
      </c>
      <c r="M535" t="str">
        <f>IF(Klantgegevens_B!L534&lt;&gt;"", Klantgegevens_B!L534, IF(Klantgegevens_A!L534&gt;=7, "ja", "nee"))</f>
        <v>ja</v>
      </c>
      <c r="N535" t="str">
        <f>IF(Klantgegevens_B!M534&lt;&gt;"", Klantgegevens_B!M534, IF(Klantgegevens_A!L534&gt;=7, "ja", "nee"))</f>
        <v>nee</v>
      </c>
      <c r="O535" t="str">
        <f>IF(Klantgegevens_B!N534&lt;&gt;"", Klantgegevens_B!N534, IF(Klantgegevens_A!L534&gt;=7, "ja", "nee"))</f>
        <v>ja</v>
      </c>
      <c r="P535" t="str">
        <f>IF(Klantgegevens_B!O534&lt;&gt;"", Klantgegevens_B!O534, IF(Klantgegevens_A!L534&gt;=7, "ja", "nee"))</f>
        <v>Geen dieet</v>
      </c>
      <c r="Q535">
        <f>IF(Klantgegevens_B!P534&lt;&gt;"", Klantgegevens_B!P534, Klantgegevens_A!M534)</f>
        <v>0</v>
      </c>
      <c r="R535" t="str">
        <f>IF(Klantgegevens_B!A534&lt;&gt;"", "B", "A")</f>
        <v>B</v>
      </c>
    </row>
    <row r="536" spans="1:18" x14ac:dyDescent="0.3">
      <c r="A536" t="str">
        <f>IF(Klantgegevens_B!A535&lt;&gt;"", Klantgegevens_B!A535, MID(Klantgegevens_A!A535, FIND(",", Klantgegevens_A!A535)+2, LEN(Klantgegevens_A!A535)))</f>
        <v>Simon</v>
      </c>
      <c r="B536" t="str">
        <f>IF(Klantgegevens_B!B535&lt;&gt;"", Klantgegevens_B!B535, LEFT(Klantgegevens_A!A535, FIND(",", Klantgegevens_A!A535)-1))</f>
        <v>Peeters</v>
      </c>
      <c r="C536" t="str">
        <f t="shared" ca="1" si="8"/>
        <v/>
      </c>
      <c r="D536" t="str">
        <f>IF(Klantgegevens_B!F535&lt;&gt;"", Klantgegevens_B!F535, Klantgegevens_A!D535 &amp; " " &amp; Klantgegevens_A!E535 &amp; ", " &amp; Klantgegevens_A!F535)</f>
        <v>Simon,Gilles,Jules</v>
      </c>
      <c r="E536">
        <f>IF(Klantgegevens_B!G535&lt;&gt;"", Klantgegevens_B!G535, TEXTJOIN(",", TRUE, REPT("Volwassene,", Klantgegevens_A!G535), REPT("Kind,", Klantgegevens_A!H535)))</f>
        <v>118.1</v>
      </c>
      <c r="F536">
        <f>IF(Klantgegevens_B!G535&lt;&gt;"", LEN(Klantgegevens_B!G535)-LEN(SUBSTITUTE(Klantgegevens_B!G535, ",", ""))+1, Klantgegevens_A!G535)</f>
        <v>1</v>
      </c>
      <c r="G536">
        <f>IF(Klantgegevens_B!G535&lt;&gt;"", 0, Klantgegevens_A!H535)</f>
        <v>0</v>
      </c>
      <c r="H536">
        <f>IF(Klantgegevens_B!H535&lt;&gt;"", Klantgegevens_B!H535, Klantgegevens_A!I535)</f>
        <v>6</v>
      </c>
      <c r="I536" t="str">
        <f>IF(Klantgegevens_B!I535&lt;&gt;"", Klantgegevens_B!I535, SWITCH(Klantgegevens_A!J535, "Zelden", 1, "Af en toe", 4, "Regelmatig", 8, "Vaak", 12))</f>
        <v>Bancontact</v>
      </c>
      <c r="J536" t="str">
        <f>IF(Klantgegevens_B!J535&lt;&gt;"", Klantgegevens_B!J535, Klantgegevens_A!K535)</f>
        <v>ja</v>
      </c>
      <c r="K536">
        <f>IF(Klantgegevens_B!K535&lt;&gt;"", AVERAGE(--(Klantgegevens_B!K535="ja"), --(Klantgegevens_B!L535="ja"), --(Klantgegevens_B!M535="ja"), --(Klantgegevens_B!N535="ja"), --(Klantgegevens_B!O535="ja"))*10, Klantgegevens_A!L535)</f>
        <v>2</v>
      </c>
      <c r="L536" t="str">
        <f>IF(Klantgegevens_B!K535&lt;&gt;"", Klantgegevens_B!K535, IF(Klantgegevens_A!L535&gt;=7, "ja", "nee"))</f>
        <v>nee</v>
      </c>
      <c r="M536" t="str">
        <f>IF(Klantgegevens_B!L535&lt;&gt;"", Klantgegevens_B!L535, IF(Klantgegevens_A!L535&gt;=7, "ja", "nee"))</f>
        <v>ja</v>
      </c>
      <c r="N536" t="str">
        <f>IF(Klantgegevens_B!M535&lt;&gt;"", Klantgegevens_B!M535, IF(Klantgegevens_A!L535&gt;=7, "ja", "nee"))</f>
        <v>nee</v>
      </c>
      <c r="O536" t="str">
        <f>IF(Klantgegevens_B!N535&lt;&gt;"", Klantgegevens_B!N535, IF(Klantgegevens_A!L535&gt;=7, "ja", "nee"))</f>
        <v>nee</v>
      </c>
      <c r="P536" t="str">
        <f>IF(Klantgegevens_B!O535&lt;&gt;"", Klantgegevens_B!O535, IF(Klantgegevens_A!L535&gt;=7, "ja", "nee"))</f>
        <v>Vegetarisch</v>
      </c>
      <c r="Q536">
        <f>IF(Klantgegevens_B!P535&lt;&gt;"", Klantgegevens_B!P535, Klantgegevens_A!M535)</f>
        <v>0</v>
      </c>
      <c r="R536" t="str">
        <f>IF(Klantgegevens_B!A535&lt;&gt;"", "B", "A")</f>
        <v>B</v>
      </c>
    </row>
    <row r="537" spans="1:18" x14ac:dyDescent="0.3">
      <c r="A537" t="str">
        <f>IF(Klantgegevens_B!A536&lt;&gt;"", Klantgegevens_B!A536, MID(Klantgegevens_A!A536, FIND(",", Klantgegevens_A!A536)+2, LEN(Klantgegevens_A!A536)))</f>
        <v>François</v>
      </c>
      <c r="B537" t="str">
        <f>IF(Klantgegevens_B!B536&lt;&gt;"", Klantgegevens_B!B536, LEFT(Klantgegevens_A!A536, FIND(",", Klantgegevens_A!A536)-1))</f>
        <v>Bauwens</v>
      </c>
      <c r="C537" t="str">
        <f t="shared" ca="1" si="8"/>
        <v/>
      </c>
      <c r="D537" t="str">
        <f>IF(Klantgegevens_B!F536&lt;&gt;"", Klantgegevens_B!F536, Klantgegevens_A!D536 &amp; " " &amp; Klantgegevens_A!E536 &amp; ", " &amp; Klantgegevens_A!F536)</f>
        <v>François,Lotte,Herman,Jacobus,Cathy</v>
      </c>
      <c r="E537">
        <f>IF(Klantgegevens_B!G536&lt;&gt;"", Klantgegevens_B!G536, TEXTJOIN(",", TRUE, REPT("Volwassene,", Klantgegevens_A!G536), REPT("Kind,", Klantgegevens_A!H536)))</f>
        <v>177.6</v>
      </c>
      <c r="F537">
        <f>IF(Klantgegevens_B!G536&lt;&gt;"", LEN(Klantgegevens_B!G536)-LEN(SUBSTITUTE(Klantgegevens_B!G536, ",", ""))+1, Klantgegevens_A!G536)</f>
        <v>1</v>
      </c>
      <c r="G537">
        <f>IF(Klantgegevens_B!G536&lt;&gt;"", 0, Klantgegevens_A!H536)</f>
        <v>0</v>
      </c>
      <c r="H537">
        <f>IF(Klantgegevens_B!H536&lt;&gt;"", Klantgegevens_B!H536, Klantgegevens_A!I536)</f>
        <v>1</v>
      </c>
      <c r="I537" t="str">
        <f>IF(Klantgegevens_B!I536&lt;&gt;"", Klantgegevens_B!I536, SWITCH(Klantgegevens_A!J536, "Zelden", 1, "Af en toe", 4, "Regelmatig", 8, "Vaak", 12))</f>
        <v>Cash</v>
      </c>
      <c r="J537" t="str">
        <f>IF(Klantgegevens_B!J536&lt;&gt;"", Klantgegevens_B!J536, Klantgegevens_A!K536)</f>
        <v>nee</v>
      </c>
      <c r="K537">
        <f>IF(Klantgegevens_B!K536&lt;&gt;"", AVERAGE(--(Klantgegevens_B!K536="ja"), --(Klantgegevens_B!L536="ja"), --(Klantgegevens_B!M536="ja"), --(Klantgegevens_B!N536="ja"), --(Klantgegevens_B!O536="ja"))*10, Klantgegevens_A!L536)</f>
        <v>6</v>
      </c>
      <c r="L537" t="str">
        <f>IF(Klantgegevens_B!K536&lt;&gt;"", Klantgegevens_B!K536, IF(Klantgegevens_A!L536&gt;=7, "ja", "nee"))</f>
        <v>ja</v>
      </c>
      <c r="M537" t="str">
        <f>IF(Klantgegevens_B!L536&lt;&gt;"", Klantgegevens_B!L536, IF(Klantgegevens_A!L536&gt;=7, "ja", "nee"))</f>
        <v>ja</v>
      </c>
      <c r="N537" t="str">
        <f>IF(Klantgegevens_B!M536&lt;&gt;"", Klantgegevens_B!M536, IF(Klantgegevens_A!L536&gt;=7, "ja", "nee"))</f>
        <v>nee</v>
      </c>
      <c r="O537" t="str">
        <f>IF(Klantgegevens_B!N536&lt;&gt;"", Klantgegevens_B!N536, IF(Klantgegevens_A!L536&gt;=7, "ja", "nee"))</f>
        <v>ja</v>
      </c>
      <c r="P537" t="str">
        <f>IF(Klantgegevens_B!O536&lt;&gt;"", Klantgegevens_B!O536, IF(Klantgegevens_A!L536&gt;=7, "ja", "nee"))</f>
        <v>Geen dieet</v>
      </c>
      <c r="Q537">
        <f>IF(Klantgegevens_B!P536&lt;&gt;"", Klantgegevens_B!P536, Klantgegevens_A!M536)</f>
        <v>0</v>
      </c>
      <c r="R537" t="str">
        <f>IF(Klantgegevens_B!A536&lt;&gt;"", "B", "A")</f>
        <v>B</v>
      </c>
    </row>
    <row r="538" spans="1:18" x14ac:dyDescent="0.3">
      <c r="A538" t="str">
        <f>IF(Klantgegevens_B!A537&lt;&gt;"", Klantgegevens_B!A537, MID(Klantgegevens_A!A537, FIND(",", Klantgegevens_A!A537)+2, LEN(Klantgegevens_A!A537)))</f>
        <v>Freddy</v>
      </c>
      <c r="B538" t="str">
        <f>IF(Klantgegevens_B!B537&lt;&gt;"", Klantgegevens_B!B537, LEFT(Klantgegevens_A!A537, FIND(",", Klantgegevens_A!A537)-1))</f>
        <v>Moreau</v>
      </c>
      <c r="C538" t="str">
        <f t="shared" ca="1" si="8"/>
        <v/>
      </c>
      <c r="D538" t="str">
        <f>IF(Klantgegevens_B!F537&lt;&gt;"", Klantgegevens_B!F537, Klantgegevens_A!D537 &amp; " " &amp; Klantgegevens_A!E537 &amp; ", " &amp; Klantgegevens_A!F537)</f>
        <v>Freddy,Mevlut,Patrice,Dave,Linda</v>
      </c>
      <c r="E538">
        <f>IF(Klantgegevens_B!G537&lt;&gt;"", Klantgegevens_B!G537, TEXTJOIN(",", TRUE, REPT("Volwassene,", Klantgegevens_A!G537), REPT("Kind,", Klantgegevens_A!H537)))</f>
        <v>213.82</v>
      </c>
      <c r="F538">
        <f>IF(Klantgegevens_B!G537&lt;&gt;"", LEN(Klantgegevens_B!G537)-LEN(SUBSTITUTE(Klantgegevens_B!G537, ",", ""))+1, Klantgegevens_A!G537)</f>
        <v>1</v>
      </c>
      <c r="G538">
        <f>IF(Klantgegevens_B!G537&lt;&gt;"", 0, Klantgegevens_A!H537)</f>
        <v>0</v>
      </c>
      <c r="H538">
        <f>IF(Klantgegevens_B!H537&lt;&gt;"", Klantgegevens_B!H537, Klantgegevens_A!I537)</f>
        <v>6</v>
      </c>
      <c r="I538" t="str">
        <f>IF(Klantgegevens_B!I537&lt;&gt;"", Klantgegevens_B!I537, SWITCH(Klantgegevens_A!J537, "Zelden", 1, "Af en toe", 4, "Regelmatig", 8, "Vaak", 12))</f>
        <v>Payconiq</v>
      </c>
      <c r="J538" t="str">
        <f>IF(Klantgegevens_B!J537&lt;&gt;"", Klantgegevens_B!J537, Klantgegevens_A!K537)</f>
        <v>ja</v>
      </c>
      <c r="K538">
        <f>IF(Klantgegevens_B!K537&lt;&gt;"", AVERAGE(--(Klantgegevens_B!K537="ja"), --(Klantgegevens_B!L537="ja"), --(Klantgegevens_B!M537="ja"), --(Klantgegevens_B!N537="ja"), --(Klantgegevens_B!O537="ja"))*10, Klantgegevens_A!L537)</f>
        <v>8</v>
      </c>
      <c r="L538" t="str">
        <f>IF(Klantgegevens_B!K537&lt;&gt;"", Klantgegevens_B!K537, IF(Klantgegevens_A!L537&gt;=7, "ja", "nee"))</f>
        <v>ja</v>
      </c>
      <c r="M538" t="str">
        <f>IF(Klantgegevens_B!L537&lt;&gt;"", Klantgegevens_B!L537, IF(Klantgegevens_A!L537&gt;=7, "ja", "nee"))</f>
        <v>ja</v>
      </c>
      <c r="N538" t="str">
        <f>IF(Klantgegevens_B!M537&lt;&gt;"", Klantgegevens_B!M537, IF(Klantgegevens_A!L537&gt;=7, "ja", "nee"))</f>
        <v>ja</v>
      </c>
      <c r="O538" t="str">
        <f>IF(Klantgegevens_B!N537&lt;&gt;"", Klantgegevens_B!N537, IF(Klantgegevens_A!L537&gt;=7, "ja", "nee"))</f>
        <v>ja</v>
      </c>
      <c r="P538" t="str">
        <f>IF(Klantgegevens_B!O537&lt;&gt;"", Klantgegevens_B!O537, IF(Klantgegevens_A!L537&gt;=7, "ja", "nee"))</f>
        <v>Vegetarisch</v>
      </c>
      <c r="Q538">
        <f>IF(Klantgegevens_B!P537&lt;&gt;"", Klantgegevens_B!P537, Klantgegevens_A!M537)</f>
        <v>0</v>
      </c>
      <c r="R538" t="str">
        <f>IF(Klantgegevens_B!A537&lt;&gt;"", "B", "A")</f>
        <v>B</v>
      </c>
    </row>
    <row r="539" spans="1:18" x14ac:dyDescent="0.3">
      <c r="A539" t="str">
        <f>IF(Klantgegevens_B!A538&lt;&gt;"", Klantgegevens_B!A538, MID(Klantgegevens_A!A538, FIND(",", Klantgegevens_A!A538)+2, LEN(Klantgegevens_A!A538)))</f>
        <v>Timothy</v>
      </c>
      <c r="B539" t="str">
        <f>IF(Klantgegevens_B!B538&lt;&gt;"", Klantgegevens_B!B538, LEFT(Klantgegevens_A!A538, FIND(",", Klantgegevens_A!A538)-1))</f>
        <v>Cuypers</v>
      </c>
      <c r="C539" t="str">
        <f t="shared" ca="1" si="8"/>
        <v/>
      </c>
      <c r="D539" t="str">
        <f>IF(Klantgegevens_B!F538&lt;&gt;"", Klantgegevens_B!F538, Klantgegevens_A!D538 &amp; " " &amp; Klantgegevens_A!E538 &amp; ", " &amp; Klantgegevens_A!F538)</f>
        <v>Timothy,Claudine</v>
      </c>
      <c r="E539">
        <f>IF(Klantgegevens_B!G538&lt;&gt;"", Klantgegevens_B!G538, TEXTJOIN(",", TRUE, REPT("Volwassene,", Klantgegevens_A!G538), REPT("Kind,", Klantgegevens_A!H538)))</f>
        <v>43.22</v>
      </c>
      <c r="F539">
        <f>IF(Klantgegevens_B!G538&lt;&gt;"", LEN(Klantgegevens_B!G538)-LEN(SUBSTITUTE(Klantgegevens_B!G538, ",", ""))+1, Klantgegevens_A!G538)</f>
        <v>1</v>
      </c>
      <c r="G539">
        <f>IF(Klantgegevens_B!G538&lt;&gt;"", 0, Klantgegevens_A!H538)</f>
        <v>0</v>
      </c>
      <c r="H539">
        <f>IF(Klantgegevens_B!H538&lt;&gt;"", Klantgegevens_B!H538, Klantgegevens_A!I538)</f>
        <v>3</v>
      </c>
      <c r="I539" t="str">
        <f>IF(Klantgegevens_B!I538&lt;&gt;"", Klantgegevens_B!I538, SWITCH(Klantgegevens_A!J538, "Zelden", 1, "Af en toe", 4, "Regelmatig", 8, "Vaak", 12))</f>
        <v>Cash</v>
      </c>
      <c r="J539" t="str">
        <f>IF(Klantgegevens_B!J538&lt;&gt;"", Klantgegevens_B!J538, Klantgegevens_A!K538)</f>
        <v>nee</v>
      </c>
      <c r="K539">
        <f>IF(Klantgegevens_B!K538&lt;&gt;"", AVERAGE(--(Klantgegevens_B!K538="ja"), --(Klantgegevens_B!L538="ja"), --(Klantgegevens_B!M538="ja"), --(Klantgegevens_B!N538="ja"), --(Klantgegevens_B!O538="ja"))*10, Klantgegevens_A!L538)</f>
        <v>8</v>
      </c>
      <c r="L539" t="str">
        <f>IF(Klantgegevens_B!K538&lt;&gt;"", Klantgegevens_B!K538, IF(Klantgegevens_A!L538&gt;=7, "ja", "nee"))</f>
        <v>ja</v>
      </c>
      <c r="M539" t="str">
        <f>IF(Klantgegevens_B!L538&lt;&gt;"", Klantgegevens_B!L538, IF(Klantgegevens_A!L538&gt;=7, "ja", "nee"))</f>
        <v>ja</v>
      </c>
      <c r="N539" t="str">
        <f>IF(Klantgegevens_B!M538&lt;&gt;"", Klantgegevens_B!M538, IF(Klantgegevens_A!L538&gt;=7, "ja", "nee"))</f>
        <v>ja</v>
      </c>
      <c r="O539" t="str">
        <f>IF(Klantgegevens_B!N538&lt;&gt;"", Klantgegevens_B!N538, IF(Klantgegevens_A!L538&gt;=7, "ja", "nee"))</f>
        <v>ja</v>
      </c>
      <c r="P539" t="str">
        <f>IF(Klantgegevens_B!O538&lt;&gt;"", Klantgegevens_B!O538, IF(Klantgegevens_A!L538&gt;=7, "ja", "nee"))</f>
        <v>Geen dieet</v>
      </c>
      <c r="Q539">
        <f>IF(Klantgegevens_B!P538&lt;&gt;"", Klantgegevens_B!P538, Klantgegevens_A!M538)</f>
        <v>0</v>
      </c>
      <c r="R539" t="str">
        <f>IF(Klantgegevens_B!A538&lt;&gt;"", "B", "A")</f>
        <v>B</v>
      </c>
    </row>
    <row r="540" spans="1:18" x14ac:dyDescent="0.3">
      <c r="A540" t="str">
        <f>IF(Klantgegevens_B!A539&lt;&gt;"", Klantgegevens_B!A539, MID(Klantgegevens_A!A539, FIND(",", Klantgegevens_A!A539)+2, LEN(Klantgegevens_A!A539)))</f>
        <v>Diana</v>
      </c>
      <c r="B540" t="str">
        <f>IF(Klantgegevens_B!B539&lt;&gt;"", Klantgegevens_B!B539, LEFT(Klantgegevens_A!A539, FIND(",", Klantgegevens_A!A539)-1))</f>
        <v>Lemmens</v>
      </c>
      <c r="C540" t="str">
        <f t="shared" ca="1" si="8"/>
        <v/>
      </c>
      <c r="D540" t="str">
        <f>IF(Klantgegevens_B!F539&lt;&gt;"", Klantgegevens_B!F539, Klantgegevens_A!D539 &amp; " " &amp; Klantgegevens_A!E539 &amp; ", " &amp; Klantgegevens_A!F539)</f>
        <v>Diana,Catherine,Anne,Tine</v>
      </c>
      <c r="E540">
        <f>IF(Klantgegevens_B!G539&lt;&gt;"", Klantgegevens_B!G539, TEXTJOIN(",", TRUE, REPT("Volwassene,", Klantgegevens_A!G539), REPT("Kind,", Klantgegevens_A!H539)))</f>
        <v>201.93</v>
      </c>
      <c r="F540">
        <f>IF(Klantgegevens_B!G539&lt;&gt;"", LEN(Klantgegevens_B!G539)-LEN(SUBSTITUTE(Klantgegevens_B!G539, ",", ""))+1, Klantgegevens_A!G539)</f>
        <v>1</v>
      </c>
      <c r="G540">
        <f>IF(Klantgegevens_B!G539&lt;&gt;"", 0, Klantgegevens_A!H539)</f>
        <v>0</v>
      </c>
      <c r="H540">
        <f>IF(Klantgegevens_B!H539&lt;&gt;"", Klantgegevens_B!H539, Klantgegevens_A!I539)</f>
        <v>15</v>
      </c>
      <c r="I540" t="str">
        <f>IF(Klantgegevens_B!I539&lt;&gt;"", Klantgegevens_B!I539, SWITCH(Klantgegevens_A!J539, "Zelden", 1, "Af en toe", 4, "Regelmatig", 8, "Vaak", 12))</f>
        <v>Bancontact</v>
      </c>
      <c r="J540" t="str">
        <f>IF(Klantgegevens_B!J539&lt;&gt;"", Klantgegevens_B!J539, Klantgegevens_A!K539)</f>
        <v>ja</v>
      </c>
      <c r="K540">
        <f>IF(Klantgegevens_B!K539&lt;&gt;"", AVERAGE(--(Klantgegevens_B!K539="ja"), --(Klantgegevens_B!L539="ja"), --(Klantgegevens_B!M539="ja"), --(Klantgegevens_B!N539="ja"), --(Klantgegevens_B!O539="ja"))*10, Klantgegevens_A!L539)</f>
        <v>8</v>
      </c>
      <c r="L540" t="str">
        <f>IF(Klantgegevens_B!K539&lt;&gt;"", Klantgegevens_B!K539, IF(Klantgegevens_A!L539&gt;=7, "ja", "nee"))</f>
        <v>ja</v>
      </c>
      <c r="M540" t="str">
        <f>IF(Klantgegevens_B!L539&lt;&gt;"", Klantgegevens_B!L539, IF(Klantgegevens_A!L539&gt;=7, "ja", "nee"))</f>
        <v>ja</v>
      </c>
      <c r="N540" t="str">
        <f>IF(Klantgegevens_B!M539&lt;&gt;"", Klantgegevens_B!M539, IF(Klantgegevens_A!L539&gt;=7, "ja", "nee"))</f>
        <v>ja</v>
      </c>
      <c r="O540" t="str">
        <f>IF(Klantgegevens_B!N539&lt;&gt;"", Klantgegevens_B!N539, IF(Klantgegevens_A!L539&gt;=7, "ja", "nee"))</f>
        <v>ja</v>
      </c>
      <c r="P540" t="str">
        <f>IF(Klantgegevens_B!O539&lt;&gt;"", Klantgegevens_B!O539, IF(Klantgegevens_A!L539&gt;=7, "ja", "nee"))</f>
        <v>Geen dieet</v>
      </c>
      <c r="Q540">
        <f>IF(Klantgegevens_B!P539&lt;&gt;"", Klantgegevens_B!P539, Klantgegevens_A!M539)</f>
        <v>0</v>
      </c>
      <c r="R540" t="str">
        <f>IF(Klantgegevens_B!A539&lt;&gt;"", "B", "A")</f>
        <v>B</v>
      </c>
    </row>
    <row r="541" spans="1:18" x14ac:dyDescent="0.3">
      <c r="A541" t="str">
        <f>IF(Klantgegevens_B!A540&lt;&gt;"", Klantgegevens_B!A540, MID(Klantgegevens_A!A540, FIND(",", Klantgegevens_A!A540)+2, LEN(Klantgegevens_A!A540)))</f>
        <v>Anouk</v>
      </c>
      <c r="B541" t="str">
        <f>IF(Klantgegevens_B!B540&lt;&gt;"", Klantgegevens_B!B540, LEFT(Klantgegevens_A!A540, FIND(",", Klantgegevens_A!A540)-1))</f>
        <v>Smets</v>
      </c>
      <c r="C541" t="str">
        <f t="shared" ca="1" si="8"/>
        <v/>
      </c>
      <c r="D541" t="str">
        <f>IF(Klantgegevens_B!F540&lt;&gt;"", Klantgegevens_B!F540, Klantgegevens_A!D540 &amp; " " &amp; Klantgegevens_A!E540 &amp; ", " &amp; Klantgegevens_A!F540)</f>
        <v>Anouk</v>
      </c>
      <c r="E541">
        <f>IF(Klantgegevens_B!G540&lt;&gt;"", Klantgegevens_B!G540, TEXTJOIN(",", TRUE, REPT("Volwassene,", Klantgegevens_A!G540), REPT("Kind,", Klantgegevens_A!H540)))</f>
        <v>93.11</v>
      </c>
      <c r="F541">
        <f>IF(Klantgegevens_B!G540&lt;&gt;"", LEN(Klantgegevens_B!G540)-LEN(SUBSTITUTE(Klantgegevens_B!G540, ",", ""))+1, Klantgegevens_A!G540)</f>
        <v>1</v>
      </c>
      <c r="G541">
        <f>IF(Klantgegevens_B!G540&lt;&gt;"", 0, Klantgegevens_A!H540)</f>
        <v>0</v>
      </c>
      <c r="H541">
        <f>IF(Klantgegevens_B!H540&lt;&gt;"", Klantgegevens_B!H540, Klantgegevens_A!I540)</f>
        <v>3</v>
      </c>
      <c r="I541" t="str">
        <f>IF(Klantgegevens_B!I540&lt;&gt;"", Klantgegevens_B!I540, SWITCH(Klantgegevens_A!J540, "Zelden", 1, "Af en toe", 4, "Regelmatig", 8, "Vaak", 12))</f>
        <v>Cash</v>
      </c>
      <c r="J541" t="str">
        <f>IF(Klantgegevens_B!J540&lt;&gt;"", Klantgegevens_B!J540, Klantgegevens_A!K540)</f>
        <v>ja</v>
      </c>
      <c r="K541">
        <f>IF(Klantgegevens_B!K540&lt;&gt;"", AVERAGE(--(Klantgegevens_B!K540="ja"), --(Klantgegevens_B!L540="ja"), --(Klantgegevens_B!M540="ja"), --(Klantgegevens_B!N540="ja"), --(Klantgegevens_B!O540="ja"))*10, Klantgegevens_A!L540)</f>
        <v>8</v>
      </c>
      <c r="L541" t="str">
        <f>IF(Klantgegevens_B!K540&lt;&gt;"", Klantgegevens_B!K540, IF(Klantgegevens_A!L540&gt;=7, "ja", "nee"))</f>
        <v>ja</v>
      </c>
      <c r="M541" t="str">
        <f>IF(Klantgegevens_B!L540&lt;&gt;"", Klantgegevens_B!L540, IF(Klantgegevens_A!L540&gt;=7, "ja", "nee"))</f>
        <v>ja</v>
      </c>
      <c r="N541" t="str">
        <f>IF(Klantgegevens_B!M540&lt;&gt;"", Klantgegevens_B!M540, IF(Klantgegevens_A!L540&gt;=7, "ja", "nee"))</f>
        <v>ja</v>
      </c>
      <c r="O541" t="str">
        <f>IF(Klantgegevens_B!N540&lt;&gt;"", Klantgegevens_B!N540, IF(Klantgegevens_A!L540&gt;=7, "ja", "nee"))</f>
        <v>ja</v>
      </c>
      <c r="P541" t="str">
        <f>IF(Klantgegevens_B!O540&lt;&gt;"", Klantgegevens_B!O540, IF(Klantgegevens_A!L540&gt;=7, "ja", "nee"))</f>
        <v>Geen dieet</v>
      </c>
      <c r="Q541">
        <f>IF(Klantgegevens_B!P540&lt;&gt;"", Klantgegevens_B!P540, Klantgegevens_A!M540)</f>
        <v>0</v>
      </c>
      <c r="R541" t="str">
        <f>IF(Klantgegevens_B!A540&lt;&gt;"", "B", "A")</f>
        <v>B</v>
      </c>
    </row>
    <row r="542" spans="1:18" x14ac:dyDescent="0.3">
      <c r="A542" t="str">
        <f>IF(Klantgegevens_B!A541&lt;&gt;"", Klantgegevens_B!A541, MID(Klantgegevens_A!A541, FIND(",", Klantgegevens_A!A541)+2, LEN(Klantgegevens_A!A541)))</f>
        <v>Nell</v>
      </c>
      <c r="B542" t="str">
        <f>IF(Klantgegevens_B!B541&lt;&gt;"", Klantgegevens_B!B541, LEFT(Klantgegevens_A!A541, FIND(",", Klantgegevens_A!A541)-1))</f>
        <v>Moreau</v>
      </c>
      <c r="C542" t="str">
        <f t="shared" ca="1" si="8"/>
        <v/>
      </c>
      <c r="D542" t="str">
        <f>IF(Klantgegevens_B!F541&lt;&gt;"", Klantgegevens_B!F541, Klantgegevens_A!D541 &amp; " " &amp; Klantgegevens_A!E541 &amp; ", " &amp; Klantgegevens_A!F541)</f>
        <v>Nell,Roland,Mohamed,Femke</v>
      </c>
      <c r="E542">
        <f>IF(Klantgegevens_B!G541&lt;&gt;"", Klantgegevens_B!G541, TEXTJOIN(",", TRUE, REPT("Volwassene,", Klantgegevens_A!G541), REPT("Kind,", Klantgegevens_A!H541)))</f>
        <v>147.77000000000001</v>
      </c>
      <c r="F542">
        <f>IF(Klantgegevens_B!G541&lt;&gt;"", LEN(Klantgegevens_B!G541)-LEN(SUBSTITUTE(Klantgegevens_B!G541, ",", ""))+1, Klantgegevens_A!G541)</f>
        <v>1</v>
      </c>
      <c r="G542">
        <f>IF(Klantgegevens_B!G541&lt;&gt;"", 0, Klantgegevens_A!H541)</f>
        <v>0</v>
      </c>
      <c r="H542">
        <f>IF(Klantgegevens_B!H541&lt;&gt;"", Klantgegevens_B!H541, Klantgegevens_A!I541)</f>
        <v>6</v>
      </c>
      <c r="I542" t="str">
        <f>IF(Klantgegevens_B!I541&lt;&gt;"", Klantgegevens_B!I541, SWITCH(Klantgegevens_A!J541, "Zelden", 1, "Af en toe", 4, "Regelmatig", 8, "Vaak", 12))</f>
        <v>Cash</v>
      </c>
      <c r="J542" t="str">
        <f>IF(Klantgegevens_B!J541&lt;&gt;"", Klantgegevens_B!J541, Klantgegevens_A!K541)</f>
        <v>ja</v>
      </c>
      <c r="K542">
        <f>IF(Klantgegevens_B!K541&lt;&gt;"", AVERAGE(--(Klantgegevens_B!K541="ja"), --(Klantgegevens_B!L541="ja"), --(Klantgegevens_B!M541="ja"), --(Klantgegevens_B!N541="ja"), --(Klantgegevens_B!O541="ja"))*10, Klantgegevens_A!L541)</f>
        <v>6</v>
      </c>
      <c r="L542" t="str">
        <f>IF(Klantgegevens_B!K541&lt;&gt;"", Klantgegevens_B!K541, IF(Klantgegevens_A!L541&gt;=7, "ja", "nee"))</f>
        <v>ja</v>
      </c>
      <c r="M542" t="str">
        <f>IF(Klantgegevens_B!L541&lt;&gt;"", Klantgegevens_B!L541, IF(Klantgegevens_A!L541&gt;=7, "ja", "nee"))</f>
        <v>ja</v>
      </c>
      <c r="N542" t="str">
        <f>IF(Klantgegevens_B!M541&lt;&gt;"", Klantgegevens_B!M541, IF(Klantgegevens_A!L541&gt;=7, "ja", "nee"))</f>
        <v>nee</v>
      </c>
      <c r="O542" t="str">
        <f>IF(Klantgegevens_B!N541&lt;&gt;"", Klantgegevens_B!N541, IF(Klantgegevens_A!L541&gt;=7, "ja", "nee"))</f>
        <v>ja</v>
      </c>
      <c r="P542" t="str">
        <f>IF(Klantgegevens_B!O541&lt;&gt;"", Klantgegevens_B!O541, IF(Klantgegevens_A!L541&gt;=7, "ja", "nee"))</f>
        <v>Geen dieet</v>
      </c>
      <c r="Q542">
        <f>IF(Klantgegevens_B!P541&lt;&gt;"", Klantgegevens_B!P541, Klantgegevens_A!M541)</f>
        <v>0</v>
      </c>
      <c r="R542" t="str">
        <f>IF(Klantgegevens_B!A541&lt;&gt;"", "B", "A")</f>
        <v>B</v>
      </c>
    </row>
    <row r="543" spans="1:18" x14ac:dyDescent="0.3">
      <c r="A543" t="str">
        <f>IF(Klantgegevens_B!A542&lt;&gt;"", Klantgegevens_B!A542, MID(Klantgegevens_A!A542, FIND(",", Klantgegevens_A!A542)+2, LEN(Klantgegevens_A!A542)))</f>
        <v>Gino</v>
      </c>
      <c r="B543" t="str">
        <f>IF(Klantgegevens_B!B542&lt;&gt;"", Klantgegevens_B!B542, LEFT(Klantgegevens_A!A542, FIND(",", Klantgegevens_A!A542)-1))</f>
        <v>Lefebvre</v>
      </c>
      <c r="C543" t="str">
        <f t="shared" ca="1" si="8"/>
        <v/>
      </c>
      <c r="D543" t="str">
        <f>IF(Klantgegevens_B!F542&lt;&gt;"", Klantgegevens_B!F542, Klantgegevens_A!D542 &amp; " " &amp; Klantgegevens_A!E542 &amp; ", " &amp; Klantgegevens_A!F542)</f>
        <v>Gino,Renée,Anne-Sophie,Nadjette,Fanny</v>
      </c>
      <c r="E543">
        <f>IF(Klantgegevens_B!G542&lt;&gt;"", Klantgegevens_B!G542, TEXTJOIN(",", TRUE, REPT("Volwassene,", Klantgegevens_A!G542), REPT("Kind,", Klantgegevens_A!H542)))</f>
        <v>207.2</v>
      </c>
      <c r="F543">
        <f>IF(Klantgegevens_B!G542&lt;&gt;"", LEN(Klantgegevens_B!G542)-LEN(SUBSTITUTE(Klantgegevens_B!G542, ",", ""))+1, Klantgegevens_A!G542)</f>
        <v>1</v>
      </c>
      <c r="G543">
        <f>IF(Klantgegevens_B!G542&lt;&gt;"", 0, Klantgegevens_A!H542)</f>
        <v>0</v>
      </c>
      <c r="H543">
        <f>IF(Klantgegevens_B!H542&lt;&gt;"", Klantgegevens_B!H542, Klantgegevens_A!I542)</f>
        <v>24</v>
      </c>
      <c r="I543" t="str">
        <f>IF(Klantgegevens_B!I542&lt;&gt;"", Klantgegevens_B!I542, SWITCH(Klantgegevens_A!J542, "Zelden", 1, "Af en toe", 4, "Regelmatig", 8, "Vaak", 12))</f>
        <v>Bancontact</v>
      </c>
      <c r="J543" t="str">
        <f>IF(Klantgegevens_B!J542&lt;&gt;"", Klantgegevens_B!J542, Klantgegevens_A!K542)</f>
        <v>nee</v>
      </c>
      <c r="K543">
        <f>IF(Klantgegevens_B!K542&lt;&gt;"", AVERAGE(--(Klantgegevens_B!K542="ja"), --(Klantgegevens_B!L542="ja"), --(Klantgegevens_B!M542="ja"), --(Klantgegevens_B!N542="ja"), --(Klantgegevens_B!O542="ja"))*10, Klantgegevens_A!L542)</f>
        <v>4</v>
      </c>
      <c r="L543" t="str">
        <f>IF(Klantgegevens_B!K542&lt;&gt;"", Klantgegevens_B!K542, IF(Klantgegevens_A!L542&gt;=7, "ja", "nee"))</f>
        <v>ja</v>
      </c>
      <c r="M543" t="str">
        <f>IF(Klantgegevens_B!L542&lt;&gt;"", Klantgegevens_B!L542, IF(Klantgegevens_A!L542&gt;=7, "ja", "nee"))</f>
        <v>nee</v>
      </c>
      <c r="N543" t="str">
        <f>IF(Klantgegevens_B!M542&lt;&gt;"", Klantgegevens_B!M542, IF(Klantgegevens_A!L542&gt;=7, "ja", "nee"))</f>
        <v>ja</v>
      </c>
      <c r="O543" t="str">
        <f>IF(Klantgegevens_B!N542&lt;&gt;"", Klantgegevens_B!N542, IF(Klantgegevens_A!L542&gt;=7, "ja", "nee"))</f>
        <v>nee</v>
      </c>
      <c r="P543" t="str">
        <f>IF(Klantgegevens_B!O542&lt;&gt;"", Klantgegevens_B!O542, IF(Klantgegevens_A!L542&gt;=7, "ja", "nee"))</f>
        <v>Veganistisch</v>
      </c>
      <c r="Q543">
        <f>IF(Klantgegevens_B!P542&lt;&gt;"", Klantgegevens_B!P542, Klantgegevens_A!M542)</f>
        <v>0</v>
      </c>
      <c r="R543" t="str">
        <f>IF(Klantgegevens_B!A542&lt;&gt;"", "B", "A")</f>
        <v>B</v>
      </c>
    </row>
    <row r="544" spans="1:18" x14ac:dyDescent="0.3">
      <c r="A544" t="str">
        <f>IF(Klantgegevens_B!A543&lt;&gt;"", Klantgegevens_B!A543, MID(Klantgegevens_A!A543, FIND(",", Klantgegevens_A!A543)+2, LEN(Klantgegevens_A!A543)))</f>
        <v>Ruslan</v>
      </c>
      <c r="B544" t="str">
        <f>IF(Klantgegevens_B!B543&lt;&gt;"", Klantgegevens_B!B543, LEFT(Klantgegevens_A!A543, FIND(",", Klantgegevens_A!A543)-1))</f>
        <v>Maes</v>
      </c>
      <c r="C544" t="str">
        <f t="shared" ca="1" si="8"/>
        <v/>
      </c>
      <c r="D544" t="str">
        <f>IF(Klantgegevens_B!F543&lt;&gt;"", Klantgegevens_B!F543, Klantgegevens_A!D543 &amp; " " &amp; Klantgegevens_A!E543 &amp; ", " &amp; Klantgegevens_A!F543)</f>
        <v>Ruslan,Jules</v>
      </c>
      <c r="E544">
        <f>IF(Klantgegevens_B!G543&lt;&gt;"", Klantgegevens_B!G543, TEXTJOIN(",", TRUE, REPT("Volwassene,", Klantgegevens_A!G543), REPT("Kind,", Klantgegevens_A!H543)))</f>
        <v>139.94</v>
      </c>
      <c r="F544">
        <f>IF(Klantgegevens_B!G543&lt;&gt;"", LEN(Klantgegevens_B!G543)-LEN(SUBSTITUTE(Klantgegevens_B!G543, ",", ""))+1, Klantgegevens_A!G543)</f>
        <v>1</v>
      </c>
      <c r="G544">
        <f>IF(Klantgegevens_B!G543&lt;&gt;"", 0, Klantgegevens_A!H543)</f>
        <v>0</v>
      </c>
      <c r="H544">
        <f>IF(Klantgegevens_B!H543&lt;&gt;"", Klantgegevens_B!H543, Klantgegevens_A!I543)</f>
        <v>27</v>
      </c>
      <c r="I544" t="str">
        <f>IF(Klantgegevens_B!I543&lt;&gt;"", Klantgegevens_B!I543, SWITCH(Klantgegevens_A!J543, "Zelden", 1, "Af en toe", 4, "Regelmatig", 8, "Vaak", 12))</f>
        <v>Bancontact</v>
      </c>
      <c r="J544" t="str">
        <f>IF(Klantgegevens_B!J543&lt;&gt;"", Klantgegevens_B!J543, Klantgegevens_A!K543)</f>
        <v>ja</v>
      </c>
      <c r="K544">
        <f>IF(Klantgegevens_B!K543&lt;&gt;"", AVERAGE(--(Klantgegevens_B!K543="ja"), --(Klantgegevens_B!L543="ja"), --(Klantgegevens_B!M543="ja"), --(Klantgegevens_B!N543="ja"), --(Klantgegevens_B!O543="ja"))*10, Klantgegevens_A!L543)</f>
        <v>4</v>
      </c>
      <c r="L544" t="str">
        <f>IF(Klantgegevens_B!K543&lt;&gt;"", Klantgegevens_B!K543, IF(Klantgegevens_A!L543&gt;=7, "ja", "nee"))</f>
        <v>ja</v>
      </c>
      <c r="M544" t="str">
        <f>IF(Klantgegevens_B!L543&lt;&gt;"", Klantgegevens_B!L543, IF(Klantgegevens_A!L543&gt;=7, "ja", "nee"))</f>
        <v>nee</v>
      </c>
      <c r="N544" t="str">
        <f>IF(Klantgegevens_B!M543&lt;&gt;"", Klantgegevens_B!M543, IF(Klantgegevens_A!L543&gt;=7, "ja", "nee"))</f>
        <v>ja</v>
      </c>
      <c r="O544" t="str">
        <f>IF(Klantgegevens_B!N543&lt;&gt;"", Klantgegevens_B!N543, IF(Klantgegevens_A!L543&gt;=7, "ja", "nee"))</f>
        <v>nee</v>
      </c>
      <c r="P544" t="str">
        <f>IF(Klantgegevens_B!O543&lt;&gt;"", Klantgegevens_B!O543, IF(Klantgegevens_A!L543&gt;=7, "ja", "nee"))</f>
        <v>Veganistisch</v>
      </c>
      <c r="Q544">
        <f>IF(Klantgegevens_B!P543&lt;&gt;"", Klantgegevens_B!P543, Klantgegevens_A!M543)</f>
        <v>0</v>
      </c>
      <c r="R544" t="str">
        <f>IF(Klantgegevens_B!A543&lt;&gt;"", "B", "A")</f>
        <v>B</v>
      </c>
    </row>
    <row r="545" spans="1:18" x14ac:dyDescent="0.3">
      <c r="A545" t="str">
        <f>IF(Klantgegevens_B!A544&lt;&gt;"", Klantgegevens_B!A544, MID(Klantgegevens_A!A544, FIND(",", Klantgegevens_A!A544)+2, LEN(Klantgegevens_A!A544)))</f>
        <v>Stephanie</v>
      </c>
      <c r="B545" t="str">
        <f>IF(Klantgegevens_B!B544&lt;&gt;"", Klantgegevens_B!B544, LEFT(Klantgegevens_A!A544, FIND(",", Klantgegevens_A!A544)-1))</f>
        <v>Verbruggen</v>
      </c>
      <c r="C545" t="str">
        <f t="shared" ca="1" si="8"/>
        <v/>
      </c>
      <c r="D545" t="str">
        <f>IF(Klantgegevens_B!F544&lt;&gt;"", Klantgegevens_B!F544, Klantgegevens_A!D544 &amp; " " &amp; Klantgegevens_A!E544 &amp; ", " &amp; Klantgegevens_A!F544)</f>
        <v>Stephanie,Abdelkarim,Marit,Véronique</v>
      </c>
      <c r="E545">
        <f>IF(Klantgegevens_B!G544&lt;&gt;"", Klantgegevens_B!G544, TEXTJOIN(",", TRUE, REPT("Volwassene,", Klantgegevens_A!G544), REPT("Kind,", Klantgegevens_A!H544)))</f>
        <v>167.01</v>
      </c>
      <c r="F545">
        <f>IF(Klantgegevens_B!G544&lt;&gt;"", LEN(Klantgegevens_B!G544)-LEN(SUBSTITUTE(Klantgegevens_B!G544, ",", ""))+1, Klantgegevens_A!G544)</f>
        <v>1</v>
      </c>
      <c r="G545">
        <f>IF(Klantgegevens_B!G544&lt;&gt;"", 0, Klantgegevens_A!H544)</f>
        <v>0</v>
      </c>
      <c r="H545">
        <f>IF(Klantgegevens_B!H544&lt;&gt;"", Klantgegevens_B!H544, Klantgegevens_A!I544)</f>
        <v>5</v>
      </c>
      <c r="I545" t="str">
        <f>IF(Klantgegevens_B!I544&lt;&gt;"", Klantgegevens_B!I544, SWITCH(Klantgegevens_A!J544, "Zelden", 1, "Af en toe", 4, "Regelmatig", 8, "Vaak", 12))</f>
        <v>Bancontact</v>
      </c>
      <c r="J545" t="str">
        <f>IF(Klantgegevens_B!J544&lt;&gt;"", Klantgegevens_B!J544, Klantgegevens_A!K544)</f>
        <v>ja</v>
      </c>
      <c r="K545">
        <f>IF(Klantgegevens_B!K544&lt;&gt;"", AVERAGE(--(Klantgegevens_B!K544="ja"), --(Klantgegevens_B!L544="ja"), --(Klantgegevens_B!M544="ja"), --(Klantgegevens_B!N544="ja"), --(Klantgegevens_B!O544="ja"))*10, Klantgegevens_A!L544)</f>
        <v>4</v>
      </c>
      <c r="L545" t="str">
        <f>IF(Klantgegevens_B!K544&lt;&gt;"", Klantgegevens_B!K544, IF(Klantgegevens_A!L544&gt;=7, "ja", "nee"))</f>
        <v>nee</v>
      </c>
      <c r="M545" t="str">
        <f>IF(Klantgegevens_B!L544&lt;&gt;"", Klantgegevens_B!L544, IF(Klantgegevens_A!L544&gt;=7, "ja", "nee"))</f>
        <v>ja</v>
      </c>
      <c r="N545" t="str">
        <f>IF(Klantgegevens_B!M544&lt;&gt;"", Klantgegevens_B!M544, IF(Klantgegevens_A!L544&gt;=7, "ja", "nee"))</f>
        <v>ja</v>
      </c>
      <c r="O545" t="str">
        <f>IF(Klantgegevens_B!N544&lt;&gt;"", Klantgegevens_B!N544, IF(Klantgegevens_A!L544&gt;=7, "ja", "nee"))</f>
        <v>nee</v>
      </c>
      <c r="P545" t="str">
        <f>IF(Klantgegevens_B!O544&lt;&gt;"", Klantgegevens_B!O544, IF(Klantgegevens_A!L544&gt;=7, "ja", "nee"))</f>
        <v>Geen dieet</v>
      </c>
      <c r="Q545">
        <f>IF(Klantgegevens_B!P544&lt;&gt;"", Klantgegevens_B!P544, Klantgegevens_A!M544)</f>
        <v>0</v>
      </c>
      <c r="R545" t="str">
        <f>IF(Klantgegevens_B!A544&lt;&gt;"", "B", "A")</f>
        <v>B</v>
      </c>
    </row>
    <row r="546" spans="1:18" x14ac:dyDescent="0.3">
      <c r="A546" t="str">
        <f>IF(Klantgegevens_B!A545&lt;&gt;"", Klantgegevens_B!A545, MID(Klantgegevens_A!A545, FIND(",", Klantgegevens_A!A545)+2, LEN(Klantgegevens_A!A545)))</f>
        <v>Christophe</v>
      </c>
      <c r="B546" t="str">
        <f>IF(Klantgegevens_B!B545&lt;&gt;"", Klantgegevens_B!B545, LEFT(Klantgegevens_A!A545, FIND(",", Klantgegevens_A!A545)-1))</f>
        <v>Gielen</v>
      </c>
      <c r="C546" t="str">
        <f t="shared" ca="1" si="8"/>
        <v/>
      </c>
      <c r="D546" t="str">
        <f>IF(Klantgegevens_B!F545&lt;&gt;"", Klantgegevens_B!F545, Klantgegevens_A!D545 &amp; " " &amp; Klantgegevens_A!E545 &amp; ", " &amp; Klantgegevens_A!F545)</f>
        <v>Christophe,Valdrina,Jean-François,Georgia</v>
      </c>
      <c r="E546">
        <f>IF(Klantgegevens_B!G545&lt;&gt;"", Klantgegevens_B!G545, TEXTJOIN(",", TRUE, REPT("Volwassene,", Klantgegevens_A!G545), REPT("Kind,", Klantgegevens_A!H545)))</f>
        <v>173.54</v>
      </c>
      <c r="F546">
        <f>IF(Klantgegevens_B!G545&lt;&gt;"", LEN(Klantgegevens_B!G545)-LEN(SUBSTITUTE(Klantgegevens_B!G545, ",", ""))+1, Klantgegevens_A!G545)</f>
        <v>1</v>
      </c>
      <c r="G546">
        <f>IF(Klantgegevens_B!G545&lt;&gt;"", 0, Klantgegevens_A!H545)</f>
        <v>0</v>
      </c>
      <c r="H546">
        <f>IF(Klantgegevens_B!H545&lt;&gt;"", Klantgegevens_B!H545, Klantgegevens_A!I545)</f>
        <v>12</v>
      </c>
      <c r="I546" t="str">
        <f>IF(Klantgegevens_B!I545&lt;&gt;"", Klantgegevens_B!I545, SWITCH(Klantgegevens_A!J545, "Zelden", 1, "Af en toe", 4, "Regelmatig", 8, "Vaak", 12))</f>
        <v>Cash</v>
      </c>
      <c r="J546" t="str">
        <f>IF(Klantgegevens_B!J545&lt;&gt;"", Klantgegevens_B!J545, Klantgegevens_A!K545)</f>
        <v>ja</v>
      </c>
      <c r="K546">
        <f>IF(Klantgegevens_B!K545&lt;&gt;"", AVERAGE(--(Klantgegevens_B!K545="ja"), --(Klantgegevens_B!L545="ja"), --(Klantgegevens_B!M545="ja"), --(Klantgegevens_B!N545="ja"), --(Klantgegevens_B!O545="ja"))*10, Klantgegevens_A!L545)</f>
        <v>4</v>
      </c>
      <c r="L546" t="str">
        <f>IF(Klantgegevens_B!K545&lt;&gt;"", Klantgegevens_B!K545, IF(Klantgegevens_A!L545&gt;=7, "ja", "nee"))</f>
        <v>nee</v>
      </c>
      <c r="M546" t="str">
        <f>IF(Klantgegevens_B!L545&lt;&gt;"", Klantgegevens_B!L545, IF(Klantgegevens_A!L545&gt;=7, "ja", "nee"))</f>
        <v>ja</v>
      </c>
      <c r="N546" t="str">
        <f>IF(Klantgegevens_B!M545&lt;&gt;"", Klantgegevens_B!M545, IF(Klantgegevens_A!L545&gt;=7, "ja", "nee"))</f>
        <v>ja</v>
      </c>
      <c r="O546" t="str">
        <f>IF(Klantgegevens_B!N545&lt;&gt;"", Klantgegevens_B!N545, IF(Klantgegevens_A!L545&gt;=7, "ja", "nee"))</f>
        <v>nee</v>
      </c>
      <c r="P546" t="str">
        <f>IF(Klantgegevens_B!O545&lt;&gt;"", Klantgegevens_B!O545, IF(Klantgegevens_A!L545&gt;=7, "ja", "nee"))</f>
        <v>Veganistisch</v>
      </c>
      <c r="Q546">
        <f>IF(Klantgegevens_B!P545&lt;&gt;"", Klantgegevens_B!P545, Klantgegevens_A!M545)</f>
        <v>0</v>
      </c>
      <c r="R546" t="str">
        <f>IF(Klantgegevens_B!A545&lt;&gt;"", "B", "A")</f>
        <v>B</v>
      </c>
    </row>
    <row r="547" spans="1:18" x14ac:dyDescent="0.3">
      <c r="A547" t="str">
        <f>IF(Klantgegevens_B!A546&lt;&gt;"", Klantgegevens_B!A546, MID(Klantgegevens_A!A546, FIND(",", Klantgegevens_A!A546)+2, LEN(Klantgegevens_A!A546)))</f>
        <v>Erwin</v>
      </c>
      <c r="B547" t="str">
        <f>IF(Klantgegevens_B!B546&lt;&gt;"", Klantgegevens_B!B546, LEFT(Klantgegevens_A!A546, FIND(",", Klantgegevens_A!A546)-1))</f>
        <v>Van den bossche</v>
      </c>
      <c r="C547" t="str">
        <f t="shared" ca="1" si="8"/>
        <v/>
      </c>
      <c r="D547" t="str">
        <f>IF(Klantgegevens_B!F546&lt;&gt;"", Klantgegevens_B!F546, Klantgegevens_A!D546 &amp; " " &amp; Klantgegevens_A!E546 &amp; ", " &amp; Klantgegevens_A!F546)</f>
        <v>Erwin,Nicola,Olivia</v>
      </c>
      <c r="E547">
        <f>IF(Klantgegevens_B!G546&lt;&gt;"", Klantgegevens_B!G546, TEXTJOIN(",", TRUE, REPT("Volwassene,", Klantgegevens_A!G546), REPT("Kind,", Klantgegevens_A!H546)))</f>
        <v>154.83000000000001</v>
      </c>
      <c r="F547">
        <f>IF(Klantgegevens_B!G546&lt;&gt;"", LEN(Klantgegevens_B!G546)-LEN(SUBSTITUTE(Klantgegevens_B!G546, ",", ""))+1, Klantgegevens_A!G546)</f>
        <v>1</v>
      </c>
      <c r="G547">
        <f>IF(Klantgegevens_B!G546&lt;&gt;"", 0, Klantgegevens_A!H546)</f>
        <v>0</v>
      </c>
      <c r="H547">
        <f>IF(Klantgegevens_B!H546&lt;&gt;"", Klantgegevens_B!H546, Klantgegevens_A!I546)</f>
        <v>4</v>
      </c>
      <c r="I547" t="str">
        <f>IF(Klantgegevens_B!I546&lt;&gt;"", Klantgegevens_B!I546, SWITCH(Klantgegevens_A!J546, "Zelden", 1, "Af en toe", 4, "Regelmatig", 8, "Vaak", 12))</f>
        <v>Cash</v>
      </c>
      <c r="J547" t="str">
        <f>IF(Klantgegevens_B!J546&lt;&gt;"", Klantgegevens_B!J546, Klantgegevens_A!K546)</f>
        <v>ja</v>
      </c>
      <c r="K547">
        <f>IF(Klantgegevens_B!K546&lt;&gt;"", AVERAGE(--(Klantgegevens_B!K546="ja"), --(Klantgegevens_B!L546="ja"), --(Klantgegevens_B!M546="ja"), --(Klantgegevens_B!N546="ja"), --(Klantgegevens_B!O546="ja"))*10, Klantgegevens_A!L546)</f>
        <v>6</v>
      </c>
      <c r="L547" t="str">
        <f>IF(Klantgegevens_B!K546&lt;&gt;"", Klantgegevens_B!K546, IF(Klantgegevens_A!L546&gt;=7, "ja", "nee"))</f>
        <v>ja</v>
      </c>
      <c r="M547" t="str">
        <f>IF(Klantgegevens_B!L546&lt;&gt;"", Klantgegevens_B!L546, IF(Klantgegevens_A!L546&gt;=7, "ja", "nee"))</f>
        <v>ja</v>
      </c>
      <c r="N547" t="str">
        <f>IF(Klantgegevens_B!M546&lt;&gt;"", Klantgegevens_B!M546, IF(Klantgegevens_A!L546&gt;=7, "ja", "nee"))</f>
        <v>nee</v>
      </c>
      <c r="O547" t="str">
        <f>IF(Klantgegevens_B!N546&lt;&gt;"", Klantgegevens_B!N546, IF(Klantgegevens_A!L546&gt;=7, "ja", "nee"))</f>
        <v>ja</v>
      </c>
      <c r="P547" t="str">
        <f>IF(Klantgegevens_B!O546&lt;&gt;"", Klantgegevens_B!O546, IF(Klantgegevens_A!L546&gt;=7, "ja", "nee"))</f>
        <v>Geen dieet</v>
      </c>
      <c r="Q547">
        <f>IF(Klantgegevens_B!P546&lt;&gt;"", Klantgegevens_B!P546, Klantgegevens_A!M546)</f>
        <v>0</v>
      </c>
      <c r="R547" t="str">
        <f>IF(Klantgegevens_B!A546&lt;&gt;"", "B", "A")</f>
        <v>B</v>
      </c>
    </row>
    <row r="548" spans="1:18" x14ac:dyDescent="0.3">
      <c r="A548" t="str">
        <f>IF(Klantgegevens_B!A547&lt;&gt;"", Klantgegevens_B!A547, MID(Klantgegevens_A!A547, FIND(",", Klantgegevens_A!A547)+2, LEN(Klantgegevens_A!A547)))</f>
        <v>Anne-Marie</v>
      </c>
      <c r="B548" t="str">
        <f>IF(Klantgegevens_B!B547&lt;&gt;"", Klantgegevens_B!B547, LEFT(Klantgegevens_A!A547, FIND(",", Klantgegevens_A!A547)-1))</f>
        <v>Janssen</v>
      </c>
      <c r="C548" t="str">
        <f t="shared" ca="1" si="8"/>
        <v/>
      </c>
      <c r="D548" t="str">
        <f>IF(Klantgegevens_B!F547&lt;&gt;"", Klantgegevens_B!F547, Klantgegevens_A!D547 &amp; " " &amp; Klantgegevens_A!E547 &amp; ", " &amp; Klantgegevens_A!F547)</f>
        <v>Anne-Marie,Jules,Ingrid</v>
      </c>
      <c r="E548">
        <f>IF(Klantgegevens_B!G547&lt;&gt;"", Klantgegevens_B!G547, TEXTJOIN(",", TRUE, REPT("Volwassene,", Klantgegevens_A!G547), REPT("Kind,", Klantgegevens_A!H547)))</f>
        <v>141.34</v>
      </c>
      <c r="F548">
        <f>IF(Klantgegevens_B!G547&lt;&gt;"", LEN(Klantgegevens_B!G547)-LEN(SUBSTITUTE(Klantgegevens_B!G547, ",", ""))+1, Klantgegevens_A!G547)</f>
        <v>1</v>
      </c>
      <c r="G548">
        <f>IF(Klantgegevens_B!G547&lt;&gt;"", 0, Klantgegevens_A!H547)</f>
        <v>0</v>
      </c>
      <c r="H548">
        <f>IF(Klantgegevens_B!H547&lt;&gt;"", Klantgegevens_B!H547, Klantgegevens_A!I547)</f>
        <v>2</v>
      </c>
      <c r="I548" t="str">
        <f>IF(Klantgegevens_B!I547&lt;&gt;"", Klantgegevens_B!I547, SWITCH(Klantgegevens_A!J547, "Zelden", 1, "Af en toe", 4, "Regelmatig", 8, "Vaak", 12))</f>
        <v>Creditcard</v>
      </c>
      <c r="J548" t="str">
        <f>IF(Klantgegevens_B!J547&lt;&gt;"", Klantgegevens_B!J547, Klantgegevens_A!K547)</f>
        <v>ja</v>
      </c>
      <c r="K548">
        <f>IF(Klantgegevens_B!K547&lt;&gt;"", AVERAGE(--(Klantgegevens_B!K547="ja"), --(Klantgegevens_B!L547="ja"), --(Klantgegevens_B!M547="ja"), --(Klantgegevens_B!N547="ja"), --(Klantgegevens_B!O547="ja"))*10, Klantgegevens_A!L547)</f>
        <v>2</v>
      </c>
      <c r="L548" t="str">
        <f>IF(Klantgegevens_B!K547&lt;&gt;"", Klantgegevens_B!K547, IF(Klantgegevens_A!L547&gt;=7, "ja", "nee"))</f>
        <v>ja</v>
      </c>
      <c r="M548" t="str">
        <f>IF(Klantgegevens_B!L547&lt;&gt;"", Klantgegevens_B!L547, IF(Klantgegevens_A!L547&gt;=7, "ja", "nee"))</f>
        <v>nee</v>
      </c>
      <c r="N548" t="str">
        <f>IF(Klantgegevens_B!M547&lt;&gt;"", Klantgegevens_B!M547, IF(Klantgegevens_A!L547&gt;=7, "ja", "nee"))</f>
        <v>nee</v>
      </c>
      <c r="O548" t="str">
        <f>IF(Klantgegevens_B!N547&lt;&gt;"", Klantgegevens_B!N547, IF(Klantgegevens_A!L547&gt;=7, "ja", "nee"))</f>
        <v>nee</v>
      </c>
      <c r="P548" t="str">
        <f>IF(Klantgegevens_B!O547&lt;&gt;"", Klantgegevens_B!O547, IF(Klantgegevens_A!L547&gt;=7, "ja", "nee"))</f>
        <v>Geen dieet</v>
      </c>
      <c r="Q548">
        <f>IF(Klantgegevens_B!P547&lt;&gt;"", Klantgegevens_B!P547, Klantgegevens_A!M547)</f>
        <v>0</v>
      </c>
      <c r="R548" t="str">
        <f>IF(Klantgegevens_B!A547&lt;&gt;"", "B", "A")</f>
        <v>B</v>
      </c>
    </row>
    <row r="549" spans="1:18" x14ac:dyDescent="0.3">
      <c r="A549" t="str">
        <f>IF(Klantgegevens_B!A548&lt;&gt;"", Klantgegevens_B!A548, MID(Klantgegevens_A!A548, FIND(",", Klantgegevens_A!A548)+2, LEN(Klantgegevens_A!A548)))</f>
        <v>Luc</v>
      </c>
      <c r="B549" t="str">
        <f>IF(Klantgegevens_B!B548&lt;&gt;"", Klantgegevens_B!B548, LEFT(Klantgegevens_A!A548, FIND(",", Klantgegevens_A!A548)-1))</f>
        <v>Mertens</v>
      </c>
      <c r="C549" t="str">
        <f t="shared" ca="1" si="8"/>
        <v/>
      </c>
      <c r="D549" t="str">
        <f>IF(Klantgegevens_B!F548&lt;&gt;"", Klantgegevens_B!F548, Klantgegevens_A!D548 &amp; " " &amp; Klantgegevens_A!E548 &amp; ", " &amp; Klantgegevens_A!F548)</f>
        <v>Luc,Gwendy</v>
      </c>
      <c r="E549">
        <f>IF(Klantgegevens_B!G548&lt;&gt;"", Klantgegevens_B!G548, TEXTJOIN(",", TRUE, REPT("Volwassene,", Klantgegevens_A!G548), REPT("Kind,", Klantgegevens_A!H548)))</f>
        <v>98.77</v>
      </c>
      <c r="F549">
        <f>IF(Klantgegevens_B!G548&lt;&gt;"", LEN(Klantgegevens_B!G548)-LEN(SUBSTITUTE(Klantgegevens_B!G548, ",", ""))+1, Klantgegevens_A!G548)</f>
        <v>1</v>
      </c>
      <c r="G549">
        <f>IF(Klantgegevens_B!G548&lt;&gt;"", 0, Klantgegevens_A!H548)</f>
        <v>0</v>
      </c>
      <c r="H549">
        <f>IF(Klantgegevens_B!H548&lt;&gt;"", Klantgegevens_B!H548, Klantgegevens_A!I548)</f>
        <v>8</v>
      </c>
      <c r="I549" t="str">
        <f>IF(Klantgegevens_B!I548&lt;&gt;"", Klantgegevens_B!I548, SWITCH(Klantgegevens_A!J548, "Zelden", 1, "Af en toe", 4, "Regelmatig", 8, "Vaak", 12))</f>
        <v>Payconiq</v>
      </c>
      <c r="J549" t="str">
        <f>IF(Klantgegevens_B!J548&lt;&gt;"", Klantgegevens_B!J548, Klantgegevens_A!K548)</f>
        <v>ja</v>
      </c>
      <c r="K549">
        <f>IF(Klantgegevens_B!K548&lt;&gt;"", AVERAGE(--(Klantgegevens_B!K548="ja"), --(Klantgegevens_B!L548="ja"), --(Klantgegevens_B!M548="ja"), --(Klantgegevens_B!N548="ja"), --(Klantgegevens_B!O548="ja"))*10, Klantgegevens_A!L548)</f>
        <v>4</v>
      </c>
      <c r="L549" t="str">
        <f>IF(Klantgegevens_B!K548&lt;&gt;"", Klantgegevens_B!K548, IF(Klantgegevens_A!L548&gt;=7, "ja", "nee"))</f>
        <v>ja</v>
      </c>
      <c r="M549" t="str">
        <f>IF(Klantgegevens_B!L548&lt;&gt;"", Klantgegevens_B!L548, IF(Klantgegevens_A!L548&gt;=7, "ja", "nee"))</f>
        <v>nee</v>
      </c>
      <c r="N549" t="str">
        <f>IF(Klantgegevens_B!M548&lt;&gt;"", Klantgegevens_B!M548, IF(Klantgegevens_A!L548&gt;=7, "ja", "nee"))</f>
        <v>nee</v>
      </c>
      <c r="O549" t="str">
        <f>IF(Klantgegevens_B!N548&lt;&gt;"", Klantgegevens_B!N548, IF(Klantgegevens_A!L548&gt;=7, "ja", "nee"))</f>
        <v>ja</v>
      </c>
      <c r="P549" t="str">
        <f>IF(Klantgegevens_B!O548&lt;&gt;"", Klantgegevens_B!O548, IF(Klantgegevens_A!L548&gt;=7, "ja", "nee"))</f>
        <v>Geen dieet</v>
      </c>
      <c r="Q549">
        <f>IF(Klantgegevens_B!P548&lt;&gt;"", Klantgegevens_B!P548, Klantgegevens_A!M548)</f>
        <v>0</v>
      </c>
      <c r="R549" t="str">
        <f>IF(Klantgegevens_B!A548&lt;&gt;"", "B", "A")</f>
        <v>B</v>
      </c>
    </row>
    <row r="550" spans="1:18" x14ac:dyDescent="0.3">
      <c r="A550" t="str">
        <f>IF(Klantgegevens_B!A549&lt;&gt;"", Klantgegevens_B!A549, MID(Klantgegevens_A!A549, FIND(",", Klantgegevens_A!A549)+2, LEN(Klantgegevens_A!A549)))</f>
        <v>Loane</v>
      </c>
      <c r="B550" t="str">
        <f>IF(Klantgegevens_B!B549&lt;&gt;"", Klantgegevens_B!B549, LEFT(Klantgegevens_A!A549, FIND(",", Klantgegevens_A!A549)-1))</f>
        <v>Herman</v>
      </c>
      <c r="C550" t="str">
        <f t="shared" ca="1" si="8"/>
        <v/>
      </c>
      <c r="D550" t="str">
        <f>IF(Klantgegevens_B!F549&lt;&gt;"", Klantgegevens_B!F549, Klantgegevens_A!D549 &amp; " " &amp; Klantgegevens_A!E549 &amp; ", " &amp; Klantgegevens_A!F549)</f>
        <v>Loane</v>
      </c>
      <c r="E550">
        <f>IF(Klantgegevens_B!G549&lt;&gt;"", Klantgegevens_B!G549, TEXTJOIN(",", TRUE, REPT("Volwassene,", Klantgegevens_A!G549), REPT("Kind,", Klantgegevens_A!H549)))</f>
        <v>67.510000000000005</v>
      </c>
      <c r="F550">
        <f>IF(Klantgegevens_B!G549&lt;&gt;"", LEN(Klantgegevens_B!G549)-LEN(SUBSTITUTE(Klantgegevens_B!G549, ",", ""))+1, Klantgegevens_A!G549)</f>
        <v>1</v>
      </c>
      <c r="G550">
        <f>IF(Klantgegevens_B!G549&lt;&gt;"", 0, Klantgegevens_A!H549)</f>
        <v>0</v>
      </c>
      <c r="H550">
        <f>IF(Klantgegevens_B!H549&lt;&gt;"", Klantgegevens_B!H549, Klantgegevens_A!I549)</f>
        <v>22</v>
      </c>
      <c r="I550" t="str">
        <f>IF(Klantgegevens_B!I549&lt;&gt;"", Klantgegevens_B!I549, SWITCH(Klantgegevens_A!J549, "Zelden", 1, "Af en toe", 4, "Regelmatig", 8, "Vaak", 12))</f>
        <v>Bancontact</v>
      </c>
      <c r="J550" t="str">
        <f>IF(Klantgegevens_B!J549&lt;&gt;"", Klantgegevens_B!J549, Klantgegevens_A!K549)</f>
        <v>ja</v>
      </c>
      <c r="K550">
        <f>IF(Klantgegevens_B!K549&lt;&gt;"", AVERAGE(--(Klantgegevens_B!K549="ja"), --(Klantgegevens_B!L549="ja"), --(Klantgegevens_B!M549="ja"), --(Klantgegevens_B!N549="ja"), --(Klantgegevens_B!O549="ja"))*10, Klantgegevens_A!L549)</f>
        <v>8</v>
      </c>
      <c r="L550" t="str">
        <f>IF(Klantgegevens_B!K549&lt;&gt;"", Klantgegevens_B!K549, IF(Klantgegevens_A!L549&gt;=7, "ja", "nee"))</f>
        <v>ja</v>
      </c>
      <c r="M550" t="str">
        <f>IF(Klantgegevens_B!L549&lt;&gt;"", Klantgegevens_B!L549, IF(Klantgegevens_A!L549&gt;=7, "ja", "nee"))</f>
        <v>ja</v>
      </c>
      <c r="N550" t="str">
        <f>IF(Klantgegevens_B!M549&lt;&gt;"", Klantgegevens_B!M549, IF(Klantgegevens_A!L549&gt;=7, "ja", "nee"))</f>
        <v>ja</v>
      </c>
      <c r="O550" t="str">
        <f>IF(Klantgegevens_B!N549&lt;&gt;"", Klantgegevens_B!N549, IF(Klantgegevens_A!L549&gt;=7, "ja", "nee"))</f>
        <v>ja</v>
      </c>
      <c r="P550" t="str">
        <f>IF(Klantgegevens_B!O549&lt;&gt;"", Klantgegevens_B!O549, IF(Klantgegevens_A!L549&gt;=7, "ja", "nee"))</f>
        <v>Geen dieet</v>
      </c>
      <c r="Q550">
        <f>IF(Klantgegevens_B!P549&lt;&gt;"", Klantgegevens_B!P549, Klantgegevens_A!M549)</f>
        <v>0</v>
      </c>
      <c r="R550" t="str">
        <f>IF(Klantgegevens_B!A549&lt;&gt;"", "B", "A")</f>
        <v>B</v>
      </c>
    </row>
    <row r="551" spans="1:18" x14ac:dyDescent="0.3">
      <c r="A551" t="str">
        <f>IF(Klantgegevens_B!A550&lt;&gt;"", Klantgegevens_B!A550, MID(Klantgegevens_A!A550, FIND(",", Klantgegevens_A!A550)+2, LEN(Klantgegevens_A!A550)))</f>
        <v>Dylan</v>
      </c>
      <c r="B551" t="str">
        <f>IF(Klantgegevens_B!B550&lt;&gt;"", Klantgegevens_B!B550, LEFT(Klantgegevens_A!A550, FIND(",", Klantgegevens_A!A550)-1))</f>
        <v>Herman</v>
      </c>
      <c r="C551" t="str">
        <f t="shared" ca="1" si="8"/>
        <v/>
      </c>
      <c r="D551" t="str">
        <f>IF(Klantgegevens_B!F550&lt;&gt;"", Klantgegevens_B!F550, Klantgegevens_A!D550 &amp; " " &amp; Klantgegevens_A!E550 &amp; ", " &amp; Klantgegevens_A!F550)</f>
        <v>Dylan,Valérie,Irène,Gina</v>
      </c>
      <c r="E551">
        <f>IF(Klantgegevens_B!G550&lt;&gt;"", Klantgegevens_B!G550, TEXTJOIN(",", TRUE, REPT("Volwassene,", Klantgegevens_A!G550), REPT("Kind,", Klantgegevens_A!H550)))</f>
        <v>156.08000000000001</v>
      </c>
      <c r="F551">
        <f>IF(Klantgegevens_B!G550&lt;&gt;"", LEN(Klantgegevens_B!G550)-LEN(SUBSTITUTE(Klantgegevens_B!G550, ",", ""))+1, Klantgegevens_A!G550)</f>
        <v>1</v>
      </c>
      <c r="G551">
        <f>IF(Klantgegevens_B!G550&lt;&gt;"", 0, Klantgegevens_A!H550)</f>
        <v>0</v>
      </c>
      <c r="H551">
        <f>IF(Klantgegevens_B!H550&lt;&gt;"", Klantgegevens_B!H550, Klantgegevens_A!I550)</f>
        <v>9</v>
      </c>
      <c r="I551" t="str">
        <f>IF(Klantgegevens_B!I550&lt;&gt;"", Klantgegevens_B!I550, SWITCH(Klantgegevens_A!J550, "Zelden", 1, "Af en toe", 4, "Regelmatig", 8, "Vaak", 12))</f>
        <v>Bancontact</v>
      </c>
      <c r="J551" t="str">
        <f>IF(Klantgegevens_B!J550&lt;&gt;"", Klantgegevens_B!J550, Klantgegevens_A!K550)</f>
        <v>ja</v>
      </c>
      <c r="K551">
        <f>IF(Klantgegevens_B!K550&lt;&gt;"", AVERAGE(--(Klantgegevens_B!K550="ja"), --(Klantgegevens_B!L550="ja"), --(Klantgegevens_B!M550="ja"), --(Klantgegevens_B!N550="ja"), --(Klantgegevens_B!O550="ja"))*10, Klantgegevens_A!L550)</f>
        <v>6</v>
      </c>
      <c r="L551" t="str">
        <f>IF(Klantgegevens_B!K550&lt;&gt;"", Klantgegevens_B!K550, IF(Klantgegevens_A!L550&gt;=7, "ja", "nee"))</f>
        <v>nee</v>
      </c>
      <c r="M551" t="str">
        <f>IF(Klantgegevens_B!L550&lt;&gt;"", Klantgegevens_B!L550, IF(Klantgegevens_A!L550&gt;=7, "ja", "nee"))</f>
        <v>ja</v>
      </c>
      <c r="N551" t="str">
        <f>IF(Klantgegevens_B!M550&lt;&gt;"", Klantgegevens_B!M550, IF(Klantgegevens_A!L550&gt;=7, "ja", "nee"))</f>
        <v>ja</v>
      </c>
      <c r="O551" t="str">
        <f>IF(Klantgegevens_B!N550&lt;&gt;"", Klantgegevens_B!N550, IF(Klantgegevens_A!L550&gt;=7, "ja", "nee"))</f>
        <v>ja</v>
      </c>
      <c r="P551" t="str">
        <f>IF(Klantgegevens_B!O550&lt;&gt;"", Klantgegevens_B!O550, IF(Klantgegevens_A!L550&gt;=7, "ja", "nee"))</f>
        <v>Geen dieet</v>
      </c>
      <c r="Q551">
        <f>IF(Klantgegevens_B!P550&lt;&gt;"", Klantgegevens_B!P550, Klantgegevens_A!M550)</f>
        <v>0</v>
      </c>
      <c r="R551" t="str">
        <f>IF(Klantgegevens_B!A550&lt;&gt;"", "B", "A")</f>
        <v>B</v>
      </c>
    </row>
    <row r="552" spans="1:18" x14ac:dyDescent="0.3">
      <c r="A552" t="str">
        <f>IF(Klantgegevens_B!A551&lt;&gt;"", Klantgegevens_B!A551, MID(Klantgegevens_A!A551, FIND(",", Klantgegevens_A!A551)+2, LEN(Klantgegevens_A!A551)))</f>
        <v>Léopold</v>
      </c>
      <c r="B552" t="str">
        <f>IF(Klantgegevens_B!B551&lt;&gt;"", Klantgegevens_B!B551, LEFT(Klantgegevens_A!A551, FIND(",", Klantgegevens_A!A551)-1))</f>
        <v>De keyser</v>
      </c>
      <c r="C552" t="str">
        <f t="shared" ca="1" si="8"/>
        <v/>
      </c>
      <c r="D552" t="str">
        <f>IF(Klantgegevens_B!F551&lt;&gt;"", Klantgegevens_B!F551, Klantgegevens_A!D551 &amp; " " &amp; Klantgegevens_A!E551 &amp; ", " &amp; Klantgegevens_A!F551)</f>
        <v>Léopold,Jean</v>
      </c>
      <c r="E552">
        <f>IF(Klantgegevens_B!G551&lt;&gt;"", Klantgegevens_B!G551, TEXTJOIN(",", TRUE, REPT("Volwassene,", Klantgegevens_A!G551), REPT("Kind,", Klantgegevens_A!H551)))</f>
        <v>180.03</v>
      </c>
      <c r="F552">
        <f>IF(Klantgegevens_B!G551&lt;&gt;"", LEN(Klantgegevens_B!G551)-LEN(SUBSTITUTE(Klantgegevens_B!G551, ",", ""))+1, Klantgegevens_A!G551)</f>
        <v>1</v>
      </c>
      <c r="G552">
        <f>IF(Klantgegevens_B!G551&lt;&gt;"", 0, Klantgegevens_A!H551)</f>
        <v>0</v>
      </c>
      <c r="H552">
        <f>IF(Klantgegevens_B!H551&lt;&gt;"", Klantgegevens_B!H551, Klantgegevens_A!I551)</f>
        <v>6</v>
      </c>
      <c r="I552" t="str">
        <f>IF(Klantgegevens_B!I551&lt;&gt;"", Klantgegevens_B!I551, SWITCH(Klantgegevens_A!J551, "Zelden", 1, "Af en toe", 4, "Regelmatig", 8, "Vaak", 12))</f>
        <v>Bancontact</v>
      </c>
      <c r="J552" t="str">
        <f>IF(Klantgegevens_B!J551&lt;&gt;"", Klantgegevens_B!J551, Klantgegevens_A!K551)</f>
        <v>ja</v>
      </c>
      <c r="K552">
        <f>IF(Klantgegevens_B!K551&lt;&gt;"", AVERAGE(--(Klantgegevens_B!K551="ja"), --(Klantgegevens_B!L551="ja"), --(Klantgegevens_B!M551="ja"), --(Klantgegevens_B!N551="ja"), --(Klantgegevens_B!O551="ja"))*10, Klantgegevens_A!L551)</f>
        <v>6</v>
      </c>
      <c r="L552" t="str">
        <f>IF(Klantgegevens_B!K551&lt;&gt;"", Klantgegevens_B!K551, IF(Klantgegevens_A!L551&gt;=7, "ja", "nee"))</f>
        <v>ja</v>
      </c>
      <c r="M552" t="str">
        <f>IF(Klantgegevens_B!L551&lt;&gt;"", Klantgegevens_B!L551, IF(Klantgegevens_A!L551&gt;=7, "ja", "nee"))</f>
        <v>nee</v>
      </c>
      <c r="N552" t="str">
        <f>IF(Klantgegevens_B!M551&lt;&gt;"", Klantgegevens_B!M551, IF(Klantgegevens_A!L551&gt;=7, "ja", "nee"))</f>
        <v>ja</v>
      </c>
      <c r="O552" t="str">
        <f>IF(Klantgegevens_B!N551&lt;&gt;"", Klantgegevens_B!N551, IF(Klantgegevens_A!L551&gt;=7, "ja", "nee"))</f>
        <v>ja</v>
      </c>
      <c r="P552" t="str">
        <f>IF(Klantgegevens_B!O551&lt;&gt;"", Klantgegevens_B!O551, IF(Klantgegevens_A!L551&gt;=7, "ja", "nee"))</f>
        <v>Vegetarisch</v>
      </c>
      <c r="Q552">
        <f>IF(Klantgegevens_B!P551&lt;&gt;"", Klantgegevens_B!P551, Klantgegevens_A!M551)</f>
        <v>0</v>
      </c>
      <c r="R552" t="str">
        <f>IF(Klantgegevens_B!A551&lt;&gt;"", "B", "A")</f>
        <v>B</v>
      </c>
    </row>
    <row r="553" spans="1:18" x14ac:dyDescent="0.3">
      <c r="A553" t="str">
        <f>IF(Klantgegevens_B!A552&lt;&gt;"", Klantgegevens_B!A552, MID(Klantgegevens_A!A552, FIND(",", Klantgegevens_A!A552)+2, LEN(Klantgegevens_A!A552)))</f>
        <v>Lorraine</v>
      </c>
      <c r="B553" t="str">
        <f>IF(Klantgegevens_B!B552&lt;&gt;"", Klantgegevens_B!B552, LEFT(Klantgegevens_A!A552, FIND(",", Klantgegevens_A!A552)-1))</f>
        <v>Smits</v>
      </c>
      <c r="C553" t="str">
        <f t="shared" ca="1" si="8"/>
        <v/>
      </c>
      <c r="D553" t="str">
        <f>IF(Klantgegevens_B!F552&lt;&gt;"", Klantgegevens_B!F552, Klantgegevens_A!D552 &amp; " " &amp; Klantgegevens_A!E552 &amp; ", " &amp; Klantgegevens_A!F552)</f>
        <v>Lorraine,Fatoumata,Xavier,Rosa</v>
      </c>
      <c r="E553">
        <f>IF(Klantgegevens_B!G552&lt;&gt;"", Klantgegevens_B!G552, TEXTJOIN(",", TRUE, REPT("Volwassene,", Klantgegevens_A!G552), REPT("Kind,", Klantgegevens_A!H552)))</f>
        <v>94.7</v>
      </c>
      <c r="F553">
        <f>IF(Klantgegevens_B!G552&lt;&gt;"", LEN(Klantgegevens_B!G552)-LEN(SUBSTITUTE(Klantgegevens_B!G552, ",", ""))+1, Klantgegevens_A!G552)</f>
        <v>1</v>
      </c>
      <c r="G553">
        <f>IF(Klantgegevens_B!G552&lt;&gt;"", 0, Klantgegevens_A!H552)</f>
        <v>0</v>
      </c>
      <c r="H553">
        <f>IF(Klantgegevens_B!H552&lt;&gt;"", Klantgegevens_B!H552, Klantgegevens_A!I552)</f>
        <v>11</v>
      </c>
      <c r="I553" t="str">
        <f>IF(Klantgegevens_B!I552&lt;&gt;"", Klantgegevens_B!I552, SWITCH(Klantgegevens_A!J552, "Zelden", 1, "Af en toe", 4, "Regelmatig", 8, "Vaak", 12))</f>
        <v>Cash</v>
      </c>
      <c r="J553" t="str">
        <f>IF(Klantgegevens_B!J552&lt;&gt;"", Klantgegevens_B!J552, Klantgegevens_A!K552)</f>
        <v>ja</v>
      </c>
      <c r="K553">
        <f>IF(Klantgegevens_B!K552&lt;&gt;"", AVERAGE(--(Klantgegevens_B!K552="ja"), --(Klantgegevens_B!L552="ja"), --(Klantgegevens_B!M552="ja"), --(Klantgegevens_B!N552="ja"), --(Klantgegevens_B!O552="ja"))*10, Klantgegevens_A!L552)</f>
        <v>8</v>
      </c>
      <c r="L553" t="str">
        <f>IF(Klantgegevens_B!K552&lt;&gt;"", Klantgegevens_B!K552, IF(Klantgegevens_A!L552&gt;=7, "ja", "nee"))</f>
        <v>ja</v>
      </c>
      <c r="M553" t="str">
        <f>IF(Klantgegevens_B!L552&lt;&gt;"", Klantgegevens_B!L552, IF(Klantgegevens_A!L552&gt;=7, "ja", "nee"))</f>
        <v>ja</v>
      </c>
      <c r="N553" t="str">
        <f>IF(Klantgegevens_B!M552&lt;&gt;"", Klantgegevens_B!M552, IF(Klantgegevens_A!L552&gt;=7, "ja", "nee"))</f>
        <v>ja</v>
      </c>
      <c r="O553" t="str">
        <f>IF(Klantgegevens_B!N552&lt;&gt;"", Klantgegevens_B!N552, IF(Klantgegevens_A!L552&gt;=7, "ja", "nee"))</f>
        <v>ja</v>
      </c>
      <c r="P553" t="str">
        <f>IF(Klantgegevens_B!O552&lt;&gt;"", Klantgegevens_B!O552, IF(Klantgegevens_A!L552&gt;=7, "ja", "nee"))</f>
        <v>Geen dieet</v>
      </c>
      <c r="Q553">
        <f>IF(Klantgegevens_B!P552&lt;&gt;"", Klantgegevens_B!P552, Klantgegevens_A!M552)</f>
        <v>0</v>
      </c>
      <c r="R553" t="str">
        <f>IF(Klantgegevens_B!A552&lt;&gt;"", "B", "A")</f>
        <v>B</v>
      </c>
    </row>
    <row r="554" spans="1:18" x14ac:dyDescent="0.3">
      <c r="A554" t="str">
        <f>IF(Klantgegevens_B!A553&lt;&gt;"", Klantgegevens_B!A553, MID(Klantgegevens_A!A553, FIND(",", Klantgegevens_A!A553)+2, LEN(Klantgegevens_A!A553)))</f>
        <v>Jorge</v>
      </c>
      <c r="B554" t="str">
        <f>IF(Klantgegevens_B!B553&lt;&gt;"", Klantgegevens_B!B553, LEFT(Klantgegevens_A!A553, FIND(",", Klantgegevens_A!A553)-1))</f>
        <v>Roland</v>
      </c>
      <c r="C554" t="str">
        <f t="shared" ca="1" si="8"/>
        <v/>
      </c>
      <c r="D554" t="str">
        <f>IF(Klantgegevens_B!F553&lt;&gt;"", Klantgegevens_B!F553, Klantgegevens_A!D553 &amp; " " &amp; Klantgegevens_A!E553 &amp; ", " &amp; Klantgegevens_A!F553)</f>
        <v>Jorge</v>
      </c>
      <c r="E554">
        <f>IF(Klantgegevens_B!G553&lt;&gt;"", Klantgegevens_B!G553, TEXTJOIN(",", TRUE, REPT("Volwassene,", Klantgegevens_A!G553), REPT("Kind,", Klantgegevens_A!H553)))</f>
        <v>83.94</v>
      </c>
      <c r="F554">
        <f>IF(Klantgegevens_B!G553&lt;&gt;"", LEN(Klantgegevens_B!G553)-LEN(SUBSTITUTE(Klantgegevens_B!G553, ",", ""))+1, Klantgegevens_A!G553)</f>
        <v>1</v>
      </c>
      <c r="G554">
        <f>IF(Klantgegevens_B!G553&lt;&gt;"", 0, Klantgegevens_A!H553)</f>
        <v>0</v>
      </c>
      <c r="H554">
        <f>IF(Klantgegevens_B!H553&lt;&gt;"", Klantgegevens_B!H553, Klantgegevens_A!I553)</f>
        <v>14</v>
      </c>
      <c r="I554" t="str">
        <f>IF(Klantgegevens_B!I553&lt;&gt;"", Klantgegevens_B!I553, SWITCH(Klantgegevens_A!J553, "Zelden", 1, "Af en toe", 4, "Regelmatig", 8, "Vaak", 12))</f>
        <v>Creditcard</v>
      </c>
      <c r="J554" t="str">
        <f>IF(Klantgegevens_B!J553&lt;&gt;"", Klantgegevens_B!J553, Klantgegevens_A!K553)</f>
        <v>ja</v>
      </c>
      <c r="K554">
        <f>IF(Klantgegevens_B!K553&lt;&gt;"", AVERAGE(--(Klantgegevens_B!K553="ja"), --(Klantgegevens_B!L553="ja"), --(Klantgegevens_B!M553="ja"), --(Klantgegevens_B!N553="ja"), --(Klantgegevens_B!O553="ja"))*10, Klantgegevens_A!L553)</f>
        <v>6</v>
      </c>
      <c r="L554" t="str">
        <f>IF(Klantgegevens_B!K553&lt;&gt;"", Klantgegevens_B!K553, IF(Klantgegevens_A!L553&gt;=7, "ja", "nee"))</f>
        <v>ja</v>
      </c>
      <c r="M554" t="str">
        <f>IF(Klantgegevens_B!L553&lt;&gt;"", Klantgegevens_B!L553, IF(Klantgegevens_A!L553&gt;=7, "ja", "nee"))</f>
        <v>ja</v>
      </c>
      <c r="N554" t="str">
        <f>IF(Klantgegevens_B!M553&lt;&gt;"", Klantgegevens_B!M553, IF(Klantgegevens_A!L553&gt;=7, "ja", "nee"))</f>
        <v>ja</v>
      </c>
      <c r="O554" t="str">
        <f>IF(Klantgegevens_B!N553&lt;&gt;"", Klantgegevens_B!N553, IF(Klantgegevens_A!L553&gt;=7, "ja", "nee"))</f>
        <v>nee</v>
      </c>
      <c r="P554" t="str">
        <f>IF(Klantgegevens_B!O553&lt;&gt;"", Klantgegevens_B!O553, IF(Klantgegevens_A!L553&gt;=7, "ja", "nee"))</f>
        <v>Geen dieet</v>
      </c>
      <c r="Q554">
        <f>IF(Klantgegevens_B!P553&lt;&gt;"", Klantgegevens_B!P553, Klantgegevens_A!M553)</f>
        <v>0</v>
      </c>
      <c r="R554" t="str">
        <f>IF(Klantgegevens_B!A553&lt;&gt;"", "B", "A")</f>
        <v>B</v>
      </c>
    </row>
    <row r="555" spans="1:18" x14ac:dyDescent="0.3">
      <c r="A555" t="str">
        <f>IF(Klantgegevens_B!A554&lt;&gt;"", Klantgegevens_B!A554, MID(Klantgegevens_A!A554, FIND(",", Klantgegevens_A!A554)+2, LEN(Klantgegevens_A!A554)))</f>
        <v>Richard</v>
      </c>
      <c r="B555" t="str">
        <f>IF(Klantgegevens_B!B554&lt;&gt;"", Klantgegevens_B!B554, LEFT(Klantgegevens_A!A554, FIND(",", Klantgegevens_A!A554)-1))</f>
        <v>Dubois</v>
      </c>
      <c r="C555" t="str">
        <f t="shared" ca="1" si="8"/>
        <v/>
      </c>
      <c r="D555" t="str">
        <f>IF(Klantgegevens_B!F554&lt;&gt;"", Klantgegevens_B!F554, Klantgegevens_A!D554 &amp; " " &amp; Klantgegevens_A!E554 &amp; ", " &amp; Klantgegevens_A!F554)</f>
        <v>Richard,Freddy,Teresa</v>
      </c>
      <c r="E555">
        <f>IF(Klantgegevens_B!G554&lt;&gt;"", Klantgegevens_B!G554, TEXTJOIN(",", TRUE, REPT("Volwassene,", Klantgegevens_A!G554), REPT("Kind,", Klantgegevens_A!H554)))</f>
        <v>139.13999999999999</v>
      </c>
      <c r="F555">
        <f>IF(Klantgegevens_B!G554&lt;&gt;"", LEN(Klantgegevens_B!G554)-LEN(SUBSTITUTE(Klantgegevens_B!G554, ",", ""))+1, Klantgegevens_A!G554)</f>
        <v>1</v>
      </c>
      <c r="G555">
        <f>IF(Klantgegevens_B!G554&lt;&gt;"", 0, Klantgegevens_A!H554)</f>
        <v>0</v>
      </c>
      <c r="H555">
        <f>IF(Klantgegevens_B!H554&lt;&gt;"", Klantgegevens_B!H554, Klantgegevens_A!I554)</f>
        <v>10</v>
      </c>
      <c r="I555" t="str">
        <f>IF(Klantgegevens_B!I554&lt;&gt;"", Klantgegevens_B!I554, SWITCH(Klantgegevens_A!J554, "Zelden", 1, "Af en toe", 4, "Regelmatig", 8, "Vaak", 12))</f>
        <v>Bancontact</v>
      </c>
      <c r="J555" t="str">
        <f>IF(Klantgegevens_B!J554&lt;&gt;"", Klantgegevens_B!J554, Klantgegevens_A!K554)</f>
        <v>ja</v>
      </c>
      <c r="K555">
        <f>IF(Klantgegevens_B!K554&lt;&gt;"", AVERAGE(--(Klantgegevens_B!K554="ja"), --(Klantgegevens_B!L554="ja"), --(Klantgegevens_B!M554="ja"), --(Klantgegevens_B!N554="ja"), --(Klantgegevens_B!O554="ja"))*10, Klantgegevens_A!L554)</f>
        <v>8</v>
      </c>
      <c r="L555" t="str">
        <f>IF(Klantgegevens_B!K554&lt;&gt;"", Klantgegevens_B!K554, IF(Klantgegevens_A!L554&gt;=7, "ja", "nee"))</f>
        <v>ja</v>
      </c>
      <c r="M555" t="str">
        <f>IF(Klantgegevens_B!L554&lt;&gt;"", Klantgegevens_B!L554, IF(Klantgegevens_A!L554&gt;=7, "ja", "nee"))</f>
        <v>ja</v>
      </c>
      <c r="N555" t="str">
        <f>IF(Klantgegevens_B!M554&lt;&gt;"", Klantgegevens_B!M554, IF(Klantgegevens_A!L554&gt;=7, "ja", "nee"))</f>
        <v>ja</v>
      </c>
      <c r="O555" t="str">
        <f>IF(Klantgegevens_B!N554&lt;&gt;"", Klantgegevens_B!N554, IF(Klantgegevens_A!L554&gt;=7, "ja", "nee"))</f>
        <v>ja</v>
      </c>
      <c r="P555" t="str">
        <f>IF(Klantgegevens_B!O554&lt;&gt;"", Klantgegevens_B!O554, IF(Klantgegevens_A!L554&gt;=7, "ja", "nee"))</f>
        <v>Geen dieet</v>
      </c>
      <c r="Q555">
        <f>IF(Klantgegevens_B!P554&lt;&gt;"", Klantgegevens_B!P554, Klantgegevens_A!M554)</f>
        <v>0</v>
      </c>
      <c r="R555" t="str">
        <f>IF(Klantgegevens_B!A554&lt;&gt;"", "B", "A")</f>
        <v>B</v>
      </c>
    </row>
    <row r="556" spans="1:18" x14ac:dyDescent="0.3">
      <c r="A556" t="str">
        <f>IF(Klantgegevens_B!A555&lt;&gt;"", Klantgegevens_B!A555, MID(Klantgegevens_A!A555, FIND(",", Klantgegevens_A!A555)+2, LEN(Klantgegevens_A!A555)))</f>
        <v>Johan</v>
      </c>
      <c r="B556" t="str">
        <f>IF(Klantgegevens_B!B555&lt;&gt;"", Klantgegevens_B!B555, LEFT(Klantgegevens_A!A555, FIND(",", Klantgegevens_A!A555)-1))</f>
        <v>Delhaye</v>
      </c>
      <c r="C556" t="str">
        <f t="shared" ca="1" si="8"/>
        <v/>
      </c>
      <c r="D556" t="str">
        <f>IF(Klantgegevens_B!F555&lt;&gt;"", Klantgegevens_B!F555, Klantgegevens_A!D555 &amp; " " &amp; Klantgegevens_A!E555 &amp; ", " &amp; Klantgegevens_A!F555)</f>
        <v>Johan,Yelena,Marvin</v>
      </c>
      <c r="E556">
        <f>IF(Klantgegevens_B!G555&lt;&gt;"", Klantgegevens_B!G555, TEXTJOIN(",", TRUE, REPT("Volwassene,", Klantgegevens_A!G555), REPT("Kind,", Klantgegevens_A!H555)))</f>
        <v>83.71</v>
      </c>
      <c r="F556">
        <f>IF(Klantgegevens_B!G555&lt;&gt;"", LEN(Klantgegevens_B!G555)-LEN(SUBSTITUTE(Klantgegevens_B!G555, ",", ""))+1, Klantgegevens_A!G555)</f>
        <v>1</v>
      </c>
      <c r="G556">
        <f>IF(Klantgegevens_B!G555&lt;&gt;"", 0, Klantgegevens_A!H555)</f>
        <v>0</v>
      </c>
      <c r="H556">
        <f>IF(Klantgegevens_B!H555&lt;&gt;"", Klantgegevens_B!H555, Klantgegevens_A!I555)</f>
        <v>3</v>
      </c>
      <c r="I556" t="str">
        <f>IF(Klantgegevens_B!I555&lt;&gt;"", Klantgegevens_B!I555, SWITCH(Klantgegevens_A!J555, "Zelden", 1, "Af en toe", 4, "Regelmatig", 8, "Vaak", 12))</f>
        <v>Bancontact</v>
      </c>
      <c r="J556" t="str">
        <f>IF(Klantgegevens_B!J555&lt;&gt;"", Klantgegevens_B!J555, Klantgegevens_A!K555)</f>
        <v>ja</v>
      </c>
      <c r="K556">
        <f>IF(Klantgegevens_B!K555&lt;&gt;"", AVERAGE(--(Klantgegevens_B!K555="ja"), --(Klantgegevens_B!L555="ja"), --(Klantgegevens_B!M555="ja"), --(Klantgegevens_B!N555="ja"), --(Klantgegevens_B!O555="ja"))*10, Klantgegevens_A!L555)</f>
        <v>8</v>
      </c>
      <c r="L556" t="str">
        <f>IF(Klantgegevens_B!K555&lt;&gt;"", Klantgegevens_B!K555, IF(Klantgegevens_A!L555&gt;=7, "ja", "nee"))</f>
        <v>ja</v>
      </c>
      <c r="M556" t="str">
        <f>IF(Klantgegevens_B!L555&lt;&gt;"", Klantgegevens_B!L555, IF(Klantgegevens_A!L555&gt;=7, "ja", "nee"))</f>
        <v>ja</v>
      </c>
      <c r="N556" t="str">
        <f>IF(Klantgegevens_B!M555&lt;&gt;"", Klantgegevens_B!M555, IF(Klantgegevens_A!L555&gt;=7, "ja", "nee"))</f>
        <v>ja</v>
      </c>
      <c r="O556" t="str">
        <f>IF(Klantgegevens_B!N555&lt;&gt;"", Klantgegevens_B!N555, IF(Klantgegevens_A!L555&gt;=7, "ja", "nee"))</f>
        <v>ja</v>
      </c>
      <c r="P556" t="str">
        <f>IF(Klantgegevens_B!O555&lt;&gt;"", Klantgegevens_B!O555, IF(Klantgegevens_A!L555&gt;=7, "ja", "nee"))</f>
        <v>Geen dieet</v>
      </c>
      <c r="Q556">
        <f>IF(Klantgegevens_B!P555&lt;&gt;"", Klantgegevens_B!P555, Klantgegevens_A!M555)</f>
        <v>0</v>
      </c>
      <c r="R556" t="str">
        <f>IF(Klantgegevens_B!A555&lt;&gt;"", "B", "A")</f>
        <v>B</v>
      </c>
    </row>
    <row r="557" spans="1:18" x14ac:dyDescent="0.3">
      <c r="A557" t="str">
        <f>IF(Klantgegevens_B!A556&lt;&gt;"", Klantgegevens_B!A556, MID(Klantgegevens_A!A556, FIND(",", Klantgegevens_A!A556)+2, LEN(Klantgegevens_A!A556)))</f>
        <v>Michel</v>
      </c>
      <c r="B557" t="str">
        <f>IF(Klantgegevens_B!B556&lt;&gt;"", Klantgegevens_B!B556, LEFT(Klantgegevens_A!A556, FIND(",", Klantgegevens_A!A556)-1))</f>
        <v>Thijs</v>
      </c>
      <c r="C557" t="str">
        <f t="shared" ca="1" si="8"/>
        <v/>
      </c>
      <c r="D557" t="str">
        <f>IF(Klantgegevens_B!F556&lt;&gt;"", Klantgegevens_B!F556, Klantgegevens_A!D556 &amp; " " &amp; Klantgegevens_A!E556 &amp; ", " &amp; Klantgegevens_A!F556)</f>
        <v>Michel</v>
      </c>
      <c r="E557">
        <f>IF(Klantgegevens_B!G556&lt;&gt;"", Klantgegevens_B!G556, TEXTJOIN(",", TRUE, REPT("Volwassene,", Klantgegevens_A!G556), REPT("Kind,", Klantgegevens_A!H556)))</f>
        <v>54.45</v>
      </c>
      <c r="F557">
        <f>IF(Klantgegevens_B!G556&lt;&gt;"", LEN(Klantgegevens_B!G556)-LEN(SUBSTITUTE(Klantgegevens_B!G556, ",", ""))+1, Klantgegevens_A!G556)</f>
        <v>1</v>
      </c>
      <c r="G557">
        <f>IF(Klantgegevens_B!G556&lt;&gt;"", 0, Klantgegevens_A!H556)</f>
        <v>0</v>
      </c>
      <c r="H557">
        <f>IF(Klantgegevens_B!H556&lt;&gt;"", Klantgegevens_B!H556, Klantgegevens_A!I556)</f>
        <v>15</v>
      </c>
      <c r="I557" t="str">
        <f>IF(Klantgegevens_B!I556&lt;&gt;"", Klantgegevens_B!I556, SWITCH(Klantgegevens_A!J556, "Zelden", 1, "Af en toe", 4, "Regelmatig", 8, "Vaak", 12))</f>
        <v>Bancontact</v>
      </c>
      <c r="J557" t="str">
        <f>IF(Klantgegevens_B!J556&lt;&gt;"", Klantgegevens_B!J556, Klantgegevens_A!K556)</f>
        <v>nee</v>
      </c>
      <c r="K557">
        <f>IF(Klantgegevens_B!K556&lt;&gt;"", AVERAGE(--(Klantgegevens_B!K556="ja"), --(Klantgegevens_B!L556="ja"), --(Klantgegevens_B!M556="ja"), --(Klantgegevens_B!N556="ja"), --(Klantgegevens_B!O556="ja"))*10, Klantgegevens_A!L556)</f>
        <v>6</v>
      </c>
      <c r="L557" t="str">
        <f>IF(Klantgegevens_B!K556&lt;&gt;"", Klantgegevens_B!K556, IF(Klantgegevens_A!L556&gt;=7, "ja", "nee"))</f>
        <v>ja</v>
      </c>
      <c r="M557" t="str">
        <f>IF(Klantgegevens_B!L556&lt;&gt;"", Klantgegevens_B!L556, IF(Klantgegevens_A!L556&gt;=7, "ja", "nee"))</f>
        <v>nee</v>
      </c>
      <c r="N557" t="str">
        <f>IF(Klantgegevens_B!M556&lt;&gt;"", Klantgegevens_B!M556, IF(Klantgegevens_A!L556&gt;=7, "ja", "nee"))</f>
        <v>ja</v>
      </c>
      <c r="O557" t="str">
        <f>IF(Klantgegevens_B!N556&lt;&gt;"", Klantgegevens_B!N556, IF(Klantgegevens_A!L556&gt;=7, "ja", "nee"))</f>
        <v>ja</v>
      </c>
      <c r="P557" t="str">
        <f>IF(Klantgegevens_B!O556&lt;&gt;"", Klantgegevens_B!O556, IF(Klantgegevens_A!L556&gt;=7, "ja", "nee"))</f>
        <v>Geen dieet</v>
      </c>
      <c r="Q557">
        <f>IF(Klantgegevens_B!P556&lt;&gt;"", Klantgegevens_B!P556, Klantgegevens_A!M556)</f>
        <v>0</v>
      </c>
      <c r="R557" t="str">
        <f>IF(Klantgegevens_B!A556&lt;&gt;"", "B", "A")</f>
        <v>B</v>
      </c>
    </row>
    <row r="558" spans="1:18" x14ac:dyDescent="0.3">
      <c r="A558" t="str">
        <f>IF(Klantgegevens_B!A557&lt;&gt;"", Klantgegevens_B!A557, MID(Klantgegevens_A!A557, FIND(",", Klantgegevens_A!A557)+2, LEN(Klantgegevens_A!A557)))</f>
        <v>Joël</v>
      </c>
      <c r="B558" t="str">
        <f>IF(Klantgegevens_B!B557&lt;&gt;"", Klantgegevens_B!B557, LEFT(Klantgegevens_A!A557, FIND(",", Klantgegevens_A!A557)-1))</f>
        <v>Helsen</v>
      </c>
      <c r="C558" t="str">
        <f t="shared" ca="1" si="8"/>
        <v/>
      </c>
      <c r="D558" t="str">
        <f>IF(Klantgegevens_B!F557&lt;&gt;"", Klantgegevens_B!F557, Klantgegevens_A!D557 &amp; " " &amp; Klantgegevens_A!E557 &amp; ", " &amp; Klantgegevens_A!F557)</f>
        <v>Joël,Mila</v>
      </c>
      <c r="E558">
        <f>IF(Klantgegevens_B!G557&lt;&gt;"", Klantgegevens_B!G557, TEXTJOIN(",", TRUE, REPT("Volwassene,", Klantgegevens_A!G557), REPT("Kind,", Klantgegevens_A!H557)))</f>
        <v>70.27</v>
      </c>
      <c r="F558">
        <f>IF(Klantgegevens_B!G557&lt;&gt;"", LEN(Klantgegevens_B!G557)-LEN(SUBSTITUTE(Klantgegevens_B!G557, ",", ""))+1, Klantgegevens_A!G557)</f>
        <v>1</v>
      </c>
      <c r="G558">
        <f>IF(Klantgegevens_B!G557&lt;&gt;"", 0, Klantgegevens_A!H557)</f>
        <v>0</v>
      </c>
      <c r="H558">
        <f>IF(Klantgegevens_B!H557&lt;&gt;"", Klantgegevens_B!H557, Klantgegevens_A!I557)</f>
        <v>6</v>
      </c>
      <c r="I558" t="str">
        <f>IF(Klantgegevens_B!I557&lt;&gt;"", Klantgegevens_B!I557, SWITCH(Klantgegevens_A!J557, "Zelden", 1, "Af en toe", 4, "Regelmatig", 8, "Vaak", 12))</f>
        <v>Bancontact</v>
      </c>
      <c r="J558" t="str">
        <f>IF(Klantgegevens_B!J557&lt;&gt;"", Klantgegevens_B!J557, Klantgegevens_A!K557)</f>
        <v>nee</v>
      </c>
      <c r="K558">
        <f>IF(Klantgegevens_B!K557&lt;&gt;"", AVERAGE(--(Klantgegevens_B!K557="ja"), --(Klantgegevens_B!L557="ja"), --(Klantgegevens_B!M557="ja"), --(Klantgegevens_B!N557="ja"), --(Klantgegevens_B!O557="ja"))*10, Klantgegevens_A!L557)</f>
        <v>4</v>
      </c>
      <c r="L558" t="str">
        <f>IF(Klantgegevens_B!K557&lt;&gt;"", Klantgegevens_B!K557, IF(Klantgegevens_A!L557&gt;=7, "ja", "nee"))</f>
        <v>ja</v>
      </c>
      <c r="M558" t="str">
        <f>IF(Klantgegevens_B!L557&lt;&gt;"", Klantgegevens_B!L557, IF(Klantgegevens_A!L557&gt;=7, "ja", "nee"))</f>
        <v>nee</v>
      </c>
      <c r="N558" t="str">
        <f>IF(Klantgegevens_B!M557&lt;&gt;"", Klantgegevens_B!M557, IF(Klantgegevens_A!L557&gt;=7, "ja", "nee"))</f>
        <v>ja</v>
      </c>
      <c r="O558" t="str">
        <f>IF(Klantgegevens_B!N557&lt;&gt;"", Klantgegevens_B!N557, IF(Klantgegevens_A!L557&gt;=7, "ja", "nee"))</f>
        <v>nee</v>
      </c>
      <c r="P558" t="str">
        <f>IF(Klantgegevens_B!O557&lt;&gt;"", Klantgegevens_B!O557, IF(Klantgegevens_A!L557&gt;=7, "ja", "nee"))</f>
        <v>Geen dieet</v>
      </c>
      <c r="Q558">
        <f>IF(Klantgegevens_B!P557&lt;&gt;"", Klantgegevens_B!P557, Klantgegevens_A!M557)</f>
        <v>0</v>
      </c>
      <c r="R558" t="str">
        <f>IF(Klantgegevens_B!A557&lt;&gt;"", "B", "A")</f>
        <v>B</v>
      </c>
    </row>
    <row r="559" spans="1:18" x14ac:dyDescent="0.3">
      <c r="A559" t="str">
        <f>IF(Klantgegevens_B!A558&lt;&gt;"", Klantgegevens_B!A558, MID(Klantgegevens_A!A558, FIND(",", Klantgegevens_A!A558)+2, LEN(Klantgegevens_A!A558)))</f>
        <v>Torsten</v>
      </c>
      <c r="B559" t="str">
        <f>IF(Klantgegevens_B!B558&lt;&gt;"", Klantgegevens_B!B558, LEFT(Klantgegevens_A!A558, FIND(",", Klantgegevens_A!A558)-1))</f>
        <v>Dhondt</v>
      </c>
      <c r="C559" t="str">
        <f t="shared" ca="1" si="8"/>
        <v/>
      </c>
      <c r="D559" t="str">
        <f>IF(Klantgegevens_B!F558&lt;&gt;"", Klantgegevens_B!F558, Klantgegevens_A!D558 &amp; " " &amp; Klantgegevens_A!E558 &amp; ", " &amp; Klantgegevens_A!F558)</f>
        <v>Torsten,Augustinus</v>
      </c>
      <c r="E559">
        <f>IF(Klantgegevens_B!G558&lt;&gt;"", Klantgegevens_B!G558, TEXTJOIN(",", TRUE, REPT("Volwassene,", Klantgegevens_A!G558), REPT("Kind,", Klantgegevens_A!H558)))</f>
        <v>119.06</v>
      </c>
      <c r="F559">
        <f>IF(Klantgegevens_B!G558&lt;&gt;"", LEN(Klantgegevens_B!G558)-LEN(SUBSTITUTE(Klantgegevens_B!G558, ",", ""))+1, Klantgegevens_A!G558)</f>
        <v>1</v>
      </c>
      <c r="G559">
        <f>IF(Klantgegevens_B!G558&lt;&gt;"", 0, Klantgegevens_A!H558)</f>
        <v>0</v>
      </c>
      <c r="H559">
        <f>IF(Klantgegevens_B!H558&lt;&gt;"", Klantgegevens_B!H558, Klantgegevens_A!I558)</f>
        <v>15</v>
      </c>
      <c r="I559" t="str">
        <f>IF(Klantgegevens_B!I558&lt;&gt;"", Klantgegevens_B!I558, SWITCH(Klantgegevens_A!J558, "Zelden", 1, "Af en toe", 4, "Regelmatig", 8, "Vaak", 12))</f>
        <v>Payconiq</v>
      </c>
      <c r="J559" t="str">
        <f>IF(Klantgegevens_B!J558&lt;&gt;"", Klantgegevens_B!J558, Klantgegevens_A!K558)</f>
        <v>nee</v>
      </c>
      <c r="K559">
        <f>IF(Klantgegevens_B!K558&lt;&gt;"", AVERAGE(--(Klantgegevens_B!K558="ja"), --(Klantgegevens_B!L558="ja"), --(Klantgegevens_B!M558="ja"), --(Klantgegevens_B!N558="ja"), --(Klantgegevens_B!O558="ja"))*10, Klantgegevens_A!L558)</f>
        <v>4</v>
      </c>
      <c r="L559" t="str">
        <f>IF(Klantgegevens_B!K558&lt;&gt;"", Klantgegevens_B!K558, IF(Klantgegevens_A!L558&gt;=7, "ja", "nee"))</f>
        <v>nee</v>
      </c>
      <c r="M559" t="str">
        <f>IF(Klantgegevens_B!L558&lt;&gt;"", Klantgegevens_B!L558, IF(Klantgegevens_A!L558&gt;=7, "ja", "nee"))</f>
        <v>nee</v>
      </c>
      <c r="N559" t="str">
        <f>IF(Klantgegevens_B!M558&lt;&gt;"", Klantgegevens_B!M558, IF(Klantgegevens_A!L558&gt;=7, "ja", "nee"))</f>
        <v>ja</v>
      </c>
      <c r="O559" t="str">
        <f>IF(Klantgegevens_B!N558&lt;&gt;"", Klantgegevens_B!N558, IF(Klantgegevens_A!L558&gt;=7, "ja", "nee"))</f>
        <v>ja</v>
      </c>
      <c r="P559" t="str">
        <f>IF(Klantgegevens_B!O558&lt;&gt;"", Klantgegevens_B!O558, IF(Klantgegevens_A!L558&gt;=7, "ja", "nee"))</f>
        <v>Veganistisch</v>
      </c>
      <c r="Q559">
        <f>IF(Klantgegevens_B!P558&lt;&gt;"", Klantgegevens_B!P558, Klantgegevens_A!M558)</f>
        <v>0</v>
      </c>
      <c r="R559" t="str">
        <f>IF(Klantgegevens_B!A558&lt;&gt;"", "B", "A")</f>
        <v>B</v>
      </c>
    </row>
    <row r="560" spans="1:18" x14ac:dyDescent="0.3">
      <c r="A560" t="str">
        <f>IF(Klantgegevens_B!A559&lt;&gt;"", Klantgegevens_B!A559, MID(Klantgegevens_A!A559, FIND(",", Klantgegevens_A!A559)+2, LEN(Klantgegevens_A!A559)))</f>
        <v>Willy</v>
      </c>
      <c r="B560" t="str">
        <f>IF(Klantgegevens_B!B559&lt;&gt;"", Klantgegevens_B!B559, LEFT(Klantgegevens_A!A559, FIND(",", Klantgegevens_A!A559)-1))</f>
        <v>Moerman</v>
      </c>
      <c r="C560" t="str">
        <f t="shared" ca="1" si="8"/>
        <v/>
      </c>
      <c r="D560" t="str">
        <f>IF(Klantgegevens_B!F559&lt;&gt;"", Klantgegevens_B!F559, Klantgegevens_A!D559 &amp; " " &amp; Klantgegevens_A!E559 &amp; ", " &amp; Klantgegevens_A!F559)</f>
        <v>Willy,Jerôme</v>
      </c>
      <c r="E560">
        <f>IF(Klantgegevens_B!G559&lt;&gt;"", Klantgegevens_B!G559, TEXTJOIN(",", TRUE, REPT("Volwassene,", Klantgegevens_A!G559), REPT("Kind,", Klantgegevens_A!H559)))</f>
        <v>80.5</v>
      </c>
      <c r="F560">
        <f>IF(Klantgegevens_B!G559&lt;&gt;"", LEN(Klantgegevens_B!G559)-LEN(SUBSTITUTE(Klantgegevens_B!G559, ",", ""))+1, Klantgegevens_A!G559)</f>
        <v>1</v>
      </c>
      <c r="G560">
        <f>IF(Klantgegevens_B!G559&lt;&gt;"", 0, Klantgegevens_A!H559)</f>
        <v>0</v>
      </c>
      <c r="H560">
        <f>IF(Klantgegevens_B!H559&lt;&gt;"", Klantgegevens_B!H559, Klantgegevens_A!I559)</f>
        <v>9</v>
      </c>
      <c r="I560" t="str">
        <f>IF(Klantgegevens_B!I559&lt;&gt;"", Klantgegevens_B!I559, SWITCH(Klantgegevens_A!J559, "Zelden", 1, "Af en toe", 4, "Regelmatig", 8, "Vaak", 12))</f>
        <v>Bancontact</v>
      </c>
      <c r="J560" t="str">
        <f>IF(Klantgegevens_B!J559&lt;&gt;"", Klantgegevens_B!J559, Klantgegevens_A!K559)</f>
        <v>nee</v>
      </c>
      <c r="K560">
        <f>IF(Klantgegevens_B!K559&lt;&gt;"", AVERAGE(--(Klantgegevens_B!K559="ja"), --(Klantgegevens_B!L559="ja"), --(Klantgegevens_B!M559="ja"), --(Klantgegevens_B!N559="ja"), --(Klantgegevens_B!O559="ja"))*10, Klantgegevens_A!L559)</f>
        <v>6</v>
      </c>
      <c r="L560" t="str">
        <f>IF(Klantgegevens_B!K559&lt;&gt;"", Klantgegevens_B!K559, IF(Klantgegevens_A!L559&gt;=7, "ja", "nee"))</f>
        <v>ja</v>
      </c>
      <c r="M560" t="str">
        <f>IF(Klantgegevens_B!L559&lt;&gt;"", Klantgegevens_B!L559, IF(Klantgegevens_A!L559&gt;=7, "ja", "nee"))</f>
        <v>ja</v>
      </c>
      <c r="N560" t="str">
        <f>IF(Klantgegevens_B!M559&lt;&gt;"", Klantgegevens_B!M559, IF(Klantgegevens_A!L559&gt;=7, "ja", "nee"))</f>
        <v>nee</v>
      </c>
      <c r="O560" t="str">
        <f>IF(Klantgegevens_B!N559&lt;&gt;"", Klantgegevens_B!N559, IF(Klantgegevens_A!L559&gt;=7, "ja", "nee"))</f>
        <v>ja</v>
      </c>
      <c r="P560" t="str">
        <f>IF(Klantgegevens_B!O559&lt;&gt;"", Klantgegevens_B!O559, IF(Klantgegevens_A!L559&gt;=7, "ja", "nee"))</f>
        <v>Geen dieet</v>
      </c>
      <c r="Q560">
        <f>IF(Klantgegevens_B!P559&lt;&gt;"", Klantgegevens_B!P559, Klantgegevens_A!M559)</f>
        <v>0</v>
      </c>
      <c r="R560" t="str">
        <f>IF(Klantgegevens_B!A559&lt;&gt;"", "B", "A")</f>
        <v>B</v>
      </c>
    </row>
    <row r="561" spans="1:18" x14ac:dyDescent="0.3">
      <c r="A561" t="str">
        <f>IF(Klantgegevens_B!A560&lt;&gt;"", Klantgegevens_B!A560, MID(Klantgegevens_A!A560, FIND(",", Klantgegevens_A!A560)+2, LEN(Klantgegevens_A!A560)))</f>
        <v>Tim</v>
      </c>
      <c r="B561" t="str">
        <f>IF(Klantgegevens_B!B560&lt;&gt;"", Klantgegevens_B!B560, LEFT(Klantgegevens_A!A560, FIND(",", Klantgegevens_A!A560)-1))</f>
        <v>Nuyts</v>
      </c>
      <c r="C561" t="str">
        <f t="shared" ca="1" si="8"/>
        <v/>
      </c>
      <c r="D561" t="str">
        <f>IF(Klantgegevens_B!F560&lt;&gt;"", Klantgegevens_B!F560, Klantgegevens_A!D560 &amp; " " &amp; Klantgegevens_A!E560 &amp; ", " &amp; Klantgegevens_A!F560)</f>
        <v>Tim,Marcos,Diana</v>
      </c>
      <c r="E561">
        <f>IF(Klantgegevens_B!G560&lt;&gt;"", Klantgegevens_B!G560, TEXTJOIN(",", TRUE, REPT("Volwassene,", Klantgegevens_A!G560), REPT("Kind,", Klantgegevens_A!H560)))</f>
        <v>81.3</v>
      </c>
      <c r="F561">
        <f>IF(Klantgegevens_B!G560&lt;&gt;"", LEN(Klantgegevens_B!G560)-LEN(SUBSTITUTE(Klantgegevens_B!G560, ",", ""))+1, Klantgegevens_A!G560)</f>
        <v>1</v>
      </c>
      <c r="G561">
        <f>IF(Klantgegevens_B!G560&lt;&gt;"", 0, Klantgegevens_A!H560)</f>
        <v>0</v>
      </c>
      <c r="H561">
        <f>IF(Klantgegevens_B!H560&lt;&gt;"", Klantgegevens_B!H560, Klantgegevens_A!I560)</f>
        <v>23</v>
      </c>
      <c r="I561" t="str">
        <f>IF(Klantgegevens_B!I560&lt;&gt;"", Klantgegevens_B!I560, SWITCH(Klantgegevens_A!J560, "Zelden", 1, "Af en toe", 4, "Regelmatig", 8, "Vaak", 12))</f>
        <v>Payconiq</v>
      </c>
      <c r="J561" t="str">
        <f>IF(Klantgegevens_B!J560&lt;&gt;"", Klantgegevens_B!J560, Klantgegevens_A!K560)</f>
        <v>ja</v>
      </c>
      <c r="K561">
        <f>IF(Klantgegevens_B!K560&lt;&gt;"", AVERAGE(--(Klantgegevens_B!K560="ja"), --(Klantgegevens_B!L560="ja"), --(Klantgegevens_B!M560="ja"), --(Klantgegevens_B!N560="ja"), --(Klantgegevens_B!O560="ja"))*10, Klantgegevens_A!L560)</f>
        <v>2</v>
      </c>
      <c r="L561" t="str">
        <f>IF(Klantgegevens_B!K560&lt;&gt;"", Klantgegevens_B!K560, IF(Klantgegevens_A!L560&gt;=7, "ja", "nee"))</f>
        <v>nee</v>
      </c>
      <c r="M561" t="str">
        <f>IF(Klantgegevens_B!L560&lt;&gt;"", Klantgegevens_B!L560, IF(Klantgegevens_A!L560&gt;=7, "ja", "nee"))</f>
        <v>nee</v>
      </c>
      <c r="N561" t="str">
        <f>IF(Klantgegevens_B!M560&lt;&gt;"", Klantgegevens_B!M560, IF(Klantgegevens_A!L560&gt;=7, "ja", "nee"))</f>
        <v>ja</v>
      </c>
      <c r="O561" t="str">
        <f>IF(Klantgegevens_B!N560&lt;&gt;"", Klantgegevens_B!N560, IF(Klantgegevens_A!L560&gt;=7, "ja", "nee"))</f>
        <v>nee</v>
      </c>
      <c r="P561" t="str">
        <f>IF(Klantgegevens_B!O560&lt;&gt;"", Klantgegevens_B!O560, IF(Klantgegevens_A!L560&gt;=7, "ja", "nee"))</f>
        <v>Geen dieet</v>
      </c>
      <c r="Q561">
        <f>IF(Klantgegevens_B!P560&lt;&gt;"", Klantgegevens_B!P560, Klantgegevens_A!M560)</f>
        <v>0</v>
      </c>
      <c r="R561" t="str">
        <f>IF(Klantgegevens_B!A560&lt;&gt;"", "B", "A")</f>
        <v>B</v>
      </c>
    </row>
    <row r="562" spans="1:18" x14ac:dyDescent="0.3">
      <c r="A562" t="str">
        <f>IF(Klantgegevens_B!A561&lt;&gt;"", Klantgegevens_B!A561, MID(Klantgegevens_A!A561, FIND(",", Klantgegevens_A!A561)+2, LEN(Klantgegevens_A!A561)))</f>
        <v>Willy</v>
      </c>
      <c r="B562" t="str">
        <f>IF(Klantgegevens_B!B561&lt;&gt;"", Klantgegevens_B!B561, LEFT(Klantgegevens_A!A561, FIND(",", Klantgegevens_A!A561)-1))</f>
        <v>Van den broeck</v>
      </c>
      <c r="C562" t="str">
        <f t="shared" ca="1" si="8"/>
        <v/>
      </c>
      <c r="D562" t="str">
        <f>IF(Klantgegevens_B!F561&lt;&gt;"", Klantgegevens_B!F561, Klantgegevens_A!D561 &amp; " " &amp; Klantgegevens_A!E561 &amp; ", " &amp; Klantgegevens_A!F561)</f>
        <v>Willy</v>
      </c>
      <c r="E562">
        <f>IF(Klantgegevens_B!G561&lt;&gt;"", Klantgegevens_B!G561, TEXTJOIN(",", TRUE, REPT("Volwassene,", Klantgegevens_A!G561), REPT("Kind,", Klantgegevens_A!H561)))</f>
        <v>65.05</v>
      </c>
      <c r="F562">
        <f>IF(Klantgegevens_B!G561&lt;&gt;"", LEN(Klantgegevens_B!G561)-LEN(SUBSTITUTE(Klantgegevens_B!G561, ",", ""))+1, Klantgegevens_A!G561)</f>
        <v>1</v>
      </c>
      <c r="G562">
        <f>IF(Klantgegevens_B!G561&lt;&gt;"", 0, Klantgegevens_A!H561)</f>
        <v>0</v>
      </c>
      <c r="H562">
        <f>IF(Klantgegevens_B!H561&lt;&gt;"", Klantgegevens_B!H561, Klantgegevens_A!I561)</f>
        <v>6</v>
      </c>
      <c r="I562" t="str">
        <f>IF(Klantgegevens_B!I561&lt;&gt;"", Klantgegevens_B!I561, SWITCH(Klantgegevens_A!J561, "Zelden", 1, "Af en toe", 4, "Regelmatig", 8, "Vaak", 12))</f>
        <v>Cash</v>
      </c>
      <c r="J562" t="str">
        <f>IF(Klantgegevens_B!J561&lt;&gt;"", Klantgegevens_B!J561, Klantgegevens_A!K561)</f>
        <v>nee</v>
      </c>
      <c r="K562">
        <f>IF(Klantgegevens_B!K561&lt;&gt;"", AVERAGE(--(Klantgegevens_B!K561="ja"), --(Klantgegevens_B!L561="ja"), --(Klantgegevens_B!M561="ja"), --(Klantgegevens_B!N561="ja"), --(Klantgegevens_B!O561="ja"))*10, Klantgegevens_A!L561)</f>
        <v>8</v>
      </c>
      <c r="L562" t="str">
        <f>IF(Klantgegevens_B!K561&lt;&gt;"", Klantgegevens_B!K561, IF(Klantgegevens_A!L561&gt;=7, "ja", "nee"))</f>
        <v>ja</v>
      </c>
      <c r="M562" t="str">
        <f>IF(Klantgegevens_B!L561&lt;&gt;"", Klantgegevens_B!L561, IF(Klantgegevens_A!L561&gt;=7, "ja", "nee"))</f>
        <v>ja</v>
      </c>
      <c r="N562" t="str">
        <f>IF(Klantgegevens_B!M561&lt;&gt;"", Klantgegevens_B!M561, IF(Klantgegevens_A!L561&gt;=7, "ja", "nee"))</f>
        <v>ja</v>
      </c>
      <c r="O562" t="str">
        <f>IF(Klantgegevens_B!N561&lt;&gt;"", Klantgegevens_B!N561, IF(Klantgegevens_A!L561&gt;=7, "ja", "nee"))</f>
        <v>ja</v>
      </c>
      <c r="P562" t="str">
        <f>IF(Klantgegevens_B!O561&lt;&gt;"", Klantgegevens_B!O561, IF(Klantgegevens_A!L561&gt;=7, "ja", "nee"))</f>
        <v>Geen dieet</v>
      </c>
      <c r="Q562">
        <f>IF(Klantgegevens_B!P561&lt;&gt;"", Klantgegevens_B!P561, Klantgegevens_A!M561)</f>
        <v>0</v>
      </c>
      <c r="R562" t="str">
        <f>IF(Klantgegevens_B!A561&lt;&gt;"", "B", "A")</f>
        <v>B</v>
      </c>
    </row>
    <row r="563" spans="1:18" x14ac:dyDescent="0.3">
      <c r="A563" t="str">
        <f>IF(Klantgegevens_B!A562&lt;&gt;"", Klantgegevens_B!A562, MID(Klantgegevens_A!A562, FIND(",", Klantgegevens_A!A562)+2, LEN(Klantgegevens_A!A562)))</f>
        <v>Sacha</v>
      </c>
      <c r="B563" t="str">
        <f>IF(Klantgegevens_B!B562&lt;&gt;"", Klantgegevens_B!B562, LEFT(Klantgegevens_A!A562, FIND(",", Klantgegevens_A!A562)-1))</f>
        <v>Toussaint</v>
      </c>
      <c r="C563" t="str">
        <f t="shared" ca="1" si="8"/>
        <v/>
      </c>
      <c r="D563" t="str">
        <f>IF(Klantgegevens_B!F562&lt;&gt;"", Klantgegevens_B!F562, Klantgegevens_A!D562 &amp; " " &amp; Klantgegevens_A!E562 &amp; ", " &amp; Klantgegevens_A!F562)</f>
        <v>Sacha,Raphaël,Katleen,Hilde</v>
      </c>
      <c r="E563">
        <f>IF(Klantgegevens_B!G562&lt;&gt;"", Klantgegevens_B!G562, TEXTJOIN(",", TRUE, REPT("Volwassene,", Klantgegevens_A!G562), REPT("Kind,", Klantgegevens_A!H562)))</f>
        <v>111.88</v>
      </c>
      <c r="F563">
        <f>IF(Klantgegevens_B!G562&lt;&gt;"", LEN(Klantgegevens_B!G562)-LEN(SUBSTITUTE(Klantgegevens_B!G562, ",", ""))+1, Klantgegevens_A!G562)</f>
        <v>1</v>
      </c>
      <c r="G563">
        <f>IF(Klantgegevens_B!G562&lt;&gt;"", 0, Klantgegevens_A!H562)</f>
        <v>0</v>
      </c>
      <c r="H563">
        <f>IF(Klantgegevens_B!H562&lt;&gt;"", Klantgegevens_B!H562, Klantgegevens_A!I562)</f>
        <v>8</v>
      </c>
      <c r="I563" t="str">
        <f>IF(Klantgegevens_B!I562&lt;&gt;"", Klantgegevens_B!I562, SWITCH(Klantgegevens_A!J562, "Zelden", 1, "Af en toe", 4, "Regelmatig", 8, "Vaak", 12))</f>
        <v>Payconiq</v>
      </c>
      <c r="J563" t="str">
        <f>IF(Klantgegevens_B!J562&lt;&gt;"", Klantgegevens_B!J562, Klantgegevens_A!K562)</f>
        <v>ja</v>
      </c>
      <c r="K563">
        <f>IF(Klantgegevens_B!K562&lt;&gt;"", AVERAGE(--(Klantgegevens_B!K562="ja"), --(Klantgegevens_B!L562="ja"), --(Klantgegevens_B!M562="ja"), --(Klantgegevens_B!N562="ja"), --(Klantgegevens_B!O562="ja"))*10, Klantgegevens_A!L562)</f>
        <v>4</v>
      </c>
      <c r="L563" t="str">
        <f>IF(Klantgegevens_B!K562&lt;&gt;"", Klantgegevens_B!K562, IF(Klantgegevens_A!L562&gt;=7, "ja", "nee"))</f>
        <v>nee</v>
      </c>
      <c r="M563" t="str">
        <f>IF(Klantgegevens_B!L562&lt;&gt;"", Klantgegevens_B!L562, IF(Klantgegevens_A!L562&gt;=7, "ja", "nee"))</f>
        <v>nee</v>
      </c>
      <c r="N563" t="str">
        <f>IF(Klantgegevens_B!M562&lt;&gt;"", Klantgegevens_B!M562, IF(Klantgegevens_A!L562&gt;=7, "ja", "nee"))</f>
        <v>ja</v>
      </c>
      <c r="O563" t="str">
        <f>IF(Klantgegevens_B!N562&lt;&gt;"", Klantgegevens_B!N562, IF(Klantgegevens_A!L562&gt;=7, "ja", "nee"))</f>
        <v>ja</v>
      </c>
      <c r="P563" t="str">
        <f>IF(Klantgegevens_B!O562&lt;&gt;"", Klantgegevens_B!O562, IF(Klantgegevens_A!L562&gt;=7, "ja", "nee"))</f>
        <v>Geen dieet</v>
      </c>
      <c r="Q563">
        <f>IF(Klantgegevens_B!P562&lt;&gt;"", Klantgegevens_B!P562, Klantgegevens_A!M562)</f>
        <v>0</v>
      </c>
      <c r="R563" t="str">
        <f>IF(Klantgegevens_B!A562&lt;&gt;"", "B", "A")</f>
        <v>B</v>
      </c>
    </row>
    <row r="564" spans="1:18" x14ac:dyDescent="0.3">
      <c r="A564" t="str">
        <f>IF(Klantgegevens_B!A563&lt;&gt;"", Klantgegevens_B!A563, MID(Klantgegevens_A!A563, FIND(",", Klantgegevens_A!A563)+2, LEN(Klantgegevens_A!A563)))</f>
        <v>Torkild</v>
      </c>
      <c r="B564" t="str">
        <f>IF(Klantgegevens_B!B563&lt;&gt;"", Klantgegevens_B!B563, LEFT(Klantgegevens_A!A563, FIND(",", Klantgegevens_A!A563)-1))</f>
        <v>Declerck</v>
      </c>
      <c r="C564" t="str">
        <f t="shared" ca="1" si="8"/>
        <v/>
      </c>
      <c r="D564" t="str">
        <f>IF(Klantgegevens_B!F563&lt;&gt;"", Klantgegevens_B!F563, Klantgegevens_A!D563 &amp; " " &amp; Klantgegevens_A!E563 &amp; ", " &amp; Klantgegevens_A!F563)</f>
        <v>Torkild,Louange,Valentin</v>
      </c>
      <c r="E564">
        <f>IF(Klantgegevens_B!G563&lt;&gt;"", Klantgegevens_B!G563, TEXTJOIN(",", TRUE, REPT("Volwassene,", Klantgegevens_A!G563), REPT("Kind,", Klantgegevens_A!H563)))</f>
        <v>160.54</v>
      </c>
      <c r="F564">
        <f>IF(Klantgegevens_B!G563&lt;&gt;"", LEN(Klantgegevens_B!G563)-LEN(SUBSTITUTE(Klantgegevens_B!G563, ",", ""))+1, Klantgegevens_A!G563)</f>
        <v>1</v>
      </c>
      <c r="G564">
        <f>IF(Klantgegevens_B!G563&lt;&gt;"", 0, Klantgegevens_A!H563)</f>
        <v>0</v>
      </c>
      <c r="H564">
        <f>IF(Klantgegevens_B!H563&lt;&gt;"", Klantgegevens_B!H563, Klantgegevens_A!I563)</f>
        <v>7</v>
      </c>
      <c r="I564" t="str">
        <f>IF(Klantgegevens_B!I563&lt;&gt;"", Klantgegevens_B!I563, SWITCH(Klantgegevens_A!J563, "Zelden", 1, "Af en toe", 4, "Regelmatig", 8, "Vaak", 12))</f>
        <v>Payconiq</v>
      </c>
      <c r="J564" t="str">
        <f>IF(Klantgegevens_B!J563&lt;&gt;"", Klantgegevens_B!J563, Klantgegevens_A!K563)</f>
        <v>ja</v>
      </c>
      <c r="K564">
        <f>IF(Klantgegevens_B!K563&lt;&gt;"", AVERAGE(--(Klantgegevens_B!K563="ja"), --(Klantgegevens_B!L563="ja"), --(Klantgegevens_B!M563="ja"), --(Klantgegevens_B!N563="ja"), --(Klantgegevens_B!O563="ja"))*10, Klantgegevens_A!L563)</f>
        <v>4</v>
      </c>
      <c r="L564" t="str">
        <f>IF(Klantgegevens_B!K563&lt;&gt;"", Klantgegevens_B!K563, IF(Klantgegevens_A!L563&gt;=7, "ja", "nee"))</f>
        <v>ja</v>
      </c>
      <c r="M564" t="str">
        <f>IF(Klantgegevens_B!L563&lt;&gt;"", Klantgegevens_B!L563, IF(Klantgegevens_A!L563&gt;=7, "ja", "nee"))</f>
        <v>nee</v>
      </c>
      <c r="N564" t="str">
        <f>IF(Klantgegevens_B!M563&lt;&gt;"", Klantgegevens_B!M563, IF(Klantgegevens_A!L563&gt;=7, "ja", "nee"))</f>
        <v>nee</v>
      </c>
      <c r="O564" t="str">
        <f>IF(Klantgegevens_B!N563&lt;&gt;"", Klantgegevens_B!N563, IF(Klantgegevens_A!L563&gt;=7, "ja", "nee"))</f>
        <v>ja</v>
      </c>
      <c r="P564" t="str">
        <f>IF(Klantgegevens_B!O563&lt;&gt;"", Klantgegevens_B!O563, IF(Klantgegevens_A!L563&gt;=7, "ja", "nee"))</f>
        <v>Geen dieet</v>
      </c>
      <c r="Q564">
        <f>IF(Klantgegevens_B!P563&lt;&gt;"", Klantgegevens_B!P563, Klantgegevens_A!M563)</f>
        <v>0</v>
      </c>
      <c r="R564" t="str">
        <f>IF(Klantgegevens_B!A563&lt;&gt;"", "B", "A")</f>
        <v>B</v>
      </c>
    </row>
    <row r="565" spans="1:18" x14ac:dyDescent="0.3">
      <c r="A565" t="str">
        <f>IF(Klantgegevens_B!A564&lt;&gt;"", Klantgegevens_B!A564, MID(Klantgegevens_A!A564, FIND(",", Klantgegevens_A!A564)+2, LEN(Klantgegevens_A!A564)))</f>
        <v>Juliaan</v>
      </c>
      <c r="B565" t="str">
        <f>IF(Klantgegevens_B!B564&lt;&gt;"", Klantgegevens_B!B564, LEFT(Klantgegevens_A!A564, FIND(",", Klantgegevens_A!A564)-1))</f>
        <v>Jacobs</v>
      </c>
      <c r="C565" t="str">
        <f t="shared" ca="1" si="8"/>
        <v/>
      </c>
      <c r="D565" t="str">
        <f>IF(Klantgegevens_B!F564&lt;&gt;"", Klantgegevens_B!F564, Klantgegevens_A!D564 &amp; " " &amp; Klantgegevens_A!E564 &amp; ", " &amp; Klantgegevens_A!F564)</f>
        <v>Juliaan,Ruben,Neriman</v>
      </c>
      <c r="E565">
        <f>IF(Klantgegevens_B!G564&lt;&gt;"", Klantgegevens_B!G564, TEXTJOIN(",", TRUE, REPT("Volwassene,", Klantgegevens_A!G564), REPT("Kind,", Klantgegevens_A!H564)))</f>
        <v>166.21</v>
      </c>
      <c r="F565">
        <f>IF(Klantgegevens_B!G564&lt;&gt;"", LEN(Klantgegevens_B!G564)-LEN(SUBSTITUTE(Klantgegevens_B!G564, ",", ""))+1, Klantgegevens_A!G564)</f>
        <v>1</v>
      </c>
      <c r="G565">
        <f>IF(Klantgegevens_B!G564&lt;&gt;"", 0, Klantgegevens_A!H564)</f>
        <v>0</v>
      </c>
      <c r="H565">
        <f>IF(Klantgegevens_B!H564&lt;&gt;"", Klantgegevens_B!H564, Klantgegevens_A!I564)</f>
        <v>1</v>
      </c>
      <c r="I565" t="str">
        <f>IF(Klantgegevens_B!I564&lt;&gt;"", Klantgegevens_B!I564, SWITCH(Klantgegevens_A!J564, "Zelden", 1, "Af en toe", 4, "Regelmatig", 8, "Vaak", 12))</f>
        <v>Payconiq</v>
      </c>
      <c r="J565" t="str">
        <f>IF(Klantgegevens_B!J564&lt;&gt;"", Klantgegevens_B!J564, Klantgegevens_A!K564)</f>
        <v>ja</v>
      </c>
      <c r="K565">
        <f>IF(Klantgegevens_B!K564&lt;&gt;"", AVERAGE(--(Klantgegevens_B!K564="ja"), --(Klantgegevens_B!L564="ja"), --(Klantgegevens_B!M564="ja"), --(Klantgegevens_B!N564="ja"), --(Klantgegevens_B!O564="ja"))*10, Klantgegevens_A!L564)</f>
        <v>6</v>
      </c>
      <c r="L565" t="str">
        <f>IF(Klantgegevens_B!K564&lt;&gt;"", Klantgegevens_B!K564, IF(Klantgegevens_A!L564&gt;=7, "ja", "nee"))</f>
        <v>ja</v>
      </c>
      <c r="M565" t="str">
        <f>IF(Klantgegevens_B!L564&lt;&gt;"", Klantgegevens_B!L564, IF(Klantgegevens_A!L564&gt;=7, "ja", "nee"))</f>
        <v>ja</v>
      </c>
      <c r="N565" t="str">
        <f>IF(Klantgegevens_B!M564&lt;&gt;"", Klantgegevens_B!M564, IF(Klantgegevens_A!L564&gt;=7, "ja", "nee"))</f>
        <v>nee</v>
      </c>
      <c r="O565" t="str">
        <f>IF(Klantgegevens_B!N564&lt;&gt;"", Klantgegevens_B!N564, IF(Klantgegevens_A!L564&gt;=7, "ja", "nee"))</f>
        <v>ja</v>
      </c>
      <c r="P565" t="str">
        <f>IF(Klantgegevens_B!O564&lt;&gt;"", Klantgegevens_B!O564, IF(Klantgegevens_A!L564&gt;=7, "ja", "nee"))</f>
        <v>Geen dieet</v>
      </c>
      <c r="Q565">
        <f>IF(Klantgegevens_B!P564&lt;&gt;"", Klantgegevens_B!P564, Klantgegevens_A!M564)</f>
        <v>0</v>
      </c>
      <c r="R565" t="str">
        <f>IF(Klantgegevens_B!A564&lt;&gt;"", "B", "A")</f>
        <v>B</v>
      </c>
    </row>
    <row r="566" spans="1:18" x14ac:dyDescent="0.3">
      <c r="A566" t="str">
        <f>IF(Klantgegevens_B!A565&lt;&gt;"", Klantgegevens_B!A565, MID(Klantgegevens_A!A565, FIND(",", Klantgegevens_A!A565)+2, LEN(Klantgegevens_A!A565)))</f>
        <v>Alessia</v>
      </c>
      <c r="B566" t="str">
        <f>IF(Klantgegevens_B!B565&lt;&gt;"", Klantgegevens_B!B565, LEFT(Klantgegevens_A!A565, FIND(",", Klantgegevens_A!A565)-1))</f>
        <v>De keyser</v>
      </c>
      <c r="C566" t="str">
        <f t="shared" ca="1" si="8"/>
        <v/>
      </c>
      <c r="D566" t="str">
        <f>IF(Klantgegevens_B!F565&lt;&gt;"", Klantgegevens_B!F565, Klantgegevens_A!D565 &amp; " " &amp; Klantgegevens_A!E565 &amp; ", " &amp; Klantgegevens_A!F565)</f>
        <v>Alessia,Frédéric</v>
      </c>
      <c r="E566">
        <f>IF(Klantgegevens_B!G565&lt;&gt;"", Klantgegevens_B!G565, TEXTJOIN(",", TRUE, REPT("Volwassene,", Klantgegevens_A!G565), REPT("Kind,", Klantgegevens_A!H565)))</f>
        <v>51.85</v>
      </c>
      <c r="F566">
        <f>IF(Klantgegevens_B!G565&lt;&gt;"", LEN(Klantgegevens_B!G565)-LEN(SUBSTITUTE(Klantgegevens_B!G565, ",", ""))+1, Klantgegevens_A!G565)</f>
        <v>1</v>
      </c>
      <c r="G566">
        <f>IF(Klantgegevens_B!G565&lt;&gt;"", 0, Klantgegevens_A!H565)</f>
        <v>0</v>
      </c>
      <c r="H566">
        <f>IF(Klantgegevens_B!H565&lt;&gt;"", Klantgegevens_B!H565, Klantgegevens_A!I565)</f>
        <v>7</v>
      </c>
      <c r="I566" t="str">
        <f>IF(Klantgegevens_B!I565&lt;&gt;"", Klantgegevens_B!I565, SWITCH(Klantgegevens_A!J565, "Zelden", 1, "Af en toe", 4, "Regelmatig", 8, "Vaak", 12))</f>
        <v>Payconiq</v>
      </c>
      <c r="J566" t="str">
        <f>IF(Klantgegevens_B!J565&lt;&gt;"", Klantgegevens_B!J565, Klantgegevens_A!K565)</f>
        <v>ja</v>
      </c>
      <c r="K566">
        <f>IF(Klantgegevens_B!K565&lt;&gt;"", AVERAGE(--(Klantgegevens_B!K565="ja"), --(Klantgegevens_B!L565="ja"), --(Klantgegevens_B!M565="ja"), --(Klantgegevens_B!N565="ja"), --(Klantgegevens_B!O565="ja"))*10, Klantgegevens_A!L565)</f>
        <v>8</v>
      </c>
      <c r="L566" t="str">
        <f>IF(Klantgegevens_B!K565&lt;&gt;"", Klantgegevens_B!K565, IF(Klantgegevens_A!L565&gt;=7, "ja", "nee"))</f>
        <v>ja</v>
      </c>
      <c r="M566" t="str">
        <f>IF(Klantgegevens_B!L565&lt;&gt;"", Klantgegevens_B!L565, IF(Klantgegevens_A!L565&gt;=7, "ja", "nee"))</f>
        <v>ja</v>
      </c>
      <c r="N566" t="str">
        <f>IF(Klantgegevens_B!M565&lt;&gt;"", Klantgegevens_B!M565, IF(Klantgegevens_A!L565&gt;=7, "ja", "nee"))</f>
        <v>ja</v>
      </c>
      <c r="O566" t="str">
        <f>IF(Klantgegevens_B!N565&lt;&gt;"", Klantgegevens_B!N565, IF(Klantgegevens_A!L565&gt;=7, "ja", "nee"))</f>
        <v>ja</v>
      </c>
      <c r="P566" t="str">
        <f>IF(Klantgegevens_B!O565&lt;&gt;"", Klantgegevens_B!O565, IF(Klantgegevens_A!L565&gt;=7, "ja", "nee"))</f>
        <v>Geen dieet</v>
      </c>
      <c r="Q566">
        <f>IF(Klantgegevens_B!P565&lt;&gt;"", Klantgegevens_B!P565, Klantgegevens_A!M565)</f>
        <v>0</v>
      </c>
      <c r="R566" t="str">
        <f>IF(Klantgegevens_B!A565&lt;&gt;"", "B", "A")</f>
        <v>B</v>
      </c>
    </row>
    <row r="567" spans="1:18" x14ac:dyDescent="0.3">
      <c r="A567" t="str">
        <f>IF(Klantgegevens_B!A566&lt;&gt;"", Klantgegevens_B!A566, MID(Klantgegevens_A!A566, FIND(",", Klantgegevens_A!A566)+2, LEN(Klantgegevens_A!A566)))</f>
        <v>Matteo</v>
      </c>
      <c r="B567" t="str">
        <f>IF(Klantgegevens_B!B566&lt;&gt;"", Klantgegevens_B!B566, LEFT(Klantgegevens_A!A566, FIND(",", Klantgegevens_A!A566)-1))</f>
        <v>De bruyne</v>
      </c>
      <c r="C567" t="str">
        <f t="shared" ca="1" si="8"/>
        <v/>
      </c>
      <c r="D567" t="str">
        <f>IF(Klantgegevens_B!F566&lt;&gt;"", Klantgegevens_B!F566, Klantgegevens_A!D566 &amp; " " &amp; Klantgegevens_A!E566 &amp; ", " &amp; Klantgegevens_A!F566)</f>
        <v>Matteo,Valentine,Maria,Marie</v>
      </c>
      <c r="E567">
        <f>IF(Klantgegevens_B!G566&lt;&gt;"", Klantgegevens_B!G566, TEXTJOIN(",", TRUE, REPT("Volwassene,", Klantgegevens_A!G566), REPT("Kind,", Klantgegevens_A!H566)))</f>
        <v>157.97</v>
      </c>
      <c r="F567">
        <f>IF(Klantgegevens_B!G566&lt;&gt;"", LEN(Klantgegevens_B!G566)-LEN(SUBSTITUTE(Klantgegevens_B!G566, ",", ""))+1, Klantgegevens_A!G566)</f>
        <v>1</v>
      </c>
      <c r="G567">
        <f>IF(Klantgegevens_B!G566&lt;&gt;"", 0, Klantgegevens_A!H566)</f>
        <v>0</v>
      </c>
      <c r="H567">
        <f>IF(Klantgegevens_B!H566&lt;&gt;"", Klantgegevens_B!H566, Klantgegevens_A!I566)</f>
        <v>12</v>
      </c>
      <c r="I567" t="str">
        <f>IF(Klantgegevens_B!I566&lt;&gt;"", Klantgegevens_B!I566, SWITCH(Klantgegevens_A!J566, "Zelden", 1, "Af en toe", 4, "Regelmatig", 8, "Vaak", 12))</f>
        <v>Payconiq</v>
      </c>
      <c r="J567" t="str">
        <f>IF(Klantgegevens_B!J566&lt;&gt;"", Klantgegevens_B!J566, Klantgegevens_A!K566)</f>
        <v>nee</v>
      </c>
      <c r="K567">
        <f>IF(Klantgegevens_B!K566&lt;&gt;"", AVERAGE(--(Klantgegevens_B!K566="ja"), --(Klantgegevens_B!L566="ja"), --(Klantgegevens_B!M566="ja"), --(Klantgegevens_B!N566="ja"), --(Klantgegevens_B!O566="ja"))*10, Klantgegevens_A!L566)</f>
        <v>8</v>
      </c>
      <c r="L567" t="str">
        <f>IF(Klantgegevens_B!K566&lt;&gt;"", Klantgegevens_B!K566, IF(Klantgegevens_A!L566&gt;=7, "ja", "nee"))</f>
        <v>ja</v>
      </c>
      <c r="M567" t="str">
        <f>IF(Klantgegevens_B!L566&lt;&gt;"", Klantgegevens_B!L566, IF(Klantgegevens_A!L566&gt;=7, "ja", "nee"))</f>
        <v>ja</v>
      </c>
      <c r="N567" t="str">
        <f>IF(Klantgegevens_B!M566&lt;&gt;"", Klantgegevens_B!M566, IF(Klantgegevens_A!L566&gt;=7, "ja", "nee"))</f>
        <v>ja</v>
      </c>
      <c r="O567" t="str">
        <f>IF(Klantgegevens_B!N566&lt;&gt;"", Klantgegevens_B!N566, IF(Klantgegevens_A!L566&gt;=7, "ja", "nee"))</f>
        <v>ja</v>
      </c>
      <c r="P567" t="str">
        <f>IF(Klantgegevens_B!O566&lt;&gt;"", Klantgegevens_B!O566, IF(Klantgegevens_A!L566&gt;=7, "ja", "nee"))</f>
        <v>Geen dieet</v>
      </c>
      <c r="Q567">
        <f>IF(Klantgegevens_B!P566&lt;&gt;"", Klantgegevens_B!P566, Klantgegevens_A!M566)</f>
        <v>0</v>
      </c>
      <c r="R567" t="str">
        <f>IF(Klantgegevens_B!A566&lt;&gt;"", "B", "A")</f>
        <v>B</v>
      </c>
    </row>
    <row r="568" spans="1:18" x14ac:dyDescent="0.3">
      <c r="A568" t="str">
        <f>IF(Klantgegevens_B!A567&lt;&gt;"", Klantgegevens_B!A567, MID(Klantgegevens_A!A567, FIND(",", Klantgegevens_A!A567)+2, LEN(Klantgegevens_A!A567)))</f>
        <v>Tom</v>
      </c>
      <c r="B568" t="str">
        <f>IF(Klantgegevens_B!B567&lt;&gt;"", Klantgegevens_B!B567, LEFT(Klantgegevens_A!A567, FIND(",", Klantgegevens_A!A567)-1))</f>
        <v>Evrard</v>
      </c>
      <c r="C568" t="str">
        <f t="shared" ca="1" si="8"/>
        <v/>
      </c>
      <c r="D568" t="str">
        <f>IF(Klantgegevens_B!F567&lt;&gt;"", Klantgegevens_B!F567, Klantgegevens_A!D567 &amp; " " &amp; Klantgegevens_A!E567 &amp; ", " &amp; Klantgegevens_A!F567)</f>
        <v>Tom,Jamal,Oceanne,Luc</v>
      </c>
      <c r="E568">
        <f>IF(Klantgegevens_B!G567&lt;&gt;"", Klantgegevens_B!G567, TEXTJOIN(",", TRUE, REPT("Volwassene,", Klantgegevens_A!G567), REPT("Kind,", Klantgegevens_A!H567)))</f>
        <v>132.44</v>
      </c>
      <c r="F568">
        <f>IF(Klantgegevens_B!G567&lt;&gt;"", LEN(Klantgegevens_B!G567)-LEN(SUBSTITUTE(Klantgegevens_B!G567, ",", ""))+1, Klantgegevens_A!G567)</f>
        <v>1</v>
      </c>
      <c r="G568">
        <f>IF(Klantgegevens_B!G567&lt;&gt;"", 0, Klantgegevens_A!H567)</f>
        <v>0</v>
      </c>
      <c r="H568">
        <f>IF(Klantgegevens_B!H567&lt;&gt;"", Klantgegevens_B!H567, Klantgegevens_A!I567)</f>
        <v>17</v>
      </c>
      <c r="I568" t="str">
        <f>IF(Klantgegevens_B!I567&lt;&gt;"", Klantgegevens_B!I567, SWITCH(Klantgegevens_A!J567, "Zelden", 1, "Af en toe", 4, "Regelmatig", 8, "Vaak", 12))</f>
        <v>Bancontact</v>
      </c>
      <c r="J568" t="str">
        <f>IF(Klantgegevens_B!J567&lt;&gt;"", Klantgegevens_B!J567, Klantgegevens_A!K567)</f>
        <v>ja</v>
      </c>
      <c r="K568">
        <f>IF(Klantgegevens_B!K567&lt;&gt;"", AVERAGE(--(Klantgegevens_B!K567="ja"), --(Klantgegevens_B!L567="ja"), --(Klantgegevens_B!M567="ja"), --(Klantgegevens_B!N567="ja"), --(Klantgegevens_B!O567="ja"))*10, Klantgegevens_A!L567)</f>
        <v>6</v>
      </c>
      <c r="L568" t="str">
        <f>IF(Klantgegevens_B!K567&lt;&gt;"", Klantgegevens_B!K567, IF(Klantgegevens_A!L567&gt;=7, "ja", "nee"))</f>
        <v>ja</v>
      </c>
      <c r="M568" t="str">
        <f>IF(Klantgegevens_B!L567&lt;&gt;"", Klantgegevens_B!L567, IF(Klantgegevens_A!L567&gt;=7, "ja", "nee"))</f>
        <v>ja</v>
      </c>
      <c r="N568" t="str">
        <f>IF(Klantgegevens_B!M567&lt;&gt;"", Klantgegevens_B!M567, IF(Klantgegevens_A!L567&gt;=7, "ja", "nee"))</f>
        <v>ja</v>
      </c>
      <c r="O568" t="str">
        <f>IF(Klantgegevens_B!N567&lt;&gt;"", Klantgegevens_B!N567, IF(Klantgegevens_A!L567&gt;=7, "ja", "nee"))</f>
        <v>nee</v>
      </c>
      <c r="P568" t="str">
        <f>IF(Klantgegevens_B!O567&lt;&gt;"", Klantgegevens_B!O567, IF(Klantgegevens_A!L567&gt;=7, "ja", "nee"))</f>
        <v>Geen dieet</v>
      </c>
      <c r="Q568">
        <f>IF(Klantgegevens_B!P567&lt;&gt;"", Klantgegevens_B!P567, Klantgegevens_A!M567)</f>
        <v>0</v>
      </c>
      <c r="R568" t="str">
        <f>IF(Klantgegevens_B!A567&lt;&gt;"", "B", "A")</f>
        <v>B</v>
      </c>
    </row>
    <row r="569" spans="1:18" x14ac:dyDescent="0.3">
      <c r="A569" t="str">
        <f>IF(Klantgegevens_B!A568&lt;&gt;"", Klantgegevens_B!A568, MID(Klantgegevens_A!A568, FIND(",", Klantgegevens_A!A568)+2, LEN(Klantgegevens_A!A568)))</f>
        <v>Nadine</v>
      </c>
      <c r="B569" t="str">
        <f>IF(Klantgegevens_B!B568&lt;&gt;"", Klantgegevens_B!B568, LEFT(Klantgegevens_A!A568, FIND(",", Klantgegevens_A!A568)-1))</f>
        <v>Van roy</v>
      </c>
      <c r="C569" t="str">
        <f t="shared" ca="1" si="8"/>
        <v/>
      </c>
      <c r="D569" t="str">
        <f>IF(Klantgegevens_B!F568&lt;&gt;"", Klantgegevens_B!F568, Klantgegevens_A!D568 &amp; " " &amp; Klantgegevens_A!E568 &amp; ", " &amp; Klantgegevens_A!F568)</f>
        <v>Nadine,Geneviève,Stefaan</v>
      </c>
      <c r="E569">
        <f>IF(Klantgegevens_B!G568&lt;&gt;"", Klantgegevens_B!G568, TEXTJOIN(",", TRUE, REPT("Volwassene,", Klantgegevens_A!G568), REPT("Kind,", Klantgegevens_A!H568)))</f>
        <v>139.02000000000001</v>
      </c>
      <c r="F569">
        <f>IF(Klantgegevens_B!G568&lt;&gt;"", LEN(Klantgegevens_B!G568)-LEN(SUBSTITUTE(Klantgegevens_B!G568, ",", ""))+1, Klantgegevens_A!G568)</f>
        <v>1</v>
      </c>
      <c r="G569">
        <f>IF(Klantgegevens_B!G568&lt;&gt;"", 0, Klantgegevens_A!H568)</f>
        <v>0</v>
      </c>
      <c r="H569">
        <f>IF(Klantgegevens_B!H568&lt;&gt;"", Klantgegevens_B!H568, Klantgegevens_A!I568)</f>
        <v>5</v>
      </c>
      <c r="I569" t="str">
        <f>IF(Klantgegevens_B!I568&lt;&gt;"", Klantgegevens_B!I568, SWITCH(Klantgegevens_A!J568, "Zelden", 1, "Af en toe", 4, "Regelmatig", 8, "Vaak", 12))</f>
        <v>Payconiq</v>
      </c>
      <c r="J569" t="str">
        <f>IF(Klantgegevens_B!J568&lt;&gt;"", Klantgegevens_B!J568, Klantgegevens_A!K568)</f>
        <v>ja</v>
      </c>
      <c r="K569">
        <f>IF(Klantgegevens_B!K568&lt;&gt;"", AVERAGE(--(Klantgegevens_B!K568="ja"), --(Klantgegevens_B!L568="ja"), --(Klantgegevens_B!M568="ja"), --(Klantgegevens_B!N568="ja"), --(Klantgegevens_B!O568="ja"))*10, Klantgegevens_A!L568)</f>
        <v>4</v>
      </c>
      <c r="L569" t="str">
        <f>IF(Klantgegevens_B!K568&lt;&gt;"", Klantgegevens_B!K568, IF(Klantgegevens_A!L568&gt;=7, "ja", "nee"))</f>
        <v>ja</v>
      </c>
      <c r="M569" t="str">
        <f>IF(Klantgegevens_B!L568&lt;&gt;"", Klantgegevens_B!L568, IF(Klantgegevens_A!L568&gt;=7, "ja", "nee"))</f>
        <v>ja</v>
      </c>
      <c r="N569" t="str">
        <f>IF(Klantgegevens_B!M568&lt;&gt;"", Klantgegevens_B!M568, IF(Klantgegevens_A!L568&gt;=7, "ja", "nee"))</f>
        <v>nee</v>
      </c>
      <c r="O569" t="str">
        <f>IF(Klantgegevens_B!N568&lt;&gt;"", Klantgegevens_B!N568, IF(Klantgegevens_A!L568&gt;=7, "ja", "nee"))</f>
        <v>nee</v>
      </c>
      <c r="P569" t="str">
        <f>IF(Klantgegevens_B!O568&lt;&gt;"", Klantgegevens_B!O568, IF(Klantgegevens_A!L568&gt;=7, "ja", "nee"))</f>
        <v>Veganistisch</v>
      </c>
      <c r="Q569">
        <f>IF(Klantgegevens_B!P568&lt;&gt;"", Klantgegevens_B!P568, Klantgegevens_A!M568)</f>
        <v>0</v>
      </c>
      <c r="R569" t="str">
        <f>IF(Klantgegevens_B!A568&lt;&gt;"", "B", "A")</f>
        <v>B</v>
      </c>
    </row>
    <row r="570" spans="1:18" x14ac:dyDescent="0.3">
      <c r="A570" t="str">
        <f>IF(Klantgegevens_B!A569&lt;&gt;"", Klantgegevens_B!A569, MID(Klantgegevens_A!A569, FIND(",", Klantgegevens_A!A569)+2, LEN(Klantgegevens_A!A569)))</f>
        <v>Jens</v>
      </c>
      <c r="B570" t="str">
        <f>IF(Klantgegevens_B!B569&lt;&gt;"", Klantgegevens_B!B569, LEFT(Klantgegevens_A!A569, FIND(",", Klantgegevens_A!A569)-1))</f>
        <v>Goethals</v>
      </c>
      <c r="C570" t="str">
        <f t="shared" ca="1" si="8"/>
        <v/>
      </c>
      <c r="D570" t="str">
        <f>IF(Klantgegevens_B!F569&lt;&gt;"", Klantgegevens_B!F569, Klantgegevens_A!D569 &amp; " " &amp; Klantgegevens_A!E569 &amp; ", " &amp; Klantgegevens_A!F569)</f>
        <v>Jens,Inaya,Nadine,Jonathan,Ashwin</v>
      </c>
      <c r="E570">
        <f>IF(Klantgegevens_B!G569&lt;&gt;"", Klantgegevens_B!G569, TEXTJOIN(",", TRUE, REPT("Volwassene,", Klantgegevens_A!G569), REPT("Kind,", Klantgegevens_A!H569)))</f>
        <v>123.11</v>
      </c>
      <c r="F570">
        <f>IF(Klantgegevens_B!G569&lt;&gt;"", LEN(Klantgegevens_B!G569)-LEN(SUBSTITUTE(Klantgegevens_B!G569, ",", ""))+1, Klantgegevens_A!G569)</f>
        <v>1</v>
      </c>
      <c r="G570">
        <f>IF(Klantgegevens_B!G569&lt;&gt;"", 0, Klantgegevens_A!H569)</f>
        <v>0</v>
      </c>
      <c r="H570">
        <f>IF(Klantgegevens_B!H569&lt;&gt;"", Klantgegevens_B!H569, Klantgegevens_A!I569)</f>
        <v>10</v>
      </c>
      <c r="I570" t="str">
        <f>IF(Klantgegevens_B!I569&lt;&gt;"", Klantgegevens_B!I569, SWITCH(Klantgegevens_A!J569, "Zelden", 1, "Af en toe", 4, "Regelmatig", 8, "Vaak", 12))</f>
        <v>Cash</v>
      </c>
      <c r="J570" t="str">
        <f>IF(Klantgegevens_B!J569&lt;&gt;"", Klantgegevens_B!J569, Klantgegevens_A!K569)</f>
        <v>ja</v>
      </c>
      <c r="K570">
        <f>IF(Klantgegevens_B!K569&lt;&gt;"", AVERAGE(--(Klantgegevens_B!K569="ja"), --(Klantgegevens_B!L569="ja"), --(Klantgegevens_B!M569="ja"), --(Klantgegevens_B!N569="ja"), --(Klantgegevens_B!O569="ja"))*10, Klantgegevens_A!L569)</f>
        <v>6</v>
      </c>
      <c r="L570" t="str">
        <f>IF(Klantgegevens_B!K569&lt;&gt;"", Klantgegevens_B!K569, IF(Klantgegevens_A!L569&gt;=7, "ja", "nee"))</f>
        <v>ja</v>
      </c>
      <c r="M570" t="str">
        <f>IF(Klantgegevens_B!L569&lt;&gt;"", Klantgegevens_B!L569, IF(Klantgegevens_A!L569&gt;=7, "ja", "nee"))</f>
        <v>ja</v>
      </c>
      <c r="N570" t="str">
        <f>IF(Klantgegevens_B!M569&lt;&gt;"", Klantgegevens_B!M569, IF(Klantgegevens_A!L569&gt;=7, "ja", "nee"))</f>
        <v>ja</v>
      </c>
      <c r="O570" t="str">
        <f>IF(Klantgegevens_B!N569&lt;&gt;"", Klantgegevens_B!N569, IF(Klantgegevens_A!L569&gt;=7, "ja", "nee"))</f>
        <v>nee</v>
      </c>
      <c r="P570" t="str">
        <f>IF(Klantgegevens_B!O569&lt;&gt;"", Klantgegevens_B!O569, IF(Klantgegevens_A!L569&gt;=7, "ja", "nee"))</f>
        <v>Geen dieet</v>
      </c>
      <c r="Q570">
        <f>IF(Klantgegevens_B!P569&lt;&gt;"", Klantgegevens_B!P569, Klantgegevens_A!M569)</f>
        <v>0</v>
      </c>
      <c r="R570" t="str">
        <f>IF(Klantgegevens_B!A569&lt;&gt;"", "B", "A")</f>
        <v>B</v>
      </c>
    </row>
    <row r="571" spans="1:18" x14ac:dyDescent="0.3">
      <c r="A571" t="str">
        <f>IF(Klantgegevens_B!A570&lt;&gt;"", Klantgegevens_B!A570, MID(Klantgegevens_A!A570, FIND(",", Klantgegevens_A!A570)+2, LEN(Klantgegevens_A!A570)))</f>
        <v>Emmily</v>
      </c>
      <c r="B571" t="str">
        <f>IF(Klantgegevens_B!B570&lt;&gt;"", Klantgegevens_B!B570, LEFT(Klantgegevens_A!A570, FIND(",", Klantgegevens_A!A570)-1))</f>
        <v>De ridder</v>
      </c>
      <c r="C571" t="str">
        <f t="shared" ca="1" si="8"/>
        <v/>
      </c>
      <c r="D571" t="str">
        <f>IF(Klantgegevens_B!F570&lt;&gt;"", Klantgegevens_B!F570, Klantgegevens_A!D570 &amp; " " &amp; Klantgegevens_A!E570 &amp; ", " &amp; Klantgegevens_A!F570)</f>
        <v>Emmily,Eliane,Dominique,Fethi,Caroline</v>
      </c>
      <c r="E571">
        <f>IF(Klantgegevens_B!G570&lt;&gt;"", Klantgegevens_B!G570, TEXTJOIN(",", TRUE, REPT("Volwassene,", Klantgegevens_A!G570), REPT("Kind,", Klantgegevens_A!H570)))</f>
        <v>151.44</v>
      </c>
      <c r="F571">
        <f>IF(Klantgegevens_B!G570&lt;&gt;"", LEN(Klantgegevens_B!G570)-LEN(SUBSTITUTE(Klantgegevens_B!G570, ",", ""))+1, Klantgegevens_A!G570)</f>
        <v>1</v>
      </c>
      <c r="G571">
        <f>IF(Klantgegevens_B!G570&lt;&gt;"", 0, Klantgegevens_A!H570)</f>
        <v>0</v>
      </c>
      <c r="H571">
        <f>IF(Klantgegevens_B!H570&lt;&gt;"", Klantgegevens_B!H570, Klantgegevens_A!I570)</f>
        <v>9</v>
      </c>
      <c r="I571" t="str">
        <f>IF(Klantgegevens_B!I570&lt;&gt;"", Klantgegevens_B!I570, SWITCH(Klantgegevens_A!J570, "Zelden", 1, "Af en toe", 4, "Regelmatig", 8, "Vaak", 12))</f>
        <v>Bancontact</v>
      </c>
      <c r="J571" t="str">
        <f>IF(Klantgegevens_B!J570&lt;&gt;"", Klantgegevens_B!J570, Klantgegevens_A!K570)</f>
        <v>ja</v>
      </c>
      <c r="K571">
        <f>IF(Klantgegevens_B!K570&lt;&gt;"", AVERAGE(--(Klantgegevens_B!K570="ja"), --(Klantgegevens_B!L570="ja"), --(Klantgegevens_B!M570="ja"), --(Klantgegevens_B!N570="ja"), --(Klantgegevens_B!O570="ja"))*10, Klantgegevens_A!L570)</f>
        <v>2</v>
      </c>
      <c r="L571" t="str">
        <f>IF(Klantgegevens_B!K570&lt;&gt;"", Klantgegevens_B!K570, IF(Klantgegevens_A!L570&gt;=7, "ja", "nee"))</f>
        <v>nee</v>
      </c>
      <c r="M571" t="str">
        <f>IF(Klantgegevens_B!L570&lt;&gt;"", Klantgegevens_B!L570, IF(Klantgegevens_A!L570&gt;=7, "ja", "nee"))</f>
        <v>ja</v>
      </c>
      <c r="N571" t="str">
        <f>IF(Klantgegevens_B!M570&lt;&gt;"", Klantgegevens_B!M570, IF(Klantgegevens_A!L570&gt;=7, "ja", "nee"))</f>
        <v>nee</v>
      </c>
      <c r="O571" t="str">
        <f>IF(Klantgegevens_B!N570&lt;&gt;"", Klantgegevens_B!N570, IF(Klantgegevens_A!L570&gt;=7, "ja", "nee"))</f>
        <v>nee</v>
      </c>
      <c r="P571" t="str">
        <f>IF(Klantgegevens_B!O570&lt;&gt;"", Klantgegevens_B!O570, IF(Klantgegevens_A!L570&gt;=7, "ja", "nee"))</f>
        <v>Geen dieet</v>
      </c>
      <c r="Q571">
        <f>IF(Klantgegevens_B!P570&lt;&gt;"", Klantgegevens_B!P570, Klantgegevens_A!M570)</f>
        <v>0</v>
      </c>
      <c r="R571" t="str">
        <f>IF(Klantgegevens_B!A570&lt;&gt;"", "B", "A")</f>
        <v>B</v>
      </c>
    </row>
    <row r="572" spans="1:18" x14ac:dyDescent="0.3">
      <c r="A572" t="str">
        <f>IF(Klantgegevens_B!A571&lt;&gt;"", Klantgegevens_B!A571, MID(Klantgegevens_A!A571, FIND(",", Klantgegevens_A!A571)+2, LEN(Klantgegevens_A!A571)))</f>
        <v>Helga</v>
      </c>
      <c r="B572" t="str">
        <f>IF(Klantgegevens_B!B571&lt;&gt;"", Klantgegevens_B!B571, LEFT(Klantgegevens_A!A571, FIND(",", Klantgegevens_A!A571)-1))</f>
        <v>Vanderlinden</v>
      </c>
      <c r="C572" t="str">
        <f t="shared" ca="1" si="8"/>
        <v/>
      </c>
      <c r="D572" t="str">
        <f>IF(Klantgegevens_B!F571&lt;&gt;"", Klantgegevens_B!F571, Klantgegevens_A!D571 &amp; " " &amp; Klantgegevens_A!E571 &amp; ", " &amp; Klantgegevens_A!F571)</f>
        <v>Helga,Marie</v>
      </c>
      <c r="E572">
        <f>IF(Klantgegevens_B!G571&lt;&gt;"", Klantgegevens_B!G571, TEXTJOIN(",", TRUE, REPT("Volwassene,", Klantgegevens_A!G571), REPT("Kind,", Klantgegevens_A!H571)))</f>
        <v>81.099999999999994</v>
      </c>
      <c r="F572">
        <f>IF(Klantgegevens_B!G571&lt;&gt;"", LEN(Klantgegevens_B!G571)-LEN(SUBSTITUTE(Klantgegevens_B!G571, ",", ""))+1, Klantgegevens_A!G571)</f>
        <v>1</v>
      </c>
      <c r="G572">
        <f>IF(Klantgegevens_B!G571&lt;&gt;"", 0, Klantgegevens_A!H571)</f>
        <v>0</v>
      </c>
      <c r="H572">
        <f>IF(Klantgegevens_B!H571&lt;&gt;"", Klantgegevens_B!H571, Klantgegevens_A!I571)</f>
        <v>16</v>
      </c>
      <c r="I572" t="str">
        <f>IF(Klantgegevens_B!I571&lt;&gt;"", Klantgegevens_B!I571, SWITCH(Klantgegevens_A!J571, "Zelden", 1, "Af en toe", 4, "Regelmatig", 8, "Vaak", 12))</f>
        <v>Bancontact</v>
      </c>
      <c r="J572" t="str">
        <f>IF(Klantgegevens_B!J571&lt;&gt;"", Klantgegevens_B!J571, Klantgegevens_A!K571)</f>
        <v>ja</v>
      </c>
      <c r="K572">
        <f>IF(Klantgegevens_B!K571&lt;&gt;"", AVERAGE(--(Klantgegevens_B!K571="ja"), --(Klantgegevens_B!L571="ja"), --(Klantgegevens_B!M571="ja"), --(Klantgegevens_B!N571="ja"), --(Klantgegevens_B!O571="ja"))*10, Klantgegevens_A!L571)</f>
        <v>8</v>
      </c>
      <c r="L572" t="str">
        <f>IF(Klantgegevens_B!K571&lt;&gt;"", Klantgegevens_B!K571, IF(Klantgegevens_A!L571&gt;=7, "ja", "nee"))</f>
        <v>ja</v>
      </c>
      <c r="M572" t="str">
        <f>IF(Klantgegevens_B!L571&lt;&gt;"", Klantgegevens_B!L571, IF(Klantgegevens_A!L571&gt;=7, "ja", "nee"))</f>
        <v>ja</v>
      </c>
      <c r="N572" t="str">
        <f>IF(Klantgegevens_B!M571&lt;&gt;"", Klantgegevens_B!M571, IF(Klantgegevens_A!L571&gt;=7, "ja", "nee"))</f>
        <v>ja</v>
      </c>
      <c r="O572" t="str">
        <f>IF(Klantgegevens_B!N571&lt;&gt;"", Klantgegevens_B!N571, IF(Klantgegevens_A!L571&gt;=7, "ja", "nee"))</f>
        <v>ja</v>
      </c>
      <c r="P572" t="str">
        <f>IF(Klantgegevens_B!O571&lt;&gt;"", Klantgegevens_B!O571, IF(Klantgegevens_A!L571&gt;=7, "ja", "nee"))</f>
        <v>Vegetarisch</v>
      </c>
      <c r="Q572">
        <f>IF(Klantgegevens_B!P571&lt;&gt;"", Klantgegevens_B!P571, Klantgegevens_A!M571)</f>
        <v>0</v>
      </c>
      <c r="R572" t="str">
        <f>IF(Klantgegevens_B!A571&lt;&gt;"", "B", "A")</f>
        <v>B</v>
      </c>
    </row>
    <row r="573" spans="1:18" x14ac:dyDescent="0.3">
      <c r="A573" t="str">
        <f>IF(Klantgegevens_B!A572&lt;&gt;"", Klantgegevens_B!A572, MID(Klantgegevens_A!A572, FIND(",", Klantgegevens_A!A572)+2, LEN(Klantgegevens_A!A572)))</f>
        <v>Manuella</v>
      </c>
      <c r="B573" t="str">
        <f>IF(Klantgegevens_B!B572&lt;&gt;"", Klantgegevens_B!B572, LEFT(Klantgegevens_A!A572, FIND(",", Klantgegevens_A!A572)-1))</f>
        <v>Cools</v>
      </c>
      <c r="C573" t="str">
        <f t="shared" ca="1" si="8"/>
        <v/>
      </c>
      <c r="D573" t="str">
        <f>IF(Klantgegevens_B!F572&lt;&gt;"", Klantgegevens_B!F572, Klantgegevens_A!D572 &amp; " " &amp; Klantgegevens_A!E572 &amp; ", " &amp; Klantgegevens_A!F572)</f>
        <v>Manuella,Lander</v>
      </c>
      <c r="E573">
        <f>IF(Klantgegevens_B!G572&lt;&gt;"", Klantgegevens_B!G572, TEXTJOIN(",", TRUE, REPT("Volwassene,", Klantgegevens_A!G572), REPT("Kind,", Klantgegevens_A!H572)))</f>
        <v>114.32</v>
      </c>
      <c r="F573">
        <f>IF(Klantgegevens_B!G572&lt;&gt;"", LEN(Klantgegevens_B!G572)-LEN(SUBSTITUTE(Klantgegevens_B!G572, ",", ""))+1, Klantgegevens_A!G572)</f>
        <v>1</v>
      </c>
      <c r="G573">
        <f>IF(Klantgegevens_B!G572&lt;&gt;"", 0, Klantgegevens_A!H572)</f>
        <v>0</v>
      </c>
      <c r="H573">
        <f>IF(Klantgegevens_B!H572&lt;&gt;"", Klantgegevens_B!H572, Klantgegevens_A!I572)</f>
        <v>14</v>
      </c>
      <c r="I573" t="str">
        <f>IF(Klantgegevens_B!I572&lt;&gt;"", Klantgegevens_B!I572, SWITCH(Klantgegevens_A!J572, "Zelden", 1, "Af en toe", 4, "Regelmatig", 8, "Vaak", 12))</f>
        <v>Payconiq</v>
      </c>
      <c r="J573" t="str">
        <f>IF(Klantgegevens_B!J572&lt;&gt;"", Klantgegevens_B!J572, Klantgegevens_A!K572)</f>
        <v>ja</v>
      </c>
      <c r="K573">
        <f>IF(Klantgegevens_B!K572&lt;&gt;"", AVERAGE(--(Klantgegevens_B!K572="ja"), --(Klantgegevens_B!L572="ja"), --(Klantgegevens_B!M572="ja"), --(Klantgegevens_B!N572="ja"), --(Klantgegevens_B!O572="ja"))*10, Klantgegevens_A!L572)</f>
        <v>6</v>
      </c>
      <c r="L573" t="str">
        <f>IF(Klantgegevens_B!K572&lt;&gt;"", Klantgegevens_B!K572, IF(Klantgegevens_A!L572&gt;=7, "ja", "nee"))</f>
        <v>ja</v>
      </c>
      <c r="M573" t="str">
        <f>IF(Klantgegevens_B!L572&lt;&gt;"", Klantgegevens_B!L572, IF(Klantgegevens_A!L572&gt;=7, "ja", "nee"))</f>
        <v>ja</v>
      </c>
      <c r="N573" t="str">
        <f>IF(Klantgegevens_B!M572&lt;&gt;"", Klantgegevens_B!M572, IF(Klantgegevens_A!L572&gt;=7, "ja", "nee"))</f>
        <v>nee</v>
      </c>
      <c r="O573" t="str">
        <f>IF(Klantgegevens_B!N572&lt;&gt;"", Klantgegevens_B!N572, IF(Klantgegevens_A!L572&gt;=7, "ja", "nee"))</f>
        <v>ja</v>
      </c>
      <c r="P573" t="str">
        <f>IF(Klantgegevens_B!O572&lt;&gt;"", Klantgegevens_B!O572, IF(Klantgegevens_A!L572&gt;=7, "ja", "nee"))</f>
        <v>Vegetarisch</v>
      </c>
      <c r="Q573">
        <f>IF(Klantgegevens_B!P572&lt;&gt;"", Klantgegevens_B!P572, Klantgegevens_A!M572)</f>
        <v>0</v>
      </c>
      <c r="R573" t="str">
        <f>IF(Klantgegevens_B!A572&lt;&gt;"", "B", "A")</f>
        <v>B</v>
      </c>
    </row>
    <row r="574" spans="1:18" x14ac:dyDescent="0.3">
      <c r="A574" t="str">
        <f>IF(Klantgegevens_B!A573&lt;&gt;"", Klantgegevens_B!A573, MID(Klantgegevens_A!A573, FIND(",", Klantgegevens_A!A573)+2, LEN(Klantgegevens_A!A573)))</f>
        <v>Virginie</v>
      </c>
      <c r="B574" t="str">
        <f>IF(Klantgegevens_B!B573&lt;&gt;"", Klantgegevens_B!B573, LEFT(Klantgegevens_A!A573, FIND(",", Klantgegevens_A!A573)-1))</f>
        <v>De laet</v>
      </c>
      <c r="C574" t="str">
        <f t="shared" ca="1" si="8"/>
        <v/>
      </c>
      <c r="D574" t="str">
        <f>IF(Klantgegevens_B!F573&lt;&gt;"", Klantgegevens_B!F573, Klantgegevens_A!D573 &amp; " " &amp; Klantgegevens_A!E573 &amp; ", " &amp; Klantgegevens_A!F573)</f>
        <v>Virginie,Lindsay,Marc</v>
      </c>
      <c r="E574">
        <f>IF(Klantgegevens_B!G573&lt;&gt;"", Klantgegevens_B!G573, TEXTJOIN(",", TRUE, REPT("Volwassene,", Klantgegevens_A!G573), REPT("Kind,", Klantgegevens_A!H573)))</f>
        <v>48.34</v>
      </c>
      <c r="F574">
        <f>IF(Klantgegevens_B!G573&lt;&gt;"", LEN(Klantgegevens_B!G573)-LEN(SUBSTITUTE(Klantgegevens_B!G573, ",", ""))+1, Klantgegevens_A!G573)</f>
        <v>1</v>
      </c>
      <c r="G574">
        <f>IF(Klantgegevens_B!G573&lt;&gt;"", 0, Klantgegevens_A!H573)</f>
        <v>0</v>
      </c>
      <c r="H574">
        <f>IF(Klantgegevens_B!H573&lt;&gt;"", Klantgegevens_B!H573, Klantgegevens_A!I573)</f>
        <v>1</v>
      </c>
      <c r="I574" t="str">
        <f>IF(Klantgegevens_B!I573&lt;&gt;"", Klantgegevens_B!I573, SWITCH(Klantgegevens_A!J573, "Zelden", 1, "Af en toe", 4, "Regelmatig", 8, "Vaak", 12))</f>
        <v>Payconiq</v>
      </c>
      <c r="J574" t="str">
        <f>IF(Klantgegevens_B!J573&lt;&gt;"", Klantgegevens_B!J573, Klantgegevens_A!K573)</f>
        <v>ja</v>
      </c>
      <c r="K574">
        <f>IF(Klantgegevens_B!K573&lt;&gt;"", AVERAGE(--(Klantgegevens_B!K573="ja"), --(Klantgegevens_B!L573="ja"), --(Klantgegevens_B!M573="ja"), --(Klantgegevens_B!N573="ja"), --(Klantgegevens_B!O573="ja"))*10, Klantgegevens_A!L573)</f>
        <v>4</v>
      </c>
      <c r="L574" t="str">
        <f>IF(Klantgegevens_B!K573&lt;&gt;"", Klantgegevens_B!K573, IF(Klantgegevens_A!L573&gt;=7, "ja", "nee"))</f>
        <v>ja</v>
      </c>
      <c r="M574" t="str">
        <f>IF(Klantgegevens_B!L573&lt;&gt;"", Klantgegevens_B!L573, IF(Klantgegevens_A!L573&gt;=7, "ja", "nee"))</f>
        <v>ja</v>
      </c>
      <c r="N574" t="str">
        <f>IF(Klantgegevens_B!M573&lt;&gt;"", Klantgegevens_B!M573, IF(Klantgegevens_A!L573&gt;=7, "ja", "nee"))</f>
        <v>nee</v>
      </c>
      <c r="O574" t="str">
        <f>IF(Klantgegevens_B!N573&lt;&gt;"", Klantgegevens_B!N573, IF(Klantgegevens_A!L573&gt;=7, "ja", "nee"))</f>
        <v>nee</v>
      </c>
      <c r="P574" t="str">
        <f>IF(Klantgegevens_B!O573&lt;&gt;"", Klantgegevens_B!O573, IF(Klantgegevens_A!L573&gt;=7, "ja", "nee"))</f>
        <v>Geen dieet</v>
      </c>
      <c r="Q574">
        <f>IF(Klantgegevens_B!P573&lt;&gt;"", Klantgegevens_B!P573, Klantgegevens_A!M573)</f>
        <v>0</v>
      </c>
      <c r="R574" t="str">
        <f>IF(Klantgegevens_B!A573&lt;&gt;"", "B", "A")</f>
        <v>B</v>
      </c>
    </row>
    <row r="575" spans="1:18" x14ac:dyDescent="0.3">
      <c r="A575" t="str">
        <f>IF(Klantgegevens_B!A574&lt;&gt;"", Klantgegevens_B!A574, MID(Klantgegevens_A!A574, FIND(",", Klantgegevens_A!A574)+2, LEN(Klantgegevens_A!A574)))</f>
        <v>Emilie</v>
      </c>
      <c r="B575" t="str">
        <f>IF(Klantgegevens_B!B574&lt;&gt;"", Klantgegevens_B!B574, LEFT(Klantgegevens_A!A574, FIND(",", Klantgegevens_A!A574)-1))</f>
        <v>Piette</v>
      </c>
      <c r="C575" t="str">
        <f t="shared" ca="1" si="8"/>
        <v/>
      </c>
      <c r="D575" t="str">
        <f>IF(Klantgegevens_B!F574&lt;&gt;"", Klantgegevens_B!F574, Klantgegevens_A!D574 &amp; " " &amp; Klantgegevens_A!E574 &amp; ", " &amp; Klantgegevens_A!F574)</f>
        <v>Emilie</v>
      </c>
      <c r="E575">
        <f>IF(Klantgegevens_B!G574&lt;&gt;"", Klantgegevens_B!G574, TEXTJOIN(",", TRUE, REPT("Volwassene,", Klantgegevens_A!G574), REPT("Kind,", Klantgegevens_A!H574)))</f>
        <v>35.75</v>
      </c>
      <c r="F575">
        <f>IF(Klantgegevens_B!G574&lt;&gt;"", LEN(Klantgegevens_B!G574)-LEN(SUBSTITUTE(Klantgegevens_B!G574, ",", ""))+1, Klantgegevens_A!G574)</f>
        <v>1</v>
      </c>
      <c r="G575">
        <f>IF(Klantgegevens_B!G574&lt;&gt;"", 0, Klantgegevens_A!H574)</f>
        <v>0</v>
      </c>
      <c r="H575">
        <f>IF(Klantgegevens_B!H574&lt;&gt;"", Klantgegevens_B!H574, Klantgegevens_A!I574)</f>
        <v>21</v>
      </c>
      <c r="I575" t="str">
        <f>IF(Klantgegevens_B!I574&lt;&gt;"", Klantgegevens_B!I574, SWITCH(Klantgegevens_A!J574, "Zelden", 1, "Af en toe", 4, "Regelmatig", 8, "Vaak", 12))</f>
        <v>Payconiq</v>
      </c>
      <c r="J575" t="str">
        <f>IF(Klantgegevens_B!J574&lt;&gt;"", Klantgegevens_B!J574, Klantgegevens_A!K574)</f>
        <v>ja</v>
      </c>
      <c r="K575">
        <f>IF(Klantgegevens_B!K574&lt;&gt;"", AVERAGE(--(Klantgegevens_B!K574="ja"), --(Klantgegevens_B!L574="ja"), --(Klantgegevens_B!M574="ja"), --(Klantgegevens_B!N574="ja"), --(Klantgegevens_B!O574="ja"))*10, Klantgegevens_A!L574)</f>
        <v>6</v>
      </c>
      <c r="L575" t="str">
        <f>IF(Klantgegevens_B!K574&lt;&gt;"", Klantgegevens_B!K574, IF(Klantgegevens_A!L574&gt;=7, "ja", "nee"))</f>
        <v>nee</v>
      </c>
      <c r="M575" t="str">
        <f>IF(Klantgegevens_B!L574&lt;&gt;"", Klantgegevens_B!L574, IF(Klantgegevens_A!L574&gt;=7, "ja", "nee"))</f>
        <v>ja</v>
      </c>
      <c r="N575" t="str">
        <f>IF(Klantgegevens_B!M574&lt;&gt;"", Klantgegevens_B!M574, IF(Klantgegevens_A!L574&gt;=7, "ja", "nee"))</f>
        <v>ja</v>
      </c>
      <c r="O575" t="str">
        <f>IF(Klantgegevens_B!N574&lt;&gt;"", Klantgegevens_B!N574, IF(Klantgegevens_A!L574&gt;=7, "ja", "nee"))</f>
        <v>ja</v>
      </c>
      <c r="P575" t="str">
        <f>IF(Klantgegevens_B!O574&lt;&gt;"", Klantgegevens_B!O574, IF(Klantgegevens_A!L574&gt;=7, "ja", "nee"))</f>
        <v>Geen dieet</v>
      </c>
      <c r="Q575">
        <f>IF(Klantgegevens_B!P574&lt;&gt;"", Klantgegevens_B!P574, Klantgegevens_A!M574)</f>
        <v>0</v>
      </c>
      <c r="R575" t="str">
        <f>IF(Klantgegevens_B!A574&lt;&gt;"", "B", "A")</f>
        <v>B</v>
      </c>
    </row>
    <row r="576" spans="1:18" x14ac:dyDescent="0.3">
      <c r="A576" t="str">
        <f>IF(Klantgegevens_B!A575&lt;&gt;"", Klantgegevens_B!A575, MID(Klantgegevens_A!A575, FIND(",", Klantgegevens_A!A575)+2, LEN(Klantgegevens_A!A575)))</f>
        <v>Quentin</v>
      </c>
      <c r="B576" t="str">
        <f>IF(Klantgegevens_B!B575&lt;&gt;"", Klantgegevens_B!B575, LEFT(Klantgegevens_A!A575, FIND(",", Klantgegevens_A!A575)-1))</f>
        <v>Lambrechts</v>
      </c>
      <c r="C576" t="str">
        <f t="shared" ca="1" si="8"/>
        <v/>
      </c>
      <c r="D576" t="str">
        <f>IF(Klantgegevens_B!F575&lt;&gt;"", Klantgegevens_B!F575, Klantgegevens_A!D575 &amp; " " &amp; Klantgegevens_A!E575 &amp; ", " &amp; Klantgegevens_A!F575)</f>
        <v>Quentin</v>
      </c>
      <c r="E576">
        <f>IF(Klantgegevens_B!G575&lt;&gt;"", Klantgegevens_B!G575, TEXTJOIN(",", TRUE, REPT("Volwassene,", Klantgegevens_A!G575), REPT("Kind,", Klantgegevens_A!H575)))</f>
        <v>58.63</v>
      </c>
      <c r="F576">
        <f>IF(Klantgegevens_B!G575&lt;&gt;"", LEN(Klantgegevens_B!G575)-LEN(SUBSTITUTE(Klantgegevens_B!G575, ",", ""))+1, Klantgegevens_A!G575)</f>
        <v>1</v>
      </c>
      <c r="G576">
        <f>IF(Klantgegevens_B!G575&lt;&gt;"", 0, Klantgegevens_A!H575)</f>
        <v>0</v>
      </c>
      <c r="H576">
        <f>IF(Klantgegevens_B!H575&lt;&gt;"", Klantgegevens_B!H575, Klantgegevens_A!I575)</f>
        <v>16</v>
      </c>
      <c r="I576" t="str">
        <f>IF(Klantgegevens_B!I575&lt;&gt;"", Klantgegevens_B!I575, SWITCH(Klantgegevens_A!J575, "Zelden", 1, "Af en toe", 4, "Regelmatig", 8, "Vaak", 12))</f>
        <v>Payconiq</v>
      </c>
      <c r="J576" t="str">
        <f>IF(Klantgegevens_B!J575&lt;&gt;"", Klantgegevens_B!J575, Klantgegevens_A!K575)</f>
        <v>ja</v>
      </c>
      <c r="K576">
        <f>IF(Klantgegevens_B!K575&lt;&gt;"", AVERAGE(--(Klantgegevens_B!K575="ja"), --(Klantgegevens_B!L575="ja"), --(Klantgegevens_B!M575="ja"), --(Klantgegevens_B!N575="ja"), --(Klantgegevens_B!O575="ja"))*10, Klantgegevens_A!L575)</f>
        <v>6</v>
      </c>
      <c r="L576" t="str">
        <f>IF(Klantgegevens_B!K575&lt;&gt;"", Klantgegevens_B!K575, IF(Klantgegevens_A!L575&gt;=7, "ja", "nee"))</f>
        <v>ja</v>
      </c>
      <c r="M576" t="str">
        <f>IF(Klantgegevens_B!L575&lt;&gt;"", Klantgegevens_B!L575, IF(Klantgegevens_A!L575&gt;=7, "ja", "nee"))</f>
        <v>ja</v>
      </c>
      <c r="N576" t="str">
        <f>IF(Klantgegevens_B!M575&lt;&gt;"", Klantgegevens_B!M575, IF(Klantgegevens_A!L575&gt;=7, "ja", "nee"))</f>
        <v>ja</v>
      </c>
      <c r="O576" t="str">
        <f>IF(Klantgegevens_B!N575&lt;&gt;"", Klantgegevens_B!N575, IF(Klantgegevens_A!L575&gt;=7, "ja", "nee"))</f>
        <v>nee</v>
      </c>
      <c r="P576" t="str">
        <f>IF(Klantgegevens_B!O575&lt;&gt;"", Klantgegevens_B!O575, IF(Klantgegevens_A!L575&gt;=7, "ja", "nee"))</f>
        <v>Geen dieet</v>
      </c>
      <c r="Q576">
        <f>IF(Klantgegevens_B!P575&lt;&gt;"", Klantgegevens_B!P575, Klantgegevens_A!M575)</f>
        <v>0</v>
      </c>
      <c r="R576" t="str">
        <f>IF(Klantgegevens_B!A575&lt;&gt;"", "B", "A")</f>
        <v>B</v>
      </c>
    </row>
    <row r="577" spans="1:18" x14ac:dyDescent="0.3">
      <c r="A577" t="str">
        <f>IF(Klantgegevens_B!A576&lt;&gt;"", Klantgegevens_B!A576, MID(Klantgegevens_A!A576, FIND(",", Klantgegevens_A!A576)+2, LEN(Klantgegevens_A!A576)))</f>
        <v>Mathéo</v>
      </c>
      <c r="B577" t="str">
        <f>IF(Klantgegevens_B!B576&lt;&gt;"", Klantgegevens_B!B576, LEFT(Klantgegevens_A!A576, FIND(",", Klantgegevens_A!A576)-1))</f>
        <v>Mathieu</v>
      </c>
      <c r="C577" t="str">
        <f t="shared" ca="1" si="8"/>
        <v/>
      </c>
      <c r="D577" t="str">
        <f>IF(Klantgegevens_B!F576&lt;&gt;"", Klantgegevens_B!F576, Klantgegevens_A!D576 &amp; " " &amp; Klantgegevens_A!E576 &amp; ", " &amp; Klantgegevens_A!F576)</f>
        <v>Mathéo,Roger,Tiffanie,Olivier</v>
      </c>
      <c r="E577">
        <f>IF(Klantgegevens_B!G576&lt;&gt;"", Klantgegevens_B!G576, TEXTJOIN(",", TRUE, REPT("Volwassene,", Klantgegevens_A!G576), REPT("Kind,", Klantgegevens_A!H576)))</f>
        <v>159.78</v>
      </c>
      <c r="F577">
        <f>IF(Klantgegevens_B!G576&lt;&gt;"", LEN(Klantgegevens_B!G576)-LEN(SUBSTITUTE(Klantgegevens_B!G576, ",", ""))+1, Klantgegevens_A!G576)</f>
        <v>1</v>
      </c>
      <c r="G577">
        <f>IF(Klantgegevens_B!G576&lt;&gt;"", 0, Klantgegevens_A!H576)</f>
        <v>0</v>
      </c>
      <c r="H577">
        <f>IF(Klantgegevens_B!H576&lt;&gt;"", Klantgegevens_B!H576, Klantgegevens_A!I576)</f>
        <v>16</v>
      </c>
      <c r="I577" t="str">
        <f>IF(Klantgegevens_B!I576&lt;&gt;"", Klantgegevens_B!I576, SWITCH(Klantgegevens_A!J576, "Zelden", 1, "Af en toe", 4, "Regelmatig", 8, "Vaak", 12))</f>
        <v>Cash</v>
      </c>
      <c r="J577" t="str">
        <f>IF(Klantgegevens_B!J576&lt;&gt;"", Klantgegevens_B!J576, Klantgegevens_A!K576)</f>
        <v>ja</v>
      </c>
      <c r="K577">
        <f>IF(Klantgegevens_B!K576&lt;&gt;"", AVERAGE(--(Klantgegevens_B!K576="ja"), --(Klantgegevens_B!L576="ja"), --(Klantgegevens_B!M576="ja"), --(Klantgegevens_B!N576="ja"), --(Klantgegevens_B!O576="ja"))*10, Klantgegevens_A!L576)</f>
        <v>6</v>
      </c>
      <c r="L577" t="str">
        <f>IF(Klantgegevens_B!K576&lt;&gt;"", Klantgegevens_B!K576, IF(Klantgegevens_A!L576&gt;=7, "ja", "nee"))</f>
        <v>nee</v>
      </c>
      <c r="M577" t="str">
        <f>IF(Klantgegevens_B!L576&lt;&gt;"", Klantgegevens_B!L576, IF(Klantgegevens_A!L576&gt;=7, "ja", "nee"))</f>
        <v>ja</v>
      </c>
      <c r="N577" t="str">
        <f>IF(Klantgegevens_B!M576&lt;&gt;"", Klantgegevens_B!M576, IF(Klantgegevens_A!L576&gt;=7, "ja", "nee"))</f>
        <v>ja</v>
      </c>
      <c r="O577" t="str">
        <f>IF(Klantgegevens_B!N576&lt;&gt;"", Klantgegevens_B!N576, IF(Klantgegevens_A!L576&gt;=7, "ja", "nee"))</f>
        <v>ja</v>
      </c>
      <c r="P577" t="str">
        <f>IF(Klantgegevens_B!O576&lt;&gt;"", Klantgegevens_B!O576, IF(Klantgegevens_A!L576&gt;=7, "ja", "nee"))</f>
        <v>Geen dieet</v>
      </c>
      <c r="Q577">
        <f>IF(Klantgegevens_B!P576&lt;&gt;"", Klantgegevens_B!P576, Klantgegevens_A!M576)</f>
        <v>0</v>
      </c>
      <c r="R577" t="str">
        <f>IF(Klantgegevens_B!A576&lt;&gt;"", "B", "A")</f>
        <v>B</v>
      </c>
    </row>
    <row r="578" spans="1:18" x14ac:dyDescent="0.3">
      <c r="A578" t="str">
        <f>IF(Klantgegevens_B!A577&lt;&gt;"", Klantgegevens_B!A577, MID(Klantgegevens_A!A577, FIND(",", Klantgegevens_A!A577)+2, LEN(Klantgegevens_A!A577)))</f>
        <v>Kristof</v>
      </c>
      <c r="B578" t="str">
        <f>IF(Klantgegevens_B!B577&lt;&gt;"", Klantgegevens_B!B577, LEFT(Klantgegevens_A!A577, FIND(",", Klantgegevens_A!A577)-1))</f>
        <v>Engels</v>
      </c>
      <c r="C578" t="str">
        <f t="shared" ca="1" si="8"/>
        <v/>
      </c>
      <c r="D578" t="str">
        <f>IF(Klantgegevens_B!F577&lt;&gt;"", Klantgegevens_B!F577, Klantgegevens_A!D577 &amp; " " &amp; Klantgegevens_A!E577 &amp; ", " &amp; Klantgegevens_A!F577)</f>
        <v>Kristof,Anaïs,Sultan,Andy</v>
      </c>
      <c r="E578">
        <f>IF(Klantgegevens_B!G577&lt;&gt;"", Klantgegevens_B!G577, TEXTJOIN(",", TRUE, REPT("Volwassene,", Klantgegevens_A!G577), REPT("Kind,", Klantgegevens_A!H577)))</f>
        <v>98.34</v>
      </c>
      <c r="F578">
        <f>IF(Klantgegevens_B!G577&lt;&gt;"", LEN(Klantgegevens_B!G577)-LEN(SUBSTITUTE(Klantgegevens_B!G577, ",", ""))+1, Klantgegevens_A!G577)</f>
        <v>1</v>
      </c>
      <c r="G578">
        <f>IF(Klantgegevens_B!G577&lt;&gt;"", 0, Klantgegevens_A!H577)</f>
        <v>0</v>
      </c>
      <c r="H578">
        <f>IF(Klantgegevens_B!H577&lt;&gt;"", Klantgegevens_B!H577, Klantgegevens_A!I577)</f>
        <v>3</v>
      </c>
      <c r="I578" t="str">
        <f>IF(Klantgegevens_B!I577&lt;&gt;"", Klantgegevens_B!I577, SWITCH(Klantgegevens_A!J577, "Zelden", 1, "Af en toe", 4, "Regelmatig", 8, "Vaak", 12))</f>
        <v>Bancontact</v>
      </c>
      <c r="J578" t="str">
        <f>IF(Klantgegevens_B!J577&lt;&gt;"", Klantgegevens_B!J577, Klantgegevens_A!K577)</f>
        <v>nee</v>
      </c>
      <c r="K578">
        <f>IF(Klantgegevens_B!K577&lt;&gt;"", AVERAGE(--(Klantgegevens_B!K577="ja"), --(Klantgegevens_B!L577="ja"), --(Klantgegevens_B!M577="ja"), --(Klantgegevens_B!N577="ja"), --(Klantgegevens_B!O577="ja"))*10, Klantgegevens_A!L577)</f>
        <v>6</v>
      </c>
      <c r="L578" t="str">
        <f>IF(Klantgegevens_B!K577&lt;&gt;"", Klantgegevens_B!K577, IF(Klantgegevens_A!L577&gt;=7, "ja", "nee"))</f>
        <v>ja</v>
      </c>
      <c r="M578" t="str">
        <f>IF(Klantgegevens_B!L577&lt;&gt;"", Klantgegevens_B!L577, IF(Klantgegevens_A!L577&gt;=7, "ja", "nee"))</f>
        <v>ja</v>
      </c>
      <c r="N578" t="str">
        <f>IF(Klantgegevens_B!M577&lt;&gt;"", Klantgegevens_B!M577, IF(Klantgegevens_A!L577&gt;=7, "ja", "nee"))</f>
        <v>ja</v>
      </c>
      <c r="O578" t="str">
        <f>IF(Klantgegevens_B!N577&lt;&gt;"", Klantgegevens_B!N577, IF(Klantgegevens_A!L577&gt;=7, "ja", "nee"))</f>
        <v>nee</v>
      </c>
      <c r="P578" t="str">
        <f>IF(Klantgegevens_B!O577&lt;&gt;"", Klantgegevens_B!O577, IF(Klantgegevens_A!L577&gt;=7, "ja", "nee"))</f>
        <v>Geen dieet</v>
      </c>
      <c r="Q578">
        <f>IF(Klantgegevens_B!P577&lt;&gt;"", Klantgegevens_B!P577, Klantgegevens_A!M577)</f>
        <v>0</v>
      </c>
      <c r="R578" t="str">
        <f>IF(Klantgegevens_B!A577&lt;&gt;"", "B", "A")</f>
        <v>B</v>
      </c>
    </row>
    <row r="579" spans="1:18" x14ac:dyDescent="0.3">
      <c r="A579" t="str">
        <f>IF(Klantgegevens_B!A578&lt;&gt;"", Klantgegevens_B!A578, MID(Klantgegevens_A!A578, FIND(",", Klantgegevens_A!A578)+2, LEN(Klantgegevens_A!A578)))</f>
        <v>Hans</v>
      </c>
      <c r="B579" t="str">
        <f>IF(Klantgegevens_B!B578&lt;&gt;"", Klantgegevens_B!B578, LEFT(Klantgegevens_A!A578, FIND(",", Klantgegevens_A!A578)-1))</f>
        <v>De smet</v>
      </c>
      <c r="C579" t="str">
        <f t="shared" ref="C579:C642" ca="1" si="9">C578 &amp; ", " &amp; B578</f>
        <v/>
      </c>
      <c r="D579" t="str">
        <f>IF(Klantgegevens_B!F578&lt;&gt;"", Klantgegevens_B!F578, Klantgegevens_A!D578 &amp; " " &amp; Klantgegevens_A!E578 &amp; ", " &amp; Klantgegevens_A!F578)</f>
        <v>Hans,Jeanine,Ronny</v>
      </c>
      <c r="E579">
        <f>IF(Klantgegevens_B!G578&lt;&gt;"", Klantgegevens_B!G578, TEXTJOIN(",", TRUE, REPT("Volwassene,", Klantgegevens_A!G578), REPT("Kind,", Klantgegevens_A!H578)))</f>
        <v>95.74</v>
      </c>
      <c r="F579">
        <f>IF(Klantgegevens_B!G578&lt;&gt;"", LEN(Klantgegevens_B!G578)-LEN(SUBSTITUTE(Klantgegevens_B!G578, ",", ""))+1, Klantgegevens_A!G578)</f>
        <v>1</v>
      </c>
      <c r="G579">
        <f>IF(Klantgegevens_B!G578&lt;&gt;"", 0, Klantgegevens_A!H578)</f>
        <v>0</v>
      </c>
      <c r="H579">
        <f>IF(Klantgegevens_B!H578&lt;&gt;"", Klantgegevens_B!H578, Klantgegevens_A!I578)</f>
        <v>2</v>
      </c>
      <c r="I579" t="str">
        <f>IF(Klantgegevens_B!I578&lt;&gt;"", Klantgegevens_B!I578, SWITCH(Klantgegevens_A!J578, "Zelden", 1, "Af en toe", 4, "Regelmatig", 8, "Vaak", 12))</f>
        <v>Payconiq</v>
      </c>
      <c r="J579" t="str">
        <f>IF(Klantgegevens_B!J578&lt;&gt;"", Klantgegevens_B!J578, Klantgegevens_A!K578)</f>
        <v>ja</v>
      </c>
      <c r="K579">
        <f>IF(Klantgegevens_B!K578&lt;&gt;"", AVERAGE(--(Klantgegevens_B!K578="ja"), --(Klantgegevens_B!L578="ja"), --(Klantgegevens_B!M578="ja"), --(Klantgegevens_B!N578="ja"), --(Klantgegevens_B!O578="ja"))*10, Klantgegevens_A!L578)</f>
        <v>8</v>
      </c>
      <c r="L579" t="str">
        <f>IF(Klantgegevens_B!K578&lt;&gt;"", Klantgegevens_B!K578, IF(Klantgegevens_A!L578&gt;=7, "ja", "nee"))</f>
        <v>ja</v>
      </c>
      <c r="M579" t="str">
        <f>IF(Klantgegevens_B!L578&lt;&gt;"", Klantgegevens_B!L578, IF(Klantgegevens_A!L578&gt;=7, "ja", "nee"))</f>
        <v>ja</v>
      </c>
      <c r="N579" t="str">
        <f>IF(Klantgegevens_B!M578&lt;&gt;"", Klantgegevens_B!M578, IF(Klantgegevens_A!L578&gt;=7, "ja", "nee"))</f>
        <v>ja</v>
      </c>
      <c r="O579" t="str">
        <f>IF(Klantgegevens_B!N578&lt;&gt;"", Klantgegevens_B!N578, IF(Klantgegevens_A!L578&gt;=7, "ja", "nee"))</f>
        <v>ja</v>
      </c>
      <c r="P579" t="str">
        <f>IF(Klantgegevens_B!O578&lt;&gt;"", Klantgegevens_B!O578, IF(Klantgegevens_A!L578&gt;=7, "ja", "nee"))</f>
        <v>Geen dieet</v>
      </c>
      <c r="Q579">
        <f>IF(Klantgegevens_B!P578&lt;&gt;"", Klantgegevens_B!P578, Klantgegevens_A!M578)</f>
        <v>0</v>
      </c>
      <c r="R579" t="str">
        <f>IF(Klantgegevens_B!A578&lt;&gt;"", "B", "A")</f>
        <v>B</v>
      </c>
    </row>
    <row r="580" spans="1:18" x14ac:dyDescent="0.3">
      <c r="A580" t="str">
        <f>IF(Klantgegevens_B!A579&lt;&gt;"", Klantgegevens_B!A579, MID(Klantgegevens_A!A579, FIND(",", Klantgegevens_A!A579)+2, LEN(Klantgegevens_A!A579)))</f>
        <v>Martine</v>
      </c>
      <c r="B580" t="str">
        <f>IF(Klantgegevens_B!B579&lt;&gt;"", Klantgegevens_B!B579, LEFT(Klantgegevens_A!A579, FIND(",", Klantgegevens_A!A579)-1))</f>
        <v>Jacobs</v>
      </c>
      <c r="C580" t="str">
        <f t="shared" ca="1" si="9"/>
        <v/>
      </c>
      <c r="D580" t="str">
        <f>IF(Klantgegevens_B!F579&lt;&gt;"", Klantgegevens_B!F579, Klantgegevens_A!D579 &amp; " " &amp; Klantgegevens_A!E579 &amp; ", " &amp; Klantgegevens_A!F579)</f>
        <v>Martine,Cynthia</v>
      </c>
      <c r="E580">
        <f>IF(Klantgegevens_B!G579&lt;&gt;"", Klantgegevens_B!G579, TEXTJOIN(",", TRUE, REPT("Volwassene,", Klantgegevens_A!G579), REPT("Kind,", Klantgegevens_A!H579)))</f>
        <v>51.92</v>
      </c>
      <c r="F580">
        <f>IF(Klantgegevens_B!G579&lt;&gt;"", LEN(Klantgegevens_B!G579)-LEN(SUBSTITUTE(Klantgegevens_B!G579, ",", ""))+1, Klantgegevens_A!G579)</f>
        <v>1</v>
      </c>
      <c r="G580">
        <f>IF(Klantgegevens_B!G579&lt;&gt;"", 0, Klantgegevens_A!H579)</f>
        <v>0</v>
      </c>
      <c r="H580">
        <f>IF(Klantgegevens_B!H579&lt;&gt;"", Klantgegevens_B!H579, Klantgegevens_A!I579)</f>
        <v>1</v>
      </c>
      <c r="I580" t="str">
        <f>IF(Klantgegevens_B!I579&lt;&gt;"", Klantgegevens_B!I579, SWITCH(Klantgegevens_A!J579, "Zelden", 1, "Af en toe", 4, "Regelmatig", 8, "Vaak", 12))</f>
        <v>Bancontact</v>
      </c>
      <c r="J580" t="str">
        <f>IF(Klantgegevens_B!J579&lt;&gt;"", Klantgegevens_B!J579, Klantgegevens_A!K579)</f>
        <v>ja</v>
      </c>
      <c r="K580">
        <f>IF(Klantgegevens_B!K579&lt;&gt;"", AVERAGE(--(Klantgegevens_B!K579="ja"), --(Klantgegevens_B!L579="ja"), --(Klantgegevens_B!M579="ja"), --(Klantgegevens_B!N579="ja"), --(Klantgegevens_B!O579="ja"))*10, Klantgegevens_A!L579)</f>
        <v>4</v>
      </c>
      <c r="L580" t="str">
        <f>IF(Klantgegevens_B!K579&lt;&gt;"", Klantgegevens_B!K579, IF(Klantgegevens_A!L579&gt;=7, "ja", "nee"))</f>
        <v>nee</v>
      </c>
      <c r="M580" t="str">
        <f>IF(Klantgegevens_B!L579&lt;&gt;"", Klantgegevens_B!L579, IF(Klantgegevens_A!L579&gt;=7, "ja", "nee"))</f>
        <v>ja</v>
      </c>
      <c r="N580" t="str">
        <f>IF(Klantgegevens_B!M579&lt;&gt;"", Klantgegevens_B!M579, IF(Klantgegevens_A!L579&gt;=7, "ja", "nee"))</f>
        <v>nee</v>
      </c>
      <c r="O580" t="str">
        <f>IF(Klantgegevens_B!N579&lt;&gt;"", Klantgegevens_B!N579, IF(Klantgegevens_A!L579&gt;=7, "ja", "nee"))</f>
        <v>ja</v>
      </c>
      <c r="P580" t="str">
        <f>IF(Klantgegevens_B!O579&lt;&gt;"", Klantgegevens_B!O579, IF(Klantgegevens_A!L579&gt;=7, "ja", "nee"))</f>
        <v>Geen dieet</v>
      </c>
      <c r="Q580">
        <f>IF(Klantgegevens_B!P579&lt;&gt;"", Klantgegevens_B!P579, Klantgegevens_A!M579)</f>
        <v>0</v>
      </c>
      <c r="R580" t="str">
        <f>IF(Klantgegevens_B!A579&lt;&gt;"", "B", "A")</f>
        <v>B</v>
      </c>
    </row>
    <row r="581" spans="1:18" x14ac:dyDescent="0.3">
      <c r="A581" t="str">
        <f>IF(Klantgegevens_B!A580&lt;&gt;"", Klantgegevens_B!A580, MID(Klantgegevens_A!A580, FIND(",", Klantgegevens_A!A580)+2, LEN(Klantgegevens_A!A580)))</f>
        <v>Catherine</v>
      </c>
      <c r="B581" t="str">
        <f>IF(Klantgegevens_B!B580&lt;&gt;"", Klantgegevens_B!B580, LEFT(Klantgegevens_A!A580, FIND(",", Klantgegevens_A!A580)-1))</f>
        <v>Janssens</v>
      </c>
      <c r="C581" t="str">
        <f t="shared" ca="1" si="9"/>
        <v/>
      </c>
      <c r="D581" t="str">
        <f>IF(Klantgegevens_B!F580&lt;&gt;"", Klantgegevens_B!F580, Klantgegevens_A!D580 &amp; " " &amp; Klantgegevens_A!E580 &amp; ", " &amp; Klantgegevens_A!F580)</f>
        <v>Catherine,Roxane,Rafal,Anita</v>
      </c>
      <c r="E581">
        <f>IF(Klantgegevens_B!G580&lt;&gt;"", Klantgegevens_B!G580, TEXTJOIN(",", TRUE, REPT("Volwassene,", Klantgegevens_A!G580), REPT("Kind,", Klantgegevens_A!H580)))</f>
        <v>242.61</v>
      </c>
      <c r="F581">
        <f>IF(Klantgegevens_B!G580&lt;&gt;"", LEN(Klantgegevens_B!G580)-LEN(SUBSTITUTE(Klantgegevens_B!G580, ",", ""))+1, Klantgegevens_A!G580)</f>
        <v>1</v>
      </c>
      <c r="G581">
        <f>IF(Klantgegevens_B!G580&lt;&gt;"", 0, Klantgegevens_A!H580)</f>
        <v>0</v>
      </c>
      <c r="H581">
        <f>IF(Klantgegevens_B!H580&lt;&gt;"", Klantgegevens_B!H580, Klantgegevens_A!I580)</f>
        <v>6</v>
      </c>
      <c r="I581" t="str">
        <f>IF(Klantgegevens_B!I580&lt;&gt;"", Klantgegevens_B!I580, SWITCH(Klantgegevens_A!J580, "Zelden", 1, "Af en toe", 4, "Regelmatig", 8, "Vaak", 12))</f>
        <v>Payconiq</v>
      </c>
      <c r="J581" t="str">
        <f>IF(Klantgegevens_B!J580&lt;&gt;"", Klantgegevens_B!J580, Klantgegevens_A!K580)</f>
        <v>nee</v>
      </c>
      <c r="K581">
        <f>IF(Klantgegevens_B!K580&lt;&gt;"", AVERAGE(--(Klantgegevens_B!K580="ja"), --(Klantgegevens_B!L580="ja"), --(Klantgegevens_B!M580="ja"), --(Klantgegevens_B!N580="ja"), --(Klantgegevens_B!O580="ja"))*10, Klantgegevens_A!L580)</f>
        <v>4</v>
      </c>
      <c r="L581" t="str">
        <f>IF(Klantgegevens_B!K580&lt;&gt;"", Klantgegevens_B!K580, IF(Klantgegevens_A!L580&gt;=7, "ja", "nee"))</f>
        <v>nee</v>
      </c>
      <c r="M581" t="str">
        <f>IF(Klantgegevens_B!L580&lt;&gt;"", Klantgegevens_B!L580, IF(Klantgegevens_A!L580&gt;=7, "ja", "nee"))</f>
        <v>ja</v>
      </c>
      <c r="N581" t="str">
        <f>IF(Klantgegevens_B!M580&lt;&gt;"", Klantgegevens_B!M580, IF(Klantgegevens_A!L580&gt;=7, "ja", "nee"))</f>
        <v>nee</v>
      </c>
      <c r="O581" t="str">
        <f>IF(Klantgegevens_B!N580&lt;&gt;"", Klantgegevens_B!N580, IF(Klantgegevens_A!L580&gt;=7, "ja", "nee"))</f>
        <v>ja</v>
      </c>
      <c r="P581" t="str">
        <f>IF(Klantgegevens_B!O580&lt;&gt;"", Klantgegevens_B!O580, IF(Klantgegevens_A!L580&gt;=7, "ja", "nee"))</f>
        <v>Veganistisch</v>
      </c>
      <c r="Q581">
        <f>IF(Klantgegevens_B!P580&lt;&gt;"", Klantgegevens_B!P580, Klantgegevens_A!M580)</f>
        <v>0</v>
      </c>
      <c r="R581" t="str">
        <f>IF(Klantgegevens_B!A580&lt;&gt;"", "B", "A")</f>
        <v>B</v>
      </c>
    </row>
    <row r="582" spans="1:18" x14ac:dyDescent="0.3">
      <c r="A582" t="str">
        <f>IF(Klantgegevens_B!A581&lt;&gt;"", Klantgegevens_B!A581, MID(Klantgegevens_A!A581, FIND(",", Klantgegevens_A!A581)+2, LEN(Klantgegevens_A!A581)))</f>
        <v>Sofie</v>
      </c>
      <c r="B582" t="str">
        <f>IF(Klantgegevens_B!B581&lt;&gt;"", Klantgegevens_B!B581, LEFT(Klantgegevens_A!A581, FIND(",", Klantgegevens_A!A581)-1))</f>
        <v>De clercq</v>
      </c>
      <c r="C582" t="str">
        <f t="shared" ca="1" si="9"/>
        <v/>
      </c>
      <c r="D582" t="str">
        <f>IF(Klantgegevens_B!F581&lt;&gt;"", Klantgegevens_B!F581, Klantgegevens_A!D581 &amp; " " &amp; Klantgegevens_A!E581 &amp; ", " &amp; Klantgegevens_A!F581)</f>
        <v>Sofie,Jean-Baptiste,Johan,Maël,Jordy</v>
      </c>
      <c r="E582">
        <f>IF(Klantgegevens_B!G581&lt;&gt;"", Klantgegevens_B!G581, TEXTJOIN(",", TRUE, REPT("Volwassene,", Klantgegevens_A!G581), REPT("Kind,", Klantgegevens_A!H581)))</f>
        <v>117.58</v>
      </c>
      <c r="F582">
        <f>IF(Klantgegevens_B!G581&lt;&gt;"", LEN(Klantgegevens_B!G581)-LEN(SUBSTITUTE(Klantgegevens_B!G581, ",", ""))+1, Klantgegevens_A!G581)</f>
        <v>1</v>
      </c>
      <c r="G582">
        <f>IF(Klantgegevens_B!G581&lt;&gt;"", 0, Klantgegevens_A!H581)</f>
        <v>0</v>
      </c>
      <c r="H582">
        <f>IF(Klantgegevens_B!H581&lt;&gt;"", Klantgegevens_B!H581, Klantgegevens_A!I581)</f>
        <v>6</v>
      </c>
      <c r="I582" t="str">
        <f>IF(Klantgegevens_B!I581&lt;&gt;"", Klantgegevens_B!I581, SWITCH(Klantgegevens_A!J581, "Zelden", 1, "Af en toe", 4, "Regelmatig", 8, "Vaak", 12))</f>
        <v>Bancontact</v>
      </c>
      <c r="J582" t="str">
        <f>IF(Klantgegevens_B!J581&lt;&gt;"", Klantgegevens_B!J581, Klantgegevens_A!K581)</f>
        <v>ja</v>
      </c>
      <c r="K582">
        <f>IF(Klantgegevens_B!K581&lt;&gt;"", AVERAGE(--(Klantgegevens_B!K581="ja"), --(Klantgegevens_B!L581="ja"), --(Klantgegevens_B!M581="ja"), --(Klantgegevens_B!N581="ja"), --(Klantgegevens_B!O581="ja"))*10, Klantgegevens_A!L581)</f>
        <v>8</v>
      </c>
      <c r="L582" t="str">
        <f>IF(Klantgegevens_B!K581&lt;&gt;"", Klantgegevens_B!K581, IF(Klantgegevens_A!L581&gt;=7, "ja", "nee"))</f>
        <v>ja</v>
      </c>
      <c r="M582" t="str">
        <f>IF(Klantgegevens_B!L581&lt;&gt;"", Klantgegevens_B!L581, IF(Klantgegevens_A!L581&gt;=7, "ja", "nee"))</f>
        <v>ja</v>
      </c>
      <c r="N582" t="str">
        <f>IF(Klantgegevens_B!M581&lt;&gt;"", Klantgegevens_B!M581, IF(Klantgegevens_A!L581&gt;=7, "ja", "nee"))</f>
        <v>ja</v>
      </c>
      <c r="O582" t="str">
        <f>IF(Klantgegevens_B!N581&lt;&gt;"", Klantgegevens_B!N581, IF(Klantgegevens_A!L581&gt;=7, "ja", "nee"))</f>
        <v>ja</v>
      </c>
      <c r="P582" t="str">
        <f>IF(Klantgegevens_B!O581&lt;&gt;"", Klantgegevens_B!O581, IF(Klantgegevens_A!L581&gt;=7, "ja", "nee"))</f>
        <v>Geen dieet</v>
      </c>
      <c r="Q582">
        <f>IF(Klantgegevens_B!P581&lt;&gt;"", Klantgegevens_B!P581, Klantgegevens_A!M581)</f>
        <v>0</v>
      </c>
      <c r="R582" t="str">
        <f>IF(Klantgegevens_B!A581&lt;&gt;"", "B", "A")</f>
        <v>B</v>
      </c>
    </row>
    <row r="583" spans="1:18" x14ac:dyDescent="0.3">
      <c r="A583" t="str">
        <f>IF(Klantgegevens_B!A582&lt;&gt;"", Klantgegevens_B!A582, MID(Klantgegevens_A!A582, FIND(",", Klantgegevens_A!A582)+2, LEN(Klantgegevens_A!A582)))</f>
        <v>Laurence</v>
      </c>
      <c r="B583" t="str">
        <f>IF(Klantgegevens_B!B582&lt;&gt;"", Klantgegevens_B!B582, LEFT(Klantgegevens_A!A582, FIND(",", Klantgegevens_A!A582)-1))</f>
        <v>Leysen</v>
      </c>
      <c r="C583" t="str">
        <f t="shared" ca="1" si="9"/>
        <v/>
      </c>
      <c r="D583" t="str">
        <f>IF(Klantgegevens_B!F582&lt;&gt;"", Klantgegevens_B!F582, Klantgegevens_A!D582 &amp; " " &amp; Klantgegevens_A!E582 &amp; ", " &amp; Klantgegevens_A!F582)</f>
        <v>Laurence,Jochen,Marleen,Angela,Bernadette</v>
      </c>
      <c r="E583">
        <f>IF(Klantgegevens_B!G582&lt;&gt;"", Klantgegevens_B!G582, TEXTJOIN(",", TRUE, REPT("Volwassene,", Klantgegevens_A!G582), REPT("Kind,", Klantgegevens_A!H582)))</f>
        <v>94.64</v>
      </c>
      <c r="F583">
        <f>IF(Klantgegevens_B!G582&lt;&gt;"", LEN(Klantgegevens_B!G582)-LEN(SUBSTITUTE(Klantgegevens_B!G582, ",", ""))+1, Klantgegevens_A!G582)</f>
        <v>1</v>
      </c>
      <c r="G583">
        <f>IF(Klantgegevens_B!G582&lt;&gt;"", 0, Klantgegevens_A!H582)</f>
        <v>0</v>
      </c>
      <c r="H583">
        <f>IF(Klantgegevens_B!H582&lt;&gt;"", Klantgegevens_B!H582, Klantgegevens_A!I582)</f>
        <v>1</v>
      </c>
      <c r="I583" t="str">
        <f>IF(Klantgegevens_B!I582&lt;&gt;"", Klantgegevens_B!I582, SWITCH(Klantgegevens_A!J582, "Zelden", 1, "Af en toe", 4, "Regelmatig", 8, "Vaak", 12))</f>
        <v>Bancontact</v>
      </c>
      <c r="J583" t="str">
        <f>IF(Klantgegevens_B!J582&lt;&gt;"", Klantgegevens_B!J582, Klantgegevens_A!K582)</f>
        <v>ja</v>
      </c>
      <c r="K583">
        <f>IF(Klantgegevens_B!K582&lt;&gt;"", AVERAGE(--(Klantgegevens_B!K582="ja"), --(Klantgegevens_B!L582="ja"), --(Klantgegevens_B!M582="ja"), --(Klantgegevens_B!N582="ja"), --(Klantgegevens_B!O582="ja"))*10, Klantgegevens_A!L582)</f>
        <v>6</v>
      </c>
      <c r="L583" t="str">
        <f>IF(Klantgegevens_B!K582&lt;&gt;"", Klantgegevens_B!K582, IF(Klantgegevens_A!L582&gt;=7, "ja", "nee"))</f>
        <v>nee</v>
      </c>
      <c r="M583" t="str">
        <f>IF(Klantgegevens_B!L582&lt;&gt;"", Klantgegevens_B!L582, IF(Klantgegevens_A!L582&gt;=7, "ja", "nee"))</f>
        <v>ja</v>
      </c>
      <c r="N583" t="str">
        <f>IF(Klantgegevens_B!M582&lt;&gt;"", Klantgegevens_B!M582, IF(Klantgegevens_A!L582&gt;=7, "ja", "nee"))</f>
        <v>ja</v>
      </c>
      <c r="O583" t="str">
        <f>IF(Klantgegevens_B!N582&lt;&gt;"", Klantgegevens_B!N582, IF(Klantgegevens_A!L582&gt;=7, "ja", "nee"))</f>
        <v>ja</v>
      </c>
      <c r="P583" t="str">
        <f>IF(Klantgegevens_B!O582&lt;&gt;"", Klantgegevens_B!O582, IF(Klantgegevens_A!L582&gt;=7, "ja", "nee"))</f>
        <v>Geen dieet</v>
      </c>
      <c r="Q583">
        <f>IF(Klantgegevens_B!P582&lt;&gt;"", Klantgegevens_B!P582, Klantgegevens_A!M582)</f>
        <v>0</v>
      </c>
      <c r="R583" t="str">
        <f>IF(Klantgegevens_B!A582&lt;&gt;"", "B", "A")</f>
        <v>B</v>
      </c>
    </row>
    <row r="584" spans="1:18" x14ac:dyDescent="0.3">
      <c r="A584" t="str">
        <f>IF(Klantgegevens_B!A583&lt;&gt;"", Klantgegevens_B!A583, MID(Klantgegevens_A!A583, FIND(",", Klantgegevens_A!A583)+2, LEN(Klantgegevens_A!A583)))</f>
        <v>Robert</v>
      </c>
      <c r="B584" t="str">
        <f>IF(Klantgegevens_B!B583&lt;&gt;"", Klantgegevens_B!B583, LEFT(Klantgegevens_A!A583, FIND(",", Klantgegevens_A!A583)-1))</f>
        <v>Hendrickx</v>
      </c>
      <c r="C584" t="str">
        <f t="shared" ca="1" si="9"/>
        <v/>
      </c>
      <c r="D584" t="str">
        <f>IF(Klantgegevens_B!F583&lt;&gt;"", Klantgegevens_B!F583, Klantgegevens_A!D583 &amp; " " &amp; Klantgegevens_A!E583 &amp; ", " &amp; Klantgegevens_A!F583)</f>
        <v>Robert,Wendy,Mathieu,Yasmine,Jente</v>
      </c>
      <c r="E584">
        <f>IF(Klantgegevens_B!G583&lt;&gt;"", Klantgegevens_B!G583, TEXTJOIN(",", TRUE, REPT("Volwassene,", Klantgegevens_A!G583), REPT("Kind,", Klantgegevens_A!H583)))</f>
        <v>168.26</v>
      </c>
      <c r="F584">
        <f>IF(Klantgegevens_B!G583&lt;&gt;"", LEN(Klantgegevens_B!G583)-LEN(SUBSTITUTE(Klantgegevens_B!G583, ",", ""))+1, Klantgegevens_A!G583)</f>
        <v>1</v>
      </c>
      <c r="G584">
        <f>IF(Klantgegevens_B!G583&lt;&gt;"", 0, Klantgegevens_A!H583)</f>
        <v>0</v>
      </c>
      <c r="H584">
        <f>IF(Klantgegevens_B!H583&lt;&gt;"", Klantgegevens_B!H583, Klantgegevens_A!I583)</f>
        <v>9</v>
      </c>
      <c r="I584" t="str">
        <f>IF(Klantgegevens_B!I583&lt;&gt;"", Klantgegevens_B!I583, SWITCH(Klantgegevens_A!J583, "Zelden", 1, "Af en toe", 4, "Regelmatig", 8, "Vaak", 12))</f>
        <v>Payconiq</v>
      </c>
      <c r="J584" t="str">
        <f>IF(Klantgegevens_B!J583&lt;&gt;"", Klantgegevens_B!J583, Klantgegevens_A!K583)</f>
        <v>ja</v>
      </c>
      <c r="K584">
        <f>IF(Klantgegevens_B!K583&lt;&gt;"", AVERAGE(--(Klantgegevens_B!K583="ja"), --(Klantgegevens_B!L583="ja"), --(Klantgegevens_B!M583="ja"), --(Klantgegevens_B!N583="ja"), --(Klantgegevens_B!O583="ja"))*10, Klantgegevens_A!L583)</f>
        <v>6</v>
      </c>
      <c r="L584" t="str">
        <f>IF(Klantgegevens_B!K583&lt;&gt;"", Klantgegevens_B!K583, IF(Klantgegevens_A!L583&gt;=7, "ja", "nee"))</f>
        <v>ja</v>
      </c>
      <c r="M584" t="str">
        <f>IF(Klantgegevens_B!L583&lt;&gt;"", Klantgegevens_B!L583, IF(Klantgegevens_A!L583&gt;=7, "ja", "nee"))</f>
        <v>nee</v>
      </c>
      <c r="N584" t="str">
        <f>IF(Klantgegevens_B!M583&lt;&gt;"", Klantgegevens_B!M583, IF(Klantgegevens_A!L583&gt;=7, "ja", "nee"))</f>
        <v>ja</v>
      </c>
      <c r="O584" t="str">
        <f>IF(Klantgegevens_B!N583&lt;&gt;"", Klantgegevens_B!N583, IF(Klantgegevens_A!L583&gt;=7, "ja", "nee"))</f>
        <v>ja</v>
      </c>
      <c r="P584" t="str">
        <f>IF(Klantgegevens_B!O583&lt;&gt;"", Klantgegevens_B!O583, IF(Klantgegevens_A!L583&gt;=7, "ja", "nee"))</f>
        <v>Vegetarisch</v>
      </c>
      <c r="Q584">
        <f>IF(Klantgegevens_B!P583&lt;&gt;"", Klantgegevens_B!P583, Klantgegevens_A!M583)</f>
        <v>0</v>
      </c>
      <c r="R584" t="str">
        <f>IF(Klantgegevens_B!A583&lt;&gt;"", "B", "A")</f>
        <v>B</v>
      </c>
    </row>
    <row r="585" spans="1:18" x14ac:dyDescent="0.3">
      <c r="A585" t="str">
        <f>IF(Klantgegevens_B!A584&lt;&gt;"", Klantgegevens_B!A584, MID(Klantgegevens_A!A584, FIND(",", Klantgegevens_A!A584)+2, LEN(Klantgegevens_A!A584)))</f>
        <v>Léni</v>
      </c>
      <c r="B585" t="str">
        <f>IF(Klantgegevens_B!B584&lt;&gt;"", Klantgegevens_B!B584, LEFT(Klantgegevens_A!A584, FIND(",", Klantgegevens_A!A584)-1))</f>
        <v>Verhelst</v>
      </c>
      <c r="C585" t="str">
        <f t="shared" ca="1" si="9"/>
        <v/>
      </c>
      <c r="D585" t="str">
        <f>IF(Klantgegevens_B!F584&lt;&gt;"", Klantgegevens_B!F584, Klantgegevens_A!D584 &amp; " " &amp; Klantgegevens_A!E584 &amp; ", " &amp; Klantgegevens_A!F584)</f>
        <v>Léni,Jana,Patricia</v>
      </c>
      <c r="E585">
        <f>IF(Klantgegevens_B!G584&lt;&gt;"", Klantgegevens_B!G584, TEXTJOIN(",", TRUE, REPT("Volwassene,", Klantgegevens_A!G584), REPT("Kind,", Klantgegevens_A!H584)))</f>
        <v>58.9</v>
      </c>
      <c r="F585">
        <f>IF(Klantgegevens_B!G584&lt;&gt;"", LEN(Klantgegevens_B!G584)-LEN(SUBSTITUTE(Klantgegevens_B!G584, ",", ""))+1, Klantgegevens_A!G584)</f>
        <v>1</v>
      </c>
      <c r="G585">
        <f>IF(Klantgegevens_B!G584&lt;&gt;"", 0, Klantgegevens_A!H584)</f>
        <v>0</v>
      </c>
      <c r="H585">
        <f>IF(Klantgegevens_B!H584&lt;&gt;"", Klantgegevens_B!H584, Klantgegevens_A!I584)</f>
        <v>15</v>
      </c>
      <c r="I585" t="str">
        <f>IF(Klantgegevens_B!I584&lt;&gt;"", Klantgegevens_B!I584, SWITCH(Klantgegevens_A!J584, "Zelden", 1, "Af en toe", 4, "Regelmatig", 8, "Vaak", 12))</f>
        <v>Payconiq</v>
      </c>
      <c r="J585" t="str">
        <f>IF(Klantgegevens_B!J584&lt;&gt;"", Klantgegevens_B!J584, Klantgegevens_A!K584)</f>
        <v>ja</v>
      </c>
      <c r="K585">
        <f>IF(Klantgegevens_B!K584&lt;&gt;"", AVERAGE(--(Klantgegevens_B!K584="ja"), --(Klantgegevens_B!L584="ja"), --(Klantgegevens_B!M584="ja"), --(Klantgegevens_B!N584="ja"), --(Klantgegevens_B!O584="ja"))*10, Klantgegevens_A!L584)</f>
        <v>6</v>
      </c>
      <c r="L585" t="str">
        <f>IF(Klantgegevens_B!K584&lt;&gt;"", Klantgegevens_B!K584, IF(Klantgegevens_A!L584&gt;=7, "ja", "nee"))</f>
        <v>ja</v>
      </c>
      <c r="M585" t="str">
        <f>IF(Klantgegevens_B!L584&lt;&gt;"", Klantgegevens_B!L584, IF(Klantgegevens_A!L584&gt;=7, "ja", "nee"))</f>
        <v>nee</v>
      </c>
      <c r="N585" t="str">
        <f>IF(Klantgegevens_B!M584&lt;&gt;"", Klantgegevens_B!M584, IF(Klantgegevens_A!L584&gt;=7, "ja", "nee"))</f>
        <v>ja</v>
      </c>
      <c r="O585" t="str">
        <f>IF(Klantgegevens_B!N584&lt;&gt;"", Klantgegevens_B!N584, IF(Klantgegevens_A!L584&gt;=7, "ja", "nee"))</f>
        <v>ja</v>
      </c>
      <c r="P585" t="str">
        <f>IF(Klantgegevens_B!O584&lt;&gt;"", Klantgegevens_B!O584, IF(Klantgegevens_A!L584&gt;=7, "ja", "nee"))</f>
        <v>Geen dieet</v>
      </c>
      <c r="Q585">
        <f>IF(Klantgegevens_B!P584&lt;&gt;"", Klantgegevens_B!P584, Klantgegevens_A!M584)</f>
        <v>0</v>
      </c>
      <c r="R585" t="str">
        <f>IF(Klantgegevens_B!A584&lt;&gt;"", "B", "A")</f>
        <v>B</v>
      </c>
    </row>
    <row r="586" spans="1:18" x14ac:dyDescent="0.3">
      <c r="A586" t="str">
        <f>IF(Klantgegevens_B!A585&lt;&gt;"", Klantgegevens_B!A585, MID(Klantgegevens_A!A585, FIND(",", Klantgegevens_A!A585)+2, LEN(Klantgegevens_A!A585)))</f>
        <v>Leonor</v>
      </c>
      <c r="B586" t="str">
        <f>IF(Klantgegevens_B!B585&lt;&gt;"", Klantgegevens_B!B585, LEFT(Klantgegevens_A!A585, FIND(",", Klantgegevens_A!A585)-1))</f>
        <v>Janssens</v>
      </c>
      <c r="C586" t="str">
        <f t="shared" ca="1" si="9"/>
        <v/>
      </c>
      <c r="D586" t="str">
        <f>IF(Klantgegevens_B!F585&lt;&gt;"", Klantgegevens_B!F585, Klantgegevens_A!D585 &amp; " " &amp; Klantgegevens_A!E585 &amp; ", " &amp; Klantgegevens_A!F585)</f>
        <v>Leonor,Manon,Karin,Marco,Nohaila,Valérie</v>
      </c>
      <c r="E586">
        <f>IF(Klantgegevens_B!G585&lt;&gt;"", Klantgegevens_B!G585, TEXTJOIN(",", TRUE, REPT("Volwassene,", Klantgegevens_A!G585), REPT("Kind,", Klantgegevens_A!H585)))</f>
        <v>203.2</v>
      </c>
      <c r="F586">
        <f>IF(Klantgegevens_B!G585&lt;&gt;"", LEN(Klantgegevens_B!G585)-LEN(SUBSTITUTE(Klantgegevens_B!G585, ",", ""))+1, Klantgegevens_A!G585)</f>
        <v>1</v>
      </c>
      <c r="G586">
        <f>IF(Klantgegevens_B!G585&lt;&gt;"", 0, Klantgegevens_A!H585)</f>
        <v>0</v>
      </c>
      <c r="H586">
        <f>IF(Klantgegevens_B!H585&lt;&gt;"", Klantgegevens_B!H585, Klantgegevens_A!I585)</f>
        <v>14</v>
      </c>
      <c r="I586" t="str">
        <f>IF(Klantgegevens_B!I585&lt;&gt;"", Klantgegevens_B!I585, SWITCH(Klantgegevens_A!J585, "Zelden", 1, "Af en toe", 4, "Regelmatig", 8, "Vaak", 12))</f>
        <v>Payconiq</v>
      </c>
      <c r="J586" t="str">
        <f>IF(Klantgegevens_B!J585&lt;&gt;"", Klantgegevens_B!J585, Klantgegevens_A!K585)</f>
        <v>ja</v>
      </c>
      <c r="K586">
        <f>IF(Klantgegevens_B!K585&lt;&gt;"", AVERAGE(--(Klantgegevens_B!K585="ja"), --(Klantgegevens_B!L585="ja"), --(Klantgegevens_B!M585="ja"), --(Klantgegevens_B!N585="ja"), --(Klantgegevens_B!O585="ja"))*10, Klantgegevens_A!L585)</f>
        <v>6</v>
      </c>
      <c r="L586" t="str">
        <f>IF(Klantgegevens_B!K585&lt;&gt;"", Klantgegevens_B!K585, IF(Klantgegevens_A!L585&gt;=7, "ja", "nee"))</f>
        <v>nee</v>
      </c>
      <c r="M586" t="str">
        <f>IF(Klantgegevens_B!L585&lt;&gt;"", Klantgegevens_B!L585, IF(Klantgegevens_A!L585&gt;=7, "ja", "nee"))</f>
        <v>ja</v>
      </c>
      <c r="N586" t="str">
        <f>IF(Klantgegevens_B!M585&lt;&gt;"", Klantgegevens_B!M585, IF(Klantgegevens_A!L585&gt;=7, "ja", "nee"))</f>
        <v>ja</v>
      </c>
      <c r="O586" t="str">
        <f>IF(Klantgegevens_B!N585&lt;&gt;"", Klantgegevens_B!N585, IF(Klantgegevens_A!L585&gt;=7, "ja", "nee"))</f>
        <v>ja</v>
      </c>
      <c r="P586" t="str">
        <f>IF(Klantgegevens_B!O585&lt;&gt;"", Klantgegevens_B!O585, IF(Klantgegevens_A!L585&gt;=7, "ja", "nee"))</f>
        <v>Geen dieet</v>
      </c>
      <c r="Q586">
        <f>IF(Klantgegevens_B!P585&lt;&gt;"", Klantgegevens_B!P585, Klantgegevens_A!M585)</f>
        <v>0</v>
      </c>
      <c r="R586" t="str">
        <f>IF(Klantgegevens_B!A585&lt;&gt;"", "B", "A")</f>
        <v>B</v>
      </c>
    </row>
    <row r="587" spans="1:18" x14ac:dyDescent="0.3">
      <c r="A587" t="str">
        <f>IF(Klantgegevens_B!A586&lt;&gt;"", Klantgegevens_B!A586, MID(Klantgegevens_A!A586, FIND(",", Klantgegevens_A!A586)+2, LEN(Klantgegevens_A!A586)))</f>
        <v>Aura</v>
      </c>
      <c r="B587" t="str">
        <f>IF(Klantgegevens_B!B586&lt;&gt;"", Klantgegevens_B!B586, LEFT(Klantgegevens_A!A586, FIND(",", Klantgegevens_A!A586)-1))</f>
        <v>Somers</v>
      </c>
      <c r="C587" t="str">
        <f t="shared" ca="1" si="9"/>
        <v/>
      </c>
      <c r="D587" t="str">
        <f>IF(Klantgegevens_B!F586&lt;&gt;"", Klantgegevens_B!F586, Klantgegevens_A!D586 &amp; " " &amp; Klantgegevens_A!E586 &amp; ", " &amp; Klantgegevens_A!F586)</f>
        <v>Aura,Virginie,Mohamed</v>
      </c>
      <c r="E587">
        <f>IF(Klantgegevens_B!G586&lt;&gt;"", Klantgegevens_B!G586, TEXTJOIN(",", TRUE, REPT("Volwassene,", Klantgegevens_A!G586), REPT("Kind,", Klantgegevens_A!H586)))</f>
        <v>120.46</v>
      </c>
      <c r="F587">
        <f>IF(Klantgegevens_B!G586&lt;&gt;"", LEN(Klantgegevens_B!G586)-LEN(SUBSTITUTE(Klantgegevens_B!G586, ",", ""))+1, Klantgegevens_A!G586)</f>
        <v>1</v>
      </c>
      <c r="G587">
        <f>IF(Klantgegevens_B!G586&lt;&gt;"", 0, Klantgegevens_A!H586)</f>
        <v>0</v>
      </c>
      <c r="H587">
        <f>IF(Klantgegevens_B!H586&lt;&gt;"", Klantgegevens_B!H586, Klantgegevens_A!I586)</f>
        <v>17</v>
      </c>
      <c r="I587" t="str">
        <f>IF(Klantgegevens_B!I586&lt;&gt;"", Klantgegevens_B!I586, SWITCH(Klantgegevens_A!J586, "Zelden", 1, "Af en toe", 4, "Regelmatig", 8, "Vaak", 12))</f>
        <v>Bancontact</v>
      </c>
      <c r="J587" t="str">
        <f>IF(Klantgegevens_B!J586&lt;&gt;"", Klantgegevens_B!J586, Klantgegevens_A!K586)</f>
        <v>ja</v>
      </c>
      <c r="K587">
        <f>IF(Klantgegevens_B!K586&lt;&gt;"", AVERAGE(--(Klantgegevens_B!K586="ja"), --(Klantgegevens_B!L586="ja"), --(Klantgegevens_B!M586="ja"), --(Klantgegevens_B!N586="ja"), --(Klantgegevens_B!O586="ja"))*10, Klantgegevens_A!L586)</f>
        <v>6</v>
      </c>
      <c r="L587" t="str">
        <f>IF(Klantgegevens_B!K586&lt;&gt;"", Klantgegevens_B!K586, IF(Klantgegevens_A!L586&gt;=7, "ja", "nee"))</f>
        <v>ja</v>
      </c>
      <c r="M587" t="str">
        <f>IF(Klantgegevens_B!L586&lt;&gt;"", Klantgegevens_B!L586, IF(Klantgegevens_A!L586&gt;=7, "ja", "nee"))</f>
        <v>nee</v>
      </c>
      <c r="N587" t="str">
        <f>IF(Klantgegevens_B!M586&lt;&gt;"", Klantgegevens_B!M586, IF(Klantgegevens_A!L586&gt;=7, "ja", "nee"))</f>
        <v>ja</v>
      </c>
      <c r="O587" t="str">
        <f>IF(Klantgegevens_B!N586&lt;&gt;"", Klantgegevens_B!N586, IF(Klantgegevens_A!L586&gt;=7, "ja", "nee"))</f>
        <v>ja</v>
      </c>
      <c r="P587" t="str">
        <f>IF(Klantgegevens_B!O586&lt;&gt;"", Klantgegevens_B!O586, IF(Klantgegevens_A!L586&gt;=7, "ja", "nee"))</f>
        <v>Geen dieet</v>
      </c>
      <c r="Q587">
        <f>IF(Klantgegevens_B!P586&lt;&gt;"", Klantgegevens_B!P586, Klantgegevens_A!M586)</f>
        <v>0</v>
      </c>
      <c r="R587" t="str">
        <f>IF(Klantgegevens_B!A586&lt;&gt;"", "B", "A")</f>
        <v>B</v>
      </c>
    </row>
    <row r="588" spans="1:18" x14ac:dyDescent="0.3">
      <c r="A588" t="str">
        <f>IF(Klantgegevens_B!A587&lt;&gt;"", Klantgegevens_B!A587, MID(Klantgegevens_A!A587, FIND(",", Klantgegevens_A!A587)+2, LEN(Klantgegevens_A!A587)))</f>
        <v>Jesse</v>
      </c>
      <c r="B588" t="str">
        <f>IF(Klantgegevens_B!B587&lt;&gt;"", Klantgegevens_B!B587, LEFT(Klantgegevens_A!A587, FIND(",", Klantgegevens_A!A587)-1))</f>
        <v>De wolf</v>
      </c>
      <c r="C588" t="str">
        <f t="shared" ca="1" si="9"/>
        <v/>
      </c>
      <c r="D588" t="str">
        <f>IF(Klantgegevens_B!F587&lt;&gt;"", Klantgegevens_B!F587, Klantgegevens_A!D587 &amp; " " &amp; Klantgegevens_A!E587 &amp; ", " &amp; Klantgegevens_A!F587)</f>
        <v>Jesse,Daniel</v>
      </c>
      <c r="E588">
        <f>IF(Klantgegevens_B!G587&lt;&gt;"", Klantgegevens_B!G587, TEXTJOIN(",", TRUE, REPT("Volwassene,", Klantgegevens_A!G587), REPT("Kind,", Klantgegevens_A!H587)))</f>
        <v>58.83</v>
      </c>
      <c r="F588">
        <f>IF(Klantgegevens_B!G587&lt;&gt;"", LEN(Klantgegevens_B!G587)-LEN(SUBSTITUTE(Klantgegevens_B!G587, ",", ""))+1, Klantgegevens_A!G587)</f>
        <v>1</v>
      </c>
      <c r="G588">
        <f>IF(Klantgegevens_B!G587&lt;&gt;"", 0, Klantgegevens_A!H587)</f>
        <v>0</v>
      </c>
      <c r="H588">
        <f>IF(Klantgegevens_B!H587&lt;&gt;"", Klantgegevens_B!H587, Klantgegevens_A!I587)</f>
        <v>1</v>
      </c>
      <c r="I588" t="str">
        <f>IF(Klantgegevens_B!I587&lt;&gt;"", Klantgegevens_B!I587, SWITCH(Klantgegevens_A!J587, "Zelden", 1, "Af en toe", 4, "Regelmatig", 8, "Vaak", 12))</f>
        <v>Bancontact</v>
      </c>
      <c r="J588" t="str">
        <f>IF(Klantgegevens_B!J587&lt;&gt;"", Klantgegevens_B!J587, Klantgegevens_A!K587)</f>
        <v>nee</v>
      </c>
      <c r="K588">
        <f>IF(Klantgegevens_B!K587&lt;&gt;"", AVERAGE(--(Klantgegevens_B!K587="ja"), --(Klantgegevens_B!L587="ja"), --(Klantgegevens_B!M587="ja"), --(Klantgegevens_B!N587="ja"), --(Klantgegevens_B!O587="ja"))*10, Klantgegevens_A!L587)</f>
        <v>6</v>
      </c>
      <c r="L588" t="str">
        <f>IF(Klantgegevens_B!K587&lt;&gt;"", Klantgegevens_B!K587, IF(Klantgegevens_A!L587&gt;=7, "ja", "nee"))</f>
        <v>ja</v>
      </c>
      <c r="M588" t="str">
        <f>IF(Klantgegevens_B!L587&lt;&gt;"", Klantgegevens_B!L587, IF(Klantgegevens_A!L587&gt;=7, "ja", "nee"))</f>
        <v>ja</v>
      </c>
      <c r="N588" t="str">
        <f>IF(Klantgegevens_B!M587&lt;&gt;"", Klantgegevens_B!M587, IF(Klantgegevens_A!L587&gt;=7, "ja", "nee"))</f>
        <v>nee</v>
      </c>
      <c r="O588" t="str">
        <f>IF(Klantgegevens_B!N587&lt;&gt;"", Klantgegevens_B!N587, IF(Klantgegevens_A!L587&gt;=7, "ja", "nee"))</f>
        <v>ja</v>
      </c>
      <c r="P588" t="str">
        <f>IF(Klantgegevens_B!O587&lt;&gt;"", Klantgegevens_B!O587, IF(Klantgegevens_A!L587&gt;=7, "ja", "nee"))</f>
        <v>Geen dieet</v>
      </c>
      <c r="Q588">
        <f>IF(Klantgegevens_B!P587&lt;&gt;"", Klantgegevens_B!P587, Klantgegevens_A!M587)</f>
        <v>0</v>
      </c>
      <c r="R588" t="str">
        <f>IF(Klantgegevens_B!A587&lt;&gt;"", "B", "A")</f>
        <v>B</v>
      </c>
    </row>
    <row r="589" spans="1:18" x14ac:dyDescent="0.3">
      <c r="A589" t="str">
        <f>IF(Klantgegevens_B!A588&lt;&gt;"", Klantgegevens_B!A588, MID(Klantgegevens_A!A588, FIND(",", Klantgegevens_A!A588)+2, LEN(Klantgegevens_A!A588)))</f>
        <v>Viviane</v>
      </c>
      <c r="B589" t="str">
        <f>IF(Klantgegevens_B!B588&lt;&gt;"", Klantgegevens_B!B588, LEFT(Klantgegevens_A!A588, FIND(",", Klantgegevens_A!A588)-1))</f>
        <v>Verelst</v>
      </c>
      <c r="C589" t="str">
        <f t="shared" ca="1" si="9"/>
        <v/>
      </c>
      <c r="D589" t="str">
        <f>IF(Klantgegevens_B!F588&lt;&gt;"", Klantgegevens_B!F588, Klantgegevens_A!D588 &amp; " " &amp; Klantgegevens_A!E588 &amp; ", " &amp; Klantgegevens_A!F588)</f>
        <v>Viviane</v>
      </c>
      <c r="E589">
        <f>IF(Klantgegevens_B!G588&lt;&gt;"", Klantgegevens_B!G588, TEXTJOIN(",", TRUE, REPT("Volwassene,", Klantgegevens_A!G588), REPT("Kind,", Klantgegevens_A!H588)))</f>
        <v>74.430000000000007</v>
      </c>
      <c r="F589">
        <f>IF(Klantgegevens_B!G588&lt;&gt;"", LEN(Klantgegevens_B!G588)-LEN(SUBSTITUTE(Klantgegevens_B!G588, ",", ""))+1, Klantgegevens_A!G588)</f>
        <v>1</v>
      </c>
      <c r="G589">
        <f>IF(Klantgegevens_B!G588&lt;&gt;"", 0, Klantgegevens_A!H588)</f>
        <v>0</v>
      </c>
      <c r="H589">
        <f>IF(Klantgegevens_B!H588&lt;&gt;"", Klantgegevens_B!H588, Klantgegevens_A!I588)</f>
        <v>6</v>
      </c>
      <c r="I589" t="str">
        <f>IF(Klantgegevens_B!I588&lt;&gt;"", Klantgegevens_B!I588, SWITCH(Klantgegevens_A!J588, "Zelden", 1, "Af en toe", 4, "Regelmatig", 8, "Vaak", 12))</f>
        <v>Payconiq</v>
      </c>
      <c r="J589" t="str">
        <f>IF(Klantgegevens_B!J588&lt;&gt;"", Klantgegevens_B!J588, Klantgegevens_A!K588)</f>
        <v>ja</v>
      </c>
      <c r="K589">
        <f>IF(Klantgegevens_B!K588&lt;&gt;"", AVERAGE(--(Klantgegevens_B!K588="ja"), --(Klantgegevens_B!L588="ja"), --(Klantgegevens_B!M588="ja"), --(Klantgegevens_B!N588="ja"), --(Klantgegevens_B!O588="ja"))*10, Klantgegevens_A!L588)</f>
        <v>6</v>
      </c>
      <c r="L589" t="str">
        <f>IF(Klantgegevens_B!K588&lt;&gt;"", Klantgegevens_B!K588, IF(Klantgegevens_A!L588&gt;=7, "ja", "nee"))</f>
        <v>ja</v>
      </c>
      <c r="M589" t="str">
        <f>IF(Klantgegevens_B!L588&lt;&gt;"", Klantgegevens_B!L588, IF(Klantgegevens_A!L588&gt;=7, "ja", "nee"))</f>
        <v>ja</v>
      </c>
      <c r="N589" t="str">
        <f>IF(Klantgegevens_B!M588&lt;&gt;"", Klantgegevens_B!M588, IF(Klantgegevens_A!L588&gt;=7, "ja", "nee"))</f>
        <v>ja</v>
      </c>
      <c r="O589" t="str">
        <f>IF(Klantgegevens_B!N588&lt;&gt;"", Klantgegevens_B!N588, IF(Klantgegevens_A!L588&gt;=7, "ja", "nee"))</f>
        <v>nee</v>
      </c>
      <c r="P589" t="str">
        <f>IF(Klantgegevens_B!O588&lt;&gt;"", Klantgegevens_B!O588, IF(Klantgegevens_A!L588&gt;=7, "ja", "nee"))</f>
        <v>Vegetarisch</v>
      </c>
      <c r="Q589">
        <f>IF(Klantgegevens_B!P588&lt;&gt;"", Klantgegevens_B!P588, Klantgegevens_A!M588)</f>
        <v>0</v>
      </c>
      <c r="R589" t="str">
        <f>IF(Klantgegevens_B!A588&lt;&gt;"", "B", "A")</f>
        <v>B</v>
      </c>
    </row>
    <row r="590" spans="1:18" x14ac:dyDescent="0.3">
      <c r="A590" t="str">
        <f>IF(Klantgegevens_B!A589&lt;&gt;"", Klantgegevens_B!A589, MID(Klantgegevens_A!A589, FIND(",", Klantgegevens_A!A589)+2, LEN(Klantgegevens_A!A589)))</f>
        <v>Dragos</v>
      </c>
      <c r="B590" t="str">
        <f>IF(Klantgegevens_B!B589&lt;&gt;"", Klantgegevens_B!B589, LEFT(Klantgegevens_A!A589, FIND(",", Klantgegevens_A!A589)-1))</f>
        <v>Van den broeck</v>
      </c>
      <c r="C590" t="str">
        <f t="shared" ca="1" si="9"/>
        <v/>
      </c>
      <c r="D590" t="str">
        <f>IF(Klantgegevens_B!F589&lt;&gt;"", Klantgegevens_B!F589, Klantgegevens_A!D589 &amp; " " &amp; Klantgegevens_A!E589 &amp; ", " &amp; Klantgegevens_A!F589)</f>
        <v>Dragos,Elisa,Ramzi</v>
      </c>
      <c r="E590">
        <f>IF(Klantgegevens_B!G589&lt;&gt;"", Klantgegevens_B!G589, TEXTJOIN(",", TRUE, REPT("Volwassene,", Klantgegevens_A!G589), REPT("Kind,", Klantgegevens_A!H589)))</f>
        <v>153.11000000000001</v>
      </c>
      <c r="F590">
        <f>IF(Klantgegevens_B!G589&lt;&gt;"", LEN(Klantgegevens_B!G589)-LEN(SUBSTITUTE(Klantgegevens_B!G589, ",", ""))+1, Klantgegevens_A!G589)</f>
        <v>1</v>
      </c>
      <c r="G590">
        <f>IF(Klantgegevens_B!G589&lt;&gt;"", 0, Klantgegevens_A!H589)</f>
        <v>0</v>
      </c>
      <c r="H590">
        <f>IF(Klantgegevens_B!H589&lt;&gt;"", Klantgegevens_B!H589, Klantgegevens_A!I589)</f>
        <v>13</v>
      </c>
      <c r="I590" t="str">
        <f>IF(Klantgegevens_B!I589&lt;&gt;"", Klantgegevens_B!I589, SWITCH(Klantgegevens_A!J589, "Zelden", 1, "Af en toe", 4, "Regelmatig", 8, "Vaak", 12))</f>
        <v>Payconiq</v>
      </c>
      <c r="J590" t="str">
        <f>IF(Klantgegevens_B!J589&lt;&gt;"", Klantgegevens_B!J589, Klantgegevens_A!K589)</f>
        <v>nee</v>
      </c>
      <c r="K590">
        <f>IF(Klantgegevens_B!K589&lt;&gt;"", AVERAGE(--(Klantgegevens_B!K589="ja"), --(Klantgegevens_B!L589="ja"), --(Klantgegevens_B!M589="ja"), --(Klantgegevens_B!N589="ja"), --(Klantgegevens_B!O589="ja"))*10, Klantgegevens_A!L589)</f>
        <v>2</v>
      </c>
      <c r="L590" t="str">
        <f>IF(Klantgegevens_B!K589&lt;&gt;"", Klantgegevens_B!K589, IF(Klantgegevens_A!L589&gt;=7, "ja", "nee"))</f>
        <v>nee</v>
      </c>
      <c r="M590" t="str">
        <f>IF(Klantgegevens_B!L589&lt;&gt;"", Klantgegevens_B!L589, IF(Klantgegevens_A!L589&gt;=7, "ja", "nee"))</f>
        <v>nee</v>
      </c>
      <c r="N590" t="str">
        <f>IF(Klantgegevens_B!M589&lt;&gt;"", Klantgegevens_B!M589, IF(Klantgegevens_A!L589&gt;=7, "ja", "nee"))</f>
        <v>nee</v>
      </c>
      <c r="O590" t="str">
        <f>IF(Klantgegevens_B!N589&lt;&gt;"", Klantgegevens_B!N589, IF(Klantgegevens_A!L589&gt;=7, "ja", "nee"))</f>
        <v>ja</v>
      </c>
      <c r="P590" t="str">
        <f>IF(Klantgegevens_B!O589&lt;&gt;"", Klantgegevens_B!O589, IF(Klantgegevens_A!L589&gt;=7, "ja", "nee"))</f>
        <v>Geen dieet</v>
      </c>
      <c r="Q590">
        <f>IF(Klantgegevens_B!P589&lt;&gt;"", Klantgegevens_B!P589, Klantgegevens_A!M589)</f>
        <v>0</v>
      </c>
      <c r="R590" t="str">
        <f>IF(Klantgegevens_B!A589&lt;&gt;"", "B", "A")</f>
        <v>B</v>
      </c>
    </row>
    <row r="591" spans="1:18" x14ac:dyDescent="0.3">
      <c r="A591" t="str">
        <f>IF(Klantgegevens_B!A590&lt;&gt;"", Klantgegevens_B!A590, MID(Klantgegevens_A!A590, FIND(",", Klantgegevens_A!A590)+2, LEN(Klantgegevens_A!A590)))</f>
        <v>Nourhan</v>
      </c>
      <c r="B591" t="str">
        <f>IF(Klantgegevens_B!B590&lt;&gt;"", Klantgegevens_B!B590, LEFT(Klantgegevens_A!A590, FIND(",", Klantgegevens_A!A590)-1))</f>
        <v>Lemaire</v>
      </c>
      <c r="C591" t="str">
        <f t="shared" ca="1" si="9"/>
        <v/>
      </c>
      <c r="D591" t="str">
        <f>IF(Klantgegevens_B!F590&lt;&gt;"", Klantgegevens_B!F590, Klantgegevens_A!D590 &amp; " " &amp; Klantgegevens_A!E590 &amp; ", " &amp; Klantgegevens_A!F590)</f>
        <v>Nourhan</v>
      </c>
      <c r="E591">
        <f>IF(Klantgegevens_B!G590&lt;&gt;"", Klantgegevens_B!G590, TEXTJOIN(",", TRUE, REPT("Volwassene,", Klantgegevens_A!G590), REPT("Kind,", Klantgegevens_A!H590)))</f>
        <v>80.81</v>
      </c>
      <c r="F591">
        <f>IF(Klantgegevens_B!G590&lt;&gt;"", LEN(Klantgegevens_B!G590)-LEN(SUBSTITUTE(Klantgegevens_B!G590, ",", ""))+1, Klantgegevens_A!G590)</f>
        <v>1</v>
      </c>
      <c r="G591">
        <f>IF(Klantgegevens_B!G590&lt;&gt;"", 0, Klantgegevens_A!H590)</f>
        <v>0</v>
      </c>
      <c r="H591">
        <f>IF(Klantgegevens_B!H590&lt;&gt;"", Klantgegevens_B!H590, Klantgegevens_A!I590)</f>
        <v>3</v>
      </c>
      <c r="I591" t="str">
        <f>IF(Klantgegevens_B!I590&lt;&gt;"", Klantgegevens_B!I590, SWITCH(Klantgegevens_A!J590, "Zelden", 1, "Af en toe", 4, "Regelmatig", 8, "Vaak", 12))</f>
        <v>Bancontact</v>
      </c>
      <c r="J591" t="str">
        <f>IF(Klantgegevens_B!J590&lt;&gt;"", Klantgegevens_B!J590, Klantgegevens_A!K590)</f>
        <v>nee</v>
      </c>
      <c r="K591">
        <f>IF(Klantgegevens_B!K590&lt;&gt;"", AVERAGE(--(Klantgegevens_B!K590="ja"), --(Klantgegevens_B!L590="ja"), --(Klantgegevens_B!M590="ja"), --(Klantgegevens_B!N590="ja"), --(Klantgegevens_B!O590="ja"))*10, Klantgegevens_A!L590)</f>
        <v>6</v>
      </c>
      <c r="L591" t="str">
        <f>IF(Klantgegevens_B!K590&lt;&gt;"", Klantgegevens_B!K590, IF(Klantgegevens_A!L590&gt;=7, "ja", "nee"))</f>
        <v>nee</v>
      </c>
      <c r="M591" t="str">
        <f>IF(Klantgegevens_B!L590&lt;&gt;"", Klantgegevens_B!L590, IF(Klantgegevens_A!L590&gt;=7, "ja", "nee"))</f>
        <v>ja</v>
      </c>
      <c r="N591" t="str">
        <f>IF(Klantgegevens_B!M590&lt;&gt;"", Klantgegevens_B!M590, IF(Klantgegevens_A!L590&gt;=7, "ja", "nee"))</f>
        <v>ja</v>
      </c>
      <c r="O591" t="str">
        <f>IF(Klantgegevens_B!N590&lt;&gt;"", Klantgegevens_B!N590, IF(Klantgegevens_A!L590&gt;=7, "ja", "nee"))</f>
        <v>ja</v>
      </c>
      <c r="P591" t="str">
        <f>IF(Klantgegevens_B!O590&lt;&gt;"", Klantgegevens_B!O590, IF(Klantgegevens_A!L590&gt;=7, "ja", "nee"))</f>
        <v>Geen dieet</v>
      </c>
      <c r="Q591">
        <f>IF(Klantgegevens_B!P590&lt;&gt;"", Klantgegevens_B!P590, Klantgegevens_A!M590)</f>
        <v>0</v>
      </c>
      <c r="R591" t="str">
        <f>IF(Klantgegevens_B!A590&lt;&gt;"", "B", "A")</f>
        <v>B</v>
      </c>
    </row>
    <row r="592" spans="1:18" x14ac:dyDescent="0.3">
      <c r="A592" t="str">
        <f>IF(Klantgegevens_B!A591&lt;&gt;"", Klantgegevens_B!A591, MID(Klantgegevens_A!A591, FIND(",", Klantgegevens_A!A591)+2, LEN(Klantgegevens_A!A591)))</f>
        <v>Rudy</v>
      </c>
      <c r="B592" t="str">
        <f>IF(Klantgegevens_B!B591&lt;&gt;"", Klantgegevens_B!B591, LEFT(Klantgegevens_A!A591, FIND(",", Klantgegevens_A!A591)-1))</f>
        <v>Collin</v>
      </c>
      <c r="C592" t="str">
        <f t="shared" ca="1" si="9"/>
        <v/>
      </c>
      <c r="D592" t="str">
        <f>IF(Klantgegevens_B!F591&lt;&gt;"", Klantgegevens_B!F591, Klantgegevens_A!D591 &amp; " " &amp; Klantgegevens_A!E591 &amp; ", " &amp; Klantgegevens_A!F591)</f>
        <v>Rudy,Ben</v>
      </c>
      <c r="E592">
        <f>IF(Klantgegevens_B!G591&lt;&gt;"", Klantgegevens_B!G591, TEXTJOIN(",", TRUE, REPT("Volwassene,", Klantgegevens_A!G591), REPT("Kind,", Klantgegevens_A!H591)))</f>
        <v>26.55</v>
      </c>
      <c r="F592">
        <f>IF(Klantgegevens_B!G591&lt;&gt;"", LEN(Klantgegevens_B!G591)-LEN(SUBSTITUTE(Klantgegevens_B!G591, ",", ""))+1, Klantgegevens_A!G591)</f>
        <v>1</v>
      </c>
      <c r="G592">
        <f>IF(Klantgegevens_B!G591&lt;&gt;"", 0, Klantgegevens_A!H591)</f>
        <v>0</v>
      </c>
      <c r="H592">
        <f>IF(Klantgegevens_B!H591&lt;&gt;"", Klantgegevens_B!H591, Klantgegevens_A!I591)</f>
        <v>19</v>
      </c>
      <c r="I592" t="str">
        <f>IF(Klantgegevens_B!I591&lt;&gt;"", Klantgegevens_B!I591, SWITCH(Klantgegevens_A!J591, "Zelden", 1, "Af en toe", 4, "Regelmatig", 8, "Vaak", 12))</f>
        <v>Creditcard</v>
      </c>
      <c r="J592" t="str">
        <f>IF(Klantgegevens_B!J591&lt;&gt;"", Klantgegevens_B!J591, Klantgegevens_A!K591)</f>
        <v>ja</v>
      </c>
      <c r="K592">
        <f>IF(Klantgegevens_B!K591&lt;&gt;"", AVERAGE(--(Klantgegevens_B!K591="ja"), --(Klantgegevens_B!L591="ja"), --(Klantgegevens_B!M591="ja"), --(Klantgegevens_B!N591="ja"), --(Klantgegevens_B!O591="ja"))*10, Klantgegevens_A!L591)</f>
        <v>8</v>
      </c>
      <c r="L592" t="str">
        <f>IF(Klantgegevens_B!K591&lt;&gt;"", Klantgegevens_B!K591, IF(Klantgegevens_A!L591&gt;=7, "ja", "nee"))</f>
        <v>ja</v>
      </c>
      <c r="M592" t="str">
        <f>IF(Klantgegevens_B!L591&lt;&gt;"", Klantgegevens_B!L591, IF(Klantgegevens_A!L591&gt;=7, "ja", "nee"))</f>
        <v>ja</v>
      </c>
      <c r="N592" t="str">
        <f>IF(Klantgegevens_B!M591&lt;&gt;"", Klantgegevens_B!M591, IF(Klantgegevens_A!L591&gt;=7, "ja", "nee"))</f>
        <v>ja</v>
      </c>
      <c r="O592" t="str">
        <f>IF(Klantgegevens_B!N591&lt;&gt;"", Klantgegevens_B!N591, IF(Klantgegevens_A!L591&gt;=7, "ja", "nee"))</f>
        <v>ja</v>
      </c>
      <c r="P592" t="str">
        <f>IF(Klantgegevens_B!O591&lt;&gt;"", Klantgegevens_B!O591, IF(Klantgegevens_A!L591&gt;=7, "ja", "nee"))</f>
        <v>Vegetarisch</v>
      </c>
      <c r="Q592">
        <f>IF(Klantgegevens_B!P591&lt;&gt;"", Klantgegevens_B!P591, Klantgegevens_A!M591)</f>
        <v>0</v>
      </c>
      <c r="R592" t="str">
        <f>IF(Klantgegevens_B!A591&lt;&gt;"", "B", "A")</f>
        <v>B</v>
      </c>
    </row>
    <row r="593" spans="1:18" x14ac:dyDescent="0.3">
      <c r="A593" t="str">
        <f>IF(Klantgegevens_B!A592&lt;&gt;"", Klantgegevens_B!A592, MID(Klantgegevens_A!A592, FIND(",", Klantgegevens_A!A592)+2, LEN(Klantgegevens_A!A592)))</f>
        <v>Axel</v>
      </c>
      <c r="B593" t="str">
        <f>IF(Klantgegevens_B!B592&lt;&gt;"", Klantgegevens_B!B592, LEFT(Klantgegevens_A!A592, FIND(",", Klantgegevens_A!A592)-1))</f>
        <v>Mathieu</v>
      </c>
      <c r="C593" t="str">
        <f t="shared" ca="1" si="9"/>
        <v/>
      </c>
      <c r="D593" t="str">
        <f>IF(Klantgegevens_B!F592&lt;&gt;"", Klantgegevens_B!F592, Klantgegevens_A!D592 &amp; " " &amp; Klantgegevens_A!E592 &amp; ", " &amp; Klantgegevens_A!F592)</f>
        <v>Axel,Stefaan,Nadine,Michiel</v>
      </c>
      <c r="E593">
        <f>IF(Klantgegevens_B!G592&lt;&gt;"", Klantgegevens_B!G592, TEXTJOIN(",", TRUE, REPT("Volwassene,", Klantgegevens_A!G592), REPT("Kind,", Klantgegevens_A!H592)))</f>
        <v>174.21</v>
      </c>
      <c r="F593">
        <f>IF(Klantgegevens_B!G592&lt;&gt;"", LEN(Klantgegevens_B!G592)-LEN(SUBSTITUTE(Klantgegevens_B!G592, ",", ""))+1, Klantgegevens_A!G592)</f>
        <v>1</v>
      </c>
      <c r="G593">
        <f>IF(Klantgegevens_B!G592&lt;&gt;"", 0, Klantgegevens_A!H592)</f>
        <v>0</v>
      </c>
      <c r="H593">
        <f>IF(Klantgegevens_B!H592&lt;&gt;"", Klantgegevens_B!H592, Klantgegevens_A!I592)</f>
        <v>6</v>
      </c>
      <c r="I593" t="str">
        <f>IF(Klantgegevens_B!I592&lt;&gt;"", Klantgegevens_B!I592, SWITCH(Klantgegevens_A!J592, "Zelden", 1, "Af en toe", 4, "Regelmatig", 8, "Vaak", 12))</f>
        <v>Bancontact</v>
      </c>
      <c r="J593" t="str">
        <f>IF(Klantgegevens_B!J592&lt;&gt;"", Klantgegevens_B!J592, Klantgegevens_A!K592)</f>
        <v>ja</v>
      </c>
      <c r="K593">
        <f>IF(Klantgegevens_B!K592&lt;&gt;"", AVERAGE(--(Klantgegevens_B!K592="ja"), --(Klantgegevens_B!L592="ja"), --(Klantgegevens_B!M592="ja"), --(Klantgegevens_B!N592="ja"), --(Klantgegevens_B!O592="ja"))*10, Klantgegevens_A!L592)</f>
        <v>6</v>
      </c>
      <c r="L593" t="str">
        <f>IF(Klantgegevens_B!K592&lt;&gt;"", Klantgegevens_B!K592, IF(Klantgegevens_A!L592&gt;=7, "ja", "nee"))</f>
        <v>ja</v>
      </c>
      <c r="M593" t="str">
        <f>IF(Klantgegevens_B!L592&lt;&gt;"", Klantgegevens_B!L592, IF(Klantgegevens_A!L592&gt;=7, "ja", "nee"))</f>
        <v>ja</v>
      </c>
      <c r="N593" t="str">
        <f>IF(Klantgegevens_B!M592&lt;&gt;"", Klantgegevens_B!M592, IF(Klantgegevens_A!L592&gt;=7, "ja", "nee"))</f>
        <v>ja</v>
      </c>
      <c r="O593" t="str">
        <f>IF(Klantgegevens_B!N592&lt;&gt;"", Klantgegevens_B!N592, IF(Klantgegevens_A!L592&gt;=7, "ja", "nee"))</f>
        <v>nee</v>
      </c>
      <c r="P593" t="str">
        <f>IF(Klantgegevens_B!O592&lt;&gt;"", Klantgegevens_B!O592, IF(Klantgegevens_A!L592&gt;=7, "ja", "nee"))</f>
        <v>Geen dieet</v>
      </c>
      <c r="Q593">
        <f>IF(Klantgegevens_B!P592&lt;&gt;"", Klantgegevens_B!P592, Klantgegevens_A!M592)</f>
        <v>0</v>
      </c>
      <c r="R593" t="str">
        <f>IF(Klantgegevens_B!A592&lt;&gt;"", "B", "A")</f>
        <v>B</v>
      </c>
    </row>
    <row r="594" spans="1:18" x14ac:dyDescent="0.3">
      <c r="A594" t="str">
        <f>IF(Klantgegevens_B!A593&lt;&gt;"", Klantgegevens_B!A593, MID(Klantgegevens_A!A593, FIND(",", Klantgegevens_A!A593)+2, LEN(Klantgegevens_A!A593)))</f>
        <v>Stefanie</v>
      </c>
      <c r="B594" t="str">
        <f>IF(Klantgegevens_B!B593&lt;&gt;"", Klantgegevens_B!B593, LEFT(Klantgegevens_A!A593, FIND(",", Klantgegevens_A!A593)-1))</f>
        <v>Maertens</v>
      </c>
      <c r="C594" t="str">
        <f t="shared" ca="1" si="9"/>
        <v/>
      </c>
      <c r="D594" t="str">
        <f>IF(Klantgegevens_B!F593&lt;&gt;"", Klantgegevens_B!F593, Klantgegevens_A!D593 &amp; " " &amp; Klantgegevens_A!E593 &amp; ", " &amp; Klantgegevens_A!F593)</f>
        <v>Stefanie,Marie,Suzanne</v>
      </c>
      <c r="E594">
        <f>IF(Klantgegevens_B!G593&lt;&gt;"", Klantgegevens_B!G593, TEXTJOIN(",", TRUE, REPT("Volwassene,", Klantgegevens_A!G593), REPT("Kind,", Klantgegevens_A!H593)))</f>
        <v>84.49</v>
      </c>
      <c r="F594">
        <f>IF(Klantgegevens_B!G593&lt;&gt;"", LEN(Klantgegevens_B!G593)-LEN(SUBSTITUTE(Klantgegevens_B!G593, ",", ""))+1, Klantgegevens_A!G593)</f>
        <v>1</v>
      </c>
      <c r="G594">
        <f>IF(Klantgegevens_B!G593&lt;&gt;"", 0, Klantgegevens_A!H593)</f>
        <v>0</v>
      </c>
      <c r="H594">
        <f>IF(Klantgegevens_B!H593&lt;&gt;"", Klantgegevens_B!H593, Klantgegevens_A!I593)</f>
        <v>19</v>
      </c>
      <c r="I594" t="str">
        <f>IF(Klantgegevens_B!I593&lt;&gt;"", Klantgegevens_B!I593, SWITCH(Klantgegevens_A!J593, "Zelden", 1, "Af en toe", 4, "Regelmatig", 8, "Vaak", 12))</f>
        <v>Bancontact</v>
      </c>
      <c r="J594" t="str">
        <f>IF(Klantgegevens_B!J593&lt;&gt;"", Klantgegevens_B!J593, Klantgegevens_A!K593)</f>
        <v>nee</v>
      </c>
      <c r="K594">
        <f>IF(Klantgegevens_B!K593&lt;&gt;"", AVERAGE(--(Klantgegevens_B!K593="ja"), --(Klantgegevens_B!L593="ja"), --(Klantgegevens_B!M593="ja"), --(Klantgegevens_B!N593="ja"), --(Klantgegevens_B!O593="ja"))*10, Klantgegevens_A!L593)</f>
        <v>4</v>
      </c>
      <c r="L594" t="str">
        <f>IF(Klantgegevens_B!K593&lt;&gt;"", Klantgegevens_B!K593, IF(Klantgegevens_A!L593&gt;=7, "ja", "nee"))</f>
        <v>nee</v>
      </c>
      <c r="M594" t="str">
        <f>IF(Klantgegevens_B!L593&lt;&gt;"", Klantgegevens_B!L593, IF(Klantgegevens_A!L593&gt;=7, "ja", "nee"))</f>
        <v>ja</v>
      </c>
      <c r="N594" t="str">
        <f>IF(Klantgegevens_B!M593&lt;&gt;"", Klantgegevens_B!M593, IF(Klantgegevens_A!L593&gt;=7, "ja", "nee"))</f>
        <v>ja</v>
      </c>
      <c r="O594" t="str">
        <f>IF(Klantgegevens_B!N593&lt;&gt;"", Klantgegevens_B!N593, IF(Klantgegevens_A!L593&gt;=7, "ja", "nee"))</f>
        <v>nee</v>
      </c>
      <c r="P594" t="str">
        <f>IF(Klantgegevens_B!O593&lt;&gt;"", Klantgegevens_B!O593, IF(Klantgegevens_A!L593&gt;=7, "ja", "nee"))</f>
        <v>Geen dieet</v>
      </c>
      <c r="Q594">
        <f>IF(Klantgegevens_B!P593&lt;&gt;"", Klantgegevens_B!P593, Klantgegevens_A!M593)</f>
        <v>0</v>
      </c>
      <c r="R594" t="str">
        <f>IF(Klantgegevens_B!A593&lt;&gt;"", "B", "A")</f>
        <v>B</v>
      </c>
    </row>
    <row r="595" spans="1:18" x14ac:dyDescent="0.3">
      <c r="A595" t="str">
        <f>IF(Klantgegevens_B!A594&lt;&gt;"", Klantgegevens_B!A594, MID(Klantgegevens_A!A594, FIND(",", Klantgegevens_A!A594)+2, LEN(Klantgegevens_A!A594)))</f>
        <v>Halyna</v>
      </c>
      <c r="B595" t="str">
        <f>IF(Klantgegevens_B!B594&lt;&gt;"", Klantgegevens_B!B594, LEFT(Klantgegevens_A!A594, FIND(",", Klantgegevens_A!A594)-1))</f>
        <v>Libert</v>
      </c>
      <c r="C595" t="str">
        <f t="shared" ca="1" si="9"/>
        <v/>
      </c>
      <c r="D595" t="str">
        <f>IF(Klantgegevens_B!F594&lt;&gt;"", Klantgegevens_B!F594, Klantgegevens_A!D594 &amp; " " &amp; Klantgegevens_A!E594 &amp; ", " &amp; Klantgegevens_A!F594)</f>
        <v>Halyna,Jarno</v>
      </c>
      <c r="E595">
        <f>IF(Klantgegevens_B!G594&lt;&gt;"", Klantgegevens_B!G594, TEXTJOIN(",", TRUE, REPT("Volwassene,", Klantgegevens_A!G594), REPT("Kind,", Klantgegevens_A!H594)))</f>
        <v>72.19</v>
      </c>
      <c r="F595">
        <f>IF(Klantgegevens_B!G594&lt;&gt;"", LEN(Klantgegevens_B!G594)-LEN(SUBSTITUTE(Klantgegevens_B!G594, ",", ""))+1, Klantgegevens_A!G594)</f>
        <v>1</v>
      </c>
      <c r="G595">
        <f>IF(Klantgegevens_B!G594&lt;&gt;"", 0, Klantgegevens_A!H594)</f>
        <v>0</v>
      </c>
      <c r="H595">
        <f>IF(Klantgegevens_B!H594&lt;&gt;"", Klantgegevens_B!H594, Klantgegevens_A!I594)</f>
        <v>3</v>
      </c>
      <c r="I595" t="str">
        <f>IF(Klantgegevens_B!I594&lt;&gt;"", Klantgegevens_B!I594, SWITCH(Klantgegevens_A!J594, "Zelden", 1, "Af en toe", 4, "Regelmatig", 8, "Vaak", 12))</f>
        <v>Payconiq</v>
      </c>
      <c r="J595" t="str">
        <f>IF(Klantgegevens_B!J594&lt;&gt;"", Klantgegevens_B!J594, Klantgegevens_A!K594)</f>
        <v>ja</v>
      </c>
      <c r="K595">
        <f>IF(Klantgegevens_B!K594&lt;&gt;"", AVERAGE(--(Klantgegevens_B!K594="ja"), --(Klantgegevens_B!L594="ja"), --(Klantgegevens_B!M594="ja"), --(Klantgegevens_B!N594="ja"), --(Klantgegevens_B!O594="ja"))*10, Klantgegevens_A!L594)</f>
        <v>8</v>
      </c>
      <c r="L595" t="str">
        <f>IF(Klantgegevens_B!K594&lt;&gt;"", Klantgegevens_B!K594, IF(Klantgegevens_A!L594&gt;=7, "ja", "nee"))</f>
        <v>ja</v>
      </c>
      <c r="M595" t="str">
        <f>IF(Klantgegevens_B!L594&lt;&gt;"", Klantgegevens_B!L594, IF(Klantgegevens_A!L594&gt;=7, "ja", "nee"))</f>
        <v>ja</v>
      </c>
      <c r="N595" t="str">
        <f>IF(Klantgegevens_B!M594&lt;&gt;"", Klantgegevens_B!M594, IF(Klantgegevens_A!L594&gt;=7, "ja", "nee"))</f>
        <v>ja</v>
      </c>
      <c r="O595" t="str">
        <f>IF(Klantgegevens_B!N594&lt;&gt;"", Klantgegevens_B!N594, IF(Klantgegevens_A!L594&gt;=7, "ja", "nee"))</f>
        <v>ja</v>
      </c>
      <c r="P595" t="str">
        <f>IF(Klantgegevens_B!O594&lt;&gt;"", Klantgegevens_B!O594, IF(Klantgegevens_A!L594&gt;=7, "ja", "nee"))</f>
        <v>Vegetarisch</v>
      </c>
      <c r="Q595">
        <f>IF(Klantgegevens_B!P594&lt;&gt;"", Klantgegevens_B!P594, Klantgegevens_A!M594)</f>
        <v>0</v>
      </c>
      <c r="R595" t="str">
        <f>IF(Klantgegevens_B!A594&lt;&gt;"", "B", "A")</f>
        <v>B</v>
      </c>
    </row>
    <row r="596" spans="1:18" x14ac:dyDescent="0.3">
      <c r="A596" t="str">
        <f>IF(Klantgegevens_B!A595&lt;&gt;"", Klantgegevens_B!A595, MID(Klantgegevens_A!A595, FIND(",", Klantgegevens_A!A595)+2, LEN(Klantgegevens_A!A595)))</f>
        <v>Veerle</v>
      </c>
      <c r="B596" t="str">
        <f>IF(Klantgegevens_B!B595&lt;&gt;"", Klantgegevens_B!B595, LEFT(Klantgegevens_A!A595, FIND(",", Klantgegevens_A!A595)-1))</f>
        <v>Van looy</v>
      </c>
      <c r="C596" t="str">
        <f t="shared" ca="1" si="9"/>
        <v/>
      </c>
      <c r="D596" t="str">
        <f>IF(Klantgegevens_B!F595&lt;&gt;"", Klantgegevens_B!F595, Klantgegevens_A!D595 &amp; " " &amp; Klantgegevens_A!E595 &amp; ", " &amp; Klantgegevens_A!F595)</f>
        <v>Veerle,Maria,Eliane</v>
      </c>
      <c r="E596">
        <f>IF(Klantgegevens_B!G595&lt;&gt;"", Klantgegevens_B!G595, TEXTJOIN(",", TRUE, REPT("Volwassene,", Klantgegevens_A!G595), REPT("Kind,", Klantgegevens_A!H595)))</f>
        <v>208.4</v>
      </c>
      <c r="F596">
        <f>IF(Klantgegevens_B!G595&lt;&gt;"", LEN(Klantgegevens_B!G595)-LEN(SUBSTITUTE(Klantgegevens_B!G595, ",", ""))+1, Klantgegevens_A!G595)</f>
        <v>1</v>
      </c>
      <c r="G596">
        <f>IF(Klantgegevens_B!G595&lt;&gt;"", 0, Klantgegevens_A!H595)</f>
        <v>0</v>
      </c>
      <c r="H596">
        <f>IF(Klantgegevens_B!H595&lt;&gt;"", Klantgegevens_B!H595, Klantgegevens_A!I595)</f>
        <v>6</v>
      </c>
      <c r="I596" t="str">
        <f>IF(Klantgegevens_B!I595&lt;&gt;"", Klantgegevens_B!I595, SWITCH(Klantgegevens_A!J595, "Zelden", 1, "Af en toe", 4, "Regelmatig", 8, "Vaak", 12))</f>
        <v>Payconiq</v>
      </c>
      <c r="J596" t="str">
        <f>IF(Klantgegevens_B!J595&lt;&gt;"", Klantgegevens_B!J595, Klantgegevens_A!K595)</f>
        <v>ja</v>
      </c>
      <c r="K596">
        <f>IF(Klantgegevens_B!K595&lt;&gt;"", AVERAGE(--(Klantgegevens_B!K595="ja"), --(Klantgegevens_B!L595="ja"), --(Klantgegevens_B!M595="ja"), --(Klantgegevens_B!N595="ja"), --(Klantgegevens_B!O595="ja"))*10, Klantgegevens_A!L595)</f>
        <v>4</v>
      </c>
      <c r="L596" t="str">
        <f>IF(Klantgegevens_B!K595&lt;&gt;"", Klantgegevens_B!K595, IF(Klantgegevens_A!L595&gt;=7, "ja", "nee"))</f>
        <v>nee</v>
      </c>
      <c r="M596" t="str">
        <f>IF(Klantgegevens_B!L595&lt;&gt;"", Klantgegevens_B!L595, IF(Klantgegevens_A!L595&gt;=7, "ja", "nee"))</f>
        <v>ja</v>
      </c>
      <c r="N596" t="str">
        <f>IF(Klantgegevens_B!M595&lt;&gt;"", Klantgegevens_B!M595, IF(Klantgegevens_A!L595&gt;=7, "ja", "nee"))</f>
        <v>nee</v>
      </c>
      <c r="O596" t="str">
        <f>IF(Klantgegevens_B!N595&lt;&gt;"", Klantgegevens_B!N595, IF(Klantgegevens_A!L595&gt;=7, "ja", "nee"))</f>
        <v>ja</v>
      </c>
      <c r="P596" t="str">
        <f>IF(Klantgegevens_B!O595&lt;&gt;"", Klantgegevens_B!O595, IF(Klantgegevens_A!L595&gt;=7, "ja", "nee"))</f>
        <v>Geen dieet</v>
      </c>
      <c r="Q596">
        <f>IF(Klantgegevens_B!P595&lt;&gt;"", Klantgegevens_B!P595, Klantgegevens_A!M595)</f>
        <v>0</v>
      </c>
      <c r="R596" t="str">
        <f>IF(Klantgegevens_B!A595&lt;&gt;"", "B", "A")</f>
        <v>B</v>
      </c>
    </row>
    <row r="597" spans="1:18" x14ac:dyDescent="0.3">
      <c r="A597" t="str">
        <f>IF(Klantgegevens_B!A596&lt;&gt;"", Klantgegevens_B!A596, MID(Klantgegevens_A!A596, FIND(",", Klantgegevens_A!A596)+2, LEN(Klantgegevens_A!A596)))</f>
        <v>André</v>
      </c>
      <c r="B597" t="str">
        <f>IF(Klantgegevens_B!B596&lt;&gt;"", Klantgegevens_B!B596, LEFT(Klantgegevens_A!A596, FIND(",", Klantgegevens_A!A596)-1))</f>
        <v>Daniels</v>
      </c>
      <c r="C597" t="str">
        <f t="shared" ca="1" si="9"/>
        <v/>
      </c>
      <c r="D597" t="str">
        <f>IF(Klantgegevens_B!F596&lt;&gt;"", Klantgegevens_B!F596, Klantgegevens_A!D596 &amp; " " &amp; Klantgegevens_A!E596 &amp; ", " &amp; Klantgegevens_A!F596)</f>
        <v>André,Zehra,Mohamed,Anne-Sophie,Catherine</v>
      </c>
      <c r="E597">
        <f>IF(Klantgegevens_B!G596&lt;&gt;"", Klantgegevens_B!G596, TEXTJOIN(",", TRUE, REPT("Volwassene,", Klantgegevens_A!G596), REPT("Kind,", Klantgegevens_A!H596)))</f>
        <v>142.59</v>
      </c>
      <c r="F597">
        <f>IF(Klantgegevens_B!G596&lt;&gt;"", LEN(Klantgegevens_B!G596)-LEN(SUBSTITUTE(Klantgegevens_B!G596, ",", ""))+1, Klantgegevens_A!G596)</f>
        <v>1</v>
      </c>
      <c r="G597">
        <f>IF(Klantgegevens_B!G596&lt;&gt;"", 0, Klantgegevens_A!H596)</f>
        <v>0</v>
      </c>
      <c r="H597">
        <f>IF(Klantgegevens_B!H596&lt;&gt;"", Klantgegevens_B!H596, Klantgegevens_A!I596)</f>
        <v>9</v>
      </c>
      <c r="I597" t="str">
        <f>IF(Klantgegevens_B!I596&lt;&gt;"", Klantgegevens_B!I596, SWITCH(Klantgegevens_A!J596, "Zelden", 1, "Af en toe", 4, "Regelmatig", 8, "Vaak", 12))</f>
        <v>Bancontact</v>
      </c>
      <c r="J597" t="str">
        <f>IF(Klantgegevens_B!J596&lt;&gt;"", Klantgegevens_B!J596, Klantgegevens_A!K596)</f>
        <v>ja</v>
      </c>
      <c r="K597">
        <f>IF(Klantgegevens_B!K596&lt;&gt;"", AVERAGE(--(Klantgegevens_B!K596="ja"), --(Klantgegevens_B!L596="ja"), --(Klantgegevens_B!M596="ja"), --(Klantgegevens_B!N596="ja"), --(Klantgegevens_B!O596="ja"))*10, Klantgegevens_A!L596)</f>
        <v>8</v>
      </c>
      <c r="L597" t="str">
        <f>IF(Klantgegevens_B!K596&lt;&gt;"", Klantgegevens_B!K596, IF(Klantgegevens_A!L596&gt;=7, "ja", "nee"))</f>
        <v>ja</v>
      </c>
      <c r="M597" t="str">
        <f>IF(Klantgegevens_B!L596&lt;&gt;"", Klantgegevens_B!L596, IF(Klantgegevens_A!L596&gt;=7, "ja", "nee"))</f>
        <v>ja</v>
      </c>
      <c r="N597" t="str">
        <f>IF(Klantgegevens_B!M596&lt;&gt;"", Klantgegevens_B!M596, IF(Klantgegevens_A!L596&gt;=7, "ja", "nee"))</f>
        <v>ja</v>
      </c>
      <c r="O597" t="str">
        <f>IF(Klantgegevens_B!N596&lt;&gt;"", Klantgegevens_B!N596, IF(Klantgegevens_A!L596&gt;=7, "ja", "nee"))</f>
        <v>ja</v>
      </c>
      <c r="P597" t="str">
        <f>IF(Klantgegevens_B!O596&lt;&gt;"", Klantgegevens_B!O596, IF(Klantgegevens_A!L596&gt;=7, "ja", "nee"))</f>
        <v>Geen dieet</v>
      </c>
      <c r="Q597">
        <f>IF(Klantgegevens_B!P596&lt;&gt;"", Klantgegevens_B!P596, Klantgegevens_A!M596)</f>
        <v>0</v>
      </c>
      <c r="R597" t="str">
        <f>IF(Klantgegevens_B!A596&lt;&gt;"", "B", "A")</f>
        <v>B</v>
      </c>
    </row>
    <row r="598" spans="1:18" x14ac:dyDescent="0.3">
      <c r="A598" t="str">
        <f>IF(Klantgegevens_B!A597&lt;&gt;"", Klantgegevens_B!A597, MID(Klantgegevens_A!A597, FIND(",", Klantgegevens_A!A597)+2, LEN(Klantgegevens_A!A597)))</f>
        <v>Miles</v>
      </c>
      <c r="B598" t="str">
        <f>IF(Klantgegevens_B!B597&lt;&gt;"", Klantgegevens_B!B597, LEFT(Klantgegevens_A!A597, FIND(",", Klantgegevens_A!A597)-1))</f>
        <v>Schepens</v>
      </c>
      <c r="C598" t="str">
        <f t="shared" ca="1" si="9"/>
        <v/>
      </c>
      <c r="D598" t="str">
        <f>IF(Klantgegevens_B!F597&lt;&gt;"", Klantgegevens_B!F597, Klantgegevens_A!D597 &amp; " " &amp; Klantgegevens_A!E597 &amp; ", " &amp; Klantgegevens_A!F597)</f>
        <v>Miles,Tanguy</v>
      </c>
      <c r="E598">
        <f>IF(Klantgegevens_B!G597&lt;&gt;"", Klantgegevens_B!G597, TEXTJOIN(",", TRUE, REPT("Volwassene,", Klantgegevens_A!G597), REPT("Kind,", Klantgegevens_A!H597)))</f>
        <v>130.59</v>
      </c>
      <c r="F598">
        <f>IF(Klantgegevens_B!G597&lt;&gt;"", LEN(Klantgegevens_B!G597)-LEN(SUBSTITUTE(Klantgegevens_B!G597, ",", ""))+1, Klantgegevens_A!G597)</f>
        <v>1</v>
      </c>
      <c r="G598">
        <f>IF(Klantgegevens_B!G597&lt;&gt;"", 0, Klantgegevens_A!H597)</f>
        <v>0</v>
      </c>
      <c r="H598">
        <f>IF(Klantgegevens_B!H597&lt;&gt;"", Klantgegevens_B!H597, Klantgegevens_A!I597)</f>
        <v>10</v>
      </c>
      <c r="I598" t="str">
        <f>IF(Klantgegevens_B!I597&lt;&gt;"", Klantgegevens_B!I597, SWITCH(Klantgegevens_A!J597, "Zelden", 1, "Af en toe", 4, "Regelmatig", 8, "Vaak", 12))</f>
        <v>Bancontact</v>
      </c>
      <c r="J598" t="str">
        <f>IF(Klantgegevens_B!J597&lt;&gt;"", Klantgegevens_B!J597, Klantgegevens_A!K597)</f>
        <v>ja</v>
      </c>
      <c r="K598">
        <f>IF(Klantgegevens_B!K597&lt;&gt;"", AVERAGE(--(Klantgegevens_B!K597="ja"), --(Klantgegevens_B!L597="ja"), --(Klantgegevens_B!M597="ja"), --(Klantgegevens_B!N597="ja"), --(Klantgegevens_B!O597="ja"))*10, Klantgegevens_A!L597)</f>
        <v>8</v>
      </c>
      <c r="L598" t="str">
        <f>IF(Klantgegevens_B!K597&lt;&gt;"", Klantgegevens_B!K597, IF(Klantgegevens_A!L597&gt;=7, "ja", "nee"))</f>
        <v>ja</v>
      </c>
      <c r="M598" t="str">
        <f>IF(Klantgegevens_B!L597&lt;&gt;"", Klantgegevens_B!L597, IF(Klantgegevens_A!L597&gt;=7, "ja", "nee"))</f>
        <v>ja</v>
      </c>
      <c r="N598" t="str">
        <f>IF(Klantgegevens_B!M597&lt;&gt;"", Klantgegevens_B!M597, IF(Klantgegevens_A!L597&gt;=7, "ja", "nee"))</f>
        <v>ja</v>
      </c>
      <c r="O598" t="str">
        <f>IF(Klantgegevens_B!N597&lt;&gt;"", Klantgegevens_B!N597, IF(Klantgegevens_A!L597&gt;=7, "ja", "nee"))</f>
        <v>ja</v>
      </c>
      <c r="P598" t="str">
        <f>IF(Klantgegevens_B!O597&lt;&gt;"", Klantgegevens_B!O597, IF(Klantgegevens_A!L597&gt;=7, "ja", "nee"))</f>
        <v>Geen dieet</v>
      </c>
      <c r="Q598">
        <f>IF(Klantgegevens_B!P597&lt;&gt;"", Klantgegevens_B!P597, Klantgegevens_A!M597)</f>
        <v>0</v>
      </c>
      <c r="R598" t="str">
        <f>IF(Klantgegevens_B!A597&lt;&gt;"", "B", "A")</f>
        <v>B</v>
      </c>
    </row>
    <row r="599" spans="1:18" x14ac:dyDescent="0.3">
      <c r="A599" t="str">
        <f>IF(Klantgegevens_B!A598&lt;&gt;"", Klantgegevens_B!A598, MID(Klantgegevens_A!A598, FIND(",", Klantgegevens_A!A598)+2, LEN(Klantgegevens_A!A598)))</f>
        <v>Lore</v>
      </c>
      <c r="B599" t="str">
        <f>IF(Klantgegevens_B!B598&lt;&gt;"", Klantgegevens_B!B598, LEFT(Klantgegevens_A!A598, FIND(",", Klantgegevens_A!A598)-1))</f>
        <v>Guillaume</v>
      </c>
      <c r="C599" t="str">
        <f t="shared" ca="1" si="9"/>
        <v/>
      </c>
      <c r="D599" t="str">
        <f>IF(Klantgegevens_B!F598&lt;&gt;"", Klantgegevens_B!F598, Klantgegevens_A!D598 &amp; " " &amp; Klantgegevens_A!E598 &amp; ", " &amp; Klantgegevens_A!F598)</f>
        <v>Lore</v>
      </c>
      <c r="E599">
        <f>IF(Klantgegevens_B!G598&lt;&gt;"", Klantgegevens_B!G598, TEXTJOIN(",", TRUE, REPT("Volwassene,", Klantgegevens_A!G598), REPT("Kind,", Klantgegevens_A!H598)))</f>
        <v>112.76</v>
      </c>
      <c r="F599">
        <f>IF(Klantgegevens_B!G598&lt;&gt;"", LEN(Klantgegevens_B!G598)-LEN(SUBSTITUTE(Klantgegevens_B!G598, ",", ""))+1, Klantgegevens_A!G598)</f>
        <v>1</v>
      </c>
      <c r="G599">
        <f>IF(Klantgegevens_B!G598&lt;&gt;"", 0, Klantgegevens_A!H598)</f>
        <v>0</v>
      </c>
      <c r="H599">
        <f>IF(Klantgegevens_B!H598&lt;&gt;"", Klantgegevens_B!H598, Klantgegevens_A!I598)</f>
        <v>22</v>
      </c>
      <c r="I599" t="str">
        <f>IF(Klantgegevens_B!I598&lt;&gt;"", Klantgegevens_B!I598, SWITCH(Klantgegevens_A!J598, "Zelden", 1, "Af en toe", 4, "Regelmatig", 8, "Vaak", 12))</f>
        <v>Bancontact</v>
      </c>
      <c r="J599" t="str">
        <f>IF(Klantgegevens_B!J598&lt;&gt;"", Klantgegevens_B!J598, Klantgegevens_A!K598)</f>
        <v>nee</v>
      </c>
      <c r="K599">
        <f>IF(Klantgegevens_B!K598&lt;&gt;"", AVERAGE(--(Klantgegevens_B!K598="ja"), --(Klantgegevens_B!L598="ja"), --(Klantgegevens_B!M598="ja"), --(Klantgegevens_B!N598="ja"), --(Klantgegevens_B!O598="ja"))*10, Klantgegevens_A!L598)</f>
        <v>6</v>
      </c>
      <c r="L599" t="str">
        <f>IF(Klantgegevens_B!K598&lt;&gt;"", Klantgegevens_B!K598, IF(Klantgegevens_A!L598&gt;=7, "ja", "nee"))</f>
        <v>ja</v>
      </c>
      <c r="M599" t="str">
        <f>IF(Klantgegevens_B!L598&lt;&gt;"", Klantgegevens_B!L598, IF(Klantgegevens_A!L598&gt;=7, "ja", "nee"))</f>
        <v>ja</v>
      </c>
      <c r="N599" t="str">
        <f>IF(Klantgegevens_B!M598&lt;&gt;"", Klantgegevens_B!M598, IF(Klantgegevens_A!L598&gt;=7, "ja", "nee"))</f>
        <v>nee</v>
      </c>
      <c r="O599" t="str">
        <f>IF(Klantgegevens_B!N598&lt;&gt;"", Klantgegevens_B!N598, IF(Klantgegevens_A!L598&gt;=7, "ja", "nee"))</f>
        <v>ja</v>
      </c>
      <c r="P599" t="str">
        <f>IF(Klantgegevens_B!O598&lt;&gt;"", Klantgegevens_B!O598, IF(Klantgegevens_A!L598&gt;=7, "ja", "nee"))</f>
        <v>Geen dieet</v>
      </c>
      <c r="Q599">
        <f>IF(Klantgegevens_B!P598&lt;&gt;"", Klantgegevens_B!P598, Klantgegevens_A!M598)</f>
        <v>0</v>
      </c>
      <c r="R599" t="str">
        <f>IF(Klantgegevens_B!A598&lt;&gt;"", "B", "A")</f>
        <v>B</v>
      </c>
    </row>
    <row r="600" spans="1:18" x14ac:dyDescent="0.3">
      <c r="A600" t="str">
        <f>IF(Klantgegevens_B!A599&lt;&gt;"", Klantgegevens_B!A599, MID(Klantgegevens_A!A599, FIND(",", Klantgegevens_A!A599)+2, LEN(Klantgegevens_A!A599)))</f>
        <v>Jolien</v>
      </c>
      <c r="B600" t="str">
        <f>IF(Klantgegevens_B!B599&lt;&gt;"", Klantgegevens_B!B599, LEFT(Klantgegevens_A!A599, FIND(",", Klantgegevens_A!A599)-1))</f>
        <v>Moerman</v>
      </c>
      <c r="C600" t="str">
        <f t="shared" ca="1" si="9"/>
        <v/>
      </c>
      <c r="D600" t="str">
        <f>IF(Klantgegevens_B!F599&lt;&gt;"", Klantgegevens_B!F599, Klantgegevens_A!D599 &amp; " " &amp; Klantgegevens_A!E599 &amp; ", " &amp; Klantgegevens_A!F599)</f>
        <v>Jolien,Leonarda</v>
      </c>
      <c r="E600">
        <f>IF(Klantgegevens_B!G599&lt;&gt;"", Klantgegevens_B!G599, TEXTJOIN(",", TRUE, REPT("Volwassene,", Klantgegevens_A!G599), REPT("Kind,", Klantgegevens_A!H599)))</f>
        <v>101.76</v>
      </c>
      <c r="F600">
        <f>IF(Klantgegevens_B!G599&lt;&gt;"", LEN(Klantgegevens_B!G599)-LEN(SUBSTITUTE(Klantgegevens_B!G599, ",", ""))+1, Klantgegevens_A!G599)</f>
        <v>1</v>
      </c>
      <c r="G600">
        <f>IF(Klantgegevens_B!G599&lt;&gt;"", 0, Klantgegevens_A!H599)</f>
        <v>0</v>
      </c>
      <c r="H600">
        <f>IF(Klantgegevens_B!H599&lt;&gt;"", Klantgegevens_B!H599, Klantgegevens_A!I599)</f>
        <v>16</v>
      </c>
      <c r="I600" t="str">
        <f>IF(Klantgegevens_B!I599&lt;&gt;"", Klantgegevens_B!I599, SWITCH(Klantgegevens_A!J599, "Zelden", 1, "Af en toe", 4, "Regelmatig", 8, "Vaak", 12))</f>
        <v>Bancontact</v>
      </c>
      <c r="J600" t="str">
        <f>IF(Klantgegevens_B!J599&lt;&gt;"", Klantgegevens_B!J599, Klantgegevens_A!K599)</f>
        <v>ja</v>
      </c>
      <c r="K600">
        <f>IF(Klantgegevens_B!K599&lt;&gt;"", AVERAGE(--(Klantgegevens_B!K599="ja"), --(Klantgegevens_B!L599="ja"), --(Klantgegevens_B!M599="ja"), --(Klantgegevens_B!N599="ja"), --(Klantgegevens_B!O599="ja"))*10, Klantgegevens_A!L599)</f>
        <v>4</v>
      </c>
      <c r="L600" t="str">
        <f>IF(Klantgegevens_B!K599&lt;&gt;"", Klantgegevens_B!K599, IF(Klantgegevens_A!L599&gt;=7, "ja", "nee"))</f>
        <v>nee</v>
      </c>
      <c r="M600" t="str">
        <f>IF(Klantgegevens_B!L599&lt;&gt;"", Klantgegevens_B!L599, IF(Klantgegevens_A!L599&gt;=7, "ja", "nee"))</f>
        <v>ja</v>
      </c>
      <c r="N600" t="str">
        <f>IF(Klantgegevens_B!M599&lt;&gt;"", Klantgegevens_B!M599, IF(Klantgegevens_A!L599&gt;=7, "ja", "nee"))</f>
        <v>nee</v>
      </c>
      <c r="O600" t="str">
        <f>IF(Klantgegevens_B!N599&lt;&gt;"", Klantgegevens_B!N599, IF(Klantgegevens_A!L599&gt;=7, "ja", "nee"))</f>
        <v>ja</v>
      </c>
      <c r="P600" t="str">
        <f>IF(Klantgegevens_B!O599&lt;&gt;"", Klantgegevens_B!O599, IF(Klantgegevens_A!L599&gt;=7, "ja", "nee"))</f>
        <v>Vegetarisch</v>
      </c>
      <c r="Q600">
        <f>IF(Klantgegevens_B!P599&lt;&gt;"", Klantgegevens_B!P599, Klantgegevens_A!M599)</f>
        <v>0</v>
      </c>
      <c r="R600" t="str">
        <f>IF(Klantgegevens_B!A599&lt;&gt;"", "B", "A")</f>
        <v>B</v>
      </c>
    </row>
    <row r="601" spans="1:18" x14ac:dyDescent="0.3">
      <c r="A601" t="str">
        <f>IF(Klantgegevens_B!A600&lt;&gt;"", Klantgegevens_B!A600, MID(Klantgegevens_A!A600, FIND(",", Klantgegevens_A!A600)+2, LEN(Klantgegevens_A!A600)))</f>
        <v>Inge</v>
      </c>
      <c r="B601" t="str">
        <f>IF(Klantgegevens_B!B600&lt;&gt;"", Klantgegevens_B!B600, LEFT(Klantgegevens_A!A600, FIND(",", Klantgegevens_A!A600)-1))</f>
        <v>De meyer</v>
      </c>
      <c r="C601" t="str">
        <f t="shared" ca="1" si="9"/>
        <v/>
      </c>
      <c r="D601" t="str">
        <f>IF(Klantgegevens_B!F600&lt;&gt;"", Klantgegevens_B!F600, Klantgegevens_A!D600 &amp; " " &amp; Klantgegevens_A!E600 &amp; ", " &amp; Klantgegevens_A!F600)</f>
        <v>Inge,Marie,Leart,Marc</v>
      </c>
      <c r="E601">
        <f>IF(Klantgegevens_B!G600&lt;&gt;"", Klantgegevens_B!G600, TEXTJOIN(",", TRUE, REPT("Volwassene,", Klantgegevens_A!G600), REPT("Kind,", Klantgegevens_A!H600)))</f>
        <v>65.81</v>
      </c>
      <c r="F601">
        <f>IF(Klantgegevens_B!G600&lt;&gt;"", LEN(Klantgegevens_B!G600)-LEN(SUBSTITUTE(Klantgegevens_B!G600, ",", ""))+1, Klantgegevens_A!G600)</f>
        <v>1</v>
      </c>
      <c r="G601">
        <f>IF(Klantgegevens_B!G600&lt;&gt;"", 0, Klantgegevens_A!H600)</f>
        <v>0</v>
      </c>
      <c r="H601">
        <f>IF(Klantgegevens_B!H600&lt;&gt;"", Klantgegevens_B!H600, Klantgegevens_A!I600)</f>
        <v>15</v>
      </c>
      <c r="I601" t="str">
        <f>IF(Klantgegevens_B!I600&lt;&gt;"", Klantgegevens_B!I600, SWITCH(Klantgegevens_A!J600, "Zelden", 1, "Af en toe", 4, "Regelmatig", 8, "Vaak", 12))</f>
        <v>Bancontact</v>
      </c>
      <c r="J601" t="str">
        <f>IF(Klantgegevens_B!J600&lt;&gt;"", Klantgegevens_B!J600, Klantgegevens_A!K600)</f>
        <v>ja</v>
      </c>
      <c r="K601">
        <f>IF(Klantgegevens_B!K600&lt;&gt;"", AVERAGE(--(Klantgegevens_B!K600="ja"), --(Klantgegevens_B!L600="ja"), --(Klantgegevens_B!M600="ja"), --(Klantgegevens_B!N600="ja"), --(Klantgegevens_B!O600="ja"))*10, Klantgegevens_A!L600)</f>
        <v>6</v>
      </c>
      <c r="L601" t="str">
        <f>IF(Klantgegevens_B!K600&lt;&gt;"", Klantgegevens_B!K600, IF(Klantgegevens_A!L600&gt;=7, "ja", "nee"))</f>
        <v>ja</v>
      </c>
      <c r="M601" t="str">
        <f>IF(Klantgegevens_B!L600&lt;&gt;"", Klantgegevens_B!L600, IF(Klantgegevens_A!L600&gt;=7, "ja", "nee"))</f>
        <v>ja</v>
      </c>
      <c r="N601" t="str">
        <f>IF(Klantgegevens_B!M600&lt;&gt;"", Klantgegevens_B!M600, IF(Klantgegevens_A!L600&gt;=7, "ja", "nee"))</f>
        <v>nee</v>
      </c>
      <c r="O601" t="str">
        <f>IF(Klantgegevens_B!N600&lt;&gt;"", Klantgegevens_B!N600, IF(Klantgegevens_A!L600&gt;=7, "ja", "nee"))</f>
        <v>ja</v>
      </c>
      <c r="P601" t="str">
        <f>IF(Klantgegevens_B!O600&lt;&gt;"", Klantgegevens_B!O600, IF(Klantgegevens_A!L600&gt;=7, "ja", "nee"))</f>
        <v>Vegetarisch</v>
      </c>
      <c r="Q601">
        <f>IF(Klantgegevens_B!P600&lt;&gt;"", Klantgegevens_B!P600, Klantgegevens_A!M600)</f>
        <v>0</v>
      </c>
      <c r="R601" t="str">
        <f>IF(Klantgegevens_B!A600&lt;&gt;"", "B", "A")</f>
        <v>B</v>
      </c>
    </row>
    <row r="602" spans="1:18" x14ac:dyDescent="0.3">
      <c r="A602" t="str">
        <f>IF(Klantgegevens_B!A601&lt;&gt;"", Klantgegevens_B!A601, MID(Klantgegevens_A!A601, FIND(",", Klantgegevens_A!A601)+2, LEN(Klantgegevens_A!A601)))</f>
        <v>Estée</v>
      </c>
      <c r="B602" t="str">
        <f>IF(Klantgegevens_B!B601&lt;&gt;"", Klantgegevens_B!B601, LEFT(Klantgegevens_A!A601, FIND(",", Klantgegevens_A!A601)-1))</f>
        <v>Janssens</v>
      </c>
      <c r="C602" t="str">
        <f t="shared" ca="1" si="9"/>
        <v/>
      </c>
      <c r="D602" t="str">
        <f>IF(Klantgegevens_B!F601&lt;&gt;"", Klantgegevens_B!F601, Klantgegevens_A!D601 &amp; " " &amp; Klantgegevens_A!E601 &amp; ", " &amp; Klantgegevens_A!F601)</f>
        <v>Estée,Elyse</v>
      </c>
      <c r="E602">
        <f>IF(Klantgegevens_B!G601&lt;&gt;"", Klantgegevens_B!G601, TEXTJOIN(",", TRUE, REPT("Volwassene,", Klantgegevens_A!G601), REPT("Kind,", Klantgegevens_A!H601)))</f>
        <v>44.42</v>
      </c>
      <c r="F602">
        <f>IF(Klantgegevens_B!G601&lt;&gt;"", LEN(Klantgegevens_B!G601)-LEN(SUBSTITUTE(Klantgegevens_B!G601, ",", ""))+1, Klantgegevens_A!G601)</f>
        <v>1</v>
      </c>
      <c r="G602">
        <f>IF(Klantgegevens_B!G601&lt;&gt;"", 0, Klantgegevens_A!H601)</f>
        <v>0</v>
      </c>
      <c r="H602">
        <f>IF(Klantgegevens_B!H601&lt;&gt;"", Klantgegevens_B!H601, Klantgegevens_A!I601)</f>
        <v>11</v>
      </c>
      <c r="I602" t="str">
        <f>IF(Klantgegevens_B!I601&lt;&gt;"", Klantgegevens_B!I601, SWITCH(Klantgegevens_A!J601, "Zelden", 1, "Af en toe", 4, "Regelmatig", 8, "Vaak", 12))</f>
        <v>Payconiq</v>
      </c>
      <c r="J602" t="str">
        <f>IF(Klantgegevens_B!J601&lt;&gt;"", Klantgegevens_B!J601, Klantgegevens_A!K601)</f>
        <v>ja</v>
      </c>
      <c r="K602">
        <f>IF(Klantgegevens_B!K601&lt;&gt;"", AVERAGE(--(Klantgegevens_B!K601="ja"), --(Klantgegevens_B!L601="ja"), --(Klantgegevens_B!M601="ja"), --(Klantgegevens_B!N601="ja"), --(Klantgegevens_B!O601="ja"))*10, Klantgegevens_A!L601)</f>
        <v>6</v>
      </c>
      <c r="L602" t="str">
        <f>IF(Klantgegevens_B!K601&lt;&gt;"", Klantgegevens_B!K601, IF(Klantgegevens_A!L601&gt;=7, "ja", "nee"))</f>
        <v>nee</v>
      </c>
      <c r="M602" t="str">
        <f>IF(Klantgegevens_B!L601&lt;&gt;"", Klantgegevens_B!L601, IF(Klantgegevens_A!L601&gt;=7, "ja", "nee"))</f>
        <v>ja</v>
      </c>
      <c r="N602" t="str">
        <f>IF(Klantgegevens_B!M601&lt;&gt;"", Klantgegevens_B!M601, IF(Klantgegevens_A!L601&gt;=7, "ja", "nee"))</f>
        <v>ja</v>
      </c>
      <c r="O602" t="str">
        <f>IF(Klantgegevens_B!N601&lt;&gt;"", Klantgegevens_B!N601, IF(Klantgegevens_A!L601&gt;=7, "ja", "nee"))</f>
        <v>ja</v>
      </c>
      <c r="P602" t="str">
        <f>IF(Klantgegevens_B!O601&lt;&gt;"", Klantgegevens_B!O601, IF(Klantgegevens_A!L601&gt;=7, "ja", "nee"))</f>
        <v>Geen dieet</v>
      </c>
      <c r="Q602">
        <f>IF(Klantgegevens_B!P601&lt;&gt;"", Klantgegevens_B!P601, Klantgegevens_A!M601)</f>
        <v>0</v>
      </c>
      <c r="R602" t="str">
        <f>IF(Klantgegevens_B!A601&lt;&gt;"", "B", "A")</f>
        <v>B</v>
      </c>
    </row>
    <row r="603" spans="1:18" x14ac:dyDescent="0.3">
      <c r="A603" t="str">
        <f>IF(Klantgegevens_B!A602&lt;&gt;"", Klantgegevens_B!A602, MID(Klantgegevens_A!A602, FIND(",", Klantgegevens_A!A602)+2, LEN(Klantgegevens_A!A602)))</f>
        <v>Rafael</v>
      </c>
      <c r="B603" t="str">
        <f>IF(Klantgegevens_B!B602&lt;&gt;"", Klantgegevens_B!B602, LEFT(Klantgegevens_A!A602, FIND(",", Klantgegevens_A!A602)-1))</f>
        <v>Jans</v>
      </c>
      <c r="C603" t="str">
        <f t="shared" ca="1" si="9"/>
        <v/>
      </c>
      <c r="D603" t="str">
        <f>IF(Klantgegevens_B!F602&lt;&gt;"", Klantgegevens_B!F602, Klantgegevens_A!D602 &amp; " " &amp; Klantgegevens_A!E602 &amp; ", " &amp; Klantgegevens_A!F602)</f>
        <v>Rafael,Maria</v>
      </c>
      <c r="E603">
        <f>IF(Klantgegevens_B!G602&lt;&gt;"", Klantgegevens_B!G602, TEXTJOIN(",", TRUE, REPT("Volwassene,", Klantgegevens_A!G602), REPT("Kind,", Klantgegevens_A!H602)))</f>
        <v>92.5</v>
      </c>
      <c r="F603">
        <f>IF(Klantgegevens_B!G602&lt;&gt;"", LEN(Klantgegevens_B!G602)-LEN(SUBSTITUTE(Klantgegevens_B!G602, ",", ""))+1, Klantgegevens_A!G602)</f>
        <v>1</v>
      </c>
      <c r="G603">
        <f>IF(Klantgegevens_B!G602&lt;&gt;"", 0, Klantgegevens_A!H602)</f>
        <v>0</v>
      </c>
      <c r="H603">
        <f>IF(Klantgegevens_B!H602&lt;&gt;"", Klantgegevens_B!H602, Klantgegevens_A!I602)</f>
        <v>11</v>
      </c>
      <c r="I603" t="str">
        <f>IF(Klantgegevens_B!I602&lt;&gt;"", Klantgegevens_B!I602, SWITCH(Klantgegevens_A!J602, "Zelden", 1, "Af en toe", 4, "Regelmatig", 8, "Vaak", 12))</f>
        <v>Bancontact</v>
      </c>
      <c r="J603" t="str">
        <f>IF(Klantgegevens_B!J602&lt;&gt;"", Klantgegevens_B!J602, Klantgegevens_A!K602)</f>
        <v>ja</v>
      </c>
      <c r="K603">
        <f>IF(Klantgegevens_B!K602&lt;&gt;"", AVERAGE(--(Klantgegevens_B!K602="ja"), --(Klantgegevens_B!L602="ja"), --(Klantgegevens_B!M602="ja"), --(Klantgegevens_B!N602="ja"), --(Klantgegevens_B!O602="ja"))*10, Klantgegevens_A!L602)</f>
        <v>8</v>
      </c>
      <c r="L603" t="str">
        <f>IF(Klantgegevens_B!K602&lt;&gt;"", Klantgegevens_B!K602, IF(Klantgegevens_A!L602&gt;=7, "ja", "nee"))</f>
        <v>ja</v>
      </c>
      <c r="M603" t="str">
        <f>IF(Klantgegevens_B!L602&lt;&gt;"", Klantgegevens_B!L602, IF(Klantgegevens_A!L602&gt;=7, "ja", "nee"))</f>
        <v>ja</v>
      </c>
      <c r="N603" t="str">
        <f>IF(Klantgegevens_B!M602&lt;&gt;"", Klantgegevens_B!M602, IF(Klantgegevens_A!L602&gt;=7, "ja", "nee"))</f>
        <v>ja</v>
      </c>
      <c r="O603" t="str">
        <f>IF(Klantgegevens_B!N602&lt;&gt;"", Klantgegevens_B!N602, IF(Klantgegevens_A!L602&gt;=7, "ja", "nee"))</f>
        <v>ja</v>
      </c>
      <c r="P603" t="str">
        <f>IF(Klantgegevens_B!O602&lt;&gt;"", Klantgegevens_B!O602, IF(Klantgegevens_A!L602&gt;=7, "ja", "nee"))</f>
        <v>Vegetarisch</v>
      </c>
      <c r="Q603">
        <f>IF(Klantgegevens_B!P602&lt;&gt;"", Klantgegevens_B!P602, Klantgegevens_A!M602)</f>
        <v>0</v>
      </c>
      <c r="R603" t="str">
        <f>IF(Klantgegevens_B!A602&lt;&gt;"", "B", "A")</f>
        <v>B</v>
      </c>
    </row>
    <row r="604" spans="1:18" x14ac:dyDescent="0.3">
      <c r="A604" t="str">
        <f>IF(Klantgegevens_B!A603&lt;&gt;"", Klantgegevens_B!A603, MID(Klantgegevens_A!A603, FIND(",", Klantgegevens_A!A603)+2, LEN(Klantgegevens_A!A603)))</f>
        <v>Ulrike</v>
      </c>
      <c r="B604" t="str">
        <f>IF(Klantgegevens_B!B603&lt;&gt;"", Klantgegevens_B!B603, LEFT(Klantgegevens_A!A603, FIND(",", Klantgegevens_A!A603)-1))</f>
        <v>Van hoof</v>
      </c>
      <c r="C604" t="str">
        <f t="shared" ca="1" si="9"/>
        <v/>
      </c>
      <c r="D604" t="str">
        <f>IF(Klantgegevens_B!F603&lt;&gt;"", Klantgegevens_B!F603, Klantgegevens_A!D603 &amp; " " &amp; Klantgegevens_A!E603 &amp; ", " &amp; Klantgegevens_A!F603)</f>
        <v>Ulrike,Victoria</v>
      </c>
      <c r="E604">
        <f>IF(Klantgegevens_B!G603&lt;&gt;"", Klantgegevens_B!G603, TEXTJOIN(",", TRUE, REPT("Volwassene,", Klantgegevens_A!G603), REPT("Kind,", Klantgegevens_A!H603)))</f>
        <v>98.62</v>
      </c>
      <c r="F604">
        <f>IF(Klantgegevens_B!G603&lt;&gt;"", LEN(Klantgegevens_B!G603)-LEN(SUBSTITUTE(Klantgegevens_B!G603, ",", ""))+1, Klantgegevens_A!G603)</f>
        <v>1</v>
      </c>
      <c r="G604">
        <f>IF(Klantgegevens_B!G603&lt;&gt;"", 0, Klantgegevens_A!H603)</f>
        <v>0</v>
      </c>
      <c r="H604">
        <f>IF(Klantgegevens_B!H603&lt;&gt;"", Klantgegevens_B!H603, Klantgegevens_A!I603)</f>
        <v>11</v>
      </c>
      <c r="I604" t="str">
        <f>IF(Klantgegevens_B!I603&lt;&gt;"", Klantgegevens_B!I603, SWITCH(Klantgegevens_A!J603, "Zelden", 1, "Af en toe", 4, "Regelmatig", 8, "Vaak", 12))</f>
        <v>Cash</v>
      </c>
      <c r="J604" t="str">
        <f>IF(Klantgegevens_B!J603&lt;&gt;"", Klantgegevens_B!J603, Klantgegevens_A!K603)</f>
        <v>ja</v>
      </c>
      <c r="K604">
        <f>IF(Klantgegevens_B!K603&lt;&gt;"", AVERAGE(--(Klantgegevens_B!K603="ja"), --(Klantgegevens_B!L603="ja"), --(Klantgegevens_B!M603="ja"), --(Klantgegevens_B!N603="ja"), --(Klantgegevens_B!O603="ja"))*10, Klantgegevens_A!L603)</f>
        <v>6</v>
      </c>
      <c r="L604" t="str">
        <f>IF(Klantgegevens_B!K603&lt;&gt;"", Klantgegevens_B!K603, IF(Klantgegevens_A!L603&gt;=7, "ja", "nee"))</f>
        <v>ja</v>
      </c>
      <c r="M604" t="str">
        <f>IF(Klantgegevens_B!L603&lt;&gt;"", Klantgegevens_B!L603, IF(Klantgegevens_A!L603&gt;=7, "ja", "nee"))</f>
        <v>ja</v>
      </c>
      <c r="N604" t="str">
        <f>IF(Klantgegevens_B!M603&lt;&gt;"", Klantgegevens_B!M603, IF(Klantgegevens_A!L603&gt;=7, "ja", "nee"))</f>
        <v>nee</v>
      </c>
      <c r="O604" t="str">
        <f>IF(Klantgegevens_B!N603&lt;&gt;"", Klantgegevens_B!N603, IF(Klantgegevens_A!L603&gt;=7, "ja", "nee"))</f>
        <v>ja</v>
      </c>
      <c r="P604" t="str">
        <f>IF(Klantgegevens_B!O603&lt;&gt;"", Klantgegevens_B!O603, IF(Klantgegevens_A!L603&gt;=7, "ja", "nee"))</f>
        <v>Geen dieet</v>
      </c>
      <c r="Q604">
        <f>IF(Klantgegevens_B!P603&lt;&gt;"", Klantgegevens_B!P603, Klantgegevens_A!M603)</f>
        <v>0</v>
      </c>
      <c r="R604" t="str">
        <f>IF(Klantgegevens_B!A603&lt;&gt;"", "B", "A")</f>
        <v>B</v>
      </c>
    </row>
    <row r="605" spans="1:18" x14ac:dyDescent="0.3">
      <c r="A605" t="str">
        <f>IF(Klantgegevens_B!A604&lt;&gt;"", Klantgegevens_B!A604, MID(Klantgegevens_A!A604, FIND(",", Klantgegevens_A!A604)+2, LEN(Klantgegevens_A!A604)))</f>
        <v>Myrianne</v>
      </c>
      <c r="B605" t="str">
        <f>IF(Klantgegevens_B!B604&lt;&gt;"", Klantgegevens_B!B604, LEFT(Klantgegevens_A!A604, FIND(",", Klantgegevens_A!A604)-1))</f>
        <v>Wouters</v>
      </c>
      <c r="C605" t="str">
        <f t="shared" ca="1" si="9"/>
        <v/>
      </c>
      <c r="D605" t="str">
        <f>IF(Klantgegevens_B!F604&lt;&gt;"", Klantgegevens_B!F604, Klantgegevens_A!D604 &amp; " " &amp; Klantgegevens_A!E604 &amp; ", " &amp; Klantgegevens_A!F604)</f>
        <v>Myrianne,Amelie,Christa,Andreas</v>
      </c>
      <c r="E605">
        <f>IF(Klantgegevens_B!G604&lt;&gt;"", Klantgegevens_B!G604, TEXTJOIN(",", TRUE, REPT("Volwassene,", Klantgegevens_A!G604), REPT("Kind,", Klantgegevens_A!H604)))</f>
        <v>101.21</v>
      </c>
      <c r="F605">
        <f>IF(Klantgegevens_B!G604&lt;&gt;"", LEN(Klantgegevens_B!G604)-LEN(SUBSTITUTE(Klantgegevens_B!G604, ",", ""))+1, Klantgegevens_A!G604)</f>
        <v>1</v>
      </c>
      <c r="G605">
        <f>IF(Klantgegevens_B!G604&lt;&gt;"", 0, Klantgegevens_A!H604)</f>
        <v>0</v>
      </c>
      <c r="H605">
        <f>IF(Klantgegevens_B!H604&lt;&gt;"", Klantgegevens_B!H604, Klantgegevens_A!I604)</f>
        <v>11</v>
      </c>
      <c r="I605" t="str">
        <f>IF(Klantgegevens_B!I604&lt;&gt;"", Klantgegevens_B!I604, SWITCH(Klantgegevens_A!J604, "Zelden", 1, "Af en toe", 4, "Regelmatig", 8, "Vaak", 12))</f>
        <v>Cash</v>
      </c>
      <c r="J605" t="str">
        <f>IF(Klantgegevens_B!J604&lt;&gt;"", Klantgegevens_B!J604, Klantgegevens_A!K604)</f>
        <v>ja</v>
      </c>
      <c r="K605">
        <f>IF(Klantgegevens_B!K604&lt;&gt;"", AVERAGE(--(Klantgegevens_B!K604="ja"), --(Klantgegevens_B!L604="ja"), --(Klantgegevens_B!M604="ja"), --(Klantgegevens_B!N604="ja"), --(Klantgegevens_B!O604="ja"))*10, Klantgegevens_A!L604)</f>
        <v>6</v>
      </c>
      <c r="L605" t="str">
        <f>IF(Klantgegevens_B!K604&lt;&gt;"", Klantgegevens_B!K604, IF(Klantgegevens_A!L604&gt;=7, "ja", "nee"))</f>
        <v>ja</v>
      </c>
      <c r="M605" t="str">
        <f>IF(Klantgegevens_B!L604&lt;&gt;"", Klantgegevens_B!L604, IF(Klantgegevens_A!L604&gt;=7, "ja", "nee"))</f>
        <v>ja</v>
      </c>
      <c r="N605" t="str">
        <f>IF(Klantgegevens_B!M604&lt;&gt;"", Klantgegevens_B!M604, IF(Klantgegevens_A!L604&gt;=7, "ja", "nee"))</f>
        <v>ja</v>
      </c>
      <c r="O605" t="str">
        <f>IF(Klantgegevens_B!N604&lt;&gt;"", Klantgegevens_B!N604, IF(Klantgegevens_A!L604&gt;=7, "ja", "nee"))</f>
        <v>nee</v>
      </c>
      <c r="P605" t="str">
        <f>IF(Klantgegevens_B!O604&lt;&gt;"", Klantgegevens_B!O604, IF(Klantgegevens_A!L604&gt;=7, "ja", "nee"))</f>
        <v>Geen dieet</v>
      </c>
      <c r="Q605">
        <f>IF(Klantgegevens_B!P604&lt;&gt;"", Klantgegevens_B!P604, Klantgegevens_A!M604)</f>
        <v>0</v>
      </c>
      <c r="R605" t="str">
        <f>IF(Klantgegevens_B!A604&lt;&gt;"", "B", "A")</f>
        <v>B</v>
      </c>
    </row>
    <row r="606" spans="1:18" x14ac:dyDescent="0.3">
      <c r="A606" t="str">
        <f>IF(Klantgegevens_B!A605&lt;&gt;"", Klantgegevens_B!A605, MID(Klantgegevens_A!A605, FIND(",", Klantgegevens_A!A605)+2, LEN(Klantgegevens_A!A605)))</f>
        <v>Isabel</v>
      </c>
      <c r="B606" t="str">
        <f>IF(Klantgegevens_B!B605&lt;&gt;"", Klantgegevens_B!B605, LEFT(Klantgegevens_A!A605, FIND(",", Klantgegevens_A!A605)-1))</f>
        <v>Temmerman</v>
      </c>
      <c r="C606" t="str">
        <f t="shared" ca="1" si="9"/>
        <v/>
      </c>
      <c r="D606" t="str">
        <f>IF(Klantgegevens_B!F605&lt;&gt;"", Klantgegevens_B!F605, Klantgegevens_A!D605 &amp; " " &amp; Klantgegevens_A!E605 &amp; ", " &amp; Klantgegevens_A!F605)</f>
        <v>Isabel,Batuhan,René,Anne,Malake</v>
      </c>
      <c r="E606">
        <f>IF(Klantgegevens_B!G605&lt;&gt;"", Klantgegevens_B!G605, TEXTJOIN(",", TRUE, REPT("Volwassene,", Klantgegevens_A!G605), REPT("Kind,", Klantgegevens_A!H605)))</f>
        <v>114.77</v>
      </c>
      <c r="F606">
        <f>IF(Klantgegevens_B!G605&lt;&gt;"", LEN(Klantgegevens_B!G605)-LEN(SUBSTITUTE(Klantgegevens_B!G605, ",", ""))+1, Klantgegevens_A!G605)</f>
        <v>1</v>
      </c>
      <c r="G606">
        <f>IF(Klantgegevens_B!G605&lt;&gt;"", 0, Klantgegevens_A!H605)</f>
        <v>0</v>
      </c>
      <c r="H606">
        <f>IF(Klantgegevens_B!H605&lt;&gt;"", Klantgegevens_B!H605, Klantgegevens_A!I605)</f>
        <v>8</v>
      </c>
      <c r="I606" t="str">
        <f>IF(Klantgegevens_B!I605&lt;&gt;"", Klantgegevens_B!I605, SWITCH(Klantgegevens_A!J605, "Zelden", 1, "Af en toe", 4, "Regelmatig", 8, "Vaak", 12))</f>
        <v>Payconiq</v>
      </c>
      <c r="J606" t="str">
        <f>IF(Klantgegevens_B!J605&lt;&gt;"", Klantgegevens_B!J605, Klantgegevens_A!K605)</f>
        <v>ja</v>
      </c>
      <c r="K606">
        <f>IF(Klantgegevens_B!K605&lt;&gt;"", AVERAGE(--(Klantgegevens_B!K605="ja"), --(Klantgegevens_B!L605="ja"), --(Klantgegevens_B!M605="ja"), --(Klantgegevens_B!N605="ja"), --(Klantgegevens_B!O605="ja"))*10, Klantgegevens_A!L605)</f>
        <v>2</v>
      </c>
      <c r="L606" t="str">
        <f>IF(Klantgegevens_B!K605&lt;&gt;"", Klantgegevens_B!K605, IF(Klantgegevens_A!L605&gt;=7, "ja", "nee"))</f>
        <v>nee</v>
      </c>
      <c r="M606" t="str">
        <f>IF(Klantgegevens_B!L605&lt;&gt;"", Klantgegevens_B!L605, IF(Klantgegevens_A!L605&gt;=7, "ja", "nee"))</f>
        <v>nee</v>
      </c>
      <c r="N606" t="str">
        <f>IF(Klantgegevens_B!M605&lt;&gt;"", Klantgegevens_B!M605, IF(Klantgegevens_A!L605&gt;=7, "ja", "nee"))</f>
        <v>ja</v>
      </c>
      <c r="O606" t="str">
        <f>IF(Klantgegevens_B!N605&lt;&gt;"", Klantgegevens_B!N605, IF(Klantgegevens_A!L605&gt;=7, "ja", "nee"))</f>
        <v>nee</v>
      </c>
      <c r="P606" t="str">
        <f>IF(Klantgegevens_B!O605&lt;&gt;"", Klantgegevens_B!O605, IF(Klantgegevens_A!L605&gt;=7, "ja", "nee"))</f>
        <v>Geen dieet</v>
      </c>
      <c r="Q606">
        <f>IF(Klantgegevens_B!P605&lt;&gt;"", Klantgegevens_B!P605, Klantgegevens_A!M605)</f>
        <v>0</v>
      </c>
      <c r="R606" t="str">
        <f>IF(Klantgegevens_B!A605&lt;&gt;"", "B", "A")</f>
        <v>B</v>
      </c>
    </row>
    <row r="607" spans="1:18" x14ac:dyDescent="0.3">
      <c r="A607" t="str">
        <f>IF(Klantgegevens_B!A606&lt;&gt;"", Klantgegevens_B!A606, MID(Klantgegevens_A!A606, FIND(",", Klantgegevens_A!A606)+2, LEN(Klantgegevens_A!A606)))</f>
        <v>Victor</v>
      </c>
      <c r="B607" t="str">
        <f>IF(Klantgegevens_B!B606&lt;&gt;"", Klantgegevens_B!B606, LEFT(Klantgegevens_A!A606, FIND(",", Klantgegevens_A!A606)-1))</f>
        <v>Herman</v>
      </c>
      <c r="C607" t="str">
        <f t="shared" ca="1" si="9"/>
        <v/>
      </c>
      <c r="D607" t="str">
        <f>IF(Klantgegevens_B!F606&lt;&gt;"", Klantgegevens_B!F606, Klantgegevens_A!D606 &amp; " " &amp; Klantgegevens_A!E606 &amp; ", " &amp; Klantgegevens_A!F606)</f>
        <v>Victor,Anatolii,Godelieve</v>
      </c>
      <c r="E607">
        <f>IF(Klantgegevens_B!G606&lt;&gt;"", Klantgegevens_B!G606, TEXTJOIN(",", TRUE, REPT("Volwassene,", Klantgegevens_A!G606), REPT("Kind,", Klantgegevens_A!H606)))</f>
        <v>26.76</v>
      </c>
      <c r="F607">
        <f>IF(Klantgegevens_B!G606&lt;&gt;"", LEN(Klantgegevens_B!G606)-LEN(SUBSTITUTE(Klantgegevens_B!G606, ",", ""))+1, Klantgegevens_A!G606)</f>
        <v>1</v>
      </c>
      <c r="G607">
        <f>IF(Klantgegevens_B!G606&lt;&gt;"", 0, Klantgegevens_A!H606)</f>
        <v>0</v>
      </c>
      <c r="H607">
        <f>IF(Klantgegevens_B!H606&lt;&gt;"", Klantgegevens_B!H606, Klantgegevens_A!I606)</f>
        <v>2</v>
      </c>
      <c r="I607" t="str">
        <f>IF(Klantgegevens_B!I606&lt;&gt;"", Klantgegevens_B!I606, SWITCH(Klantgegevens_A!J606, "Zelden", 1, "Af en toe", 4, "Regelmatig", 8, "Vaak", 12))</f>
        <v>Bancontact</v>
      </c>
      <c r="J607" t="str">
        <f>IF(Klantgegevens_B!J606&lt;&gt;"", Klantgegevens_B!J606, Klantgegevens_A!K606)</f>
        <v>ja</v>
      </c>
      <c r="K607">
        <f>IF(Klantgegevens_B!K606&lt;&gt;"", AVERAGE(--(Klantgegevens_B!K606="ja"), --(Klantgegevens_B!L606="ja"), --(Klantgegevens_B!M606="ja"), --(Klantgegevens_B!N606="ja"), --(Klantgegevens_B!O606="ja"))*10, Klantgegevens_A!L606)</f>
        <v>6</v>
      </c>
      <c r="L607" t="str">
        <f>IF(Klantgegevens_B!K606&lt;&gt;"", Klantgegevens_B!K606, IF(Klantgegevens_A!L606&gt;=7, "ja", "nee"))</f>
        <v>ja</v>
      </c>
      <c r="M607" t="str">
        <f>IF(Klantgegevens_B!L606&lt;&gt;"", Klantgegevens_B!L606, IF(Klantgegevens_A!L606&gt;=7, "ja", "nee"))</f>
        <v>ja</v>
      </c>
      <c r="N607" t="str">
        <f>IF(Klantgegevens_B!M606&lt;&gt;"", Klantgegevens_B!M606, IF(Klantgegevens_A!L606&gt;=7, "ja", "nee"))</f>
        <v>nee</v>
      </c>
      <c r="O607" t="str">
        <f>IF(Klantgegevens_B!N606&lt;&gt;"", Klantgegevens_B!N606, IF(Klantgegevens_A!L606&gt;=7, "ja", "nee"))</f>
        <v>ja</v>
      </c>
      <c r="P607" t="str">
        <f>IF(Klantgegevens_B!O606&lt;&gt;"", Klantgegevens_B!O606, IF(Klantgegevens_A!L606&gt;=7, "ja", "nee"))</f>
        <v>Vegetarisch</v>
      </c>
      <c r="Q607">
        <f>IF(Klantgegevens_B!P606&lt;&gt;"", Klantgegevens_B!P606, Klantgegevens_A!M606)</f>
        <v>0</v>
      </c>
      <c r="R607" t="str">
        <f>IF(Klantgegevens_B!A606&lt;&gt;"", "B", "A")</f>
        <v>B</v>
      </c>
    </row>
    <row r="608" spans="1:18" x14ac:dyDescent="0.3">
      <c r="A608" t="str">
        <f>IF(Klantgegevens_B!A607&lt;&gt;"", Klantgegevens_B!A607, MID(Klantgegevens_A!A607, FIND(",", Klantgegevens_A!A607)+2, LEN(Klantgegevens_A!A607)))</f>
        <v>Noël</v>
      </c>
      <c r="B608" t="str">
        <f>IF(Klantgegevens_B!B607&lt;&gt;"", Klantgegevens_B!B607, LEFT(Klantgegevens_A!A607, FIND(",", Klantgegevens_A!A607)-1))</f>
        <v>De clercq</v>
      </c>
      <c r="C608" t="str">
        <f t="shared" ca="1" si="9"/>
        <v/>
      </c>
      <c r="D608" t="str">
        <f>IF(Klantgegevens_B!F607&lt;&gt;"", Klantgegevens_B!F607, Klantgegevens_A!D607 &amp; " " &amp; Klantgegevens_A!E607 &amp; ", " &amp; Klantgegevens_A!F607)</f>
        <v>Noël,Kimberly,Fitim</v>
      </c>
      <c r="E608">
        <f>IF(Klantgegevens_B!G607&lt;&gt;"", Klantgegevens_B!G607, TEXTJOIN(",", TRUE, REPT("Volwassene,", Klantgegevens_A!G607), REPT("Kind,", Klantgegevens_A!H607)))</f>
        <v>137.54</v>
      </c>
      <c r="F608">
        <f>IF(Klantgegevens_B!G607&lt;&gt;"", LEN(Klantgegevens_B!G607)-LEN(SUBSTITUTE(Klantgegevens_B!G607, ",", ""))+1, Klantgegevens_A!G607)</f>
        <v>1</v>
      </c>
      <c r="G608">
        <f>IF(Klantgegevens_B!G607&lt;&gt;"", 0, Klantgegevens_A!H607)</f>
        <v>0</v>
      </c>
      <c r="H608">
        <f>IF(Klantgegevens_B!H607&lt;&gt;"", Klantgegevens_B!H607, Klantgegevens_A!I607)</f>
        <v>7</v>
      </c>
      <c r="I608" t="str">
        <f>IF(Klantgegevens_B!I607&lt;&gt;"", Klantgegevens_B!I607, SWITCH(Klantgegevens_A!J607, "Zelden", 1, "Af en toe", 4, "Regelmatig", 8, "Vaak", 12))</f>
        <v>Bancontact</v>
      </c>
      <c r="J608" t="str">
        <f>IF(Klantgegevens_B!J607&lt;&gt;"", Klantgegevens_B!J607, Klantgegevens_A!K607)</f>
        <v>ja</v>
      </c>
      <c r="K608">
        <f>IF(Klantgegevens_B!K607&lt;&gt;"", AVERAGE(--(Klantgegevens_B!K607="ja"), --(Klantgegevens_B!L607="ja"), --(Klantgegevens_B!M607="ja"), --(Klantgegevens_B!N607="ja"), --(Klantgegevens_B!O607="ja"))*10, Klantgegevens_A!L607)</f>
        <v>6</v>
      </c>
      <c r="L608" t="str">
        <f>IF(Klantgegevens_B!K607&lt;&gt;"", Klantgegevens_B!K607, IF(Klantgegevens_A!L607&gt;=7, "ja", "nee"))</f>
        <v>ja</v>
      </c>
      <c r="M608" t="str">
        <f>IF(Klantgegevens_B!L607&lt;&gt;"", Klantgegevens_B!L607, IF(Klantgegevens_A!L607&gt;=7, "ja", "nee"))</f>
        <v>ja</v>
      </c>
      <c r="N608" t="str">
        <f>IF(Klantgegevens_B!M607&lt;&gt;"", Klantgegevens_B!M607, IF(Klantgegevens_A!L607&gt;=7, "ja", "nee"))</f>
        <v>nee</v>
      </c>
      <c r="O608" t="str">
        <f>IF(Klantgegevens_B!N607&lt;&gt;"", Klantgegevens_B!N607, IF(Klantgegevens_A!L607&gt;=7, "ja", "nee"))</f>
        <v>ja</v>
      </c>
      <c r="P608" t="str">
        <f>IF(Klantgegevens_B!O607&lt;&gt;"", Klantgegevens_B!O607, IF(Klantgegevens_A!L607&gt;=7, "ja", "nee"))</f>
        <v>Vegetarisch</v>
      </c>
      <c r="Q608">
        <f>IF(Klantgegevens_B!P607&lt;&gt;"", Klantgegevens_B!P607, Klantgegevens_A!M607)</f>
        <v>0</v>
      </c>
      <c r="R608" t="str">
        <f>IF(Klantgegevens_B!A607&lt;&gt;"", "B", "A")</f>
        <v>B</v>
      </c>
    </row>
    <row r="609" spans="1:18" x14ac:dyDescent="0.3">
      <c r="A609" t="str">
        <f>IF(Klantgegevens_B!A608&lt;&gt;"", Klantgegevens_B!A608, MID(Klantgegevens_A!A608, FIND(",", Klantgegevens_A!A608)+2, LEN(Klantgegevens_A!A608)))</f>
        <v>Lio</v>
      </c>
      <c r="B609" t="str">
        <f>IF(Klantgegevens_B!B608&lt;&gt;"", Klantgegevens_B!B608, LEFT(Klantgegevens_A!A608, FIND(",", Klantgegevens_A!A608)-1))</f>
        <v>Michaux</v>
      </c>
      <c r="C609" t="str">
        <f t="shared" ca="1" si="9"/>
        <v/>
      </c>
      <c r="D609" t="str">
        <f>IF(Klantgegevens_B!F608&lt;&gt;"", Klantgegevens_B!F608, Klantgegevens_A!D608 &amp; " " &amp; Klantgegevens_A!E608 &amp; ", " &amp; Klantgegevens_A!F608)</f>
        <v>Lio,Marc,Amadou,Mehmet</v>
      </c>
      <c r="E609">
        <f>IF(Klantgegevens_B!G608&lt;&gt;"", Klantgegevens_B!G608, TEXTJOIN(",", TRUE, REPT("Volwassene,", Klantgegevens_A!G608), REPT("Kind,", Klantgegevens_A!H608)))</f>
        <v>194.6</v>
      </c>
      <c r="F609">
        <f>IF(Klantgegevens_B!G608&lt;&gt;"", LEN(Klantgegevens_B!G608)-LEN(SUBSTITUTE(Klantgegevens_B!G608, ",", ""))+1, Klantgegevens_A!G608)</f>
        <v>1</v>
      </c>
      <c r="G609">
        <f>IF(Klantgegevens_B!G608&lt;&gt;"", 0, Klantgegevens_A!H608)</f>
        <v>0</v>
      </c>
      <c r="H609">
        <f>IF(Klantgegevens_B!H608&lt;&gt;"", Klantgegevens_B!H608, Klantgegevens_A!I608)</f>
        <v>17</v>
      </c>
      <c r="I609" t="str">
        <f>IF(Klantgegevens_B!I608&lt;&gt;"", Klantgegevens_B!I608, SWITCH(Klantgegevens_A!J608, "Zelden", 1, "Af en toe", 4, "Regelmatig", 8, "Vaak", 12))</f>
        <v>Cash</v>
      </c>
      <c r="J609" t="str">
        <f>IF(Klantgegevens_B!J608&lt;&gt;"", Klantgegevens_B!J608, Klantgegevens_A!K608)</f>
        <v>ja</v>
      </c>
      <c r="K609">
        <f>IF(Klantgegevens_B!K608&lt;&gt;"", AVERAGE(--(Klantgegevens_B!K608="ja"), --(Klantgegevens_B!L608="ja"), --(Klantgegevens_B!M608="ja"), --(Klantgegevens_B!N608="ja"), --(Klantgegevens_B!O608="ja"))*10, Klantgegevens_A!L608)</f>
        <v>6</v>
      </c>
      <c r="L609" t="str">
        <f>IF(Klantgegevens_B!K608&lt;&gt;"", Klantgegevens_B!K608, IF(Klantgegevens_A!L608&gt;=7, "ja", "nee"))</f>
        <v>ja</v>
      </c>
      <c r="M609" t="str">
        <f>IF(Klantgegevens_B!L608&lt;&gt;"", Klantgegevens_B!L608, IF(Klantgegevens_A!L608&gt;=7, "ja", "nee"))</f>
        <v>ja</v>
      </c>
      <c r="N609" t="str">
        <f>IF(Klantgegevens_B!M608&lt;&gt;"", Klantgegevens_B!M608, IF(Klantgegevens_A!L608&gt;=7, "ja", "nee"))</f>
        <v>ja</v>
      </c>
      <c r="O609" t="str">
        <f>IF(Klantgegevens_B!N608&lt;&gt;"", Klantgegevens_B!N608, IF(Klantgegevens_A!L608&gt;=7, "ja", "nee"))</f>
        <v>nee</v>
      </c>
      <c r="P609" t="str">
        <f>IF(Klantgegevens_B!O608&lt;&gt;"", Klantgegevens_B!O608, IF(Klantgegevens_A!L608&gt;=7, "ja", "nee"))</f>
        <v>Vegetarisch</v>
      </c>
      <c r="Q609">
        <f>IF(Klantgegevens_B!P608&lt;&gt;"", Klantgegevens_B!P608, Klantgegevens_A!M608)</f>
        <v>0</v>
      </c>
      <c r="R609" t="str">
        <f>IF(Klantgegevens_B!A608&lt;&gt;"", "B", "A")</f>
        <v>B</v>
      </c>
    </row>
    <row r="610" spans="1:18" x14ac:dyDescent="0.3">
      <c r="A610" t="str">
        <f>IF(Klantgegevens_B!A609&lt;&gt;"", Klantgegevens_B!A609, MID(Klantgegevens_A!A609, FIND(",", Klantgegevens_A!A609)+2, LEN(Klantgegevens_A!A609)))</f>
        <v>Léon</v>
      </c>
      <c r="B610" t="str">
        <f>IF(Klantgegevens_B!B609&lt;&gt;"", Klantgegevens_B!B609, LEFT(Klantgegevens_A!A609, FIND(",", Klantgegevens_A!A609)-1))</f>
        <v>Moerman</v>
      </c>
      <c r="C610" t="str">
        <f t="shared" ca="1" si="9"/>
        <v/>
      </c>
      <c r="D610" t="str">
        <f>IF(Klantgegevens_B!F609&lt;&gt;"", Klantgegevens_B!F609, Klantgegevens_A!D609 &amp; " " &amp; Klantgegevens_A!E609 &amp; ", " &amp; Klantgegevens_A!F609)</f>
        <v>Léon,Anca</v>
      </c>
      <c r="E610">
        <f>IF(Klantgegevens_B!G609&lt;&gt;"", Klantgegevens_B!G609, TEXTJOIN(",", TRUE, REPT("Volwassene,", Klantgegevens_A!G609), REPT("Kind,", Klantgegevens_A!H609)))</f>
        <v>160.58000000000001</v>
      </c>
      <c r="F610">
        <f>IF(Klantgegevens_B!G609&lt;&gt;"", LEN(Klantgegevens_B!G609)-LEN(SUBSTITUTE(Klantgegevens_B!G609, ",", ""))+1, Klantgegevens_A!G609)</f>
        <v>1</v>
      </c>
      <c r="G610">
        <f>IF(Klantgegevens_B!G609&lt;&gt;"", 0, Klantgegevens_A!H609)</f>
        <v>0</v>
      </c>
      <c r="H610">
        <f>IF(Klantgegevens_B!H609&lt;&gt;"", Klantgegevens_B!H609, Klantgegevens_A!I609)</f>
        <v>1</v>
      </c>
      <c r="I610" t="str">
        <f>IF(Klantgegevens_B!I609&lt;&gt;"", Klantgegevens_B!I609, SWITCH(Klantgegevens_A!J609, "Zelden", 1, "Af en toe", 4, "Regelmatig", 8, "Vaak", 12))</f>
        <v>Bancontact</v>
      </c>
      <c r="J610" t="str">
        <f>IF(Klantgegevens_B!J609&lt;&gt;"", Klantgegevens_B!J609, Klantgegevens_A!K609)</f>
        <v>ja</v>
      </c>
      <c r="K610">
        <f>IF(Klantgegevens_B!K609&lt;&gt;"", AVERAGE(--(Klantgegevens_B!K609="ja"), --(Klantgegevens_B!L609="ja"), --(Klantgegevens_B!M609="ja"), --(Klantgegevens_B!N609="ja"), --(Klantgegevens_B!O609="ja"))*10, Klantgegevens_A!L609)</f>
        <v>0</v>
      </c>
      <c r="L610" t="str">
        <f>IF(Klantgegevens_B!K609&lt;&gt;"", Klantgegevens_B!K609, IF(Klantgegevens_A!L609&gt;=7, "ja", "nee"))</f>
        <v>nee</v>
      </c>
      <c r="M610" t="str">
        <f>IF(Klantgegevens_B!L609&lt;&gt;"", Klantgegevens_B!L609, IF(Klantgegevens_A!L609&gt;=7, "ja", "nee"))</f>
        <v>nee</v>
      </c>
      <c r="N610" t="str">
        <f>IF(Klantgegevens_B!M609&lt;&gt;"", Klantgegevens_B!M609, IF(Klantgegevens_A!L609&gt;=7, "ja", "nee"))</f>
        <v>nee</v>
      </c>
      <c r="O610" t="str">
        <f>IF(Klantgegevens_B!N609&lt;&gt;"", Klantgegevens_B!N609, IF(Klantgegevens_A!L609&gt;=7, "ja", "nee"))</f>
        <v>nee</v>
      </c>
      <c r="P610" t="str">
        <f>IF(Klantgegevens_B!O609&lt;&gt;"", Klantgegevens_B!O609, IF(Klantgegevens_A!L609&gt;=7, "ja", "nee"))</f>
        <v>Geen dieet</v>
      </c>
      <c r="Q610">
        <f>IF(Klantgegevens_B!P609&lt;&gt;"", Klantgegevens_B!P609, Klantgegevens_A!M609)</f>
        <v>0</v>
      </c>
      <c r="R610" t="str">
        <f>IF(Klantgegevens_B!A609&lt;&gt;"", "B", "A")</f>
        <v>B</v>
      </c>
    </row>
    <row r="611" spans="1:18" x14ac:dyDescent="0.3">
      <c r="A611" t="str">
        <f>IF(Klantgegevens_B!A610&lt;&gt;"", Klantgegevens_B!A610, MID(Klantgegevens_A!A610, FIND(",", Klantgegevens_A!A610)+2, LEN(Klantgegevens_A!A610)))</f>
        <v>Eugeniusz</v>
      </c>
      <c r="B611" t="str">
        <f>IF(Klantgegevens_B!B610&lt;&gt;"", Klantgegevens_B!B610, LEFT(Klantgegevens_A!A610, FIND(",", Klantgegevens_A!A610)-1))</f>
        <v>Moons</v>
      </c>
      <c r="C611" t="str">
        <f t="shared" ca="1" si="9"/>
        <v/>
      </c>
      <c r="D611" t="str">
        <f>IF(Klantgegevens_B!F610&lt;&gt;"", Klantgegevens_B!F610, Klantgegevens_A!D610 &amp; " " &amp; Klantgegevens_A!E610 &amp; ", " &amp; Klantgegevens_A!F610)</f>
        <v>Eugeniusz,Adrien,Martine</v>
      </c>
      <c r="E611">
        <f>IF(Klantgegevens_B!G610&lt;&gt;"", Klantgegevens_B!G610, TEXTJOIN(",", TRUE, REPT("Volwassene,", Klantgegevens_A!G610), REPT("Kind,", Klantgegevens_A!H610)))</f>
        <v>130.21</v>
      </c>
      <c r="F611">
        <f>IF(Klantgegevens_B!G610&lt;&gt;"", LEN(Klantgegevens_B!G610)-LEN(SUBSTITUTE(Klantgegevens_B!G610, ",", ""))+1, Klantgegevens_A!G610)</f>
        <v>1</v>
      </c>
      <c r="G611">
        <f>IF(Klantgegevens_B!G610&lt;&gt;"", 0, Klantgegevens_A!H610)</f>
        <v>0</v>
      </c>
      <c r="H611">
        <f>IF(Klantgegevens_B!H610&lt;&gt;"", Klantgegevens_B!H610, Klantgegevens_A!I610)</f>
        <v>4</v>
      </c>
      <c r="I611" t="str">
        <f>IF(Klantgegevens_B!I610&lt;&gt;"", Klantgegevens_B!I610, SWITCH(Klantgegevens_A!J610, "Zelden", 1, "Af en toe", 4, "Regelmatig", 8, "Vaak", 12))</f>
        <v>Payconiq</v>
      </c>
      <c r="J611" t="str">
        <f>IF(Klantgegevens_B!J610&lt;&gt;"", Klantgegevens_B!J610, Klantgegevens_A!K610)</f>
        <v>ja</v>
      </c>
      <c r="K611">
        <f>IF(Klantgegevens_B!K610&lt;&gt;"", AVERAGE(--(Klantgegevens_B!K610="ja"), --(Klantgegevens_B!L610="ja"), --(Klantgegevens_B!M610="ja"), --(Klantgegevens_B!N610="ja"), --(Klantgegevens_B!O610="ja"))*10, Klantgegevens_A!L610)</f>
        <v>6</v>
      </c>
      <c r="L611" t="str">
        <f>IF(Klantgegevens_B!K610&lt;&gt;"", Klantgegevens_B!K610, IF(Klantgegevens_A!L610&gt;=7, "ja", "nee"))</f>
        <v>ja</v>
      </c>
      <c r="M611" t="str">
        <f>IF(Klantgegevens_B!L610&lt;&gt;"", Klantgegevens_B!L610, IF(Klantgegevens_A!L610&gt;=7, "ja", "nee"))</f>
        <v>ja</v>
      </c>
      <c r="N611" t="str">
        <f>IF(Klantgegevens_B!M610&lt;&gt;"", Klantgegevens_B!M610, IF(Klantgegevens_A!L610&gt;=7, "ja", "nee"))</f>
        <v>ja</v>
      </c>
      <c r="O611" t="str">
        <f>IF(Klantgegevens_B!N610&lt;&gt;"", Klantgegevens_B!N610, IF(Klantgegevens_A!L610&gt;=7, "ja", "nee"))</f>
        <v>nee</v>
      </c>
      <c r="P611" t="str">
        <f>IF(Klantgegevens_B!O610&lt;&gt;"", Klantgegevens_B!O610, IF(Klantgegevens_A!L610&gt;=7, "ja", "nee"))</f>
        <v>Vegetarisch</v>
      </c>
      <c r="Q611">
        <f>IF(Klantgegevens_B!P610&lt;&gt;"", Klantgegevens_B!P610, Klantgegevens_A!M610)</f>
        <v>0</v>
      </c>
      <c r="R611" t="str">
        <f>IF(Klantgegevens_B!A610&lt;&gt;"", "B", "A")</f>
        <v>B</v>
      </c>
    </row>
    <row r="612" spans="1:18" x14ac:dyDescent="0.3">
      <c r="A612" t="str">
        <f>IF(Klantgegevens_B!A611&lt;&gt;"", Klantgegevens_B!A611, MID(Klantgegevens_A!A611, FIND(",", Klantgegevens_A!A611)+2, LEN(Klantgegevens_A!A611)))</f>
        <v>Finn</v>
      </c>
      <c r="B612" t="str">
        <f>IF(Klantgegevens_B!B611&lt;&gt;"", Klantgegevens_B!B611, LEFT(Klantgegevens_A!A611, FIND(",", Klantgegevens_A!A611)-1))</f>
        <v>Nicolas</v>
      </c>
      <c r="C612" t="str">
        <f t="shared" ca="1" si="9"/>
        <v/>
      </c>
      <c r="D612" t="str">
        <f>IF(Klantgegevens_B!F611&lt;&gt;"", Klantgegevens_B!F611, Klantgegevens_A!D611 &amp; " " &amp; Klantgegevens_A!E611 &amp; ", " &amp; Klantgegevens_A!F611)</f>
        <v>Finn</v>
      </c>
      <c r="E612">
        <f>IF(Klantgegevens_B!G611&lt;&gt;"", Klantgegevens_B!G611, TEXTJOIN(",", TRUE, REPT("Volwassene,", Klantgegevens_A!G611), REPT("Kind,", Klantgegevens_A!H611)))</f>
        <v>98.35</v>
      </c>
      <c r="F612">
        <f>IF(Klantgegevens_B!G611&lt;&gt;"", LEN(Klantgegevens_B!G611)-LEN(SUBSTITUTE(Klantgegevens_B!G611, ",", ""))+1, Klantgegevens_A!G611)</f>
        <v>1</v>
      </c>
      <c r="G612">
        <f>IF(Klantgegevens_B!G611&lt;&gt;"", 0, Klantgegevens_A!H611)</f>
        <v>0</v>
      </c>
      <c r="H612">
        <f>IF(Klantgegevens_B!H611&lt;&gt;"", Klantgegevens_B!H611, Klantgegevens_A!I611)</f>
        <v>12</v>
      </c>
      <c r="I612" t="str">
        <f>IF(Klantgegevens_B!I611&lt;&gt;"", Klantgegevens_B!I611, SWITCH(Klantgegevens_A!J611, "Zelden", 1, "Af en toe", 4, "Regelmatig", 8, "Vaak", 12))</f>
        <v>Payconiq</v>
      </c>
      <c r="J612" t="str">
        <f>IF(Klantgegevens_B!J611&lt;&gt;"", Klantgegevens_B!J611, Klantgegevens_A!K611)</f>
        <v>ja</v>
      </c>
      <c r="K612">
        <f>IF(Klantgegevens_B!K611&lt;&gt;"", AVERAGE(--(Klantgegevens_B!K611="ja"), --(Klantgegevens_B!L611="ja"), --(Klantgegevens_B!M611="ja"), --(Klantgegevens_B!N611="ja"), --(Klantgegevens_B!O611="ja"))*10, Klantgegevens_A!L611)</f>
        <v>8</v>
      </c>
      <c r="L612" t="str">
        <f>IF(Klantgegevens_B!K611&lt;&gt;"", Klantgegevens_B!K611, IF(Klantgegevens_A!L611&gt;=7, "ja", "nee"))</f>
        <v>ja</v>
      </c>
      <c r="M612" t="str">
        <f>IF(Klantgegevens_B!L611&lt;&gt;"", Klantgegevens_B!L611, IF(Klantgegevens_A!L611&gt;=7, "ja", "nee"))</f>
        <v>ja</v>
      </c>
      <c r="N612" t="str">
        <f>IF(Klantgegevens_B!M611&lt;&gt;"", Klantgegevens_B!M611, IF(Klantgegevens_A!L611&gt;=7, "ja", "nee"))</f>
        <v>ja</v>
      </c>
      <c r="O612" t="str">
        <f>IF(Klantgegevens_B!N611&lt;&gt;"", Klantgegevens_B!N611, IF(Klantgegevens_A!L611&gt;=7, "ja", "nee"))</f>
        <v>ja</v>
      </c>
      <c r="P612" t="str">
        <f>IF(Klantgegevens_B!O611&lt;&gt;"", Klantgegevens_B!O611, IF(Klantgegevens_A!L611&gt;=7, "ja", "nee"))</f>
        <v>Vegetarisch</v>
      </c>
      <c r="Q612">
        <f>IF(Klantgegevens_B!P611&lt;&gt;"", Klantgegevens_B!P611, Klantgegevens_A!M611)</f>
        <v>0</v>
      </c>
      <c r="R612" t="str">
        <f>IF(Klantgegevens_B!A611&lt;&gt;"", "B", "A")</f>
        <v>B</v>
      </c>
    </row>
    <row r="613" spans="1:18" x14ac:dyDescent="0.3">
      <c r="A613" t="str">
        <f>IF(Klantgegevens_B!A612&lt;&gt;"", Klantgegevens_B!A612, MID(Klantgegevens_A!A612, FIND(",", Klantgegevens_A!A612)+2, LEN(Klantgegevens_A!A612)))</f>
        <v>Lina</v>
      </c>
      <c r="B613" t="str">
        <f>IF(Klantgegevens_B!B612&lt;&gt;"", Klantgegevens_B!B612, LEFT(Klantgegevens_A!A612, FIND(",", Klantgegevens_A!A612)-1))</f>
        <v>Van den broeck</v>
      </c>
      <c r="C613" t="str">
        <f t="shared" ca="1" si="9"/>
        <v/>
      </c>
      <c r="D613" t="str">
        <f>IF(Klantgegevens_B!F612&lt;&gt;"", Klantgegevens_B!F612, Klantgegevens_A!D612 &amp; " " &amp; Klantgegevens_A!E612 &amp; ", " &amp; Klantgegevens_A!F612)</f>
        <v>Lina,Pieter,Théo,Arlette</v>
      </c>
      <c r="E613">
        <f>IF(Klantgegevens_B!G612&lt;&gt;"", Klantgegevens_B!G612, TEXTJOIN(",", TRUE, REPT("Volwassene,", Klantgegevens_A!G612), REPT("Kind,", Klantgegevens_A!H612)))</f>
        <v>176.99</v>
      </c>
      <c r="F613">
        <f>IF(Klantgegevens_B!G612&lt;&gt;"", LEN(Klantgegevens_B!G612)-LEN(SUBSTITUTE(Klantgegevens_B!G612, ",", ""))+1, Klantgegevens_A!G612)</f>
        <v>1</v>
      </c>
      <c r="G613">
        <f>IF(Klantgegevens_B!G612&lt;&gt;"", 0, Klantgegevens_A!H612)</f>
        <v>0</v>
      </c>
      <c r="H613">
        <f>IF(Klantgegevens_B!H612&lt;&gt;"", Klantgegevens_B!H612, Klantgegevens_A!I612)</f>
        <v>19</v>
      </c>
      <c r="I613" t="str">
        <f>IF(Klantgegevens_B!I612&lt;&gt;"", Klantgegevens_B!I612, SWITCH(Klantgegevens_A!J612, "Zelden", 1, "Af en toe", 4, "Regelmatig", 8, "Vaak", 12))</f>
        <v>Bancontact</v>
      </c>
      <c r="J613" t="str">
        <f>IF(Klantgegevens_B!J612&lt;&gt;"", Klantgegevens_B!J612, Klantgegevens_A!K612)</f>
        <v>ja</v>
      </c>
      <c r="K613">
        <f>IF(Klantgegevens_B!K612&lt;&gt;"", AVERAGE(--(Klantgegevens_B!K612="ja"), --(Klantgegevens_B!L612="ja"), --(Klantgegevens_B!M612="ja"), --(Klantgegevens_B!N612="ja"), --(Klantgegevens_B!O612="ja"))*10, Klantgegevens_A!L612)</f>
        <v>8</v>
      </c>
      <c r="L613" t="str">
        <f>IF(Klantgegevens_B!K612&lt;&gt;"", Klantgegevens_B!K612, IF(Klantgegevens_A!L612&gt;=7, "ja", "nee"))</f>
        <v>ja</v>
      </c>
      <c r="M613" t="str">
        <f>IF(Klantgegevens_B!L612&lt;&gt;"", Klantgegevens_B!L612, IF(Klantgegevens_A!L612&gt;=7, "ja", "nee"))</f>
        <v>ja</v>
      </c>
      <c r="N613" t="str">
        <f>IF(Klantgegevens_B!M612&lt;&gt;"", Klantgegevens_B!M612, IF(Klantgegevens_A!L612&gt;=7, "ja", "nee"))</f>
        <v>ja</v>
      </c>
      <c r="O613" t="str">
        <f>IF(Klantgegevens_B!N612&lt;&gt;"", Klantgegevens_B!N612, IF(Klantgegevens_A!L612&gt;=7, "ja", "nee"))</f>
        <v>ja</v>
      </c>
      <c r="P613" t="str">
        <f>IF(Klantgegevens_B!O612&lt;&gt;"", Klantgegevens_B!O612, IF(Klantgegevens_A!L612&gt;=7, "ja", "nee"))</f>
        <v>Geen dieet</v>
      </c>
      <c r="Q613">
        <f>IF(Klantgegevens_B!P612&lt;&gt;"", Klantgegevens_B!P612, Klantgegevens_A!M612)</f>
        <v>0</v>
      </c>
      <c r="R613" t="str">
        <f>IF(Klantgegevens_B!A612&lt;&gt;"", "B", "A")</f>
        <v>B</v>
      </c>
    </row>
    <row r="614" spans="1:18" x14ac:dyDescent="0.3">
      <c r="A614" t="str">
        <f>IF(Klantgegevens_B!A613&lt;&gt;"", Klantgegevens_B!A613, MID(Klantgegevens_A!A613, FIND(",", Klantgegevens_A!A613)+2, LEN(Klantgegevens_A!A613)))</f>
        <v>Steven</v>
      </c>
      <c r="B614" t="str">
        <f>IF(Klantgegevens_B!B613&lt;&gt;"", Klantgegevens_B!B613, LEFT(Klantgegevens_A!A613, FIND(",", Klantgegevens_A!A613)-1))</f>
        <v>Smet</v>
      </c>
      <c r="C614" t="str">
        <f t="shared" ca="1" si="9"/>
        <v/>
      </c>
      <c r="D614" t="str">
        <f>IF(Klantgegevens_B!F613&lt;&gt;"", Klantgegevens_B!F613, Klantgegevens_A!D613 &amp; " " &amp; Klantgegevens_A!E613 &amp; ", " &amp; Klantgegevens_A!F613)</f>
        <v>Steven,Rudy,Lisa</v>
      </c>
      <c r="E614">
        <f>IF(Klantgegevens_B!G613&lt;&gt;"", Klantgegevens_B!G613, TEXTJOIN(",", TRUE, REPT("Volwassene,", Klantgegevens_A!G613), REPT("Kind,", Klantgegevens_A!H613)))</f>
        <v>28.89</v>
      </c>
      <c r="F614">
        <f>IF(Klantgegevens_B!G613&lt;&gt;"", LEN(Klantgegevens_B!G613)-LEN(SUBSTITUTE(Klantgegevens_B!G613, ",", ""))+1, Klantgegevens_A!G613)</f>
        <v>1</v>
      </c>
      <c r="G614">
        <f>IF(Klantgegevens_B!G613&lt;&gt;"", 0, Klantgegevens_A!H613)</f>
        <v>0</v>
      </c>
      <c r="H614">
        <f>IF(Klantgegevens_B!H613&lt;&gt;"", Klantgegevens_B!H613, Klantgegevens_A!I613)</f>
        <v>8</v>
      </c>
      <c r="I614" t="str">
        <f>IF(Klantgegevens_B!I613&lt;&gt;"", Klantgegevens_B!I613, SWITCH(Klantgegevens_A!J613, "Zelden", 1, "Af en toe", 4, "Regelmatig", 8, "Vaak", 12))</f>
        <v>Bancontact</v>
      </c>
      <c r="J614" t="str">
        <f>IF(Klantgegevens_B!J613&lt;&gt;"", Klantgegevens_B!J613, Klantgegevens_A!K613)</f>
        <v>ja</v>
      </c>
      <c r="K614">
        <f>IF(Klantgegevens_B!K613&lt;&gt;"", AVERAGE(--(Klantgegevens_B!K613="ja"), --(Klantgegevens_B!L613="ja"), --(Klantgegevens_B!M613="ja"), --(Klantgegevens_B!N613="ja"), --(Klantgegevens_B!O613="ja"))*10, Klantgegevens_A!L613)</f>
        <v>6</v>
      </c>
      <c r="L614" t="str">
        <f>IF(Klantgegevens_B!K613&lt;&gt;"", Klantgegevens_B!K613, IF(Klantgegevens_A!L613&gt;=7, "ja", "nee"))</f>
        <v>nee</v>
      </c>
      <c r="M614" t="str">
        <f>IF(Klantgegevens_B!L613&lt;&gt;"", Klantgegevens_B!L613, IF(Klantgegevens_A!L613&gt;=7, "ja", "nee"))</f>
        <v>ja</v>
      </c>
      <c r="N614" t="str">
        <f>IF(Klantgegevens_B!M613&lt;&gt;"", Klantgegevens_B!M613, IF(Klantgegevens_A!L613&gt;=7, "ja", "nee"))</f>
        <v>ja</v>
      </c>
      <c r="O614" t="str">
        <f>IF(Klantgegevens_B!N613&lt;&gt;"", Klantgegevens_B!N613, IF(Klantgegevens_A!L613&gt;=7, "ja", "nee"))</f>
        <v>ja</v>
      </c>
      <c r="P614" t="str">
        <f>IF(Klantgegevens_B!O613&lt;&gt;"", Klantgegevens_B!O613, IF(Klantgegevens_A!L613&gt;=7, "ja", "nee"))</f>
        <v>Veganistisch</v>
      </c>
      <c r="Q614">
        <f>IF(Klantgegevens_B!P613&lt;&gt;"", Klantgegevens_B!P613, Klantgegevens_A!M613)</f>
        <v>0</v>
      </c>
      <c r="R614" t="str">
        <f>IF(Klantgegevens_B!A613&lt;&gt;"", "B", "A")</f>
        <v>B</v>
      </c>
    </row>
    <row r="615" spans="1:18" x14ac:dyDescent="0.3">
      <c r="A615" t="str">
        <f>IF(Klantgegevens_B!A614&lt;&gt;"", Klantgegevens_B!A614, MID(Klantgegevens_A!A614, FIND(",", Klantgegevens_A!A614)+2, LEN(Klantgegevens_A!A614)))</f>
        <v>Joëlle</v>
      </c>
      <c r="B615" t="str">
        <f>IF(Klantgegevens_B!B614&lt;&gt;"", Klantgegevens_B!B614, LEFT(Klantgegevens_A!A614, FIND(",", Klantgegevens_A!A614)-1))</f>
        <v>Lambrechts</v>
      </c>
      <c r="C615" t="str">
        <f t="shared" ca="1" si="9"/>
        <v/>
      </c>
      <c r="D615" t="str">
        <f>IF(Klantgegevens_B!F614&lt;&gt;"", Klantgegevens_B!F614, Klantgegevens_A!D614 &amp; " " &amp; Klantgegevens_A!E614 &amp; ", " &amp; Klantgegevens_A!F614)</f>
        <v>Joëlle,Maria,Christel,Jacques</v>
      </c>
      <c r="E615">
        <f>IF(Klantgegevens_B!G614&lt;&gt;"", Klantgegevens_B!G614, TEXTJOIN(",", TRUE, REPT("Volwassene,", Klantgegevens_A!G614), REPT("Kind,", Klantgegevens_A!H614)))</f>
        <v>150.08000000000001</v>
      </c>
      <c r="F615">
        <f>IF(Klantgegevens_B!G614&lt;&gt;"", LEN(Klantgegevens_B!G614)-LEN(SUBSTITUTE(Klantgegevens_B!G614, ",", ""))+1, Klantgegevens_A!G614)</f>
        <v>1</v>
      </c>
      <c r="G615">
        <f>IF(Klantgegevens_B!G614&lt;&gt;"", 0, Klantgegevens_A!H614)</f>
        <v>0</v>
      </c>
      <c r="H615">
        <f>IF(Klantgegevens_B!H614&lt;&gt;"", Klantgegevens_B!H614, Klantgegevens_A!I614)</f>
        <v>5</v>
      </c>
      <c r="I615" t="str">
        <f>IF(Klantgegevens_B!I614&lt;&gt;"", Klantgegevens_B!I614, SWITCH(Klantgegevens_A!J614, "Zelden", 1, "Af en toe", 4, "Regelmatig", 8, "Vaak", 12))</f>
        <v>Cash</v>
      </c>
      <c r="J615" t="str">
        <f>IF(Klantgegevens_B!J614&lt;&gt;"", Klantgegevens_B!J614, Klantgegevens_A!K614)</f>
        <v>ja</v>
      </c>
      <c r="K615">
        <f>IF(Klantgegevens_B!K614&lt;&gt;"", AVERAGE(--(Klantgegevens_B!K614="ja"), --(Klantgegevens_B!L614="ja"), --(Klantgegevens_B!M614="ja"), --(Klantgegevens_B!N614="ja"), --(Klantgegevens_B!O614="ja"))*10, Klantgegevens_A!L614)</f>
        <v>6</v>
      </c>
      <c r="L615" t="str">
        <f>IF(Klantgegevens_B!K614&lt;&gt;"", Klantgegevens_B!K614, IF(Klantgegevens_A!L614&gt;=7, "ja", "nee"))</f>
        <v>ja</v>
      </c>
      <c r="M615" t="str">
        <f>IF(Klantgegevens_B!L614&lt;&gt;"", Klantgegevens_B!L614, IF(Klantgegevens_A!L614&gt;=7, "ja", "nee"))</f>
        <v>ja</v>
      </c>
      <c r="N615" t="str">
        <f>IF(Klantgegevens_B!M614&lt;&gt;"", Klantgegevens_B!M614, IF(Klantgegevens_A!L614&gt;=7, "ja", "nee"))</f>
        <v>nee</v>
      </c>
      <c r="O615" t="str">
        <f>IF(Klantgegevens_B!N614&lt;&gt;"", Klantgegevens_B!N614, IF(Klantgegevens_A!L614&gt;=7, "ja", "nee"))</f>
        <v>ja</v>
      </c>
      <c r="P615" t="str">
        <f>IF(Klantgegevens_B!O614&lt;&gt;"", Klantgegevens_B!O614, IF(Klantgegevens_A!L614&gt;=7, "ja", "nee"))</f>
        <v>Vegetarisch</v>
      </c>
      <c r="Q615">
        <f>IF(Klantgegevens_B!P614&lt;&gt;"", Klantgegevens_B!P614, Klantgegevens_A!M614)</f>
        <v>0</v>
      </c>
      <c r="R615" t="str">
        <f>IF(Klantgegevens_B!A614&lt;&gt;"", "B", "A")</f>
        <v>B</v>
      </c>
    </row>
    <row r="616" spans="1:18" x14ac:dyDescent="0.3">
      <c r="A616" t="str">
        <f>IF(Klantgegevens_B!A615&lt;&gt;"", Klantgegevens_B!A615, MID(Klantgegevens_A!A615, FIND(",", Klantgegevens_A!A615)+2, LEN(Klantgegevens_A!A615)))</f>
        <v>Amalya</v>
      </c>
      <c r="B616" t="str">
        <f>IF(Klantgegevens_B!B615&lt;&gt;"", Klantgegevens_B!B615, LEFT(Klantgegevens_A!A615, FIND(",", Klantgegevens_A!A615)-1))</f>
        <v>Dumont</v>
      </c>
      <c r="C616" t="str">
        <f t="shared" ca="1" si="9"/>
        <v/>
      </c>
      <c r="D616" t="str">
        <f>IF(Klantgegevens_B!F615&lt;&gt;"", Klantgegevens_B!F615, Klantgegevens_A!D615 &amp; " " &amp; Klantgegevens_A!E615 &amp; ", " &amp; Klantgegevens_A!F615)</f>
        <v>Amalya,Géraldine</v>
      </c>
      <c r="E616">
        <f>IF(Klantgegevens_B!G615&lt;&gt;"", Klantgegevens_B!G615, TEXTJOIN(",", TRUE, REPT("Volwassene,", Klantgegevens_A!G615), REPT("Kind,", Klantgegevens_A!H615)))</f>
        <v>66.62</v>
      </c>
      <c r="F616">
        <f>IF(Klantgegevens_B!G615&lt;&gt;"", LEN(Klantgegevens_B!G615)-LEN(SUBSTITUTE(Klantgegevens_B!G615, ",", ""))+1, Klantgegevens_A!G615)</f>
        <v>1</v>
      </c>
      <c r="G616">
        <f>IF(Klantgegevens_B!G615&lt;&gt;"", 0, Klantgegevens_A!H615)</f>
        <v>0</v>
      </c>
      <c r="H616">
        <f>IF(Klantgegevens_B!H615&lt;&gt;"", Klantgegevens_B!H615, Klantgegevens_A!I615)</f>
        <v>9</v>
      </c>
      <c r="I616" t="str">
        <f>IF(Klantgegevens_B!I615&lt;&gt;"", Klantgegevens_B!I615, SWITCH(Klantgegevens_A!J615, "Zelden", 1, "Af en toe", 4, "Regelmatig", 8, "Vaak", 12))</f>
        <v>Payconiq</v>
      </c>
      <c r="J616" t="str">
        <f>IF(Klantgegevens_B!J615&lt;&gt;"", Klantgegevens_B!J615, Klantgegevens_A!K615)</f>
        <v>ja</v>
      </c>
      <c r="K616">
        <f>IF(Klantgegevens_B!K615&lt;&gt;"", AVERAGE(--(Klantgegevens_B!K615="ja"), --(Klantgegevens_B!L615="ja"), --(Klantgegevens_B!M615="ja"), --(Klantgegevens_B!N615="ja"), --(Klantgegevens_B!O615="ja"))*10, Klantgegevens_A!L615)</f>
        <v>4</v>
      </c>
      <c r="L616" t="str">
        <f>IF(Klantgegevens_B!K615&lt;&gt;"", Klantgegevens_B!K615, IF(Klantgegevens_A!L615&gt;=7, "ja", "nee"))</f>
        <v>ja</v>
      </c>
      <c r="M616" t="str">
        <f>IF(Klantgegevens_B!L615&lt;&gt;"", Klantgegevens_B!L615, IF(Klantgegevens_A!L615&gt;=7, "ja", "nee"))</f>
        <v>ja</v>
      </c>
      <c r="N616" t="str">
        <f>IF(Klantgegevens_B!M615&lt;&gt;"", Klantgegevens_B!M615, IF(Klantgegevens_A!L615&gt;=7, "ja", "nee"))</f>
        <v>nee</v>
      </c>
      <c r="O616" t="str">
        <f>IF(Klantgegevens_B!N615&lt;&gt;"", Klantgegevens_B!N615, IF(Klantgegevens_A!L615&gt;=7, "ja", "nee"))</f>
        <v>nee</v>
      </c>
      <c r="P616" t="str">
        <f>IF(Klantgegevens_B!O615&lt;&gt;"", Klantgegevens_B!O615, IF(Klantgegevens_A!L615&gt;=7, "ja", "nee"))</f>
        <v>Geen dieet</v>
      </c>
      <c r="Q616">
        <f>IF(Klantgegevens_B!P615&lt;&gt;"", Klantgegevens_B!P615, Klantgegevens_A!M615)</f>
        <v>0</v>
      </c>
      <c r="R616" t="str">
        <f>IF(Klantgegevens_B!A615&lt;&gt;"", "B", "A")</f>
        <v>B</v>
      </c>
    </row>
    <row r="617" spans="1:18" x14ac:dyDescent="0.3">
      <c r="A617" t="str">
        <f>IF(Klantgegevens_B!A616&lt;&gt;"", Klantgegevens_B!A616, MID(Klantgegevens_A!A616, FIND(",", Klantgegevens_A!A616)+2, LEN(Klantgegevens_A!A616)))</f>
        <v>Jacques</v>
      </c>
      <c r="B617" t="str">
        <f>IF(Klantgegevens_B!B616&lt;&gt;"", Klantgegevens_B!B616, LEFT(Klantgegevens_A!A616, FIND(",", Klantgegevens_A!A616)-1))</f>
        <v>De clercq</v>
      </c>
      <c r="C617" t="str">
        <f t="shared" ca="1" si="9"/>
        <v/>
      </c>
      <c r="D617" t="str">
        <f>IF(Klantgegevens_B!F616&lt;&gt;"", Klantgegevens_B!F616, Klantgegevens_A!D616 &amp; " " &amp; Klantgegevens_A!E616 &amp; ", " &amp; Klantgegevens_A!F616)</f>
        <v>Jacques,Ivette,Matilde,Melanie</v>
      </c>
      <c r="E617">
        <f>IF(Klantgegevens_B!G616&lt;&gt;"", Klantgegevens_B!G616, TEXTJOIN(",", TRUE, REPT("Volwassene,", Klantgegevens_A!G616), REPT("Kind,", Klantgegevens_A!H616)))</f>
        <v>160.33000000000001</v>
      </c>
      <c r="F617">
        <f>IF(Klantgegevens_B!G616&lt;&gt;"", LEN(Klantgegevens_B!G616)-LEN(SUBSTITUTE(Klantgegevens_B!G616, ",", ""))+1, Klantgegevens_A!G616)</f>
        <v>1</v>
      </c>
      <c r="G617">
        <f>IF(Klantgegevens_B!G616&lt;&gt;"", 0, Klantgegevens_A!H616)</f>
        <v>0</v>
      </c>
      <c r="H617">
        <f>IF(Klantgegevens_B!H616&lt;&gt;"", Klantgegevens_B!H616, Klantgegevens_A!I616)</f>
        <v>1</v>
      </c>
      <c r="I617" t="str">
        <f>IF(Klantgegevens_B!I616&lt;&gt;"", Klantgegevens_B!I616, SWITCH(Klantgegevens_A!J616, "Zelden", 1, "Af en toe", 4, "Regelmatig", 8, "Vaak", 12))</f>
        <v>Payconiq</v>
      </c>
      <c r="J617" t="str">
        <f>IF(Klantgegevens_B!J616&lt;&gt;"", Klantgegevens_B!J616, Klantgegevens_A!K616)</f>
        <v>ja</v>
      </c>
      <c r="K617">
        <f>IF(Klantgegevens_B!K616&lt;&gt;"", AVERAGE(--(Klantgegevens_B!K616="ja"), --(Klantgegevens_B!L616="ja"), --(Klantgegevens_B!M616="ja"), --(Klantgegevens_B!N616="ja"), --(Klantgegevens_B!O616="ja"))*10, Klantgegevens_A!L616)</f>
        <v>4</v>
      </c>
      <c r="L617" t="str">
        <f>IF(Klantgegevens_B!K616&lt;&gt;"", Klantgegevens_B!K616, IF(Klantgegevens_A!L616&gt;=7, "ja", "nee"))</f>
        <v>nee</v>
      </c>
      <c r="M617" t="str">
        <f>IF(Klantgegevens_B!L616&lt;&gt;"", Klantgegevens_B!L616, IF(Klantgegevens_A!L616&gt;=7, "ja", "nee"))</f>
        <v>nee</v>
      </c>
      <c r="N617" t="str">
        <f>IF(Klantgegevens_B!M616&lt;&gt;"", Klantgegevens_B!M616, IF(Klantgegevens_A!L616&gt;=7, "ja", "nee"))</f>
        <v>ja</v>
      </c>
      <c r="O617" t="str">
        <f>IF(Klantgegevens_B!N616&lt;&gt;"", Klantgegevens_B!N616, IF(Klantgegevens_A!L616&gt;=7, "ja", "nee"))</f>
        <v>ja</v>
      </c>
      <c r="P617" t="str">
        <f>IF(Klantgegevens_B!O616&lt;&gt;"", Klantgegevens_B!O616, IF(Klantgegevens_A!L616&gt;=7, "ja", "nee"))</f>
        <v>Geen dieet</v>
      </c>
      <c r="Q617">
        <f>IF(Klantgegevens_B!P616&lt;&gt;"", Klantgegevens_B!P616, Klantgegevens_A!M616)</f>
        <v>0</v>
      </c>
      <c r="R617" t="str">
        <f>IF(Klantgegevens_B!A616&lt;&gt;"", "B", "A")</f>
        <v>B</v>
      </c>
    </row>
    <row r="618" spans="1:18" x14ac:dyDescent="0.3">
      <c r="A618" t="str">
        <f>IF(Klantgegevens_B!A617&lt;&gt;"", Klantgegevens_B!A617, MID(Klantgegevens_A!A617, FIND(",", Klantgegevens_A!A617)+2, LEN(Klantgegevens_A!A617)))</f>
        <v>Danielle</v>
      </c>
      <c r="B618" t="str">
        <f>IF(Klantgegevens_B!B617&lt;&gt;"", Klantgegevens_B!B617, LEFT(Klantgegevens_A!A617, FIND(",", Klantgegevens_A!A617)-1))</f>
        <v>Carlier</v>
      </c>
      <c r="C618" t="str">
        <f t="shared" ca="1" si="9"/>
        <v/>
      </c>
      <c r="D618" t="str">
        <f>IF(Klantgegevens_B!F617&lt;&gt;"", Klantgegevens_B!F617, Klantgegevens_A!D617 &amp; " " &amp; Klantgegevens_A!E617 &amp; ", " &amp; Klantgegevens_A!F617)</f>
        <v>Danielle,Joël</v>
      </c>
      <c r="E618">
        <f>IF(Klantgegevens_B!G617&lt;&gt;"", Klantgegevens_B!G617, TEXTJOIN(",", TRUE, REPT("Volwassene,", Klantgegevens_A!G617), REPT("Kind,", Klantgegevens_A!H617)))</f>
        <v>194.07</v>
      </c>
      <c r="F618">
        <f>IF(Klantgegevens_B!G617&lt;&gt;"", LEN(Klantgegevens_B!G617)-LEN(SUBSTITUTE(Klantgegevens_B!G617, ",", ""))+1, Klantgegevens_A!G617)</f>
        <v>1</v>
      </c>
      <c r="G618">
        <f>IF(Klantgegevens_B!G617&lt;&gt;"", 0, Klantgegevens_A!H617)</f>
        <v>0</v>
      </c>
      <c r="H618">
        <f>IF(Klantgegevens_B!H617&lt;&gt;"", Klantgegevens_B!H617, Klantgegevens_A!I617)</f>
        <v>11</v>
      </c>
      <c r="I618" t="str">
        <f>IF(Klantgegevens_B!I617&lt;&gt;"", Klantgegevens_B!I617, SWITCH(Klantgegevens_A!J617, "Zelden", 1, "Af en toe", 4, "Regelmatig", 8, "Vaak", 12))</f>
        <v>Cash</v>
      </c>
      <c r="J618" t="str">
        <f>IF(Klantgegevens_B!J617&lt;&gt;"", Klantgegevens_B!J617, Klantgegevens_A!K617)</f>
        <v>ja</v>
      </c>
      <c r="K618">
        <f>IF(Klantgegevens_B!K617&lt;&gt;"", AVERAGE(--(Klantgegevens_B!K617="ja"), --(Klantgegevens_B!L617="ja"), --(Klantgegevens_B!M617="ja"), --(Klantgegevens_B!N617="ja"), --(Klantgegevens_B!O617="ja"))*10, Klantgegevens_A!L617)</f>
        <v>6</v>
      </c>
      <c r="L618" t="str">
        <f>IF(Klantgegevens_B!K617&lt;&gt;"", Klantgegevens_B!K617, IF(Klantgegevens_A!L617&gt;=7, "ja", "nee"))</f>
        <v>ja</v>
      </c>
      <c r="M618" t="str">
        <f>IF(Klantgegevens_B!L617&lt;&gt;"", Klantgegevens_B!L617, IF(Klantgegevens_A!L617&gt;=7, "ja", "nee"))</f>
        <v>nee</v>
      </c>
      <c r="N618" t="str">
        <f>IF(Klantgegevens_B!M617&lt;&gt;"", Klantgegevens_B!M617, IF(Klantgegevens_A!L617&gt;=7, "ja", "nee"))</f>
        <v>ja</v>
      </c>
      <c r="O618" t="str">
        <f>IF(Klantgegevens_B!N617&lt;&gt;"", Klantgegevens_B!N617, IF(Klantgegevens_A!L617&gt;=7, "ja", "nee"))</f>
        <v>ja</v>
      </c>
      <c r="P618" t="str">
        <f>IF(Klantgegevens_B!O617&lt;&gt;"", Klantgegevens_B!O617, IF(Klantgegevens_A!L617&gt;=7, "ja", "nee"))</f>
        <v>Geen dieet</v>
      </c>
      <c r="Q618">
        <f>IF(Klantgegevens_B!P617&lt;&gt;"", Klantgegevens_B!P617, Klantgegevens_A!M617)</f>
        <v>0</v>
      </c>
      <c r="R618" t="str">
        <f>IF(Klantgegevens_B!A617&lt;&gt;"", "B", "A")</f>
        <v>B</v>
      </c>
    </row>
    <row r="619" spans="1:18" x14ac:dyDescent="0.3">
      <c r="A619" t="str">
        <f>IF(Klantgegevens_B!A618&lt;&gt;"", Klantgegevens_B!A618, MID(Klantgegevens_A!A618, FIND(",", Klantgegevens_A!A618)+2, LEN(Klantgegevens_A!A618)))</f>
        <v>Lutgard</v>
      </c>
      <c r="B619" t="str">
        <f>IF(Klantgegevens_B!B618&lt;&gt;"", Klantgegevens_B!B618, LEFT(Klantgegevens_A!A618, FIND(",", Klantgegevens_A!A618)-1))</f>
        <v>Aerts</v>
      </c>
      <c r="C619" t="str">
        <f t="shared" ca="1" si="9"/>
        <v/>
      </c>
      <c r="D619" t="str">
        <f>IF(Klantgegevens_B!F618&lt;&gt;"", Klantgegevens_B!F618, Klantgegevens_A!D618 &amp; " " &amp; Klantgegevens_A!E618 &amp; ", " &amp; Klantgegevens_A!F618)</f>
        <v>Lutgard,Catherine</v>
      </c>
      <c r="E619">
        <f>IF(Klantgegevens_B!G618&lt;&gt;"", Klantgegevens_B!G618, TEXTJOIN(",", TRUE, REPT("Volwassene,", Klantgegevens_A!G618), REPT("Kind,", Klantgegevens_A!H618)))</f>
        <v>147.21</v>
      </c>
      <c r="F619">
        <f>IF(Klantgegevens_B!G618&lt;&gt;"", LEN(Klantgegevens_B!G618)-LEN(SUBSTITUTE(Klantgegevens_B!G618, ",", ""))+1, Klantgegevens_A!G618)</f>
        <v>1</v>
      </c>
      <c r="G619">
        <f>IF(Klantgegevens_B!G618&lt;&gt;"", 0, Klantgegevens_A!H618)</f>
        <v>0</v>
      </c>
      <c r="H619">
        <f>IF(Klantgegevens_B!H618&lt;&gt;"", Klantgegevens_B!H618, Klantgegevens_A!I618)</f>
        <v>10</v>
      </c>
      <c r="I619" t="str">
        <f>IF(Klantgegevens_B!I618&lt;&gt;"", Klantgegevens_B!I618, SWITCH(Klantgegevens_A!J618, "Zelden", 1, "Af en toe", 4, "Regelmatig", 8, "Vaak", 12))</f>
        <v>Cash</v>
      </c>
      <c r="J619" t="str">
        <f>IF(Klantgegevens_B!J618&lt;&gt;"", Klantgegevens_B!J618, Klantgegevens_A!K618)</f>
        <v>ja</v>
      </c>
      <c r="K619">
        <f>IF(Klantgegevens_B!K618&lt;&gt;"", AVERAGE(--(Klantgegevens_B!K618="ja"), --(Klantgegevens_B!L618="ja"), --(Klantgegevens_B!M618="ja"), --(Klantgegevens_B!N618="ja"), --(Klantgegevens_B!O618="ja"))*10, Klantgegevens_A!L618)</f>
        <v>6</v>
      </c>
      <c r="L619" t="str">
        <f>IF(Klantgegevens_B!K618&lt;&gt;"", Klantgegevens_B!K618, IF(Klantgegevens_A!L618&gt;=7, "ja", "nee"))</f>
        <v>nee</v>
      </c>
      <c r="M619" t="str">
        <f>IF(Klantgegevens_B!L618&lt;&gt;"", Klantgegevens_B!L618, IF(Klantgegevens_A!L618&gt;=7, "ja", "nee"))</f>
        <v>ja</v>
      </c>
      <c r="N619" t="str">
        <f>IF(Klantgegevens_B!M618&lt;&gt;"", Klantgegevens_B!M618, IF(Klantgegevens_A!L618&gt;=7, "ja", "nee"))</f>
        <v>ja</v>
      </c>
      <c r="O619" t="str">
        <f>IF(Klantgegevens_B!N618&lt;&gt;"", Klantgegevens_B!N618, IF(Klantgegevens_A!L618&gt;=7, "ja", "nee"))</f>
        <v>ja</v>
      </c>
      <c r="P619" t="str">
        <f>IF(Klantgegevens_B!O618&lt;&gt;"", Klantgegevens_B!O618, IF(Klantgegevens_A!L618&gt;=7, "ja", "nee"))</f>
        <v>Geen dieet</v>
      </c>
      <c r="Q619">
        <f>IF(Klantgegevens_B!P618&lt;&gt;"", Klantgegevens_B!P618, Klantgegevens_A!M618)</f>
        <v>0</v>
      </c>
      <c r="R619" t="str">
        <f>IF(Klantgegevens_B!A618&lt;&gt;"", "B", "A")</f>
        <v>B</v>
      </c>
    </row>
    <row r="620" spans="1:18" x14ac:dyDescent="0.3">
      <c r="A620" t="str">
        <f>IF(Klantgegevens_B!A619&lt;&gt;"", Klantgegevens_B!A619, MID(Klantgegevens_A!A619, FIND(",", Klantgegevens_A!A619)+2, LEN(Klantgegevens_A!A619)))</f>
        <v>Jürgen</v>
      </c>
      <c r="B620" t="str">
        <f>IF(Klantgegevens_B!B619&lt;&gt;"", Klantgegevens_B!B619, LEFT(Klantgegevens_A!A619, FIND(",", Klantgegevens_A!A619)-1))</f>
        <v>Lecocq</v>
      </c>
      <c r="C620" t="str">
        <f t="shared" ca="1" si="9"/>
        <v/>
      </c>
      <c r="D620" t="str">
        <f>IF(Klantgegevens_B!F619&lt;&gt;"", Klantgegevens_B!F619, Klantgegevens_A!D619 &amp; " " &amp; Klantgegevens_A!E619 &amp; ", " &amp; Klantgegevens_A!F619)</f>
        <v>Jürgen,Döne</v>
      </c>
      <c r="E620">
        <f>IF(Klantgegevens_B!G619&lt;&gt;"", Klantgegevens_B!G619, TEXTJOIN(",", TRUE, REPT("Volwassene,", Klantgegevens_A!G619), REPT("Kind,", Klantgegevens_A!H619)))</f>
        <v>81.650000000000006</v>
      </c>
      <c r="F620">
        <f>IF(Klantgegevens_B!G619&lt;&gt;"", LEN(Klantgegevens_B!G619)-LEN(SUBSTITUTE(Klantgegevens_B!G619, ",", ""))+1, Klantgegevens_A!G619)</f>
        <v>1</v>
      </c>
      <c r="G620">
        <f>IF(Klantgegevens_B!G619&lt;&gt;"", 0, Klantgegevens_A!H619)</f>
        <v>0</v>
      </c>
      <c r="H620">
        <f>IF(Klantgegevens_B!H619&lt;&gt;"", Klantgegevens_B!H619, Klantgegevens_A!I619)</f>
        <v>11</v>
      </c>
      <c r="I620" t="str">
        <f>IF(Klantgegevens_B!I619&lt;&gt;"", Klantgegevens_B!I619, SWITCH(Klantgegevens_A!J619, "Zelden", 1, "Af en toe", 4, "Regelmatig", 8, "Vaak", 12))</f>
        <v>Cash</v>
      </c>
      <c r="J620" t="str">
        <f>IF(Klantgegevens_B!J619&lt;&gt;"", Klantgegevens_B!J619, Klantgegevens_A!K619)</f>
        <v>nee</v>
      </c>
      <c r="K620">
        <f>IF(Klantgegevens_B!K619&lt;&gt;"", AVERAGE(--(Klantgegevens_B!K619="ja"), --(Klantgegevens_B!L619="ja"), --(Klantgegevens_B!M619="ja"), --(Klantgegevens_B!N619="ja"), --(Klantgegevens_B!O619="ja"))*10, Klantgegevens_A!L619)</f>
        <v>4</v>
      </c>
      <c r="L620" t="str">
        <f>IF(Klantgegevens_B!K619&lt;&gt;"", Klantgegevens_B!K619, IF(Klantgegevens_A!L619&gt;=7, "ja", "nee"))</f>
        <v>ja</v>
      </c>
      <c r="M620" t="str">
        <f>IF(Klantgegevens_B!L619&lt;&gt;"", Klantgegevens_B!L619, IF(Klantgegevens_A!L619&gt;=7, "ja", "nee"))</f>
        <v>nee</v>
      </c>
      <c r="N620" t="str">
        <f>IF(Klantgegevens_B!M619&lt;&gt;"", Klantgegevens_B!M619, IF(Klantgegevens_A!L619&gt;=7, "ja", "nee"))</f>
        <v>ja</v>
      </c>
      <c r="O620" t="str">
        <f>IF(Klantgegevens_B!N619&lt;&gt;"", Klantgegevens_B!N619, IF(Klantgegevens_A!L619&gt;=7, "ja", "nee"))</f>
        <v>nee</v>
      </c>
      <c r="P620" t="str">
        <f>IF(Klantgegevens_B!O619&lt;&gt;"", Klantgegevens_B!O619, IF(Klantgegevens_A!L619&gt;=7, "ja", "nee"))</f>
        <v>Veganistisch</v>
      </c>
      <c r="Q620">
        <f>IF(Klantgegevens_B!P619&lt;&gt;"", Klantgegevens_B!P619, Klantgegevens_A!M619)</f>
        <v>0</v>
      </c>
      <c r="R620" t="str">
        <f>IF(Klantgegevens_B!A619&lt;&gt;"", "B", "A")</f>
        <v>B</v>
      </c>
    </row>
    <row r="621" spans="1:18" x14ac:dyDescent="0.3">
      <c r="A621" t="str">
        <f>IF(Klantgegevens_B!A620&lt;&gt;"", Klantgegevens_B!A620, MID(Klantgegevens_A!A620, FIND(",", Klantgegevens_A!A620)+2, LEN(Klantgegevens_A!A620)))</f>
        <v>Myriam</v>
      </c>
      <c r="B621" t="str">
        <f>IF(Klantgegevens_B!B620&lt;&gt;"", Klantgegevens_B!B620, LEFT(Klantgegevens_A!A620, FIND(",", Klantgegevens_A!A620)-1))</f>
        <v>Maertens</v>
      </c>
      <c r="C621" t="str">
        <f t="shared" ca="1" si="9"/>
        <v/>
      </c>
      <c r="D621" t="str">
        <f>IF(Klantgegevens_B!F620&lt;&gt;"", Klantgegevens_B!F620, Klantgegevens_A!D620 &amp; " " &amp; Klantgegevens_A!E620 &amp; ", " &amp; Klantgegevens_A!F620)</f>
        <v>Myriam,Lauretta,Ibrahim</v>
      </c>
      <c r="E621">
        <f>IF(Klantgegevens_B!G620&lt;&gt;"", Klantgegevens_B!G620, TEXTJOIN(",", TRUE, REPT("Volwassene,", Klantgegevens_A!G620), REPT("Kind,", Klantgegevens_A!H620)))</f>
        <v>18.739999999999998</v>
      </c>
      <c r="F621">
        <f>IF(Klantgegevens_B!G620&lt;&gt;"", LEN(Klantgegevens_B!G620)-LEN(SUBSTITUTE(Klantgegevens_B!G620, ",", ""))+1, Klantgegevens_A!G620)</f>
        <v>1</v>
      </c>
      <c r="G621">
        <f>IF(Klantgegevens_B!G620&lt;&gt;"", 0, Klantgegevens_A!H620)</f>
        <v>0</v>
      </c>
      <c r="H621">
        <f>IF(Klantgegevens_B!H620&lt;&gt;"", Klantgegevens_B!H620, Klantgegevens_A!I620)</f>
        <v>1</v>
      </c>
      <c r="I621" t="str">
        <f>IF(Klantgegevens_B!I620&lt;&gt;"", Klantgegevens_B!I620, SWITCH(Klantgegevens_A!J620, "Zelden", 1, "Af en toe", 4, "Regelmatig", 8, "Vaak", 12))</f>
        <v>Bancontact</v>
      </c>
      <c r="J621" t="str">
        <f>IF(Klantgegevens_B!J620&lt;&gt;"", Klantgegevens_B!J620, Klantgegevens_A!K620)</f>
        <v>nee</v>
      </c>
      <c r="K621">
        <f>IF(Klantgegevens_B!K620&lt;&gt;"", AVERAGE(--(Klantgegevens_B!K620="ja"), --(Klantgegevens_B!L620="ja"), --(Klantgegevens_B!M620="ja"), --(Klantgegevens_B!N620="ja"), --(Klantgegevens_B!O620="ja"))*10, Klantgegevens_A!L620)</f>
        <v>8</v>
      </c>
      <c r="L621" t="str">
        <f>IF(Klantgegevens_B!K620&lt;&gt;"", Klantgegevens_B!K620, IF(Klantgegevens_A!L620&gt;=7, "ja", "nee"))</f>
        <v>ja</v>
      </c>
      <c r="M621" t="str">
        <f>IF(Klantgegevens_B!L620&lt;&gt;"", Klantgegevens_B!L620, IF(Klantgegevens_A!L620&gt;=7, "ja", "nee"))</f>
        <v>ja</v>
      </c>
      <c r="N621" t="str">
        <f>IF(Klantgegevens_B!M620&lt;&gt;"", Klantgegevens_B!M620, IF(Klantgegevens_A!L620&gt;=7, "ja", "nee"))</f>
        <v>ja</v>
      </c>
      <c r="O621" t="str">
        <f>IF(Klantgegevens_B!N620&lt;&gt;"", Klantgegevens_B!N620, IF(Klantgegevens_A!L620&gt;=7, "ja", "nee"))</f>
        <v>ja</v>
      </c>
      <c r="P621" t="str">
        <f>IF(Klantgegevens_B!O620&lt;&gt;"", Klantgegevens_B!O620, IF(Klantgegevens_A!L620&gt;=7, "ja", "nee"))</f>
        <v>Vegetarisch</v>
      </c>
      <c r="Q621">
        <f>IF(Klantgegevens_B!P620&lt;&gt;"", Klantgegevens_B!P620, Klantgegevens_A!M620)</f>
        <v>0</v>
      </c>
      <c r="R621" t="str">
        <f>IF(Klantgegevens_B!A620&lt;&gt;"", "B", "A")</f>
        <v>B</v>
      </c>
    </row>
    <row r="622" spans="1:18" x14ac:dyDescent="0.3">
      <c r="A622" t="str">
        <f>IF(Klantgegevens_B!A621&lt;&gt;"", Klantgegevens_B!A621, MID(Klantgegevens_A!A621, FIND(",", Klantgegevens_A!A621)+2, LEN(Klantgegevens_A!A621)))</f>
        <v>Leon</v>
      </c>
      <c r="B622" t="str">
        <f>IF(Klantgegevens_B!B621&lt;&gt;"", Klantgegevens_B!B621, LEFT(Klantgegevens_A!A621, FIND(",", Klantgegevens_A!A621)-1))</f>
        <v>Fontaine</v>
      </c>
      <c r="C622" t="str">
        <f t="shared" ca="1" si="9"/>
        <v/>
      </c>
      <c r="D622" t="str">
        <f>IF(Klantgegevens_B!F621&lt;&gt;"", Klantgegevens_B!F621, Klantgegevens_A!D621 &amp; " " &amp; Klantgegevens_A!E621 &amp; ", " &amp; Klantgegevens_A!F621)</f>
        <v>Leon,Aymane,Johan</v>
      </c>
      <c r="E622">
        <f>IF(Klantgegevens_B!G621&lt;&gt;"", Klantgegevens_B!G621, TEXTJOIN(",", TRUE, REPT("Volwassene,", Klantgegevens_A!G621), REPT("Kind,", Klantgegevens_A!H621)))</f>
        <v>178.99</v>
      </c>
      <c r="F622">
        <f>IF(Klantgegevens_B!G621&lt;&gt;"", LEN(Klantgegevens_B!G621)-LEN(SUBSTITUTE(Klantgegevens_B!G621, ",", ""))+1, Klantgegevens_A!G621)</f>
        <v>1</v>
      </c>
      <c r="G622">
        <f>IF(Klantgegevens_B!G621&lt;&gt;"", 0, Klantgegevens_A!H621)</f>
        <v>0</v>
      </c>
      <c r="H622">
        <f>IF(Klantgegevens_B!H621&lt;&gt;"", Klantgegevens_B!H621, Klantgegevens_A!I621)</f>
        <v>1</v>
      </c>
      <c r="I622" t="str">
        <f>IF(Klantgegevens_B!I621&lt;&gt;"", Klantgegevens_B!I621, SWITCH(Klantgegevens_A!J621, "Zelden", 1, "Af en toe", 4, "Regelmatig", 8, "Vaak", 12))</f>
        <v>Creditcard</v>
      </c>
      <c r="J622" t="str">
        <f>IF(Klantgegevens_B!J621&lt;&gt;"", Klantgegevens_B!J621, Klantgegevens_A!K621)</f>
        <v>ja</v>
      </c>
      <c r="K622">
        <f>IF(Klantgegevens_B!K621&lt;&gt;"", AVERAGE(--(Klantgegevens_B!K621="ja"), --(Klantgegevens_B!L621="ja"), --(Klantgegevens_B!M621="ja"), --(Klantgegevens_B!N621="ja"), --(Klantgegevens_B!O621="ja"))*10, Klantgegevens_A!L621)</f>
        <v>6</v>
      </c>
      <c r="L622" t="str">
        <f>IF(Klantgegevens_B!K621&lt;&gt;"", Klantgegevens_B!K621, IF(Klantgegevens_A!L621&gt;=7, "ja", "nee"))</f>
        <v>nee</v>
      </c>
      <c r="M622" t="str">
        <f>IF(Klantgegevens_B!L621&lt;&gt;"", Klantgegevens_B!L621, IF(Klantgegevens_A!L621&gt;=7, "ja", "nee"))</f>
        <v>ja</v>
      </c>
      <c r="N622" t="str">
        <f>IF(Klantgegevens_B!M621&lt;&gt;"", Klantgegevens_B!M621, IF(Klantgegevens_A!L621&gt;=7, "ja", "nee"))</f>
        <v>ja</v>
      </c>
      <c r="O622" t="str">
        <f>IF(Klantgegevens_B!N621&lt;&gt;"", Klantgegevens_B!N621, IF(Klantgegevens_A!L621&gt;=7, "ja", "nee"))</f>
        <v>ja</v>
      </c>
      <c r="P622" t="str">
        <f>IF(Klantgegevens_B!O621&lt;&gt;"", Klantgegevens_B!O621, IF(Klantgegevens_A!L621&gt;=7, "ja", "nee"))</f>
        <v>Geen dieet</v>
      </c>
      <c r="Q622">
        <f>IF(Klantgegevens_B!P621&lt;&gt;"", Klantgegevens_B!P621, Klantgegevens_A!M621)</f>
        <v>0</v>
      </c>
      <c r="R622" t="str">
        <f>IF(Klantgegevens_B!A621&lt;&gt;"", "B", "A")</f>
        <v>B</v>
      </c>
    </row>
    <row r="623" spans="1:18" x14ac:dyDescent="0.3">
      <c r="A623" t="str">
        <f>IF(Klantgegevens_B!A622&lt;&gt;"", Klantgegevens_B!A622, MID(Klantgegevens_A!A622, FIND(",", Klantgegevens_A!A622)+2, LEN(Klantgegevens_A!A622)))</f>
        <v>Leopold</v>
      </c>
      <c r="B623" t="str">
        <f>IF(Klantgegevens_B!B622&lt;&gt;"", Klantgegevens_B!B622, LEFT(Klantgegevens_A!A622, FIND(",", Klantgegevens_A!A622)-1))</f>
        <v>De waele</v>
      </c>
      <c r="C623" t="str">
        <f t="shared" ca="1" si="9"/>
        <v/>
      </c>
      <c r="D623" t="str">
        <f>IF(Klantgegevens_B!F622&lt;&gt;"", Klantgegevens_B!F622, Klantgegevens_A!D622 &amp; " " &amp; Klantgegevens_A!E622 &amp; ", " &amp; Klantgegevens_A!F622)</f>
        <v>Leopold,Rui,Philippe</v>
      </c>
      <c r="E623">
        <f>IF(Klantgegevens_B!G622&lt;&gt;"", Klantgegevens_B!G622, TEXTJOIN(",", TRUE, REPT("Volwassene,", Klantgegevens_A!G622), REPT("Kind,", Klantgegevens_A!H622)))</f>
        <v>156.53</v>
      </c>
      <c r="F623">
        <f>IF(Klantgegevens_B!G622&lt;&gt;"", LEN(Klantgegevens_B!G622)-LEN(SUBSTITUTE(Klantgegevens_B!G622, ",", ""))+1, Klantgegevens_A!G622)</f>
        <v>1</v>
      </c>
      <c r="G623">
        <f>IF(Klantgegevens_B!G622&lt;&gt;"", 0, Klantgegevens_A!H622)</f>
        <v>0</v>
      </c>
      <c r="H623">
        <f>IF(Klantgegevens_B!H622&lt;&gt;"", Klantgegevens_B!H622, Klantgegevens_A!I622)</f>
        <v>7</v>
      </c>
      <c r="I623" t="str">
        <f>IF(Klantgegevens_B!I622&lt;&gt;"", Klantgegevens_B!I622, SWITCH(Klantgegevens_A!J622, "Zelden", 1, "Af en toe", 4, "Regelmatig", 8, "Vaak", 12))</f>
        <v>Creditcard</v>
      </c>
      <c r="J623" t="str">
        <f>IF(Klantgegevens_B!J622&lt;&gt;"", Klantgegevens_B!J622, Klantgegevens_A!K622)</f>
        <v>ja</v>
      </c>
      <c r="K623">
        <f>IF(Klantgegevens_B!K622&lt;&gt;"", AVERAGE(--(Klantgegevens_B!K622="ja"), --(Klantgegevens_B!L622="ja"), --(Klantgegevens_B!M622="ja"), --(Klantgegevens_B!N622="ja"), --(Klantgegevens_B!O622="ja"))*10, Klantgegevens_A!L622)</f>
        <v>6</v>
      </c>
      <c r="L623" t="str">
        <f>IF(Klantgegevens_B!K622&lt;&gt;"", Klantgegevens_B!K622, IF(Klantgegevens_A!L622&gt;=7, "ja", "nee"))</f>
        <v>ja</v>
      </c>
      <c r="M623" t="str">
        <f>IF(Klantgegevens_B!L622&lt;&gt;"", Klantgegevens_B!L622, IF(Klantgegevens_A!L622&gt;=7, "ja", "nee"))</f>
        <v>ja</v>
      </c>
      <c r="N623" t="str">
        <f>IF(Klantgegevens_B!M622&lt;&gt;"", Klantgegevens_B!M622, IF(Klantgegevens_A!L622&gt;=7, "ja", "nee"))</f>
        <v>nee</v>
      </c>
      <c r="O623" t="str">
        <f>IF(Klantgegevens_B!N622&lt;&gt;"", Klantgegevens_B!N622, IF(Klantgegevens_A!L622&gt;=7, "ja", "nee"))</f>
        <v>ja</v>
      </c>
      <c r="P623" t="str">
        <f>IF(Klantgegevens_B!O622&lt;&gt;"", Klantgegevens_B!O622, IF(Klantgegevens_A!L622&gt;=7, "ja", "nee"))</f>
        <v>Geen dieet</v>
      </c>
      <c r="Q623">
        <f>IF(Klantgegevens_B!P622&lt;&gt;"", Klantgegevens_B!P622, Klantgegevens_A!M622)</f>
        <v>0</v>
      </c>
      <c r="R623" t="str">
        <f>IF(Klantgegevens_B!A622&lt;&gt;"", "B", "A")</f>
        <v>B</v>
      </c>
    </row>
    <row r="624" spans="1:18" x14ac:dyDescent="0.3">
      <c r="A624" t="str">
        <f>IF(Klantgegevens_B!A623&lt;&gt;"", Klantgegevens_B!A623, MID(Klantgegevens_A!A623, FIND(",", Klantgegevens_A!A623)+2, LEN(Klantgegevens_A!A623)))</f>
        <v>Eva</v>
      </c>
      <c r="B624" t="str">
        <f>IF(Klantgegevens_B!B623&lt;&gt;"", Klantgegevens_B!B623, LEFT(Klantgegevens_A!A623, FIND(",", Klantgegevens_A!A623)-1))</f>
        <v>Jacobs</v>
      </c>
      <c r="C624" t="str">
        <f t="shared" ca="1" si="9"/>
        <v/>
      </c>
      <c r="D624" t="str">
        <f>IF(Klantgegevens_B!F623&lt;&gt;"", Klantgegevens_B!F623, Klantgegevens_A!D623 &amp; " " &amp; Klantgegevens_A!E623 &amp; ", " &amp; Klantgegevens_A!F623)</f>
        <v>Eva,Leon,Jean-Philippe,Victor,Françoise</v>
      </c>
      <c r="E624">
        <f>IF(Klantgegevens_B!G623&lt;&gt;"", Klantgegevens_B!G623, TEXTJOIN(",", TRUE, REPT("Volwassene,", Klantgegevens_A!G623), REPT("Kind,", Klantgegevens_A!H623)))</f>
        <v>152.68</v>
      </c>
      <c r="F624">
        <f>IF(Klantgegevens_B!G623&lt;&gt;"", LEN(Klantgegevens_B!G623)-LEN(SUBSTITUTE(Klantgegevens_B!G623, ",", ""))+1, Klantgegevens_A!G623)</f>
        <v>1</v>
      </c>
      <c r="G624">
        <f>IF(Klantgegevens_B!G623&lt;&gt;"", 0, Klantgegevens_A!H623)</f>
        <v>0</v>
      </c>
      <c r="H624">
        <f>IF(Klantgegevens_B!H623&lt;&gt;"", Klantgegevens_B!H623, Klantgegevens_A!I623)</f>
        <v>3</v>
      </c>
      <c r="I624" t="str">
        <f>IF(Klantgegevens_B!I623&lt;&gt;"", Klantgegevens_B!I623, SWITCH(Klantgegevens_A!J623, "Zelden", 1, "Af en toe", 4, "Regelmatig", 8, "Vaak", 12))</f>
        <v>Payconiq</v>
      </c>
      <c r="J624" t="str">
        <f>IF(Klantgegevens_B!J623&lt;&gt;"", Klantgegevens_B!J623, Klantgegevens_A!K623)</f>
        <v>nee</v>
      </c>
      <c r="K624">
        <f>IF(Klantgegevens_B!K623&lt;&gt;"", AVERAGE(--(Klantgegevens_B!K623="ja"), --(Klantgegevens_B!L623="ja"), --(Klantgegevens_B!M623="ja"), --(Klantgegevens_B!N623="ja"), --(Klantgegevens_B!O623="ja"))*10, Klantgegevens_A!L623)</f>
        <v>6</v>
      </c>
      <c r="L624" t="str">
        <f>IF(Klantgegevens_B!K623&lt;&gt;"", Klantgegevens_B!K623, IF(Klantgegevens_A!L623&gt;=7, "ja", "nee"))</f>
        <v>ja</v>
      </c>
      <c r="M624" t="str">
        <f>IF(Klantgegevens_B!L623&lt;&gt;"", Klantgegevens_B!L623, IF(Klantgegevens_A!L623&gt;=7, "ja", "nee"))</f>
        <v>nee</v>
      </c>
      <c r="N624" t="str">
        <f>IF(Klantgegevens_B!M623&lt;&gt;"", Klantgegevens_B!M623, IF(Klantgegevens_A!L623&gt;=7, "ja", "nee"))</f>
        <v>ja</v>
      </c>
      <c r="O624" t="str">
        <f>IF(Klantgegevens_B!N623&lt;&gt;"", Klantgegevens_B!N623, IF(Klantgegevens_A!L623&gt;=7, "ja", "nee"))</f>
        <v>ja</v>
      </c>
      <c r="P624" t="str">
        <f>IF(Klantgegevens_B!O623&lt;&gt;"", Klantgegevens_B!O623, IF(Klantgegevens_A!L623&gt;=7, "ja", "nee"))</f>
        <v>Geen dieet</v>
      </c>
      <c r="Q624">
        <f>IF(Klantgegevens_B!P623&lt;&gt;"", Klantgegevens_B!P623, Klantgegevens_A!M623)</f>
        <v>0</v>
      </c>
      <c r="R624" t="str">
        <f>IF(Klantgegevens_B!A623&lt;&gt;"", "B", "A")</f>
        <v>B</v>
      </c>
    </row>
    <row r="625" spans="1:18" x14ac:dyDescent="0.3">
      <c r="A625" t="str">
        <f>IF(Klantgegevens_B!A624&lt;&gt;"", Klantgegevens_B!A624, MID(Klantgegevens_A!A624, FIND(",", Klantgegevens_A!A624)+2, LEN(Klantgegevens_A!A624)))</f>
        <v>Abdel-Hamid</v>
      </c>
      <c r="B625" t="str">
        <f>IF(Klantgegevens_B!B624&lt;&gt;"", Klantgegevens_B!B624, LEFT(Klantgegevens_A!A624, FIND(",", Klantgegevens_A!A624)-1))</f>
        <v>Peeters</v>
      </c>
      <c r="C625" t="str">
        <f t="shared" ca="1" si="9"/>
        <v/>
      </c>
      <c r="D625" t="str">
        <f>IF(Klantgegevens_B!F624&lt;&gt;"", Klantgegevens_B!F624, Klantgegevens_A!D624 &amp; " " &amp; Klantgegevens_A!E624 &amp; ", " &amp; Klantgegevens_A!F624)</f>
        <v>Abdel-Hamid,Seydi,Mireille,Aissatou,Victor,Alexandre,Erika</v>
      </c>
      <c r="E625">
        <f>IF(Klantgegevens_B!G624&lt;&gt;"", Klantgegevens_B!G624, TEXTJOIN(",", TRUE, REPT("Volwassene,", Klantgegevens_A!G624), REPT("Kind,", Klantgegevens_A!H624)))</f>
        <v>255.17</v>
      </c>
      <c r="F625">
        <f>IF(Klantgegevens_B!G624&lt;&gt;"", LEN(Klantgegevens_B!G624)-LEN(SUBSTITUTE(Klantgegevens_B!G624, ",", ""))+1, Klantgegevens_A!G624)</f>
        <v>1</v>
      </c>
      <c r="G625">
        <f>IF(Klantgegevens_B!G624&lt;&gt;"", 0, Klantgegevens_A!H624)</f>
        <v>0</v>
      </c>
      <c r="H625">
        <f>IF(Klantgegevens_B!H624&lt;&gt;"", Klantgegevens_B!H624, Klantgegevens_A!I624)</f>
        <v>14</v>
      </c>
      <c r="I625" t="str">
        <f>IF(Klantgegevens_B!I624&lt;&gt;"", Klantgegevens_B!I624, SWITCH(Klantgegevens_A!J624, "Zelden", 1, "Af en toe", 4, "Regelmatig", 8, "Vaak", 12))</f>
        <v>Payconiq</v>
      </c>
      <c r="J625" t="str">
        <f>IF(Klantgegevens_B!J624&lt;&gt;"", Klantgegevens_B!J624, Klantgegevens_A!K624)</f>
        <v>ja</v>
      </c>
      <c r="K625">
        <f>IF(Klantgegevens_B!K624&lt;&gt;"", AVERAGE(--(Klantgegevens_B!K624="ja"), --(Klantgegevens_B!L624="ja"), --(Klantgegevens_B!M624="ja"), --(Klantgegevens_B!N624="ja"), --(Klantgegevens_B!O624="ja"))*10, Klantgegevens_A!L624)</f>
        <v>8</v>
      </c>
      <c r="L625" t="str">
        <f>IF(Klantgegevens_B!K624&lt;&gt;"", Klantgegevens_B!K624, IF(Klantgegevens_A!L624&gt;=7, "ja", "nee"))</f>
        <v>ja</v>
      </c>
      <c r="M625" t="str">
        <f>IF(Klantgegevens_B!L624&lt;&gt;"", Klantgegevens_B!L624, IF(Klantgegevens_A!L624&gt;=7, "ja", "nee"))</f>
        <v>ja</v>
      </c>
      <c r="N625" t="str">
        <f>IF(Klantgegevens_B!M624&lt;&gt;"", Klantgegevens_B!M624, IF(Klantgegevens_A!L624&gt;=7, "ja", "nee"))</f>
        <v>ja</v>
      </c>
      <c r="O625" t="str">
        <f>IF(Klantgegevens_B!N624&lt;&gt;"", Klantgegevens_B!N624, IF(Klantgegevens_A!L624&gt;=7, "ja", "nee"))</f>
        <v>ja</v>
      </c>
      <c r="P625" t="str">
        <f>IF(Klantgegevens_B!O624&lt;&gt;"", Klantgegevens_B!O624, IF(Klantgegevens_A!L624&gt;=7, "ja", "nee"))</f>
        <v>Geen dieet</v>
      </c>
      <c r="Q625">
        <f>IF(Klantgegevens_B!P624&lt;&gt;"", Klantgegevens_B!P624, Klantgegevens_A!M624)</f>
        <v>0</v>
      </c>
      <c r="R625" t="str">
        <f>IF(Klantgegevens_B!A624&lt;&gt;"", "B", "A")</f>
        <v>B</v>
      </c>
    </row>
    <row r="626" spans="1:18" x14ac:dyDescent="0.3">
      <c r="A626" t="str">
        <f>IF(Klantgegevens_B!A625&lt;&gt;"", Klantgegevens_B!A625, MID(Klantgegevens_A!A625, FIND(",", Klantgegevens_A!A625)+2, LEN(Klantgegevens_A!A625)))</f>
        <v>Nicole</v>
      </c>
      <c r="B626" t="str">
        <f>IF(Klantgegevens_B!B625&lt;&gt;"", Klantgegevens_B!B625, LEFT(Klantgegevens_A!A625, FIND(",", Klantgegevens_A!A625)-1))</f>
        <v>Laurent</v>
      </c>
      <c r="C626" t="str">
        <f t="shared" ca="1" si="9"/>
        <v/>
      </c>
      <c r="D626" t="str">
        <f>IF(Klantgegevens_B!F625&lt;&gt;"", Klantgegevens_B!F625, Klantgegevens_A!D625 &amp; " " &amp; Klantgegevens_A!E625 &amp; ", " &amp; Klantgegevens_A!F625)</f>
        <v>Nicole,Katrien</v>
      </c>
      <c r="E626">
        <f>IF(Klantgegevens_B!G625&lt;&gt;"", Klantgegevens_B!G625, TEXTJOIN(",", TRUE, REPT("Volwassene,", Klantgegevens_A!G625), REPT("Kind,", Klantgegevens_A!H625)))</f>
        <v>134.13</v>
      </c>
      <c r="F626">
        <f>IF(Klantgegevens_B!G625&lt;&gt;"", LEN(Klantgegevens_B!G625)-LEN(SUBSTITUTE(Klantgegevens_B!G625, ",", ""))+1, Klantgegevens_A!G625)</f>
        <v>1</v>
      </c>
      <c r="G626">
        <f>IF(Klantgegevens_B!G625&lt;&gt;"", 0, Klantgegevens_A!H625)</f>
        <v>0</v>
      </c>
      <c r="H626">
        <f>IF(Klantgegevens_B!H625&lt;&gt;"", Klantgegevens_B!H625, Klantgegevens_A!I625)</f>
        <v>1</v>
      </c>
      <c r="I626" t="str">
        <f>IF(Klantgegevens_B!I625&lt;&gt;"", Klantgegevens_B!I625, SWITCH(Klantgegevens_A!J625, "Zelden", 1, "Af en toe", 4, "Regelmatig", 8, "Vaak", 12))</f>
        <v>Payconiq</v>
      </c>
      <c r="J626" t="str">
        <f>IF(Klantgegevens_B!J625&lt;&gt;"", Klantgegevens_B!J625, Klantgegevens_A!K625)</f>
        <v>ja</v>
      </c>
      <c r="K626">
        <f>IF(Klantgegevens_B!K625&lt;&gt;"", AVERAGE(--(Klantgegevens_B!K625="ja"), --(Klantgegevens_B!L625="ja"), --(Klantgegevens_B!M625="ja"), --(Klantgegevens_B!N625="ja"), --(Klantgegevens_B!O625="ja"))*10, Klantgegevens_A!L625)</f>
        <v>6</v>
      </c>
      <c r="L626" t="str">
        <f>IF(Klantgegevens_B!K625&lt;&gt;"", Klantgegevens_B!K625, IF(Klantgegevens_A!L625&gt;=7, "ja", "nee"))</f>
        <v>ja</v>
      </c>
      <c r="M626" t="str">
        <f>IF(Klantgegevens_B!L625&lt;&gt;"", Klantgegevens_B!L625, IF(Klantgegevens_A!L625&gt;=7, "ja", "nee"))</f>
        <v>ja</v>
      </c>
      <c r="N626" t="str">
        <f>IF(Klantgegevens_B!M625&lt;&gt;"", Klantgegevens_B!M625, IF(Klantgegevens_A!L625&gt;=7, "ja", "nee"))</f>
        <v>ja</v>
      </c>
      <c r="O626" t="str">
        <f>IF(Klantgegevens_B!N625&lt;&gt;"", Klantgegevens_B!N625, IF(Klantgegevens_A!L625&gt;=7, "ja", "nee"))</f>
        <v>nee</v>
      </c>
      <c r="P626" t="str">
        <f>IF(Klantgegevens_B!O625&lt;&gt;"", Klantgegevens_B!O625, IF(Klantgegevens_A!L625&gt;=7, "ja", "nee"))</f>
        <v>Geen dieet</v>
      </c>
      <c r="Q626">
        <f>IF(Klantgegevens_B!P625&lt;&gt;"", Klantgegevens_B!P625, Klantgegevens_A!M625)</f>
        <v>0</v>
      </c>
      <c r="R626" t="str">
        <f>IF(Klantgegevens_B!A625&lt;&gt;"", "B", "A")</f>
        <v>B</v>
      </c>
    </row>
    <row r="627" spans="1:18" x14ac:dyDescent="0.3">
      <c r="A627" t="str">
        <f>IF(Klantgegevens_B!A626&lt;&gt;"", Klantgegevens_B!A626, MID(Klantgegevens_A!A626, FIND(",", Klantgegevens_A!A626)+2, LEN(Klantgegevens_A!A626)))</f>
        <v>Margot</v>
      </c>
      <c r="B627" t="str">
        <f>IF(Klantgegevens_B!B626&lt;&gt;"", Klantgegevens_B!B626, LEFT(Klantgegevens_A!A626, FIND(",", Klantgegevens_A!A626)-1))</f>
        <v>Guillaume</v>
      </c>
      <c r="C627" t="str">
        <f t="shared" ca="1" si="9"/>
        <v/>
      </c>
      <c r="D627" t="str">
        <f>IF(Klantgegevens_B!F626&lt;&gt;"", Klantgegevens_B!F626, Klantgegevens_A!D626 &amp; " " &amp; Klantgegevens_A!E626 &amp; ", " &amp; Klantgegevens_A!F626)</f>
        <v>Margot,Akira</v>
      </c>
      <c r="E627">
        <f>IF(Klantgegevens_B!G626&lt;&gt;"", Klantgegevens_B!G626, TEXTJOIN(",", TRUE, REPT("Volwassene,", Klantgegevens_A!G626), REPT("Kind,", Klantgegevens_A!H626)))</f>
        <v>32.74</v>
      </c>
      <c r="F627">
        <f>IF(Klantgegevens_B!G626&lt;&gt;"", LEN(Klantgegevens_B!G626)-LEN(SUBSTITUTE(Klantgegevens_B!G626, ",", ""))+1, Klantgegevens_A!G626)</f>
        <v>1</v>
      </c>
      <c r="G627">
        <f>IF(Klantgegevens_B!G626&lt;&gt;"", 0, Klantgegevens_A!H626)</f>
        <v>0</v>
      </c>
      <c r="H627">
        <f>IF(Klantgegevens_B!H626&lt;&gt;"", Klantgegevens_B!H626, Klantgegevens_A!I626)</f>
        <v>2</v>
      </c>
      <c r="I627" t="str">
        <f>IF(Klantgegevens_B!I626&lt;&gt;"", Klantgegevens_B!I626, SWITCH(Klantgegevens_A!J626, "Zelden", 1, "Af en toe", 4, "Regelmatig", 8, "Vaak", 12))</f>
        <v>Bancontact</v>
      </c>
      <c r="J627" t="str">
        <f>IF(Klantgegevens_B!J626&lt;&gt;"", Klantgegevens_B!J626, Klantgegevens_A!K626)</f>
        <v>nee</v>
      </c>
      <c r="K627">
        <f>IF(Klantgegevens_B!K626&lt;&gt;"", AVERAGE(--(Klantgegevens_B!K626="ja"), --(Klantgegevens_B!L626="ja"), --(Klantgegevens_B!M626="ja"), --(Klantgegevens_B!N626="ja"), --(Klantgegevens_B!O626="ja"))*10, Klantgegevens_A!L626)</f>
        <v>8</v>
      </c>
      <c r="L627" t="str">
        <f>IF(Klantgegevens_B!K626&lt;&gt;"", Klantgegevens_B!K626, IF(Klantgegevens_A!L626&gt;=7, "ja", "nee"))</f>
        <v>ja</v>
      </c>
      <c r="M627" t="str">
        <f>IF(Klantgegevens_B!L626&lt;&gt;"", Klantgegevens_B!L626, IF(Klantgegevens_A!L626&gt;=7, "ja", "nee"))</f>
        <v>ja</v>
      </c>
      <c r="N627" t="str">
        <f>IF(Klantgegevens_B!M626&lt;&gt;"", Klantgegevens_B!M626, IF(Klantgegevens_A!L626&gt;=7, "ja", "nee"))</f>
        <v>ja</v>
      </c>
      <c r="O627" t="str">
        <f>IF(Klantgegevens_B!N626&lt;&gt;"", Klantgegevens_B!N626, IF(Klantgegevens_A!L626&gt;=7, "ja", "nee"))</f>
        <v>ja</v>
      </c>
      <c r="P627" t="str">
        <f>IF(Klantgegevens_B!O626&lt;&gt;"", Klantgegevens_B!O626, IF(Klantgegevens_A!L626&gt;=7, "ja", "nee"))</f>
        <v>Veganistisch</v>
      </c>
      <c r="Q627">
        <f>IF(Klantgegevens_B!P626&lt;&gt;"", Klantgegevens_B!P626, Klantgegevens_A!M626)</f>
        <v>0</v>
      </c>
      <c r="R627" t="str">
        <f>IF(Klantgegevens_B!A626&lt;&gt;"", "B", "A")</f>
        <v>B</v>
      </c>
    </row>
    <row r="628" spans="1:18" x14ac:dyDescent="0.3">
      <c r="A628" t="str">
        <f>IF(Klantgegevens_B!A627&lt;&gt;"", Klantgegevens_B!A627, MID(Klantgegevens_A!A627, FIND(",", Klantgegevens_A!A627)+2, LEN(Klantgegevens_A!A627)))</f>
        <v>Rayan</v>
      </c>
      <c r="B628" t="str">
        <f>IF(Klantgegevens_B!B627&lt;&gt;"", Klantgegevens_B!B627, LEFT(Klantgegevens_A!A627, FIND(",", Klantgegevens_A!A627)-1))</f>
        <v>Verlinden</v>
      </c>
      <c r="C628" t="str">
        <f t="shared" ca="1" si="9"/>
        <v/>
      </c>
      <c r="D628" t="str">
        <f>IF(Klantgegevens_B!F627&lt;&gt;"", Klantgegevens_B!F627, Klantgegevens_A!D627 &amp; " " &amp; Klantgegevens_A!E627 &amp; ", " &amp; Klantgegevens_A!F627)</f>
        <v>Rayan,Viviane</v>
      </c>
      <c r="E628">
        <f>IF(Klantgegevens_B!G627&lt;&gt;"", Klantgegevens_B!G627, TEXTJOIN(",", TRUE, REPT("Volwassene,", Klantgegevens_A!G627), REPT("Kind,", Klantgegevens_A!H627)))</f>
        <v>75.819999999999993</v>
      </c>
      <c r="F628">
        <f>IF(Klantgegevens_B!G627&lt;&gt;"", LEN(Klantgegevens_B!G627)-LEN(SUBSTITUTE(Klantgegevens_B!G627, ",", ""))+1, Klantgegevens_A!G627)</f>
        <v>1</v>
      </c>
      <c r="G628">
        <f>IF(Klantgegevens_B!G627&lt;&gt;"", 0, Klantgegevens_A!H627)</f>
        <v>0</v>
      </c>
      <c r="H628">
        <f>IF(Klantgegevens_B!H627&lt;&gt;"", Klantgegevens_B!H627, Klantgegevens_A!I627)</f>
        <v>16</v>
      </c>
      <c r="I628" t="str">
        <f>IF(Klantgegevens_B!I627&lt;&gt;"", Klantgegevens_B!I627, SWITCH(Klantgegevens_A!J627, "Zelden", 1, "Af en toe", 4, "Regelmatig", 8, "Vaak", 12))</f>
        <v>Cash</v>
      </c>
      <c r="J628" t="str">
        <f>IF(Klantgegevens_B!J627&lt;&gt;"", Klantgegevens_B!J627, Klantgegevens_A!K627)</f>
        <v>nee</v>
      </c>
      <c r="K628">
        <f>IF(Klantgegevens_B!K627&lt;&gt;"", AVERAGE(--(Klantgegevens_B!K627="ja"), --(Klantgegevens_B!L627="ja"), --(Klantgegevens_B!M627="ja"), --(Klantgegevens_B!N627="ja"), --(Klantgegevens_B!O627="ja"))*10, Klantgegevens_A!L627)</f>
        <v>8</v>
      </c>
      <c r="L628" t="str">
        <f>IF(Klantgegevens_B!K627&lt;&gt;"", Klantgegevens_B!K627, IF(Klantgegevens_A!L627&gt;=7, "ja", "nee"))</f>
        <v>ja</v>
      </c>
      <c r="M628" t="str">
        <f>IF(Klantgegevens_B!L627&lt;&gt;"", Klantgegevens_B!L627, IF(Klantgegevens_A!L627&gt;=7, "ja", "nee"))</f>
        <v>ja</v>
      </c>
      <c r="N628" t="str">
        <f>IF(Klantgegevens_B!M627&lt;&gt;"", Klantgegevens_B!M627, IF(Klantgegevens_A!L627&gt;=7, "ja", "nee"))</f>
        <v>ja</v>
      </c>
      <c r="O628" t="str">
        <f>IF(Klantgegevens_B!N627&lt;&gt;"", Klantgegevens_B!N627, IF(Klantgegevens_A!L627&gt;=7, "ja", "nee"))</f>
        <v>ja</v>
      </c>
      <c r="P628" t="str">
        <f>IF(Klantgegevens_B!O627&lt;&gt;"", Klantgegevens_B!O627, IF(Klantgegevens_A!L627&gt;=7, "ja", "nee"))</f>
        <v>Geen dieet</v>
      </c>
      <c r="Q628">
        <f>IF(Klantgegevens_B!P627&lt;&gt;"", Klantgegevens_B!P627, Klantgegevens_A!M627)</f>
        <v>0</v>
      </c>
      <c r="R628" t="str">
        <f>IF(Klantgegevens_B!A627&lt;&gt;"", "B", "A")</f>
        <v>B</v>
      </c>
    </row>
    <row r="629" spans="1:18" x14ac:dyDescent="0.3">
      <c r="A629" t="str">
        <f>IF(Klantgegevens_B!A628&lt;&gt;"", Klantgegevens_B!A628, MID(Klantgegevens_A!A628, FIND(",", Klantgegevens_A!A628)+2, LEN(Klantgegevens_A!A628)))</f>
        <v>Liam</v>
      </c>
      <c r="B629" t="str">
        <f>IF(Klantgegevens_B!B628&lt;&gt;"", Klantgegevens_B!B628, LEFT(Klantgegevens_A!A628, FIND(",", Klantgegevens_A!A628)-1))</f>
        <v>Verheyden</v>
      </c>
      <c r="C629" t="str">
        <f t="shared" ca="1" si="9"/>
        <v/>
      </c>
      <c r="D629" t="str">
        <f>IF(Klantgegevens_B!F628&lt;&gt;"", Klantgegevens_B!F628, Klantgegevens_A!D628 &amp; " " &amp; Klantgegevens_A!E628 &amp; ", " &amp; Klantgegevens_A!F628)</f>
        <v>Liam,Annie</v>
      </c>
      <c r="E629">
        <f>IF(Klantgegevens_B!G628&lt;&gt;"", Klantgegevens_B!G628, TEXTJOIN(",", TRUE, REPT("Volwassene,", Klantgegevens_A!G628), REPT("Kind,", Klantgegevens_A!H628)))</f>
        <v>228.05</v>
      </c>
      <c r="F629">
        <f>IF(Klantgegevens_B!G628&lt;&gt;"", LEN(Klantgegevens_B!G628)-LEN(SUBSTITUTE(Klantgegevens_B!G628, ",", ""))+1, Klantgegevens_A!G628)</f>
        <v>1</v>
      </c>
      <c r="G629">
        <f>IF(Klantgegevens_B!G628&lt;&gt;"", 0, Klantgegevens_A!H628)</f>
        <v>0</v>
      </c>
      <c r="H629">
        <f>IF(Klantgegevens_B!H628&lt;&gt;"", Klantgegevens_B!H628, Klantgegevens_A!I628)</f>
        <v>8</v>
      </c>
      <c r="I629" t="str">
        <f>IF(Klantgegevens_B!I628&lt;&gt;"", Klantgegevens_B!I628, SWITCH(Klantgegevens_A!J628, "Zelden", 1, "Af en toe", 4, "Regelmatig", 8, "Vaak", 12))</f>
        <v>Payconiq</v>
      </c>
      <c r="J629" t="str">
        <f>IF(Klantgegevens_B!J628&lt;&gt;"", Klantgegevens_B!J628, Klantgegevens_A!K628)</f>
        <v>nee</v>
      </c>
      <c r="K629">
        <f>IF(Klantgegevens_B!K628&lt;&gt;"", AVERAGE(--(Klantgegevens_B!K628="ja"), --(Klantgegevens_B!L628="ja"), --(Klantgegevens_B!M628="ja"), --(Klantgegevens_B!N628="ja"), --(Klantgegevens_B!O628="ja"))*10, Klantgegevens_A!L628)</f>
        <v>6</v>
      </c>
      <c r="L629" t="str">
        <f>IF(Klantgegevens_B!K628&lt;&gt;"", Klantgegevens_B!K628, IF(Klantgegevens_A!L628&gt;=7, "ja", "nee"))</f>
        <v>ja</v>
      </c>
      <c r="M629" t="str">
        <f>IF(Klantgegevens_B!L628&lt;&gt;"", Klantgegevens_B!L628, IF(Klantgegevens_A!L628&gt;=7, "ja", "nee"))</f>
        <v>ja</v>
      </c>
      <c r="N629" t="str">
        <f>IF(Klantgegevens_B!M628&lt;&gt;"", Klantgegevens_B!M628, IF(Klantgegevens_A!L628&gt;=7, "ja", "nee"))</f>
        <v>nee</v>
      </c>
      <c r="O629" t="str">
        <f>IF(Klantgegevens_B!N628&lt;&gt;"", Klantgegevens_B!N628, IF(Klantgegevens_A!L628&gt;=7, "ja", "nee"))</f>
        <v>ja</v>
      </c>
      <c r="P629" t="str">
        <f>IF(Klantgegevens_B!O628&lt;&gt;"", Klantgegevens_B!O628, IF(Klantgegevens_A!L628&gt;=7, "ja", "nee"))</f>
        <v>Geen dieet</v>
      </c>
      <c r="Q629">
        <f>IF(Klantgegevens_B!P628&lt;&gt;"", Klantgegevens_B!P628, Klantgegevens_A!M628)</f>
        <v>0</v>
      </c>
      <c r="R629" t="str">
        <f>IF(Klantgegevens_B!A628&lt;&gt;"", "B", "A")</f>
        <v>B</v>
      </c>
    </row>
    <row r="630" spans="1:18" x14ac:dyDescent="0.3">
      <c r="A630" t="str">
        <f>IF(Klantgegevens_B!A629&lt;&gt;"", Klantgegevens_B!A629, MID(Klantgegevens_A!A629, FIND(",", Klantgegevens_A!A629)+2, LEN(Klantgegevens_A!A629)))</f>
        <v>Annie</v>
      </c>
      <c r="B630" t="str">
        <f>IF(Klantgegevens_B!B629&lt;&gt;"", Klantgegevens_B!B629, LEFT(Klantgegevens_A!A629, FIND(",", Klantgegevens_A!A629)-1))</f>
        <v>Collin</v>
      </c>
      <c r="C630" t="str">
        <f t="shared" ca="1" si="9"/>
        <v/>
      </c>
      <c r="D630" t="str">
        <f>IF(Klantgegevens_B!F629&lt;&gt;"", Klantgegevens_B!F629, Klantgegevens_A!D629 &amp; " " &amp; Klantgegevens_A!E629 &amp; ", " &amp; Klantgegevens_A!F629)</f>
        <v>Annie,Sharif,Chiel,David</v>
      </c>
      <c r="E630">
        <f>IF(Klantgegevens_B!G629&lt;&gt;"", Klantgegevens_B!G629, TEXTJOIN(",", TRUE, REPT("Volwassene,", Klantgegevens_A!G629), REPT("Kind,", Klantgegevens_A!H629)))</f>
        <v>169.34</v>
      </c>
      <c r="F630">
        <f>IF(Klantgegevens_B!G629&lt;&gt;"", LEN(Klantgegevens_B!G629)-LEN(SUBSTITUTE(Klantgegevens_B!G629, ",", ""))+1, Klantgegevens_A!G629)</f>
        <v>1</v>
      </c>
      <c r="G630">
        <f>IF(Klantgegevens_B!G629&lt;&gt;"", 0, Klantgegevens_A!H629)</f>
        <v>0</v>
      </c>
      <c r="H630">
        <f>IF(Klantgegevens_B!H629&lt;&gt;"", Klantgegevens_B!H629, Klantgegevens_A!I629)</f>
        <v>6</v>
      </c>
      <c r="I630" t="str">
        <f>IF(Klantgegevens_B!I629&lt;&gt;"", Klantgegevens_B!I629, SWITCH(Klantgegevens_A!J629, "Zelden", 1, "Af en toe", 4, "Regelmatig", 8, "Vaak", 12))</f>
        <v>Bancontact</v>
      </c>
      <c r="J630" t="str">
        <f>IF(Klantgegevens_B!J629&lt;&gt;"", Klantgegevens_B!J629, Klantgegevens_A!K629)</f>
        <v>ja</v>
      </c>
      <c r="K630">
        <f>IF(Klantgegevens_B!K629&lt;&gt;"", AVERAGE(--(Klantgegevens_B!K629="ja"), --(Klantgegevens_B!L629="ja"), --(Klantgegevens_B!M629="ja"), --(Klantgegevens_B!N629="ja"), --(Klantgegevens_B!O629="ja"))*10, Klantgegevens_A!L629)</f>
        <v>6</v>
      </c>
      <c r="L630" t="str">
        <f>IF(Klantgegevens_B!K629&lt;&gt;"", Klantgegevens_B!K629, IF(Klantgegevens_A!L629&gt;=7, "ja", "nee"))</f>
        <v>ja</v>
      </c>
      <c r="M630" t="str">
        <f>IF(Klantgegevens_B!L629&lt;&gt;"", Klantgegevens_B!L629, IF(Klantgegevens_A!L629&gt;=7, "ja", "nee"))</f>
        <v>ja</v>
      </c>
      <c r="N630" t="str">
        <f>IF(Klantgegevens_B!M629&lt;&gt;"", Klantgegevens_B!M629, IF(Klantgegevens_A!L629&gt;=7, "ja", "nee"))</f>
        <v>ja</v>
      </c>
      <c r="O630" t="str">
        <f>IF(Klantgegevens_B!N629&lt;&gt;"", Klantgegevens_B!N629, IF(Klantgegevens_A!L629&gt;=7, "ja", "nee"))</f>
        <v>nee</v>
      </c>
      <c r="P630" t="str">
        <f>IF(Klantgegevens_B!O629&lt;&gt;"", Klantgegevens_B!O629, IF(Klantgegevens_A!L629&gt;=7, "ja", "nee"))</f>
        <v>Geen dieet</v>
      </c>
      <c r="Q630">
        <f>IF(Klantgegevens_B!P629&lt;&gt;"", Klantgegevens_B!P629, Klantgegevens_A!M629)</f>
        <v>0</v>
      </c>
      <c r="R630" t="str">
        <f>IF(Klantgegevens_B!A629&lt;&gt;"", "B", "A")</f>
        <v>B</v>
      </c>
    </row>
    <row r="631" spans="1:18" x14ac:dyDescent="0.3">
      <c r="A631" t="str">
        <f>IF(Klantgegevens_B!A630&lt;&gt;"", Klantgegevens_B!A630, MID(Klantgegevens_A!A630, FIND(",", Klantgegevens_A!A630)+2, LEN(Klantgegevens_A!A630)))</f>
        <v>Lies</v>
      </c>
      <c r="B631" t="str">
        <f>IF(Klantgegevens_B!B630&lt;&gt;"", Klantgegevens_B!B630, LEFT(Klantgegevens_A!A630, FIND(",", Klantgegevens_A!A630)-1))</f>
        <v>Devos</v>
      </c>
      <c r="C631" t="str">
        <f t="shared" ca="1" si="9"/>
        <v/>
      </c>
      <c r="D631" t="str">
        <f>IF(Klantgegevens_B!F630&lt;&gt;"", Klantgegevens_B!F630, Klantgegevens_A!D630 &amp; " " &amp; Klantgegevens_A!E630 &amp; ", " &amp; Klantgegevens_A!F630)</f>
        <v>Lies,Elias</v>
      </c>
      <c r="E631">
        <f>IF(Klantgegevens_B!G630&lt;&gt;"", Klantgegevens_B!G630, TEXTJOIN(",", TRUE, REPT("Volwassene,", Klantgegevens_A!G630), REPT("Kind,", Klantgegevens_A!H630)))</f>
        <v>158.69</v>
      </c>
      <c r="F631">
        <f>IF(Klantgegevens_B!G630&lt;&gt;"", LEN(Klantgegevens_B!G630)-LEN(SUBSTITUTE(Klantgegevens_B!G630, ",", ""))+1, Klantgegevens_A!G630)</f>
        <v>1</v>
      </c>
      <c r="G631">
        <f>IF(Klantgegevens_B!G630&lt;&gt;"", 0, Klantgegevens_A!H630)</f>
        <v>0</v>
      </c>
      <c r="H631">
        <f>IF(Klantgegevens_B!H630&lt;&gt;"", Klantgegevens_B!H630, Klantgegevens_A!I630)</f>
        <v>15</v>
      </c>
      <c r="I631" t="str">
        <f>IF(Klantgegevens_B!I630&lt;&gt;"", Klantgegevens_B!I630, SWITCH(Klantgegevens_A!J630, "Zelden", 1, "Af en toe", 4, "Regelmatig", 8, "Vaak", 12))</f>
        <v>Bancontact</v>
      </c>
      <c r="J631" t="str">
        <f>IF(Klantgegevens_B!J630&lt;&gt;"", Klantgegevens_B!J630, Klantgegevens_A!K630)</f>
        <v>nee</v>
      </c>
      <c r="K631">
        <f>IF(Klantgegevens_B!K630&lt;&gt;"", AVERAGE(--(Klantgegevens_B!K630="ja"), --(Klantgegevens_B!L630="ja"), --(Klantgegevens_B!M630="ja"), --(Klantgegevens_B!N630="ja"), --(Klantgegevens_B!O630="ja"))*10, Klantgegevens_A!L630)</f>
        <v>6</v>
      </c>
      <c r="L631" t="str">
        <f>IF(Klantgegevens_B!K630&lt;&gt;"", Klantgegevens_B!K630, IF(Klantgegevens_A!L630&gt;=7, "ja", "nee"))</f>
        <v>ja</v>
      </c>
      <c r="M631" t="str">
        <f>IF(Klantgegevens_B!L630&lt;&gt;"", Klantgegevens_B!L630, IF(Klantgegevens_A!L630&gt;=7, "ja", "nee"))</f>
        <v>ja</v>
      </c>
      <c r="N631" t="str">
        <f>IF(Klantgegevens_B!M630&lt;&gt;"", Klantgegevens_B!M630, IF(Klantgegevens_A!L630&gt;=7, "ja", "nee"))</f>
        <v>ja</v>
      </c>
      <c r="O631" t="str">
        <f>IF(Klantgegevens_B!N630&lt;&gt;"", Klantgegevens_B!N630, IF(Klantgegevens_A!L630&gt;=7, "ja", "nee"))</f>
        <v>nee</v>
      </c>
      <c r="P631" t="str">
        <f>IF(Klantgegevens_B!O630&lt;&gt;"", Klantgegevens_B!O630, IF(Klantgegevens_A!L630&gt;=7, "ja", "nee"))</f>
        <v>Vegetarisch</v>
      </c>
      <c r="Q631">
        <f>IF(Klantgegevens_B!P630&lt;&gt;"", Klantgegevens_B!P630, Klantgegevens_A!M630)</f>
        <v>0</v>
      </c>
      <c r="R631" t="str">
        <f>IF(Klantgegevens_B!A630&lt;&gt;"", "B", "A")</f>
        <v>B</v>
      </c>
    </row>
    <row r="632" spans="1:18" x14ac:dyDescent="0.3">
      <c r="A632" t="str">
        <f>IF(Klantgegevens_B!A631&lt;&gt;"", Klantgegevens_B!A631, MID(Klantgegevens_A!A631, FIND(",", Klantgegevens_A!A631)+2, LEN(Klantgegevens_A!A631)))</f>
        <v>Michel</v>
      </c>
      <c r="B632" t="str">
        <f>IF(Klantgegevens_B!B631&lt;&gt;"", Klantgegevens_B!B631, LEFT(Klantgegevens_A!A631, FIND(",", Klantgegevens_A!A631)-1))</f>
        <v>Lecomte</v>
      </c>
      <c r="C632" t="str">
        <f t="shared" ca="1" si="9"/>
        <v/>
      </c>
      <c r="D632" t="str">
        <f>IF(Klantgegevens_B!F631&lt;&gt;"", Klantgegevens_B!F631, Klantgegevens_A!D631 &amp; " " &amp; Klantgegevens_A!E631 &amp; ", " &amp; Klantgegevens_A!F631)</f>
        <v>Michel,Linda,Maria</v>
      </c>
      <c r="E632">
        <f>IF(Klantgegevens_B!G631&lt;&gt;"", Klantgegevens_B!G631, TEXTJOIN(",", TRUE, REPT("Volwassene,", Klantgegevens_A!G631), REPT("Kind,", Klantgegevens_A!H631)))</f>
        <v>104.75</v>
      </c>
      <c r="F632">
        <f>IF(Klantgegevens_B!G631&lt;&gt;"", LEN(Klantgegevens_B!G631)-LEN(SUBSTITUTE(Klantgegevens_B!G631, ",", ""))+1, Klantgegevens_A!G631)</f>
        <v>1</v>
      </c>
      <c r="G632">
        <f>IF(Klantgegevens_B!G631&lt;&gt;"", 0, Klantgegevens_A!H631)</f>
        <v>0</v>
      </c>
      <c r="H632">
        <f>IF(Klantgegevens_B!H631&lt;&gt;"", Klantgegevens_B!H631, Klantgegevens_A!I631)</f>
        <v>11</v>
      </c>
      <c r="I632" t="str">
        <f>IF(Klantgegevens_B!I631&lt;&gt;"", Klantgegevens_B!I631, SWITCH(Klantgegevens_A!J631, "Zelden", 1, "Af en toe", 4, "Regelmatig", 8, "Vaak", 12))</f>
        <v>Bancontact</v>
      </c>
      <c r="J632" t="str">
        <f>IF(Klantgegevens_B!J631&lt;&gt;"", Klantgegevens_B!J631, Klantgegevens_A!K631)</f>
        <v>ja</v>
      </c>
      <c r="K632">
        <f>IF(Klantgegevens_B!K631&lt;&gt;"", AVERAGE(--(Klantgegevens_B!K631="ja"), --(Klantgegevens_B!L631="ja"), --(Klantgegevens_B!M631="ja"), --(Klantgegevens_B!N631="ja"), --(Klantgegevens_B!O631="ja"))*10, Klantgegevens_A!L631)</f>
        <v>4</v>
      </c>
      <c r="L632" t="str">
        <f>IF(Klantgegevens_B!K631&lt;&gt;"", Klantgegevens_B!K631, IF(Klantgegevens_A!L631&gt;=7, "ja", "nee"))</f>
        <v>nee</v>
      </c>
      <c r="M632" t="str">
        <f>IF(Klantgegevens_B!L631&lt;&gt;"", Klantgegevens_B!L631, IF(Klantgegevens_A!L631&gt;=7, "ja", "nee"))</f>
        <v>ja</v>
      </c>
      <c r="N632" t="str">
        <f>IF(Klantgegevens_B!M631&lt;&gt;"", Klantgegevens_B!M631, IF(Klantgegevens_A!L631&gt;=7, "ja", "nee"))</f>
        <v>nee</v>
      </c>
      <c r="O632" t="str">
        <f>IF(Klantgegevens_B!N631&lt;&gt;"", Klantgegevens_B!N631, IF(Klantgegevens_A!L631&gt;=7, "ja", "nee"))</f>
        <v>ja</v>
      </c>
      <c r="P632" t="str">
        <f>IF(Klantgegevens_B!O631&lt;&gt;"", Klantgegevens_B!O631, IF(Klantgegevens_A!L631&gt;=7, "ja", "nee"))</f>
        <v>Geen dieet</v>
      </c>
      <c r="Q632">
        <f>IF(Klantgegevens_B!P631&lt;&gt;"", Klantgegevens_B!P631, Klantgegevens_A!M631)</f>
        <v>0</v>
      </c>
      <c r="R632" t="str">
        <f>IF(Klantgegevens_B!A631&lt;&gt;"", "B", "A")</f>
        <v>B</v>
      </c>
    </row>
    <row r="633" spans="1:18" x14ac:dyDescent="0.3">
      <c r="A633" t="str">
        <f>IF(Klantgegevens_B!A632&lt;&gt;"", Klantgegevens_B!A632, MID(Klantgegevens_A!A632, FIND(",", Klantgegevens_A!A632)+2, LEN(Klantgegevens_A!A632)))</f>
        <v>Jarne</v>
      </c>
      <c r="B633" t="str">
        <f>IF(Klantgegevens_B!B632&lt;&gt;"", Klantgegevens_B!B632, LEFT(Klantgegevens_A!A632, FIND(",", Klantgegevens_A!A632)-1))</f>
        <v>Van de walle</v>
      </c>
      <c r="C633" t="str">
        <f t="shared" ca="1" si="9"/>
        <v/>
      </c>
      <c r="D633" t="str">
        <f>IF(Klantgegevens_B!F632&lt;&gt;"", Klantgegevens_B!F632, Klantgegevens_A!D632 &amp; " " &amp; Klantgegevens_A!E632 &amp; ", " &amp; Klantgegevens_A!F632)</f>
        <v>Jarne,Nele,Dorian,Maure</v>
      </c>
      <c r="E633">
        <f>IF(Klantgegevens_B!G632&lt;&gt;"", Klantgegevens_B!G632, TEXTJOIN(",", TRUE, REPT("Volwassene,", Klantgegevens_A!G632), REPT("Kind,", Klantgegevens_A!H632)))</f>
        <v>78.81</v>
      </c>
      <c r="F633">
        <f>IF(Klantgegevens_B!G632&lt;&gt;"", LEN(Klantgegevens_B!G632)-LEN(SUBSTITUTE(Klantgegevens_B!G632, ",", ""))+1, Klantgegevens_A!G632)</f>
        <v>1</v>
      </c>
      <c r="G633">
        <f>IF(Klantgegevens_B!G632&lt;&gt;"", 0, Klantgegevens_A!H632)</f>
        <v>0</v>
      </c>
      <c r="H633">
        <f>IF(Klantgegevens_B!H632&lt;&gt;"", Klantgegevens_B!H632, Klantgegevens_A!I632)</f>
        <v>2</v>
      </c>
      <c r="I633" t="str">
        <f>IF(Klantgegevens_B!I632&lt;&gt;"", Klantgegevens_B!I632, SWITCH(Klantgegevens_A!J632, "Zelden", 1, "Af en toe", 4, "Regelmatig", 8, "Vaak", 12))</f>
        <v>Bancontact</v>
      </c>
      <c r="J633" t="str">
        <f>IF(Klantgegevens_B!J632&lt;&gt;"", Klantgegevens_B!J632, Klantgegevens_A!K632)</f>
        <v>ja</v>
      </c>
      <c r="K633">
        <f>IF(Klantgegevens_B!K632&lt;&gt;"", AVERAGE(--(Klantgegevens_B!K632="ja"), --(Klantgegevens_B!L632="ja"), --(Klantgegevens_B!M632="ja"), --(Klantgegevens_B!N632="ja"), --(Klantgegevens_B!O632="ja"))*10, Klantgegevens_A!L632)</f>
        <v>8</v>
      </c>
      <c r="L633" t="str">
        <f>IF(Klantgegevens_B!K632&lt;&gt;"", Klantgegevens_B!K632, IF(Klantgegevens_A!L632&gt;=7, "ja", "nee"))</f>
        <v>ja</v>
      </c>
      <c r="M633" t="str">
        <f>IF(Klantgegevens_B!L632&lt;&gt;"", Klantgegevens_B!L632, IF(Klantgegevens_A!L632&gt;=7, "ja", "nee"))</f>
        <v>ja</v>
      </c>
      <c r="N633" t="str">
        <f>IF(Klantgegevens_B!M632&lt;&gt;"", Klantgegevens_B!M632, IF(Klantgegevens_A!L632&gt;=7, "ja", "nee"))</f>
        <v>ja</v>
      </c>
      <c r="O633" t="str">
        <f>IF(Klantgegevens_B!N632&lt;&gt;"", Klantgegevens_B!N632, IF(Klantgegevens_A!L632&gt;=7, "ja", "nee"))</f>
        <v>ja</v>
      </c>
      <c r="P633" t="str">
        <f>IF(Klantgegevens_B!O632&lt;&gt;"", Klantgegevens_B!O632, IF(Klantgegevens_A!L632&gt;=7, "ja", "nee"))</f>
        <v>Geen dieet</v>
      </c>
      <c r="Q633">
        <f>IF(Klantgegevens_B!P632&lt;&gt;"", Klantgegevens_B!P632, Klantgegevens_A!M632)</f>
        <v>0</v>
      </c>
      <c r="R633" t="str">
        <f>IF(Klantgegevens_B!A632&lt;&gt;"", "B", "A")</f>
        <v>B</v>
      </c>
    </row>
    <row r="634" spans="1:18" x14ac:dyDescent="0.3">
      <c r="A634" t="str">
        <f>IF(Klantgegevens_B!A633&lt;&gt;"", Klantgegevens_B!A633, MID(Klantgegevens_A!A633, FIND(",", Klantgegevens_A!A633)+2, LEN(Klantgegevens_A!A633)))</f>
        <v>Alex</v>
      </c>
      <c r="B634" t="str">
        <f>IF(Klantgegevens_B!B633&lt;&gt;"", Klantgegevens_B!B633, LEFT(Klantgegevens_A!A633, FIND(",", Klantgegevens_A!A633)-1))</f>
        <v>Somers</v>
      </c>
      <c r="C634" t="str">
        <f t="shared" ca="1" si="9"/>
        <v/>
      </c>
      <c r="D634" t="str">
        <f>IF(Klantgegevens_B!F633&lt;&gt;"", Klantgegevens_B!F633, Klantgegevens_A!D633 &amp; " " &amp; Klantgegevens_A!E633 &amp; ", " &amp; Klantgegevens_A!F633)</f>
        <v>Alex,Fabien,Tassiana,Nathanaël</v>
      </c>
      <c r="E634">
        <f>IF(Klantgegevens_B!G633&lt;&gt;"", Klantgegevens_B!G633, TEXTJOIN(",", TRUE, REPT("Volwassene,", Klantgegevens_A!G633), REPT("Kind,", Klantgegevens_A!H633)))</f>
        <v>89.16</v>
      </c>
      <c r="F634">
        <f>IF(Klantgegevens_B!G633&lt;&gt;"", LEN(Klantgegevens_B!G633)-LEN(SUBSTITUTE(Klantgegevens_B!G633, ",", ""))+1, Klantgegevens_A!G633)</f>
        <v>1</v>
      </c>
      <c r="G634">
        <f>IF(Klantgegevens_B!G633&lt;&gt;"", 0, Klantgegevens_A!H633)</f>
        <v>0</v>
      </c>
      <c r="H634">
        <f>IF(Klantgegevens_B!H633&lt;&gt;"", Klantgegevens_B!H633, Klantgegevens_A!I633)</f>
        <v>16</v>
      </c>
      <c r="I634" t="str">
        <f>IF(Klantgegevens_B!I633&lt;&gt;"", Klantgegevens_B!I633, SWITCH(Klantgegevens_A!J633, "Zelden", 1, "Af en toe", 4, "Regelmatig", 8, "Vaak", 12))</f>
        <v>Cash</v>
      </c>
      <c r="J634" t="str">
        <f>IF(Klantgegevens_B!J633&lt;&gt;"", Klantgegevens_B!J633, Klantgegevens_A!K633)</f>
        <v>ja</v>
      </c>
      <c r="K634">
        <f>IF(Klantgegevens_B!K633&lt;&gt;"", AVERAGE(--(Klantgegevens_B!K633="ja"), --(Klantgegevens_B!L633="ja"), --(Klantgegevens_B!M633="ja"), --(Klantgegevens_B!N633="ja"), --(Klantgegevens_B!O633="ja"))*10, Klantgegevens_A!L633)</f>
        <v>6</v>
      </c>
      <c r="L634" t="str">
        <f>IF(Klantgegevens_B!K633&lt;&gt;"", Klantgegevens_B!K633, IF(Klantgegevens_A!L633&gt;=7, "ja", "nee"))</f>
        <v>nee</v>
      </c>
      <c r="M634" t="str">
        <f>IF(Klantgegevens_B!L633&lt;&gt;"", Klantgegevens_B!L633, IF(Klantgegevens_A!L633&gt;=7, "ja", "nee"))</f>
        <v>ja</v>
      </c>
      <c r="N634" t="str">
        <f>IF(Klantgegevens_B!M633&lt;&gt;"", Klantgegevens_B!M633, IF(Klantgegevens_A!L633&gt;=7, "ja", "nee"))</f>
        <v>ja</v>
      </c>
      <c r="O634" t="str">
        <f>IF(Klantgegevens_B!N633&lt;&gt;"", Klantgegevens_B!N633, IF(Klantgegevens_A!L633&gt;=7, "ja", "nee"))</f>
        <v>ja</v>
      </c>
      <c r="P634" t="str">
        <f>IF(Klantgegevens_B!O633&lt;&gt;"", Klantgegevens_B!O633, IF(Klantgegevens_A!L633&gt;=7, "ja", "nee"))</f>
        <v>Vegetarisch</v>
      </c>
      <c r="Q634">
        <f>IF(Klantgegevens_B!P633&lt;&gt;"", Klantgegevens_B!P633, Klantgegevens_A!M633)</f>
        <v>0</v>
      </c>
      <c r="R634" t="str">
        <f>IF(Klantgegevens_B!A633&lt;&gt;"", "B", "A")</f>
        <v>B</v>
      </c>
    </row>
    <row r="635" spans="1:18" x14ac:dyDescent="0.3">
      <c r="A635" t="str">
        <f>IF(Klantgegevens_B!A634&lt;&gt;"", Klantgegevens_B!A634, MID(Klantgegevens_A!A634, FIND(",", Klantgegevens_A!A634)+2, LEN(Klantgegevens_A!A634)))</f>
        <v>Ulysse</v>
      </c>
      <c r="B635" t="str">
        <f>IF(Klantgegevens_B!B634&lt;&gt;"", Klantgegevens_B!B634, LEFT(Klantgegevens_A!A634, FIND(",", Klantgegevens_A!A634)-1))</f>
        <v>Laurent</v>
      </c>
      <c r="C635" t="str">
        <f t="shared" ca="1" si="9"/>
        <v/>
      </c>
      <c r="D635" t="str">
        <f>IF(Klantgegevens_B!F634&lt;&gt;"", Klantgegevens_B!F634, Klantgegevens_A!D634 &amp; " " &amp; Klantgegevens_A!E634 &amp; ", " &amp; Klantgegevens_A!F634)</f>
        <v>Ulysse,Annelies</v>
      </c>
      <c r="E635">
        <f>IF(Klantgegevens_B!G634&lt;&gt;"", Klantgegevens_B!G634, TEXTJOIN(",", TRUE, REPT("Volwassene,", Klantgegevens_A!G634), REPT("Kind,", Klantgegevens_A!H634)))</f>
        <v>107.57</v>
      </c>
      <c r="F635">
        <f>IF(Klantgegevens_B!G634&lt;&gt;"", LEN(Klantgegevens_B!G634)-LEN(SUBSTITUTE(Klantgegevens_B!G634, ",", ""))+1, Klantgegevens_A!G634)</f>
        <v>1</v>
      </c>
      <c r="G635">
        <f>IF(Klantgegevens_B!G634&lt;&gt;"", 0, Klantgegevens_A!H634)</f>
        <v>0</v>
      </c>
      <c r="H635">
        <f>IF(Klantgegevens_B!H634&lt;&gt;"", Klantgegevens_B!H634, Klantgegevens_A!I634)</f>
        <v>8</v>
      </c>
      <c r="I635" t="str">
        <f>IF(Klantgegevens_B!I634&lt;&gt;"", Klantgegevens_B!I634, SWITCH(Klantgegevens_A!J634, "Zelden", 1, "Af en toe", 4, "Regelmatig", 8, "Vaak", 12))</f>
        <v>Payconiq</v>
      </c>
      <c r="J635" t="str">
        <f>IF(Klantgegevens_B!J634&lt;&gt;"", Klantgegevens_B!J634, Klantgegevens_A!K634)</f>
        <v>ja</v>
      </c>
      <c r="K635">
        <f>IF(Klantgegevens_B!K634&lt;&gt;"", AVERAGE(--(Klantgegevens_B!K634="ja"), --(Klantgegevens_B!L634="ja"), --(Klantgegevens_B!M634="ja"), --(Klantgegevens_B!N634="ja"), --(Klantgegevens_B!O634="ja"))*10, Klantgegevens_A!L634)</f>
        <v>6</v>
      </c>
      <c r="L635" t="str">
        <f>IF(Klantgegevens_B!K634&lt;&gt;"", Klantgegevens_B!K634, IF(Klantgegevens_A!L634&gt;=7, "ja", "nee"))</f>
        <v>ja</v>
      </c>
      <c r="M635" t="str">
        <f>IF(Klantgegevens_B!L634&lt;&gt;"", Klantgegevens_B!L634, IF(Klantgegevens_A!L634&gt;=7, "ja", "nee"))</f>
        <v>ja</v>
      </c>
      <c r="N635" t="str">
        <f>IF(Klantgegevens_B!M634&lt;&gt;"", Klantgegevens_B!M634, IF(Klantgegevens_A!L634&gt;=7, "ja", "nee"))</f>
        <v>ja</v>
      </c>
      <c r="O635" t="str">
        <f>IF(Klantgegevens_B!N634&lt;&gt;"", Klantgegevens_B!N634, IF(Klantgegevens_A!L634&gt;=7, "ja", "nee"))</f>
        <v>nee</v>
      </c>
      <c r="P635" t="str">
        <f>IF(Klantgegevens_B!O634&lt;&gt;"", Klantgegevens_B!O634, IF(Klantgegevens_A!L634&gt;=7, "ja", "nee"))</f>
        <v>Geen dieet</v>
      </c>
      <c r="Q635">
        <f>IF(Klantgegevens_B!P634&lt;&gt;"", Klantgegevens_B!P634, Klantgegevens_A!M634)</f>
        <v>0</v>
      </c>
      <c r="R635" t="str">
        <f>IF(Klantgegevens_B!A634&lt;&gt;"", "B", "A")</f>
        <v>B</v>
      </c>
    </row>
    <row r="636" spans="1:18" x14ac:dyDescent="0.3">
      <c r="A636" t="str">
        <f>IF(Klantgegevens_B!A635&lt;&gt;"", Klantgegevens_B!A635, MID(Klantgegevens_A!A635, FIND(",", Klantgegevens_A!A635)+2, LEN(Klantgegevens_A!A635)))</f>
        <v>Victoria</v>
      </c>
      <c r="B636" t="str">
        <f>IF(Klantgegevens_B!B635&lt;&gt;"", Klantgegevens_B!B635, LEFT(Klantgegevens_A!A635, FIND(",", Klantgegevens_A!A635)-1))</f>
        <v>Nuyts</v>
      </c>
      <c r="C636" t="str">
        <f t="shared" ca="1" si="9"/>
        <v/>
      </c>
      <c r="D636" t="str">
        <f>IF(Klantgegevens_B!F635&lt;&gt;"", Klantgegevens_B!F635, Klantgegevens_A!D635 &amp; " " &amp; Klantgegevens_A!E635 &amp; ", " &amp; Klantgegevens_A!F635)</f>
        <v>Victoria,Leon,Yvonne</v>
      </c>
      <c r="E636">
        <f>IF(Klantgegevens_B!G635&lt;&gt;"", Klantgegevens_B!G635, TEXTJOIN(",", TRUE, REPT("Volwassene,", Klantgegevens_A!G635), REPT("Kind,", Klantgegevens_A!H635)))</f>
        <v>131.76</v>
      </c>
      <c r="F636">
        <f>IF(Klantgegevens_B!G635&lt;&gt;"", LEN(Klantgegevens_B!G635)-LEN(SUBSTITUTE(Klantgegevens_B!G635, ",", ""))+1, Klantgegevens_A!G635)</f>
        <v>1</v>
      </c>
      <c r="G636">
        <f>IF(Klantgegevens_B!G635&lt;&gt;"", 0, Klantgegevens_A!H635)</f>
        <v>0</v>
      </c>
      <c r="H636">
        <f>IF(Klantgegevens_B!H635&lt;&gt;"", Klantgegevens_B!H635, Klantgegevens_A!I635)</f>
        <v>1</v>
      </c>
      <c r="I636" t="str">
        <f>IF(Klantgegevens_B!I635&lt;&gt;"", Klantgegevens_B!I635, SWITCH(Klantgegevens_A!J635, "Zelden", 1, "Af en toe", 4, "Regelmatig", 8, "Vaak", 12))</f>
        <v>Payconiq</v>
      </c>
      <c r="J636" t="str">
        <f>IF(Klantgegevens_B!J635&lt;&gt;"", Klantgegevens_B!J635, Klantgegevens_A!K635)</f>
        <v>ja</v>
      </c>
      <c r="K636">
        <f>IF(Klantgegevens_B!K635&lt;&gt;"", AVERAGE(--(Klantgegevens_B!K635="ja"), --(Klantgegevens_B!L635="ja"), --(Klantgegevens_B!M635="ja"), --(Klantgegevens_B!N635="ja"), --(Klantgegevens_B!O635="ja"))*10, Klantgegevens_A!L635)</f>
        <v>8</v>
      </c>
      <c r="L636" t="str">
        <f>IF(Klantgegevens_B!K635&lt;&gt;"", Klantgegevens_B!K635, IF(Klantgegevens_A!L635&gt;=7, "ja", "nee"))</f>
        <v>ja</v>
      </c>
      <c r="M636" t="str">
        <f>IF(Klantgegevens_B!L635&lt;&gt;"", Klantgegevens_B!L635, IF(Klantgegevens_A!L635&gt;=7, "ja", "nee"))</f>
        <v>ja</v>
      </c>
      <c r="N636" t="str">
        <f>IF(Klantgegevens_B!M635&lt;&gt;"", Klantgegevens_B!M635, IF(Klantgegevens_A!L635&gt;=7, "ja", "nee"))</f>
        <v>ja</v>
      </c>
      <c r="O636" t="str">
        <f>IF(Klantgegevens_B!N635&lt;&gt;"", Klantgegevens_B!N635, IF(Klantgegevens_A!L635&gt;=7, "ja", "nee"))</f>
        <v>ja</v>
      </c>
      <c r="P636" t="str">
        <f>IF(Klantgegevens_B!O635&lt;&gt;"", Klantgegevens_B!O635, IF(Klantgegevens_A!L635&gt;=7, "ja", "nee"))</f>
        <v>Geen dieet</v>
      </c>
      <c r="Q636">
        <f>IF(Klantgegevens_B!P635&lt;&gt;"", Klantgegevens_B!P635, Klantgegevens_A!M635)</f>
        <v>0</v>
      </c>
      <c r="R636" t="str">
        <f>IF(Klantgegevens_B!A635&lt;&gt;"", "B", "A")</f>
        <v>B</v>
      </c>
    </row>
    <row r="637" spans="1:18" x14ac:dyDescent="0.3">
      <c r="A637" t="str">
        <f>IF(Klantgegevens_B!A636&lt;&gt;"", Klantgegevens_B!A636, MID(Klantgegevens_A!A636, FIND(",", Klantgegevens_A!A636)+2, LEN(Klantgegevens_A!A636)))</f>
        <v>Magda</v>
      </c>
      <c r="B637" t="str">
        <f>IF(Klantgegevens_B!B636&lt;&gt;"", Klantgegevens_B!B636, LEFT(Klantgegevens_A!A636, FIND(",", Klantgegevens_A!A636)-1))</f>
        <v>Janssens</v>
      </c>
      <c r="C637" t="str">
        <f t="shared" ca="1" si="9"/>
        <v/>
      </c>
      <c r="D637" t="str">
        <f>IF(Klantgegevens_B!F636&lt;&gt;"", Klantgegevens_B!F636, Klantgegevens_A!D636 &amp; " " &amp; Klantgegevens_A!E636 &amp; ", " &amp; Klantgegevens_A!F636)</f>
        <v>Magda</v>
      </c>
      <c r="E637">
        <f>IF(Klantgegevens_B!G636&lt;&gt;"", Klantgegevens_B!G636, TEXTJOIN(",", TRUE, REPT("Volwassene,", Klantgegevens_A!G636), REPT("Kind,", Klantgegevens_A!H636)))</f>
        <v>30.37</v>
      </c>
      <c r="F637">
        <f>IF(Klantgegevens_B!G636&lt;&gt;"", LEN(Klantgegevens_B!G636)-LEN(SUBSTITUTE(Klantgegevens_B!G636, ",", ""))+1, Klantgegevens_A!G636)</f>
        <v>1</v>
      </c>
      <c r="G637">
        <f>IF(Klantgegevens_B!G636&lt;&gt;"", 0, Klantgegevens_A!H636)</f>
        <v>0</v>
      </c>
      <c r="H637">
        <f>IF(Klantgegevens_B!H636&lt;&gt;"", Klantgegevens_B!H636, Klantgegevens_A!I636)</f>
        <v>8</v>
      </c>
      <c r="I637" t="str">
        <f>IF(Klantgegevens_B!I636&lt;&gt;"", Klantgegevens_B!I636, SWITCH(Klantgegevens_A!J636, "Zelden", 1, "Af en toe", 4, "Regelmatig", 8, "Vaak", 12))</f>
        <v>Payconiq</v>
      </c>
      <c r="J637" t="str">
        <f>IF(Klantgegevens_B!J636&lt;&gt;"", Klantgegevens_B!J636, Klantgegevens_A!K636)</f>
        <v>ja</v>
      </c>
      <c r="K637">
        <f>IF(Klantgegevens_B!K636&lt;&gt;"", AVERAGE(--(Klantgegevens_B!K636="ja"), --(Klantgegevens_B!L636="ja"), --(Klantgegevens_B!M636="ja"), --(Klantgegevens_B!N636="ja"), --(Klantgegevens_B!O636="ja"))*10, Klantgegevens_A!L636)</f>
        <v>6</v>
      </c>
      <c r="L637" t="str">
        <f>IF(Klantgegevens_B!K636&lt;&gt;"", Klantgegevens_B!K636, IF(Klantgegevens_A!L636&gt;=7, "ja", "nee"))</f>
        <v>ja</v>
      </c>
      <c r="M637" t="str">
        <f>IF(Klantgegevens_B!L636&lt;&gt;"", Klantgegevens_B!L636, IF(Klantgegevens_A!L636&gt;=7, "ja", "nee"))</f>
        <v>ja</v>
      </c>
      <c r="N637" t="str">
        <f>IF(Klantgegevens_B!M636&lt;&gt;"", Klantgegevens_B!M636, IF(Klantgegevens_A!L636&gt;=7, "ja", "nee"))</f>
        <v>ja</v>
      </c>
      <c r="O637" t="str">
        <f>IF(Klantgegevens_B!N636&lt;&gt;"", Klantgegevens_B!N636, IF(Klantgegevens_A!L636&gt;=7, "ja", "nee"))</f>
        <v>nee</v>
      </c>
      <c r="P637" t="str">
        <f>IF(Klantgegevens_B!O636&lt;&gt;"", Klantgegevens_B!O636, IF(Klantgegevens_A!L636&gt;=7, "ja", "nee"))</f>
        <v>Geen dieet</v>
      </c>
      <c r="Q637">
        <f>IF(Klantgegevens_B!P636&lt;&gt;"", Klantgegevens_B!P636, Klantgegevens_A!M636)</f>
        <v>0</v>
      </c>
      <c r="R637" t="str">
        <f>IF(Klantgegevens_B!A636&lt;&gt;"", "B", "A")</f>
        <v>B</v>
      </c>
    </row>
    <row r="638" spans="1:18" x14ac:dyDescent="0.3">
      <c r="A638" t="str">
        <f>IF(Klantgegevens_B!A637&lt;&gt;"", Klantgegevens_B!A637, MID(Klantgegevens_A!A637, FIND(",", Klantgegevens_A!A637)+2, LEN(Klantgegevens_A!A637)))</f>
        <v>Sophie</v>
      </c>
      <c r="B638" t="str">
        <f>IF(Klantgegevens_B!B637&lt;&gt;"", Klantgegevens_B!B637, LEFT(Klantgegevens_A!A637, FIND(",", Klantgegevens_A!A637)-1))</f>
        <v>Meunier</v>
      </c>
      <c r="C638" t="str">
        <f t="shared" ca="1" si="9"/>
        <v/>
      </c>
      <c r="D638" t="str">
        <f>IF(Klantgegevens_B!F637&lt;&gt;"", Klantgegevens_B!F637, Klantgegevens_A!D637 &amp; " " &amp; Klantgegevens_A!E637 &amp; ", " &amp; Klantgegevens_A!F637)</f>
        <v>Sophie,Greet,Naïm</v>
      </c>
      <c r="E638">
        <f>IF(Klantgegevens_B!G637&lt;&gt;"", Klantgegevens_B!G637, TEXTJOIN(",", TRUE, REPT("Volwassene,", Klantgegevens_A!G637), REPT("Kind,", Klantgegevens_A!H637)))</f>
        <v>106.93</v>
      </c>
      <c r="F638">
        <f>IF(Klantgegevens_B!G637&lt;&gt;"", LEN(Klantgegevens_B!G637)-LEN(SUBSTITUTE(Klantgegevens_B!G637, ",", ""))+1, Klantgegevens_A!G637)</f>
        <v>1</v>
      </c>
      <c r="G638">
        <f>IF(Klantgegevens_B!G637&lt;&gt;"", 0, Klantgegevens_A!H637)</f>
        <v>0</v>
      </c>
      <c r="H638">
        <f>IF(Klantgegevens_B!H637&lt;&gt;"", Klantgegevens_B!H637, Klantgegevens_A!I637)</f>
        <v>11</v>
      </c>
      <c r="I638" t="str">
        <f>IF(Klantgegevens_B!I637&lt;&gt;"", Klantgegevens_B!I637, SWITCH(Klantgegevens_A!J637, "Zelden", 1, "Af en toe", 4, "Regelmatig", 8, "Vaak", 12))</f>
        <v>Creditcard</v>
      </c>
      <c r="J638" t="str">
        <f>IF(Klantgegevens_B!J637&lt;&gt;"", Klantgegevens_B!J637, Klantgegevens_A!K637)</f>
        <v>ja</v>
      </c>
      <c r="K638">
        <f>IF(Klantgegevens_B!K637&lt;&gt;"", AVERAGE(--(Klantgegevens_B!K637="ja"), --(Klantgegevens_B!L637="ja"), --(Klantgegevens_B!M637="ja"), --(Klantgegevens_B!N637="ja"), --(Klantgegevens_B!O637="ja"))*10, Klantgegevens_A!L637)</f>
        <v>4</v>
      </c>
      <c r="L638" t="str">
        <f>IF(Klantgegevens_B!K637&lt;&gt;"", Klantgegevens_B!K637, IF(Klantgegevens_A!L637&gt;=7, "ja", "nee"))</f>
        <v>nee</v>
      </c>
      <c r="M638" t="str">
        <f>IF(Klantgegevens_B!L637&lt;&gt;"", Klantgegevens_B!L637, IF(Klantgegevens_A!L637&gt;=7, "ja", "nee"))</f>
        <v>nee</v>
      </c>
      <c r="N638" t="str">
        <f>IF(Klantgegevens_B!M637&lt;&gt;"", Klantgegevens_B!M637, IF(Klantgegevens_A!L637&gt;=7, "ja", "nee"))</f>
        <v>ja</v>
      </c>
      <c r="O638" t="str">
        <f>IF(Klantgegevens_B!N637&lt;&gt;"", Klantgegevens_B!N637, IF(Klantgegevens_A!L637&gt;=7, "ja", "nee"))</f>
        <v>ja</v>
      </c>
      <c r="P638" t="str">
        <f>IF(Klantgegevens_B!O637&lt;&gt;"", Klantgegevens_B!O637, IF(Klantgegevens_A!L637&gt;=7, "ja", "nee"))</f>
        <v>Geen dieet</v>
      </c>
      <c r="Q638">
        <f>IF(Klantgegevens_B!P637&lt;&gt;"", Klantgegevens_B!P637, Klantgegevens_A!M637)</f>
        <v>0</v>
      </c>
      <c r="R638" t="str">
        <f>IF(Klantgegevens_B!A637&lt;&gt;"", "B", "A")</f>
        <v>B</v>
      </c>
    </row>
    <row r="639" spans="1:18" x14ac:dyDescent="0.3">
      <c r="A639" t="str">
        <f>IF(Klantgegevens_B!A638&lt;&gt;"", Klantgegevens_B!A638, MID(Klantgegevens_A!A638, FIND(",", Klantgegevens_A!A638)+2, LEN(Klantgegevens_A!A638)))</f>
        <v>Boris</v>
      </c>
      <c r="B639" t="str">
        <f>IF(Klantgegevens_B!B638&lt;&gt;"", Klantgegevens_B!B638, LEFT(Klantgegevens_A!A638, FIND(",", Klantgegevens_A!A638)-1))</f>
        <v>Baeten</v>
      </c>
      <c r="C639" t="str">
        <f t="shared" ca="1" si="9"/>
        <v/>
      </c>
      <c r="D639" t="str">
        <f>IF(Klantgegevens_B!F638&lt;&gt;"", Klantgegevens_B!F638, Klantgegevens_A!D638 &amp; " " &amp; Klantgegevens_A!E638 &amp; ", " &amp; Klantgegevens_A!F638)</f>
        <v>Boris,Eddy,Michel</v>
      </c>
      <c r="E639">
        <f>IF(Klantgegevens_B!G638&lt;&gt;"", Klantgegevens_B!G638, TEXTJOIN(",", TRUE, REPT("Volwassene,", Klantgegevens_A!G638), REPT("Kind,", Klantgegevens_A!H638)))</f>
        <v>74.11</v>
      </c>
      <c r="F639">
        <f>IF(Klantgegevens_B!G638&lt;&gt;"", LEN(Klantgegevens_B!G638)-LEN(SUBSTITUTE(Klantgegevens_B!G638, ",", ""))+1, Klantgegevens_A!G638)</f>
        <v>1</v>
      </c>
      <c r="G639">
        <f>IF(Klantgegevens_B!G638&lt;&gt;"", 0, Klantgegevens_A!H638)</f>
        <v>0</v>
      </c>
      <c r="H639">
        <f>IF(Klantgegevens_B!H638&lt;&gt;"", Klantgegevens_B!H638, Klantgegevens_A!I638)</f>
        <v>6</v>
      </c>
      <c r="I639" t="str">
        <f>IF(Klantgegevens_B!I638&lt;&gt;"", Klantgegevens_B!I638, SWITCH(Klantgegevens_A!J638, "Zelden", 1, "Af en toe", 4, "Regelmatig", 8, "Vaak", 12))</f>
        <v>Payconiq</v>
      </c>
      <c r="J639" t="str">
        <f>IF(Klantgegevens_B!J638&lt;&gt;"", Klantgegevens_B!J638, Klantgegevens_A!K638)</f>
        <v>ja</v>
      </c>
      <c r="K639">
        <f>IF(Klantgegevens_B!K638&lt;&gt;"", AVERAGE(--(Klantgegevens_B!K638="ja"), --(Klantgegevens_B!L638="ja"), --(Klantgegevens_B!M638="ja"), --(Klantgegevens_B!N638="ja"), --(Klantgegevens_B!O638="ja"))*10, Klantgegevens_A!L638)</f>
        <v>4</v>
      </c>
      <c r="L639" t="str">
        <f>IF(Klantgegevens_B!K638&lt;&gt;"", Klantgegevens_B!K638, IF(Klantgegevens_A!L638&gt;=7, "ja", "nee"))</f>
        <v>ja</v>
      </c>
      <c r="M639" t="str">
        <f>IF(Klantgegevens_B!L638&lt;&gt;"", Klantgegevens_B!L638, IF(Klantgegevens_A!L638&gt;=7, "ja", "nee"))</f>
        <v>nee</v>
      </c>
      <c r="N639" t="str">
        <f>IF(Klantgegevens_B!M638&lt;&gt;"", Klantgegevens_B!M638, IF(Klantgegevens_A!L638&gt;=7, "ja", "nee"))</f>
        <v>ja</v>
      </c>
      <c r="O639" t="str">
        <f>IF(Klantgegevens_B!N638&lt;&gt;"", Klantgegevens_B!N638, IF(Klantgegevens_A!L638&gt;=7, "ja", "nee"))</f>
        <v>nee</v>
      </c>
      <c r="P639" t="str">
        <f>IF(Klantgegevens_B!O638&lt;&gt;"", Klantgegevens_B!O638, IF(Klantgegevens_A!L638&gt;=7, "ja", "nee"))</f>
        <v>Vegetarisch</v>
      </c>
      <c r="Q639">
        <f>IF(Klantgegevens_B!P638&lt;&gt;"", Klantgegevens_B!P638, Klantgegevens_A!M638)</f>
        <v>0</v>
      </c>
      <c r="R639" t="str">
        <f>IF(Klantgegevens_B!A638&lt;&gt;"", "B", "A")</f>
        <v>B</v>
      </c>
    </row>
    <row r="640" spans="1:18" x14ac:dyDescent="0.3">
      <c r="A640" t="str">
        <f>IF(Klantgegevens_B!A639&lt;&gt;"", Klantgegevens_B!A639, MID(Klantgegevens_A!A639, FIND(",", Klantgegevens_A!A639)+2, LEN(Klantgegevens_A!A639)))</f>
        <v>Abdellah</v>
      </c>
      <c r="B640" t="str">
        <f>IF(Klantgegevens_B!B639&lt;&gt;"", Klantgegevens_B!B639, LEFT(Klantgegevens_A!A639, FIND(",", Klantgegevens_A!A639)-1))</f>
        <v>Nicolas</v>
      </c>
      <c r="C640" t="str">
        <f t="shared" ca="1" si="9"/>
        <v/>
      </c>
      <c r="D640" t="str">
        <f>IF(Klantgegevens_B!F639&lt;&gt;"", Klantgegevens_B!F639, Klantgegevens_A!D639 &amp; " " &amp; Klantgegevens_A!E639 &amp; ", " &amp; Klantgegevens_A!F639)</f>
        <v>Abdellah,Finnian</v>
      </c>
      <c r="E640">
        <f>IF(Klantgegevens_B!G639&lt;&gt;"", Klantgegevens_B!G639, TEXTJOIN(",", TRUE, REPT("Volwassene,", Klantgegevens_A!G639), REPT("Kind,", Klantgegevens_A!H639)))</f>
        <v>80.72</v>
      </c>
      <c r="F640">
        <f>IF(Klantgegevens_B!G639&lt;&gt;"", LEN(Klantgegevens_B!G639)-LEN(SUBSTITUTE(Klantgegevens_B!G639, ",", ""))+1, Klantgegevens_A!G639)</f>
        <v>1</v>
      </c>
      <c r="G640">
        <f>IF(Klantgegevens_B!G639&lt;&gt;"", 0, Klantgegevens_A!H639)</f>
        <v>0</v>
      </c>
      <c r="H640">
        <f>IF(Klantgegevens_B!H639&lt;&gt;"", Klantgegevens_B!H639, Klantgegevens_A!I639)</f>
        <v>14</v>
      </c>
      <c r="I640" t="str">
        <f>IF(Klantgegevens_B!I639&lt;&gt;"", Klantgegevens_B!I639, SWITCH(Klantgegevens_A!J639, "Zelden", 1, "Af en toe", 4, "Regelmatig", 8, "Vaak", 12))</f>
        <v>Bancontact</v>
      </c>
      <c r="J640" t="str">
        <f>IF(Klantgegevens_B!J639&lt;&gt;"", Klantgegevens_B!J639, Klantgegevens_A!K639)</f>
        <v>ja</v>
      </c>
      <c r="K640">
        <f>IF(Klantgegevens_B!K639&lt;&gt;"", AVERAGE(--(Klantgegevens_B!K639="ja"), --(Klantgegevens_B!L639="ja"), --(Klantgegevens_B!M639="ja"), --(Klantgegevens_B!N639="ja"), --(Klantgegevens_B!O639="ja"))*10, Klantgegevens_A!L639)</f>
        <v>4</v>
      </c>
      <c r="L640" t="str">
        <f>IF(Klantgegevens_B!K639&lt;&gt;"", Klantgegevens_B!K639, IF(Klantgegevens_A!L639&gt;=7, "ja", "nee"))</f>
        <v>ja</v>
      </c>
      <c r="M640" t="str">
        <f>IF(Klantgegevens_B!L639&lt;&gt;"", Klantgegevens_B!L639, IF(Klantgegevens_A!L639&gt;=7, "ja", "nee"))</f>
        <v>ja</v>
      </c>
      <c r="N640" t="str">
        <f>IF(Klantgegevens_B!M639&lt;&gt;"", Klantgegevens_B!M639, IF(Klantgegevens_A!L639&gt;=7, "ja", "nee"))</f>
        <v>nee</v>
      </c>
      <c r="O640" t="str">
        <f>IF(Klantgegevens_B!N639&lt;&gt;"", Klantgegevens_B!N639, IF(Klantgegevens_A!L639&gt;=7, "ja", "nee"))</f>
        <v>nee</v>
      </c>
      <c r="P640" t="str">
        <f>IF(Klantgegevens_B!O639&lt;&gt;"", Klantgegevens_B!O639, IF(Klantgegevens_A!L639&gt;=7, "ja", "nee"))</f>
        <v>Geen dieet</v>
      </c>
      <c r="Q640">
        <f>IF(Klantgegevens_B!P639&lt;&gt;"", Klantgegevens_B!P639, Klantgegevens_A!M639)</f>
        <v>0</v>
      </c>
      <c r="R640" t="str">
        <f>IF(Klantgegevens_B!A639&lt;&gt;"", "B", "A")</f>
        <v>B</v>
      </c>
    </row>
    <row r="641" spans="1:18" x14ac:dyDescent="0.3">
      <c r="A641" t="str">
        <f>IF(Klantgegevens_B!A640&lt;&gt;"", Klantgegevens_B!A640, MID(Klantgegevens_A!A640, FIND(",", Klantgegevens_A!A640)+2, LEN(Klantgegevens_A!A640)))</f>
        <v>Alma</v>
      </c>
      <c r="B641" t="str">
        <f>IF(Klantgegevens_B!B640&lt;&gt;"", Klantgegevens_B!B640, LEFT(Klantgegevens_A!A640, FIND(",", Klantgegevens_A!A640)-1))</f>
        <v>Van de walle</v>
      </c>
      <c r="C641" t="str">
        <f t="shared" ca="1" si="9"/>
        <v/>
      </c>
      <c r="D641" t="str">
        <f>IF(Klantgegevens_B!F640&lt;&gt;"", Klantgegevens_B!F640, Klantgegevens_A!D640 &amp; " " &amp; Klantgegevens_A!E640 &amp; ", " &amp; Klantgegevens_A!F640)</f>
        <v>Alma,Marc,Anne,Fatiha</v>
      </c>
      <c r="E641">
        <f>IF(Klantgegevens_B!G640&lt;&gt;"", Klantgegevens_B!G640, TEXTJOIN(",", TRUE, REPT("Volwassene,", Klantgegevens_A!G640), REPT("Kind,", Klantgegevens_A!H640)))</f>
        <v>158.57</v>
      </c>
      <c r="F641">
        <f>IF(Klantgegevens_B!G640&lt;&gt;"", LEN(Klantgegevens_B!G640)-LEN(SUBSTITUTE(Klantgegevens_B!G640, ",", ""))+1, Klantgegevens_A!G640)</f>
        <v>1</v>
      </c>
      <c r="G641">
        <f>IF(Klantgegevens_B!G640&lt;&gt;"", 0, Klantgegevens_A!H640)</f>
        <v>0</v>
      </c>
      <c r="H641">
        <f>IF(Klantgegevens_B!H640&lt;&gt;"", Klantgegevens_B!H640, Klantgegevens_A!I640)</f>
        <v>9</v>
      </c>
      <c r="I641" t="str">
        <f>IF(Klantgegevens_B!I640&lt;&gt;"", Klantgegevens_B!I640, SWITCH(Klantgegevens_A!J640, "Zelden", 1, "Af en toe", 4, "Regelmatig", 8, "Vaak", 12))</f>
        <v>Cash</v>
      </c>
      <c r="J641" t="str">
        <f>IF(Klantgegevens_B!J640&lt;&gt;"", Klantgegevens_B!J640, Klantgegevens_A!K640)</f>
        <v>nee</v>
      </c>
      <c r="K641">
        <f>IF(Klantgegevens_B!K640&lt;&gt;"", AVERAGE(--(Klantgegevens_B!K640="ja"), --(Klantgegevens_B!L640="ja"), --(Klantgegevens_B!M640="ja"), --(Klantgegevens_B!N640="ja"), --(Klantgegevens_B!O640="ja"))*10, Klantgegevens_A!L640)</f>
        <v>6</v>
      </c>
      <c r="L641" t="str">
        <f>IF(Klantgegevens_B!K640&lt;&gt;"", Klantgegevens_B!K640, IF(Klantgegevens_A!L640&gt;=7, "ja", "nee"))</f>
        <v>ja</v>
      </c>
      <c r="M641" t="str">
        <f>IF(Klantgegevens_B!L640&lt;&gt;"", Klantgegevens_B!L640, IF(Klantgegevens_A!L640&gt;=7, "ja", "nee"))</f>
        <v>ja</v>
      </c>
      <c r="N641" t="str">
        <f>IF(Klantgegevens_B!M640&lt;&gt;"", Klantgegevens_B!M640, IF(Klantgegevens_A!L640&gt;=7, "ja", "nee"))</f>
        <v>nee</v>
      </c>
      <c r="O641" t="str">
        <f>IF(Klantgegevens_B!N640&lt;&gt;"", Klantgegevens_B!N640, IF(Klantgegevens_A!L640&gt;=7, "ja", "nee"))</f>
        <v>ja</v>
      </c>
      <c r="P641" t="str">
        <f>IF(Klantgegevens_B!O640&lt;&gt;"", Klantgegevens_B!O640, IF(Klantgegevens_A!L640&gt;=7, "ja", "nee"))</f>
        <v>Geen dieet</v>
      </c>
      <c r="Q641">
        <f>IF(Klantgegevens_B!P640&lt;&gt;"", Klantgegevens_B!P640, Klantgegevens_A!M640)</f>
        <v>0</v>
      </c>
      <c r="R641" t="str">
        <f>IF(Klantgegevens_B!A640&lt;&gt;"", "B", "A")</f>
        <v>B</v>
      </c>
    </row>
    <row r="642" spans="1:18" x14ac:dyDescent="0.3">
      <c r="A642" t="str">
        <f>IF(Klantgegevens_B!A641&lt;&gt;"", Klantgegevens_B!A641, MID(Klantgegevens_A!A641, FIND(",", Klantgegevens_A!A641)+2, LEN(Klantgegevens_A!A641)))</f>
        <v>Ann</v>
      </c>
      <c r="B642" t="str">
        <f>IF(Klantgegevens_B!B641&lt;&gt;"", Klantgegevens_B!B641, LEFT(Klantgegevens_A!A641, FIND(",", Klantgegevens_A!A641)-1))</f>
        <v>Hermans</v>
      </c>
      <c r="C642" t="str">
        <f t="shared" ca="1" si="9"/>
        <v/>
      </c>
      <c r="D642" t="str">
        <f>IF(Klantgegevens_B!F641&lt;&gt;"", Klantgegevens_B!F641, Klantgegevens_A!D641 &amp; " " &amp; Klantgegevens_A!E641 &amp; ", " &amp; Klantgegevens_A!F641)</f>
        <v>Ann,Steve,Nadia</v>
      </c>
      <c r="E642">
        <f>IF(Klantgegevens_B!G641&lt;&gt;"", Klantgegevens_B!G641, TEXTJOIN(",", TRUE, REPT("Volwassene,", Klantgegevens_A!G641), REPT("Kind,", Klantgegevens_A!H641)))</f>
        <v>128.16</v>
      </c>
      <c r="F642">
        <f>IF(Klantgegevens_B!G641&lt;&gt;"", LEN(Klantgegevens_B!G641)-LEN(SUBSTITUTE(Klantgegevens_B!G641, ",", ""))+1, Klantgegevens_A!G641)</f>
        <v>1</v>
      </c>
      <c r="G642">
        <f>IF(Klantgegevens_B!G641&lt;&gt;"", 0, Klantgegevens_A!H641)</f>
        <v>0</v>
      </c>
      <c r="H642">
        <f>IF(Klantgegevens_B!H641&lt;&gt;"", Klantgegevens_B!H641, Klantgegevens_A!I641)</f>
        <v>10</v>
      </c>
      <c r="I642" t="str">
        <f>IF(Klantgegevens_B!I641&lt;&gt;"", Klantgegevens_B!I641, SWITCH(Klantgegevens_A!J641, "Zelden", 1, "Af en toe", 4, "Regelmatig", 8, "Vaak", 12))</f>
        <v>Payconiq</v>
      </c>
      <c r="J642" t="str">
        <f>IF(Klantgegevens_B!J641&lt;&gt;"", Klantgegevens_B!J641, Klantgegevens_A!K641)</f>
        <v>ja</v>
      </c>
      <c r="K642">
        <f>IF(Klantgegevens_B!K641&lt;&gt;"", AVERAGE(--(Klantgegevens_B!K641="ja"), --(Klantgegevens_B!L641="ja"), --(Klantgegevens_B!M641="ja"), --(Klantgegevens_B!N641="ja"), --(Klantgegevens_B!O641="ja"))*10, Klantgegevens_A!L641)</f>
        <v>8</v>
      </c>
      <c r="L642" t="str">
        <f>IF(Klantgegevens_B!K641&lt;&gt;"", Klantgegevens_B!K641, IF(Klantgegevens_A!L641&gt;=7, "ja", "nee"))</f>
        <v>ja</v>
      </c>
      <c r="M642" t="str">
        <f>IF(Klantgegevens_B!L641&lt;&gt;"", Klantgegevens_B!L641, IF(Klantgegevens_A!L641&gt;=7, "ja", "nee"))</f>
        <v>ja</v>
      </c>
      <c r="N642" t="str">
        <f>IF(Klantgegevens_B!M641&lt;&gt;"", Klantgegevens_B!M641, IF(Klantgegevens_A!L641&gt;=7, "ja", "nee"))</f>
        <v>ja</v>
      </c>
      <c r="O642" t="str">
        <f>IF(Klantgegevens_B!N641&lt;&gt;"", Klantgegevens_B!N641, IF(Klantgegevens_A!L641&gt;=7, "ja", "nee"))</f>
        <v>ja</v>
      </c>
      <c r="P642" t="str">
        <f>IF(Klantgegevens_B!O641&lt;&gt;"", Klantgegevens_B!O641, IF(Klantgegevens_A!L641&gt;=7, "ja", "nee"))</f>
        <v>Geen dieet</v>
      </c>
      <c r="Q642">
        <f>IF(Klantgegevens_B!P641&lt;&gt;"", Klantgegevens_B!P641, Klantgegevens_A!M641)</f>
        <v>0</v>
      </c>
      <c r="R642" t="str">
        <f>IF(Klantgegevens_B!A641&lt;&gt;"", "B", "A")</f>
        <v>B</v>
      </c>
    </row>
    <row r="643" spans="1:18" x14ac:dyDescent="0.3">
      <c r="A643" t="str">
        <f>IF(Klantgegevens_B!A642&lt;&gt;"", Klantgegevens_B!A642, MID(Klantgegevens_A!A642, FIND(",", Klantgegevens_A!A642)+2, LEN(Klantgegevens_A!A642)))</f>
        <v>Scheherazade</v>
      </c>
      <c r="B643" t="str">
        <f>IF(Klantgegevens_B!B642&lt;&gt;"", Klantgegevens_B!B642, LEFT(Klantgegevens_A!A642, FIND(",", Klantgegevens_A!A642)-1))</f>
        <v>De vos</v>
      </c>
      <c r="C643" t="str">
        <f t="shared" ref="C643:C700" ca="1" si="10">C642 &amp; ", " &amp; B642</f>
        <v/>
      </c>
      <c r="D643" t="str">
        <f>IF(Klantgegevens_B!F642&lt;&gt;"", Klantgegevens_B!F642, Klantgegevens_A!D642 &amp; " " &amp; Klantgegevens_A!E642 &amp; ", " &amp; Klantgegevens_A!F642)</f>
        <v>Scheherazade,Johny</v>
      </c>
      <c r="E643">
        <f>IF(Klantgegevens_B!G642&lt;&gt;"", Klantgegevens_B!G642, TEXTJOIN(",", TRUE, REPT("Volwassene,", Klantgegevens_A!G642), REPT("Kind,", Klantgegevens_A!H642)))</f>
        <v>104.31</v>
      </c>
      <c r="F643">
        <f>IF(Klantgegevens_B!G642&lt;&gt;"", LEN(Klantgegevens_B!G642)-LEN(SUBSTITUTE(Klantgegevens_B!G642, ",", ""))+1, Klantgegevens_A!G642)</f>
        <v>1</v>
      </c>
      <c r="G643">
        <f>IF(Klantgegevens_B!G642&lt;&gt;"", 0, Klantgegevens_A!H642)</f>
        <v>0</v>
      </c>
      <c r="H643">
        <f>IF(Klantgegevens_B!H642&lt;&gt;"", Klantgegevens_B!H642, Klantgegevens_A!I642)</f>
        <v>13</v>
      </c>
      <c r="I643" t="str">
        <f>IF(Klantgegevens_B!I642&lt;&gt;"", Klantgegevens_B!I642, SWITCH(Klantgegevens_A!J642, "Zelden", 1, "Af en toe", 4, "Regelmatig", 8, "Vaak", 12))</f>
        <v>Payconiq</v>
      </c>
      <c r="J643" t="str">
        <f>IF(Klantgegevens_B!J642&lt;&gt;"", Klantgegevens_B!J642, Klantgegevens_A!K642)</f>
        <v>nee</v>
      </c>
      <c r="K643">
        <f>IF(Klantgegevens_B!K642&lt;&gt;"", AVERAGE(--(Klantgegevens_B!K642="ja"), --(Klantgegevens_B!L642="ja"), --(Klantgegevens_B!M642="ja"), --(Klantgegevens_B!N642="ja"), --(Klantgegevens_B!O642="ja"))*10, Klantgegevens_A!L642)</f>
        <v>6</v>
      </c>
      <c r="L643" t="str">
        <f>IF(Klantgegevens_B!K642&lt;&gt;"", Klantgegevens_B!K642, IF(Klantgegevens_A!L642&gt;=7, "ja", "nee"))</f>
        <v>ja</v>
      </c>
      <c r="M643" t="str">
        <f>IF(Klantgegevens_B!L642&lt;&gt;"", Klantgegevens_B!L642, IF(Klantgegevens_A!L642&gt;=7, "ja", "nee"))</f>
        <v>ja</v>
      </c>
      <c r="N643" t="str">
        <f>IF(Klantgegevens_B!M642&lt;&gt;"", Klantgegevens_B!M642, IF(Klantgegevens_A!L642&gt;=7, "ja", "nee"))</f>
        <v>nee</v>
      </c>
      <c r="O643" t="str">
        <f>IF(Klantgegevens_B!N642&lt;&gt;"", Klantgegevens_B!N642, IF(Klantgegevens_A!L642&gt;=7, "ja", "nee"))</f>
        <v>ja</v>
      </c>
      <c r="P643" t="str">
        <f>IF(Klantgegevens_B!O642&lt;&gt;"", Klantgegevens_B!O642, IF(Klantgegevens_A!L642&gt;=7, "ja", "nee"))</f>
        <v>Vegetarisch</v>
      </c>
      <c r="Q643">
        <f>IF(Klantgegevens_B!P642&lt;&gt;"", Klantgegevens_B!P642, Klantgegevens_A!M642)</f>
        <v>0</v>
      </c>
      <c r="R643" t="str">
        <f>IF(Klantgegevens_B!A642&lt;&gt;"", "B", "A")</f>
        <v>B</v>
      </c>
    </row>
    <row r="644" spans="1:18" x14ac:dyDescent="0.3">
      <c r="A644" t="str">
        <f>IF(Klantgegevens_B!A643&lt;&gt;"", Klantgegevens_B!A643, MID(Klantgegevens_A!A643, FIND(",", Klantgegevens_A!A643)+2, LEN(Klantgegevens_A!A643)))</f>
        <v>Roger</v>
      </c>
      <c r="B644" t="str">
        <f>IF(Klantgegevens_B!B643&lt;&gt;"", Klantgegevens_B!B643, LEFT(Klantgegevens_A!A643, FIND(",", Klantgegevens_A!A643)-1))</f>
        <v>De smet</v>
      </c>
      <c r="C644" t="str">
        <f t="shared" ca="1" si="10"/>
        <v/>
      </c>
      <c r="D644" t="str">
        <f>IF(Klantgegevens_B!F643&lt;&gt;"", Klantgegevens_B!F643, Klantgegevens_A!D643 &amp; " " &amp; Klantgegevens_A!E643 &amp; ", " &amp; Klantgegevens_A!F643)</f>
        <v>Roger,Lotte,Godelieve,Marta</v>
      </c>
      <c r="E644">
        <f>IF(Klantgegevens_B!G643&lt;&gt;"", Klantgegevens_B!G643, TEXTJOIN(",", TRUE, REPT("Volwassene,", Klantgegevens_A!G643), REPT("Kind,", Klantgegevens_A!H643)))</f>
        <v>147.21</v>
      </c>
      <c r="F644">
        <f>IF(Klantgegevens_B!G643&lt;&gt;"", LEN(Klantgegevens_B!G643)-LEN(SUBSTITUTE(Klantgegevens_B!G643, ",", ""))+1, Klantgegevens_A!G643)</f>
        <v>1</v>
      </c>
      <c r="G644">
        <f>IF(Klantgegevens_B!G643&lt;&gt;"", 0, Klantgegevens_A!H643)</f>
        <v>0</v>
      </c>
      <c r="H644">
        <f>IF(Klantgegevens_B!H643&lt;&gt;"", Klantgegevens_B!H643, Klantgegevens_A!I643)</f>
        <v>20</v>
      </c>
      <c r="I644" t="str">
        <f>IF(Klantgegevens_B!I643&lt;&gt;"", Klantgegevens_B!I643, SWITCH(Klantgegevens_A!J643, "Zelden", 1, "Af en toe", 4, "Regelmatig", 8, "Vaak", 12))</f>
        <v>Payconiq</v>
      </c>
      <c r="J644" t="str">
        <f>IF(Klantgegevens_B!J643&lt;&gt;"", Klantgegevens_B!J643, Klantgegevens_A!K643)</f>
        <v>ja</v>
      </c>
      <c r="K644">
        <f>IF(Klantgegevens_B!K643&lt;&gt;"", AVERAGE(--(Klantgegevens_B!K643="ja"), --(Klantgegevens_B!L643="ja"), --(Klantgegevens_B!M643="ja"), --(Klantgegevens_B!N643="ja"), --(Klantgegevens_B!O643="ja"))*10, Klantgegevens_A!L643)</f>
        <v>6</v>
      </c>
      <c r="L644" t="str">
        <f>IF(Klantgegevens_B!K643&lt;&gt;"", Klantgegevens_B!K643, IF(Klantgegevens_A!L643&gt;=7, "ja", "nee"))</f>
        <v>ja</v>
      </c>
      <c r="M644" t="str">
        <f>IF(Klantgegevens_B!L643&lt;&gt;"", Klantgegevens_B!L643, IF(Klantgegevens_A!L643&gt;=7, "ja", "nee"))</f>
        <v>nee</v>
      </c>
      <c r="N644" t="str">
        <f>IF(Klantgegevens_B!M643&lt;&gt;"", Klantgegevens_B!M643, IF(Klantgegevens_A!L643&gt;=7, "ja", "nee"))</f>
        <v>ja</v>
      </c>
      <c r="O644" t="str">
        <f>IF(Klantgegevens_B!N643&lt;&gt;"", Klantgegevens_B!N643, IF(Klantgegevens_A!L643&gt;=7, "ja", "nee"))</f>
        <v>ja</v>
      </c>
      <c r="P644" t="str">
        <f>IF(Klantgegevens_B!O643&lt;&gt;"", Klantgegevens_B!O643, IF(Klantgegevens_A!L643&gt;=7, "ja", "nee"))</f>
        <v>Geen dieet</v>
      </c>
      <c r="Q644">
        <f>IF(Klantgegevens_B!P643&lt;&gt;"", Klantgegevens_B!P643, Klantgegevens_A!M643)</f>
        <v>0</v>
      </c>
      <c r="R644" t="str">
        <f>IF(Klantgegevens_B!A643&lt;&gt;"", "B", "A")</f>
        <v>B</v>
      </c>
    </row>
    <row r="645" spans="1:18" x14ac:dyDescent="0.3">
      <c r="A645" t="str">
        <f>IF(Klantgegevens_B!A644&lt;&gt;"", Klantgegevens_B!A644, MID(Klantgegevens_A!A644, FIND(",", Klantgegevens_A!A644)+2, LEN(Klantgegevens_A!A644)))</f>
        <v>Joram</v>
      </c>
      <c r="B645" t="str">
        <f>IF(Klantgegevens_B!B644&lt;&gt;"", Klantgegevens_B!B644, LEFT(Klantgegevens_A!A644, FIND(",", Klantgegevens_A!A644)-1))</f>
        <v>Jacobs</v>
      </c>
      <c r="C645" t="str">
        <f t="shared" ca="1" si="10"/>
        <v/>
      </c>
      <c r="D645" t="str">
        <f>IF(Klantgegevens_B!F644&lt;&gt;"", Klantgegevens_B!F644, Klantgegevens_A!D644 &amp; " " &amp; Klantgegevens_A!E644 &amp; ", " &amp; Klantgegevens_A!F644)</f>
        <v>Joram</v>
      </c>
      <c r="E645">
        <f>IF(Klantgegevens_B!G644&lt;&gt;"", Klantgegevens_B!G644, TEXTJOIN(",", TRUE, REPT("Volwassene,", Klantgegevens_A!G644), REPT("Kind,", Klantgegevens_A!H644)))</f>
        <v>146</v>
      </c>
      <c r="F645">
        <f>IF(Klantgegevens_B!G644&lt;&gt;"", LEN(Klantgegevens_B!G644)-LEN(SUBSTITUTE(Klantgegevens_B!G644, ",", ""))+1, Klantgegevens_A!G644)</f>
        <v>1</v>
      </c>
      <c r="G645">
        <f>IF(Klantgegevens_B!G644&lt;&gt;"", 0, Klantgegevens_A!H644)</f>
        <v>0</v>
      </c>
      <c r="H645">
        <f>IF(Klantgegevens_B!H644&lt;&gt;"", Klantgegevens_B!H644, Klantgegevens_A!I644)</f>
        <v>17</v>
      </c>
      <c r="I645" t="str">
        <f>IF(Klantgegevens_B!I644&lt;&gt;"", Klantgegevens_B!I644, SWITCH(Klantgegevens_A!J644, "Zelden", 1, "Af en toe", 4, "Regelmatig", 8, "Vaak", 12))</f>
        <v>Payconiq</v>
      </c>
      <c r="J645" t="str">
        <f>IF(Klantgegevens_B!J644&lt;&gt;"", Klantgegevens_B!J644, Klantgegevens_A!K644)</f>
        <v>ja</v>
      </c>
      <c r="K645">
        <f>IF(Klantgegevens_B!K644&lt;&gt;"", AVERAGE(--(Klantgegevens_B!K644="ja"), --(Klantgegevens_B!L644="ja"), --(Klantgegevens_B!M644="ja"), --(Klantgegevens_B!N644="ja"), --(Klantgegevens_B!O644="ja"))*10, Klantgegevens_A!L644)</f>
        <v>8</v>
      </c>
      <c r="L645" t="str">
        <f>IF(Klantgegevens_B!K644&lt;&gt;"", Klantgegevens_B!K644, IF(Klantgegevens_A!L644&gt;=7, "ja", "nee"))</f>
        <v>ja</v>
      </c>
      <c r="M645" t="str">
        <f>IF(Klantgegevens_B!L644&lt;&gt;"", Klantgegevens_B!L644, IF(Klantgegevens_A!L644&gt;=7, "ja", "nee"))</f>
        <v>ja</v>
      </c>
      <c r="N645" t="str">
        <f>IF(Klantgegevens_B!M644&lt;&gt;"", Klantgegevens_B!M644, IF(Klantgegevens_A!L644&gt;=7, "ja", "nee"))</f>
        <v>ja</v>
      </c>
      <c r="O645" t="str">
        <f>IF(Klantgegevens_B!N644&lt;&gt;"", Klantgegevens_B!N644, IF(Klantgegevens_A!L644&gt;=7, "ja", "nee"))</f>
        <v>ja</v>
      </c>
      <c r="P645" t="str">
        <f>IF(Klantgegevens_B!O644&lt;&gt;"", Klantgegevens_B!O644, IF(Klantgegevens_A!L644&gt;=7, "ja", "nee"))</f>
        <v>Geen dieet</v>
      </c>
      <c r="Q645">
        <f>IF(Klantgegevens_B!P644&lt;&gt;"", Klantgegevens_B!P644, Klantgegevens_A!M644)</f>
        <v>0</v>
      </c>
      <c r="R645" t="str">
        <f>IF(Klantgegevens_B!A644&lt;&gt;"", "B", "A")</f>
        <v>B</v>
      </c>
    </row>
    <row r="646" spans="1:18" x14ac:dyDescent="0.3">
      <c r="A646" t="str">
        <f>IF(Klantgegevens_B!A645&lt;&gt;"", Klantgegevens_B!A645, MID(Klantgegevens_A!A645, FIND(",", Klantgegevens_A!A645)+2, LEN(Klantgegevens_A!A645)))</f>
        <v>Amélie</v>
      </c>
      <c r="B646" t="str">
        <f>IF(Klantgegevens_B!B645&lt;&gt;"", Klantgegevens_B!B645, LEFT(Klantgegevens_A!A645, FIND(",", Klantgegevens_A!A645)-1))</f>
        <v>Schepens</v>
      </c>
      <c r="C646" t="str">
        <f t="shared" ca="1" si="10"/>
        <v/>
      </c>
      <c r="D646" t="str">
        <f>IF(Klantgegevens_B!F645&lt;&gt;"", Klantgegevens_B!F645, Klantgegevens_A!D645 &amp; " " &amp; Klantgegevens_A!E645 &amp; ", " &amp; Klantgegevens_A!F645)</f>
        <v>Amélie,Christophe,Nadine,Hicham</v>
      </c>
      <c r="E646">
        <f>IF(Klantgegevens_B!G645&lt;&gt;"", Klantgegevens_B!G645, TEXTJOIN(",", TRUE, REPT("Volwassene,", Klantgegevens_A!G645), REPT("Kind,", Klantgegevens_A!H645)))</f>
        <v>181.99</v>
      </c>
      <c r="F646">
        <f>IF(Klantgegevens_B!G645&lt;&gt;"", LEN(Klantgegevens_B!G645)-LEN(SUBSTITUTE(Klantgegevens_B!G645, ",", ""))+1, Klantgegevens_A!G645)</f>
        <v>1</v>
      </c>
      <c r="G646">
        <f>IF(Klantgegevens_B!G645&lt;&gt;"", 0, Klantgegevens_A!H645)</f>
        <v>0</v>
      </c>
      <c r="H646">
        <f>IF(Klantgegevens_B!H645&lt;&gt;"", Klantgegevens_B!H645, Klantgegevens_A!I645)</f>
        <v>7</v>
      </c>
      <c r="I646" t="str">
        <f>IF(Klantgegevens_B!I645&lt;&gt;"", Klantgegevens_B!I645, SWITCH(Klantgegevens_A!J645, "Zelden", 1, "Af en toe", 4, "Regelmatig", 8, "Vaak", 12))</f>
        <v>Bancontact</v>
      </c>
      <c r="J646" t="str">
        <f>IF(Klantgegevens_B!J645&lt;&gt;"", Klantgegevens_B!J645, Klantgegevens_A!K645)</f>
        <v>ja</v>
      </c>
      <c r="K646">
        <f>IF(Klantgegevens_B!K645&lt;&gt;"", AVERAGE(--(Klantgegevens_B!K645="ja"), --(Klantgegevens_B!L645="ja"), --(Klantgegevens_B!M645="ja"), --(Klantgegevens_B!N645="ja"), --(Klantgegevens_B!O645="ja"))*10, Klantgegevens_A!L645)</f>
        <v>8</v>
      </c>
      <c r="L646" t="str">
        <f>IF(Klantgegevens_B!K645&lt;&gt;"", Klantgegevens_B!K645, IF(Klantgegevens_A!L645&gt;=7, "ja", "nee"))</f>
        <v>ja</v>
      </c>
      <c r="M646" t="str">
        <f>IF(Klantgegevens_B!L645&lt;&gt;"", Klantgegevens_B!L645, IF(Klantgegevens_A!L645&gt;=7, "ja", "nee"))</f>
        <v>ja</v>
      </c>
      <c r="N646" t="str">
        <f>IF(Klantgegevens_B!M645&lt;&gt;"", Klantgegevens_B!M645, IF(Klantgegevens_A!L645&gt;=7, "ja", "nee"))</f>
        <v>ja</v>
      </c>
      <c r="O646" t="str">
        <f>IF(Klantgegevens_B!N645&lt;&gt;"", Klantgegevens_B!N645, IF(Klantgegevens_A!L645&gt;=7, "ja", "nee"))</f>
        <v>ja</v>
      </c>
      <c r="P646" t="str">
        <f>IF(Klantgegevens_B!O645&lt;&gt;"", Klantgegevens_B!O645, IF(Klantgegevens_A!L645&gt;=7, "ja", "nee"))</f>
        <v>Geen dieet</v>
      </c>
      <c r="Q646">
        <f>IF(Klantgegevens_B!P645&lt;&gt;"", Klantgegevens_B!P645, Klantgegevens_A!M645)</f>
        <v>0</v>
      </c>
      <c r="R646" t="str">
        <f>IF(Klantgegevens_B!A645&lt;&gt;"", "B", "A")</f>
        <v>B</v>
      </c>
    </row>
    <row r="647" spans="1:18" x14ac:dyDescent="0.3">
      <c r="A647" t="str">
        <f>IF(Klantgegevens_B!A646&lt;&gt;"", Klantgegevens_B!A646, MID(Klantgegevens_A!A646, FIND(",", Klantgegevens_A!A646)+2, LEN(Klantgegevens_A!A646)))</f>
        <v>Jean-Luc</v>
      </c>
      <c r="B647" t="str">
        <f>IF(Klantgegevens_B!B646&lt;&gt;"", Klantgegevens_B!B646, LEFT(Klantgegevens_A!A646, FIND(",", Klantgegevens_A!A646)-1))</f>
        <v>Jansen</v>
      </c>
      <c r="C647" t="str">
        <f t="shared" ca="1" si="10"/>
        <v/>
      </c>
      <c r="D647" t="str">
        <f>IF(Klantgegevens_B!F646&lt;&gt;"", Klantgegevens_B!F646, Klantgegevens_A!D646 &amp; " " &amp; Klantgegevens_A!E646 &amp; ", " &amp; Klantgegevens_A!F646)</f>
        <v>Jean-Luc,Mathias,Eden,Halil,Mariam</v>
      </c>
      <c r="E647">
        <f>IF(Klantgegevens_B!G646&lt;&gt;"", Klantgegevens_B!G646, TEXTJOIN(",", TRUE, REPT("Volwassene,", Klantgegevens_A!G646), REPT("Kind,", Klantgegevens_A!H646)))</f>
        <v>201.12</v>
      </c>
      <c r="F647">
        <f>IF(Klantgegevens_B!G646&lt;&gt;"", LEN(Klantgegevens_B!G646)-LEN(SUBSTITUTE(Klantgegevens_B!G646, ",", ""))+1, Klantgegevens_A!G646)</f>
        <v>1</v>
      </c>
      <c r="G647">
        <f>IF(Klantgegevens_B!G646&lt;&gt;"", 0, Klantgegevens_A!H646)</f>
        <v>0</v>
      </c>
      <c r="H647">
        <f>IF(Klantgegevens_B!H646&lt;&gt;"", Klantgegevens_B!H646, Klantgegevens_A!I646)</f>
        <v>3</v>
      </c>
      <c r="I647" t="str">
        <f>IF(Klantgegevens_B!I646&lt;&gt;"", Klantgegevens_B!I646, SWITCH(Klantgegevens_A!J646, "Zelden", 1, "Af en toe", 4, "Regelmatig", 8, "Vaak", 12))</f>
        <v>Payconiq</v>
      </c>
      <c r="J647" t="str">
        <f>IF(Klantgegevens_B!J646&lt;&gt;"", Klantgegevens_B!J646, Klantgegevens_A!K646)</f>
        <v>ja</v>
      </c>
      <c r="K647">
        <f>IF(Klantgegevens_B!K646&lt;&gt;"", AVERAGE(--(Klantgegevens_B!K646="ja"), --(Klantgegevens_B!L646="ja"), --(Klantgegevens_B!M646="ja"), --(Klantgegevens_B!N646="ja"), --(Klantgegevens_B!O646="ja"))*10, Klantgegevens_A!L646)</f>
        <v>6</v>
      </c>
      <c r="L647" t="str">
        <f>IF(Klantgegevens_B!K646&lt;&gt;"", Klantgegevens_B!K646, IF(Klantgegevens_A!L646&gt;=7, "ja", "nee"))</f>
        <v>nee</v>
      </c>
      <c r="M647" t="str">
        <f>IF(Klantgegevens_B!L646&lt;&gt;"", Klantgegevens_B!L646, IF(Klantgegevens_A!L646&gt;=7, "ja", "nee"))</f>
        <v>ja</v>
      </c>
      <c r="N647" t="str">
        <f>IF(Klantgegevens_B!M646&lt;&gt;"", Klantgegevens_B!M646, IF(Klantgegevens_A!L646&gt;=7, "ja", "nee"))</f>
        <v>ja</v>
      </c>
      <c r="O647" t="str">
        <f>IF(Klantgegevens_B!N646&lt;&gt;"", Klantgegevens_B!N646, IF(Klantgegevens_A!L646&gt;=7, "ja", "nee"))</f>
        <v>ja</v>
      </c>
      <c r="P647" t="str">
        <f>IF(Klantgegevens_B!O646&lt;&gt;"", Klantgegevens_B!O646, IF(Klantgegevens_A!L646&gt;=7, "ja", "nee"))</f>
        <v>Vegetarisch</v>
      </c>
      <c r="Q647">
        <f>IF(Klantgegevens_B!P646&lt;&gt;"", Klantgegevens_B!P646, Klantgegevens_A!M646)</f>
        <v>0</v>
      </c>
      <c r="R647" t="str">
        <f>IF(Klantgegevens_B!A646&lt;&gt;"", "B", "A")</f>
        <v>B</v>
      </c>
    </row>
    <row r="648" spans="1:18" x14ac:dyDescent="0.3">
      <c r="A648" t="str">
        <f>IF(Klantgegevens_B!A647&lt;&gt;"", Klantgegevens_B!A647, MID(Klantgegevens_A!A647, FIND(",", Klantgegevens_A!A647)+2, LEN(Klantgegevens_A!A647)))</f>
        <v>Veerle</v>
      </c>
      <c r="B648" t="str">
        <f>IF(Klantgegevens_B!B647&lt;&gt;"", Klantgegevens_B!B647, LEFT(Klantgegevens_A!A647, FIND(",", Klantgegevens_A!A647)-1))</f>
        <v>Bekaert</v>
      </c>
      <c r="C648" t="str">
        <f t="shared" ca="1" si="10"/>
        <v/>
      </c>
      <c r="D648" t="str">
        <f>IF(Klantgegevens_B!F647&lt;&gt;"", Klantgegevens_B!F647, Klantgegevens_A!D647 &amp; " " &amp; Klantgegevens_A!E647 &amp; ", " &amp; Klantgegevens_A!F647)</f>
        <v>Veerle,Seyit</v>
      </c>
      <c r="E648">
        <f>IF(Klantgegevens_B!G647&lt;&gt;"", Klantgegevens_B!G647, TEXTJOIN(",", TRUE, REPT("Volwassene,", Klantgegevens_A!G647), REPT("Kind,", Klantgegevens_A!H647)))</f>
        <v>85.5</v>
      </c>
      <c r="F648">
        <f>IF(Klantgegevens_B!G647&lt;&gt;"", LEN(Klantgegevens_B!G647)-LEN(SUBSTITUTE(Klantgegevens_B!G647, ",", ""))+1, Klantgegevens_A!G647)</f>
        <v>1</v>
      </c>
      <c r="G648">
        <f>IF(Klantgegevens_B!G647&lt;&gt;"", 0, Klantgegevens_A!H647)</f>
        <v>0</v>
      </c>
      <c r="H648">
        <f>IF(Klantgegevens_B!H647&lt;&gt;"", Klantgegevens_B!H647, Klantgegevens_A!I647)</f>
        <v>4</v>
      </c>
      <c r="I648" t="str">
        <f>IF(Klantgegevens_B!I647&lt;&gt;"", Klantgegevens_B!I647, SWITCH(Klantgegevens_A!J647, "Zelden", 1, "Af en toe", 4, "Regelmatig", 8, "Vaak", 12))</f>
        <v>Cash</v>
      </c>
      <c r="J648" t="str">
        <f>IF(Klantgegevens_B!J647&lt;&gt;"", Klantgegevens_B!J647, Klantgegevens_A!K647)</f>
        <v>ja</v>
      </c>
      <c r="K648">
        <f>IF(Klantgegevens_B!K647&lt;&gt;"", AVERAGE(--(Klantgegevens_B!K647="ja"), --(Klantgegevens_B!L647="ja"), --(Klantgegevens_B!M647="ja"), --(Klantgegevens_B!N647="ja"), --(Klantgegevens_B!O647="ja"))*10, Klantgegevens_A!L647)</f>
        <v>6</v>
      </c>
      <c r="L648" t="str">
        <f>IF(Klantgegevens_B!K647&lt;&gt;"", Klantgegevens_B!K647, IF(Klantgegevens_A!L647&gt;=7, "ja", "nee"))</f>
        <v>ja</v>
      </c>
      <c r="M648" t="str">
        <f>IF(Klantgegevens_B!L647&lt;&gt;"", Klantgegevens_B!L647, IF(Klantgegevens_A!L647&gt;=7, "ja", "nee"))</f>
        <v>ja</v>
      </c>
      <c r="N648" t="str">
        <f>IF(Klantgegevens_B!M647&lt;&gt;"", Klantgegevens_B!M647, IF(Klantgegevens_A!L647&gt;=7, "ja", "nee"))</f>
        <v>ja</v>
      </c>
      <c r="O648" t="str">
        <f>IF(Klantgegevens_B!N647&lt;&gt;"", Klantgegevens_B!N647, IF(Klantgegevens_A!L647&gt;=7, "ja", "nee"))</f>
        <v>nee</v>
      </c>
      <c r="P648" t="str">
        <f>IF(Klantgegevens_B!O647&lt;&gt;"", Klantgegevens_B!O647, IF(Klantgegevens_A!L647&gt;=7, "ja", "nee"))</f>
        <v>Veganistisch</v>
      </c>
      <c r="Q648">
        <f>IF(Klantgegevens_B!P647&lt;&gt;"", Klantgegevens_B!P647, Klantgegevens_A!M647)</f>
        <v>0</v>
      </c>
      <c r="R648" t="str">
        <f>IF(Klantgegevens_B!A647&lt;&gt;"", "B", "A")</f>
        <v>B</v>
      </c>
    </row>
    <row r="649" spans="1:18" x14ac:dyDescent="0.3">
      <c r="A649" t="str">
        <f>IF(Klantgegevens_B!A648&lt;&gt;"", Klantgegevens_B!A648, MID(Klantgegevens_A!A648, FIND(",", Klantgegevens_A!A648)+2, LEN(Klantgegevens_A!A648)))</f>
        <v>Horus</v>
      </c>
      <c r="B649" t="str">
        <f>IF(Klantgegevens_B!B648&lt;&gt;"", Klantgegevens_B!B648, LEFT(Klantgegevens_A!A648, FIND(",", Klantgegevens_A!A648)-1))</f>
        <v>Heymans</v>
      </c>
      <c r="C649" t="str">
        <f t="shared" ca="1" si="10"/>
        <v/>
      </c>
      <c r="D649" t="str">
        <f>IF(Klantgegevens_B!F648&lt;&gt;"", Klantgegevens_B!F648, Klantgegevens_A!D648 &amp; " " &amp; Klantgegevens_A!E648 &amp; ", " &amp; Klantgegevens_A!F648)</f>
        <v>Horus,Sonja,Gregorio,Charlotte</v>
      </c>
      <c r="E649">
        <f>IF(Klantgegevens_B!G648&lt;&gt;"", Klantgegevens_B!G648, TEXTJOIN(",", TRUE, REPT("Volwassene,", Klantgegevens_A!G648), REPT("Kind,", Klantgegevens_A!H648)))</f>
        <v>95.24</v>
      </c>
      <c r="F649">
        <f>IF(Klantgegevens_B!G648&lt;&gt;"", LEN(Klantgegevens_B!G648)-LEN(SUBSTITUTE(Klantgegevens_B!G648, ",", ""))+1, Klantgegevens_A!G648)</f>
        <v>1</v>
      </c>
      <c r="G649">
        <f>IF(Klantgegevens_B!G648&lt;&gt;"", 0, Klantgegevens_A!H648)</f>
        <v>0</v>
      </c>
      <c r="H649">
        <f>IF(Klantgegevens_B!H648&lt;&gt;"", Klantgegevens_B!H648, Klantgegevens_A!I648)</f>
        <v>16</v>
      </c>
      <c r="I649" t="str">
        <f>IF(Klantgegevens_B!I648&lt;&gt;"", Klantgegevens_B!I648, SWITCH(Klantgegevens_A!J648, "Zelden", 1, "Af en toe", 4, "Regelmatig", 8, "Vaak", 12))</f>
        <v>Payconiq</v>
      </c>
      <c r="J649" t="str">
        <f>IF(Klantgegevens_B!J648&lt;&gt;"", Klantgegevens_B!J648, Klantgegevens_A!K648)</f>
        <v>ja</v>
      </c>
      <c r="K649">
        <f>IF(Klantgegevens_B!K648&lt;&gt;"", AVERAGE(--(Klantgegevens_B!K648="ja"), --(Klantgegevens_B!L648="ja"), --(Klantgegevens_B!M648="ja"), --(Klantgegevens_B!N648="ja"), --(Klantgegevens_B!O648="ja"))*10, Klantgegevens_A!L648)</f>
        <v>6</v>
      </c>
      <c r="L649" t="str">
        <f>IF(Klantgegevens_B!K648&lt;&gt;"", Klantgegevens_B!K648, IF(Klantgegevens_A!L648&gt;=7, "ja", "nee"))</f>
        <v>nee</v>
      </c>
      <c r="M649" t="str">
        <f>IF(Klantgegevens_B!L648&lt;&gt;"", Klantgegevens_B!L648, IF(Klantgegevens_A!L648&gt;=7, "ja", "nee"))</f>
        <v>ja</v>
      </c>
      <c r="N649" t="str">
        <f>IF(Klantgegevens_B!M648&lt;&gt;"", Klantgegevens_B!M648, IF(Klantgegevens_A!L648&gt;=7, "ja", "nee"))</f>
        <v>ja</v>
      </c>
      <c r="O649" t="str">
        <f>IF(Klantgegevens_B!N648&lt;&gt;"", Klantgegevens_B!N648, IF(Klantgegevens_A!L648&gt;=7, "ja", "nee"))</f>
        <v>ja</v>
      </c>
      <c r="P649" t="str">
        <f>IF(Klantgegevens_B!O648&lt;&gt;"", Klantgegevens_B!O648, IF(Klantgegevens_A!L648&gt;=7, "ja", "nee"))</f>
        <v>Geen dieet</v>
      </c>
      <c r="Q649">
        <f>IF(Klantgegevens_B!P648&lt;&gt;"", Klantgegevens_B!P648, Klantgegevens_A!M648)</f>
        <v>0</v>
      </c>
      <c r="R649" t="str">
        <f>IF(Klantgegevens_B!A648&lt;&gt;"", "B", "A")</f>
        <v>B</v>
      </c>
    </row>
    <row r="650" spans="1:18" x14ac:dyDescent="0.3">
      <c r="A650" t="str">
        <f>IF(Klantgegevens_B!A649&lt;&gt;"", Klantgegevens_B!A649, MID(Klantgegevens_A!A649, FIND(",", Klantgegevens_A!A649)+2, LEN(Klantgegevens_A!A649)))</f>
        <v>Antoine</v>
      </c>
      <c r="B650" t="str">
        <f>IF(Klantgegevens_B!B649&lt;&gt;"", Klantgegevens_B!B649, LEFT(Klantgegevens_A!A649, FIND(",", Klantgegevens_A!A649)-1))</f>
        <v>Marien</v>
      </c>
      <c r="C650" t="str">
        <f t="shared" ca="1" si="10"/>
        <v/>
      </c>
      <c r="D650" t="str">
        <f>IF(Klantgegevens_B!F649&lt;&gt;"", Klantgegevens_B!F649, Klantgegevens_A!D649 &amp; " " &amp; Klantgegevens_A!E649 &amp; ", " &amp; Klantgegevens_A!F649)</f>
        <v>Antoine,Peggy,Léana,Marta</v>
      </c>
      <c r="E650">
        <f>IF(Klantgegevens_B!G649&lt;&gt;"", Klantgegevens_B!G649, TEXTJOIN(",", TRUE, REPT("Volwassene,", Klantgegevens_A!G649), REPT("Kind,", Klantgegevens_A!H649)))</f>
        <v>194.38</v>
      </c>
      <c r="F650">
        <f>IF(Klantgegevens_B!G649&lt;&gt;"", LEN(Klantgegevens_B!G649)-LEN(SUBSTITUTE(Klantgegevens_B!G649, ",", ""))+1, Klantgegevens_A!G649)</f>
        <v>1</v>
      </c>
      <c r="G650">
        <f>IF(Klantgegevens_B!G649&lt;&gt;"", 0, Klantgegevens_A!H649)</f>
        <v>0</v>
      </c>
      <c r="H650">
        <f>IF(Klantgegevens_B!H649&lt;&gt;"", Klantgegevens_B!H649, Klantgegevens_A!I649)</f>
        <v>6</v>
      </c>
      <c r="I650" t="str">
        <f>IF(Klantgegevens_B!I649&lt;&gt;"", Klantgegevens_B!I649, SWITCH(Klantgegevens_A!J649, "Zelden", 1, "Af en toe", 4, "Regelmatig", 8, "Vaak", 12))</f>
        <v>Bancontact</v>
      </c>
      <c r="J650" t="str">
        <f>IF(Klantgegevens_B!J649&lt;&gt;"", Klantgegevens_B!J649, Klantgegevens_A!K649)</f>
        <v>ja</v>
      </c>
      <c r="K650">
        <f>IF(Klantgegevens_B!K649&lt;&gt;"", AVERAGE(--(Klantgegevens_B!K649="ja"), --(Klantgegevens_B!L649="ja"), --(Klantgegevens_B!M649="ja"), --(Klantgegevens_B!N649="ja"), --(Klantgegevens_B!O649="ja"))*10, Klantgegevens_A!L649)</f>
        <v>6</v>
      </c>
      <c r="L650" t="str">
        <f>IF(Klantgegevens_B!K649&lt;&gt;"", Klantgegevens_B!K649, IF(Klantgegevens_A!L649&gt;=7, "ja", "nee"))</f>
        <v>nee</v>
      </c>
      <c r="M650" t="str">
        <f>IF(Klantgegevens_B!L649&lt;&gt;"", Klantgegevens_B!L649, IF(Klantgegevens_A!L649&gt;=7, "ja", "nee"))</f>
        <v>ja</v>
      </c>
      <c r="N650" t="str">
        <f>IF(Klantgegevens_B!M649&lt;&gt;"", Klantgegevens_B!M649, IF(Klantgegevens_A!L649&gt;=7, "ja", "nee"))</f>
        <v>ja</v>
      </c>
      <c r="O650" t="str">
        <f>IF(Klantgegevens_B!N649&lt;&gt;"", Klantgegevens_B!N649, IF(Klantgegevens_A!L649&gt;=7, "ja", "nee"))</f>
        <v>ja</v>
      </c>
      <c r="P650" t="str">
        <f>IF(Klantgegevens_B!O649&lt;&gt;"", Klantgegevens_B!O649, IF(Klantgegevens_A!L649&gt;=7, "ja", "nee"))</f>
        <v>Vegetarisch</v>
      </c>
      <c r="Q650">
        <f>IF(Klantgegevens_B!P649&lt;&gt;"", Klantgegevens_B!P649, Klantgegevens_A!M649)</f>
        <v>0</v>
      </c>
      <c r="R650" t="str">
        <f>IF(Klantgegevens_B!A649&lt;&gt;"", "B", "A")</f>
        <v>B</v>
      </c>
    </row>
    <row r="651" spans="1:18" x14ac:dyDescent="0.3">
      <c r="A651" t="str">
        <f>IF(Klantgegevens_B!A650&lt;&gt;"", Klantgegevens_B!A650, MID(Klantgegevens_A!A650, FIND(",", Klantgegevens_A!A650)+2, LEN(Klantgegevens_A!A650)))</f>
        <v>Freddy</v>
      </c>
      <c r="B651" t="str">
        <f>IF(Klantgegevens_B!B650&lt;&gt;"", Klantgegevens_B!B650, LEFT(Klantgegevens_A!A650, FIND(",", Klantgegevens_A!A650)-1))</f>
        <v>Hermans</v>
      </c>
      <c r="C651" t="str">
        <f t="shared" ca="1" si="10"/>
        <v/>
      </c>
      <c r="D651" t="str">
        <f>IF(Klantgegevens_B!F650&lt;&gt;"", Klantgegevens_B!F650, Klantgegevens_A!D650 &amp; " " &amp; Klantgegevens_A!E650 &amp; ", " &amp; Klantgegevens_A!F650)</f>
        <v>Freddy</v>
      </c>
      <c r="E651">
        <f>IF(Klantgegevens_B!G650&lt;&gt;"", Klantgegevens_B!G650, TEXTJOIN(",", TRUE, REPT("Volwassene,", Klantgegevens_A!G650), REPT("Kind,", Klantgegevens_A!H650)))</f>
        <v>41.46</v>
      </c>
      <c r="F651">
        <f>IF(Klantgegevens_B!G650&lt;&gt;"", LEN(Klantgegevens_B!G650)-LEN(SUBSTITUTE(Klantgegevens_B!G650, ",", ""))+1, Klantgegevens_A!G650)</f>
        <v>1</v>
      </c>
      <c r="G651">
        <f>IF(Klantgegevens_B!G650&lt;&gt;"", 0, Klantgegevens_A!H650)</f>
        <v>0</v>
      </c>
      <c r="H651">
        <f>IF(Klantgegevens_B!H650&lt;&gt;"", Klantgegevens_B!H650, Klantgegevens_A!I650)</f>
        <v>9</v>
      </c>
      <c r="I651" t="str">
        <f>IF(Klantgegevens_B!I650&lt;&gt;"", Klantgegevens_B!I650, SWITCH(Klantgegevens_A!J650, "Zelden", 1, "Af en toe", 4, "Regelmatig", 8, "Vaak", 12))</f>
        <v>Bancontact</v>
      </c>
      <c r="J651" t="str">
        <f>IF(Klantgegevens_B!J650&lt;&gt;"", Klantgegevens_B!J650, Klantgegevens_A!K650)</f>
        <v>ja</v>
      </c>
      <c r="K651">
        <f>IF(Klantgegevens_B!K650&lt;&gt;"", AVERAGE(--(Klantgegevens_B!K650="ja"), --(Klantgegevens_B!L650="ja"), --(Klantgegevens_B!M650="ja"), --(Klantgegevens_B!N650="ja"), --(Klantgegevens_B!O650="ja"))*10, Klantgegevens_A!L650)</f>
        <v>4</v>
      </c>
      <c r="L651" t="str">
        <f>IF(Klantgegevens_B!K650&lt;&gt;"", Klantgegevens_B!K650, IF(Klantgegevens_A!L650&gt;=7, "ja", "nee"))</f>
        <v>nee</v>
      </c>
      <c r="M651" t="str">
        <f>IF(Klantgegevens_B!L650&lt;&gt;"", Klantgegevens_B!L650, IF(Klantgegevens_A!L650&gt;=7, "ja", "nee"))</f>
        <v>nee</v>
      </c>
      <c r="N651" t="str">
        <f>IF(Klantgegevens_B!M650&lt;&gt;"", Klantgegevens_B!M650, IF(Klantgegevens_A!L650&gt;=7, "ja", "nee"))</f>
        <v>ja</v>
      </c>
      <c r="O651" t="str">
        <f>IF(Klantgegevens_B!N650&lt;&gt;"", Klantgegevens_B!N650, IF(Klantgegevens_A!L650&gt;=7, "ja", "nee"))</f>
        <v>ja</v>
      </c>
      <c r="P651" t="str">
        <f>IF(Klantgegevens_B!O650&lt;&gt;"", Klantgegevens_B!O650, IF(Klantgegevens_A!L650&gt;=7, "ja", "nee"))</f>
        <v>Vegetarisch</v>
      </c>
      <c r="Q651">
        <f>IF(Klantgegevens_B!P650&lt;&gt;"", Klantgegevens_B!P650, Klantgegevens_A!M650)</f>
        <v>0</v>
      </c>
      <c r="R651" t="str">
        <f>IF(Klantgegevens_B!A650&lt;&gt;"", "B", "A")</f>
        <v>B</v>
      </c>
    </row>
    <row r="652" spans="1:18" x14ac:dyDescent="0.3">
      <c r="A652" t="str">
        <f>IF(Klantgegevens_B!A651&lt;&gt;"", Klantgegevens_B!A651, MID(Klantgegevens_A!A651, FIND(",", Klantgegevens_A!A651)+2, LEN(Klantgegevens_A!A651)))</f>
        <v>Lucette</v>
      </c>
      <c r="B652" t="str">
        <f>IF(Klantgegevens_B!B651&lt;&gt;"", Klantgegevens_B!B651, LEFT(Klantgegevens_A!A651, FIND(",", Klantgegevens_A!A651)-1))</f>
        <v>Gerard</v>
      </c>
      <c r="C652" t="str">
        <f t="shared" ca="1" si="10"/>
        <v/>
      </c>
      <c r="D652" t="str">
        <f>IF(Klantgegevens_B!F651&lt;&gt;"", Klantgegevens_B!F651, Klantgegevens_A!D651 &amp; " " &amp; Klantgegevens_A!E651 &amp; ", " &amp; Klantgegevens_A!F651)</f>
        <v>Lucette</v>
      </c>
      <c r="E652">
        <f>IF(Klantgegevens_B!G651&lt;&gt;"", Klantgegevens_B!G651, TEXTJOIN(",", TRUE, REPT("Volwassene,", Klantgegevens_A!G651), REPT("Kind,", Klantgegevens_A!H651)))</f>
        <v>95.96</v>
      </c>
      <c r="F652">
        <f>IF(Klantgegevens_B!G651&lt;&gt;"", LEN(Klantgegevens_B!G651)-LEN(SUBSTITUTE(Klantgegevens_B!G651, ",", ""))+1, Klantgegevens_A!G651)</f>
        <v>1</v>
      </c>
      <c r="G652">
        <f>IF(Klantgegevens_B!G651&lt;&gt;"", 0, Klantgegevens_A!H651)</f>
        <v>0</v>
      </c>
      <c r="H652">
        <f>IF(Klantgegevens_B!H651&lt;&gt;"", Klantgegevens_B!H651, Klantgegevens_A!I651)</f>
        <v>1</v>
      </c>
      <c r="I652" t="str">
        <f>IF(Klantgegevens_B!I651&lt;&gt;"", Klantgegevens_B!I651, SWITCH(Klantgegevens_A!J651, "Zelden", 1, "Af en toe", 4, "Regelmatig", 8, "Vaak", 12))</f>
        <v>Cash</v>
      </c>
      <c r="J652" t="str">
        <f>IF(Klantgegevens_B!J651&lt;&gt;"", Klantgegevens_B!J651, Klantgegevens_A!K651)</f>
        <v>ja</v>
      </c>
      <c r="K652">
        <f>IF(Klantgegevens_B!K651&lt;&gt;"", AVERAGE(--(Klantgegevens_B!K651="ja"), --(Klantgegevens_B!L651="ja"), --(Klantgegevens_B!M651="ja"), --(Klantgegevens_B!N651="ja"), --(Klantgegevens_B!O651="ja"))*10, Klantgegevens_A!L651)</f>
        <v>6</v>
      </c>
      <c r="L652" t="str">
        <f>IF(Klantgegevens_B!K651&lt;&gt;"", Klantgegevens_B!K651, IF(Klantgegevens_A!L651&gt;=7, "ja", "nee"))</f>
        <v>ja</v>
      </c>
      <c r="M652" t="str">
        <f>IF(Klantgegevens_B!L651&lt;&gt;"", Klantgegevens_B!L651, IF(Klantgegevens_A!L651&gt;=7, "ja", "nee"))</f>
        <v>nee</v>
      </c>
      <c r="N652" t="str">
        <f>IF(Klantgegevens_B!M651&lt;&gt;"", Klantgegevens_B!M651, IF(Klantgegevens_A!L651&gt;=7, "ja", "nee"))</f>
        <v>ja</v>
      </c>
      <c r="O652" t="str">
        <f>IF(Klantgegevens_B!N651&lt;&gt;"", Klantgegevens_B!N651, IF(Klantgegevens_A!L651&gt;=7, "ja", "nee"))</f>
        <v>ja</v>
      </c>
      <c r="P652" t="str">
        <f>IF(Klantgegevens_B!O651&lt;&gt;"", Klantgegevens_B!O651, IF(Klantgegevens_A!L651&gt;=7, "ja", "nee"))</f>
        <v>Vegetarisch</v>
      </c>
      <c r="Q652">
        <f>IF(Klantgegevens_B!P651&lt;&gt;"", Klantgegevens_B!P651, Klantgegevens_A!M651)</f>
        <v>0</v>
      </c>
      <c r="R652" t="str">
        <f>IF(Klantgegevens_B!A651&lt;&gt;"", "B", "A")</f>
        <v>B</v>
      </c>
    </row>
    <row r="653" spans="1:18" x14ac:dyDescent="0.3">
      <c r="A653" t="str">
        <f>IF(Klantgegevens_B!A652&lt;&gt;"", Klantgegevens_B!A652, MID(Klantgegevens_A!A652, FIND(",", Klantgegevens_A!A652)+2, LEN(Klantgegevens_A!A652)))</f>
        <v>Capucine</v>
      </c>
      <c r="B653" t="str">
        <f>IF(Klantgegevens_B!B652&lt;&gt;"", Klantgegevens_B!B652, LEFT(Klantgegevens_A!A652, FIND(",", Klantgegevens_A!A652)-1))</f>
        <v>De cock</v>
      </c>
      <c r="C653" t="str">
        <f t="shared" ca="1" si="10"/>
        <v/>
      </c>
      <c r="D653" t="str">
        <f>IF(Klantgegevens_B!F652&lt;&gt;"", Klantgegevens_B!F652, Klantgegevens_A!D652 &amp; " " &amp; Klantgegevens_A!E652 &amp; ", " &amp; Klantgegevens_A!F652)</f>
        <v>Capucine,Ode,Wout,Charlotte</v>
      </c>
      <c r="E653">
        <f>IF(Klantgegevens_B!G652&lt;&gt;"", Klantgegevens_B!G652, TEXTJOIN(",", TRUE, REPT("Volwassene,", Klantgegevens_A!G652), REPT("Kind,", Klantgegevens_A!H652)))</f>
        <v>96.37</v>
      </c>
      <c r="F653">
        <f>IF(Klantgegevens_B!G652&lt;&gt;"", LEN(Klantgegevens_B!G652)-LEN(SUBSTITUTE(Klantgegevens_B!G652, ",", ""))+1, Klantgegevens_A!G652)</f>
        <v>1</v>
      </c>
      <c r="G653">
        <f>IF(Klantgegevens_B!G652&lt;&gt;"", 0, Klantgegevens_A!H652)</f>
        <v>0</v>
      </c>
      <c r="H653">
        <f>IF(Klantgegevens_B!H652&lt;&gt;"", Klantgegevens_B!H652, Klantgegevens_A!I652)</f>
        <v>11</v>
      </c>
      <c r="I653" t="str">
        <f>IF(Klantgegevens_B!I652&lt;&gt;"", Klantgegevens_B!I652, SWITCH(Klantgegevens_A!J652, "Zelden", 1, "Af en toe", 4, "Regelmatig", 8, "Vaak", 12))</f>
        <v>Cash</v>
      </c>
      <c r="J653" t="str">
        <f>IF(Klantgegevens_B!J652&lt;&gt;"", Klantgegevens_B!J652, Klantgegevens_A!K652)</f>
        <v>ja</v>
      </c>
      <c r="K653">
        <f>IF(Klantgegevens_B!K652&lt;&gt;"", AVERAGE(--(Klantgegevens_B!K652="ja"), --(Klantgegevens_B!L652="ja"), --(Klantgegevens_B!M652="ja"), --(Klantgegevens_B!N652="ja"), --(Klantgegevens_B!O652="ja"))*10, Klantgegevens_A!L652)</f>
        <v>6</v>
      </c>
      <c r="L653" t="str">
        <f>IF(Klantgegevens_B!K652&lt;&gt;"", Klantgegevens_B!K652, IF(Klantgegevens_A!L652&gt;=7, "ja", "nee"))</f>
        <v>nee</v>
      </c>
      <c r="M653" t="str">
        <f>IF(Klantgegevens_B!L652&lt;&gt;"", Klantgegevens_B!L652, IF(Klantgegevens_A!L652&gt;=7, "ja", "nee"))</f>
        <v>ja</v>
      </c>
      <c r="N653" t="str">
        <f>IF(Klantgegevens_B!M652&lt;&gt;"", Klantgegevens_B!M652, IF(Klantgegevens_A!L652&gt;=7, "ja", "nee"))</f>
        <v>ja</v>
      </c>
      <c r="O653" t="str">
        <f>IF(Klantgegevens_B!N652&lt;&gt;"", Klantgegevens_B!N652, IF(Klantgegevens_A!L652&gt;=7, "ja", "nee"))</f>
        <v>ja</v>
      </c>
      <c r="P653" t="str">
        <f>IF(Klantgegevens_B!O652&lt;&gt;"", Klantgegevens_B!O652, IF(Klantgegevens_A!L652&gt;=7, "ja", "nee"))</f>
        <v>Geen dieet</v>
      </c>
      <c r="Q653">
        <f>IF(Klantgegevens_B!P652&lt;&gt;"", Klantgegevens_B!P652, Klantgegevens_A!M652)</f>
        <v>0</v>
      </c>
      <c r="R653" t="str">
        <f>IF(Klantgegevens_B!A652&lt;&gt;"", "B", "A")</f>
        <v>B</v>
      </c>
    </row>
    <row r="654" spans="1:18" x14ac:dyDescent="0.3">
      <c r="A654" t="str">
        <f>IF(Klantgegevens_B!A653&lt;&gt;"", Klantgegevens_B!A653, MID(Klantgegevens_A!A653, FIND(",", Klantgegevens_A!A653)+2, LEN(Klantgegevens_A!A653)))</f>
        <v>Saskia</v>
      </c>
      <c r="B654" t="str">
        <f>IF(Klantgegevens_B!B653&lt;&gt;"", Klantgegevens_B!B653, LEFT(Klantgegevens_A!A653, FIND(",", Klantgegevens_A!A653)-1))</f>
        <v>Boulanger</v>
      </c>
      <c r="C654" t="str">
        <f t="shared" ca="1" si="10"/>
        <v/>
      </c>
      <c r="D654" t="str">
        <f>IF(Klantgegevens_B!F653&lt;&gt;"", Klantgegevens_B!F653, Klantgegevens_A!D653 &amp; " " &amp; Klantgegevens_A!E653 &amp; ", " &amp; Klantgegevens_A!F653)</f>
        <v>Saskia,Corrado,Thomas,Kawthar</v>
      </c>
      <c r="E654">
        <f>IF(Klantgegevens_B!G653&lt;&gt;"", Klantgegevens_B!G653, TEXTJOIN(",", TRUE, REPT("Volwassene,", Klantgegevens_A!G653), REPT("Kind,", Klantgegevens_A!H653)))</f>
        <v>201.16</v>
      </c>
      <c r="F654">
        <f>IF(Klantgegevens_B!G653&lt;&gt;"", LEN(Klantgegevens_B!G653)-LEN(SUBSTITUTE(Klantgegevens_B!G653, ",", ""))+1, Klantgegevens_A!G653)</f>
        <v>1</v>
      </c>
      <c r="G654">
        <f>IF(Klantgegevens_B!G653&lt;&gt;"", 0, Klantgegevens_A!H653)</f>
        <v>0</v>
      </c>
      <c r="H654">
        <f>IF(Klantgegevens_B!H653&lt;&gt;"", Klantgegevens_B!H653, Klantgegevens_A!I653)</f>
        <v>12</v>
      </c>
      <c r="I654" t="str">
        <f>IF(Klantgegevens_B!I653&lt;&gt;"", Klantgegevens_B!I653, SWITCH(Klantgegevens_A!J653, "Zelden", 1, "Af en toe", 4, "Regelmatig", 8, "Vaak", 12))</f>
        <v>Payconiq</v>
      </c>
      <c r="J654" t="str">
        <f>IF(Klantgegevens_B!J653&lt;&gt;"", Klantgegevens_B!J653, Klantgegevens_A!K653)</f>
        <v>nee</v>
      </c>
      <c r="K654">
        <f>IF(Klantgegevens_B!K653&lt;&gt;"", AVERAGE(--(Klantgegevens_B!K653="ja"), --(Klantgegevens_B!L653="ja"), --(Klantgegevens_B!M653="ja"), --(Klantgegevens_B!N653="ja"), --(Klantgegevens_B!O653="ja"))*10, Klantgegevens_A!L653)</f>
        <v>6</v>
      </c>
      <c r="L654" t="str">
        <f>IF(Klantgegevens_B!K653&lt;&gt;"", Klantgegevens_B!K653, IF(Klantgegevens_A!L653&gt;=7, "ja", "nee"))</f>
        <v>nee</v>
      </c>
      <c r="M654" t="str">
        <f>IF(Klantgegevens_B!L653&lt;&gt;"", Klantgegevens_B!L653, IF(Klantgegevens_A!L653&gt;=7, "ja", "nee"))</f>
        <v>ja</v>
      </c>
      <c r="N654" t="str">
        <f>IF(Klantgegevens_B!M653&lt;&gt;"", Klantgegevens_B!M653, IF(Klantgegevens_A!L653&gt;=7, "ja", "nee"))</f>
        <v>ja</v>
      </c>
      <c r="O654" t="str">
        <f>IF(Klantgegevens_B!N653&lt;&gt;"", Klantgegevens_B!N653, IF(Klantgegevens_A!L653&gt;=7, "ja", "nee"))</f>
        <v>ja</v>
      </c>
      <c r="P654" t="str">
        <f>IF(Klantgegevens_B!O653&lt;&gt;"", Klantgegevens_B!O653, IF(Klantgegevens_A!L653&gt;=7, "ja", "nee"))</f>
        <v>Veganistisch</v>
      </c>
      <c r="Q654">
        <f>IF(Klantgegevens_B!P653&lt;&gt;"", Klantgegevens_B!P653, Klantgegevens_A!M653)</f>
        <v>0</v>
      </c>
      <c r="R654" t="str">
        <f>IF(Klantgegevens_B!A653&lt;&gt;"", "B", "A")</f>
        <v>B</v>
      </c>
    </row>
    <row r="655" spans="1:18" x14ac:dyDescent="0.3">
      <c r="A655" t="str">
        <f>IF(Klantgegevens_B!A654&lt;&gt;"", Klantgegevens_B!A654, MID(Klantgegevens_A!A654, FIND(",", Klantgegevens_A!A654)+2, LEN(Klantgegevens_A!A654)))</f>
        <v>Rabah</v>
      </c>
      <c r="B655" t="str">
        <f>IF(Klantgegevens_B!B654&lt;&gt;"", Klantgegevens_B!B654, LEFT(Klantgegevens_A!A654, FIND(",", Klantgegevens_A!A654)-1))</f>
        <v>Georges</v>
      </c>
      <c r="C655" t="str">
        <f t="shared" ca="1" si="10"/>
        <v/>
      </c>
      <c r="D655" t="str">
        <f>IF(Klantgegevens_B!F654&lt;&gt;"", Klantgegevens_B!F654, Klantgegevens_A!D654 &amp; " " &amp; Klantgegevens_A!E654 &amp; ", " &amp; Klantgegevens_A!F654)</f>
        <v>Rabah,Huguette</v>
      </c>
      <c r="E655">
        <f>IF(Klantgegevens_B!G654&lt;&gt;"", Klantgegevens_B!G654, TEXTJOIN(",", TRUE, REPT("Volwassene,", Klantgegevens_A!G654), REPT("Kind,", Klantgegevens_A!H654)))</f>
        <v>152.58000000000001</v>
      </c>
      <c r="F655">
        <f>IF(Klantgegevens_B!G654&lt;&gt;"", LEN(Klantgegevens_B!G654)-LEN(SUBSTITUTE(Klantgegevens_B!G654, ",", ""))+1, Klantgegevens_A!G654)</f>
        <v>1</v>
      </c>
      <c r="G655">
        <f>IF(Klantgegevens_B!G654&lt;&gt;"", 0, Klantgegevens_A!H654)</f>
        <v>0</v>
      </c>
      <c r="H655">
        <f>IF(Klantgegevens_B!H654&lt;&gt;"", Klantgegevens_B!H654, Klantgegevens_A!I654)</f>
        <v>18</v>
      </c>
      <c r="I655" t="str">
        <f>IF(Klantgegevens_B!I654&lt;&gt;"", Klantgegevens_B!I654, SWITCH(Klantgegevens_A!J654, "Zelden", 1, "Af en toe", 4, "Regelmatig", 8, "Vaak", 12))</f>
        <v>Bancontact</v>
      </c>
      <c r="J655" t="str">
        <f>IF(Klantgegevens_B!J654&lt;&gt;"", Klantgegevens_B!J654, Klantgegevens_A!K654)</f>
        <v>ja</v>
      </c>
      <c r="K655">
        <f>IF(Klantgegevens_B!K654&lt;&gt;"", AVERAGE(--(Klantgegevens_B!K654="ja"), --(Klantgegevens_B!L654="ja"), --(Klantgegevens_B!M654="ja"), --(Klantgegevens_B!N654="ja"), --(Klantgegevens_B!O654="ja"))*10, Klantgegevens_A!L654)</f>
        <v>6</v>
      </c>
      <c r="L655" t="str">
        <f>IF(Klantgegevens_B!K654&lt;&gt;"", Klantgegevens_B!K654, IF(Klantgegevens_A!L654&gt;=7, "ja", "nee"))</f>
        <v>ja</v>
      </c>
      <c r="M655" t="str">
        <f>IF(Klantgegevens_B!L654&lt;&gt;"", Klantgegevens_B!L654, IF(Klantgegevens_A!L654&gt;=7, "ja", "nee"))</f>
        <v>nee</v>
      </c>
      <c r="N655" t="str">
        <f>IF(Klantgegevens_B!M654&lt;&gt;"", Klantgegevens_B!M654, IF(Klantgegevens_A!L654&gt;=7, "ja", "nee"))</f>
        <v>ja</v>
      </c>
      <c r="O655" t="str">
        <f>IF(Klantgegevens_B!N654&lt;&gt;"", Klantgegevens_B!N654, IF(Klantgegevens_A!L654&gt;=7, "ja", "nee"))</f>
        <v>ja</v>
      </c>
      <c r="P655" t="str">
        <f>IF(Klantgegevens_B!O654&lt;&gt;"", Klantgegevens_B!O654, IF(Klantgegevens_A!L654&gt;=7, "ja", "nee"))</f>
        <v>Geen dieet</v>
      </c>
      <c r="Q655">
        <f>IF(Klantgegevens_B!P654&lt;&gt;"", Klantgegevens_B!P654, Klantgegevens_A!M654)</f>
        <v>0</v>
      </c>
      <c r="R655" t="str">
        <f>IF(Klantgegevens_B!A654&lt;&gt;"", "B", "A")</f>
        <v>B</v>
      </c>
    </row>
    <row r="656" spans="1:18" x14ac:dyDescent="0.3">
      <c r="A656" t="str">
        <f>IF(Klantgegevens_B!A655&lt;&gt;"", Klantgegevens_B!A655, MID(Klantgegevens_A!A655, FIND(",", Klantgegevens_A!A655)+2, LEN(Klantgegevens_A!A655)))</f>
        <v>Dirk</v>
      </c>
      <c r="B656" t="str">
        <f>IF(Klantgegevens_B!B655&lt;&gt;"", Klantgegevens_B!B655, LEFT(Klantgegevens_A!A655, FIND(",", Klantgegevens_A!A655)-1))</f>
        <v>Vanhove</v>
      </c>
      <c r="C656" t="str">
        <f t="shared" ca="1" si="10"/>
        <v/>
      </c>
      <c r="D656" t="str">
        <f>IF(Klantgegevens_B!F655&lt;&gt;"", Klantgegevens_B!F655, Klantgegevens_A!D655 &amp; " " &amp; Klantgegevens_A!E655 &amp; ", " &amp; Klantgegevens_A!F655)</f>
        <v>Dirk,Anita</v>
      </c>
      <c r="E656">
        <f>IF(Klantgegevens_B!G655&lt;&gt;"", Klantgegevens_B!G655, TEXTJOIN(",", TRUE, REPT("Volwassene,", Klantgegevens_A!G655), REPT("Kind,", Klantgegevens_A!H655)))</f>
        <v>127.08</v>
      </c>
      <c r="F656">
        <f>IF(Klantgegevens_B!G655&lt;&gt;"", LEN(Klantgegevens_B!G655)-LEN(SUBSTITUTE(Klantgegevens_B!G655, ",", ""))+1, Klantgegevens_A!G655)</f>
        <v>1</v>
      </c>
      <c r="G656">
        <f>IF(Klantgegevens_B!G655&lt;&gt;"", 0, Klantgegevens_A!H655)</f>
        <v>0</v>
      </c>
      <c r="H656">
        <f>IF(Klantgegevens_B!H655&lt;&gt;"", Klantgegevens_B!H655, Klantgegevens_A!I655)</f>
        <v>16</v>
      </c>
      <c r="I656" t="str">
        <f>IF(Klantgegevens_B!I655&lt;&gt;"", Klantgegevens_B!I655, SWITCH(Klantgegevens_A!J655, "Zelden", 1, "Af en toe", 4, "Regelmatig", 8, "Vaak", 12))</f>
        <v>Payconiq</v>
      </c>
      <c r="J656" t="str">
        <f>IF(Klantgegevens_B!J655&lt;&gt;"", Klantgegevens_B!J655, Klantgegevens_A!K655)</f>
        <v>ja</v>
      </c>
      <c r="K656">
        <f>IF(Klantgegevens_B!K655&lt;&gt;"", AVERAGE(--(Klantgegevens_B!K655="ja"), --(Klantgegevens_B!L655="ja"), --(Klantgegevens_B!M655="ja"), --(Klantgegevens_B!N655="ja"), --(Klantgegevens_B!O655="ja"))*10, Klantgegevens_A!L655)</f>
        <v>8</v>
      </c>
      <c r="L656" t="str">
        <f>IF(Klantgegevens_B!K655&lt;&gt;"", Klantgegevens_B!K655, IF(Klantgegevens_A!L655&gt;=7, "ja", "nee"))</f>
        <v>ja</v>
      </c>
      <c r="M656" t="str">
        <f>IF(Klantgegevens_B!L655&lt;&gt;"", Klantgegevens_B!L655, IF(Klantgegevens_A!L655&gt;=7, "ja", "nee"))</f>
        <v>ja</v>
      </c>
      <c r="N656" t="str">
        <f>IF(Klantgegevens_B!M655&lt;&gt;"", Klantgegevens_B!M655, IF(Klantgegevens_A!L655&gt;=7, "ja", "nee"))</f>
        <v>ja</v>
      </c>
      <c r="O656" t="str">
        <f>IF(Klantgegevens_B!N655&lt;&gt;"", Klantgegevens_B!N655, IF(Klantgegevens_A!L655&gt;=7, "ja", "nee"))</f>
        <v>ja</v>
      </c>
      <c r="P656" t="str">
        <f>IF(Klantgegevens_B!O655&lt;&gt;"", Klantgegevens_B!O655, IF(Klantgegevens_A!L655&gt;=7, "ja", "nee"))</f>
        <v>Geen dieet</v>
      </c>
      <c r="Q656">
        <f>IF(Klantgegevens_B!P655&lt;&gt;"", Klantgegevens_B!P655, Klantgegevens_A!M655)</f>
        <v>0</v>
      </c>
      <c r="R656" t="str">
        <f>IF(Klantgegevens_B!A655&lt;&gt;"", "B", "A")</f>
        <v>B</v>
      </c>
    </row>
    <row r="657" spans="1:18" x14ac:dyDescent="0.3">
      <c r="A657" t="str">
        <f>IF(Klantgegevens_B!A656&lt;&gt;"", Klantgegevens_B!A656, MID(Klantgegevens_A!A656, FIND(",", Klantgegevens_A!A656)+2, LEN(Klantgegevens_A!A656)))</f>
        <v>Katrien</v>
      </c>
      <c r="B657" t="str">
        <f>IF(Klantgegevens_B!B656&lt;&gt;"", Klantgegevens_B!B656, LEFT(Klantgegevens_A!A656, FIND(",", Klantgegevens_A!A656)-1))</f>
        <v>Pollet</v>
      </c>
      <c r="C657" t="str">
        <f t="shared" ca="1" si="10"/>
        <v/>
      </c>
      <c r="D657" t="str">
        <f>IF(Klantgegevens_B!F656&lt;&gt;"", Klantgegevens_B!F656, Klantgegevens_A!D656 &amp; " " &amp; Klantgegevens_A!E656 &amp; ", " &amp; Klantgegevens_A!F656)</f>
        <v>Katrien,Tania,Simone,Yaël,Anita</v>
      </c>
      <c r="E657">
        <f>IF(Klantgegevens_B!G656&lt;&gt;"", Klantgegevens_B!G656, TEXTJOIN(",", TRUE, REPT("Volwassene,", Klantgegevens_A!G656), REPT("Kind,", Klantgegevens_A!H656)))</f>
        <v>172.98</v>
      </c>
      <c r="F657">
        <f>IF(Klantgegevens_B!G656&lt;&gt;"", LEN(Klantgegevens_B!G656)-LEN(SUBSTITUTE(Klantgegevens_B!G656, ",", ""))+1, Klantgegevens_A!G656)</f>
        <v>1</v>
      </c>
      <c r="G657">
        <f>IF(Klantgegevens_B!G656&lt;&gt;"", 0, Klantgegevens_A!H656)</f>
        <v>0</v>
      </c>
      <c r="H657">
        <f>IF(Klantgegevens_B!H656&lt;&gt;"", Klantgegevens_B!H656, Klantgegevens_A!I656)</f>
        <v>11</v>
      </c>
      <c r="I657" t="str">
        <f>IF(Klantgegevens_B!I656&lt;&gt;"", Klantgegevens_B!I656, SWITCH(Klantgegevens_A!J656, "Zelden", 1, "Af en toe", 4, "Regelmatig", 8, "Vaak", 12))</f>
        <v>Bancontact</v>
      </c>
      <c r="J657" t="str">
        <f>IF(Klantgegevens_B!J656&lt;&gt;"", Klantgegevens_B!J656, Klantgegevens_A!K656)</f>
        <v>ja</v>
      </c>
      <c r="K657">
        <f>IF(Klantgegevens_B!K656&lt;&gt;"", AVERAGE(--(Klantgegevens_B!K656="ja"), --(Klantgegevens_B!L656="ja"), --(Klantgegevens_B!M656="ja"), --(Klantgegevens_B!N656="ja"), --(Klantgegevens_B!O656="ja"))*10, Klantgegevens_A!L656)</f>
        <v>8</v>
      </c>
      <c r="L657" t="str">
        <f>IF(Klantgegevens_B!K656&lt;&gt;"", Klantgegevens_B!K656, IF(Klantgegevens_A!L656&gt;=7, "ja", "nee"))</f>
        <v>ja</v>
      </c>
      <c r="M657" t="str">
        <f>IF(Klantgegevens_B!L656&lt;&gt;"", Klantgegevens_B!L656, IF(Klantgegevens_A!L656&gt;=7, "ja", "nee"))</f>
        <v>ja</v>
      </c>
      <c r="N657" t="str">
        <f>IF(Klantgegevens_B!M656&lt;&gt;"", Klantgegevens_B!M656, IF(Klantgegevens_A!L656&gt;=7, "ja", "nee"))</f>
        <v>ja</v>
      </c>
      <c r="O657" t="str">
        <f>IF(Klantgegevens_B!N656&lt;&gt;"", Klantgegevens_B!N656, IF(Klantgegevens_A!L656&gt;=7, "ja", "nee"))</f>
        <v>ja</v>
      </c>
      <c r="P657" t="str">
        <f>IF(Klantgegevens_B!O656&lt;&gt;"", Klantgegevens_B!O656, IF(Klantgegevens_A!L656&gt;=7, "ja", "nee"))</f>
        <v>Vegetarisch</v>
      </c>
      <c r="Q657">
        <f>IF(Klantgegevens_B!P656&lt;&gt;"", Klantgegevens_B!P656, Klantgegevens_A!M656)</f>
        <v>0</v>
      </c>
      <c r="R657" t="str">
        <f>IF(Klantgegevens_B!A656&lt;&gt;"", "B", "A")</f>
        <v>B</v>
      </c>
    </row>
    <row r="658" spans="1:18" x14ac:dyDescent="0.3">
      <c r="A658" t="str">
        <f>IF(Klantgegevens_B!A657&lt;&gt;"", Klantgegevens_B!A657, MID(Klantgegevens_A!A657, FIND(",", Klantgegevens_A!A657)+2, LEN(Klantgegevens_A!A657)))</f>
        <v>Marguerite</v>
      </c>
      <c r="B658" t="str">
        <f>IF(Klantgegevens_B!B657&lt;&gt;"", Klantgegevens_B!B657, LEFT(Klantgegevens_A!A657, FIND(",", Klantgegevens_A!A657)-1))</f>
        <v>De schepper</v>
      </c>
      <c r="C658" t="str">
        <f t="shared" ca="1" si="10"/>
        <v/>
      </c>
      <c r="D658" t="str">
        <f>IF(Klantgegevens_B!F657&lt;&gt;"", Klantgegevens_B!F657, Klantgegevens_A!D657 &amp; " " &amp; Klantgegevens_A!E657 &amp; ", " &amp; Klantgegevens_A!F657)</f>
        <v>Marguerite,Julian,Anthony</v>
      </c>
      <c r="E658">
        <f>IF(Klantgegevens_B!G657&lt;&gt;"", Klantgegevens_B!G657, TEXTJOIN(",", TRUE, REPT("Volwassene,", Klantgegevens_A!G657), REPT("Kind,", Klantgegevens_A!H657)))</f>
        <v>100.46</v>
      </c>
      <c r="F658">
        <f>IF(Klantgegevens_B!G657&lt;&gt;"", LEN(Klantgegevens_B!G657)-LEN(SUBSTITUTE(Klantgegevens_B!G657, ",", ""))+1, Klantgegevens_A!G657)</f>
        <v>1</v>
      </c>
      <c r="G658">
        <f>IF(Klantgegevens_B!G657&lt;&gt;"", 0, Klantgegevens_A!H657)</f>
        <v>0</v>
      </c>
      <c r="H658">
        <f>IF(Klantgegevens_B!H657&lt;&gt;"", Klantgegevens_B!H657, Klantgegevens_A!I657)</f>
        <v>7</v>
      </c>
      <c r="I658" t="str">
        <f>IF(Klantgegevens_B!I657&lt;&gt;"", Klantgegevens_B!I657, SWITCH(Klantgegevens_A!J657, "Zelden", 1, "Af en toe", 4, "Regelmatig", 8, "Vaak", 12))</f>
        <v>Bancontact</v>
      </c>
      <c r="J658" t="str">
        <f>IF(Klantgegevens_B!J657&lt;&gt;"", Klantgegevens_B!J657, Klantgegevens_A!K657)</f>
        <v>nee</v>
      </c>
      <c r="K658">
        <f>IF(Klantgegevens_B!K657&lt;&gt;"", AVERAGE(--(Klantgegevens_B!K657="ja"), --(Klantgegevens_B!L657="ja"), --(Klantgegevens_B!M657="ja"), --(Klantgegevens_B!N657="ja"), --(Klantgegevens_B!O657="ja"))*10, Klantgegevens_A!L657)</f>
        <v>6</v>
      </c>
      <c r="L658" t="str">
        <f>IF(Klantgegevens_B!K657&lt;&gt;"", Klantgegevens_B!K657, IF(Klantgegevens_A!L657&gt;=7, "ja", "nee"))</f>
        <v>ja</v>
      </c>
      <c r="M658" t="str">
        <f>IF(Klantgegevens_B!L657&lt;&gt;"", Klantgegevens_B!L657, IF(Klantgegevens_A!L657&gt;=7, "ja", "nee"))</f>
        <v>ja</v>
      </c>
      <c r="N658" t="str">
        <f>IF(Klantgegevens_B!M657&lt;&gt;"", Klantgegevens_B!M657, IF(Klantgegevens_A!L657&gt;=7, "ja", "nee"))</f>
        <v>ja</v>
      </c>
      <c r="O658" t="str">
        <f>IF(Klantgegevens_B!N657&lt;&gt;"", Klantgegevens_B!N657, IF(Klantgegevens_A!L657&gt;=7, "ja", "nee"))</f>
        <v>nee</v>
      </c>
      <c r="P658" t="str">
        <f>IF(Klantgegevens_B!O657&lt;&gt;"", Klantgegevens_B!O657, IF(Klantgegevens_A!L657&gt;=7, "ja", "nee"))</f>
        <v>Geen dieet</v>
      </c>
      <c r="Q658">
        <f>IF(Klantgegevens_B!P657&lt;&gt;"", Klantgegevens_B!P657, Klantgegevens_A!M657)</f>
        <v>0</v>
      </c>
      <c r="R658" t="str">
        <f>IF(Klantgegevens_B!A657&lt;&gt;"", "B", "A")</f>
        <v>B</v>
      </c>
    </row>
    <row r="659" spans="1:18" x14ac:dyDescent="0.3">
      <c r="A659" t="str">
        <f>IF(Klantgegevens_B!A658&lt;&gt;"", Klantgegevens_B!A658, MID(Klantgegevens_A!A658, FIND(",", Klantgegevens_A!A658)+2, LEN(Klantgegevens_A!A658)))</f>
        <v>Jelle</v>
      </c>
      <c r="B659" t="str">
        <f>IF(Klantgegevens_B!B658&lt;&gt;"", Klantgegevens_B!B658, LEFT(Klantgegevens_A!A658, FIND(",", Klantgegevens_A!A658)-1))</f>
        <v>Dumont</v>
      </c>
      <c r="C659" t="str">
        <f t="shared" ca="1" si="10"/>
        <v/>
      </c>
      <c r="D659" t="str">
        <f>IF(Klantgegevens_B!F658&lt;&gt;"", Klantgegevens_B!F658, Klantgegevens_A!D658 &amp; " " &amp; Klantgegevens_A!E658 &amp; ", " &amp; Klantgegevens_A!F658)</f>
        <v>Jelle,Emma,Marc</v>
      </c>
      <c r="E659">
        <f>IF(Klantgegevens_B!G658&lt;&gt;"", Klantgegevens_B!G658, TEXTJOIN(",", TRUE, REPT("Volwassene,", Klantgegevens_A!G658), REPT("Kind,", Klantgegevens_A!H658)))</f>
        <v>90.65</v>
      </c>
      <c r="F659">
        <f>IF(Klantgegevens_B!G658&lt;&gt;"", LEN(Klantgegevens_B!G658)-LEN(SUBSTITUTE(Klantgegevens_B!G658, ",", ""))+1, Klantgegevens_A!G658)</f>
        <v>1</v>
      </c>
      <c r="G659">
        <f>IF(Klantgegevens_B!G658&lt;&gt;"", 0, Klantgegevens_A!H658)</f>
        <v>0</v>
      </c>
      <c r="H659">
        <f>IF(Klantgegevens_B!H658&lt;&gt;"", Klantgegevens_B!H658, Klantgegevens_A!I658)</f>
        <v>7</v>
      </c>
      <c r="I659" t="str">
        <f>IF(Klantgegevens_B!I658&lt;&gt;"", Klantgegevens_B!I658, SWITCH(Klantgegevens_A!J658, "Zelden", 1, "Af en toe", 4, "Regelmatig", 8, "Vaak", 12))</f>
        <v>Payconiq</v>
      </c>
      <c r="J659" t="str">
        <f>IF(Klantgegevens_B!J658&lt;&gt;"", Klantgegevens_B!J658, Klantgegevens_A!K658)</f>
        <v>ja</v>
      </c>
      <c r="K659">
        <f>IF(Klantgegevens_B!K658&lt;&gt;"", AVERAGE(--(Klantgegevens_B!K658="ja"), --(Klantgegevens_B!L658="ja"), --(Klantgegevens_B!M658="ja"), --(Klantgegevens_B!N658="ja"), --(Klantgegevens_B!O658="ja"))*10, Klantgegevens_A!L658)</f>
        <v>8</v>
      </c>
      <c r="L659" t="str">
        <f>IF(Klantgegevens_B!K658&lt;&gt;"", Klantgegevens_B!K658, IF(Klantgegevens_A!L658&gt;=7, "ja", "nee"))</f>
        <v>ja</v>
      </c>
      <c r="M659" t="str">
        <f>IF(Klantgegevens_B!L658&lt;&gt;"", Klantgegevens_B!L658, IF(Klantgegevens_A!L658&gt;=7, "ja", "nee"))</f>
        <v>ja</v>
      </c>
      <c r="N659" t="str">
        <f>IF(Klantgegevens_B!M658&lt;&gt;"", Klantgegevens_B!M658, IF(Klantgegevens_A!L658&gt;=7, "ja", "nee"))</f>
        <v>ja</v>
      </c>
      <c r="O659" t="str">
        <f>IF(Klantgegevens_B!N658&lt;&gt;"", Klantgegevens_B!N658, IF(Klantgegevens_A!L658&gt;=7, "ja", "nee"))</f>
        <v>ja</v>
      </c>
      <c r="P659" t="str">
        <f>IF(Klantgegevens_B!O658&lt;&gt;"", Klantgegevens_B!O658, IF(Klantgegevens_A!L658&gt;=7, "ja", "nee"))</f>
        <v>Geen dieet</v>
      </c>
      <c r="Q659">
        <f>IF(Klantgegevens_B!P658&lt;&gt;"", Klantgegevens_B!P658, Klantgegevens_A!M658)</f>
        <v>0</v>
      </c>
      <c r="R659" t="str">
        <f>IF(Klantgegevens_B!A658&lt;&gt;"", "B", "A")</f>
        <v>B</v>
      </c>
    </row>
    <row r="660" spans="1:18" x14ac:dyDescent="0.3">
      <c r="A660" t="str">
        <f>IF(Klantgegevens_B!A659&lt;&gt;"", Klantgegevens_B!A659, MID(Klantgegevens_A!A659, FIND(",", Klantgegevens_A!A659)+2, LEN(Klantgegevens_A!A659)))</f>
        <v>Christine</v>
      </c>
      <c r="B660" t="str">
        <f>IF(Klantgegevens_B!B659&lt;&gt;"", Klantgegevens_B!B659, LEFT(Klantgegevens_A!A659, FIND(",", Klantgegevens_A!A659)-1))</f>
        <v>Somers</v>
      </c>
      <c r="C660" t="str">
        <f t="shared" ca="1" si="10"/>
        <v/>
      </c>
      <c r="D660" t="str">
        <f>IF(Klantgegevens_B!F659&lt;&gt;"", Klantgegevens_B!F659, Klantgegevens_A!D659 &amp; " " &amp; Klantgegevens_A!E659 &amp; ", " &amp; Klantgegevens_A!F659)</f>
        <v>Christine</v>
      </c>
      <c r="E660">
        <f>IF(Klantgegevens_B!G659&lt;&gt;"", Klantgegevens_B!G659, TEXTJOIN(",", TRUE, REPT("Volwassene,", Klantgegevens_A!G659), REPT("Kind,", Klantgegevens_A!H659)))</f>
        <v>139.38</v>
      </c>
      <c r="F660">
        <f>IF(Klantgegevens_B!G659&lt;&gt;"", LEN(Klantgegevens_B!G659)-LEN(SUBSTITUTE(Klantgegevens_B!G659, ",", ""))+1, Klantgegevens_A!G659)</f>
        <v>1</v>
      </c>
      <c r="G660">
        <f>IF(Klantgegevens_B!G659&lt;&gt;"", 0, Klantgegevens_A!H659)</f>
        <v>0</v>
      </c>
      <c r="H660">
        <f>IF(Klantgegevens_B!H659&lt;&gt;"", Klantgegevens_B!H659, Klantgegevens_A!I659)</f>
        <v>23</v>
      </c>
      <c r="I660" t="str">
        <f>IF(Klantgegevens_B!I659&lt;&gt;"", Klantgegevens_B!I659, SWITCH(Klantgegevens_A!J659, "Zelden", 1, "Af en toe", 4, "Regelmatig", 8, "Vaak", 12))</f>
        <v>Bancontact</v>
      </c>
      <c r="J660" t="str">
        <f>IF(Klantgegevens_B!J659&lt;&gt;"", Klantgegevens_B!J659, Klantgegevens_A!K659)</f>
        <v>ja</v>
      </c>
      <c r="K660">
        <f>IF(Klantgegevens_B!K659&lt;&gt;"", AVERAGE(--(Klantgegevens_B!K659="ja"), --(Klantgegevens_B!L659="ja"), --(Klantgegevens_B!M659="ja"), --(Klantgegevens_B!N659="ja"), --(Klantgegevens_B!O659="ja"))*10, Klantgegevens_A!L659)</f>
        <v>6</v>
      </c>
      <c r="L660" t="str">
        <f>IF(Klantgegevens_B!K659&lt;&gt;"", Klantgegevens_B!K659, IF(Klantgegevens_A!L659&gt;=7, "ja", "nee"))</f>
        <v>ja</v>
      </c>
      <c r="M660" t="str">
        <f>IF(Klantgegevens_B!L659&lt;&gt;"", Klantgegevens_B!L659, IF(Klantgegevens_A!L659&gt;=7, "ja", "nee"))</f>
        <v>nee</v>
      </c>
      <c r="N660" t="str">
        <f>IF(Klantgegevens_B!M659&lt;&gt;"", Klantgegevens_B!M659, IF(Klantgegevens_A!L659&gt;=7, "ja", "nee"))</f>
        <v>ja</v>
      </c>
      <c r="O660" t="str">
        <f>IF(Klantgegevens_B!N659&lt;&gt;"", Klantgegevens_B!N659, IF(Klantgegevens_A!L659&gt;=7, "ja", "nee"))</f>
        <v>ja</v>
      </c>
      <c r="P660" t="str">
        <f>IF(Klantgegevens_B!O659&lt;&gt;"", Klantgegevens_B!O659, IF(Klantgegevens_A!L659&gt;=7, "ja", "nee"))</f>
        <v>Geen dieet</v>
      </c>
      <c r="Q660">
        <f>IF(Klantgegevens_B!P659&lt;&gt;"", Klantgegevens_B!P659, Klantgegevens_A!M659)</f>
        <v>0</v>
      </c>
      <c r="R660" t="str">
        <f>IF(Klantgegevens_B!A659&lt;&gt;"", "B", "A")</f>
        <v>B</v>
      </c>
    </row>
    <row r="661" spans="1:18" x14ac:dyDescent="0.3">
      <c r="A661" t="str">
        <f>IF(Klantgegevens_B!A660&lt;&gt;"", Klantgegevens_B!A660, MID(Klantgegevens_A!A660, FIND(",", Klantgegevens_A!A660)+2, LEN(Klantgegevens_A!A660)))</f>
        <v>Tim</v>
      </c>
      <c r="B661" t="str">
        <f>IF(Klantgegevens_B!B660&lt;&gt;"", Klantgegevens_B!B660, LEFT(Klantgegevens_A!A660, FIND(",", Klantgegevens_A!A660)-1))</f>
        <v>Bosmans</v>
      </c>
      <c r="C661" t="str">
        <f t="shared" ca="1" si="10"/>
        <v/>
      </c>
      <c r="D661" t="str">
        <f>IF(Klantgegevens_B!F660&lt;&gt;"", Klantgegevens_B!F660, Klantgegevens_A!D660 &amp; " " &amp; Klantgegevens_A!E660 &amp; ", " &amp; Klantgegevens_A!F660)</f>
        <v>Tim,Ilayda</v>
      </c>
      <c r="E661">
        <f>IF(Klantgegevens_B!G660&lt;&gt;"", Klantgegevens_B!G660, TEXTJOIN(",", TRUE, REPT("Volwassene,", Klantgegevens_A!G660), REPT("Kind,", Klantgegevens_A!H660)))</f>
        <v>123.91</v>
      </c>
      <c r="F661">
        <f>IF(Klantgegevens_B!G660&lt;&gt;"", LEN(Klantgegevens_B!G660)-LEN(SUBSTITUTE(Klantgegevens_B!G660, ",", ""))+1, Klantgegevens_A!G660)</f>
        <v>1</v>
      </c>
      <c r="G661">
        <f>IF(Klantgegevens_B!G660&lt;&gt;"", 0, Klantgegevens_A!H660)</f>
        <v>0</v>
      </c>
      <c r="H661">
        <f>IF(Klantgegevens_B!H660&lt;&gt;"", Klantgegevens_B!H660, Klantgegevens_A!I660)</f>
        <v>12</v>
      </c>
      <c r="I661" t="str">
        <f>IF(Klantgegevens_B!I660&lt;&gt;"", Klantgegevens_B!I660, SWITCH(Klantgegevens_A!J660, "Zelden", 1, "Af en toe", 4, "Regelmatig", 8, "Vaak", 12))</f>
        <v>Bancontact</v>
      </c>
      <c r="J661" t="str">
        <f>IF(Klantgegevens_B!J660&lt;&gt;"", Klantgegevens_B!J660, Klantgegevens_A!K660)</f>
        <v>ja</v>
      </c>
      <c r="K661">
        <f>IF(Klantgegevens_B!K660&lt;&gt;"", AVERAGE(--(Klantgegevens_B!K660="ja"), --(Klantgegevens_B!L660="ja"), --(Klantgegevens_B!M660="ja"), --(Klantgegevens_B!N660="ja"), --(Klantgegevens_B!O660="ja"))*10, Klantgegevens_A!L660)</f>
        <v>8</v>
      </c>
      <c r="L661" t="str">
        <f>IF(Klantgegevens_B!K660&lt;&gt;"", Klantgegevens_B!K660, IF(Klantgegevens_A!L660&gt;=7, "ja", "nee"))</f>
        <v>ja</v>
      </c>
      <c r="M661" t="str">
        <f>IF(Klantgegevens_B!L660&lt;&gt;"", Klantgegevens_B!L660, IF(Klantgegevens_A!L660&gt;=7, "ja", "nee"))</f>
        <v>ja</v>
      </c>
      <c r="N661" t="str">
        <f>IF(Klantgegevens_B!M660&lt;&gt;"", Klantgegevens_B!M660, IF(Klantgegevens_A!L660&gt;=7, "ja", "nee"))</f>
        <v>ja</v>
      </c>
      <c r="O661" t="str">
        <f>IF(Klantgegevens_B!N660&lt;&gt;"", Klantgegevens_B!N660, IF(Klantgegevens_A!L660&gt;=7, "ja", "nee"))</f>
        <v>ja</v>
      </c>
      <c r="P661" t="str">
        <f>IF(Klantgegevens_B!O660&lt;&gt;"", Klantgegevens_B!O660, IF(Klantgegevens_A!L660&gt;=7, "ja", "nee"))</f>
        <v>Geen dieet</v>
      </c>
      <c r="Q661">
        <f>IF(Klantgegevens_B!P660&lt;&gt;"", Klantgegevens_B!P660, Klantgegevens_A!M660)</f>
        <v>0</v>
      </c>
      <c r="R661" t="str">
        <f>IF(Klantgegevens_B!A660&lt;&gt;"", "B", "A")</f>
        <v>B</v>
      </c>
    </row>
    <row r="662" spans="1:18" x14ac:dyDescent="0.3">
      <c r="A662" t="str">
        <f>IF(Klantgegevens_B!A661&lt;&gt;"", Klantgegevens_B!A661, MID(Klantgegevens_A!A661, FIND(",", Klantgegevens_A!A661)+2, LEN(Klantgegevens_A!A661)))</f>
        <v>Fernand</v>
      </c>
      <c r="B662" t="str">
        <f>IF(Klantgegevens_B!B661&lt;&gt;"", Klantgegevens_B!B661, LEFT(Klantgegevens_A!A661, FIND(",", Klantgegevens_A!A661)-1))</f>
        <v>Deprez</v>
      </c>
      <c r="C662" t="str">
        <f t="shared" ca="1" si="10"/>
        <v/>
      </c>
      <c r="D662" t="str">
        <f>IF(Klantgegevens_B!F661&lt;&gt;"", Klantgegevens_B!F661, Klantgegevens_A!D661 &amp; " " &amp; Klantgegevens_A!E661 &amp; ", " &amp; Klantgegevens_A!F661)</f>
        <v>Fernand,Patrick,Mathieu,Céline</v>
      </c>
      <c r="E662">
        <f>IF(Klantgegevens_B!G661&lt;&gt;"", Klantgegevens_B!G661, TEXTJOIN(",", TRUE, REPT("Volwassene,", Klantgegevens_A!G661), REPT("Kind,", Klantgegevens_A!H661)))</f>
        <v>150.26</v>
      </c>
      <c r="F662">
        <f>IF(Klantgegevens_B!G661&lt;&gt;"", LEN(Klantgegevens_B!G661)-LEN(SUBSTITUTE(Klantgegevens_B!G661, ",", ""))+1, Klantgegevens_A!G661)</f>
        <v>1</v>
      </c>
      <c r="G662">
        <f>IF(Klantgegevens_B!G661&lt;&gt;"", 0, Klantgegevens_A!H661)</f>
        <v>0</v>
      </c>
      <c r="H662">
        <f>IF(Klantgegevens_B!H661&lt;&gt;"", Klantgegevens_B!H661, Klantgegevens_A!I661)</f>
        <v>6</v>
      </c>
      <c r="I662" t="str">
        <f>IF(Klantgegevens_B!I661&lt;&gt;"", Klantgegevens_B!I661, SWITCH(Klantgegevens_A!J661, "Zelden", 1, "Af en toe", 4, "Regelmatig", 8, "Vaak", 12))</f>
        <v>Bancontact</v>
      </c>
      <c r="J662" t="str">
        <f>IF(Klantgegevens_B!J661&lt;&gt;"", Klantgegevens_B!J661, Klantgegevens_A!K661)</f>
        <v>ja</v>
      </c>
      <c r="K662">
        <f>IF(Klantgegevens_B!K661&lt;&gt;"", AVERAGE(--(Klantgegevens_B!K661="ja"), --(Klantgegevens_B!L661="ja"), --(Klantgegevens_B!M661="ja"), --(Klantgegevens_B!N661="ja"), --(Klantgegevens_B!O661="ja"))*10, Klantgegevens_A!L661)</f>
        <v>8</v>
      </c>
      <c r="L662" t="str">
        <f>IF(Klantgegevens_B!K661&lt;&gt;"", Klantgegevens_B!K661, IF(Klantgegevens_A!L661&gt;=7, "ja", "nee"))</f>
        <v>ja</v>
      </c>
      <c r="M662" t="str">
        <f>IF(Klantgegevens_B!L661&lt;&gt;"", Klantgegevens_B!L661, IF(Klantgegevens_A!L661&gt;=7, "ja", "nee"))</f>
        <v>ja</v>
      </c>
      <c r="N662" t="str">
        <f>IF(Klantgegevens_B!M661&lt;&gt;"", Klantgegevens_B!M661, IF(Klantgegevens_A!L661&gt;=7, "ja", "nee"))</f>
        <v>ja</v>
      </c>
      <c r="O662" t="str">
        <f>IF(Klantgegevens_B!N661&lt;&gt;"", Klantgegevens_B!N661, IF(Klantgegevens_A!L661&gt;=7, "ja", "nee"))</f>
        <v>ja</v>
      </c>
      <c r="P662" t="str">
        <f>IF(Klantgegevens_B!O661&lt;&gt;"", Klantgegevens_B!O661, IF(Klantgegevens_A!L661&gt;=7, "ja", "nee"))</f>
        <v>Geen dieet</v>
      </c>
      <c r="Q662">
        <f>IF(Klantgegevens_B!P661&lt;&gt;"", Klantgegevens_B!P661, Klantgegevens_A!M661)</f>
        <v>0</v>
      </c>
      <c r="R662" t="str">
        <f>IF(Klantgegevens_B!A661&lt;&gt;"", "B", "A")</f>
        <v>B</v>
      </c>
    </row>
    <row r="663" spans="1:18" x14ac:dyDescent="0.3">
      <c r="A663" t="str">
        <f>IF(Klantgegevens_B!A662&lt;&gt;"", Klantgegevens_B!A662, MID(Klantgegevens_A!A662, FIND(",", Klantgegevens_A!A662)+2, LEN(Klantgegevens_A!A662)))</f>
        <v>Elfride</v>
      </c>
      <c r="B663" t="str">
        <f>IF(Klantgegevens_B!B662&lt;&gt;"", Klantgegevens_B!B662, LEFT(Klantgegevens_A!A662, FIND(",", Klantgegevens_A!A662)-1))</f>
        <v>Gerard</v>
      </c>
      <c r="C663" t="str">
        <f t="shared" ca="1" si="10"/>
        <v/>
      </c>
      <c r="D663" t="str">
        <f>IF(Klantgegevens_B!F662&lt;&gt;"", Klantgegevens_B!F662, Klantgegevens_A!D662 &amp; " " &amp; Klantgegevens_A!E662 &amp; ", " &amp; Klantgegevens_A!F662)</f>
        <v>Elfride,Christiana</v>
      </c>
      <c r="E663">
        <f>IF(Klantgegevens_B!G662&lt;&gt;"", Klantgegevens_B!G662, TEXTJOIN(",", TRUE, REPT("Volwassene,", Klantgegevens_A!G662), REPT("Kind,", Klantgegevens_A!H662)))</f>
        <v>136.28</v>
      </c>
      <c r="F663">
        <f>IF(Klantgegevens_B!G662&lt;&gt;"", LEN(Klantgegevens_B!G662)-LEN(SUBSTITUTE(Klantgegevens_B!G662, ",", ""))+1, Klantgegevens_A!G662)</f>
        <v>1</v>
      </c>
      <c r="G663">
        <f>IF(Klantgegevens_B!G662&lt;&gt;"", 0, Klantgegevens_A!H662)</f>
        <v>0</v>
      </c>
      <c r="H663">
        <f>IF(Klantgegevens_B!H662&lt;&gt;"", Klantgegevens_B!H662, Klantgegevens_A!I662)</f>
        <v>23</v>
      </c>
      <c r="I663" t="str">
        <f>IF(Klantgegevens_B!I662&lt;&gt;"", Klantgegevens_B!I662, SWITCH(Klantgegevens_A!J662, "Zelden", 1, "Af en toe", 4, "Regelmatig", 8, "Vaak", 12))</f>
        <v>Payconiq</v>
      </c>
      <c r="J663" t="str">
        <f>IF(Klantgegevens_B!J662&lt;&gt;"", Klantgegevens_B!J662, Klantgegevens_A!K662)</f>
        <v>ja</v>
      </c>
      <c r="K663">
        <f>IF(Klantgegevens_B!K662&lt;&gt;"", AVERAGE(--(Klantgegevens_B!K662="ja"), --(Klantgegevens_B!L662="ja"), --(Klantgegevens_B!M662="ja"), --(Klantgegevens_B!N662="ja"), --(Klantgegevens_B!O662="ja"))*10, Klantgegevens_A!L662)</f>
        <v>6</v>
      </c>
      <c r="L663" t="str">
        <f>IF(Klantgegevens_B!K662&lt;&gt;"", Klantgegevens_B!K662, IF(Klantgegevens_A!L662&gt;=7, "ja", "nee"))</f>
        <v>ja</v>
      </c>
      <c r="M663" t="str">
        <f>IF(Klantgegevens_B!L662&lt;&gt;"", Klantgegevens_B!L662, IF(Klantgegevens_A!L662&gt;=7, "ja", "nee"))</f>
        <v>ja</v>
      </c>
      <c r="N663" t="str">
        <f>IF(Klantgegevens_B!M662&lt;&gt;"", Klantgegevens_B!M662, IF(Klantgegevens_A!L662&gt;=7, "ja", "nee"))</f>
        <v>nee</v>
      </c>
      <c r="O663" t="str">
        <f>IF(Klantgegevens_B!N662&lt;&gt;"", Klantgegevens_B!N662, IF(Klantgegevens_A!L662&gt;=7, "ja", "nee"))</f>
        <v>ja</v>
      </c>
      <c r="P663" t="str">
        <f>IF(Klantgegevens_B!O662&lt;&gt;"", Klantgegevens_B!O662, IF(Klantgegevens_A!L662&gt;=7, "ja", "nee"))</f>
        <v>Geen dieet</v>
      </c>
      <c r="Q663">
        <f>IF(Klantgegevens_B!P662&lt;&gt;"", Klantgegevens_B!P662, Klantgegevens_A!M662)</f>
        <v>0</v>
      </c>
      <c r="R663" t="str">
        <f>IF(Klantgegevens_B!A662&lt;&gt;"", "B", "A")</f>
        <v>B</v>
      </c>
    </row>
    <row r="664" spans="1:18" x14ac:dyDescent="0.3">
      <c r="A664" t="str">
        <f>IF(Klantgegevens_B!A663&lt;&gt;"", Klantgegevens_B!A663, MID(Klantgegevens_A!A663, FIND(",", Klantgegevens_A!A663)+2, LEN(Klantgegevens_A!A663)))</f>
        <v>Vanessa</v>
      </c>
      <c r="B664" t="str">
        <f>IF(Klantgegevens_B!B663&lt;&gt;"", Klantgegevens_B!B663, LEFT(Klantgegevens_A!A663, FIND(",", Klantgegevens_A!A663)-1))</f>
        <v>Bogaerts</v>
      </c>
      <c r="C664" t="str">
        <f t="shared" ca="1" si="10"/>
        <v/>
      </c>
      <c r="D664" t="str">
        <f>IF(Klantgegevens_B!F663&lt;&gt;"", Klantgegevens_B!F663, Klantgegevens_A!D663 &amp; " " &amp; Klantgegevens_A!E663 &amp; ", " &amp; Klantgegevens_A!F663)</f>
        <v>Vanessa,Caroline,Clara</v>
      </c>
      <c r="E664">
        <f>IF(Klantgegevens_B!G663&lt;&gt;"", Klantgegevens_B!G663, TEXTJOIN(",", TRUE, REPT("Volwassene,", Klantgegevens_A!G663), REPT("Kind,", Klantgegevens_A!H663)))</f>
        <v>133.19</v>
      </c>
      <c r="F664">
        <f>IF(Klantgegevens_B!G663&lt;&gt;"", LEN(Klantgegevens_B!G663)-LEN(SUBSTITUTE(Klantgegevens_B!G663, ",", ""))+1, Klantgegevens_A!G663)</f>
        <v>1</v>
      </c>
      <c r="G664">
        <f>IF(Klantgegevens_B!G663&lt;&gt;"", 0, Klantgegevens_A!H663)</f>
        <v>0</v>
      </c>
      <c r="H664">
        <f>IF(Klantgegevens_B!H663&lt;&gt;"", Klantgegevens_B!H663, Klantgegevens_A!I663)</f>
        <v>15</v>
      </c>
      <c r="I664" t="str">
        <f>IF(Klantgegevens_B!I663&lt;&gt;"", Klantgegevens_B!I663, SWITCH(Klantgegevens_A!J663, "Zelden", 1, "Af en toe", 4, "Regelmatig", 8, "Vaak", 12))</f>
        <v>Payconiq</v>
      </c>
      <c r="J664" t="str">
        <f>IF(Klantgegevens_B!J663&lt;&gt;"", Klantgegevens_B!J663, Klantgegevens_A!K663)</f>
        <v>ja</v>
      </c>
      <c r="K664">
        <f>IF(Klantgegevens_B!K663&lt;&gt;"", AVERAGE(--(Klantgegevens_B!K663="ja"), --(Klantgegevens_B!L663="ja"), --(Klantgegevens_B!M663="ja"), --(Klantgegevens_B!N663="ja"), --(Klantgegevens_B!O663="ja"))*10, Klantgegevens_A!L663)</f>
        <v>6</v>
      </c>
      <c r="L664" t="str">
        <f>IF(Klantgegevens_B!K663&lt;&gt;"", Klantgegevens_B!K663, IF(Klantgegevens_A!L663&gt;=7, "ja", "nee"))</f>
        <v>ja</v>
      </c>
      <c r="M664" t="str">
        <f>IF(Klantgegevens_B!L663&lt;&gt;"", Klantgegevens_B!L663, IF(Klantgegevens_A!L663&gt;=7, "ja", "nee"))</f>
        <v>ja</v>
      </c>
      <c r="N664" t="str">
        <f>IF(Klantgegevens_B!M663&lt;&gt;"", Klantgegevens_B!M663, IF(Klantgegevens_A!L663&gt;=7, "ja", "nee"))</f>
        <v>ja</v>
      </c>
      <c r="O664" t="str">
        <f>IF(Klantgegevens_B!N663&lt;&gt;"", Klantgegevens_B!N663, IF(Klantgegevens_A!L663&gt;=7, "ja", "nee"))</f>
        <v>nee</v>
      </c>
      <c r="P664" t="str">
        <f>IF(Klantgegevens_B!O663&lt;&gt;"", Klantgegevens_B!O663, IF(Klantgegevens_A!L663&gt;=7, "ja", "nee"))</f>
        <v>Geen dieet</v>
      </c>
      <c r="Q664">
        <f>IF(Klantgegevens_B!P663&lt;&gt;"", Klantgegevens_B!P663, Klantgegevens_A!M663)</f>
        <v>0</v>
      </c>
      <c r="R664" t="str">
        <f>IF(Klantgegevens_B!A663&lt;&gt;"", "B", "A")</f>
        <v>B</v>
      </c>
    </row>
    <row r="665" spans="1:18" x14ac:dyDescent="0.3">
      <c r="A665" t="str">
        <f>IF(Klantgegevens_B!A664&lt;&gt;"", Klantgegevens_B!A664, MID(Klantgegevens_A!A664, FIND(",", Klantgegevens_A!A664)+2, LEN(Klantgegevens_A!A664)))</f>
        <v>Capucine</v>
      </c>
      <c r="B665" t="str">
        <f>IF(Klantgegevens_B!B664&lt;&gt;"", Klantgegevens_B!B664, LEFT(Klantgegevens_A!A664, FIND(",", Klantgegevens_A!A664)-1))</f>
        <v>Beckers</v>
      </c>
      <c r="C665" t="str">
        <f t="shared" ca="1" si="10"/>
        <v/>
      </c>
      <c r="D665" t="str">
        <f>IF(Klantgegevens_B!F664&lt;&gt;"", Klantgegevens_B!F664, Klantgegevens_A!D664 &amp; " " &amp; Klantgegevens_A!E664 &amp; ", " &amp; Klantgegevens_A!F664)</f>
        <v>Capucine,Oona,Yvonne</v>
      </c>
      <c r="E665">
        <f>IF(Klantgegevens_B!G664&lt;&gt;"", Klantgegevens_B!G664, TEXTJOIN(",", TRUE, REPT("Volwassene,", Klantgegevens_A!G664), REPT("Kind,", Klantgegevens_A!H664)))</f>
        <v>130.05000000000001</v>
      </c>
      <c r="F665">
        <f>IF(Klantgegevens_B!G664&lt;&gt;"", LEN(Klantgegevens_B!G664)-LEN(SUBSTITUTE(Klantgegevens_B!G664, ",", ""))+1, Klantgegevens_A!G664)</f>
        <v>1</v>
      </c>
      <c r="G665">
        <f>IF(Klantgegevens_B!G664&lt;&gt;"", 0, Klantgegevens_A!H664)</f>
        <v>0</v>
      </c>
      <c r="H665">
        <f>IF(Klantgegevens_B!H664&lt;&gt;"", Klantgegevens_B!H664, Klantgegevens_A!I664)</f>
        <v>9</v>
      </c>
      <c r="I665" t="str">
        <f>IF(Klantgegevens_B!I664&lt;&gt;"", Klantgegevens_B!I664, SWITCH(Klantgegevens_A!J664, "Zelden", 1, "Af en toe", 4, "Regelmatig", 8, "Vaak", 12))</f>
        <v>Bancontact</v>
      </c>
      <c r="J665" t="str">
        <f>IF(Klantgegevens_B!J664&lt;&gt;"", Klantgegevens_B!J664, Klantgegevens_A!K664)</f>
        <v>nee</v>
      </c>
      <c r="K665">
        <f>IF(Klantgegevens_B!K664&lt;&gt;"", AVERAGE(--(Klantgegevens_B!K664="ja"), --(Klantgegevens_B!L664="ja"), --(Klantgegevens_B!M664="ja"), --(Klantgegevens_B!N664="ja"), --(Klantgegevens_B!O664="ja"))*10, Klantgegevens_A!L664)</f>
        <v>6</v>
      </c>
      <c r="L665" t="str">
        <f>IF(Klantgegevens_B!K664&lt;&gt;"", Klantgegevens_B!K664, IF(Klantgegevens_A!L664&gt;=7, "ja", "nee"))</f>
        <v>ja</v>
      </c>
      <c r="M665" t="str">
        <f>IF(Klantgegevens_B!L664&lt;&gt;"", Klantgegevens_B!L664, IF(Klantgegevens_A!L664&gt;=7, "ja", "nee"))</f>
        <v>ja</v>
      </c>
      <c r="N665" t="str">
        <f>IF(Klantgegevens_B!M664&lt;&gt;"", Klantgegevens_B!M664, IF(Klantgegevens_A!L664&gt;=7, "ja", "nee"))</f>
        <v>nee</v>
      </c>
      <c r="O665" t="str">
        <f>IF(Klantgegevens_B!N664&lt;&gt;"", Klantgegevens_B!N664, IF(Klantgegevens_A!L664&gt;=7, "ja", "nee"))</f>
        <v>ja</v>
      </c>
      <c r="P665" t="str">
        <f>IF(Klantgegevens_B!O664&lt;&gt;"", Klantgegevens_B!O664, IF(Klantgegevens_A!L664&gt;=7, "ja", "nee"))</f>
        <v>Geen dieet</v>
      </c>
      <c r="Q665">
        <f>IF(Klantgegevens_B!P664&lt;&gt;"", Klantgegevens_B!P664, Klantgegevens_A!M664)</f>
        <v>0</v>
      </c>
      <c r="R665" t="str">
        <f>IF(Klantgegevens_B!A664&lt;&gt;"", "B", "A")</f>
        <v>B</v>
      </c>
    </row>
    <row r="666" spans="1:18" x14ac:dyDescent="0.3">
      <c r="A666" t="str">
        <f>IF(Klantgegevens_B!A665&lt;&gt;"", Klantgegevens_B!A665, MID(Klantgegevens_A!A665, FIND(",", Klantgegevens_A!A665)+2, LEN(Klantgegevens_A!A665)))</f>
        <v>Jean-Pierre</v>
      </c>
      <c r="B666" t="str">
        <f>IF(Klantgegevens_B!B665&lt;&gt;"", Klantgegevens_B!B665, LEFT(Klantgegevens_A!A665, FIND(",", Klantgegevens_A!A665)-1))</f>
        <v>Gillet</v>
      </c>
      <c r="C666" t="str">
        <f t="shared" ca="1" si="10"/>
        <v/>
      </c>
      <c r="D666" t="str">
        <f>IF(Klantgegevens_B!F665&lt;&gt;"", Klantgegevens_B!F665, Klantgegevens_A!D665 &amp; " " &amp; Klantgegevens_A!E665 &amp; ", " &amp; Klantgegevens_A!F665)</f>
        <v>Jean-Pierre,Leo,Jean-Christophe,Michel,David</v>
      </c>
      <c r="E666">
        <f>IF(Klantgegevens_B!G665&lt;&gt;"", Klantgegevens_B!G665, TEXTJOIN(",", TRUE, REPT("Volwassene,", Klantgegevens_A!G665), REPT("Kind,", Klantgegevens_A!H665)))</f>
        <v>134.16999999999999</v>
      </c>
      <c r="F666">
        <f>IF(Klantgegevens_B!G665&lt;&gt;"", LEN(Klantgegevens_B!G665)-LEN(SUBSTITUTE(Klantgegevens_B!G665, ",", ""))+1, Klantgegevens_A!G665)</f>
        <v>1</v>
      </c>
      <c r="G666">
        <f>IF(Klantgegevens_B!G665&lt;&gt;"", 0, Klantgegevens_A!H665)</f>
        <v>0</v>
      </c>
      <c r="H666">
        <f>IF(Klantgegevens_B!H665&lt;&gt;"", Klantgegevens_B!H665, Klantgegevens_A!I665)</f>
        <v>16</v>
      </c>
      <c r="I666" t="str">
        <f>IF(Klantgegevens_B!I665&lt;&gt;"", Klantgegevens_B!I665, SWITCH(Klantgegevens_A!J665, "Zelden", 1, "Af en toe", 4, "Regelmatig", 8, "Vaak", 12))</f>
        <v>Payconiq</v>
      </c>
      <c r="J666" t="str">
        <f>IF(Klantgegevens_B!J665&lt;&gt;"", Klantgegevens_B!J665, Klantgegevens_A!K665)</f>
        <v>ja</v>
      </c>
      <c r="K666">
        <f>IF(Klantgegevens_B!K665&lt;&gt;"", AVERAGE(--(Klantgegevens_B!K665="ja"), --(Klantgegevens_B!L665="ja"), --(Klantgegevens_B!M665="ja"), --(Klantgegevens_B!N665="ja"), --(Klantgegevens_B!O665="ja"))*10, Klantgegevens_A!L665)</f>
        <v>6</v>
      </c>
      <c r="L666" t="str">
        <f>IF(Klantgegevens_B!K665&lt;&gt;"", Klantgegevens_B!K665, IF(Klantgegevens_A!L665&gt;=7, "ja", "nee"))</f>
        <v>ja</v>
      </c>
      <c r="M666" t="str">
        <f>IF(Klantgegevens_B!L665&lt;&gt;"", Klantgegevens_B!L665, IF(Klantgegevens_A!L665&gt;=7, "ja", "nee"))</f>
        <v>ja</v>
      </c>
      <c r="N666" t="str">
        <f>IF(Klantgegevens_B!M665&lt;&gt;"", Klantgegevens_B!M665, IF(Klantgegevens_A!L665&gt;=7, "ja", "nee"))</f>
        <v>nee</v>
      </c>
      <c r="O666" t="str">
        <f>IF(Klantgegevens_B!N665&lt;&gt;"", Klantgegevens_B!N665, IF(Klantgegevens_A!L665&gt;=7, "ja", "nee"))</f>
        <v>ja</v>
      </c>
      <c r="P666" t="str">
        <f>IF(Klantgegevens_B!O665&lt;&gt;"", Klantgegevens_B!O665, IF(Klantgegevens_A!L665&gt;=7, "ja", "nee"))</f>
        <v>Geen dieet</v>
      </c>
      <c r="Q666">
        <f>IF(Klantgegevens_B!P665&lt;&gt;"", Klantgegevens_B!P665, Klantgegevens_A!M665)</f>
        <v>0</v>
      </c>
      <c r="R666" t="str">
        <f>IF(Klantgegevens_B!A665&lt;&gt;"", "B", "A")</f>
        <v>B</v>
      </c>
    </row>
    <row r="667" spans="1:18" x14ac:dyDescent="0.3">
      <c r="A667" t="str">
        <f>IF(Klantgegevens_B!A666&lt;&gt;"", Klantgegevens_B!A666, MID(Klantgegevens_A!A666, FIND(",", Klantgegevens_A!A666)+2, LEN(Klantgegevens_A!A666)))</f>
        <v>Kevin</v>
      </c>
      <c r="B667" t="str">
        <f>IF(Klantgegevens_B!B666&lt;&gt;"", Klantgegevens_B!B666, LEFT(Klantgegevens_A!A666, FIND(",", Klantgegevens_A!A666)-1))</f>
        <v>Bogaerts</v>
      </c>
      <c r="C667" t="str">
        <f t="shared" ca="1" si="10"/>
        <v/>
      </c>
      <c r="D667" t="str">
        <f>IF(Klantgegevens_B!F666&lt;&gt;"", Klantgegevens_B!F666, Klantgegevens_A!D666 &amp; " " &amp; Klantgegevens_A!E666 &amp; ", " &amp; Klantgegevens_A!F666)</f>
        <v>Kevin,Sammi,Liam,Saleh</v>
      </c>
      <c r="E667">
        <f>IF(Klantgegevens_B!G666&lt;&gt;"", Klantgegevens_B!G666, TEXTJOIN(",", TRUE, REPT("Volwassene,", Klantgegevens_A!G666), REPT("Kind,", Klantgegevens_A!H666)))</f>
        <v>178.81</v>
      </c>
      <c r="F667">
        <f>IF(Klantgegevens_B!G666&lt;&gt;"", LEN(Klantgegevens_B!G666)-LEN(SUBSTITUTE(Klantgegevens_B!G666, ",", ""))+1, Klantgegevens_A!G666)</f>
        <v>1</v>
      </c>
      <c r="G667">
        <f>IF(Klantgegevens_B!G666&lt;&gt;"", 0, Klantgegevens_A!H666)</f>
        <v>0</v>
      </c>
      <c r="H667">
        <f>IF(Klantgegevens_B!H666&lt;&gt;"", Klantgegevens_B!H666, Klantgegevens_A!I666)</f>
        <v>21</v>
      </c>
      <c r="I667" t="str">
        <f>IF(Klantgegevens_B!I666&lt;&gt;"", Klantgegevens_B!I666, SWITCH(Klantgegevens_A!J666, "Zelden", 1, "Af en toe", 4, "Regelmatig", 8, "Vaak", 12))</f>
        <v>Payconiq</v>
      </c>
      <c r="J667" t="str">
        <f>IF(Klantgegevens_B!J666&lt;&gt;"", Klantgegevens_B!J666, Klantgegevens_A!K666)</f>
        <v>nee</v>
      </c>
      <c r="K667">
        <f>IF(Klantgegevens_B!K666&lt;&gt;"", AVERAGE(--(Klantgegevens_B!K666="ja"), --(Klantgegevens_B!L666="ja"), --(Klantgegevens_B!M666="ja"), --(Klantgegevens_B!N666="ja"), --(Klantgegevens_B!O666="ja"))*10, Klantgegevens_A!L666)</f>
        <v>6</v>
      </c>
      <c r="L667" t="str">
        <f>IF(Klantgegevens_B!K666&lt;&gt;"", Klantgegevens_B!K666, IF(Klantgegevens_A!L666&gt;=7, "ja", "nee"))</f>
        <v>ja</v>
      </c>
      <c r="M667" t="str">
        <f>IF(Klantgegevens_B!L666&lt;&gt;"", Klantgegevens_B!L666, IF(Klantgegevens_A!L666&gt;=7, "ja", "nee"))</f>
        <v>ja</v>
      </c>
      <c r="N667" t="str">
        <f>IF(Klantgegevens_B!M666&lt;&gt;"", Klantgegevens_B!M666, IF(Klantgegevens_A!L666&gt;=7, "ja", "nee"))</f>
        <v>ja</v>
      </c>
      <c r="O667" t="str">
        <f>IF(Klantgegevens_B!N666&lt;&gt;"", Klantgegevens_B!N666, IF(Klantgegevens_A!L666&gt;=7, "ja", "nee"))</f>
        <v>nee</v>
      </c>
      <c r="P667" t="str">
        <f>IF(Klantgegevens_B!O666&lt;&gt;"", Klantgegevens_B!O666, IF(Klantgegevens_A!L666&gt;=7, "ja", "nee"))</f>
        <v>Geen dieet</v>
      </c>
      <c r="Q667">
        <f>IF(Klantgegevens_B!P666&lt;&gt;"", Klantgegevens_B!P666, Klantgegevens_A!M666)</f>
        <v>0</v>
      </c>
      <c r="R667" t="str">
        <f>IF(Klantgegevens_B!A666&lt;&gt;"", "B", "A")</f>
        <v>B</v>
      </c>
    </row>
    <row r="668" spans="1:18" x14ac:dyDescent="0.3">
      <c r="A668" t="str">
        <f>IF(Klantgegevens_B!A667&lt;&gt;"", Klantgegevens_B!A667, MID(Klantgegevens_A!A667, FIND(",", Klantgegevens_A!A667)+2, LEN(Klantgegevens_A!A667)))</f>
        <v>Hatidzhe</v>
      </c>
      <c r="B668" t="str">
        <f>IF(Klantgegevens_B!B667&lt;&gt;"", Klantgegevens_B!B667, LEFT(Klantgegevens_A!A667, FIND(",", Klantgegevens_A!A667)-1))</f>
        <v>Lauwers</v>
      </c>
      <c r="C668" t="str">
        <f t="shared" ca="1" si="10"/>
        <v/>
      </c>
      <c r="D668" t="str">
        <f>IF(Klantgegevens_B!F667&lt;&gt;"", Klantgegevens_B!F667, Klantgegevens_A!D667 &amp; " " &amp; Klantgegevens_A!E667 &amp; ", " &amp; Klantgegevens_A!F667)</f>
        <v>Hatidzhe,Casimir,Yanni,Ghislain</v>
      </c>
      <c r="E668">
        <f>IF(Klantgegevens_B!G667&lt;&gt;"", Klantgegevens_B!G667, TEXTJOIN(",", TRUE, REPT("Volwassene,", Klantgegevens_A!G667), REPT("Kind,", Klantgegevens_A!H667)))</f>
        <v>169.45</v>
      </c>
      <c r="F668">
        <f>IF(Klantgegevens_B!G667&lt;&gt;"", LEN(Klantgegevens_B!G667)-LEN(SUBSTITUTE(Klantgegevens_B!G667, ",", ""))+1, Klantgegevens_A!G667)</f>
        <v>1</v>
      </c>
      <c r="G668">
        <f>IF(Klantgegevens_B!G667&lt;&gt;"", 0, Klantgegevens_A!H667)</f>
        <v>0</v>
      </c>
      <c r="H668">
        <f>IF(Klantgegevens_B!H667&lt;&gt;"", Klantgegevens_B!H667, Klantgegevens_A!I667)</f>
        <v>6</v>
      </c>
      <c r="I668" t="str">
        <f>IF(Klantgegevens_B!I667&lt;&gt;"", Klantgegevens_B!I667, SWITCH(Klantgegevens_A!J667, "Zelden", 1, "Af en toe", 4, "Regelmatig", 8, "Vaak", 12))</f>
        <v>Bancontact</v>
      </c>
      <c r="J668" t="str">
        <f>IF(Klantgegevens_B!J667&lt;&gt;"", Klantgegevens_B!J667, Klantgegevens_A!K667)</f>
        <v>ja</v>
      </c>
      <c r="K668">
        <f>IF(Klantgegevens_B!K667&lt;&gt;"", AVERAGE(--(Klantgegevens_B!K667="ja"), --(Klantgegevens_B!L667="ja"), --(Klantgegevens_B!M667="ja"), --(Klantgegevens_B!N667="ja"), --(Klantgegevens_B!O667="ja"))*10, Klantgegevens_A!L667)</f>
        <v>6</v>
      </c>
      <c r="L668" t="str">
        <f>IF(Klantgegevens_B!K667&lt;&gt;"", Klantgegevens_B!K667, IF(Klantgegevens_A!L667&gt;=7, "ja", "nee"))</f>
        <v>ja</v>
      </c>
      <c r="M668" t="str">
        <f>IF(Klantgegevens_B!L667&lt;&gt;"", Klantgegevens_B!L667, IF(Klantgegevens_A!L667&gt;=7, "ja", "nee"))</f>
        <v>nee</v>
      </c>
      <c r="N668" t="str">
        <f>IF(Klantgegevens_B!M667&lt;&gt;"", Klantgegevens_B!M667, IF(Klantgegevens_A!L667&gt;=7, "ja", "nee"))</f>
        <v>ja</v>
      </c>
      <c r="O668" t="str">
        <f>IF(Klantgegevens_B!N667&lt;&gt;"", Klantgegevens_B!N667, IF(Klantgegevens_A!L667&gt;=7, "ja", "nee"))</f>
        <v>ja</v>
      </c>
      <c r="P668" t="str">
        <f>IF(Klantgegevens_B!O667&lt;&gt;"", Klantgegevens_B!O667, IF(Klantgegevens_A!L667&gt;=7, "ja", "nee"))</f>
        <v>Geen dieet</v>
      </c>
      <c r="Q668">
        <f>IF(Klantgegevens_B!P667&lt;&gt;"", Klantgegevens_B!P667, Klantgegevens_A!M667)</f>
        <v>0</v>
      </c>
      <c r="R668" t="str">
        <f>IF(Klantgegevens_B!A667&lt;&gt;"", "B", "A")</f>
        <v>B</v>
      </c>
    </row>
    <row r="669" spans="1:18" x14ac:dyDescent="0.3">
      <c r="A669" t="str">
        <f>IF(Klantgegevens_B!A668&lt;&gt;"", Klantgegevens_B!A668, MID(Klantgegevens_A!A668, FIND(",", Klantgegevens_A!A668)+2, LEN(Klantgegevens_A!A668)))</f>
        <v>Valérie</v>
      </c>
      <c r="B669" t="str">
        <f>IF(Klantgegevens_B!B668&lt;&gt;"", Klantgegevens_B!B668, LEFT(Klantgegevens_A!A668, FIND(",", Klantgegevens_A!A668)-1))</f>
        <v>Willems</v>
      </c>
      <c r="C669" t="str">
        <f t="shared" ca="1" si="10"/>
        <v/>
      </c>
      <c r="D669" t="str">
        <f>IF(Klantgegevens_B!F668&lt;&gt;"", Klantgegevens_B!F668, Klantgegevens_A!D668 &amp; " " &amp; Klantgegevens_A!E668 &amp; ", " &amp; Klantgegevens_A!F668)</f>
        <v>Valérie,Maya,Annick,Liliane</v>
      </c>
      <c r="E669">
        <f>IF(Klantgegevens_B!G668&lt;&gt;"", Klantgegevens_B!G668, TEXTJOIN(",", TRUE, REPT("Volwassene,", Klantgegevens_A!G668), REPT("Kind,", Klantgegevens_A!H668)))</f>
        <v>68.23</v>
      </c>
      <c r="F669">
        <f>IF(Klantgegevens_B!G668&lt;&gt;"", LEN(Klantgegevens_B!G668)-LEN(SUBSTITUTE(Klantgegevens_B!G668, ",", ""))+1, Klantgegevens_A!G668)</f>
        <v>1</v>
      </c>
      <c r="G669">
        <f>IF(Klantgegevens_B!G668&lt;&gt;"", 0, Klantgegevens_A!H668)</f>
        <v>0</v>
      </c>
      <c r="H669">
        <f>IF(Klantgegevens_B!H668&lt;&gt;"", Klantgegevens_B!H668, Klantgegevens_A!I668)</f>
        <v>12</v>
      </c>
      <c r="I669" t="str">
        <f>IF(Klantgegevens_B!I668&lt;&gt;"", Klantgegevens_B!I668, SWITCH(Klantgegevens_A!J668, "Zelden", 1, "Af en toe", 4, "Regelmatig", 8, "Vaak", 12))</f>
        <v>Cash</v>
      </c>
      <c r="J669" t="str">
        <f>IF(Klantgegevens_B!J668&lt;&gt;"", Klantgegevens_B!J668, Klantgegevens_A!K668)</f>
        <v>ja</v>
      </c>
      <c r="K669">
        <f>IF(Klantgegevens_B!K668&lt;&gt;"", AVERAGE(--(Klantgegevens_B!K668="ja"), --(Klantgegevens_B!L668="ja"), --(Klantgegevens_B!M668="ja"), --(Klantgegevens_B!N668="ja"), --(Klantgegevens_B!O668="ja"))*10, Klantgegevens_A!L668)</f>
        <v>6</v>
      </c>
      <c r="L669" t="str">
        <f>IF(Klantgegevens_B!K668&lt;&gt;"", Klantgegevens_B!K668, IF(Klantgegevens_A!L668&gt;=7, "ja", "nee"))</f>
        <v>ja</v>
      </c>
      <c r="M669" t="str">
        <f>IF(Klantgegevens_B!L668&lt;&gt;"", Klantgegevens_B!L668, IF(Klantgegevens_A!L668&gt;=7, "ja", "nee"))</f>
        <v>ja</v>
      </c>
      <c r="N669" t="str">
        <f>IF(Klantgegevens_B!M668&lt;&gt;"", Klantgegevens_B!M668, IF(Klantgegevens_A!L668&gt;=7, "ja", "nee"))</f>
        <v>nee</v>
      </c>
      <c r="O669" t="str">
        <f>IF(Klantgegevens_B!N668&lt;&gt;"", Klantgegevens_B!N668, IF(Klantgegevens_A!L668&gt;=7, "ja", "nee"))</f>
        <v>ja</v>
      </c>
      <c r="P669" t="str">
        <f>IF(Klantgegevens_B!O668&lt;&gt;"", Klantgegevens_B!O668, IF(Klantgegevens_A!L668&gt;=7, "ja", "nee"))</f>
        <v>Geen dieet</v>
      </c>
      <c r="Q669">
        <f>IF(Klantgegevens_B!P668&lt;&gt;"", Klantgegevens_B!P668, Klantgegevens_A!M668)</f>
        <v>0</v>
      </c>
      <c r="R669" t="str">
        <f>IF(Klantgegevens_B!A668&lt;&gt;"", "B", "A")</f>
        <v>B</v>
      </c>
    </row>
    <row r="670" spans="1:18" x14ac:dyDescent="0.3">
      <c r="A670" t="str">
        <f>IF(Klantgegevens_B!A669&lt;&gt;"", Klantgegevens_B!A669, MID(Klantgegevens_A!A669, FIND(",", Klantgegevens_A!A669)+2, LEN(Klantgegevens_A!A669)))</f>
        <v>Gauthier</v>
      </c>
      <c r="B670" t="str">
        <f>IF(Klantgegevens_B!B669&lt;&gt;"", Klantgegevens_B!B669, LEFT(Klantgegevens_A!A669, FIND(",", Klantgegevens_A!A669)-1))</f>
        <v>Michaux</v>
      </c>
      <c r="C670" t="str">
        <f t="shared" ca="1" si="10"/>
        <v/>
      </c>
      <c r="D670" t="str">
        <f>IF(Klantgegevens_B!F669&lt;&gt;"", Klantgegevens_B!F669, Klantgegevens_A!D669 &amp; " " &amp; Klantgegevens_A!E669 &amp; ", " &amp; Klantgegevens_A!F669)</f>
        <v>Gauthier,Stijn,Naëlle,Jonas,Ellie</v>
      </c>
      <c r="E670">
        <f>IF(Klantgegevens_B!G669&lt;&gt;"", Klantgegevens_B!G669, TEXTJOIN(",", TRUE, REPT("Volwassene,", Klantgegevens_A!G669), REPT("Kind,", Klantgegevens_A!H669)))</f>
        <v>119.64</v>
      </c>
      <c r="F670">
        <f>IF(Klantgegevens_B!G669&lt;&gt;"", LEN(Klantgegevens_B!G669)-LEN(SUBSTITUTE(Klantgegevens_B!G669, ",", ""))+1, Klantgegevens_A!G669)</f>
        <v>1</v>
      </c>
      <c r="G670">
        <f>IF(Klantgegevens_B!G669&lt;&gt;"", 0, Klantgegevens_A!H669)</f>
        <v>0</v>
      </c>
      <c r="H670">
        <f>IF(Klantgegevens_B!H669&lt;&gt;"", Klantgegevens_B!H669, Klantgegevens_A!I669)</f>
        <v>12</v>
      </c>
      <c r="I670" t="str">
        <f>IF(Klantgegevens_B!I669&lt;&gt;"", Klantgegevens_B!I669, SWITCH(Klantgegevens_A!J669, "Zelden", 1, "Af en toe", 4, "Regelmatig", 8, "Vaak", 12))</f>
        <v>Payconiq</v>
      </c>
      <c r="J670" t="str">
        <f>IF(Klantgegevens_B!J669&lt;&gt;"", Klantgegevens_B!J669, Klantgegevens_A!K669)</f>
        <v>ja</v>
      </c>
      <c r="K670">
        <f>IF(Klantgegevens_B!K669&lt;&gt;"", AVERAGE(--(Klantgegevens_B!K669="ja"), --(Klantgegevens_B!L669="ja"), --(Klantgegevens_B!M669="ja"), --(Klantgegevens_B!N669="ja"), --(Klantgegevens_B!O669="ja"))*10, Klantgegevens_A!L669)</f>
        <v>8</v>
      </c>
      <c r="L670" t="str">
        <f>IF(Klantgegevens_B!K669&lt;&gt;"", Klantgegevens_B!K669, IF(Klantgegevens_A!L669&gt;=7, "ja", "nee"))</f>
        <v>ja</v>
      </c>
      <c r="M670" t="str">
        <f>IF(Klantgegevens_B!L669&lt;&gt;"", Klantgegevens_B!L669, IF(Klantgegevens_A!L669&gt;=7, "ja", "nee"))</f>
        <v>ja</v>
      </c>
      <c r="N670" t="str">
        <f>IF(Klantgegevens_B!M669&lt;&gt;"", Klantgegevens_B!M669, IF(Klantgegevens_A!L669&gt;=7, "ja", "nee"))</f>
        <v>ja</v>
      </c>
      <c r="O670" t="str">
        <f>IF(Klantgegevens_B!N669&lt;&gt;"", Klantgegevens_B!N669, IF(Klantgegevens_A!L669&gt;=7, "ja", "nee"))</f>
        <v>ja</v>
      </c>
      <c r="P670" t="str">
        <f>IF(Klantgegevens_B!O669&lt;&gt;"", Klantgegevens_B!O669, IF(Klantgegevens_A!L669&gt;=7, "ja", "nee"))</f>
        <v>Geen dieet</v>
      </c>
      <c r="Q670">
        <f>IF(Klantgegevens_B!P669&lt;&gt;"", Klantgegevens_B!P669, Klantgegevens_A!M669)</f>
        <v>0</v>
      </c>
      <c r="R670" t="str">
        <f>IF(Klantgegevens_B!A669&lt;&gt;"", "B", "A")</f>
        <v>B</v>
      </c>
    </row>
    <row r="671" spans="1:18" x14ac:dyDescent="0.3">
      <c r="A671" t="str">
        <f>IF(Klantgegevens_B!A670&lt;&gt;"", Klantgegevens_B!A670, MID(Klantgegevens_A!A670, FIND(",", Klantgegevens_A!A670)+2, LEN(Klantgegevens_A!A670)))</f>
        <v>Jeannine</v>
      </c>
      <c r="B671" t="str">
        <f>IF(Klantgegevens_B!B670&lt;&gt;"", Klantgegevens_B!B670, LEFT(Klantgegevens_A!A670, FIND(",", Klantgegevens_A!A670)-1))</f>
        <v>Lemmens</v>
      </c>
      <c r="C671" t="str">
        <f t="shared" ca="1" si="10"/>
        <v/>
      </c>
      <c r="D671" t="str">
        <f>IF(Klantgegevens_B!F670&lt;&gt;"", Klantgegevens_B!F670, Klantgegevens_A!D670 &amp; " " &amp; Klantgegevens_A!E670 &amp; ", " &amp; Klantgegevens_A!F670)</f>
        <v>Jeannine,Emmanuel</v>
      </c>
      <c r="E671">
        <f>IF(Klantgegevens_B!G670&lt;&gt;"", Klantgegevens_B!G670, TEXTJOIN(",", TRUE, REPT("Volwassene,", Klantgegevens_A!G670), REPT("Kind,", Klantgegevens_A!H670)))</f>
        <v>23.9</v>
      </c>
      <c r="F671">
        <f>IF(Klantgegevens_B!G670&lt;&gt;"", LEN(Klantgegevens_B!G670)-LEN(SUBSTITUTE(Klantgegevens_B!G670, ",", ""))+1, Klantgegevens_A!G670)</f>
        <v>1</v>
      </c>
      <c r="G671">
        <f>IF(Klantgegevens_B!G670&lt;&gt;"", 0, Klantgegevens_A!H670)</f>
        <v>0</v>
      </c>
      <c r="H671">
        <f>IF(Klantgegevens_B!H670&lt;&gt;"", Klantgegevens_B!H670, Klantgegevens_A!I670)</f>
        <v>20</v>
      </c>
      <c r="I671" t="str">
        <f>IF(Klantgegevens_B!I670&lt;&gt;"", Klantgegevens_B!I670, SWITCH(Klantgegevens_A!J670, "Zelden", 1, "Af en toe", 4, "Regelmatig", 8, "Vaak", 12))</f>
        <v>Payconiq</v>
      </c>
      <c r="J671" t="str">
        <f>IF(Klantgegevens_B!J670&lt;&gt;"", Klantgegevens_B!J670, Klantgegevens_A!K670)</f>
        <v>nee</v>
      </c>
      <c r="K671">
        <f>IF(Klantgegevens_B!K670&lt;&gt;"", AVERAGE(--(Klantgegevens_B!K670="ja"), --(Klantgegevens_B!L670="ja"), --(Klantgegevens_B!M670="ja"), --(Klantgegevens_B!N670="ja"), --(Klantgegevens_B!O670="ja"))*10, Klantgegevens_A!L670)</f>
        <v>2</v>
      </c>
      <c r="L671" t="str">
        <f>IF(Klantgegevens_B!K670&lt;&gt;"", Klantgegevens_B!K670, IF(Klantgegevens_A!L670&gt;=7, "ja", "nee"))</f>
        <v>ja</v>
      </c>
      <c r="M671" t="str">
        <f>IF(Klantgegevens_B!L670&lt;&gt;"", Klantgegevens_B!L670, IF(Klantgegevens_A!L670&gt;=7, "ja", "nee"))</f>
        <v>nee</v>
      </c>
      <c r="N671" t="str">
        <f>IF(Klantgegevens_B!M670&lt;&gt;"", Klantgegevens_B!M670, IF(Klantgegevens_A!L670&gt;=7, "ja", "nee"))</f>
        <v>nee</v>
      </c>
      <c r="O671" t="str">
        <f>IF(Klantgegevens_B!N670&lt;&gt;"", Klantgegevens_B!N670, IF(Klantgegevens_A!L670&gt;=7, "ja", "nee"))</f>
        <v>nee</v>
      </c>
      <c r="P671" t="str">
        <f>IF(Klantgegevens_B!O670&lt;&gt;"", Klantgegevens_B!O670, IF(Klantgegevens_A!L670&gt;=7, "ja", "nee"))</f>
        <v>Geen dieet</v>
      </c>
      <c r="Q671">
        <f>IF(Klantgegevens_B!P670&lt;&gt;"", Klantgegevens_B!P670, Klantgegevens_A!M670)</f>
        <v>0</v>
      </c>
      <c r="R671" t="str">
        <f>IF(Klantgegevens_B!A670&lt;&gt;"", "B", "A")</f>
        <v>B</v>
      </c>
    </row>
    <row r="672" spans="1:18" x14ac:dyDescent="0.3">
      <c r="A672" t="str">
        <f>IF(Klantgegevens_B!A671&lt;&gt;"", Klantgegevens_B!A671, MID(Klantgegevens_A!A671, FIND(",", Klantgegevens_A!A671)+2, LEN(Klantgegevens_A!A671)))</f>
        <v>Emiline</v>
      </c>
      <c r="B672" t="str">
        <f>IF(Klantgegevens_B!B671&lt;&gt;"", Klantgegevens_B!B671, LEFT(Klantgegevens_A!A671, FIND(",", Klantgegevens_A!A671)-1))</f>
        <v>Maes</v>
      </c>
      <c r="C672" t="str">
        <f t="shared" ca="1" si="10"/>
        <v/>
      </c>
      <c r="D672" t="str">
        <f>IF(Klantgegevens_B!F671&lt;&gt;"", Klantgegevens_B!F671, Klantgegevens_A!D671 &amp; " " &amp; Klantgegevens_A!E671 &amp; ", " &amp; Klantgegevens_A!F671)</f>
        <v>Emiline,Yousef</v>
      </c>
      <c r="E672">
        <f>IF(Klantgegevens_B!G671&lt;&gt;"", Klantgegevens_B!G671, TEXTJOIN(",", TRUE, REPT("Volwassene,", Klantgegevens_A!G671), REPT("Kind,", Klantgegevens_A!H671)))</f>
        <v>76.02</v>
      </c>
      <c r="F672">
        <f>IF(Klantgegevens_B!G671&lt;&gt;"", LEN(Klantgegevens_B!G671)-LEN(SUBSTITUTE(Klantgegevens_B!G671, ",", ""))+1, Klantgegevens_A!G671)</f>
        <v>1</v>
      </c>
      <c r="G672">
        <f>IF(Klantgegevens_B!G671&lt;&gt;"", 0, Klantgegevens_A!H671)</f>
        <v>0</v>
      </c>
      <c r="H672">
        <f>IF(Klantgegevens_B!H671&lt;&gt;"", Klantgegevens_B!H671, Klantgegevens_A!I671)</f>
        <v>4</v>
      </c>
      <c r="I672" t="str">
        <f>IF(Klantgegevens_B!I671&lt;&gt;"", Klantgegevens_B!I671, SWITCH(Klantgegevens_A!J671, "Zelden", 1, "Af en toe", 4, "Regelmatig", 8, "Vaak", 12))</f>
        <v>Bancontact</v>
      </c>
      <c r="J672" t="str">
        <f>IF(Klantgegevens_B!J671&lt;&gt;"", Klantgegevens_B!J671, Klantgegevens_A!K671)</f>
        <v>ja</v>
      </c>
      <c r="K672">
        <f>IF(Klantgegevens_B!K671&lt;&gt;"", AVERAGE(--(Klantgegevens_B!K671="ja"), --(Klantgegevens_B!L671="ja"), --(Klantgegevens_B!M671="ja"), --(Klantgegevens_B!N671="ja"), --(Klantgegevens_B!O671="ja"))*10, Klantgegevens_A!L671)</f>
        <v>6</v>
      </c>
      <c r="L672" t="str">
        <f>IF(Klantgegevens_B!K671&lt;&gt;"", Klantgegevens_B!K671, IF(Klantgegevens_A!L671&gt;=7, "ja", "nee"))</f>
        <v>ja</v>
      </c>
      <c r="M672" t="str">
        <f>IF(Klantgegevens_B!L671&lt;&gt;"", Klantgegevens_B!L671, IF(Klantgegevens_A!L671&gt;=7, "ja", "nee"))</f>
        <v>nee</v>
      </c>
      <c r="N672" t="str">
        <f>IF(Klantgegevens_B!M671&lt;&gt;"", Klantgegevens_B!M671, IF(Klantgegevens_A!L671&gt;=7, "ja", "nee"))</f>
        <v>ja</v>
      </c>
      <c r="O672" t="str">
        <f>IF(Klantgegevens_B!N671&lt;&gt;"", Klantgegevens_B!N671, IF(Klantgegevens_A!L671&gt;=7, "ja", "nee"))</f>
        <v>ja</v>
      </c>
      <c r="P672" t="str">
        <f>IF(Klantgegevens_B!O671&lt;&gt;"", Klantgegevens_B!O671, IF(Klantgegevens_A!L671&gt;=7, "ja", "nee"))</f>
        <v>Geen dieet</v>
      </c>
      <c r="Q672">
        <f>IF(Klantgegevens_B!P671&lt;&gt;"", Klantgegevens_B!P671, Klantgegevens_A!M671)</f>
        <v>0</v>
      </c>
      <c r="R672" t="str">
        <f>IF(Klantgegevens_B!A671&lt;&gt;"", "B", "A")</f>
        <v>B</v>
      </c>
    </row>
    <row r="673" spans="1:18" x14ac:dyDescent="0.3">
      <c r="A673" t="str">
        <f>IF(Klantgegevens_B!A672&lt;&gt;"", Klantgegevens_B!A672, MID(Klantgegevens_A!A672, FIND(",", Klantgegevens_A!A672)+2, LEN(Klantgegevens_A!A672)))</f>
        <v>Annelore</v>
      </c>
      <c r="B673" t="str">
        <f>IF(Klantgegevens_B!B672&lt;&gt;"", Klantgegevens_B!B672, LEFT(Klantgegevens_A!A672, FIND(",", Klantgegevens_A!A672)-1))</f>
        <v>De smedt</v>
      </c>
      <c r="C673" t="str">
        <f t="shared" ca="1" si="10"/>
        <v/>
      </c>
      <c r="D673" t="str">
        <f>IF(Klantgegevens_B!F672&lt;&gt;"", Klantgegevens_B!F672, Klantgegevens_A!D672 &amp; " " &amp; Klantgegevens_A!E672 &amp; ", " &amp; Klantgegevens_A!F672)</f>
        <v>Annelore,Cynthia</v>
      </c>
      <c r="E673">
        <f>IF(Klantgegevens_B!G672&lt;&gt;"", Klantgegevens_B!G672, TEXTJOIN(",", TRUE, REPT("Volwassene,", Klantgegevens_A!G672), REPT("Kind,", Klantgegevens_A!H672)))</f>
        <v>145.11000000000001</v>
      </c>
      <c r="F673">
        <f>IF(Klantgegevens_B!G672&lt;&gt;"", LEN(Klantgegevens_B!G672)-LEN(SUBSTITUTE(Klantgegevens_B!G672, ",", ""))+1, Klantgegevens_A!G672)</f>
        <v>1</v>
      </c>
      <c r="G673">
        <f>IF(Klantgegevens_B!G672&lt;&gt;"", 0, Klantgegevens_A!H672)</f>
        <v>0</v>
      </c>
      <c r="H673">
        <f>IF(Klantgegevens_B!H672&lt;&gt;"", Klantgegevens_B!H672, Klantgegevens_A!I672)</f>
        <v>11</v>
      </c>
      <c r="I673" t="str">
        <f>IF(Klantgegevens_B!I672&lt;&gt;"", Klantgegevens_B!I672, SWITCH(Klantgegevens_A!J672, "Zelden", 1, "Af en toe", 4, "Regelmatig", 8, "Vaak", 12))</f>
        <v>Bancontact</v>
      </c>
      <c r="J673" t="str">
        <f>IF(Klantgegevens_B!J672&lt;&gt;"", Klantgegevens_B!J672, Klantgegevens_A!K672)</f>
        <v>ja</v>
      </c>
      <c r="K673">
        <f>IF(Klantgegevens_B!K672&lt;&gt;"", AVERAGE(--(Klantgegevens_B!K672="ja"), --(Klantgegevens_B!L672="ja"), --(Klantgegevens_B!M672="ja"), --(Klantgegevens_B!N672="ja"), --(Klantgegevens_B!O672="ja"))*10, Klantgegevens_A!L672)</f>
        <v>6</v>
      </c>
      <c r="L673" t="str">
        <f>IF(Klantgegevens_B!K672&lt;&gt;"", Klantgegevens_B!K672, IF(Klantgegevens_A!L672&gt;=7, "ja", "nee"))</f>
        <v>ja</v>
      </c>
      <c r="M673" t="str">
        <f>IF(Klantgegevens_B!L672&lt;&gt;"", Klantgegevens_B!L672, IF(Klantgegevens_A!L672&gt;=7, "ja", "nee"))</f>
        <v>nee</v>
      </c>
      <c r="N673" t="str">
        <f>IF(Klantgegevens_B!M672&lt;&gt;"", Klantgegevens_B!M672, IF(Klantgegevens_A!L672&gt;=7, "ja", "nee"))</f>
        <v>ja</v>
      </c>
      <c r="O673" t="str">
        <f>IF(Klantgegevens_B!N672&lt;&gt;"", Klantgegevens_B!N672, IF(Klantgegevens_A!L672&gt;=7, "ja", "nee"))</f>
        <v>ja</v>
      </c>
      <c r="P673" t="str">
        <f>IF(Klantgegevens_B!O672&lt;&gt;"", Klantgegevens_B!O672, IF(Klantgegevens_A!L672&gt;=7, "ja", "nee"))</f>
        <v>Geen dieet</v>
      </c>
      <c r="Q673">
        <f>IF(Klantgegevens_B!P672&lt;&gt;"", Klantgegevens_B!P672, Klantgegevens_A!M672)</f>
        <v>0</v>
      </c>
      <c r="R673" t="str">
        <f>IF(Klantgegevens_B!A672&lt;&gt;"", "B", "A")</f>
        <v>B</v>
      </c>
    </row>
    <row r="674" spans="1:18" x14ac:dyDescent="0.3">
      <c r="A674" t="str">
        <f>IF(Klantgegevens_B!A673&lt;&gt;"", Klantgegevens_B!A673, MID(Klantgegevens_A!A673, FIND(",", Klantgegevens_A!A673)+2, LEN(Klantgegevens_A!A673)))</f>
        <v>Josephus</v>
      </c>
      <c r="B674" t="str">
        <f>IF(Klantgegevens_B!B673&lt;&gt;"", Klantgegevens_B!B673, LEFT(Klantgegevens_A!A673, FIND(",", Klantgegevens_A!A673)-1))</f>
        <v>Willems</v>
      </c>
      <c r="C674" t="str">
        <f t="shared" ca="1" si="10"/>
        <v/>
      </c>
      <c r="D674" t="str">
        <f>IF(Klantgegevens_B!F673&lt;&gt;"", Klantgegevens_B!F673, Klantgegevens_A!D673 &amp; " " &amp; Klantgegevens_A!E673 &amp; ", " &amp; Klantgegevens_A!F673)</f>
        <v>Josephus,Lev</v>
      </c>
      <c r="E674">
        <f>IF(Klantgegevens_B!G673&lt;&gt;"", Klantgegevens_B!G673, TEXTJOIN(",", TRUE, REPT("Volwassene,", Klantgegevens_A!G673), REPT("Kind,", Klantgegevens_A!H673)))</f>
        <v>56.39</v>
      </c>
      <c r="F674">
        <f>IF(Klantgegevens_B!G673&lt;&gt;"", LEN(Klantgegevens_B!G673)-LEN(SUBSTITUTE(Klantgegevens_B!G673, ",", ""))+1, Klantgegevens_A!G673)</f>
        <v>1</v>
      </c>
      <c r="G674">
        <f>IF(Klantgegevens_B!G673&lt;&gt;"", 0, Klantgegevens_A!H673)</f>
        <v>0</v>
      </c>
      <c r="H674">
        <f>IF(Klantgegevens_B!H673&lt;&gt;"", Klantgegevens_B!H673, Klantgegevens_A!I673)</f>
        <v>19</v>
      </c>
      <c r="I674" t="str">
        <f>IF(Klantgegevens_B!I673&lt;&gt;"", Klantgegevens_B!I673, SWITCH(Klantgegevens_A!J673, "Zelden", 1, "Af en toe", 4, "Regelmatig", 8, "Vaak", 12))</f>
        <v>Payconiq</v>
      </c>
      <c r="J674" t="str">
        <f>IF(Klantgegevens_B!J673&lt;&gt;"", Klantgegevens_B!J673, Klantgegevens_A!K673)</f>
        <v>ja</v>
      </c>
      <c r="K674">
        <f>IF(Klantgegevens_B!K673&lt;&gt;"", AVERAGE(--(Klantgegevens_B!K673="ja"), --(Klantgegevens_B!L673="ja"), --(Klantgegevens_B!M673="ja"), --(Klantgegevens_B!N673="ja"), --(Klantgegevens_B!O673="ja"))*10, Klantgegevens_A!L673)</f>
        <v>6</v>
      </c>
      <c r="L674" t="str">
        <f>IF(Klantgegevens_B!K673&lt;&gt;"", Klantgegevens_B!K673, IF(Klantgegevens_A!L673&gt;=7, "ja", "nee"))</f>
        <v>ja</v>
      </c>
      <c r="M674" t="str">
        <f>IF(Klantgegevens_B!L673&lt;&gt;"", Klantgegevens_B!L673, IF(Klantgegevens_A!L673&gt;=7, "ja", "nee"))</f>
        <v>ja</v>
      </c>
      <c r="N674" t="str">
        <f>IF(Klantgegevens_B!M673&lt;&gt;"", Klantgegevens_B!M673, IF(Klantgegevens_A!L673&gt;=7, "ja", "nee"))</f>
        <v>nee</v>
      </c>
      <c r="O674" t="str">
        <f>IF(Klantgegevens_B!N673&lt;&gt;"", Klantgegevens_B!N673, IF(Klantgegevens_A!L673&gt;=7, "ja", "nee"))</f>
        <v>ja</v>
      </c>
      <c r="P674" t="str">
        <f>IF(Klantgegevens_B!O673&lt;&gt;"", Klantgegevens_B!O673, IF(Klantgegevens_A!L673&gt;=7, "ja", "nee"))</f>
        <v>Geen dieet</v>
      </c>
      <c r="Q674">
        <f>IF(Klantgegevens_B!P673&lt;&gt;"", Klantgegevens_B!P673, Klantgegevens_A!M673)</f>
        <v>0</v>
      </c>
      <c r="R674" t="str">
        <f>IF(Klantgegevens_B!A673&lt;&gt;"", "B", "A")</f>
        <v>B</v>
      </c>
    </row>
    <row r="675" spans="1:18" x14ac:dyDescent="0.3">
      <c r="A675" t="str">
        <f>IF(Klantgegevens_B!A674&lt;&gt;"", Klantgegevens_B!A674, MID(Klantgegevens_A!A674, FIND(",", Klantgegevens_A!A674)+2, LEN(Klantgegevens_A!A674)))</f>
        <v>Christian</v>
      </c>
      <c r="B675" t="str">
        <f>IF(Klantgegevens_B!B674&lt;&gt;"", Klantgegevens_B!B674, LEFT(Klantgegevens_A!A674, FIND(",", Klantgegevens_A!A674)-1))</f>
        <v>Laurent</v>
      </c>
      <c r="C675" t="str">
        <f t="shared" ca="1" si="10"/>
        <v/>
      </c>
      <c r="D675" t="str">
        <f>IF(Klantgegevens_B!F674&lt;&gt;"", Klantgegevens_B!F674, Klantgegevens_A!D674 &amp; " " &amp; Klantgegevens_A!E674 &amp; ", " &amp; Klantgegevens_A!F674)</f>
        <v>Christian,Luca,Murat,Romanus</v>
      </c>
      <c r="E675">
        <f>IF(Klantgegevens_B!G674&lt;&gt;"", Klantgegevens_B!G674, TEXTJOIN(",", TRUE, REPT("Volwassene,", Klantgegevens_A!G674), REPT("Kind,", Klantgegevens_A!H674)))</f>
        <v>250.77</v>
      </c>
      <c r="F675">
        <f>IF(Klantgegevens_B!G674&lt;&gt;"", LEN(Klantgegevens_B!G674)-LEN(SUBSTITUTE(Klantgegevens_B!G674, ",", ""))+1, Klantgegevens_A!G674)</f>
        <v>1</v>
      </c>
      <c r="G675">
        <f>IF(Klantgegevens_B!G674&lt;&gt;"", 0, Klantgegevens_A!H674)</f>
        <v>0</v>
      </c>
      <c r="H675">
        <f>IF(Klantgegevens_B!H674&lt;&gt;"", Klantgegevens_B!H674, Klantgegevens_A!I674)</f>
        <v>15</v>
      </c>
      <c r="I675" t="str">
        <f>IF(Klantgegevens_B!I674&lt;&gt;"", Klantgegevens_B!I674, SWITCH(Klantgegevens_A!J674, "Zelden", 1, "Af en toe", 4, "Regelmatig", 8, "Vaak", 12))</f>
        <v>Payconiq</v>
      </c>
      <c r="J675" t="str">
        <f>IF(Klantgegevens_B!J674&lt;&gt;"", Klantgegevens_B!J674, Klantgegevens_A!K674)</f>
        <v>ja</v>
      </c>
      <c r="K675">
        <f>IF(Klantgegevens_B!K674&lt;&gt;"", AVERAGE(--(Klantgegevens_B!K674="ja"), --(Klantgegevens_B!L674="ja"), --(Klantgegevens_B!M674="ja"), --(Klantgegevens_B!N674="ja"), --(Klantgegevens_B!O674="ja"))*10, Klantgegevens_A!L674)</f>
        <v>4</v>
      </c>
      <c r="L675" t="str">
        <f>IF(Klantgegevens_B!K674&lt;&gt;"", Klantgegevens_B!K674, IF(Klantgegevens_A!L674&gt;=7, "ja", "nee"))</f>
        <v>ja</v>
      </c>
      <c r="M675" t="str">
        <f>IF(Klantgegevens_B!L674&lt;&gt;"", Klantgegevens_B!L674, IF(Klantgegevens_A!L674&gt;=7, "ja", "nee"))</f>
        <v>nee</v>
      </c>
      <c r="N675" t="str">
        <f>IF(Klantgegevens_B!M674&lt;&gt;"", Klantgegevens_B!M674, IF(Klantgegevens_A!L674&gt;=7, "ja", "nee"))</f>
        <v>nee</v>
      </c>
      <c r="O675" t="str">
        <f>IF(Klantgegevens_B!N674&lt;&gt;"", Klantgegevens_B!N674, IF(Klantgegevens_A!L674&gt;=7, "ja", "nee"))</f>
        <v>ja</v>
      </c>
      <c r="P675" t="str">
        <f>IF(Klantgegevens_B!O674&lt;&gt;"", Klantgegevens_B!O674, IF(Klantgegevens_A!L674&gt;=7, "ja", "nee"))</f>
        <v>Geen dieet</v>
      </c>
      <c r="Q675">
        <f>IF(Klantgegevens_B!P674&lt;&gt;"", Klantgegevens_B!P674, Klantgegevens_A!M674)</f>
        <v>0</v>
      </c>
      <c r="R675" t="str">
        <f>IF(Klantgegevens_B!A674&lt;&gt;"", "B", "A")</f>
        <v>B</v>
      </c>
    </row>
    <row r="676" spans="1:18" x14ac:dyDescent="0.3">
      <c r="A676" t="str">
        <f>IF(Klantgegevens_B!A675&lt;&gt;"", Klantgegevens_B!A675, MID(Klantgegevens_A!A675, FIND(",", Klantgegevens_A!A675)+2, LEN(Klantgegevens_A!A675)))</f>
        <v>Antoinette</v>
      </c>
      <c r="B676" t="str">
        <f>IF(Klantgegevens_B!B675&lt;&gt;"", Klantgegevens_B!B675, LEFT(Klantgegevens_A!A675, FIND(",", Klantgegevens_A!A675)-1))</f>
        <v>Simon</v>
      </c>
      <c r="C676" t="str">
        <f t="shared" ca="1" si="10"/>
        <v/>
      </c>
      <c r="D676" t="str">
        <f>IF(Klantgegevens_B!F675&lt;&gt;"", Klantgegevens_B!F675, Klantgegevens_A!D675 &amp; " " &amp; Klantgegevens_A!E675 &amp; ", " &amp; Klantgegevens_A!F675)</f>
        <v>Antoinette,Lara,Morgane</v>
      </c>
      <c r="E676">
        <f>IF(Klantgegevens_B!G675&lt;&gt;"", Klantgegevens_B!G675, TEXTJOIN(",", TRUE, REPT("Volwassene,", Klantgegevens_A!G675), REPT("Kind,", Klantgegevens_A!H675)))</f>
        <v>146.29</v>
      </c>
      <c r="F676">
        <f>IF(Klantgegevens_B!G675&lt;&gt;"", LEN(Klantgegevens_B!G675)-LEN(SUBSTITUTE(Klantgegevens_B!G675, ",", ""))+1, Klantgegevens_A!G675)</f>
        <v>1</v>
      </c>
      <c r="G676">
        <f>IF(Klantgegevens_B!G675&lt;&gt;"", 0, Klantgegevens_A!H675)</f>
        <v>0</v>
      </c>
      <c r="H676">
        <f>IF(Klantgegevens_B!H675&lt;&gt;"", Klantgegevens_B!H675, Klantgegevens_A!I675)</f>
        <v>2</v>
      </c>
      <c r="I676" t="str">
        <f>IF(Klantgegevens_B!I675&lt;&gt;"", Klantgegevens_B!I675, SWITCH(Klantgegevens_A!J675, "Zelden", 1, "Af en toe", 4, "Regelmatig", 8, "Vaak", 12))</f>
        <v>Creditcard</v>
      </c>
      <c r="J676" t="str">
        <f>IF(Klantgegevens_B!J675&lt;&gt;"", Klantgegevens_B!J675, Klantgegevens_A!K675)</f>
        <v>ja</v>
      </c>
      <c r="K676">
        <f>IF(Klantgegevens_B!K675&lt;&gt;"", AVERAGE(--(Klantgegevens_B!K675="ja"), --(Klantgegevens_B!L675="ja"), --(Klantgegevens_B!M675="ja"), --(Klantgegevens_B!N675="ja"), --(Klantgegevens_B!O675="ja"))*10, Klantgegevens_A!L675)</f>
        <v>8</v>
      </c>
      <c r="L676" t="str">
        <f>IF(Klantgegevens_B!K675&lt;&gt;"", Klantgegevens_B!K675, IF(Klantgegevens_A!L675&gt;=7, "ja", "nee"))</f>
        <v>ja</v>
      </c>
      <c r="M676" t="str">
        <f>IF(Klantgegevens_B!L675&lt;&gt;"", Klantgegevens_B!L675, IF(Klantgegevens_A!L675&gt;=7, "ja", "nee"))</f>
        <v>ja</v>
      </c>
      <c r="N676" t="str">
        <f>IF(Klantgegevens_B!M675&lt;&gt;"", Klantgegevens_B!M675, IF(Klantgegevens_A!L675&gt;=7, "ja", "nee"))</f>
        <v>ja</v>
      </c>
      <c r="O676" t="str">
        <f>IF(Klantgegevens_B!N675&lt;&gt;"", Klantgegevens_B!N675, IF(Klantgegevens_A!L675&gt;=7, "ja", "nee"))</f>
        <v>ja</v>
      </c>
      <c r="P676" t="str">
        <f>IF(Klantgegevens_B!O675&lt;&gt;"", Klantgegevens_B!O675, IF(Klantgegevens_A!L675&gt;=7, "ja", "nee"))</f>
        <v>Vegetarisch</v>
      </c>
      <c r="Q676">
        <f>IF(Klantgegevens_B!P675&lt;&gt;"", Klantgegevens_B!P675, Klantgegevens_A!M675)</f>
        <v>0</v>
      </c>
      <c r="R676" t="str">
        <f>IF(Klantgegevens_B!A675&lt;&gt;"", "B", "A")</f>
        <v>B</v>
      </c>
    </row>
    <row r="677" spans="1:18" x14ac:dyDescent="0.3">
      <c r="A677" t="str">
        <f>IF(Klantgegevens_B!A676&lt;&gt;"", Klantgegevens_B!A676, MID(Klantgegevens_A!A676, FIND(",", Klantgegevens_A!A676)+2, LEN(Klantgegevens_A!A676)))</f>
        <v>Yessica</v>
      </c>
      <c r="B677" t="str">
        <f>IF(Klantgegevens_B!B676&lt;&gt;"", Klantgegevens_B!B676, LEFT(Klantgegevens_A!A676, FIND(",", Klantgegevens_A!A676)-1))</f>
        <v>Wuyts</v>
      </c>
      <c r="C677" t="str">
        <f t="shared" ca="1" si="10"/>
        <v/>
      </c>
      <c r="D677" t="str">
        <f>IF(Klantgegevens_B!F676&lt;&gt;"", Klantgegevens_B!F676, Klantgegevens_A!D676 &amp; " " &amp; Klantgegevens_A!E676 &amp; ", " &amp; Klantgegevens_A!F676)</f>
        <v>Yessica,Nina</v>
      </c>
      <c r="E677">
        <f>IF(Klantgegevens_B!G676&lt;&gt;"", Klantgegevens_B!G676, TEXTJOIN(",", TRUE, REPT("Volwassene,", Klantgegevens_A!G676), REPT("Kind,", Klantgegevens_A!H676)))</f>
        <v>67.989999999999995</v>
      </c>
      <c r="F677">
        <f>IF(Klantgegevens_B!G676&lt;&gt;"", LEN(Klantgegevens_B!G676)-LEN(SUBSTITUTE(Klantgegevens_B!G676, ",", ""))+1, Klantgegevens_A!G676)</f>
        <v>1</v>
      </c>
      <c r="G677">
        <f>IF(Klantgegevens_B!G676&lt;&gt;"", 0, Klantgegevens_A!H676)</f>
        <v>0</v>
      </c>
      <c r="H677">
        <f>IF(Klantgegevens_B!H676&lt;&gt;"", Klantgegevens_B!H676, Klantgegevens_A!I676)</f>
        <v>9</v>
      </c>
      <c r="I677" t="str">
        <f>IF(Klantgegevens_B!I676&lt;&gt;"", Klantgegevens_B!I676, SWITCH(Klantgegevens_A!J676, "Zelden", 1, "Af en toe", 4, "Regelmatig", 8, "Vaak", 12))</f>
        <v>Payconiq</v>
      </c>
      <c r="J677" t="str">
        <f>IF(Klantgegevens_B!J676&lt;&gt;"", Klantgegevens_B!J676, Klantgegevens_A!K676)</f>
        <v>nee</v>
      </c>
      <c r="K677">
        <f>IF(Klantgegevens_B!K676&lt;&gt;"", AVERAGE(--(Klantgegevens_B!K676="ja"), --(Klantgegevens_B!L676="ja"), --(Klantgegevens_B!M676="ja"), --(Klantgegevens_B!N676="ja"), --(Klantgegevens_B!O676="ja"))*10, Klantgegevens_A!L676)</f>
        <v>4</v>
      </c>
      <c r="L677" t="str">
        <f>IF(Klantgegevens_B!K676&lt;&gt;"", Klantgegevens_B!K676, IF(Klantgegevens_A!L676&gt;=7, "ja", "nee"))</f>
        <v>nee</v>
      </c>
      <c r="M677" t="str">
        <f>IF(Klantgegevens_B!L676&lt;&gt;"", Klantgegevens_B!L676, IF(Klantgegevens_A!L676&gt;=7, "ja", "nee"))</f>
        <v>ja</v>
      </c>
      <c r="N677" t="str">
        <f>IF(Klantgegevens_B!M676&lt;&gt;"", Klantgegevens_B!M676, IF(Klantgegevens_A!L676&gt;=7, "ja", "nee"))</f>
        <v>ja</v>
      </c>
      <c r="O677" t="str">
        <f>IF(Klantgegevens_B!N676&lt;&gt;"", Klantgegevens_B!N676, IF(Klantgegevens_A!L676&gt;=7, "ja", "nee"))</f>
        <v>nee</v>
      </c>
      <c r="P677" t="str">
        <f>IF(Klantgegevens_B!O676&lt;&gt;"", Klantgegevens_B!O676, IF(Klantgegevens_A!L676&gt;=7, "ja", "nee"))</f>
        <v>Geen dieet</v>
      </c>
      <c r="Q677">
        <f>IF(Klantgegevens_B!P676&lt;&gt;"", Klantgegevens_B!P676, Klantgegevens_A!M676)</f>
        <v>0</v>
      </c>
      <c r="R677" t="str">
        <f>IF(Klantgegevens_B!A676&lt;&gt;"", "B", "A")</f>
        <v>B</v>
      </c>
    </row>
    <row r="678" spans="1:18" x14ac:dyDescent="0.3">
      <c r="A678" t="str">
        <f>IF(Klantgegevens_B!A677&lt;&gt;"", Klantgegevens_B!A677, MID(Klantgegevens_A!A677, FIND(",", Klantgegevens_A!A677)+2, LEN(Klantgegevens_A!A677)))</f>
        <v>Julien</v>
      </c>
      <c r="B678" t="str">
        <f>IF(Klantgegevens_B!B677&lt;&gt;"", Klantgegevens_B!B677, LEFT(Klantgegevens_A!A677, FIND(",", Klantgegevens_A!A677)-1))</f>
        <v>Nijs</v>
      </c>
      <c r="C678" t="str">
        <f t="shared" ca="1" si="10"/>
        <v/>
      </c>
      <c r="D678" t="str">
        <f>IF(Klantgegevens_B!F677&lt;&gt;"", Klantgegevens_B!F677, Klantgegevens_A!D677 &amp; " " &amp; Klantgegevens_A!E677 &amp; ", " &amp; Klantgegevens_A!F677)</f>
        <v>Julien,Anastasiia,Miranda,Amelie</v>
      </c>
      <c r="E678">
        <f>IF(Klantgegevens_B!G677&lt;&gt;"", Klantgegevens_B!G677, TEXTJOIN(",", TRUE, REPT("Volwassene,", Klantgegevens_A!G677), REPT("Kind,", Klantgegevens_A!H677)))</f>
        <v>131.36000000000001</v>
      </c>
      <c r="F678">
        <f>IF(Klantgegevens_B!G677&lt;&gt;"", LEN(Klantgegevens_B!G677)-LEN(SUBSTITUTE(Klantgegevens_B!G677, ",", ""))+1, Klantgegevens_A!G677)</f>
        <v>1</v>
      </c>
      <c r="G678">
        <f>IF(Klantgegevens_B!G677&lt;&gt;"", 0, Klantgegevens_A!H677)</f>
        <v>0</v>
      </c>
      <c r="H678">
        <f>IF(Klantgegevens_B!H677&lt;&gt;"", Klantgegevens_B!H677, Klantgegevens_A!I677)</f>
        <v>5</v>
      </c>
      <c r="I678" t="str">
        <f>IF(Klantgegevens_B!I677&lt;&gt;"", Klantgegevens_B!I677, SWITCH(Klantgegevens_A!J677, "Zelden", 1, "Af en toe", 4, "Regelmatig", 8, "Vaak", 12))</f>
        <v>Cash</v>
      </c>
      <c r="J678" t="str">
        <f>IF(Klantgegevens_B!J677&lt;&gt;"", Klantgegevens_B!J677, Klantgegevens_A!K677)</f>
        <v>nee</v>
      </c>
      <c r="K678">
        <f>IF(Klantgegevens_B!K677&lt;&gt;"", AVERAGE(--(Klantgegevens_B!K677="ja"), --(Klantgegevens_B!L677="ja"), --(Klantgegevens_B!M677="ja"), --(Klantgegevens_B!N677="ja"), --(Klantgegevens_B!O677="ja"))*10, Klantgegevens_A!L677)</f>
        <v>4</v>
      </c>
      <c r="L678" t="str">
        <f>IF(Klantgegevens_B!K677&lt;&gt;"", Klantgegevens_B!K677, IF(Klantgegevens_A!L677&gt;=7, "ja", "nee"))</f>
        <v>ja</v>
      </c>
      <c r="M678" t="str">
        <f>IF(Klantgegevens_B!L677&lt;&gt;"", Klantgegevens_B!L677, IF(Klantgegevens_A!L677&gt;=7, "ja", "nee"))</f>
        <v>ja</v>
      </c>
      <c r="N678" t="str">
        <f>IF(Klantgegevens_B!M677&lt;&gt;"", Klantgegevens_B!M677, IF(Klantgegevens_A!L677&gt;=7, "ja", "nee"))</f>
        <v>nee</v>
      </c>
      <c r="O678" t="str">
        <f>IF(Klantgegevens_B!N677&lt;&gt;"", Klantgegevens_B!N677, IF(Klantgegevens_A!L677&gt;=7, "ja", "nee"))</f>
        <v>nee</v>
      </c>
      <c r="P678" t="str">
        <f>IF(Klantgegevens_B!O677&lt;&gt;"", Klantgegevens_B!O677, IF(Klantgegevens_A!L677&gt;=7, "ja", "nee"))</f>
        <v>Geen dieet</v>
      </c>
      <c r="Q678">
        <f>IF(Klantgegevens_B!P677&lt;&gt;"", Klantgegevens_B!P677, Klantgegevens_A!M677)</f>
        <v>0</v>
      </c>
      <c r="R678" t="str">
        <f>IF(Klantgegevens_B!A677&lt;&gt;"", "B", "A")</f>
        <v>B</v>
      </c>
    </row>
    <row r="679" spans="1:18" x14ac:dyDescent="0.3">
      <c r="A679" t="str">
        <f>IF(Klantgegevens_B!A678&lt;&gt;"", Klantgegevens_B!A678, MID(Klantgegevens_A!A678, FIND(",", Klantgegevens_A!A678)+2, LEN(Klantgegevens_A!A678)))</f>
        <v>Manu</v>
      </c>
      <c r="B679" t="str">
        <f>IF(Klantgegevens_B!B678&lt;&gt;"", Klantgegevens_B!B678, LEFT(Klantgegevens_A!A678, FIND(",", Klantgegevens_A!A678)-1))</f>
        <v>Baetens</v>
      </c>
      <c r="C679" t="str">
        <f t="shared" ca="1" si="10"/>
        <v/>
      </c>
      <c r="D679" t="str">
        <f>IF(Klantgegevens_B!F678&lt;&gt;"", Klantgegevens_B!F678, Klantgegevens_A!D678 &amp; " " &amp; Klantgegevens_A!E678 &amp; ", " &amp; Klantgegevens_A!F678)</f>
        <v>Manu,Chantal</v>
      </c>
      <c r="E679">
        <f>IF(Klantgegevens_B!G678&lt;&gt;"", Klantgegevens_B!G678, TEXTJOIN(",", TRUE, REPT("Volwassene,", Klantgegevens_A!G678), REPT("Kind,", Klantgegevens_A!H678)))</f>
        <v>115.02</v>
      </c>
      <c r="F679">
        <f>IF(Klantgegevens_B!G678&lt;&gt;"", LEN(Klantgegevens_B!G678)-LEN(SUBSTITUTE(Klantgegevens_B!G678, ",", ""))+1, Klantgegevens_A!G678)</f>
        <v>1</v>
      </c>
      <c r="G679">
        <f>IF(Klantgegevens_B!G678&lt;&gt;"", 0, Klantgegevens_A!H678)</f>
        <v>0</v>
      </c>
      <c r="H679">
        <f>IF(Klantgegevens_B!H678&lt;&gt;"", Klantgegevens_B!H678, Klantgegevens_A!I678)</f>
        <v>8</v>
      </c>
      <c r="I679" t="str">
        <f>IF(Klantgegevens_B!I678&lt;&gt;"", Klantgegevens_B!I678, SWITCH(Klantgegevens_A!J678, "Zelden", 1, "Af en toe", 4, "Regelmatig", 8, "Vaak", 12))</f>
        <v>Cash</v>
      </c>
      <c r="J679" t="str">
        <f>IF(Klantgegevens_B!J678&lt;&gt;"", Klantgegevens_B!J678, Klantgegevens_A!K678)</f>
        <v>nee</v>
      </c>
      <c r="K679">
        <f>IF(Klantgegevens_B!K678&lt;&gt;"", AVERAGE(--(Klantgegevens_B!K678="ja"), --(Klantgegevens_B!L678="ja"), --(Klantgegevens_B!M678="ja"), --(Klantgegevens_B!N678="ja"), --(Klantgegevens_B!O678="ja"))*10, Klantgegevens_A!L678)</f>
        <v>4</v>
      </c>
      <c r="L679" t="str">
        <f>IF(Klantgegevens_B!K678&lt;&gt;"", Klantgegevens_B!K678, IF(Klantgegevens_A!L678&gt;=7, "ja", "nee"))</f>
        <v>nee</v>
      </c>
      <c r="M679" t="str">
        <f>IF(Klantgegevens_B!L678&lt;&gt;"", Klantgegevens_B!L678, IF(Klantgegevens_A!L678&gt;=7, "ja", "nee"))</f>
        <v>ja</v>
      </c>
      <c r="N679" t="str">
        <f>IF(Klantgegevens_B!M678&lt;&gt;"", Klantgegevens_B!M678, IF(Klantgegevens_A!L678&gt;=7, "ja", "nee"))</f>
        <v>ja</v>
      </c>
      <c r="O679" t="str">
        <f>IF(Klantgegevens_B!N678&lt;&gt;"", Klantgegevens_B!N678, IF(Klantgegevens_A!L678&gt;=7, "ja", "nee"))</f>
        <v>nee</v>
      </c>
      <c r="P679" t="str">
        <f>IF(Klantgegevens_B!O678&lt;&gt;"", Klantgegevens_B!O678, IF(Klantgegevens_A!L678&gt;=7, "ja", "nee"))</f>
        <v>Geen dieet</v>
      </c>
      <c r="Q679">
        <f>IF(Klantgegevens_B!P678&lt;&gt;"", Klantgegevens_B!P678, Klantgegevens_A!M678)</f>
        <v>0</v>
      </c>
      <c r="R679" t="str">
        <f>IF(Klantgegevens_B!A678&lt;&gt;"", "B", "A")</f>
        <v>B</v>
      </c>
    </row>
    <row r="680" spans="1:18" x14ac:dyDescent="0.3">
      <c r="A680" t="str">
        <f>IF(Klantgegevens_B!A679&lt;&gt;"", Klantgegevens_B!A679, MID(Klantgegevens_A!A679, FIND(",", Klantgegevens_A!A679)+2, LEN(Klantgegevens_A!A679)))</f>
        <v>Camille</v>
      </c>
      <c r="B680" t="str">
        <f>IF(Klantgegevens_B!B679&lt;&gt;"", Klantgegevens_B!B679, LEFT(Klantgegevens_A!A679, FIND(",", Klantgegevens_A!A679)-1))</f>
        <v>Janssens</v>
      </c>
      <c r="C680" t="str">
        <f t="shared" ca="1" si="10"/>
        <v/>
      </c>
      <c r="D680" t="str">
        <f>IF(Klantgegevens_B!F679&lt;&gt;"", Klantgegevens_B!F679, Klantgegevens_A!D679 &amp; " " &amp; Klantgegevens_A!E679 &amp; ", " &amp; Klantgegevens_A!F679)</f>
        <v>Camille,Noël</v>
      </c>
      <c r="E680">
        <f>IF(Klantgegevens_B!G679&lt;&gt;"", Klantgegevens_B!G679, TEXTJOIN(",", TRUE, REPT("Volwassene,", Klantgegevens_A!G679), REPT("Kind,", Klantgegevens_A!H679)))</f>
        <v>183.32</v>
      </c>
      <c r="F680">
        <f>IF(Klantgegevens_B!G679&lt;&gt;"", LEN(Klantgegevens_B!G679)-LEN(SUBSTITUTE(Klantgegevens_B!G679, ",", ""))+1, Klantgegevens_A!G679)</f>
        <v>1</v>
      </c>
      <c r="G680">
        <f>IF(Klantgegevens_B!G679&lt;&gt;"", 0, Klantgegevens_A!H679)</f>
        <v>0</v>
      </c>
      <c r="H680">
        <f>IF(Klantgegevens_B!H679&lt;&gt;"", Klantgegevens_B!H679, Klantgegevens_A!I679)</f>
        <v>10</v>
      </c>
      <c r="I680" t="str">
        <f>IF(Klantgegevens_B!I679&lt;&gt;"", Klantgegevens_B!I679, SWITCH(Klantgegevens_A!J679, "Zelden", 1, "Af en toe", 4, "Regelmatig", 8, "Vaak", 12))</f>
        <v>Payconiq</v>
      </c>
      <c r="J680" t="str">
        <f>IF(Klantgegevens_B!J679&lt;&gt;"", Klantgegevens_B!J679, Klantgegevens_A!K679)</f>
        <v>nee</v>
      </c>
      <c r="K680">
        <f>IF(Klantgegevens_B!K679&lt;&gt;"", AVERAGE(--(Klantgegevens_B!K679="ja"), --(Klantgegevens_B!L679="ja"), --(Klantgegevens_B!M679="ja"), --(Klantgegevens_B!N679="ja"), --(Klantgegevens_B!O679="ja"))*10, Klantgegevens_A!L679)</f>
        <v>2</v>
      </c>
      <c r="L680" t="str">
        <f>IF(Klantgegevens_B!K679&lt;&gt;"", Klantgegevens_B!K679, IF(Klantgegevens_A!L679&gt;=7, "ja", "nee"))</f>
        <v>nee</v>
      </c>
      <c r="M680" t="str">
        <f>IF(Klantgegevens_B!L679&lt;&gt;"", Klantgegevens_B!L679, IF(Klantgegevens_A!L679&gt;=7, "ja", "nee"))</f>
        <v>nee</v>
      </c>
      <c r="N680" t="str">
        <f>IF(Klantgegevens_B!M679&lt;&gt;"", Klantgegevens_B!M679, IF(Klantgegevens_A!L679&gt;=7, "ja", "nee"))</f>
        <v>ja</v>
      </c>
      <c r="O680" t="str">
        <f>IF(Klantgegevens_B!N679&lt;&gt;"", Klantgegevens_B!N679, IF(Klantgegevens_A!L679&gt;=7, "ja", "nee"))</f>
        <v>nee</v>
      </c>
      <c r="P680" t="str">
        <f>IF(Klantgegevens_B!O679&lt;&gt;"", Klantgegevens_B!O679, IF(Klantgegevens_A!L679&gt;=7, "ja", "nee"))</f>
        <v>Geen dieet</v>
      </c>
      <c r="Q680">
        <f>IF(Klantgegevens_B!P679&lt;&gt;"", Klantgegevens_B!P679, Klantgegevens_A!M679)</f>
        <v>0</v>
      </c>
      <c r="R680" t="str">
        <f>IF(Klantgegevens_B!A679&lt;&gt;"", "B", "A")</f>
        <v>B</v>
      </c>
    </row>
    <row r="681" spans="1:18" x14ac:dyDescent="0.3">
      <c r="A681" t="str">
        <f>IF(Klantgegevens_B!A680&lt;&gt;"", Klantgegevens_B!A680, MID(Klantgegevens_A!A680, FIND(",", Klantgegevens_A!A680)+2, LEN(Klantgegevens_A!A680)))</f>
        <v>Kim</v>
      </c>
      <c r="B681" t="str">
        <f>IF(Klantgegevens_B!B680&lt;&gt;"", Klantgegevens_B!B680, LEFT(Klantgegevens_A!A680, FIND(",", Klantgegevens_A!A680)-1))</f>
        <v>Robert</v>
      </c>
      <c r="C681" t="str">
        <f t="shared" ca="1" si="10"/>
        <v/>
      </c>
      <c r="D681" t="str">
        <f>IF(Klantgegevens_B!F680&lt;&gt;"", Klantgegevens_B!F680, Klantgegevens_A!D680 &amp; " " &amp; Klantgegevens_A!E680 &amp; ", " &amp; Klantgegevens_A!F680)</f>
        <v>Kim,Mbark,Roos,Philéas,Annik</v>
      </c>
      <c r="E681">
        <f>IF(Klantgegevens_B!G680&lt;&gt;"", Klantgegevens_B!G680, TEXTJOIN(",", TRUE, REPT("Volwassene,", Klantgegevens_A!G680), REPT("Kind,", Klantgegevens_A!H680)))</f>
        <v>186.32</v>
      </c>
      <c r="F681">
        <f>IF(Klantgegevens_B!G680&lt;&gt;"", LEN(Klantgegevens_B!G680)-LEN(SUBSTITUTE(Klantgegevens_B!G680, ",", ""))+1, Klantgegevens_A!G680)</f>
        <v>1</v>
      </c>
      <c r="G681">
        <f>IF(Klantgegevens_B!G680&lt;&gt;"", 0, Klantgegevens_A!H680)</f>
        <v>0</v>
      </c>
      <c r="H681">
        <f>IF(Klantgegevens_B!H680&lt;&gt;"", Klantgegevens_B!H680, Klantgegevens_A!I680)</f>
        <v>9</v>
      </c>
      <c r="I681" t="str">
        <f>IF(Klantgegevens_B!I680&lt;&gt;"", Klantgegevens_B!I680, SWITCH(Klantgegevens_A!J680, "Zelden", 1, "Af en toe", 4, "Regelmatig", 8, "Vaak", 12))</f>
        <v>Bancontact</v>
      </c>
      <c r="J681" t="str">
        <f>IF(Klantgegevens_B!J680&lt;&gt;"", Klantgegevens_B!J680, Klantgegevens_A!K680)</f>
        <v>nee</v>
      </c>
      <c r="K681">
        <f>IF(Klantgegevens_B!K680&lt;&gt;"", AVERAGE(--(Klantgegevens_B!K680="ja"), --(Klantgegevens_B!L680="ja"), --(Klantgegevens_B!M680="ja"), --(Klantgegevens_B!N680="ja"), --(Klantgegevens_B!O680="ja"))*10, Klantgegevens_A!L680)</f>
        <v>4</v>
      </c>
      <c r="L681" t="str">
        <f>IF(Klantgegevens_B!K680&lt;&gt;"", Klantgegevens_B!K680, IF(Klantgegevens_A!L680&gt;=7, "ja", "nee"))</f>
        <v>ja</v>
      </c>
      <c r="M681" t="str">
        <f>IF(Klantgegevens_B!L680&lt;&gt;"", Klantgegevens_B!L680, IF(Klantgegevens_A!L680&gt;=7, "ja", "nee"))</f>
        <v>nee</v>
      </c>
      <c r="N681" t="str">
        <f>IF(Klantgegevens_B!M680&lt;&gt;"", Klantgegevens_B!M680, IF(Klantgegevens_A!L680&gt;=7, "ja", "nee"))</f>
        <v>ja</v>
      </c>
      <c r="O681" t="str">
        <f>IF(Klantgegevens_B!N680&lt;&gt;"", Klantgegevens_B!N680, IF(Klantgegevens_A!L680&gt;=7, "ja", "nee"))</f>
        <v>nee</v>
      </c>
      <c r="P681" t="str">
        <f>IF(Klantgegevens_B!O680&lt;&gt;"", Klantgegevens_B!O680, IF(Klantgegevens_A!L680&gt;=7, "ja", "nee"))</f>
        <v>Veganistisch</v>
      </c>
      <c r="Q681">
        <f>IF(Klantgegevens_B!P680&lt;&gt;"", Klantgegevens_B!P680, Klantgegevens_A!M680)</f>
        <v>0</v>
      </c>
      <c r="R681" t="str">
        <f>IF(Klantgegevens_B!A680&lt;&gt;"", "B", "A")</f>
        <v>B</v>
      </c>
    </row>
    <row r="682" spans="1:18" x14ac:dyDescent="0.3">
      <c r="A682" t="str">
        <f>IF(Klantgegevens_B!A681&lt;&gt;"", Klantgegevens_B!A681, MID(Klantgegevens_A!A681, FIND(",", Klantgegevens_A!A681)+2, LEN(Klantgegevens_A!A681)))</f>
        <v>Juliette</v>
      </c>
      <c r="B682" t="str">
        <f>IF(Klantgegevens_B!B681&lt;&gt;"", Klantgegevens_B!B681, LEFT(Klantgegevens_A!A681, FIND(",", Klantgegevens_A!A681)-1))</f>
        <v>Michiels</v>
      </c>
      <c r="C682" t="str">
        <f t="shared" ca="1" si="10"/>
        <v/>
      </c>
      <c r="D682" t="str">
        <f>IF(Klantgegevens_B!F681&lt;&gt;"", Klantgegevens_B!F681, Klantgegevens_A!D681 &amp; " " &amp; Klantgegevens_A!E681 &amp; ", " &amp; Klantgegevens_A!F681)</f>
        <v>Juliette,Amina</v>
      </c>
      <c r="E682">
        <f>IF(Klantgegevens_B!G681&lt;&gt;"", Klantgegevens_B!G681, TEXTJOIN(",", TRUE, REPT("Volwassene,", Klantgegevens_A!G681), REPT("Kind,", Klantgegevens_A!H681)))</f>
        <v>169.47</v>
      </c>
      <c r="F682">
        <f>IF(Klantgegevens_B!G681&lt;&gt;"", LEN(Klantgegevens_B!G681)-LEN(SUBSTITUTE(Klantgegevens_B!G681, ",", ""))+1, Klantgegevens_A!G681)</f>
        <v>1</v>
      </c>
      <c r="G682">
        <f>IF(Klantgegevens_B!G681&lt;&gt;"", 0, Klantgegevens_A!H681)</f>
        <v>0</v>
      </c>
      <c r="H682">
        <f>IF(Klantgegevens_B!H681&lt;&gt;"", Klantgegevens_B!H681, Klantgegevens_A!I681)</f>
        <v>11</v>
      </c>
      <c r="I682" t="str">
        <f>IF(Klantgegevens_B!I681&lt;&gt;"", Klantgegevens_B!I681, SWITCH(Klantgegevens_A!J681, "Zelden", 1, "Af en toe", 4, "Regelmatig", 8, "Vaak", 12))</f>
        <v>Cash</v>
      </c>
      <c r="J682" t="str">
        <f>IF(Klantgegevens_B!J681&lt;&gt;"", Klantgegevens_B!J681, Klantgegevens_A!K681)</f>
        <v>ja</v>
      </c>
      <c r="K682">
        <f>IF(Klantgegevens_B!K681&lt;&gt;"", AVERAGE(--(Klantgegevens_B!K681="ja"), --(Klantgegevens_B!L681="ja"), --(Klantgegevens_B!M681="ja"), --(Klantgegevens_B!N681="ja"), --(Klantgegevens_B!O681="ja"))*10, Klantgegevens_A!L681)</f>
        <v>6</v>
      </c>
      <c r="L682" t="str">
        <f>IF(Klantgegevens_B!K681&lt;&gt;"", Klantgegevens_B!K681, IF(Klantgegevens_A!L681&gt;=7, "ja", "nee"))</f>
        <v>ja</v>
      </c>
      <c r="M682" t="str">
        <f>IF(Klantgegevens_B!L681&lt;&gt;"", Klantgegevens_B!L681, IF(Klantgegevens_A!L681&gt;=7, "ja", "nee"))</f>
        <v>nee</v>
      </c>
      <c r="N682" t="str">
        <f>IF(Klantgegevens_B!M681&lt;&gt;"", Klantgegevens_B!M681, IF(Klantgegevens_A!L681&gt;=7, "ja", "nee"))</f>
        <v>ja</v>
      </c>
      <c r="O682" t="str">
        <f>IF(Klantgegevens_B!N681&lt;&gt;"", Klantgegevens_B!N681, IF(Klantgegevens_A!L681&gt;=7, "ja", "nee"))</f>
        <v>ja</v>
      </c>
      <c r="P682" t="str">
        <f>IF(Klantgegevens_B!O681&lt;&gt;"", Klantgegevens_B!O681, IF(Klantgegevens_A!L681&gt;=7, "ja", "nee"))</f>
        <v>Geen dieet</v>
      </c>
      <c r="Q682">
        <f>IF(Klantgegevens_B!P681&lt;&gt;"", Klantgegevens_B!P681, Klantgegevens_A!M681)</f>
        <v>0</v>
      </c>
      <c r="R682" t="str">
        <f>IF(Klantgegevens_B!A681&lt;&gt;"", "B", "A")</f>
        <v>B</v>
      </c>
    </row>
    <row r="683" spans="1:18" x14ac:dyDescent="0.3">
      <c r="A683" t="str">
        <f>IF(Klantgegevens_B!A682&lt;&gt;"", Klantgegevens_B!A682, MID(Klantgegevens_A!A682, FIND(",", Klantgegevens_A!A682)+2, LEN(Klantgegevens_A!A682)))</f>
        <v>Nio</v>
      </c>
      <c r="B683" t="str">
        <f>IF(Klantgegevens_B!B682&lt;&gt;"", Klantgegevens_B!B682, LEFT(Klantgegevens_A!A682, FIND(",", Klantgegevens_A!A682)-1))</f>
        <v>Bracke</v>
      </c>
      <c r="C683" t="str">
        <f t="shared" ca="1" si="10"/>
        <v/>
      </c>
      <c r="D683" t="str">
        <f>IF(Klantgegevens_B!F682&lt;&gt;"", Klantgegevens_B!F682, Klantgegevens_A!D682 &amp; " " &amp; Klantgegevens_A!E682 &amp; ", " &amp; Klantgegevens_A!F682)</f>
        <v>Nio,Elia,Enzo,Loïc</v>
      </c>
      <c r="E683">
        <f>IF(Klantgegevens_B!G682&lt;&gt;"", Klantgegevens_B!G682, TEXTJOIN(",", TRUE, REPT("Volwassene,", Klantgegevens_A!G682), REPT("Kind,", Klantgegevens_A!H682)))</f>
        <v>120.35</v>
      </c>
      <c r="F683">
        <f>IF(Klantgegevens_B!G682&lt;&gt;"", LEN(Klantgegevens_B!G682)-LEN(SUBSTITUTE(Klantgegevens_B!G682, ",", ""))+1, Klantgegevens_A!G682)</f>
        <v>1</v>
      </c>
      <c r="G683">
        <f>IF(Klantgegevens_B!G682&lt;&gt;"", 0, Klantgegevens_A!H682)</f>
        <v>0</v>
      </c>
      <c r="H683">
        <f>IF(Klantgegevens_B!H682&lt;&gt;"", Klantgegevens_B!H682, Klantgegevens_A!I682)</f>
        <v>9</v>
      </c>
      <c r="I683" t="str">
        <f>IF(Klantgegevens_B!I682&lt;&gt;"", Klantgegevens_B!I682, SWITCH(Klantgegevens_A!J682, "Zelden", 1, "Af en toe", 4, "Regelmatig", 8, "Vaak", 12))</f>
        <v>Bancontact</v>
      </c>
      <c r="J683" t="str">
        <f>IF(Klantgegevens_B!J682&lt;&gt;"", Klantgegevens_B!J682, Klantgegevens_A!K682)</f>
        <v>ja</v>
      </c>
      <c r="K683">
        <f>IF(Klantgegevens_B!K682&lt;&gt;"", AVERAGE(--(Klantgegevens_B!K682="ja"), --(Klantgegevens_B!L682="ja"), --(Klantgegevens_B!M682="ja"), --(Klantgegevens_B!N682="ja"), --(Klantgegevens_B!O682="ja"))*10, Klantgegevens_A!L682)</f>
        <v>8</v>
      </c>
      <c r="L683" t="str">
        <f>IF(Klantgegevens_B!K682&lt;&gt;"", Klantgegevens_B!K682, IF(Klantgegevens_A!L682&gt;=7, "ja", "nee"))</f>
        <v>ja</v>
      </c>
      <c r="M683" t="str">
        <f>IF(Klantgegevens_B!L682&lt;&gt;"", Klantgegevens_B!L682, IF(Klantgegevens_A!L682&gt;=7, "ja", "nee"))</f>
        <v>ja</v>
      </c>
      <c r="N683" t="str">
        <f>IF(Klantgegevens_B!M682&lt;&gt;"", Klantgegevens_B!M682, IF(Klantgegevens_A!L682&gt;=7, "ja", "nee"))</f>
        <v>ja</v>
      </c>
      <c r="O683" t="str">
        <f>IF(Klantgegevens_B!N682&lt;&gt;"", Klantgegevens_B!N682, IF(Klantgegevens_A!L682&gt;=7, "ja", "nee"))</f>
        <v>ja</v>
      </c>
      <c r="P683" t="str">
        <f>IF(Klantgegevens_B!O682&lt;&gt;"", Klantgegevens_B!O682, IF(Klantgegevens_A!L682&gt;=7, "ja", "nee"))</f>
        <v>Vegetarisch</v>
      </c>
      <c r="Q683">
        <f>IF(Klantgegevens_B!P682&lt;&gt;"", Klantgegevens_B!P682, Klantgegevens_A!M682)</f>
        <v>0</v>
      </c>
      <c r="R683" t="str">
        <f>IF(Klantgegevens_B!A682&lt;&gt;"", "B", "A")</f>
        <v>B</v>
      </c>
    </row>
    <row r="684" spans="1:18" x14ac:dyDescent="0.3">
      <c r="A684" t="str">
        <f>IF(Klantgegevens_B!A683&lt;&gt;"", Klantgegevens_B!A683, MID(Klantgegevens_A!A683, FIND(",", Klantgegevens_A!A683)+2, LEN(Klantgegevens_A!A683)))</f>
        <v>Samuel</v>
      </c>
      <c r="B684" t="str">
        <f>IF(Klantgegevens_B!B683&lt;&gt;"", Klantgegevens_B!B683, LEFT(Klantgegevens_A!A683, FIND(",", Klantgegevens_A!A683)-1))</f>
        <v>Deprez</v>
      </c>
      <c r="C684" t="str">
        <f t="shared" ca="1" si="10"/>
        <v/>
      </c>
      <c r="D684" t="str">
        <f>IF(Klantgegevens_B!F683&lt;&gt;"", Klantgegevens_B!F683, Klantgegevens_A!D683 &amp; " " &amp; Klantgegevens_A!E683 &amp; ", " &amp; Klantgegevens_A!F683)</f>
        <v>Samuel,Michail,Ionel,Gerda,Jenny</v>
      </c>
      <c r="E684">
        <f>IF(Klantgegevens_B!G683&lt;&gt;"", Klantgegevens_B!G683, TEXTJOIN(",", TRUE, REPT("Volwassene,", Klantgegevens_A!G683), REPT("Kind,", Klantgegevens_A!H683)))</f>
        <v>128.30000000000001</v>
      </c>
      <c r="F684">
        <f>IF(Klantgegevens_B!G683&lt;&gt;"", LEN(Klantgegevens_B!G683)-LEN(SUBSTITUTE(Klantgegevens_B!G683, ",", ""))+1, Klantgegevens_A!G683)</f>
        <v>1</v>
      </c>
      <c r="G684">
        <f>IF(Klantgegevens_B!G683&lt;&gt;"", 0, Klantgegevens_A!H683)</f>
        <v>0</v>
      </c>
      <c r="H684">
        <f>IF(Klantgegevens_B!H683&lt;&gt;"", Klantgegevens_B!H683, Klantgegevens_A!I683)</f>
        <v>5</v>
      </c>
      <c r="I684" t="str">
        <f>IF(Klantgegevens_B!I683&lt;&gt;"", Klantgegevens_B!I683, SWITCH(Klantgegevens_A!J683, "Zelden", 1, "Af en toe", 4, "Regelmatig", 8, "Vaak", 12))</f>
        <v>Bancontact</v>
      </c>
      <c r="J684" t="str">
        <f>IF(Klantgegevens_B!J683&lt;&gt;"", Klantgegevens_B!J683, Klantgegevens_A!K683)</f>
        <v>nee</v>
      </c>
      <c r="K684">
        <f>IF(Klantgegevens_B!K683&lt;&gt;"", AVERAGE(--(Klantgegevens_B!K683="ja"), --(Klantgegevens_B!L683="ja"), --(Klantgegevens_B!M683="ja"), --(Klantgegevens_B!N683="ja"), --(Klantgegevens_B!O683="ja"))*10, Klantgegevens_A!L683)</f>
        <v>6</v>
      </c>
      <c r="L684" t="str">
        <f>IF(Klantgegevens_B!K683&lt;&gt;"", Klantgegevens_B!K683, IF(Klantgegevens_A!L683&gt;=7, "ja", "nee"))</f>
        <v>nee</v>
      </c>
      <c r="M684" t="str">
        <f>IF(Klantgegevens_B!L683&lt;&gt;"", Klantgegevens_B!L683, IF(Klantgegevens_A!L683&gt;=7, "ja", "nee"))</f>
        <v>ja</v>
      </c>
      <c r="N684" t="str">
        <f>IF(Klantgegevens_B!M683&lt;&gt;"", Klantgegevens_B!M683, IF(Klantgegevens_A!L683&gt;=7, "ja", "nee"))</f>
        <v>ja</v>
      </c>
      <c r="O684" t="str">
        <f>IF(Klantgegevens_B!N683&lt;&gt;"", Klantgegevens_B!N683, IF(Klantgegevens_A!L683&gt;=7, "ja", "nee"))</f>
        <v>ja</v>
      </c>
      <c r="P684" t="str">
        <f>IF(Klantgegevens_B!O683&lt;&gt;"", Klantgegevens_B!O683, IF(Klantgegevens_A!L683&gt;=7, "ja", "nee"))</f>
        <v>Veganistisch</v>
      </c>
      <c r="Q684">
        <f>IF(Klantgegevens_B!P683&lt;&gt;"", Klantgegevens_B!P683, Klantgegevens_A!M683)</f>
        <v>0</v>
      </c>
      <c r="R684" t="str">
        <f>IF(Klantgegevens_B!A683&lt;&gt;"", "B", "A")</f>
        <v>B</v>
      </c>
    </row>
    <row r="685" spans="1:18" x14ac:dyDescent="0.3">
      <c r="A685" t="str">
        <f>IF(Klantgegevens_B!A684&lt;&gt;"", Klantgegevens_B!A684, MID(Klantgegevens_A!A684, FIND(",", Klantgegevens_A!A684)+2, LEN(Klantgegevens_A!A684)))</f>
        <v>Nicole</v>
      </c>
      <c r="B685" t="str">
        <f>IF(Klantgegevens_B!B684&lt;&gt;"", Klantgegevens_B!B684, LEFT(Klantgegevens_A!A684, FIND(",", Klantgegevens_A!A684)-1))</f>
        <v>Van driessche</v>
      </c>
      <c r="C685" t="str">
        <f t="shared" ca="1" si="10"/>
        <v/>
      </c>
      <c r="D685" t="str">
        <f>IF(Klantgegevens_B!F684&lt;&gt;"", Klantgegevens_B!F684, Klantgegevens_A!D684 &amp; " " &amp; Klantgegevens_A!E684 &amp; ", " &amp; Klantgegevens_A!F684)</f>
        <v>Nicole,Benjamin</v>
      </c>
      <c r="E685">
        <f>IF(Klantgegevens_B!G684&lt;&gt;"", Klantgegevens_B!G684, TEXTJOIN(",", TRUE, REPT("Volwassene,", Klantgegevens_A!G684), REPT("Kind,", Klantgegevens_A!H684)))</f>
        <v>68.92</v>
      </c>
      <c r="F685">
        <f>IF(Klantgegevens_B!G684&lt;&gt;"", LEN(Klantgegevens_B!G684)-LEN(SUBSTITUTE(Klantgegevens_B!G684, ",", ""))+1, Klantgegevens_A!G684)</f>
        <v>1</v>
      </c>
      <c r="G685">
        <f>IF(Klantgegevens_B!G684&lt;&gt;"", 0, Klantgegevens_A!H684)</f>
        <v>0</v>
      </c>
      <c r="H685">
        <f>IF(Klantgegevens_B!H684&lt;&gt;"", Klantgegevens_B!H684, Klantgegevens_A!I684)</f>
        <v>4</v>
      </c>
      <c r="I685" t="str">
        <f>IF(Klantgegevens_B!I684&lt;&gt;"", Klantgegevens_B!I684, SWITCH(Klantgegevens_A!J684, "Zelden", 1, "Af en toe", 4, "Regelmatig", 8, "Vaak", 12))</f>
        <v>Bancontact</v>
      </c>
      <c r="J685" t="str">
        <f>IF(Klantgegevens_B!J684&lt;&gt;"", Klantgegevens_B!J684, Klantgegevens_A!K684)</f>
        <v>ja</v>
      </c>
      <c r="K685">
        <f>IF(Klantgegevens_B!K684&lt;&gt;"", AVERAGE(--(Klantgegevens_B!K684="ja"), --(Klantgegevens_B!L684="ja"), --(Klantgegevens_B!M684="ja"), --(Klantgegevens_B!N684="ja"), --(Klantgegevens_B!O684="ja"))*10, Klantgegevens_A!L684)</f>
        <v>6</v>
      </c>
      <c r="L685" t="str">
        <f>IF(Klantgegevens_B!K684&lt;&gt;"", Klantgegevens_B!K684, IF(Klantgegevens_A!L684&gt;=7, "ja", "nee"))</f>
        <v>ja</v>
      </c>
      <c r="M685" t="str">
        <f>IF(Klantgegevens_B!L684&lt;&gt;"", Klantgegevens_B!L684, IF(Klantgegevens_A!L684&gt;=7, "ja", "nee"))</f>
        <v>ja</v>
      </c>
      <c r="N685" t="str">
        <f>IF(Klantgegevens_B!M684&lt;&gt;"", Klantgegevens_B!M684, IF(Klantgegevens_A!L684&gt;=7, "ja", "nee"))</f>
        <v>ja</v>
      </c>
      <c r="O685" t="str">
        <f>IF(Klantgegevens_B!N684&lt;&gt;"", Klantgegevens_B!N684, IF(Klantgegevens_A!L684&gt;=7, "ja", "nee"))</f>
        <v>nee</v>
      </c>
      <c r="P685" t="str">
        <f>IF(Klantgegevens_B!O684&lt;&gt;"", Klantgegevens_B!O684, IF(Klantgegevens_A!L684&gt;=7, "ja", "nee"))</f>
        <v>Geen dieet</v>
      </c>
      <c r="Q685">
        <f>IF(Klantgegevens_B!P684&lt;&gt;"", Klantgegevens_B!P684, Klantgegevens_A!M684)</f>
        <v>0</v>
      </c>
      <c r="R685" t="str">
        <f>IF(Klantgegevens_B!A684&lt;&gt;"", "B", "A")</f>
        <v>B</v>
      </c>
    </row>
    <row r="686" spans="1:18" x14ac:dyDescent="0.3">
      <c r="A686" t="str">
        <f>IF(Klantgegevens_B!A685&lt;&gt;"", Klantgegevens_B!A685, MID(Klantgegevens_A!A685, FIND(",", Klantgegevens_A!A685)+2, LEN(Klantgegevens_A!A685)))</f>
        <v>Lena</v>
      </c>
      <c r="B686" t="str">
        <f>IF(Klantgegevens_B!B685&lt;&gt;"", Klantgegevens_B!B685, LEFT(Klantgegevens_A!A685, FIND(",", Klantgegevens_A!A685)-1))</f>
        <v>Smits</v>
      </c>
      <c r="C686" t="str">
        <f t="shared" ca="1" si="10"/>
        <v/>
      </c>
      <c r="D686" t="str">
        <f>IF(Klantgegevens_B!F685&lt;&gt;"", Klantgegevens_B!F685, Klantgegevens_A!D685 &amp; " " &amp; Klantgegevens_A!E685 &amp; ", " &amp; Klantgegevens_A!F685)</f>
        <v>Lena,Elisabeth,Samuel,Valentina,Arthur</v>
      </c>
      <c r="E686">
        <f>IF(Klantgegevens_B!G685&lt;&gt;"", Klantgegevens_B!G685, TEXTJOIN(",", TRUE, REPT("Volwassene,", Klantgegevens_A!G685), REPT("Kind,", Klantgegevens_A!H685)))</f>
        <v>145.99</v>
      </c>
      <c r="F686">
        <f>IF(Klantgegevens_B!G685&lt;&gt;"", LEN(Klantgegevens_B!G685)-LEN(SUBSTITUTE(Klantgegevens_B!G685, ",", ""))+1, Klantgegevens_A!G685)</f>
        <v>1</v>
      </c>
      <c r="G686">
        <f>IF(Klantgegevens_B!G685&lt;&gt;"", 0, Klantgegevens_A!H685)</f>
        <v>0</v>
      </c>
      <c r="H686">
        <f>IF(Klantgegevens_B!H685&lt;&gt;"", Klantgegevens_B!H685, Klantgegevens_A!I685)</f>
        <v>16</v>
      </c>
      <c r="I686" t="str">
        <f>IF(Klantgegevens_B!I685&lt;&gt;"", Klantgegevens_B!I685, SWITCH(Klantgegevens_A!J685, "Zelden", 1, "Af en toe", 4, "Regelmatig", 8, "Vaak", 12))</f>
        <v>Payconiq</v>
      </c>
      <c r="J686" t="str">
        <f>IF(Klantgegevens_B!J685&lt;&gt;"", Klantgegevens_B!J685, Klantgegevens_A!K685)</f>
        <v>ja</v>
      </c>
      <c r="K686">
        <f>IF(Klantgegevens_B!K685&lt;&gt;"", AVERAGE(--(Klantgegevens_B!K685="ja"), --(Klantgegevens_B!L685="ja"), --(Klantgegevens_B!M685="ja"), --(Klantgegevens_B!N685="ja"), --(Klantgegevens_B!O685="ja"))*10, Klantgegevens_A!L685)</f>
        <v>8</v>
      </c>
      <c r="L686" t="str">
        <f>IF(Klantgegevens_B!K685&lt;&gt;"", Klantgegevens_B!K685, IF(Klantgegevens_A!L685&gt;=7, "ja", "nee"))</f>
        <v>ja</v>
      </c>
      <c r="M686" t="str">
        <f>IF(Klantgegevens_B!L685&lt;&gt;"", Klantgegevens_B!L685, IF(Klantgegevens_A!L685&gt;=7, "ja", "nee"))</f>
        <v>ja</v>
      </c>
      <c r="N686" t="str">
        <f>IF(Klantgegevens_B!M685&lt;&gt;"", Klantgegevens_B!M685, IF(Klantgegevens_A!L685&gt;=7, "ja", "nee"))</f>
        <v>ja</v>
      </c>
      <c r="O686" t="str">
        <f>IF(Klantgegevens_B!N685&lt;&gt;"", Klantgegevens_B!N685, IF(Klantgegevens_A!L685&gt;=7, "ja", "nee"))</f>
        <v>ja</v>
      </c>
      <c r="P686" t="str">
        <f>IF(Klantgegevens_B!O685&lt;&gt;"", Klantgegevens_B!O685, IF(Klantgegevens_A!L685&gt;=7, "ja", "nee"))</f>
        <v>Geen dieet</v>
      </c>
      <c r="Q686">
        <f>IF(Klantgegevens_B!P685&lt;&gt;"", Klantgegevens_B!P685, Klantgegevens_A!M685)</f>
        <v>0</v>
      </c>
      <c r="R686" t="str">
        <f>IF(Klantgegevens_B!A685&lt;&gt;"", "B", "A")</f>
        <v>B</v>
      </c>
    </row>
    <row r="687" spans="1:18" x14ac:dyDescent="0.3">
      <c r="A687" t="str">
        <f>IF(Klantgegevens_B!A686&lt;&gt;"", Klantgegevens_B!A686, MID(Klantgegevens_A!A686, FIND(",", Klantgegevens_A!A686)+2, LEN(Klantgegevens_A!A686)))</f>
        <v>Sandra</v>
      </c>
      <c r="B687" t="str">
        <f>IF(Klantgegevens_B!B686&lt;&gt;"", Klantgegevens_B!B686, LEFT(Klantgegevens_A!A686, FIND(",", Klantgegevens_A!A686)-1))</f>
        <v>Francois</v>
      </c>
      <c r="C687" t="str">
        <f t="shared" ca="1" si="10"/>
        <v/>
      </c>
      <c r="D687" t="str">
        <f>IF(Klantgegevens_B!F686&lt;&gt;"", Klantgegevens_B!F686, Klantgegevens_A!D686 &amp; " " &amp; Klantgegevens_A!E686 &amp; ", " &amp; Klantgegevens_A!F686)</f>
        <v>Sandra,Bo</v>
      </c>
      <c r="E687">
        <f>IF(Klantgegevens_B!G686&lt;&gt;"", Klantgegevens_B!G686, TEXTJOIN(",", TRUE, REPT("Volwassene,", Klantgegevens_A!G686), REPT("Kind,", Klantgegevens_A!H686)))</f>
        <v>70.3</v>
      </c>
      <c r="F687">
        <f>IF(Klantgegevens_B!G686&lt;&gt;"", LEN(Klantgegevens_B!G686)-LEN(SUBSTITUTE(Klantgegevens_B!G686, ",", ""))+1, Klantgegevens_A!G686)</f>
        <v>1</v>
      </c>
      <c r="G687">
        <f>IF(Klantgegevens_B!G686&lt;&gt;"", 0, Klantgegevens_A!H686)</f>
        <v>0</v>
      </c>
      <c r="H687">
        <f>IF(Klantgegevens_B!H686&lt;&gt;"", Klantgegevens_B!H686, Klantgegevens_A!I686)</f>
        <v>14</v>
      </c>
      <c r="I687" t="str">
        <f>IF(Klantgegevens_B!I686&lt;&gt;"", Klantgegevens_B!I686, SWITCH(Klantgegevens_A!J686, "Zelden", 1, "Af en toe", 4, "Regelmatig", 8, "Vaak", 12))</f>
        <v>Cash</v>
      </c>
      <c r="J687" t="str">
        <f>IF(Klantgegevens_B!J686&lt;&gt;"", Klantgegevens_B!J686, Klantgegevens_A!K686)</f>
        <v>ja</v>
      </c>
      <c r="K687">
        <f>IF(Klantgegevens_B!K686&lt;&gt;"", AVERAGE(--(Klantgegevens_B!K686="ja"), --(Klantgegevens_B!L686="ja"), --(Klantgegevens_B!M686="ja"), --(Klantgegevens_B!N686="ja"), --(Klantgegevens_B!O686="ja"))*10, Klantgegevens_A!L686)</f>
        <v>6</v>
      </c>
      <c r="L687" t="str">
        <f>IF(Klantgegevens_B!K686&lt;&gt;"", Klantgegevens_B!K686, IF(Klantgegevens_A!L686&gt;=7, "ja", "nee"))</f>
        <v>ja</v>
      </c>
      <c r="M687" t="str">
        <f>IF(Klantgegevens_B!L686&lt;&gt;"", Klantgegevens_B!L686, IF(Klantgegevens_A!L686&gt;=7, "ja", "nee"))</f>
        <v>ja</v>
      </c>
      <c r="N687" t="str">
        <f>IF(Klantgegevens_B!M686&lt;&gt;"", Klantgegevens_B!M686, IF(Klantgegevens_A!L686&gt;=7, "ja", "nee"))</f>
        <v>nee</v>
      </c>
      <c r="O687" t="str">
        <f>IF(Klantgegevens_B!N686&lt;&gt;"", Klantgegevens_B!N686, IF(Klantgegevens_A!L686&gt;=7, "ja", "nee"))</f>
        <v>ja</v>
      </c>
      <c r="P687" t="str">
        <f>IF(Klantgegevens_B!O686&lt;&gt;"", Klantgegevens_B!O686, IF(Klantgegevens_A!L686&gt;=7, "ja", "nee"))</f>
        <v>Vegetarisch</v>
      </c>
      <c r="Q687">
        <f>IF(Klantgegevens_B!P686&lt;&gt;"", Klantgegevens_B!P686, Klantgegevens_A!M686)</f>
        <v>0</v>
      </c>
      <c r="R687" t="str">
        <f>IF(Klantgegevens_B!A686&lt;&gt;"", "B", "A")</f>
        <v>B</v>
      </c>
    </row>
    <row r="688" spans="1:18" x14ac:dyDescent="0.3">
      <c r="A688" t="str">
        <f>IF(Klantgegevens_B!A687&lt;&gt;"", Klantgegevens_B!A687, MID(Klantgegevens_A!A687, FIND(",", Klantgegevens_A!A687)+2, LEN(Klantgegevens_A!A687)))</f>
        <v>Yara</v>
      </c>
      <c r="B688" t="str">
        <f>IF(Klantgegevens_B!B687&lt;&gt;"", Klantgegevens_B!B687, LEFT(Klantgegevens_A!A687, FIND(",", Klantgegevens_A!A687)-1))</f>
        <v>Piette</v>
      </c>
      <c r="C688" t="str">
        <f t="shared" ca="1" si="10"/>
        <v/>
      </c>
      <c r="D688" t="str">
        <f>IF(Klantgegevens_B!F687&lt;&gt;"", Klantgegevens_B!F687, Klantgegevens_A!D687 &amp; " " &amp; Klantgegevens_A!E687 &amp; ", " &amp; Klantgegevens_A!F687)</f>
        <v>Yara,Célia</v>
      </c>
      <c r="E688">
        <f>IF(Klantgegevens_B!G687&lt;&gt;"", Klantgegevens_B!G687, TEXTJOIN(",", TRUE, REPT("Volwassene,", Klantgegevens_A!G687), REPT("Kind,", Klantgegevens_A!H687)))</f>
        <v>32.86</v>
      </c>
      <c r="F688">
        <f>IF(Klantgegevens_B!G687&lt;&gt;"", LEN(Klantgegevens_B!G687)-LEN(SUBSTITUTE(Klantgegevens_B!G687, ",", ""))+1, Klantgegevens_A!G687)</f>
        <v>1</v>
      </c>
      <c r="G688">
        <f>IF(Klantgegevens_B!G687&lt;&gt;"", 0, Klantgegevens_A!H687)</f>
        <v>0</v>
      </c>
      <c r="H688">
        <f>IF(Klantgegevens_B!H687&lt;&gt;"", Klantgegevens_B!H687, Klantgegevens_A!I687)</f>
        <v>24</v>
      </c>
      <c r="I688" t="str">
        <f>IF(Klantgegevens_B!I687&lt;&gt;"", Klantgegevens_B!I687, SWITCH(Klantgegevens_A!J687, "Zelden", 1, "Af en toe", 4, "Regelmatig", 8, "Vaak", 12))</f>
        <v>Bancontact</v>
      </c>
      <c r="J688" t="str">
        <f>IF(Klantgegevens_B!J687&lt;&gt;"", Klantgegevens_B!J687, Klantgegevens_A!K687)</f>
        <v>ja</v>
      </c>
      <c r="K688">
        <f>IF(Klantgegevens_B!K687&lt;&gt;"", AVERAGE(--(Klantgegevens_B!K687="ja"), --(Klantgegevens_B!L687="ja"), --(Klantgegevens_B!M687="ja"), --(Klantgegevens_B!N687="ja"), --(Klantgegevens_B!O687="ja"))*10, Klantgegevens_A!L687)</f>
        <v>6</v>
      </c>
      <c r="L688" t="str">
        <f>IF(Klantgegevens_B!K687&lt;&gt;"", Klantgegevens_B!K687, IF(Klantgegevens_A!L687&gt;=7, "ja", "nee"))</f>
        <v>ja</v>
      </c>
      <c r="M688" t="str">
        <f>IF(Klantgegevens_B!L687&lt;&gt;"", Klantgegevens_B!L687, IF(Klantgegevens_A!L687&gt;=7, "ja", "nee"))</f>
        <v>ja</v>
      </c>
      <c r="N688" t="str">
        <f>IF(Klantgegevens_B!M687&lt;&gt;"", Klantgegevens_B!M687, IF(Klantgegevens_A!L687&gt;=7, "ja", "nee"))</f>
        <v>ja</v>
      </c>
      <c r="O688" t="str">
        <f>IF(Klantgegevens_B!N687&lt;&gt;"", Klantgegevens_B!N687, IF(Klantgegevens_A!L687&gt;=7, "ja", "nee"))</f>
        <v>nee</v>
      </c>
      <c r="P688" t="str">
        <f>IF(Klantgegevens_B!O687&lt;&gt;"", Klantgegevens_B!O687, IF(Klantgegevens_A!L687&gt;=7, "ja", "nee"))</f>
        <v>Geen dieet</v>
      </c>
      <c r="Q688">
        <f>IF(Klantgegevens_B!P687&lt;&gt;"", Klantgegevens_B!P687, Klantgegevens_A!M687)</f>
        <v>0</v>
      </c>
      <c r="R688" t="str">
        <f>IF(Klantgegevens_B!A687&lt;&gt;"", "B", "A")</f>
        <v>B</v>
      </c>
    </row>
    <row r="689" spans="1:18" x14ac:dyDescent="0.3">
      <c r="A689" t="str">
        <f>IF(Klantgegevens_B!A688&lt;&gt;"", Klantgegevens_B!A688, MID(Klantgegevens_A!A688, FIND(",", Klantgegevens_A!A688)+2, LEN(Klantgegevens_A!A688)))</f>
        <v>Christiane</v>
      </c>
      <c r="B689" t="str">
        <f>IF(Klantgegevens_B!B688&lt;&gt;"", Klantgegevens_B!B688, LEFT(Klantgegevens_A!A688, FIND(",", Klantgegevens_A!A688)-1))</f>
        <v>Peeters</v>
      </c>
      <c r="C689" t="str">
        <f t="shared" ca="1" si="10"/>
        <v/>
      </c>
      <c r="D689" t="str">
        <f>IF(Klantgegevens_B!F688&lt;&gt;"", Klantgegevens_B!F688, Klantgegevens_A!D688 &amp; " " &amp; Klantgegevens_A!E688 &amp; ", " &amp; Klantgegevens_A!F688)</f>
        <v>Christiane</v>
      </c>
      <c r="E689">
        <f>IF(Klantgegevens_B!G688&lt;&gt;"", Klantgegevens_B!G688, TEXTJOIN(",", TRUE, REPT("Volwassene,", Klantgegevens_A!G688), REPT("Kind,", Klantgegevens_A!H688)))</f>
        <v>62.14</v>
      </c>
      <c r="F689">
        <f>IF(Klantgegevens_B!G688&lt;&gt;"", LEN(Klantgegevens_B!G688)-LEN(SUBSTITUTE(Klantgegevens_B!G688, ",", ""))+1, Klantgegevens_A!G688)</f>
        <v>1</v>
      </c>
      <c r="G689">
        <f>IF(Klantgegevens_B!G688&lt;&gt;"", 0, Klantgegevens_A!H688)</f>
        <v>0</v>
      </c>
      <c r="H689">
        <f>IF(Klantgegevens_B!H688&lt;&gt;"", Klantgegevens_B!H688, Klantgegevens_A!I688)</f>
        <v>6</v>
      </c>
      <c r="I689" t="str">
        <f>IF(Klantgegevens_B!I688&lt;&gt;"", Klantgegevens_B!I688, SWITCH(Klantgegevens_A!J688, "Zelden", 1, "Af en toe", 4, "Regelmatig", 8, "Vaak", 12))</f>
        <v>Cash</v>
      </c>
      <c r="J689" t="str">
        <f>IF(Klantgegevens_B!J688&lt;&gt;"", Klantgegevens_B!J688, Klantgegevens_A!K688)</f>
        <v>ja</v>
      </c>
      <c r="K689">
        <f>IF(Klantgegevens_B!K688&lt;&gt;"", AVERAGE(--(Klantgegevens_B!K688="ja"), --(Klantgegevens_B!L688="ja"), --(Klantgegevens_B!M688="ja"), --(Klantgegevens_B!N688="ja"), --(Klantgegevens_B!O688="ja"))*10, Klantgegevens_A!L688)</f>
        <v>4</v>
      </c>
      <c r="L689" t="str">
        <f>IF(Klantgegevens_B!K688&lt;&gt;"", Klantgegevens_B!K688, IF(Klantgegevens_A!L688&gt;=7, "ja", "nee"))</f>
        <v>nee</v>
      </c>
      <c r="M689" t="str">
        <f>IF(Klantgegevens_B!L688&lt;&gt;"", Klantgegevens_B!L688, IF(Klantgegevens_A!L688&gt;=7, "ja", "nee"))</f>
        <v>ja</v>
      </c>
      <c r="N689" t="str">
        <f>IF(Klantgegevens_B!M688&lt;&gt;"", Klantgegevens_B!M688, IF(Klantgegevens_A!L688&gt;=7, "ja", "nee"))</f>
        <v>ja</v>
      </c>
      <c r="O689" t="str">
        <f>IF(Klantgegevens_B!N688&lt;&gt;"", Klantgegevens_B!N688, IF(Klantgegevens_A!L688&gt;=7, "ja", "nee"))</f>
        <v>nee</v>
      </c>
      <c r="P689" t="str">
        <f>IF(Klantgegevens_B!O688&lt;&gt;"", Klantgegevens_B!O688, IF(Klantgegevens_A!L688&gt;=7, "ja", "nee"))</f>
        <v>Vegetarisch</v>
      </c>
      <c r="Q689">
        <f>IF(Klantgegevens_B!P688&lt;&gt;"", Klantgegevens_B!P688, Klantgegevens_A!M688)</f>
        <v>0</v>
      </c>
      <c r="R689" t="str">
        <f>IF(Klantgegevens_B!A688&lt;&gt;"", "B", "A")</f>
        <v>B</v>
      </c>
    </row>
    <row r="690" spans="1:18" x14ac:dyDescent="0.3">
      <c r="A690" t="str">
        <f>IF(Klantgegevens_B!A689&lt;&gt;"", Klantgegevens_B!A689, MID(Klantgegevens_A!A689, FIND(",", Klantgegevens_A!A689)+2, LEN(Klantgegevens_A!A689)))</f>
        <v>Christelle</v>
      </c>
      <c r="B690" t="str">
        <f>IF(Klantgegevens_B!B689&lt;&gt;"", Klantgegevens_B!B689, LEFT(Klantgegevens_A!A689, FIND(",", Klantgegevens_A!A689)-1))</f>
        <v>Janssens</v>
      </c>
      <c r="C690" t="str">
        <f t="shared" ca="1" si="10"/>
        <v/>
      </c>
      <c r="D690" t="str">
        <f>IF(Klantgegevens_B!F689&lt;&gt;"", Klantgegevens_B!F689, Klantgegevens_A!D689 &amp; " " &amp; Klantgegevens_A!E689 &amp; ", " &amp; Klantgegevens_A!F689)</f>
        <v>Christelle,Laure,Yves</v>
      </c>
      <c r="E690">
        <f>IF(Klantgegevens_B!G689&lt;&gt;"", Klantgegevens_B!G689, TEXTJOIN(",", TRUE, REPT("Volwassene,", Klantgegevens_A!G689), REPT("Kind,", Klantgegevens_A!H689)))</f>
        <v>187.28</v>
      </c>
      <c r="F690">
        <f>IF(Klantgegevens_B!G689&lt;&gt;"", LEN(Klantgegevens_B!G689)-LEN(SUBSTITUTE(Klantgegevens_B!G689, ",", ""))+1, Klantgegevens_A!G689)</f>
        <v>1</v>
      </c>
      <c r="G690">
        <f>IF(Klantgegevens_B!G689&lt;&gt;"", 0, Klantgegevens_A!H689)</f>
        <v>0</v>
      </c>
      <c r="H690">
        <f>IF(Klantgegevens_B!H689&lt;&gt;"", Klantgegevens_B!H689, Klantgegevens_A!I689)</f>
        <v>5</v>
      </c>
      <c r="I690" t="str">
        <f>IF(Klantgegevens_B!I689&lt;&gt;"", Klantgegevens_B!I689, SWITCH(Klantgegevens_A!J689, "Zelden", 1, "Af en toe", 4, "Regelmatig", 8, "Vaak", 12))</f>
        <v>Bancontact</v>
      </c>
      <c r="J690" t="str">
        <f>IF(Klantgegevens_B!J689&lt;&gt;"", Klantgegevens_B!J689, Klantgegevens_A!K689)</f>
        <v>ja</v>
      </c>
      <c r="K690">
        <f>IF(Klantgegevens_B!K689&lt;&gt;"", AVERAGE(--(Klantgegevens_B!K689="ja"), --(Klantgegevens_B!L689="ja"), --(Klantgegevens_B!M689="ja"), --(Klantgegevens_B!N689="ja"), --(Klantgegevens_B!O689="ja"))*10, Klantgegevens_A!L689)</f>
        <v>6</v>
      </c>
      <c r="L690" t="str">
        <f>IF(Klantgegevens_B!K689&lt;&gt;"", Klantgegevens_B!K689, IF(Klantgegevens_A!L689&gt;=7, "ja", "nee"))</f>
        <v>ja</v>
      </c>
      <c r="M690" t="str">
        <f>IF(Klantgegevens_B!L689&lt;&gt;"", Klantgegevens_B!L689, IF(Klantgegevens_A!L689&gt;=7, "ja", "nee"))</f>
        <v>ja</v>
      </c>
      <c r="N690" t="str">
        <f>IF(Klantgegevens_B!M689&lt;&gt;"", Klantgegevens_B!M689, IF(Klantgegevens_A!L689&gt;=7, "ja", "nee"))</f>
        <v>nee</v>
      </c>
      <c r="O690" t="str">
        <f>IF(Klantgegevens_B!N689&lt;&gt;"", Klantgegevens_B!N689, IF(Klantgegevens_A!L689&gt;=7, "ja", "nee"))</f>
        <v>ja</v>
      </c>
      <c r="P690" t="str">
        <f>IF(Klantgegevens_B!O689&lt;&gt;"", Klantgegevens_B!O689, IF(Klantgegevens_A!L689&gt;=7, "ja", "nee"))</f>
        <v>Vegetarisch</v>
      </c>
      <c r="Q690">
        <f>IF(Klantgegevens_B!P689&lt;&gt;"", Klantgegevens_B!P689, Klantgegevens_A!M689)</f>
        <v>0</v>
      </c>
      <c r="R690" t="str">
        <f>IF(Klantgegevens_B!A689&lt;&gt;"", "B", "A")</f>
        <v>B</v>
      </c>
    </row>
    <row r="691" spans="1:18" x14ac:dyDescent="0.3">
      <c r="A691" t="str">
        <f>IF(Klantgegevens_B!A690&lt;&gt;"", Klantgegevens_B!A690, MID(Klantgegevens_A!A690, FIND(",", Klantgegevens_A!A690)+2, LEN(Klantgegevens_A!A690)))</f>
        <v>Evelien</v>
      </c>
      <c r="B691" t="str">
        <f>IF(Klantgegevens_B!B690&lt;&gt;"", Klantgegevens_B!B690, LEFT(Klantgegevens_A!A690, FIND(",", Klantgegevens_A!A690)-1))</f>
        <v>De cock</v>
      </c>
      <c r="C691" t="str">
        <f t="shared" ca="1" si="10"/>
        <v/>
      </c>
      <c r="D691" t="str">
        <f>IF(Klantgegevens_B!F690&lt;&gt;"", Klantgegevens_B!F690, Klantgegevens_A!D690 &amp; " " &amp; Klantgegevens_A!E690 &amp; ", " &amp; Klantgegevens_A!F690)</f>
        <v>Evelien,Leo,Roel</v>
      </c>
      <c r="E691">
        <f>IF(Klantgegevens_B!G690&lt;&gt;"", Klantgegevens_B!G690, TEXTJOIN(",", TRUE, REPT("Volwassene,", Klantgegevens_A!G690), REPT("Kind,", Klantgegevens_A!H690)))</f>
        <v>125.63</v>
      </c>
      <c r="F691">
        <f>IF(Klantgegevens_B!G690&lt;&gt;"", LEN(Klantgegevens_B!G690)-LEN(SUBSTITUTE(Klantgegevens_B!G690, ",", ""))+1, Klantgegevens_A!G690)</f>
        <v>1</v>
      </c>
      <c r="G691">
        <f>IF(Klantgegevens_B!G690&lt;&gt;"", 0, Klantgegevens_A!H690)</f>
        <v>0</v>
      </c>
      <c r="H691">
        <f>IF(Klantgegevens_B!H690&lt;&gt;"", Klantgegevens_B!H690, Klantgegevens_A!I690)</f>
        <v>16</v>
      </c>
      <c r="I691" t="str">
        <f>IF(Klantgegevens_B!I690&lt;&gt;"", Klantgegevens_B!I690, SWITCH(Klantgegevens_A!J690, "Zelden", 1, "Af en toe", 4, "Regelmatig", 8, "Vaak", 12))</f>
        <v>Bancontact</v>
      </c>
      <c r="J691" t="str">
        <f>IF(Klantgegevens_B!J690&lt;&gt;"", Klantgegevens_B!J690, Klantgegevens_A!K690)</f>
        <v>ja</v>
      </c>
      <c r="K691">
        <f>IF(Klantgegevens_B!K690&lt;&gt;"", AVERAGE(--(Klantgegevens_B!K690="ja"), --(Klantgegevens_B!L690="ja"), --(Klantgegevens_B!M690="ja"), --(Klantgegevens_B!N690="ja"), --(Klantgegevens_B!O690="ja"))*10, Klantgegevens_A!L690)</f>
        <v>6</v>
      </c>
      <c r="L691" t="str">
        <f>IF(Klantgegevens_B!K690&lt;&gt;"", Klantgegevens_B!K690, IF(Klantgegevens_A!L690&gt;=7, "ja", "nee"))</f>
        <v>ja</v>
      </c>
      <c r="M691" t="str">
        <f>IF(Klantgegevens_B!L690&lt;&gt;"", Klantgegevens_B!L690, IF(Klantgegevens_A!L690&gt;=7, "ja", "nee"))</f>
        <v>nee</v>
      </c>
      <c r="N691" t="str">
        <f>IF(Klantgegevens_B!M690&lt;&gt;"", Klantgegevens_B!M690, IF(Klantgegevens_A!L690&gt;=7, "ja", "nee"))</f>
        <v>ja</v>
      </c>
      <c r="O691" t="str">
        <f>IF(Klantgegevens_B!N690&lt;&gt;"", Klantgegevens_B!N690, IF(Klantgegevens_A!L690&gt;=7, "ja", "nee"))</f>
        <v>ja</v>
      </c>
      <c r="P691" t="str">
        <f>IF(Klantgegevens_B!O690&lt;&gt;"", Klantgegevens_B!O690, IF(Klantgegevens_A!L690&gt;=7, "ja", "nee"))</f>
        <v>Geen dieet</v>
      </c>
      <c r="Q691">
        <f>IF(Klantgegevens_B!P690&lt;&gt;"", Klantgegevens_B!P690, Klantgegevens_A!M690)</f>
        <v>0</v>
      </c>
      <c r="R691" t="str">
        <f>IF(Klantgegevens_B!A690&lt;&gt;"", "B", "A")</f>
        <v>B</v>
      </c>
    </row>
    <row r="692" spans="1:18" x14ac:dyDescent="0.3">
      <c r="A692" t="str">
        <f>IF(Klantgegevens_B!A691&lt;&gt;"", Klantgegevens_B!A691, MID(Klantgegevens_A!A691, FIND(",", Klantgegevens_A!A691)+2, LEN(Klantgegevens_A!A691)))</f>
        <v>Margareta</v>
      </c>
      <c r="B692" t="str">
        <f>IF(Klantgegevens_B!B691&lt;&gt;"", Klantgegevens_B!B691, LEFT(Klantgegevens_A!A691, FIND(",", Klantgegevens_A!A691)-1))</f>
        <v>Lemmens</v>
      </c>
      <c r="C692" t="str">
        <f t="shared" ca="1" si="10"/>
        <v/>
      </c>
      <c r="D692" t="str">
        <f>IF(Klantgegevens_B!F691&lt;&gt;"", Klantgegevens_B!F691, Klantgegevens_A!D691 &amp; " " &amp; Klantgegevens_A!E691 &amp; ", " &amp; Klantgegevens_A!F691)</f>
        <v>Margareta,Colette,Dieter</v>
      </c>
      <c r="E692">
        <f>IF(Klantgegevens_B!G691&lt;&gt;"", Klantgegevens_B!G691, TEXTJOIN(",", TRUE, REPT("Volwassene,", Klantgegevens_A!G691), REPT("Kind,", Klantgegevens_A!H691)))</f>
        <v>107.91</v>
      </c>
      <c r="F692">
        <f>IF(Klantgegevens_B!G691&lt;&gt;"", LEN(Klantgegevens_B!G691)-LEN(SUBSTITUTE(Klantgegevens_B!G691, ",", ""))+1, Klantgegevens_A!G691)</f>
        <v>1</v>
      </c>
      <c r="G692">
        <f>IF(Klantgegevens_B!G691&lt;&gt;"", 0, Klantgegevens_A!H691)</f>
        <v>0</v>
      </c>
      <c r="H692">
        <f>IF(Klantgegevens_B!H691&lt;&gt;"", Klantgegevens_B!H691, Klantgegevens_A!I691)</f>
        <v>12</v>
      </c>
      <c r="I692" t="str">
        <f>IF(Klantgegevens_B!I691&lt;&gt;"", Klantgegevens_B!I691, SWITCH(Klantgegevens_A!J691, "Zelden", 1, "Af en toe", 4, "Regelmatig", 8, "Vaak", 12))</f>
        <v>Bancontact</v>
      </c>
      <c r="J692" t="str">
        <f>IF(Klantgegevens_B!J691&lt;&gt;"", Klantgegevens_B!J691, Klantgegevens_A!K691)</f>
        <v>ja</v>
      </c>
      <c r="K692">
        <f>IF(Klantgegevens_B!K691&lt;&gt;"", AVERAGE(--(Klantgegevens_B!K691="ja"), --(Klantgegevens_B!L691="ja"), --(Klantgegevens_B!M691="ja"), --(Klantgegevens_B!N691="ja"), --(Klantgegevens_B!O691="ja"))*10, Klantgegevens_A!L691)</f>
        <v>8</v>
      </c>
      <c r="L692" t="str">
        <f>IF(Klantgegevens_B!K691&lt;&gt;"", Klantgegevens_B!K691, IF(Klantgegevens_A!L691&gt;=7, "ja", "nee"))</f>
        <v>ja</v>
      </c>
      <c r="M692" t="str">
        <f>IF(Klantgegevens_B!L691&lt;&gt;"", Klantgegevens_B!L691, IF(Klantgegevens_A!L691&gt;=7, "ja", "nee"))</f>
        <v>ja</v>
      </c>
      <c r="N692" t="str">
        <f>IF(Klantgegevens_B!M691&lt;&gt;"", Klantgegevens_B!M691, IF(Klantgegevens_A!L691&gt;=7, "ja", "nee"))</f>
        <v>ja</v>
      </c>
      <c r="O692" t="str">
        <f>IF(Klantgegevens_B!N691&lt;&gt;"", Klantgegevens_B!N691, IF(Klantgegevens_A!L691&gt;=7, "ja", "nee"))</f>
        <v>ja</v>
      </c>
      <c r="P692" t="str">
        <f>IF(Klantgegevens_B!O691&lt;&gt;"", Klantgegevens_B!O691, IF(Klantgegevens_A!L691&gt;=7, "ja", "nee"))</f>
        <v>Geen dieet</v>
      </c>
      <c r="Q692">
        <f>IF(Klantgegevens_B!P691&lt;&gt;"", Klantgegevens_B!P691, Klantgegevens_A!M691)</f>
        <v>0</v>
      </c>
      <c r="R692" t="str">
        <f>IF(Klantgegevens_B!A691&lt;&gt;"", "B", "A")</f>
        <v>B</v>
      </c>
    </row>
    <row r="693" spans="1:18" x14ac:dyDescent="0.3">
      <c r="A693" t="str">
        <f>IF(Klantgegevens_B!A692&lt;&gt;"", Klantgegevens_B!A692, MID(Klantgegevens_A!A692, FIND(",", Klantgegevens_A!A692)+2, LEN(Klantgegevens_A!A692)))</f>
        <v>Alexander</v>
      </c>
      <c r="B693" t="str">
        <f>IF(Klantgegevens_B!B692&lt;&gt;"", Klantgegevens_B!B692, LEFT(Klantgegevens_A!A692, FIND(",", Klantgegevens_A!A692)-1))</f>
        <v>Cuypers</v>
      </c>
      <c r="C693" t="str">
        <f t="shared" ca="1" si="10"/>
        <v/>
      </c>
      <c r="D693" t="str">
        <f>IF(Klantgegevens_B!F692&lt;&gt;"", Klantgegevens_B!F692, Klantgegevens_A!D692 &amp; " " &amp; Klantgegevens_A!E692 &amp; ", " &amp; Klantgegevens_A!F692)</f>
        <v>Alexander,Jaak,Emmanuel,Christophe</v>
      </c>
      <c r="E693">
        <f>IF(Klantgegevens_B!G692&lt;&gt;"", Klantgegevens_B!G692, TEXTJOIN(",", TRUE, REPT("Volwassene,", Klantgegevens_A!G692), REPT("Kind,", Klantgegevens_A!H692)))</f>
        <v>122.23</v>
      </c>
      <c r="F693">
        <f>IF(Klantgegevens_B!G692&lt;&gt;"", LEN(Klantgegevens_B!G692)-LEN(SUBSTITUTE(Klantgegevens_B!G692, ",", ""))+1, Klantgegevens_A!G692)</f>
        <v>1</v>
      </c>
      <c r="G693">
        <f>IF(Klantgegevens_B!G692&lt;&gt;"", 0, Klantgegevens_A!H692)</f>
        <v>0</v>
      </c>
      <c r="H693">
        <f>IF(Klantgegevens_B!H692&lt;&gt;"", Klantgegevens_B!H692, Klantgegevens_A!I692)</f>
        <v>10</v>
      </c>
      <c r="I693" t="str">
        <f>IF(Klantgegevens_B!I692&lt;&gt;"", Klantgegevens_B!I692, SWITCH(Klantgegevens_A!J692, "Zelden", 1, "Af en toe", 4, "Regelmatig", 8, "Vaak", 12))</f>
        <v>Payconiq</v>
      </c>
      <c r="J693" t="str">
        <f>IF(Klantgegevens_B!J692&lt;&gt;"", Klantgegevens_B!J692, Klantgegevens_A!K692)</f>
        <v>ja</v>
      </c>
      <c r="K693">
        <f>IF(Klantgegevens_B!K692&lt;&gt;"", AVERAGE(--(Klantgegevens_B!K692="ja"), --(Klantgegevens_B!L692="ja"), --(Klantgegevens_B!M692="ja"), --(Klantgegevens_B!N692="ja"), --(Klantgegevens_B!O692="ja"))*10, Klantgegevens_A!L692)</f>
        <v>6</v>
      </c>
      <c r="L693" t="str">
        <f>IF(Klantgegevens_B!K692&lt;&gt;"", Klantgegevens_B!K692, IF(Klantgegevens_A!L692&gt;=7, "ja", "nee"))</f>
        <v>ja</v>
      </c>
      <c r="M693" t="str">
        <f>IF(Klantgegevens_B!L692&lt;&gt;"", Klantgegevens_B!L692, IF(Klantgegevens_A!L692&gt;=7, "ja", "nee"))</f>
        <v>ja</v>
      </c>
      <c r="N693" t="str">
        <f>IF(Klantgegevens_B!M692&lt;&gt;"", Klantgegevens_B!M692, IF(Klantgegevens_A!L692&gt;=7, "ja", "nee"))</f>
        <v>nee</v>
      </c>
      <c r="O693" t="str">
        <f>IF(Klantgegevens_B!N692&lt;&gt;"", Klantgegevens_B!N692, IF(Klantgegevens_A!L692&gt;=7, "ja", "nee"))</f>
        <v>ja</v>
      </c>
      <c r="P693" t="str">
        <f>IF(Klantgegevens_B!O692&lt;&gt;"", Klantgegevens_B!O692, IF(Klantgegevens_A!L692&gt;=7, "ja", "nee"))</f>
        <v>Geen dieet</v>
      </c>
      <c r="Q693">
        <f>IF(Klantgegevens_B!P692&lt;&gt;"", Klantgegevens_B!P692, Klantgegevens_A!M692)</f>
        <v>0</v>
      </c>
      <c r="R693" t="str">
        <f>IF(Klantgegevens_B!A692&lt;&gt;"", "B", "A")</f>
        <v>B</v>
      </c>
    </row>
    <row r="694" spans="1:18" x14ac:dyDescent="0.3">
      <c r="A694" t="str">
        <f>IF(Klantgegevens_B!A693&lt;&gt;"", Klantgegevens_B!A693, MID(Klantgegevens_A!A693, FIND(",", Klantgegevens_A!A693)+2, LEN(Klantgegevens_A!A693)))</f>
        <v>Marty</v>
      </c>
      <c r="B694" t="str">
        <f>IF(Klantgegevens_B!B693&lt;&gt;"", Klantgegevens_B!B693, LEFT(Klantgegevens_A!A693, FIND(",", Klantgegevens_A!A693)-1))</f>
        <v>Blomme</v>
      </c>
      <c r="C694" t="str">
        <f t="shared" ca="1" si="10"/>
        <v/>
      </c>
      <c r="D694" t="str">
        <f>IF(Klantgegevens_B!F693&lt;&gt;"", Klantgegevens_B!F693, Klantgegevens_A!D693 &amp; " " &amp; Klantgegevens_A!E693 &amp; ", " &amp; Klantgegevens_A!F693)</f>
        <v>Marty,Amal,Joelle,Ammar,Odette</v>
      </c>
      <c r="E694">
        <f>IF(Klantgegevens_B!G693&lt;&gt;"", Klantgegevens_B!G693, TEXTJOIN(",", TRUE, REPT("Volwassene,", Klantgegevens_A!G693), REPT("Kind,", Klantgegevens_A!H693)))</f>
        <v>192.95</v>
      </c>
      <c r="F694">
        <f>IF(Klantgegevens_B!G693&lt;&gt;"", LEN(Klantgegevens_B!G693)-LEN(SUBSTITUTE(Klantgegevens_B!G693, ",", ""))+1, Klantgegevens_A!G693)</f>
        <v>1</v>
      </c>
      <c r="G694">
        <f>IF(Klantgegevens_B!G693&lt;&gt;"", 0, Klantgegevens_A!H693)</f>
        <v>0</v>
      </c>
      <c r="H694">
        <f>IF(Klantgegevens_B!H693&lt;&gt;"", Klantgegevens_B!H693, Klantgegevens_A!I693)</f>
        <v>11</v>
      </c>
      <c r="I694" t="str">
        <f>IF(Klantgegevens_B!I693&lt;&gt;"", Klantgegevens_B!I693, SWITCH(Klantgegevens_A!J693, "Zelden", 1, "Af en toe", 4, "Regelmatig", 8, "Vaak", 12))</f>
        <v>Payconiq</v>
      </c>
      <c r="J694" t="str">
        <f>IF(Klantgegevens_B!J693&lt;&gt;"", Klantgegevens_B!J693, Klantgegevens_A!K693)</f>
        <v>nee</v>
      </c>
      <c r="K694">
        <f>IF(Klantgegevens_B!K693&lt;&gt;"", AVERAGE(--(Klantgegevens_B!K693="ja"), --(Klantgegevens_B!L693="ja"), --(Klantgegevens_B!M693="ja"), --(Klantgegevens_B!N693="ja"), --(Klantgegevens_B!O693="ja"))*10, Klantgegevens_A!L693)</f>
        <v>8</v>
      </c>
      <c r="L694" t="str">
        <f>IF(Klantgegevens_B!K693&lt;&gt;"", Klantgegevens_B!K693, IF(Klantgegevens_A!L693&gt;=7, "ja", "nee"))</f>
        <v>ja</v>
      </c>
      <c r="M694" t="str">
        <f>IF(Klantgegevens_B!L693&lt;&gt;"", Klantgegevens_B!L693, IF(Klantgegevens_A!L693&gt;=7, "ja", "nee"))</f>
        <v>ja</v>
      </c>
      <c r="N694" t="str">
        <f>IF(Klantgegevens_B!M693&lt;&gt;"", Klantgegevens_B!M693, IF(Klantgegevens_A!L693&gt;=7, "ja", "nee"))</f>
        <v>ja</v>
      </c>
      <c r="O694" t="str">
        <f>IF(Klantgegevens_B!N693&lt;&gt;"", Klantgegevens_B!N693, IF(Klantgegevens_A!L693&gt;=7, "ja", "nee"))</f>
        <v>ja</v>
      </c>
      <c r="P694" t="str">
        <f>IF(Klantgegevens_B!O693&lt;&gt;"", Klantgegevens_B!O693, IF(Klantgegevens_A!L693&gt;=7, "ja", "nee"))</f>
        <v>Veganistisch</v>
      </c>
      <c r="Q694">
        <f>IF(Klantgegevens_B!P693&lt;&gt;"", Klantgegevens_B!P693, Klantgegevens_A!M693)</f>
        <v>0</v>
      </c>
      <c r="R694" t="str">
        <f>IF(Klantgegevens_B!A693&lt;&gt;"", "B", "A")</f>
        <v>B</v>
      </c>
    </row>
    <row r="695" spans="1:18" x14ac:dyDescent="0.3">
      <c r="A695" t="str">
        <f>IF(Klantgegevens_B!A694&lt;&gt;"", Klantgegevens_B!A694, MID(Klantgegevens_A!A694, FIND(",", Klantgegevens_A!A694)+2, LEN(Klantgegevens_A!A694)))</f>
        <v>Mina</v>
      </c>
      <c r="B695" t="str">
        <f>IF(Klantgegevens_B!B694&lt;&gt;"", Klantgegevens_B!B694, LEFT(Klantgegevens_A!A694, FIND(",", Klantgegevens_A!A694)-1))</f>
        <v>De smet</v>
      </c>
      <c r="C695" t="str">
        <f t="shared" ca="1" si="10"/>
        <v/>
      </c>
      <c r="D695" t="str">
        <f>IF(Klantgegevens_B!F694&lt;&gt;"", Klantgegevens_B!F694, Klantgegevens_A!D694 &amp; " " &amp; Klantgegevens_A!E694 &amp; ", " &amp; Klantgegevens_A!F694)</f>
        <v>Mina,Joel</v>
      </c>
      <c r="E695">
        <f>IF(Klantgegevens_B!G694&lt;&gt;"", Klantgegevens_B!G694, TEXTJOIN(",", TRUE, REPT("Volwassene,", Klantgegevens_A!G694), REPT("Kind,", Klantgegevens_A!H694)))</f>
        <v>41.08</v>
      </c>
      <c r="F695">
        <f>IF(Klantgegevens_B!G694&lt;&gt;"", LEN(Klantgegevens_B!G694)-LEN(SUBSTITUTE(Klantgegevens_B!G694, ",", ""))+1, Klantgegevens_A!G694)</f>
        <v>1</v>
      </c>
      <c r="G695">
        <f>IF(Klantgegevens_B!G694&lt;&gt;"", 0, Klantgegevens_A!H694)</f>
        <v>0</v>
      </c>
      <c r="H695">
        <f>IF(Klantgegevens_B!H694&lt;&gt;"", Klantgegevens_B!H694, Klantgegevens_A!I694)</f>
        <v>8</v>
      </c>
      <c r="I695" t="str">
        <f>IF(Klantgegevens_B!I694&lt;&gt;"", Klantgegevens_B!I694, SWITCH(Klantgegevens_A!J694, "Zelden", 1, "Af en toe", 4, "Regelmatig", 8, "Vaak", 12))</f>
        <v>Bancontact</v>
      </c>
      <c r="J695" t="str">
        <f>IF(Klantgegevens_B!J694&lt;&gt;"", Klantgegevens_B!J694, Klantgegevens_A!K694)</f>
        <v>ja</v>
      </c>
      <c r="K695">
        <f>IF(Klantgegevens_B!K694&lt;&gt;"", AVERAGE(--(Klantgegevens_B!K694="ja"), --(Klantgegevens_B!L694="ja"), --(Klantgegevens_B!M694="ja"), --(Klantgegevens_B!N694="ja"), --(Klantgegevens_B!O694="ja"))*10, Klantgegevens_A!L694)</f>
        <v>6</v>
      </c>
      <c r="L695" t="str">
        <f>IF(Klantgegevens_B!K694&lt;&gt;"", Klantgegevens_B!K694, IF(Klantgegevens_A!L694&gt;=7, "ja", "nee"))</f>
        <v>nee</v>
      </c>
      <c r="M695" t="str">
        <f>IF(Klantgegevens_B!L694&lt;&gt;"", Klantgegevens_B!L694, IF(Klantgegevens_A!L694&gt;=7, "ja", "nee"))</f>
        <v>ja</v>
      </c>
      <c r="N695" t="str">
        <f>IF(Klantgegevens_B!M694&lt;&gt;"", Klantgegevens_B!M694, IF(Klantgegevens_A!L694&gt;=7, "ja", "nee"))</f>
        <v>ja</v>
      </c>
      <c r="O695" t="str">
        <f>IF(Klantgegevens_B!N694&lt;&gt;"", Klantgegevens_B!N694, IF(Klantgegevens_A!L694&gt;=7, "ja", "nee"))</f>
        <v>ja</v>
      </c>
      <c r="P695" t="str">
        <f>IF(Klantgegevens_B!O694&lt;&gt;"", Klantgegevens_B!O694, IF(Klantgegevens_A!L694&gt;=7, "ja", "nee"))</f>
        <v>Geen dieet</v>
      </c>
      <c r="Q695">
        <f>IF(Klantgegevens_B!P694&lt;&gt;"", Klantgegevens_B!P694, Klantgegevens_A!M694)</f>
        <v>0</v>
      </c>
      <c r="R695" t="str">
        <f>IF(Klantgegevens_B!A694&lt;&gt;"", "B", "A")</f>
        <v>B</v>
      </c>
    </row>
    <row r="696" spans="1:18" x14ac:dyDescent="0.3">
      <c r="A696" t="str">
        <f>IF(Klantgegevens_B!A695&lt;&gt;"", Klantgegevens_B!A695, MID(Klantgegevens_A!A695, FIND(",", Klantgegevens_A!A695)+2, LEN(Klantgegevens_A!A695)))</f>
        <v>Lio</v>
      </c>
      <c r="B696" t="str">
        <f>IF(Klantgegevens_B!B695&lt;&gt;"", Klantgegevens_B!B695, LEFT(Klantgegevens_A!A695, FIND(",", Klantgegevens_A!A695)-1))</f>
        <v>De paepe</v>
      </c>
      <c r="C696" t="str">
        <f t="shared" ca="1" si="10"/>
        <v/>
      </c>
      <c r="D696" t="str">
        <f>IF(Klantgegevens_B!F695&lt;&gt;"", Klantgegevens_B!F695, Klantgegevens_A!D695 &amp; " " &amp; Klantgegevens_A!E695 &amp; ", " &amp; Klantgegevens_A!F695)</f>
        <v>Lio</v>
      </c>
      <c r="E696">
        <f>IF(Klantgegevens_B!G695&lt;&gt;"", Klantgegevens_B!G695, TEXTJOIN(",", TRUE, REPT("Volwassene,", Klantgegevens_A!G695), REPT("Kind,", Klantgegevens_A!H695)))</f>
        <v>39.17</v>
      </c>
      <c r="F696">
        <f>IF(Klantgegevens_B!G695&lt;&gt;"", LEN(Klantgegevens_B!G695)-LEN(SUBSTITUTE(Klantgegevens_B!G695, ",", ""))+1, Klantgegevens_A!G695)</f>
        <v>1</v>
      </c>
      <c r="G696">
        <f>IF(Klantgegevens_B!G695&lt;&gt;"", 0, Klantgegevens_A!H695)</f>
        <v>0</v>
      </c>
      <c r="H696">
        <f>IF(Klantgegevens_B!H695&lt;&gt;"", Klantgegevens_B!H695, Klantgegevens_A!I695)</f>
        <v>10</v>
      </c>
      <c r="I696" t="str">
        <f>IF(Klantgegevens_B!I695&lt;&gt;"", Klantgegevens_B!I695, SWITCH(Klantgegevens_A!J695, "Zelden", 1, "Af en toe", 4, "Regelmatig", 8, "Vaak", 12))</f>
        <v>Bancontact</v>
      </c>
      <c r="J696" t="str">
        <f>IF(Klantgegevens_B!J695&lt;&gt;"", Klantgegevens_B!J695, Klantgegevens_A!K695)</f>
        <v>ja</v>
      </c>
      <c r="K696">
        <f>IF(Klantgegevens_B!K695&lt;&gt;"", AVERAGE(--(Klantgegevens_B!K695="ja"), --(Klantgegevens_B!L695="ja"), --(Klantgegevens_B!M695="ja"), --(Klantgegevens_B!N695="ja"), --(Klantgegevens_B!O695="ja"))*10, Klantgegevens_A!L695)</f>
        <v>0</v>
      </c>
      <c r="L696" t="str">
        <f>IF(Klantgegevens_B!K695&lt;&gt;"", Klantgegevens_B!K695, IF(Klantgegevens_A!L695&gt;=7, "ja", "nee"))</f>
        <v>nee</v>
      </c>
      <c r="M696" t="str">
        <f>IF(Klantgegevens_B!L695&lt;&gt;"", Klantgegevens_B!L695, IF(Klantgegevens_A!L695&gt;=7, "ja", "nee"))</f>
        <v>nee</v>
      </c>
      <c r="N696" t="str">
        <f>IF(Klantgegevens_B!M695&lt;&gt;"", Klantgegevens_B!M695, IF(Klantgegevens_A!L695&gt;=7, "ja", "nee"))</f>
        <v>nee</v>
      </c>
      <c r="O696" t="str">
        <f>IF(Klantgegevens_B!N695&lt;&gt;"", Klantgegevens_B!N695, IF(Klantgegevens_A!L695&gt;=7, "ja", "nee"))</f>
        <v>nee</v>
      </c>
      <c r="P696" t="str">
        <f>IF(Klantgegevens_B!O695&lt;&gt;"", Klantgegevens_B!O695, IF(Klantgegevens_A!L695&gt;=7, "ja", "nee"))</f>
        <v>Geen dieet</v>
      </c>
      <c r="Q696">
        <f>IF(Klantgegevens_B!P695&lt;&gt;"", Klantgegevens_B!P695, Klantgegevens_A!M695)</f>
        <v>0</v>
      </c>
      <c r="R696" t="str">
        <f>IF(Klantgegevens_B!A695&lt;&gt;"", "B", "A")</f>
        <v>B</v>
      </c>
    </row>
    <row r="697" spans="1:18" x14ac:dyDescent="0.3">
      <c r="A697" t="str">
        <f>IF(Klantgegevens_B!A696&lt;&gt;"", Klantgegevens_B!A696, MID(Klantgegevens_A!A696, FIND(",", Klantgegevens_A!A696)+2, LEN(Klantgegevens_A!A696)))</f>
        <v>Roos</v>
      </c>
      <c r="B697" t="str">
        <f>IF(Klantgegevens_B!B696&lt;&gt;"", Klantgegevens_B!B696, LEFT(Klantgegevens_A!A696, FIND(",", Klantgegevens_A!A696)-1))</f>
        <v>Cornelis</v>
      </c>
      <c r="C697" t="str">
        <f t="shared" ca="1" si="10"/>
        <v/>
      </c>
      <c r="D697" t="str">
        <f>IF(Klantgegevens_B!F696&lt;&gt;"", Klantgegevens_B!F696, Klantgegevens_A!D696 &amp; " " &amp; Klantgegevens_A!E696 &amp; ", " &amp; Klantgegevens_A!F696)</f>
        <v>Roos,Rita,Mouhamad</v>
      </c>
      <c r="E697">
        <f>IF(Klantgegevens_B!G696&lt;&gt;"", Klantgegevens_B!G696, TEXTJOIN(",", TRUE, REPT("Volwassene,", Klantgegevens_A!G696), REPT("Kind,", Klantgegevens_A!H696)))</f>
        <v>36.64</v>
      </c>
      <c r="F697">
        <f>IF(Klantgegevens_B!G696&lt;&gt;"", LEN(Klantgegevens_B!G696)-LEN(SUBSTITUTE(Klantgegevens_B!G696, ",", ""))+1, Klantgegevens_A!G696)</f>
        <v>1</v>
      </c>
      <c r="G697">
        <f>IF(Klantgegevens_B!G696&lt;&gt;"", 0, Klantgegevens_A!H696)</f>
        <v>0</v>
      </c>
      <c r="H697">
        <f>IF(Klantgegevens_B!H696&lt;&gt;"", Klantgegevens_B!H696, Klantgegevens_A!I696)</f>
        <v>9</v>
      </c>
      <c r="I697" t="str">
        <f>IF(Klantgegevens_B!I696&lt;&gt;"", Klantgegevens_B!I696, SWITCH(Klantgegevens_A!J696, "Zelden", 1, "Af en toe", 4, "Regelmatig", 8, "Vaak", 12))</f>
        <v>Payconiq</v>
      </c>
      <c r="J697" t="str">
        <f>IF(Klantgegevens_B!J696&lt;&gt;"", Klantgegevens_B!J696, Klantgegevens_A!K696)</f>
        <v>nee</v>
      </c>
      <c r="K697">
        <f>IF(Klantgegevens_B!K696&lt;&gt;"", AVERAGE(--(Klantgegevens_B!K696="ja"), --(Klantgegevens_B!L696="ja"), --(Klantgegevens_B!M696="ja"), --(Klantgegevens_B!N696="ja"), --(Klantgegevens_B!O696="ja"))*10, Klantgegevens_A!L696)</f>
        <v>8</v>
      </c>
      <c r="L697" t="str">
        <f>IF(Klantgegevens_B!K696&lt;&gt;"", Klantgegevens_B!K696, IF(Klantgegevens_A!L696&gt;=7, "ja", "nee"))</f>
        <v>ja</v>
      </c>
      <c r="M697" t="str">
        <f>IF(Klantgegevens_B!L696&lt;&gt;"", Klantgegevens_B!L696, IF(Klantgegevens_A!L696&gt;=7, "ja", "nee"))</f>
        <v>ja</v>
      </c>
      <c r="N697" t="str">
        <f>IF(Klantgegevens_B!M696&lt;&gt;"", Klantgegevens_B!M696, IF(Klantgegevens_A!L696&gt;=7, "ja", "nee"))</f>
        <v>ja</v>
      </c>
      <c r="O697" t="str">
        <f>IF(Klantgegevens_B!N696&lt;&gt;"", Klantgegevens_B!N696, IF(Klantgegevens_A!L696&gt;=7, "ja", "nee"))</f>
        <v>ja</v>
      </c>
      <c r="P697" t="str">
        <f>IF(Klantgegevens_B!O696&lt;&gt;"", Klantgegevens_B!O696, IF(Klantgegevens_A!L696&gt;=7, "ja", "nee"))</f>
        <v>Geen dieet</v>
      </c>
      <c r="Q697">
        <f>IF(Klantgegevens_B!P696&lt;&gt;"", Klantgegevens_B!P696, Klantgegevens_A!M696)</f>
        <v>0</v>
      </c>
      <c r="R697" t="str">
        <f>IF(Klantgegevens_B!A696&lt;&gt;"", "B", "A")</f>
        <v>B</v>
      </c>
    </row>
    <row r="698" spans="1:18" x14ac:dyDescent="0.3">
      <c r="A698" t="str">
        <f>IF(Klantgegevens_B!A697&lt;&gt;"", Klantgegevens_B!A697, MID(Klantgegevens_A!A697, FIND(",", Klantgegevens_A!A697)+2, LEN(Klantgegevens_A!A697)))</f>
        <v>Zoë</v>
      </c>
      <c r="B698" t="str">
        <f>IF(Klantgegevens_B!B697&lt;&gt;"", Klantgegevens_B!B697, LEFT(Klantgegevens_A!A697, FIND(",", Klantgegevens_A!A697)-1))</f>
        <v>Gérard</v>
      </c>
      <c r="C698" t="str">
        <f t="shared" ca="1" si="10"/>
        <v/>
      </c>
      <c r="D698" t="str">
        <f>IF(Klantgegevens_B!F697&lt;&gt;"", Klantgegevens_B!F697, Klantgegevens_A!D697 &amp; " " &amp; Klantgegevens_A!E697 &amp; ", " &amp; Klantgegevens_A!F697)</f>
        <v>Zoë</v>
      </c>
      <c r="E698">
        <f>IF(Klantgegevens_B!G697&lt;&gt;"", Klantgegevens_B!G697, TEXTJOIN(",", TRUE, REPT("Volwassene,", Klantgegevens_A!G697), REPT("Kind,", Klantgegevens_A!H697)))</f>
        <v>22.66</v>
      </c>
      <c r="F698">
        <f>IF(Klantgegevens_B!G697&lt;&gt;"", LEN(Klantgegevens_B!G697)-LEN(SUBSTITUTE(Klantgegevens_B!G697, ",", ""))+1, Klantgegevens_A!G697)</f>
        <v>1</v>
      </c>
      <c r="G698">
        <f>IF(Klantgegevens_B!G697&lt;&gt;"", 0, Klantgegevens_A!H697)</f>
        <v>0</v>
      </c>
      <c r="H698">
        <f>IF(Klantgegevens_B!H697&lt;&gt;"", Klantgegevens_B!H697, Klantgegevens_A!I697)</f>
        <v>11</v>
      </c>
      <c r="I698" t="str">
        <f>IF(Klantgegevens_B!I697&lt;&gt;"", Klantgegevens_B!I697, SWITCH(Klantgegevens_A!J697, "Zelden", 1, "Af en toe", 4, "Regelmatig", 8, "Vaak", 12))</f>
        <v>Payconiq</v>
      </c>
      <c r="J698" t="str">
        <f>IF(Klantgegevens_B!J697&lt;&gt;"", Klantgegevens_B!J697, Klantgegevens_A!K697)</f>
        <v>ja</v>
      </c>
      <c r="K698">
        <f>IF(Klantgegevens_B!K697&lt;&gt;"", AVERAGE(--(Klantgegevens_B!K697="ja"), --(Klantgegevens_B!L697="ja"), --(Klantgegevens_B!M697="ja"), --(Klantgegevens_B!N697="ja"), --(Klantgegevens_B!O697="ja"))*10, Klantgegevens_A!L697)</f>
        <v>6</v>
      </c>
      <c r="L698" t="str">
        <f>IF(Klantgegevens_B!K697&lt;&gt;"", Klantgegevens_B!K697, IF(Klantgegevens_A!L697&gt;=7, "ja", "nee"))</f>
        <v>ja</v>
      </c>
      <c r="M698" t="str">
        <f>IF(Klantgegevens_B!L697&lt;&gt;"", Klantgegevens_B!L697, IF(Klantgegevens_A!L697&gt;=7, "ja", "nee"))</f>
        <v>ja</v>
      </c>
      <c r="N698" t="str">
        <f>IF(Klantgegevens_B!M697&lt;&gt;"", Klantgegevens_B!M697, IF(Klantgegevens_A!L697&gt;=7, "ja", "nee"))</f>
        <v>ja</v>
      </c>
      <c r="O698" t="str">
        <f>IF(Klantgegevens_B!N697&lt;&gt;"", Klantgegevens_B!N697, IF(Klantgegevens_A!L697&gt;=7, "ja", "nee"))</f>
        <v>nee</v>
      </c>
      <c r="P698" t="str">
        <f>IF(Klantgegevens_B!O697&lt;&gt;"", Klantgegevens_B!O697, IF(Klantgegevens_A!L697&gt;=7, "ja", "nee"))</f>
        <v>Geen dieet</v>
      </c>
      <c r="Q698">
        <f>IF(Klantgegevens_B!P697&lt;&gt;"", Klantgegevens_B!P697, Klantgegevens_A!M697)</f>
        <v>0</v>
      </c>
      <c r="R698" t="str">
        <f>IF(Klantgegevens_B!A697&lt;&gt;"", "B", "A")</f>
        <v>B</v>
      </c>
    </row>
    <row r="699" spans="1:18" x14ac:dyDescent="0.3">
      <c r="A699" t="str">
        <f>IF(Klantgegevens_B!A698&lt;&gt;"", Klantgegevens_B!A698, MID(Klantgegevens_A!A698, FIND(",", Klantgegevens_A!A698)+2, LEN(Klantgegevens_A!A698)))</f>
        <v>Lieven</v>
      </c>
      <c r="B699" t="str">
        <f>IF(Klantgegevens_B!B698&lt;&gt;"", Klantgegevens_B!B698, LEFT(Klantgegevens_A!A698, FIND(",", Klantgegevens_A!A698)-1))</f>
        <v>Goossens</v>
      </c>
      <c r="C699" t="str">
        <f t="shared" ca="1" si="10"/>
        <v/>
      </c>
      <c r="D699" t="str">
        <f>IF(Klantgegevens_B!F698&lt;&gt;"", Klantgegevens_B!F698, Klantgegevens_A!D698 &amp; " " &amp; Klantgegevens_A!E698 &amp; ", " &amp; Klantgegevens_A!F698)</f>
        <v>Lieven,Patrick,Sofie,Youri</v>
      </c>
      <c r="E699">
        <f>IF(Klantgegevens_B!G698&lt;&gt;"", Klantgegevens_B!G698, TEXTJOIN(",", TRUE, REPT("Volwassene,", Klantgegevens_A!G698), REPT("Kind,", Klantgegevens_A!H698)))</f>
        <v>116.21</v>
      </c>
      <c r="F699">
        <f>IF(Klantgegevens_B!G698&lt;&gt;"", LEN(Klantgegevens_B!G698)-LEN(SUBSTITUTE(Klantgegevens_B!G698, ",", ""))+1, Klantgegevens_A!G698)</f>
        <v>1</v>
      </c>
      <c r="G699">
        <f>IF(Klantgegevens_B!G698&lt;&gt;"", 0, Klantgegevens_A!H698)</f>
        <v>0</v>
      </c>
      <c r="H699">
        <f>IF(Klantgegevens_B!H698&lt;&gt;"", Klantgegevens_B!H698, Klantgegevens_A!I698)</f>
        <v>10</v>
      </c>
      <c r="I699" t="str">
        <f>IF(Klantgegevens_B!I698&lt;&gt;"", Klantgegevens_B!I698, SWITCH(Klantgegevens_A!J698, "Zelden", 1, "Af en toe", 4, "Regelmatig", 8, "Vaak", 12))</f>
        <v>Cash</v>
      </c>
      <c r="J699" t="str">
        <f>IF(Klantgegevens_B!J698&lt;&gt;"", Klantgegevens_B!J698, Klantgegevens_A!K698)</f>
        <v>ja</v>
      </c>
      <c r="K699">
        <f>IF(Klantgegevens_B!K698&lt;&gt;"", AVERAGE(--(Klantgegevens_B!K698="ja"), --(Klantgegevens_B!L698="ja"), --(Klantgegevens_B!M698="ja"), --(Klantgegevens_B!N698="ja"), --(Klantgegevens_B!O698="ja"))*10, Klantgegevens_A!L698)</f>
        <v>6</v>
      </c>
      <c r="L699" t="str">
        <f>IF(Klantgegevens_B!K698&lt;&gt;"", Klantgegevens_B!K698, IF(Klantgegevens_A!L698&gt;=7, "ja", "nee"))</f>
        <v>ja</v>
      </c>
      <c r="M699" t="str">
        <f>IF(Klantgegevens_B!L698&lt;&gt;"", Klantgegevens_B!L698, IF(Klantgegevens_A!L698&gt;=7, "ja", "nee"))</f>
        <v>ja</v>
      </c>
      <c r="N699" t="str">
        <f>IF(Klantgegevens_B!M698&lt;&gt;"", Klantgegevens_B!M698, IF(Klantgegevens_A!L698&gt;=7, "ja", "nee"))</f>
        <v>ja</v>
      </c>
      <c r="O699" t="str">
        <f>IF(Klantgegevens_B!N698&lt;&gt;"", Klantgegevens_B!N698, IF(Klantgegevens_A!L698&gt;=7, "ja", "nee"))</f>
        <v>nee</v>
      </c>
      <c r="P699" t="str">
        <f>IF(Klantgegevens_B!O698&lt;&gt;"", Klantgegevens_B!O698, IF(Klantgegevens_A!L698&gt;=7, "ja", "nee"))</f>
        <v>Geen dieet</v>
      </c>
      <c r="Q699">
        <f>IF(Klantgegevens_B!P698&lt;&gt;"", Klantgegevens_B!P698, Klantgegevens_A!M698)</f>
        <v>0</v>
      </c>
      <c r="R699" t="str">
        <f>IF(Klantgegevens_B!A698&lt;&gt;"", "B", "A")</f>
        <v>B</v>
      </c>
    </row>
    <row r="700" spans="1:18" x14ac:dyDescent="0.3">
      <c r="A700" t="str">
        <f>IF(Klantgegevens_B!A699&lt;&gt;"", Klantgegevens_B!A699, MID(Klantgegevens_A!A699, FIND(",", Klantgegevens_A!A699)+2, LEN(Klantgegevens_A!A699)))</f>
        <v>Luc</v>
      </c>
      <c r="B700" t="str">
        <f>IF(Klantgegevens_B!B699&lt;&gt;"", Klantgegevens_B!B699, LEFT(Klantgegevens_A!A699, FIND(",", Klantgegevens_A!A699)-1))</f>
        <v>Adam</v>
      </c>
      <c r="C700" t="str">
        <f t="shared" ca="1" si="10"/>
        <v/>
      </c>
      <c r="D700" t="str">
        <f>IF(Klantgegevens_B!F699&lt;&gt;"", Klantgegevens_B!F699, Klantgegevens_A!D699 &amp; " " &amp; Klantgegevens_A!E699 &amp; ", " &amp; Klantgegevens_A!F699)</f>
        <v>Luc,Larissa,Sylvie,Jozef</v>
      </c>
      <c r="E700">
        <f>IF(Klantgegevens_B!G699&lt;&gt;"", Klantgegevens_B!G699, TEXTJOIN(",", TRUE, REPT("Volwassene,", Klantgegevens_A!G699), REPT("Kind,", Klantgegevens_A!H699)))</f>
        <v>162.25</v>
      </c>
      <c r="F700">
        <f>IF(Klantgegevens_B!G699&lt;&gt;"", LEN(Klantgegevens_B!G699)-LEN(SUBSTITUTE(Klantgegevens_B!G699, ",", ""))+1, Klantgegevens_A!G699)</f>
        <v>1</v>
      </c>
      <c r="G700">
        <f>IF(Klantgegevens_B!G699&lt;&gt;"", 0, Klantgegevens_A!H699)</f>
        <v>0</v>
      </c>
      <c r="H700">
        <f>IF(Klantgegevens_B!H699&lt;&gt;"", Klantgegevens_B!H699, Klantgegevens_A!I699)</f>
        <v>19</v>
      </c>
      <c r="I700" t="str">
        <f>IF(Klantgegevens_B!I699&lt;&gt;"", Klantgegevens_B!I699, SWITCH(Klantgegevens_A!J699, "Zelden", 1, "Af en toe", 4, "Regelmatig", 8, "Vaak", 12))</f>
        <v>Payconiq</v>
      </c>
      <c r="J700" t="str">
        <f>IF(Klantgegevens_B!J699&lt;&gt;"", Klantgegevens_B!J699, Klantgegevens_A!K699)</f>
        <v>ja</v>
      </c>
      <c r="K700">
        <f>IF(Klantgegevens_B!K699&lt;&gt;"", AVERAGE(--(Klantgegevens_B!K699="ja"), --(Klantgegevens_B!L699="ja"), --(Klantgegevens_B!M699="ja"), --(Klantgegevens_B!N699="ja"), --(Klantgegevens_B!O699="ja"))*10, Klantgegevens_A!L699)</f>
        <v>6</v>
      </c>
      <c r="L700" t="str">
        <f>IF(Klantgegevens_B!K699&lt;&gt;"", Klantgegevens_B!K699, IF(Klantgegevens_A!L699&gt;=7, "ja", "nee"))</f>
        <v>ja</v>
      </c>
      <c r="M700" t="str">
        <f>IF(Klantgegevens_B!L699&lt;&gt;"", Klantgegevens_B!L699, IF(Klantgegevens_A!L699&gt;=7, "ja", "nee"))</f>
        <v>nee</v>
      </c>
      <c r="N700" t="str">
        <f>IF(Klantgegevens_B!M699&lt;&gt;"", Klantgegevens_B!M699, IF(Klantgegevens_A!L699&gt;=7, "ja", "nee"))</f>
        <v>ja</v>
      </c>
      <c r="O700" t="str">
        <f>IF(Klantgegevens_B!N699&lt;&gt;"", Klantgegevens_B!N699, IF(Klantgegevens_A!L699&gt;=7, "ja", "nee"))</f>
        <v>ja</v>
      </c>
      <c r="P700" t="str">
        <f>IF(Klantgegevens_B!O699&lt;&gt;"", Klantgegevens_B!O699, IF(Klantgegevens_A!L699&gt;=7, "ja", "nee"))</f>
        <v>Veganistisch</v>
      </c>
      <c r="Q700">
        <f>IF(Klantgegevens_B!P699&lt;&gt;"", Klantgegevens_B!P699, Klantgegevens_A!M699)</f>
        <v>0</v>
      </c>
      <c r="R700" t="str">
        <f>IF(Klantgegevens_B!A699&lt;&gt;"", "B", "A")</f>
        <v>B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4929</v>
      </c>
    </row>
    <row r="2" spans="1:1" x14ac:dyDescent="0.3">
      <c r="A2" t="s">
        <v>4930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4.4" x14ac:dyDescent="0.3"/>
  <sheetData>
    <row r="1" spans="1:4" x14ac:dyDescent="0.3">
      <c r="A1" t="s">
        <v>15</v>
      </c>
      <c r="B1" t="s">
        <v>4931</v>
      </c>
      <c r="C1" t="s">
        <v>4932</v>
      </c>
      <c r="D1" t="s">
        <v>4933</v>
      </c>
    </row>
    <row r="2" spans="1:4" x14ac:dyDescent="0.3">
      <c r="A2" t="s">
        <v>21</v>
      </c>
      <c r="B2">
        <v>6.5</v>
      </c>
      <c r="C2">
        <v>180</v>
      </c>
      <c r="D2">
        <v>25</v>
      </c>
    </row>
    <row r="3" spans="1:4" x14ac:dyDescent="0.3">
      <c r="A3" t="s">
        <v>28</v>
      </c>
      <c r="B3">
        <v>7.2</v>
      </c>
      <c r="C3">
        <v>320</v>
      </c>
      <c r="D3">
        <v>40</v>
      </c>
    </row>
    <row r="4" spans="1:4" x14ac:dyDescent="0.3">
      <c r="A4" t="s">
        <v>4934</v>
      </c>
      <c r="B4">
        <v>7.8</v>
      </c>
      <c r="C4">
        <v>550</v>
      </c>
      <c r="D4">
        <v>65</v>
      </c>
    </row>
    <row r="5" spans="1:4" x14ac:dyDescent="0.3">
      <c r="A5" t="s">
        <v>52</v>
      </c>
      <c r="B5">
        <v>8.1</v>
      </c>
      <c r="C5">
        <v>710</v>
      </c>
      <c r="D5">
        <v>80</v>
      </c>
    </row>
    <row r="7" spans="1:4" x14ac:dyDescent="0.3">
      <c r="A7" t="s">
        <v>4935</v>
      </c>
    </row>
    <row r="8" spans="1:4" x14ac:dyDescent="0.3">
      <c r="A8" t="s">
        <v>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Klantgegevens_A</vt:lpstr>
      <vt:lpstr>Klantgegevens_B</vt:lpstr>
      <vt:lpstr>Merged_With_Formulas</vt:lpstr>
      <vt:lpstr>Analysis_Pivot</vt:lpstr>
      <vt:lpstr>Pivot_Analysis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NM TRADERS</cp:lastModifiedBy>
  <dcterms:created xsi:type="dcterms:W3CDTF">2025-04-20T22:27:48Z</dcterms:created>
  <dcterms:modified xsi:type="dcterms:W3CDTF">2025-04-21T21:24:55Z</dcterms:modified>
</cp:coreProperties>
</file>