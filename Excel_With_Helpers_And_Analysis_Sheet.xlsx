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lantgegevens_A" sheetId="1" state="visible" r:id="rId1"/>
    <sheet xmlns:r="http://schemas.openxmlformats.org/officeDocument/2006/relationships" name="Klantgegevens_B" sheetId="2" state="visible" r:id="rId2"/>
    <sheet xmlns:r="http://schemas.openxmlformats.org/officeDocument/2006/relationships" name="Merged_With_Formulas" sheetId="3" state="visible" r:id="rId3"/>
    <sheet xmlns:r="http://schemas.openxmlformats.org/officeDocument/2006/relationships" name="Analysis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Naam</t>
        </is>
      </c>
      <c r="B1" s="1" t="inlineStr">
        <is>
          <t>Klantnummer</t>
        </is>
      </c>
      <c r="C1" s="1" t="inlineStr">
        <is>
          <t>Geboortedatum</t>
        </is>
      </c>
      <c r="D1" s="1" t="inlineStr">
        <is>
          <t>Straat</t>
        </is>
      </c>
      <c r="E1" s="1" t="inlineStr">
        <is>
          <t>Nummer</t>
        </is>
      </c>
      <c r="F1" s="1" t="inlineStr">
        <is>
          <t>gemeente</t>
        </is>
      </c>
      <c r="G1" s="1" t="inlineStr">
        <is>
          <t>Aantal_volwassenen_in_gezin</t>
        </is>
      </c>
      <c r="H1" s="1" t="inlineStr">
        <is>
          <t>Aantal_kinderen_in_gezin</t>
        </is>
      </c>
      <c r="I1" s="1" t="inlineStr">
        <is>
          <t>Totale_wekelijkse_uitgaven</t>
        </is>
      </c>
      <c r="J1" s="1" t="inlineStr">
        <is>
          <t>Bezoekfrequentie</t>
        </is>
      </c>
      <c r="K1" s="1" t="inlineStr">
        <is>
          <t>Betaalwijze</t>
        </is>
      </c>
      <c r="L1" s="1" t="inlineStr">
        <is>
          <t>Tevredenheid</t>
        </is>
      </c>
      <c r="M1" s="1" t="inlineStr">
        <is>
          <t>Dieet</t>
        </is>
      </c>
      <c r="N1" t="inlineStr">
        <is>
          <t>Achternaam</t>
        </is>
      </c>
      <c r="O1" t="inlineStr">
        <is>
          <t>Voornaam</t>
        </is>
      </c>
      <c r="P1" t="inlineStr">
        <is>
          <t>Bezoeken per maand</t>
        </is>
      </c>
      <c r="Q1" t="inlineStr">
        <is>
          <t>Tevredenheidsniveau</t>
        </is>
      </c>
    </row>
    <row r="2">
      <c r="A2" t="inlineStr">
        <is>
          <t>Verhelst, Francis</t>
        </is>
      </c>
      <c r="B2" t="n">
        <v>2715381943</v>
      </c>
      <c r="C2" t="inlineStr">
        <is>
          <t>28/04/1975</t>
        </is>
      </c>
      <c r="D2" t="inlineStr">
        <is>
          <t>Waterstraat</t>
        </is>
      </c>
      <c r="E2" t="n">
        <v>57</v>
      </c>
      <c r="F2" t="inlineStr">
        <is>
          <t>Diepenbeek</t>
        </is>
      </c>
      <c r="G2" t="n">
        <v>2</v>
      </c>
      <c r="H2" t="n">
        <v>1</v>
      </c>
      <c r="I2" t="n">
        <v>86.62</v>
      </c>
      <c r="J2" t="inlineStr">
        <is>
          <t>Zelden</t>
        </is>
      </c>
      <c r="K2" t="inlineStr">
        <is>
          <t>Payconiq</t>
        </is>
      </c>
      <c r="L2" t="n">
        <v>7.31</v>
      </c>
      <c r="M2" t="inlineStr">
        <is>
          <t>Geen dieet</t>
        </is>
      </c>
      <c r="N2">
        <f>LEFT(A2, FIND(",", A2)-1)</f>
        <v/>
      </c>
      <c r="O2">
        <f>MID(A2, FIND(",", A2)+2, LEN(A2))</f>
        <v/>
      </c>
      <c r="P2">
        <f>SWITCH(J2, "Zelden", 1, "Af en toe", 4, "Regelmatig", 8, "Vaak", 12)</f>
        <v/>
      </c>
      <c r="Q2">
        <f>IF(L2&gt;=7, "Tevreden", "Ontevreden")</f>
        <v/>
      </c>
    </row>
    <row r="3">
      <c r="A3" t="inlineStr">
        <is>
          <t>De laet, Ona</t>
        </is>
      </c>
      <c r="B3" t="n">
        <v>5412368555</v>
      </c>
      <c r="C3" t="inlineStr">
        <is>
          <t>07/05/1984</t>
        </is>
      </c>
      <c r="D3" t="inlineStr">
        <is>
          <t>Sint-jozefstraat</t>
        </is>
      </c>
      <c r="E3" t="n">
        <v>92</v>
      </c>
      <c r="F3" t="inlineStr">
        <is>
          <t>Genk</t>
        </is>
      </c>
      <c r="G3" t="n">
        <v>2</v>
      </c>
      <c r="H3" t="n">
        <v>2</v>
      </c>
      <c r="I3" t="n">
        <v>172.58</v>
      </c>
      <c r="J3" t="inlineStr">
        <is>
          <t>Af en toe</t>
        </is>
      </c>
      <c r="K3" t="inlineStr">
        <is>
          <t>Bancontact</t>
        </is>
      </c>
      <c r="L3" t="n">
        <v>6.95</v>
      </c>
      <c r="M3" t="inlineStr">
        <is>
          <t>Geen dieet</t>
        </is>
      </c>
      <c r="N3">
        <f>LEFT(A3, FIND(",", A3)-1)</f>
        <v/>
      </c>
      <c r="O3">
        <f>MID(A3, FIND(",", A3)+2, LEN(A3))</f>
        <v/>
      </c>
      <c r="P3">
        <f>SWITCH(J3, "Zelden", 1, "Af en toe", 4, "Regelmatig", 8, "Vaak", 12)</f>
        <v/>
      </c>
      <c r="Q3">
        <f>IF(L3&gt;=7, "Tevreden", "Ontevreden")</f>
        <v/>
      </c>
    </row>
    <row r="4">
      <c r="A4" t="inlineStr">
        <is>
          <t>Buelens, Dominique</t>
        </is>
      </c>
      <c r="B4" t="n">
        <v>3807023629</v>
      </c>
      <c r="C4" t="inlineStr">
        <is>
          <t>21/01/1957</t>
        </is>
      </c>
      <c r="D4" t="inlineStr">
        <is>
          <t>Onderbergen</t>
        </is>
      </c>
      <c r="E4" t="n">
        <v>50</v>
      </c>
      <c r="F4" t="inlineStr">
        <is>
          <t>Herten</t>
        </is>
      </c>
      <c r="G4" t="n">
        <v>2</v>
      </c>
      <c r="H4" t="n">
        <v>0</v>
      </c>
      <c r="I4" t="n">
        <v>70.93000000000001</v>
      </c>
      <c r="J4" t="inlineStr">
        <is>
          <t>Af en toe</t>
        </is>
      </c>
      <c r="K4" t="inlineStr">
        <is>
          <t>Bancontact</t>
        </is>
      </c>
      <c r="L4" t="n">
        <v>8.699999999999999</v>
      </c>
      <c r="M4" t="inlineStr">
        <is>
          <t>Vegetarisch</t>
        </is>
      </c>
      <c r="N4">
        <f>LEFT(A4, FIND(",", A4)-1)</f>
        <v/>
      </c>
      <c r="O4">
        <f>MID(A4, FIND(",", A4)+2, LEN(A4))</f>
        <v/>
      </c>
      <c r="P4">
        <f>SWITCH(J4, "Zelden", 1, "Af en toe", 4, "Regelmatig", 8, "Vaak", 12)</f>
        <v/>
      </c>
      <c r="Q4">
        <f>IF(L4&gt;=7, "Tevreden", "Ontevreden")</f>
        <v/>
      </c>
    </row>
    <row r="5">
      <c r="A5" t="inlineStr">
        <is>
          <t>Dierickx, Mario</t>
        </is>
      </c>
      <c r="B5" t="n">
        <v>4478013249</v>
      </c>
      <c r="C5" t="inlineStr">
        <is>
          <t>06/01/1962</t>
        </is>
      </c>
      <c r="D5" t="inlineStr">
        <is>
          <t>Zieklien</t>
        </is>
      </c>
      <c r="E5" t="n">
        <v>42</v>
      </c>
      <c r="F5" t="inlineStr">
        <is>
          <t>Gingelom</t>
        </is>
      </c>
      <c r="G5" t="n">
        <v>5</v>
      </c>
      <c r="H5" t="n">
        <v>0</v>
      </c>
      <c r="I5" t="n">
        <v>173.04</v>
      </c>
      <c r="J5" t="inlineStr">
        <is>
          <t>Zelden</t>
        </is>
      </c>
      <c r="K5" t="inlineStr">
        <is>
          <t>Payconiq</t>
        </is>
      </c>
      <c r="L5" t="n">
        <v>6.91</v>
      </c>
      <c r="M5" t="inlineStr">
        <is>
          <t>Geen dieet</t>
        </is>
      </c>
      <c r="N5">
        <f>LEFT(A5, FIND(",", A5)-1)</f>
        <v/>
      </c>
      <c r="O5">
        <f>MID(A5, FIND(",", A5)+2, LEN(A5))</f>
        <v/>
      </c>
      <c r="P5">
        <f>SWITCH(J5, "Zelden", 1, "Af en toe", 4, "Regelmatig", 8, "Vaak", 12)</f>
        <v/>
      </c>
      <c r="Q5">
        <f>IF(L5&gt;=7, "Tevreden", "Ontevreden")</f>
        <v/>
      </c>
    </row>
    <row r="6">
      <c r="A6" t="inlineStr">
        <is>
          <t>Wellens, Anna</t>
        </is>
      </c>
      <c r="B6" t="n">
        <v>6113079810</v>
      </c>
      <c r="C6" t="inlineStr">
        <is>
          <t>05/12/1983</t>
        </is>
      </c>
      <c r="D6" t="inlineStr">
        <is>
          <t>Stropkaai</t>
        </is>
      </c>
      <c r="E6" t="n">
        <v>37</v>
      </c>
      <c r="F6" t="inlineStr">
        <is>
          <t>Lanaken</t>
        </is>
      </c>
      <c r="G6" t="n">
        <v>2</v>
      </c>
      <c r="H6" t="n">
        <v>0</v>
      </c>
      <c r="I6" t="n">
        <v>45.85</v>
      </c>
      <c r="J6" t="inlineStr">
        <is>
          <t>Af en toe</t>
        </is>
      </c>
      <c r="K6" t="inlineStr">
        <is>
          <t>Bancontact</t>
        </is>
      </c>
      <c r="L6" t="n">
        <v>7.3</v>
      </c>
      <c r="M6" t="inlineStr">
        <is>
          <t>Geen dieet</t>
        </is>
      </c>
      <c r="N6">
        <f>LEFT(A6, FIND(",", A6)-1)</f>
        <v/>
      </c>
      <c r="O6">
        <f>MID(A6, FIND(",", A6)+2, LEN(A6))</f>
        <v/>
      </c>
      <c r="P6">
        <f>SWITCH(J6, "Zelden", 1, "Af en toe", 4, "Regelmatig", 8, "Vaak", 12)</f>
        <v/>
      </c>
      <c r="Q6">
        <f>IF(L6&gt;=7, "Tevreden", "Ontevreden")</f>
        <v/>
      </c>
    </row>
    <row r="7">
      <c r="A7" t="inlineStr">
        <is>
          <t>Van de walle, Guido</t>
        </is>
      </c>
      <c r="B7" t="n">
        <v>7724386364</v>
      </c>
      <c r="C7" t="inlineStr">
        <is>
          <t>30/10/1985</t>
        </is>
      </c>
      <c r="D7" t="inlineStr">
        <is>
          <t>Vlasmarkt</t>
        </is>
      </c>
      <c r="E7" t="n">
        <v>68</v>
      </c>
      <c r="F7" t="inlineStr">
        <is>
          <t>Bilzen</t>
        </is>
      </c>
      <c r="G7" t="n">
        <v>2</v>
      </c>
      <c r="H7" t="n">
        <v>4</v>
      </c>
      <c r="I7" t="n">
        <v>220.16</v>
      </c>
      <c r="J7" t="inlineStr">
        <is>
          <t>Dagelijks</t>
        </is>
      </c>
      <c r="K7" t="inlineStr">
        <is>
          <t>Payconiq</t>
        </is>
      </c>
      <c r="L7" t="n">
        <v>6.3</v>
      </c>
      <c r="M7" t="inlineStr">
        <is>
          <t>Geen dieet</t>
        </is>
      </c>
      <c r="N7">
        <f>LEFT(A7, FIND(",", A7)-1)</f>
        <v/>
      </c>
      <c r="O7">
        <f>MID(A7, FIND(",", A7)+2, LEN(A7))</f>
        <v/>
      </c>
      <c r="P7">
        <f>SWITCH(J7, "Zelden", 1, "Af en toe", 4, "Regelmatig", 8, "Vaak", 12)</f>
        <v/>
      </c>
      <c r="Q7">
        <f>IF(L7&gt;=7, "Tevreden", "Ontevreden")</f>
        <v/>
      </c>
    </row>
    <row r="8">
      <c r="A8" t="inlineStr">
        <is>
          <t>Peeters, Frank</t>
        </is>
      </c>
      <c r="B8" t="n">
        <v>6652637488</v>
      </c>
      <c r="C8" t="inlineStr">
        <is>
          <t>24/08/1949</t>
        </is>
      </c>
      <c r="D8" t="inlineStr">
        <is>
          <t>Goedlevenstraat</t>
        </is>
      </c>
      <c r="E8" t="n">
        <v>47</v>
      </c>
      <c r="F8" t="inlineStr">
        <is>
          <t>Sint-Truiden</t>
        </is>
      </c>
      <c r="G8" t="n">
        <v>1</v>
      </c>
      <c r="H8" t="n">
        <v>0</v>
      </c>
      <c r="I8" t="n">
        <v>20.47</v>
      </c>
      <c r="J8" t="inlineStr">
        <is>
          <t>Vaak</t>
        </is>
      </c>
      <c r="K8" t="inlineStr">
        <is>
          <t>Payconiq</t>
        </is>
      </c>
      <c r="L8" t="n">
        <v>7.18</v>
      </c>
      <c r="M8" t="inlineStr">
        <is>
          <t>Geen dieet</t>
        </is>
      </c>
      <c r="N8">
        <f>LEFT(A8, FIND(",", A8)-1)</f>
        <v/>
      </c>
      <c r="O8">
        <f>MID(A8, FIND(",", A8)+2, LEN(A8))</f>
        <v/>
      </c>
      <c r="P8">
        <f>SWITCH(J8, "Zelden", 1, "Af en toe", 4, "Regelmatig", 8, "Vaak", 12)</f>
        <v/>
      </c>
      <c r="Q8">
        <f>IF(L8&gt;=7, "Tevreden", "Ontevreden")</f>
        <v/>
      </c>
    </row>
    <row r="9">
      <c r="A9" t="inlineStr">
        <is>
          <t>Vermeulen, Leon</t>
        </is>
      </c>
      <c r="B9" t="n">
        <v>9927674896</v>
      </c>
      <c r="C9" t="inlineStr">
        <is>
          <t>12/11/1990</t>
        </is>
      </c>
      <c r="D9" t="inlineStr">
        <is>
          <t>Sint-annaplein</t>
        </is>
      </c>
      <c r="E9" t="n">
        <v>12</v>
      </c>
      <c r="F9" t="inlineStr">
        <is>
          <t>Hoeselt</t>
        </is>
      </c>
      <c r="G9" t="n">
        <v>2</v>
      </c>
      <c r="H9" t="n">
        <v>2</v>
      </c>
      <c r="I9" t="n">
        <v>98.98999999999999</v>
      </c>
      <c r="J9" t="inlineStr">
        <is>
          <t>Dagelijks</t>
        </is>
      </c>
      <c r="K9" t="inlineStr">
        <is>
          <t>Cash</t>
        </is>
      </c>
      <c r="L9" t="n">
        <v>7.26</v>
      </c>
      <c r="M9" t="inlineStr">
        <is>
          <t>Geen dieet</t>
        </is>
      </c>
      <c r="N9">
        <f>LEFT(A9, FIND(",", A9)-1)</f>
        <v/>
      </c>
      <c r="O9">
        <f>MID(A9, FIND(",", A9)+2, LEN(A9))</f>
        <v/>
      </c>
      <c r="P9">
        <f>SWITCH(J9, "Zelden", 1, "Af en toe", 4, "Regelmatig", 8, "Vaak", 12)</f>
        <v/>
      </c>
      <c r="Q9">
        <f>IF(L9&gt;=7, "Tevreden", "Ontevreden")</f>
        <v/>
      </c>
    </row>
    <row r="10">
      <c r="A10" t="inlineStr">
        <is>
          <t>Willems, Didier</t>
        </is>
      </c>
      <c r="B10" t="n">
        <v>8619085213</v>
      </c>
      <c r="C10" t="inlineStr">
        <is>
          <t>26/08/1956</t>
        </is>
      </c>
      <c r="D10" t="inlineStr">
        <is>
          <t>Onderstraat</t>
        </is>
      </c>
      <c r="E10" t="n">
        <v>7</v>
      </c>
      <c r="F10" t="inlineStr">
        <is>
          <t>Halen</t>
        </is>
      </c>
      <c r="G10" t="n">
        <v>1</v>
      </c>
      <c r="H10" t="n">
        <v>3</v>
      </c>
      <c r="I10" t="n">
        <v>141.32</v>
      </c>
      <c r="J10" t="inlineStr">
        <is>
          <t>Dagelijks</t>
        </is>
      </c>
      <c r="K10" t="inlineStr">
        <is>
          <t>Payconiq</t>
        </is>
      </c>
      <c r="L10" t="n">
        <v>7.6</v>
      </c>
      <c r="M10" t="inlineStr">
        <is>
          <t>Vegetarisch</t>
        </is>
      </c>
      <c r="N10">
        <f>LEFT(A10, FIND(",", A10)-1)</f>
        <v/>
      </c>
      <c r="O10">
        <f>MID(A10, FIND(",", A10)+2, LEN(A10))</f>
        <v/>
      </c>
      <c r="P10">
        <f>SWITCH(J10, "Zelden", 1, "Af en toe", 4, "Regelmatig", 8, "Vaak", 12)</f>
        <v/>
      </c>
      <c r="Q10">
        <f>IF(L10&gt;=7, "Tevreden", "Ontevreden")</f>
        <v/>
      </c>
    </row>
    <row r="11">
      <c r="A11" t="inlineStr">
        <is>
          <t>Peeters, José</t>
        </is>
      </c>
      <c r="B11" t="n">
        <v>7519640151</v>
      </c>
      <c r="C11" t="inlineStr">
        <is>
          <t>24/10/1963</t>
        </is>
      </c>
      <c r="D11" t="inlineStr">
        <is>
          <t>Pilorijnstraat</t>
        </is>
      </c>
      <c r="E11" t="n">
        <v>6</v>
      </c>
      <c r="F11" t="inlineStr">
        <is>
          <t>Maasmechelen</t>
        </is>
      </c>
      <c r="G11" t="n">
        <v>1</v>
      </c>
      <c r="H11" t="n">
        <v>0</v>
      </c>
      <c r="I11" t="n">
        <v>76.40000000000001</v>
      </c>
      <c r="J11" t="inlineStr">
        <is>
          <t>Vaak</t>
        </is>
      </c>
      <c r="K11" t="inlineStr">
        <is>
          <t>Bancontact</t>
        </is>
      </c>
      <c r="L11" t="n">
        <v>7.71</v>
      </c>
      <c r="M11" t="inlineStr">
        <is>
          <t>Geen dieet</t>
        </is>
      </c>
      <c r="N11">
        <f>LEFT(A11, FIND(",", A11)-1)</f>
        <v/>
      </c>
      <c r="O11">
        <f>MID(A11, FIND(",", A11)+2, LEN(A11))</f>
        <v/>
      </c>
      <c r="P11">
        <f>SWITCH(J11, "Zelden", 1, "Af en toe", 4, "Regelmatig", 8, "Vaak", 12)</f>
        <v/>
      </c>
      <c r="Q11">
        <f>IF(L11&gt;=7, "Tevreden", "Ontevreden")</f>
        <v/>
      </c>
    </row>
    <row r="12">
      <c r="A12" t="inlineStr">
        <is>
          <t>Bauwens, Micheline</t>
        </is>
      </c>
      <c r="B12" t="n">
        <v>923969979</v>
      </c>
      <c r="C12" t="inlineStr">
        <is>
          <t>29/03/1970</t>
        </is>
      </c>
      <c r="D12" t="inlineStr">
        <is>
          <t>Kasteellaan</t>
        </is>
      </c>
      <c r="E12" t="n">
        <v>38</v>
      </c>
      <c r="F12" t="inlineStr">
        <is>
          <t>Herten</t>
        </is>
      </c>
      <c r="G12" t="n">
        <v>1</v>
      </c>
      <c r="H12" t="n">
        <v>2</v>
      </c>
      <c r="I12" t="n">
        <v>207.88</v>
      </c>
      <c r="J12" t="inlineStr">
        <is>
          <t>Dagelijks</t>
        </is>
      </c>
      <c r="K12" t="inlineStr">
        <is>
          <t>Bancontact</t>
        </is>
      </c>
      <c r="L12" t="n">
        <v>6.43</v>
      </c>
      <c r="M12" t="inlineStr">
        <is>
          <t>Geen dieet</t>
        </is>
      </c>
      <c r="N12">
        <f>LEFT(A12, FIND(",", A12)-1)</f>
        <v/>
      </c>
      <c r="O12">
        <f>MID(A12, FIND(",", A12)+2, LEN(A12))</f>
        <v/>
      </c>
      <c r="P12">
        <f>SWITCH(J12, "Zelden", 1, "Af en toe", 4, "Regelmatig", 8, "Vaak", 12)</f>
        <v/>
      </c>
      <c r="Q12">
        <f>IF(L12&gt;=7, "Tevreden", "Ontevreden")</f>
        <v/>
      </c>
    </row>
    <row r="13">
      <c r="A13" t="inlineStr">
        <is>
          <t>Schepers, Alexandra</t>
        </is>
      </c>
      <c r="B13" t="n">
        <v>2659942039</v>
      </c>
      <c r="C13" t="inlineStr">
        <is>
          <t>18/07/1995</t>
        </is>
      </c>
      <c r="D13" t="inlineStr">
        <is>
          <t>Ham</t>
        </is>
      </c>
      <c r="E13" t="n">
        <v>81</v>
      </c>
      <c r="F13" t="inlineStr">
        <is>
          <t>Kanne</t>
        </is>
      </c>
      <c r="G13" t="n">
        <v>1</v>
      </c>
      <c r="H13" t="n">
        <v>3</v>
      </c>
      <c r="I13" t="n">
        <v>29.18</v>
      </c>
      <c r="J13" t="inlineStr">
        <is>
          <t>Af en toe</t>
        </is>
      </c>
      <c r="K13" t="inlineStr">
        <is>
          <t>Bancontact</t>
        </is>
      </c>
      <c r="L13" t="n">
        <v>6.91</v>
      </c>
      <c r="M13" t="inlineStr">
        <is>
          <t>Geen dieet</t>
        </is>
      </c>
      <c r="N13">
        <f>LEFT(A13, FIND(",", A13)-1)</f>
        <v/>
      </c>
      <c r="O13">
        <f>MID(A13, FIND(",", A13)+2, LEN(A13))</f>
        <v/>
      </c>
      <c r="P13">
        <f>SWITCH(J13, "Zelden", 1, "Af en toe", 4, "Regelmatig", 8, "Vaak", 12)</f>
        <v/>
      </c>
      <c r="Q13">
        <f>IF(L13&gt;=7, "Tevreden", "Ontevreden")</f>
        <v/>
      </c>
    </row>
    <row r="14">
      <c r="A14" t="inlineStr">
        <is>
          <t>Verstraeten, Claire</t>
        </is>
      </c>
      <c r="B14" t="n">
        <v>8796429255</v>
      </c>
      <c r="C14" t="inlineStr">
        <is>
          <t>24/11/1960</t>
        </is>
      </c>
      <c r="D14" t="inlineStr">
        <is>
          <t>Godshuizenlaan</t>
        </is>
      </c>
      <c r="E14" t="n">
        <v>2</v>
      </c>
      <c r="F14" t="inlineStr">
        <is>
          <t>Tongeren</t>
        </is>
      </c>
      <c r="G14" t="n">
        <v>1</v>
      </c>
      <c r="H14" t="n">
        <v>4</v>
      </c>
      <c r="I14" t="n">
        <v>192.24</v>
      </c>
      <c r="J14" t="inlineStr">
        <is>
          <t>Zeer vaak</t>
        </is>
      </c>
      <c r="K14" t="inlineStr">
        <is>
          <t>Bancontact</t>
        </is>
      </c>
      <c r="L14" t="n">
        <v>5.99</v>
      </c>
      <c r="M14" t="inlineStr">
        <is>
          <t>Veganistisch</t>
        </is>
      </c>
      <c r="N14">
        <f>LEFT(A14, FIND(",", A14)-1)</f>
        <v/>
      </c>
      <c r="O14">
        <f>MID(A14, FIND(",", A14)+2, LEN(A14))</f>
        <v/>
      </c>
      <c r="P14">
        <f>SWITCH(J14, "Zelden", 1, "Af en toe", 4, "Regelmatig", 8, "Vaak", 12)</f>
        <v/>
      </c>
      <c r="Q14">
        <f>IF(L14&gt;=7, "Tevreden", "Ontevreden")</f>
        <v/>
      </c>
    </row>
    <row r="15">
      <c r="A15" t="inlineStr">
        <is>
          <t>Moerman, Niels</t>
        </is>
      </c>
      <c r="B15" t="n">
        <v>2816851950</v>
      </c>
      <c r="C15" t="inlineStr">
        <is>
          <t>14/06/1972</t>
        </is>
      </c>
      <c r="D15" t="inlineStr">
        <is>
          <t>Groot-brittanniëlaan</t>
        </is>
      </c>
      <c r="E15" t="n">
        <v>18</v>
      </c>
      <c r="F15" t="inlineStr">
        <is>
          <t>Heusden-Zolder</t>
        </is>
      </c>
      <c r="G15" t="n">
        <v>2</v>
      </c>
      <c r="H15" t="n">
        <v>0</v>
      </c>
      <c r="I15" t="n">
        <v>22.85</v>
      </c>
      <c r="J15" t="inlineStr">
        <is>
          <t>Zeer vaak</t>
        </is>
      </c>
      <c r="K15" t="inlineStr">
        <is>
          <t>Bancontact</t>
        </is>
      </c>
      <c r="L15" t="n">
        <v>7.95</v>
      </c>
      <c r="M15" t="inlineStr">
        <is>
          <t>Vegetarisch</t>
        </is>
      </c>
      <c r="N15">
        <f>LEFT(A15, FIND(",", A15)-1)</f>
        <v/>
      </c>
      <c r="O15">
        <f>MID(A15, FIND(",", A15)+2, LEN(A15))</f>
        <v/>
      </c>
      <c r="P15">
        <f>SWITCH(J15, "Zelden", 1, "Af en toe", 4, "Regelmatig", 8, "Vaak", 12)</f>
        <v/>
      </c>
      <c r="Q15">
        <f>IF(L15&gt;=7, "Tevreden", "Ontevreden")</f>
        <v/>
      </c>
    </row>
    <row r="16">
      <c r="A16" t="inlineStr">
        <is>
          <t>Vanhove, Filip</t>
        </is>
      </c>
      <c r="B16" t="n">
        <v>3149063744</v>
      </c>
      <c r="C16" t="inlineStr">
        <is>
          <t>23/02/1954</t>
        </is>
      </c>
      <c r="D16" t="inlineStr">
        <is>
          <t>Brugsesteenweg</t>
        </is>
      </c>
      <c r="E16" t="n">
        <v>39</v>
      </c>
      <c r="F16" t="inlineStr">
        <is>
          <t>Genk</t>
        </is>
      </c>
      <c r="G16" t="n">
        <v>2</v>
      </c>
      <c r="H16" t="n">
        <v>2</v>
      </c>
      <c r="I16" t="n">
        <v>178.27</v>
      </c>
      <c r="J16" t="inlineStr">
        <is>
          <t>Vaak</t>
        </is>
      </c>
      <c r="K16" t="inlineStr">
        <is>
          <t>Bancontact</t>
        </is>
      </c>
      <c r="L16" t="n">
        <v>7.37</v>
      </c>
      <c r="M16" t="inlineStr">
        <is>
          <t>Geen dieet</t>
        </is>
      </c>
      <c r="N16">
        <f>LEFT(A16, FIND(",", A16)-1)</f>
        <v/>
      </c>
      <c r="O16">
        <f>MID(A16, FIND(",", A16)+2, LEN(A16))</f>
        <v/>
      </c>
      <c r="P16">
        <f>SWITCH(J16, "Zelden", 1, "Af en toe", 4, "Regelmatig", 8, "Vaak", 12)</f>
        <v/>
      </c>
      <c r="Q16">
        <f>IF(L16&gt;=7, "Tevreden", "Ontevreden")</f>
        <v/>
      </c>
    </row>
    <row r="17">
      <c r="A17" t="inlineStr">
        <is>
          <t>Timmermans, Christian</t>
        </is>
      </c>
      <c r="B17" t="n">
        <v>6394984550</v>
      </c>
      <c r="C17" t="inlineStr">
        <is>
          <t>27/10/2002</t>
        </is>
      </c>
      <c r="D17" t="inlineStr">
        <is>
          <t>Onze-lieve-vrouwdreef</t>
        </is>
      </c>
      <c r="E17" t="n">
        <v>72</v>
      </c>
      <c r="F17" t="inlineStr">
        <is>
          <t>Heusden-Zolder</t>
        </is>
      </c>
      <c r="G17" t="n">
        <v>1</v>
      </c>
      <c r="H17" t="n">
        <v>5</v>
      </c>
      <c r="I17" t="n">
        <v>252.37</v>
      </c>
      <c r="J17" t="inlineStr">
        <is>
          <t>Af en toe</t>
        </is>
      </c>
      <c r="K17" t="inlineStr">
        <is>
          <t>Bancontact</t>
        </is>
      </c>
      <c r="L17" t="n">
        <v>6.6</v>
      </c>
      <c r="M17" t="inlineStr">
        <is>
          <t>Geen dieet</t>
        </is>
      </c>
      <c r="N17">
        <f>LEFT(A17, FIND(",", A17)-1)</f>
        <v/>
      </c>
      <c r="O17">
        <f>MID(A17, FIND(",", A17)+2, LEN(A17))</f>
        <v/>
      </c>
      <c r="P17">
        <f>SWITCH(J17, "Zelden", 1, "Af en toe", 4, "Regelmatig", 8, "Vaak", 12)</f>
        <v/>
      </c>
      <c r="Q17">
        <f>IF(L17&gt;=7, "Tevreden", "Ontevreden")</f>
        <v/>
      </c>
    </row>
    <row r="18">
      <c r="A18" t="inlineStr">
        <is>
          <t>Willems, Brigitte</t>
        </is>
      </c>
      <c r="B18" t="n">
        <v>3899356759</v>
      </c>
      <c r="C18" t="inlineStr">
        <is>
          <t>06/06/1977</t>
        </is>
      </c>
      <c r="D18" t="inlineStr">
        <is>
          <t>Serpentstraat</t>
        </is>
      </c>
      <c r="E18" t="n">
        <v>15</v>
      </c>
      <c r="F18" t="inlineStr">
        <is>
          <t>Herten</t>
        </is>
      </c>
      <c r="G18" t="n">
        <v>1</v>
      </c>
      <c r="H18" t="n">
        <v>1</v>
      </c>
      <c r="I18" t="n">
        <v>58.19</v>
      </c>
      <c r="J18" t="inlineStr">
        <is>
          <t>Vaak</t>
        </is>
      </c>
      <c r="K18" t="inlineStr">
        <is>
          <t>Bancontact</t>
        </is>
      </c>
      <c r="L18" t="n">
        <v>7.49</v>
      </c>
      <c r="M18" t="inlineStr">
        <is>
          <t>Geen dieet</t>
        </is>
      </c>
      <c r="N18">
        <f>LEFT(A18, FIND(",", A18)-1)</f>
        <v/>
      </c>
      <c r="O18">
        <f>MID(A18, FIND(",", A18)+2, LEN(A18))</f>
        <v/>
      </c>
      <c r="P18">
        <f>SWITCH(J18, "Zelden", 1, "Af en toe", 4, "Regelmatig", 8, "Vaak", 12)</f>
        <v/>
      </c>
      <c r="Q18">
        <f>IF(L18&gt;=7, "Tevreden", "Ontevreden")</f>
        <v/>
      </c>
    </row>
    <row r="19">
      <c r="A19" t="inlineStr">
        <is>
          <t>Lejeune, Tejo</t>
        </is>
      </c>
      <c r="B19" t="n">
        <v>4138138085</v>
      </c>
      <c r="C19" t="inlineStr">
        <is>
          <t>22/08/2005</t>
        </is>
      </c>
      <c r="D19" t="inlineStr">
        <is>
          <t>Lourdestraat</t>
        </is>
      </c>
      <c r="E19" t="n">
        <v>2</v>
      </c>
      <c r="F19" t="inlineStr">
        <is>
          <t>Tongeren</t>
        </is>
      </c>
      <c r="G19" t="n">
        <v>2</v>
      </c>
      <c r="H19" t="n">
        <v>1</v>
      </c>
      <c r="I19" t="n">
        <v>28.13</v>
      </c>
      <c r="J19" t="inlineStr">
        <is>
          <t>Zeer vaak</t>
        </is>
      </c>
      <c r="K19" t="inlineStr">
        <is>
          <t>Bancontact</t>
        </is>
      </c>
      <c r="L19" t="n">
        <v>7.26</v>
      </c>
      <c r="M19" t="inlineStr">
        <is>
          <t>Geen dieet</t>
        </is>
      </c>
      <c r="N19">
        <f>LEFT(A19, FIND(",", A19)-1)</f>
        <v/>
      </c>
      <c r="O19">
        <f>MID(A19, FIND(",", A19)+2, LEN(A19))</f>
        <v/>
      </c>
      <c r="P19">
        <f>SWITCH(J19, "Zelden", 1, "Af en toe", 4, "Regelmatig", 8, "Vaak", 12)</f>
        <v/>
      </c>
      <c r="Q19">
        <f>IF(L19&gt;=7, "Tevreden", "Ontevreden")</f>
        <v/>
      </c>
    </row>
    <row r="20">
      <c r="A20" t="inlineStr">
        <is>
          <t>Garcia, Naomi</t>
        </is>
      </c>
      <c r="B20" t="n">
        <v>5212083355</v>
      </c>
      <c r="C20" t="inlineStr">
        <is>
          <t>17/08/1981</t>
        </is>
      </c>
      <c r="D20" t="inlineStr">
        <is>
          <t>Tentoonstellingslaan</t>
        </is>
      </c>
      <c r="E20" t="n">
        <v>39</v>
      </c>
      <c r="F20" t="inlineStr">
        <is>
          <t>Lummen</t>
        </is>
      </c>
      <c r="G20" t="n">
        <v>2</v>
      </c>
      <c r="H20" t="n">
        <v>2</v>
      </c>
      <c r="I20" t="n">
        <v>155.33</v>
      </c>
      <c r="J20" t="inlineStr">
        <is>
          <t>Zeer vaak</t>
        </is>
      </c>
      <c r="K20" t="inlineStr">
        <is>
          <t>Cash</t>
        </is>
      </c>
      <c r="L20" t="n">
        <v>7.05</v>
      </c>
      <c r="M20" t="inlineStr">
        <is>
          <t>Geen dieet</t>
        </is>
      </c>
      <c r="N20">
        <f>LEFT(A20, FIND(",", A20)-1)</f>
        <v/>
      </c>
      <c r="O20">
        <f>MID(A20, FIND(",", A20)+2, LEN(A20))</f>
        <v/>
      </c>
      <c r="P20">
        <f>SWITCH(J20, "Zelden", 1, "Af en toe", 4, "Regelmatig", 8, "Vaak", 12)</f>
        <v/>
      </c>
      <c r="Q20">
        <f>IF(L20&gt;=7, "Tevreden", "Ontevreden")</f>
        <v/>
      </c>
    </row>
    <row r="21">
      <c r="A21" t="inlineStr">
        <is>
          <t>Hendrickx, Farhad</t>
        </is>
      </c>
      <c r="B21" t="n">
        <v>9841440581</v>
      </c>
      <c r="C21" t="inlineStr">
        <is>
          <t>14/07/1984</t>
        </is>
      </c>
      <c r="D21" t="inlineStr">
        <is>
          <t>Blazoenstraat</t>
        </is>
      </c>
      <c r="E21" t="n">
        <v>63</v>
      </c>
      <c r="F21" t="inlineStr">
        <is>
          <t>Diepenbeek</t>
        </is>
      </c>
      <c r="G21" t="n">
        <v>2</v>
      </c>
      <c r="H21" t="n">
        <v>0</v>
      </c>
      <c r="I21" t="n">
        <v>51.56</v>
      </c>
      <c r="J21" t="inlineStr">
        <is>
          <t>Vaak</t>
        </is>
      </c>
      <c r="K21" t="inlineStr">
        <is>
          <t>Creditcard</t>
        </is>
      </c>
      <c r="L21" t="n">
        <v>6.95</v>
      </c>
      <c r="M21" t="inlineStr">
        <is>
          <t>Geen dieet</t>
        </is>
      </c>
      <c r="N21">
        <f>LEFT(A21, FIND(",", A21)-1)</f>
        <v/>
      </c>
      <c r="O21">
        <f>MID(A21, FIND(",", A21)+2, LEN(A21))</f>
        <v/>
      </c>
      <c r="P21">
        <f>SWITCH(J21, "Zelden", 1, "Af en toe", 4, "Regelmatig", 8, "Vaak", 12)</f>
        <v/>
      </c>
      <c r="Q21">
        <f>IF(L21&gt;=7, "Tevreden", "Ontevreden")</f>
        <v/>
      </c>
    </row>
    <row r="22">
      <c r="A22" t="inlineStr">
        <is>
          <t>Desmet, Hugo</t>
        </is>
      </c>
      <c r="B22" t="n">
        <v>9604030114</v>
      </c>
      <c r="C22" t="inlineStr">
        <is>
          <t>14/02/1972</t>
        </is>
      </c>
      <c r="D22" t="inlineStr">
        <is>
          <t>Ledebergstraat</t>
        </is>
      </c>
      <c r="E22" t="n">
        <v>80</v>
      </c>
      <c r="F22" t="inlineStr">
        <is>
          <t>Lummen</t>
        </is>
      </c>
      <c r="G22" t="n">
        <v>1</v>
      </c>
      <c r="H22" t="n">
        <v>0</v>
      </c>
      <c r="I22" t="n">
        <v>128.78</v>
      </c>
      <c r="J22" t="inlineStr">
        <is>
          <t>Dagelijks</t>
        </is>
      </c>
      <c r="K22" t="inlineStr">
        <is>
          <t>Payconiq</t>
        </is>
      </c>
      <c r="L22" t="n">
        <v>8.49</v>
      </c>
      <c r="M22" t="inlineStr">
        <is>
          <t>Vegetarisch</t>
        </is>
      </c>
      <c r="N22">
        <f>LEFT(A22, FIND(",", A22)-1)</f>
        <v/>
      </c>
      <c r="O22">
        <f>MID(A22, FIND(",", A22)+2, LEN(A22))</f>
        <v/>
      </c>
      <c r="P22">
        <f>SWITCH(J22, "Zelden", 1, "Af en toe", 4, "Regelmatig", 8, "Vaak", 12)</f>
        <v/>
      </c>
      <c r="Q22">
        <f>IF(L22&gt;=7, "Tevreden", "Ontevreden")</f>
        <v/>
      </c>
    </row>
    <row r="23">
      <c r="A23" t="inlineStr">
        <is>
          <t>Adam, Monique</t>
        </is>
      </c>
      <c r="B23" t="n">
        <v>7729459784</v>
      </c>
      <c r="C23" t="inlineStr">
        <is>
          <t>14/11/1985</t>
        </is>
      </c>
      <c r="D23" t="inlineStr">
        <is>
          <t>Zuidstationstraat</t>
        </is>
      </c>
      <c r="E23" t="n">
        <v>94</v>
      </c>
      <c r="F23" t="inlineStr">
        <is>
          <t>Maasmechelen</t>
        </is>
      </c>
      <c r="G23" t="n">
        <v>2</v>
      </c>
      <c r="H23" t="n">
        <v>0</v>
      </c>
      <c r="I23" t="n">
        <v>156.35</v>
      </c>
      <c r="J23" t="inlineStr">
        <is>
          <t>Vaak</t>
        </is>
      </c>
      <c r="K23" t="inlineStr">
        <is>
          <t>Payconiq</t>
        </is>
      </c>
      <c r="L23" t="n">
        <v>7.02</v>
      </c>
      <c r="M23" t="inlineStr">
        <is>
          <t>Geen dieet</t>
        </is>
      </c>
      <c r="N23">
        <f>LEFT(A23, FIND(",", A23)-1)</f>
        <v/>
      </c>
      <c r="O23">
        <f>MID(A23, FIND(",", A23)+2, LEN(A23))</f>
        <v/>
      </c>
      <c r="P23">
        <f>SWITCH(J23, "Zelden", 1, "Af en toe", 4, "Regelmatig", 8, "Vaak", 12)</f>
        <v/>
      </c>
      <c r="Q23">
        <f>IF(L23&gt;=7, "Tevreden", "Ontevreden")</f>
        <v/>
      </c>
    </row>
    <row r="24">
      <c r="A24" t="inlineStr">
        <is>
          <t>Stevens, Louise</t>
        </is>
      </c>
      <c r="B24" t="n">
        <v>5151995691</v>
      </c>
      <c r="C24" t="inlineStr">
        <is>
          <t>20/03/1952</t>
        </is>
      </c>
      <c r="D24" t="inlineStr">
        <is>
          <t>Hoogpoort</t>
        </is>
      </c>
      <c r="E24" t="n">
        <v>45</v>
      </c>
      <c r="F24" t="inlineStr">
        <is>
          <t>Sint-Truiden</t>
        </is>
      </c>
      <c r="G24" t="n">
        <v>1</v>
      </c>
      <c r="H24" t="n">
        <v>2</v>
      </c>
      <c r="I24" t="n">
        <v>66.91</v>
      </c>
      <c r="J24" t="inlineStr">
        <is>
          <t>Af en toe</t>
        </is>
      </c>
      <c r="K24" t="inlineStr">
        <is>
          <t>Payconiq</t>
        </is>
      </c>
      <c r="L24" t="n">
        <v>7.84</v>
      </c>
      <c r="M24" t="inlineStr">
        <is>
          <t>Geen dieet</t>
        </is>
      </c>
      <c r="N24">
        <f>LEFT(A24, FIND(",", A24)-1)</f>
        <v/>
      </c>
      <c r="O24">
        <f>MID(A24, FIND(",", A24)+2, LEN(A24))</f>
        <v/>
      </c>
      <c r="P24">
        <f>SWITCH(J24, "Zelden", 1, "Af en toe", 4, "Regelmatig", 8, "Vaak", 12)</f>
        <v/>
      </c>
      <c r="Q24">
        <f>IF(L24&gt;=7, "Tevreden", "Ontevreden")</f>
        <v/>
      </c>
    </row>
    <row r="25">
      <c r="A25" t="inlineStr">
        <is>
          <t>Boone, Enes</t>
        </is>
      </c>
      <c r="B25" t="n">
        <v>5802102880</v>
      </c>
      <c r="C25" t="inlineStr">
        <is>
          <t>03/02/1945</t>
        </is>
      </c>
      <c r="D25" t="inlineStr">
        <is>
          <t>Kantienberg</t>
        </is>
      </c>
      <c r="E25" t="n">
        <v>46</v>
      </c>
      <c r="F25" t="inlineStr">
        <is>
          <t>Hasselt</t>
        </is>
      </c>
      <c r="G25" t="n">
        <v>5</v>
      </c>
      <c r="H25" t="n">
        <v>2</v>
      </c>
      <c r="I25" t="n">
        <v>213.51</v>
      </c>
      <c r="J25" t="inlineStr">
        <is>
          <t>Zelden</t>
        </is>
      </c>
      <c r="K25" t="inlineStr">
        <is>
          <t>Bancontact</t>
        </is>
      </c>
      <c r="L25" t="n">
        <v>7.36</v>
      </c>
      <c r="M25" t="inlineStr">
        <is>
          <t>Geen dieet</t>
        </is>
      </c>
      <c r="N25">
        <f>LEFT(A25, FIND(",", A25)-1)</f>
        <v/>
      </c>
      <c r="O25">
        <f>MID(A25, FIND(",", A25)+2, LEN(A25))</f>
        <v/>
      </c>
      <c r="P25">
        <f>SWITCH(J25, "Zelden", 1, "Af en toe", 4, "Regelmatig", 8, "Vaak", 12)</f>
        <v/>
      </c>
      <c r="Q25">
        <f>IF(L25&gt;=7, "Tevreden", "Ontevreden")</f>
        <v/>
      </c>
    </row>
    <row r="26">
      <c r="A26" t="inlineStr">
        <is>
          <t>De vos, Marie</t>
        </is>
      </c>
      <c r="B26" t="n">
        <v>7389210812</v>
      </c>
      <c r="C26" t="inlineStr">
        <is>
          <t>16/09/1947</t>
        </is>
      </c>
      <c r="D26" t="inlineStr">
        <is>
          <t>Heinakker</t>
        </is>
      </c>
      <c r="E26" t="n">
        <v>8</v>
      </c>
      <c r="F26" t="inlineStr">
        <is>
          <t>Herten</t>
        </is>
      </c>
      <c r="G26" t="n">
        <v>1</v>
      </c>
      <c r="H26" t="n">
        <v>0</v>
      </c>
      <c r="I26" t="n">
        <v>18.32</v>
      </c>
      <c r="J26" t="inlineStr">
        <is>
          <t>Af en toe</t>
        </is>
      </c>
      <c r="K26" t="inlineStr">
        <is>
          <t>Payconiq</t>
        </is>
      </c>
      <c r="L26" t="n">
        <v>6.95</v>
      </c>
      <c r="M26" t="inlineStr">
        <is>
          <t>Geen dieet</t>
        </is>
      </c>
      <c r="N26">
        <f>LEFT(A26, FIND(",", A26)-1)</f>
        <v/>
      </c>
      <c r="O26">
        <f>MID(A26, FIND(",", A26)+2, LEN(A26))</f>
        <v/>
      </c>
      <c r="P26">
        <f>SWITCH(J26, "Zelden", 1, "Af en toe", 4, "Regelmatig", 8, "Vaak", 12)</f>
        <v/>
      </c>
      <c r="Q26">
        <f>IF(L26&gt;=7, "Tevreden", "Ontevreden")</f>
        <v/>
      </c>
    </row>
    <row r="27">
      <c r="A27" t="inlineStr">
        <is>
          <t>Verbeeck, Samy</t>
        </is>
      </c>
      <c r="B27" t="n">
        <v>5627043879</v>
      </c>
      <c r="C27" t="inlineStr">
        <is>
          <t>20/09/1970</t>
        </is>
      </c>
      <c r="D27" t="inlineStr">
        <is>
          <t>Veerstraat</t>
        </is>
      </c>
      <c r="E27" t="n">
        <v>46</v>
      </c>
      <c r="F27" t="inlineStr">
        <is>
          <t>Lummen</t>
        </is>
      </c>
      <c r="G27" t="n">
        <v>1</v>
      </c>
      <c r="H27" t="n">
        <v>2</v>
      </c>
      <c r="I27" t="n">
        <v>158.08</v>
      </c>
      <c r="J27" t="inlineStr">
        <is>
          <t>Af en toe</t>
        </is>
      </c>
      <c r="K27" t="inlineStr">
        <is>
          <t>Bancontact</t>
        </is>
      </c>
      <c r="L27" t="n">
        <v>6.9</v>
      </c>
      <c r="M27" t="inlineStr">
        <is>
          <t>Geen dieet</t>
        </is>
      </c>
      <c r="N27">
        <f>LEFT(A27, FIND(",", A27)-1)</f>
        <v/>
      </c>
      <c r="O27">
        <f>MID(A27, FIND(",", A27)+2, LEN(A27))</f>
        <v/>
      </c>
      <c r="P27">
        <f>SWITCH(J27, "Zelden", 1, "Af en toe", 4, "Regelmatig", 8, "Vaak", 12)</f>
        <v/>
      </c>
      <c r="Q27">
        <f>IF(L27&gt;=7, "Tevreden", "Ontevreden")</f>
        <v/>
      </c>
    </row>
    <row r="28">
      <c r="A28" t="inlineStr">
        <is>
          <t>Dewulf, Raymonde</t>
        </is>
      </c>
      <c r="B28" t="n">
        <v>7584889357</v>
      </c>
      <c r="C28" t="inlineStr">
        <is>
          <t>04/09/1993</t>
        </is>
      </c>
      <c r="D28" t="inlineStr">
        <is>
          <t>Kortedagsteeg</t>
        </is>
      </c>
      <c r="E28" t="n">
        <v>27</v>
      </c>
      <c r="F28" t="inlineStr">
        <is>
          <t>Hasselt</t>
        </is>
      </c>
      <c r="G28" t="n">
        <v>1</v>
      </c>
      <c r="H28" t="n">
        <v>0</v>
      </c>
      <c r="I28" t="n">
        <v>112.58</v>
      </c>
      <c r="J28" t="inlineStr">
        <is>
          <t>Vaak</t>
        </is>
      </c>
      <c r="K28" t="inlineStr">
        <is>
          <t>Cash</t>
        </is>
      </c>
      <c r="L28" t="n">
        <v>6.52</v>
      </c>
      <c r="M28" t="inlineStr">
        <is>
          <t>Geen dieet</t>
        </is>
      </c>
      <c r="N28">
        <f>LEFT(A28, FIND(",", A28)-1)</f>
        <v/>
      </c>
      <c r="O28">
        <f>MID(A28, FIND(",", A28)+2, LEN(A28))</f>
        <v/>
      </c>
      <c r="P28">
        <f>SWITCH(J28, "Zelden", 1, "Af en toe", 4, "Regelmatig", 8, "Vaak", 12)</f>
        <v/>
      </c>
      <c r="Q28">
        <f>IF(L28&gt;=7, "Tevreden", "Ontevreden")</f>
        <v/>
      </c>
    </row>
    <row r="29">
      <c r="A29" t="inlineStr">
        <is>
          <t>Legrand, Mohamed</t>
        </is>
      </c>
      <c r="B29" t="n">
        <v>7318747059</v>
      </c>
      <c r="C29" t="inlineStr">
        <is>
          <t>10/08/1951</t>
        </is>
      </c>
      <c r="D29" t="inlineStr">
        <is>
          <t>Oude Houtlei</t>
        </is>
      </c>
      <c r="E29" t="n">
        <v>10</v>
      </c>
      <c r="F29" t="inlineStr">
        <is>
          <t>Tessenderlo</t>
        </is>
      </c>
      <c r="G29" t="n">
        <v>2</v>
      </c>
      <c r="H29" t="n">
        <v>3</v>
      </c>
      <c r="I29" t="n">
        <v>166.74</v>
      </c>
      <c r="J29" t="inlineStr">
        <is>
          <t>Dagelijks</t>
        </is>
      </c>
      <c r="K29" t="inlineStr">
        <is>
          <t>Bancontact</t>
        </is>
      </c>
      <c r="L29" t="n">
        <v>6.96</v>
      </c>
      <c r="M29" t="inlineStr">
        <is>
          <t>Geen dieet</t>
        </is>
      </c>
      <c r="N29">
        <f>LEFT(A29, FIND(",", A29)-1)</f>
        <v/>
      </c>
      <c r="O29">
        <f>MID(A29, FIND(",", A29)+2, LEN(A29))</f>
        <v/>
      </c>
      <c r="P29">
        <f>SWITCH(J29, "Zelden", 1, "Af en toe", 4, "Regelmatig", 8, "Vaak", 12)</f>
        <v/>
      </c>
      <c r="Q29">
        <f>IF(L29&gt;=7, "Tevreden", "Ontevreden")</f>
        <v/>
      </c>
    </row>
    <row r="30">
      <c r="A30" t="inlineStr">
        <is>
          <t>Desmet, Frank</t>
        </is>
      </c>
      <c r="B30" t="n">
        <v>5333512674</v>
      </c>
      <c r="C30" t="inlineStr">
        <is>
          <t>07/09/1978</t>
        </is>
      </c>
      <c r="D30" t="inlineStr">
        <is>
          <t>Ph. Van Der Nootstraat</t>
        </is>
      </c>
      <c r="E30" t="n">
        <v>73</v>
      </c>
      <c r="F30" t="inlineStr">
        <is>
          <t>Lanaken</t>
        </is>
      </c>
      <c r="G30" t="n">
        <v>2</v>
      </c>
      <c r="H30" t="n">
        <v>2</v>
      </c>
      <c r="I30" t="n">
        <v>76.68000000000001</v>
      </c>
      <c r="J30" t="inlineStr">
        <is>
          <t>Zelden</t>
        </is>
      </c>
      <c r="K30" t="inlineStr">
        <is>
          <t>Payconiq</t>
        </is>
      </c>
      <c r="L30" t="n">
        <v>6.13</v>
      </c>
      <c r="M30" t="inlineStr">
        <is>
          <t>Veganistisch</t>
        </is>
      </c>
      <c r="N30">
        <f>LEFT(A30, FIND(",", A30)-1)</f>
        <v/>
      </c>
      <c r="O30">
        <f>MID(A30, FIND(",", A30)+2, LEN(A30))</f>
        <v/>
      </c>
      <c r="P30">
        <f>SWITCH(J30, "Zelden", 1, "Af en toe", 4, "Regelmatig", 8, "Vaak", 12)</f>
        <v/>
      </c>
      <c r="Q30">
        <f>IF(L30&gt;=7, "Tevreden", "Ontevreden")</f>
        <v/>
      </c>
    </row>
    <row r="31">
      <c r="A31" t="inlineStr">
        <is>
          <t>Vermeersch, Marc-Antoine</t>
        </is>
      </c>
      <c r="B31" t="n">
        <v>2055608781</v>
      </c>
      <c r="C31" t="inlineStr">
        <is>
          <t>15/07/1962</t>
        </is>
      </c>
      <c r="D31" t="inlineStr">
        <is>
          <t>Duivelstraat</t>
        </is>
      </c>
      <c r="E31" t="n">
        <v>49</v>
      </c>
      <c r="F31" t="inlineStr">
        <is>
          <t>Sint-Truiden</t>
        </is>
      </c>
      <c r="G31" t="n">
        <v>1</v>
      </c>
      <c r="H31" t="n">
        <v>2</v>
      </c>
      <c r="I31" t="n">
        <v>86.26000000000001</v>
      </c>
      <c r="J31" t="inlineStr">
        <is>
          <t>Af en toe</t>
        </is>
      </c>
      <c r="K31" t="inlineStr">
        <is>
          <t>Bancontact</t>
        </is>
      </c>
      <c r="L31" t="n">
        <v>7.11</v>
      </c>
      <c r="M31" t="inlineStr">
        <is>
          <t>Geen dieet</t>
        </is>
      </c>
      <c r="N31">
        <f>LEFT(A31, FIND(",", A31)-1)</f>
        <v/>
      </c>
      <c r="O31">
        <f>MID(A31, FIND(",", A31)+2, LEN(A31))</f>
        <v/>
      </c>
      <c r="P31">
        <f>SWITCH(J31, "Zelden", 1, "Af en toe", 4, "Regelmatig", 8, "Vaak", 12)</f>
        <v/>
      </c>
      <c r="Q31">
        <f>IF(L31&gt;=7, "Tevreden", "Ontevreden")</f>
        <v/>
      </c>
    </row>
    <row r="32">
      <c r="A32" t="inlineStr">
        <is>
          <t>Vandendriessche, Serge</t>
        </is>
      </c>
      <c r="B32" t="n">
        <v>9135689871</v>
      </c>
      <c r="C32" t="inlineStr">
        <is>
          <t>11/08/1994</t>
        </is>
      </c>
      <c r="D32" t="inlineStr">
        <is>
          <t>Land Van Waaslaan</t>
        </is>
      </c>
      <c r="E32" t="n">
        <v>1</v>
      </c>
      <c r="F32" t="inlineStr">
        <is>
          <t>Sint-Truiden</t>
        </is>
      </c>
      <c r="G32" t="n">
        <v>2</v>
      </c>
      <c r="H32" t="n">
        <v>0</v>
      </c>
      <c r="I32" t="n">
        <v>93.29000000000001</v>
      </c>
      <c r="J32" t="inlineStr">
        <is>
          <t>Af en toe</t>
        </is>
      </c>
      <c r="K32" t="inlineStr">
        <is>
          <t>Payconiq</t>
        </is>
      </c>
      <c r="L32" t="n">
        <v>6.88</v>
      </c>
      <c r="M32" t="inlineStr">
        <is>
          <t>Geen dieet</t>
        </is>
      </c>
      <c r="N32">
        <f>LEFT(A32, FIND(",", A32)-1)</f>
        <v/>
      </c>
      <c r="O32">
        <f>MID(A32, FIND(",", A32)+2, LEN(A32))</f>
        <v/>
      </c>
      <c r="P32">
        <f>SWITCH(J32, "Zelden", 1, "Af en toe", 4, "Regelmatig", 8, "Vaak", 12)</f>
        <v/>
      </c>
      <c r="Q32">
        <f>IF(L32&gt;=7, "Tevreden", "Ontevreden")</f>
        <v/>
      </c>
    </row>
    <row r="33">
      <c r="A33" t="inlineStr">
        <is>
          <t>Raes, Lucas</t>
        </is>
      </c>
      <c r="B33" t="n">
        <v>4275470695</v>
      </c>
      <c r="C33" t="inlineStr">
        <is>
          <t>15/08/1974</t>
        </is>
      </c>
      <c r="D33" t="inlineStr">
        <is>
          <t>Jan Delvinlaan</t>
        </is>
      </c>
      <c r="E33" t="n">
        <v>83</v>
      </c>
      <c r="F33" t="inlineStr">
        <is>
          <t>Hasselt</t>
        </is>
      </c>
      <c r="G33" t="n">
        <v>2</v>
      </c>
      <c r="H33" t="n">
        <v>2</v>
      </c>
      <c r="I33" t="n">
        <v>128.99</v>
      </c>
      <c r="J33" t="inlineStr">
        <is>
          <t>Af en toe</t>
        </is>
      </c>
      <c r="K33" t="inlineStr">
        <is>
          <t>Cash</t>
        </is>
      </c>
      <c r="L33" t="n">
        <v>7.25</v>
      </c>
      <c r="M33" t="inlineStr">
        <is>
          <t>Geen dieet</t>
        </is>
      </c>
      <c r="N33">
        <f>LEFT(A33, FIND(",", A33)-1)</f>
        <v/>
      </c>
      <c r="O33">
        <f>MID(A33, FIND(",", A33)+2, LEN(A33))</f>
        <v/>
      </c>
      <c r="P33">
        <f>SWITCH(J33, "Zelden", 1, "Af en toe", 4, "Regelmatig", 8, "Vaak", 12)</f>
        <v/>
      </c>
      <c r="Q33">
        <f>IF(L33&gt;=7, "Tevreden", "Ontevreden")</f>
        <v/>
      </c>
    </row>
    <row r="34">
      <c r="A34" t="inlineStr">
        <is>
          <t>Vandenbussche, Ruben</t>
        </is>
      </c>
      <c r="B34" t="n">
        <v>3685022557</v>
      </c>
      <c r="C34" t="inlineStr">
        <is>
          <t>06/08/1946</t>
        </is>
      </c>
      <c r="D34" t="inlineStr">
        <is>
          <t>Bouwmeestersstraat</t>
        </is>
      </c>
      <c r="E34" t="n">
        <v>24</v>
      </c>
      <c r="F34" t="inlineStr">
        <is>
          <t>Neerpelt</t>
        </is>
      </c>
      <c r="G34" t="n">
        <v>1</v>
      </c>
      <c r="H34" t="n">
        <v>4</v>
      </c>
      <c r="I34" t="n">
        <v>196.47</v>
      </c>
      <c r="J34" t="inlineStr">
        <is>
          <t>Af en toe</t>
        </is>
      </c>
      <c r="K34" t="inlineStr">
        <is>
          <t>Cash</t>
        </is>
      </c>
      <c r="L34" t="n">
        <v>6.77</v>
      </c>
      <c r="M34" t="inlineStr">
        <is>
          <t>Geen dieet</t>
        </is>
      </c>
      <c r="N34">
        <f>LEFT(A34, FIND(",", A34)-1)</f>
        <v/>
      </c>
      <c r="O34">
        <f>MID(A34, FIND(",", A34)+2, LEN(A34))</f>
        <v/>
      </c>
      <c r="P34">
        <f>SWITCH(J34, "Zelden", 1, "Af en toe", 4, "Regelmatig", 8, "Vaak", 12)</f>
        <v/>
      </c>
      <c r="Q34">
        <f>IF(L34&gt;=7, "Tevreden", "Ontevreden")</f>
        <v/>
      </c>
    </row>
    <row r="35">
      <c r="A35" t="inlineStr">
        <is>
          <t>Stevens, Heidi</t>
        </is>
      </c>
      <c r="B35" t="n">
        <v>5017741565</v>
      </c>
      <c r="C35" t="inlineStr">
        <is>
          <t>11/06/1977</t>
        </is>
      </c>
      <c r="D35" t="inlineStr">
        <is>
          <t>Domien Geersstraat</t>
        </is>
      </c>
      <c r="E35" t="n">
        <v>39</v>
      </c>
      <c r="F35" t="inlineStr">
        <is>
          <t>Maaseik</t>
        </is>
      </c>
      <c r="G35" t="n">
        <v>1</v>
      </c>
      <c r="H35" t="n">
        <v>2</v>
      </c>
      <c r="I35" t="n">
        <v>67.33</v>
      </c>
      <c r="J35" t="inlineStr">
        <is>
          <t>Dagelijks</t>
        </is>
      </c>
      <c r="K35" t="inlineStr">
        <is>
          <t>Payconiq</t>
        </is>
      </c>
      <c r="L35" t="n">
        <v>7.18</v>
      </c>
      <c r="M35" t="inlineStr">
        <is>
          <t>Geen dieet</t>
        </is>
      </c>
      <c r="N35">
        <f>LEFT(A35, FIND(",", A35)-1)</f>
        <v/>
      </c>
      <c r="O35">
        <f>MID(A35, FIND(",", A35)+2, LEN(A35))</f>
        <v/>
      </c>
      <c r="P35">
        <f>SWITCH(J35, "Zelden", 1, "Af en toe", 4, "Regelmatig", 8, "Vaak", 12)</f>
        <v/>
      </c>
      <c r="Q35">
        <f>IF(L35&gt;=7, "Tevreden", "Ontevreden")</f>
        <v/>
      </c>
    </row>
    <row r="36">
      <c r="A36" t="inlineStr">
        <is>
          <t>Van den bergh, Inge</t>
        </is>
      </c>
      <c r="B36" t="n">
        <v>4365995370</v>
      </c>
      <c r="C36" t="inlineStr">
        <is>
          <t>17/05/1998</t>
        </is>
      </c>
      <c r="D36" t="inlineStr">
        <is>
          <t>Zeeschipstraat</t>
        </is>
      </c>
      <c r="E36" t="n">
        <v>18</v>
      </c>
      <c r="F36" t="inlineStr">
        <is>
          <t>Tongeren</t>
        </is>
      </c>
      <c r="G36" t="n">
        <v>3</v>
      </c>
      <c r="H36" t="n">
        <v>2</v>
      </c>
      <c r="I36" t="n">
        <v>138.37</v>
      </c>
      <c r="J36" t="inlineStr">
        <is>
          <t>Vaak</t>
        </is>
      </c>
      <c r="K36" t="inlineStr">
        <is>
          <t>Cash</t>
        </is>
      </c>
      <c r="L36" t="n">
        <v>7.84</v>
      </c>
      <c r="M36" t="inlineStr">
        <is>
          <t>Vegetarisch</t>
        </is>
      </c>
      <c r="N36">
        <f>LEFT(A36, FIND(",", A36)-1)</f>
        <v/>
      </c>
      <c r="O36">
        <f>MID(A36, FIND(",", A36)+2, LEN(A36))</f>
        <v/>
      </c>
      <c r="P36">
        <f>SWITCH(J36, "Zelden", 1, "Af en toe", 4, "Regelmatig", 8, "Vaak", 12)</f>
        <v/>
      </c>
      <c r="Q36">
        <f>IF(L36&gt;=7, "Tevreden", "Ontevreden")</f>
        <v/>
      </c>
    </row>
    <row r="37">
      <c r="A37" t="inlineStr">
        <is>
          <t>Pierre, Lieven</t>
        </is>
      </c>
      <c r="B37" t="n">
        <v>5444978846</v>
      </c>
      <c r="C37" t="inlineStr">
        <is>
          <t>16/06/1951</t>
        </is>
      </c>
      <c r="D37" t="inlineStr">
        <is>
          <t>Loskaai</t>
        </is>
      </c>
      <c r="E37" t="n">
        <v>71</v>
      </c>
      <c r="F37" t="inlineStr">
        <is>
          <t>Tongeren</t>
        </is>
      </c>
      <c r="G37" t="n">
        <v>4</v>
      </c>
      <c r="H37" t="n">
        <v>5</v>
      </c>
      <c r="I37" t="n">
        <v>238.25</v>
      </c>
      <c r="J37" t="inlineStr">
        <is>
          <t>Af en toe</t>
        </is>
      </c>
      <c r="K37" t="inlineStr">
        <is>
          <t>Payconiq</t>
        </is>
      </c>
      <c r="L37" t="n">
        <v>6.65</v>
      </c>
      <c r="M37" t="inlineStr">
        <is>
          <t>Geen dieet</t>
        </is>
      </c>
      <c r="N37">
        <f>LEFT(A37, FIND(",", A37)-1)</f>
        <v/>
      </c>
      <c r="O37">
        <f>MID(A37, FIND(",", A37)+2, LEN(A37))</f>
        <v/>
      </c>
      <c r="P37">
        <f>SWITCH(J37, "Zelden", 1, "Af en toe", 4, "Regelmatig", 8, "Vaak", 12)</f>
        <v/>
      </c>
      <c r="Q37">
        <f>IF(L37&gt;=7, "Tevreden", "Ontevreden")</f>
        <v/>
      </c>
    </row>
    <row r="38">
      <c r="A38" t="inlineStr">
        <is>
          <t>Carlier, Frédéric</t>
        </is>
      </c>
      <c r="B38" t="n">
        <v>3403402628</v>
      </c>
      <c r="C38" t="inlineStr">
        <is>
          <t>28/06/1962</t>
        </is>
      </c>
      <c r="D38" t="inlineStr">
        <is>
          <t>Sint-amandstraat</t>
        </is>
      </c>
      <c r="E38" t="n">
        <v>63</v>
      </c>
      <c r="F38" t="inlineStr">
        <is>
          <t>Kinrooi</t>
        </is>
      </c>
      <c r="G38" t="n">
        <v>1</v>
      </c>
      <c r="H38" t="n">
        <v>0</v>
      </c>
      <c r="I38" t="n">
        <v>41.23</v>
      </c>
      <c r="J38" t="inlineStr">
        <is>
          <t>Af en toe</t>
        </is>
      </c>
      <c r="K38" t="inlineStr">
        <is>
          <t>Payconiq</t>
        </is>
      </c>
      <c r="L38" t="n">
        <v>6.26</v>
      </c>
      <c r="M38" t="inlineStr">
        <is>
          <t>Veganistisch</t>
        </is>
      </c>
      <c r="N38">
        <f>LEFT(A38, FIND(",", A38)-1)</f>
        <v/>
      </c>
      <c r="O38">
        <f>MID(A38, FIND(",", A38)+2, LEN(A38))</f>
        <v/>
      </c>
      <c r="P38">
        <f>SWITCH(J38, "Zelden", 1, "Af en toe", 4, "Regelmatig", 8, "Vaak", 12)</f>
        <v/>
      </c>
      <c r="Q38">
        <f>IF(L38&gt;=7, "Tevreden", "Ontevreden")</f>
        <v/>
      </c>
    </row>
    <row r="39">
      <c r="A39" t="inlineStr">
        <is>
          <t>Verheyden, Sophie</t>
        </is>
      </c>
      <c r="B39" t="n">
        <v>155948058</v>
      </c>
      <c r="C39" t="inlineStr">
        <is>
          <t>07/05/1964</t>
        </is>
      </c>
      <c r="D39" t="inlineStr">
        <is>
          <t>Afrikalaan</t>
        </is>
      </c>
      <c r="E39" t="n">
        <v>76</v>
      </c>
      <c r="F39" t="inlineStr">
        <is>
          <t>Heusden-Zolder</t>
        </is>
      </c>
      <c r="G39" t="n">
        <v>2</v>
      </c>
      <c r="H39" t="n">
        <v>0</v>
      </c>
      <c r="I39" t="n">
        <v>82.61</v>
      </c>
      <c r="J39" t="inlineStr">
        <is>
          <t>Vaak</t>
        </is>
      </c>
      <c r="K39" t="inlineStr">
        <is>
          <t>Cash</t>
        </is>
      </c>
      <c r="L39" t="n">
        <v>7.26</v>
      </c>
      <c r="M39" t="inlineStr">
        <is>
          <t>Geen dieet</t>
        </is>
      </c>
      <c r="N39">
        <f>LEFT(A39, FIND(",", A39)-1)</f>
        <v/>
      </c>
      <c r="O39">
        <f>MID(A39, FIND(",", A39)+2, LEN(A39))</f>
        <v/>
      </c>
      <c r="P39">
        <f>SWITCH(J39, "Zelden", 1, "Af en toe", 4, "Regelmatig", 8, "Vaak", 12)</f>
        <v/>
      </c>
      <c r="Q39">
        <f>IF(L39&gt;=7, "Tevreden", "Ontevreden")</f>
        <v/>
      </c>
    </row>
    <row r="40">
      <c r="A40" t="inlineStr">
        <is>
          <t>Mathieu, Simon</t>
        </is>
      </c>
      <c r="B40" t="n">
        <v>8597213732</v>
      </c>
      <c r="C40" t="inlineStr">
        <is>
          <t>19/09/1963</t>
        </is>
      </c>
      <c r="D40" t="inlineStr">
        <is>
          <t>Blazoenstraat</t>
        </is>
      </c>
      <c r="E40" t="n">
        <v>35</v>
      </c>
      <c r="F40" t="inlineStr">
        <is>
          <t>Opglabbeek</t>
        </is>
      </c>
      <c r="G40" t="n">
        <v>6</v>
      </c>
      <c r="H40" t="n">
        <v>3</v>
      </c>
      <c r="I40" t="n">
        <v>193.75</v>
      </c>
      <c r="J40" t="inlineStr">
        <is>
          <t>Af en toe</t>
        </is>
      </c>
      <c r="K40" t="inlineStr">
        <is>
          <t>Cash</t>
        </is>
      </c>
      <c r="L40" t="n">
        <v>6.8</v>
      </c>
      <c r="M40" t="inlineStr">
        <is>
          <t>Geen dieet</t>
        </is>
      </c>
      <c r="N40">
        <f>LEFT(A40, FIND(",", A40)-1)</f>
        <v/>
      </c>
      <c r="O40">
        <f>MID(A40, FIND(",", A40)+2, LEN(A40))</f>
        <v/>
      </c>
      <c r="P40">
        <f>SWITCH(J40, "Zelden", 1, "Af en toe", 4, "Regelmatig", 8, "Vaak", 12)</f>
        <v/>
      </c>
      <c r="Q40">
        <f>IF(L40&gt;=7, "Tevreden", "Ontevreden")</f>
        <v/>
      </c>
    </row>
    <row r="41">
      <c r="A41" t="inlineStr">
        <is>
          <t>Verhoeven, Sandra</t>
        </is>
      </c>
      <c r="B41" t="n">
        <v>1492057477</v>
      </c>
      <c r="C41" t="inlineStr">
        <is>
          <t>09/12/1974</t>
        </is>
      </c>
      <c r="D41" t="inlineStr">
        <is>
          <t>Koning Boudewijnstraat</t>
        </is>
      </c>
      <c r="E41" t="n">
        <v>43</v>
      </c>
      <c r="F41" t="inlineStr">
        <is>
          <t>Lanaken</t>
        </is>
      </c>
      <c r="G41" t="n">
        <v>3</v>
      </c>
      <c r="H41" t="n">
        <v>2</v>
      </c>
      <c r="I41" t="n">
        <v>155.26</v>
      </c>
      <c r="J41" t="inlineStr">
        <is>
          <t>Zelden</t>
        </is>
      </c>
      <c r="K41" t="inlineStr">
        <is>
          <t>Bancontact</t>
        </is>
      </c>
      <c r="L41" t="n">
        <v>6.7</v>
      </c>
      <c r="M41" t="inlineStr">
        <is>
          <t>Geen dieet</t>
        </is>
      </c>
      <c r="N41">
        <f>LEFT(A41, FIND(",", A41)-1)</f>
        <v/>
      </c>
      <c r="O41">
        <f>MID(A41, FIND(",", A41)+2, LEN(A41))</f>
        <v/>
      </c>
      <c r="P41">
        <f>SWITCH(J41, "Zelden", 1, "Af en toe", 4, "Regelmatig", 8, "Vaak", 12)</f>
        <v/>
      </c>
      <c r="Q41">
        <f>IF(L41&gt;=7, "Tevreden", "Ontevreden")</f>
        <v/>
      </c>
    </row>
    <row r="42">
      <c r="A42" t="inlineStr">
        <is>
          <t>Janssen, Vanja</t>
        </is>
      </c>
      <c r="B42" t="n">
        <v>4215983096</v>
      </c>
      <c r="C42" t="inlineStr">
        <is>
          <t>22/01/1978</t>
        </is>
      </c>
      <c r="D42" t="inlineStr">
        <is>
          <t>Geldmunt</t>
        </is>
      </c>
      <c r="E42" t="n">
        <v>66</v>
      </c>
      <c r="F42" t="inlineStr">
        <is>
          <t>Wellen</t>
        </is>
      </c>
      <c r="G42" t="n">
        <v>1</v>
      </c>
      <c r="H42" t="n">
        <v>0</v>
      </c>
      <c r="I42" t="n">
        <v>34.62</v>
      </c>
      <c r="J42" t="inlineStr">
        <is>
          <t>Af en toe</t>
        </is>
      </c>
      <c r="K42" t="inlineStr">
        <is>
          <t>Bancontact</t>
        </is>
      </c>
      <c r="L42" t="n">
        <v>7.64</v>
      </c>
      <c r="M42" t="inlineStr">
        <is>
          <t>Geen dieet</t>
        </is>
      </c>
      <c r="N42">
        <f>LEFT(A42, FIND(",", A42)-1)</f>
        <v/>
      </c>
      <c r="O42">
        <f>MID(A42, FIND(",", A42)+2, LEN(A42))</f>
        <v/>
      </c>
      <c r="P42">
        <f>SWITCH(J42, "Zelden", 1, "Af en toe", 4, "Regelmatig", 8, "Vaak", 12)</f>
        <v/>
      </c>
      <c r="Q42">
        <f>IF(L42&gt;=7, "Tevreden", "Ontevreden")</f>
        <v/>
      </c>
    </row>
    <row r="43">
      <c r="A43" t="inlineStr">
        <is>
          <t>De block, Rayan</t>
        </is>
      </c>
      <c r="B43" t="n">
        <v>781587021</v>
      </c>
      <c r="C43" t="inlineStr">
        <is>
          <t>04/02/1995</t>
        </is>
      </c>
      <c r="D43" t="inlineStr">
        <is>
          <t>Graaf Van Vlaanderenplein</t>
        </is>
      </c>
      <c r="E43" t="n">
        <v>37</v>
      </c>
      <c r="F43" t="inlineStr">
        <is>
          <t>Overpelt</t>
        </is>
      </c>
      <c r="G43" t="n">
        <v>1</v>
      </c>
      <c r="H43" t="n">
        <v>2</v>
      </c>
      <c r="I43" t="n">
        <v>228.44</v>
      </c>
      <c r="J43" t="inlineStr">
        <is>
          <t>Af en toe</t>
        </is>
      </c>
      <c r="K43" t="inlineStr">
        <is>
          <t>Payconiq</t>
        </is>
      </c>
      <c r="L43" t="n">
        <v>6.6</v>
      </c>
      <c r="M43" t="inlineStr">
        <is>
          <t>Geen dieet</t>
        </is>
      </c>
      <c r="N43">
        <f>LEFT(A43, FIND(",", A43)-1)</f>
        <v/>
      </c>
      <c r="O43">
        <f>MID(A43, FIND(",", A43)+2, LEN(A43))</f>
        <v/>
      </c>
      <c r="P43">
        <f>SWITCH(J43, "Zelden", 1, "Af en toe", 4, "Regelmatig", 8, "Vaak", 12)</f>
        <v/>
      </c>
      <c r="Q43">
        <f>IF(L43&gt;=7, "Tevreden", "Ontevreden")</f>
        <v/>
      </c>
    </row>
    <row r="44">
      <c r="A44" t="inlineStr">
        <is>
          <t>Simons, Pedro</t>
        </is>
      </c>
      <c r="B44" t="n">
        <v>4762187668</v>
      </c>
      <c r="C44" t="inlineStr">
        <is>
          <t>19/11/1973</t>
        </is>
      </c>
      <c r="D44" t="inlineStr">
        <is>
          <t>Grondwetlaan</t>
        </is>
      </c>
      <c r="E44" t="n">
        <v>56</v>
      </c>
      <c r="F44" t="inlineStr">
        <is>
          <t>Maasmechelen</t>
        </is>
      </c>
      <c r="G44" t="n">
        <v>1</v>
      </c>
      <c r="H44" t="n">
        <v>0</v>
      </c>
      <c r="I44" t="n">
        <v>20.44</v>
      </c>
      <c r="J44" t="inlineStr">
        <is>
          <t>Dagelijks</t>
        </is>
      </c>
      <c r="K44" t="inlineStr">
        <is>
          <t>Bancontact</t>
        </is>
      </c>
      <c r="L44" t="n">
        <v>6.95</v>
      </c>
      <c r="M44" t="inlineStr">
        <is>
          <t>Geen dieet</t>
        </is>
      </c>
      <c r="N44">
        <f>LEFT(A44, FIND(",", A44)-1)</f>
        <v/>
      </c>
      <c r="O44">
        <f>MID(A44, FIND(",", A44)+2, LEN(A44))</f>
        <v/>
      </c>
      <c r="P44">
        <f>SWITCH(J44, "Zelden", 1, "Af en toe", 4, "Regelmatig", 8, "Vaak", 12)</f>
        <v/>
      </c>
      <c r="Q44">
        <f>IF(L44&gt;=7, "Tevreden", "Ontevreden")</f>
        <v/>
      </c>
    </row>
    <row r="45">
      <c r="A45" t="inlineStr">
        <is>
          <t>Peeters, Maël</t>
        </is>
      </c>
      <c r="B45" t="n">
        <v>1788181578</v>
      </c>
      <c r="C45" t="inlineStr">
        <is>
          <t>03/04/1999</t>
        </is>
      </c>
      <c r="D45" t="inlineStr">
        <is>
          <t>Blekersdijk</t>
        </is>
      </c>
      <c r="E45" t="n">
        <v>51</v>
      </c>
      <c r="F45" t="inlineStr">
        <is>
          <t>Kessenich</t>
        </is>
      </c>
      <c r="G45" t="n">
        <v>1</v>
      </c>
      <c r="H45" t="n">
        <v>0</v>
      </c>
      <c r="I45" t="n">
        <v>69.15000000000001</v>
      </c>
      <c r="J45" t="inlineStr">
        <is>
          <t>Zelden</t>
        </is>
      </c>
      <c r="K45" t="inlineStr">
        <is>
          <t>Bancontact</t>
        </is>
      </c>
      <c r="L45" t="n">
        <v>7.15</v>
      </c>
      <c r="M45" t="inlineStr">
        <is>
          <t>Geen dieet</t>
        </is>
      </c>
      <c r="N45">
        <f>LEFT(A45, FIND(",", A45)-1)</f>
        <v/>
      </c>
      <c r="O45">
        <f>MID(A45, FIND(",", A45)+2, LEN(A45))</f>
        <v/>
      </c>
      <c r="P45">
        <f>SWITCH(J45, "Zelden", 1, "Af en toe", 4, "Regelmatig", 8, "Vaak", 12)</f>
        <v/>
      </c>
      <c r="Q45">
        <f>IF(L45&gt;=7, "Tevreden", "Ontevreden")</f>
        <v/>
      </c>
    </row>
    <row r="46">
      <c r="A46" t="inlineStr">
        <is>
          <t>Jacobs, Lara</t>
        </is>
      </c>
      <c r="B46" t="n">
        <v>9763686018</v>
      </c>
      <c r="C46" t="inlineStr">
        <is>
          <t>11/12/2002</t>
        </is>
      </c>
      <c r="D46" t="inlineStr">
        <is>
          <t>Dulle-grietlaan</t>
        </is>
      </c>
      <c r="E46" t="n">
        <v>1</v>
      </c>
      <c r="F46" t="inlineStr">
        <is>
          <t>Hasselt</t>
        </is>
      </c>
      <c r="G46" t="n">
        <v>2</v>
      </c>
      <c r="H46" t="n">
        <v>0</v>
      </c>
      <c r="I46" t="n">
        <v>144.18</v>
      </c>
      <c r="J46" t="inlineStr">
        <is>
          <t>Zeer vaak</t>
        </is>
      </c>
      <c r="K46" t="inlineStr">
        <is>
          <t>Payconiq</t>
        </is>
      </c>
      <c r="L46" t="n">
        <v>7.08</v>
      </c>
      <c r="M46" t="inlineStr">
        <is>
          <t>Geen dieet</t>
        </is>
      </c>
      <c r="N46">
        <f>LEFT(A46, FIND(",", A46)-1)</f>
        <v/>
      </c>
      <c r="O46">
        <f>MID(A46, FIND(",", A46)+2, LEN(A46))</f>
        <v/>
      </c>
      <c r="P46">
        <f>SWITCH(J46, "Zelden", 1, "Af en toe", 4, "Regelmatig", 8, "Vaak", 12)</f>
        <v/>
      </c>
      <c r="Q46">
        <f>IF(L46&gt;=7, "Tevreden", "Ontevreden")</f>
        <v/>
      </c>
    </row>
    <row r="47">
      <c r="A47" t="inlineStr">
        <is>
          <t>De paepe, Lucas</t>
        </is>
      </c>
      <c r="B47" t="n">
        <v>4082862990</v>
      </c>
      <c r="C47" t="inlineStr">
        <is>
          <t>11/09/1981</t>
        </is>
      </c>
      <c r="D47" t="inlineStr">
        <is>
          <t>Trommelstraat</t>
        </is>
      </c>
      <c r="E47" t="n">
        <v>21</v>
      </c>
      <c r="F47" t="inlineStr">
        <is>
          <t>Lommel</t>
        </is>
      </c>
      <c r="G47" t="n">
        <v>1</v>
      </c>
      <c r="H47" t="n">
        <v>0</v>
      </c>
      <c r="I47" t="n">
        <v>69.70999999999999</v>
      </c>
      <c r="J47" t="inlineStr">
        <is>
          <t>Dagelijks</t>
        </is>
      </c>
      <c r="K47" t="inlineStr">
        <is>
          <t>Bancontact</t>
        </is>
      </c>
      <c r="L47" t="n">
        <v>7.26</v>
      </c>
      <c r="M47" t="inlineStr">
        <is>
          <t>Geen dieet</t>
        </is>
      </c>
      <c r="N47">
        <f>LEFT(A47, FIND(",", A47)-1)</f>
        <v/>
      </c>
      <c r="O47">
        <f>MID(A47, FIND(",", A47)+2, LEN(A47))</f>
        <v/>
      </c>
      <c r="P47">
        <f>SWITCH(J47, "Zelden", 1, "Af en toe", 4, "Regelmatig", 8, "Vaak", 12)</f>
        <v/>
      </c>
      <c r="Q47">
        <f>IF(L47&gt;=7, "Tevreden", "Ontevreden")</f>
        <v/>
      </c>
    </row>
    <row r="48">
      <c r="A48" t="inlineStr">
        <is>
          <t>Blomme, Olivier</t>
        </is>
      </c>
      <c r="B48" t="n">
        <v>803948065</v>
      </c>
      <c r="C48" t="inlineStr">
        <is>
          <t>21/10/1980</t>
        </is>
      </c>
      <c r="D48" t="inlineStr">
        <is>
          <t>Poolse - Winglaan</t>
        </is>
      </c>
      <c r="E48" t="n">
        <v>72</v>
      </c>
      <c r="F48" t="inlineStr">
        <is>
          <t>Zepperen</t>
        </is>
      </c>
      <c r="G48" t="n">
        <v>2</v>
      </c>
      <c r="H48" t="n">
        <v>0</v>
      </c>
      <c r="I48" t="n">
        <v>52.24</v>
      </c>
      <c r="J48" t="inlineStr">
        <is>
          <t>Dagelijks</t>
        </is>
      </c>
      <c r="K48" t="inlineStr">
        <is>
          <t>Bancontact</t>
        </is>
      </c>
      <c r="L48" t="n">
        <v>7.48</v>
      </c>
      <c r="M48" t="inlineStr">
        <is>
          <t>Geen dieet</t>
        </is>
      </c>
      <c r="N48">
        <f>LEFT(A48, FIND(",", A48)-1)</f>
        <v/>
      </c>
      <c r="O48">
        <f>MID(A48, FIND(",", A48)+2, LEN(A48))</f>
        <v/>
      </c>
      <c r="P48">
        <f>SWITCH(J48, "Zelden", 1, "Af en toe", 4, "Regelmatig", 8, "Vaak", 12)</f>
        <v/>
      </c>
      <c r="Q48">
        <f>IF(L48&gt;=7, "Tevreden", "Ontevreden")</f>
        <v/>
      </c>
    </row>
    <row r="49">
      <c r="A49" t="inlineStr">
        <is>
          <t>Diallo, Jolien</t>
        </is>
      </c>
      <c r="B49" t="n">
        <v>4687533052</v>
      </c>
      <c r="C49" t="inlineStr">
        <is>
          <t>10/08/1996</t>
        </is>
      </c>
      <c r="D49" t="inlineStr">
        <is>
          <t>Slachthuisstraat</t>
        </is>
      </c>
      <c r="E49" t="n">
        <v>12</v>
      </c>
      <c r="F49" t="inlineStr">
        <is>
          <t>Rijkhoven</t>
        </is>
      </c>
      <c r="G49" t="n">
        <v>1</v>
      </c>
      <c r="H49" t="n">
        <v>3</v>
      </c>
      <c r="I49" t="n">
        <v>32.83</v>
      </c>
      <c r="J49" t="inlineStr">
        <is>
          <t>Dagelijks</t>
        </is>
      </c>
      <c r="K49" t="inlineStr">
        <is>
          <t>Payconiq</t>
        </is>
      </c>
      <c r="L49" t="n">
        <v>7.32</v>
      </c>
      <c r="M49" t="inlineStr">
        <is>
          <t>Geen dieet</t>
        </is>
      </c>
      <c r="N49">
        <f>LEFT(A49, FIND(",", A49)-1)</f>
        <v/>
      </c>
      <c r="O49">
        <f>MID(A49, FIND(",", A49)+2, LEN(A49))</f>
        <v/>
      </c>
      <c r="P49">
        <f>SWITCH(J49, "Zelden", 1, "Af en toe", 4, "Regelmatig", 8, "Vaak", 12)</f>
        <v/>
      </c>
      <c r="Q49">
        <f>IF(L49&gt;=7, "Tevreden", "Ontevreden")</f>
        <v/>
      </c>
    </row>
    <row r="50">
      <c r="A50" t="inlineStr">
        <is>
          <t>De keyser, Isabelle</t>
        </is>
      </c>
      <c r="B50" t="n">
        <v>5498744612</v>
      </c>
      <c r="C50" t="inlineStr">
        <is>
          <t>06/08/1979</t>
        </is>
      </c>
      <c r="D50" t="inlineStr">
        <is>
          <t>Vlaanderenstraat</t>
        </is>
      </c>
      <c r="E50" t="n">
        <v>77</v>
      </c>
      <c r="F50" t="inlineStr">
        <is>
          <t>Kinrooi</t>
        </is>
      </c>
      <c r="G50" t="n">
        <v>2</v>
      </c>
      <c r="H50" t="n">
        <v>1</v>
      </c>
      <c r="I50" t="n">
        <v>124.84</v>
      </c>
      <c r="J50" t="inlineStr">
        <is>
          <t>Zelden</t>
        </is>
      </c>
      <c r="K50" t="inlineStr">
        <is>
          <t>Payconiq</t>
        </is>
      </c>
      <c r="L50" t="n">
        <v>7.42</v>
      </c>
      <c r="M50" t="inlineStr">
        <is>
          <t>Geen dieet</t>
        </is>
      </c>
      <c r="N50">
        <f>LEFT(A50, FIND(",", A50)-1)</f>
        <v/>
      </c>
      <c r="O50">
        <f>MID(A50, FIND(",", A50)+2, LEN(A50))</f>
        <v/>
      </c>
      <c r="P50">
        <f>SWITCH(J50, "Zelden", 1, "Af en toe", 4, "Regelmatig", 8, "Vaak", 12)</f>
        <v/>
      </c>
      <c r="Q50">
        <f>IF(L50&gt;=7, "Tevreden", "Ontevreden")</f>
        <v/>
      </c>
    </row>
    <row r="51">
      <c r="A51" t="inlineStr">
        <is>
          <t>Lambrecht, Younes</t>
        </is>
      </c>
      <c r="B51" t="n">
        <v>6849140384</v>
      </c>
      <c r="C51" t="inlineStr">
        <is>
          <t>10/03/1973</t>
        </is>
      </c>
      <c r="D51" t="inlineStr">
        <is>
          <t>Muilaardstraat</t>
        </is>
      </c>
      <c r="E51" t="n">
        <v>12</v>
      </c>
      <c r="F51" t="inlineStr">
        <is>
          <t>Sint-Truiden</t>
        </is>
      </c>
      <c r="G51" t="n">
        <v>1</v>
      </c>
      <c r="H51" t="n">
        <v>4</v>
      </c>
      <c r="I51" t="n">
        <v>103.87</v>
      </c>
      <c r="J51" t="inlineStr">
        <is>
          <t>Zeer vaak</t>
        </is>
      </c>
      <c r="K51" t="inlineStr">
        <is>
          <t>Payconiq</t>
        </is>
      </c>
      <c r="L51" t="n">
        <v>8.220000000000001</v>
      </c>
      <c r="M51" t="inlineStr">
        <is>
          <t>Vegetarisch</t>
        </is>
      </c>
      <c r="N51">
        <f>LEFT(A51, FIND(",", A51)-1)</f>
        <v/>
      </c>
      <c r="O51">
        <f>MID(A51, FIND(",", A51)+2, LEN(A51))</f>
        <v/>
      </c>
      <c r="P51">
        <f>SWITCH(J51, "Zelden", 1, "Af en toe", 4, "Regelmatig", 8, "Vaak", 12)</f>
        <v/>
      </c>
      <c r="Q51">
        <f>IF(L51&gt;=7, "Tevreden", "Ontevreden")</f>
        <v/>
      </c>
    </row>
    <row r="52">
      <c r="A52" t="inlineStr">
        <is>
          <t>Schepens, An-Sofie</t>
        </is>
      </c>
      <c r="B52" t="n">
        <v>512877056</v>
      </c>
      <c r="C52" t="inlineStr">
        <is>
          <t>23/04/1973</t>
        </is>
      </c>
      <c r="D52" t="inlineStr">
        <is>
          <t>Acacialaan</t>
        </is>
      </c>
      <c r="E52" t="n">
        <v>49</v>
      </c>
      <c r="F52" t="inlineStr">
        <is>
          <t>Tongeren</t>
        </is>
      </c>
      <c r="G52" t="n">
        <v>1</v>
      </c>
      <c r="H52" t="n">
        <v>0</v>
      </c>
      <c r="I52" t="n">
        <v>52.35</v>
      </c>
      <c r="J52" t="inlineStr">
        <is>
          <t>Zelden</t>
        </is>
      </c>
      <c r="K52" t="inlineStr">
        <is>
          <t>Payconiq</t>
        </is>
      </c>
      <c r="L52" t="n">
        <v>6.96</v>
      </c>
      <c r="M52" t="inlineStr">
        <is>
          <t>Geen dieet</t>
        </is>
      </c>
      <c r="N52">
        <f>LEFT(A52, FIND(",", A52)-1)</f>
        <v/>
      </c>
      <c r="O52">
        <f>MID(A52, FIND(",", A52)+2, LEN(A52))</f>
        <v/>
      </c>
      <c r="P52">
        <f>SWITCH(J52, "Zelden", 1, "Af en toe", 4, "Regelmatig", 8, "Vaak", 12)</f>
        <v/>
      </c>
      <c r="Q52">
        <f>IF(L52&gt;=7, "Tevreden", "Ontevreden")</f>
        <v/>
      </c>
    </row>
    <row r="53">
      <c r="A53" t="inlineStr">
        <is>
          <t>De bie, Bernard</t>
        </is>
      </c>
      <c r="B53" t="n">
        <v>7278992482</v>
      </c>
      <c r="C53" t="inlineStr">
        <is>
          <t>28/01/1976</t>
        </is>
      </c>
      <c r="D53" t="inlineStr">
        <is>
          <t>Bollewerkstraat</t>
        </is>
      </c>
      <c r="E53" t="n">
        <v>65</v>
      </c>
      <c r="F53" t="inlineStr">
        <is>
          <t>Opglabbeek</t>
        </is>
      </c>
      <c r="G53" t="n">
        <v>2</v>
      </c>
      <c r="H53" t="n">
        <v>0</v>
      </c>
      <c r="I53" t="n">
        <v>40.96</v>
      </c>
      <c r="J53" t="inlineStr">
        <is>
          <t>Vaak</t>
        </is>
      </c>
      <c r="K53" t="inlineStr">
        <is>
          <t>Payconiq</t>
        </is>
      </c>
      <c r="L53" t="n">
        <v>7.59</v>
      </c>
      <c r="M53" t="inlineStr">
        <is>
          <t>Geen dieet</t>
        </is>
      </c>
      <c r="N53">
        <f>LEFT(A53, FIND(",", A53)-1)</f>
        <v/>
      </c>
      <c r="O53">
        <f>MID(A53, FIND(",", A53)+2, LEN(A53))</f>
        <v/>
      </c>
      <c r="P53">
        <f>SWITCH(J53, "Zelden", 1, "Af en toe", 4, "Regelmatig", 8, "Vaak", 12)</f>
        <v/>
      </c>
      <c r="Q53">
        <f>IF(L53&gt;=7, "Tevreden", "Ontevreden")</f>
        <v/>
      </c>
    </row>
    <row r="54">
      <c r="A54" t="inlineStr">
        <is>
          <t>Delvaux, Vincent</t>
        </is>
      </c>
      <c r="B54" t="n">
        <v>7983157684</v>
      </c>
      <c r="C54" t="inlineStr">
        <is>
          <t>06/07/1954</t>
        </is>
      </c>
      <c r="D54" t="inlineStr">
        <is>
          <t>Botermarkt</t>
        </is>
      </c>
      <c r="E54" t="n">
        <v>25</v>
      </c>
      <c r="F54" t="inlineStr">
        <is>
          <t>Tongeren</t>
        </is>
      </c>
      <c r="G54" t="n">
        <v>2</v>
      </c>
      <c r="H54" t="n">
        <v>0</v>
      </c>
      <c r="I54" t="n">
        <v>24.42</v>
      </c>
      <c r="J54" t="inlineStr">
        <is>
          <t>Af en toe</t>
        </is>
      </c>
      <c r="K54" t="inlineStr">
        <is>
          <t>Payconiq</t>
        </is>
      </c>
      <c r="L54" t="n">
        <v>7.44</v>
      </c>
      <c r="M54" t="inlineStr">
        <is>
          <t>Geen dieet</t>
        </is>
      </c>
      <c r="N54">
        <f>LEFT(A54, FIND(",", A54)-1)</f>
        <v/>
      </c>
      <c r="O54">
        <f>MID(A54, FIND(",", A54)+2, LEN(A54))</f>
        <v/>
      </c>
      <c r="P54">
        <f>SWITCH(J54, "Zelden", 1, "Af en toe", 4, "Regelmatig", 8, "Vaak", 12)</f>
        <v/>
      </c>
      <c r="Q54">
        <f>IF(L54&gt;=7, "Tevreden", "Ontevreden")</f>
        <v/>
      </c>
    </row>
    <row r="55">
      <c r="A55" t="inlineStr">
        <is>
          <t>Coppens, Amina</t>
        </is>
      </c>
      <c r="B55" t="n">
        <v>4157402662</v>
      </c>
      <c r="C55" t="inlineStr">
        <is>
          <t>05/12/1988</t>
        </is>
      </c>
      <c r="D55" t="inlineStr">
        <is>
          <t>Sagastraat</t>
        </is>
      </c>
      <c r="E55" t="n">
        <v>8</v>
      </c>
      <c r="F55" t="inlineStr">
        <is>
          <t>Lanaken</t>
        </is>
      </c>
      <c r="G55" t="n">
        <v>1</v>
      </c>
      <c r="H55" t="n">
        <v>3</v>
      </c>
      <c r="I55" t="n">
        <v>113.57</v>
      </c>
      <c r="J55" t="inlineStr">
        <is>
          <t>Vaak</t>
        </is>
      </c>
      <c r="K55" t="inlineStr">
        <is>
          <t>Bancontact</t>
        </is>
      </c>
      <c r="L55" t="n">
        <v>7.17</v>
      </c>
      <c r="M55" t="inlineStr">
        <is>
          <t>Geen dieet</t>
        </is>
      </c>
      <c r="N55">
        <f>LEFT(A55, FIND(",", A55)-1)</f>
        <v/>
      </c>
      <c r="O55">
        <f>MID(A55, FIND(",", A55)+2, LEN(A55))</f>
        <v/>
      </c>
      <c r="P55">
        <f>SWITCH(J55, "Zelden", 1, "Af en toe", 4, "Regelmatig", 8, "Vaak", 12)</f>
        <v/>
      </c>
      <c r="Q55">
        <f>IF(L55&gt;=7, "Tevreden", "Ontevreden")</f>
        <v/>
      </c>
    </row>
    <row r="56">
      <c r="A56" t="inlineStr">
        <is>
          <t>Massart, Samira</t>
        </is>
      </c>
      <c r="B56" t="n">
        <v>8106788238</v>
      </c>
      <c r="C56" t="inlineStr">
        <is>
          <t>05/03/1947</t>
        </is>
      </c>
      <c r="D56" t="inlineStr">
        <is>
          <t>Pijlstraat</t>
        </is>
      </c>
      <c r="E56" t="n">
        <v>35</v>
      </c>
      <c r="F56" t="inlineStr">
        <is>
          <t>Riemst</t>
        </is>
      </c>
      <c r="G56" t="n">
        <v>2</v>
      </c>
      <c r="H56" t="n">
        <v>1</v>
      </c>
      <c r="I56" t="n">
        <v>123.2</v>
      </c>
      <c r="J56" t="inlineStr">
        <is>
          <t>Vaak</t>
        </is>
      </c>
      <c r="K56" t="inlineStr">
        <is>
          <t>Bancontact</t>
        </is>
      </c>
      <c r="L56" t="n">
        <v>6.26</v>
      </c>
      <c r="M56" t="inlineStr">
        <is>
          <t>Veganistisch</t>
        </is>
      </c>
      <c r="N56">
        <f>LEFT(A56, FIND(",", A56)-1)</f>
        <v/>
      </c>
      <c r="O56">
        <f>MID(A56, FIND(",", A56)+2, LEN(A56))</f>
        <v/>
      </c>
      <c r="P56">
        <f>SWITCH(J56, "Zelden", 1, "Af en toe", 4, "Regelmatig", 8, "Vaak", 12)</f>
        <v/>
      </c>
      <c r="Q56">
        <f>IF(L56&gt;=7, "Tevreden", "Ontevreden")</f>
        <v/>
      </c>
    </row>
    <row r="57">
      <c r="A57" t="inlineStr">
        <is>
          <t>Lambrecht, Felix</t>
        </is>
      </c>
      <c r="B57" t="n">
        <v>7142598039</v>
      </c>
      <c r="C57" t="inlineStr">
        <is>
          <t>01/06/1947</t>
        </is>
      </c>
      <c r="D57" t="inlineStr">
        <is>
          <t>Frans Gevaertstraat</t>
        </is>
      </c>
      <c r="E57" t="n">
        <v>10</v>
      </c>
      <c r="F57" t="inlineStr">
        <is>
          <t>Sint-Truiden</t>
        </is>
      </c>
      <c r="G57" t="n">
        <v>1</v>
      </c>
      <c r="H57" t="n">
        <v>0</v>
      </c>
      <c r="I57" t="n">
        <v>138.38</v>
      </c>
      <c r="J57" t="inlineStr">
        <is>
          <t>Vaak</t>
        </is>
      </c>
      <c r="K57" t="inlineStr">
        <is>
          <t>Cash</t>
        </is>
      </c>
      <c r="L57" t="n">
        <v>7</v>
      </c>
      <c r="M57" t="inlineStr">
        <is>
          <t>Geen dieet</t>
        </is>
      </c>
      <c r="N57">
        <f>LEFT(A57, FIND(",", A57)-1)</f>
        <v/>
      </c>
      <c r="O57">
        <f>MID(A57, FIND(",", A57)+2, LEN(A57))</f>
        <v/>
      </c>
      <c r="P57">
        <f>SWITCH(J57, "Zelden", 1, "Af en toe", 4, "Regelmatig", 8, "Vaak", 12)</f>
        <v/>
      </c>
      <c r="Q57">
        <f>IF(L57&gt;=7, "Tevreden", "Ontevreden")</f>
        <v/>
      </c>
    </row>
    <row r="58">
      <c r="A58" t="inlineStr">
        <is>
          <t>Cools, Patrick</t>
        </is>
      </c>
      <c r="B58" t="n">
        <v>6114091372</v>
      </c>
      <c r="C58" t="inlineStr">
        <is>
          <t>20/10/1961</t>
        </is>
      </c>
      <c r="D58" t="inlineStr">
        <is>
          <t>Sint-martensstraat</t>
        </is>
      </c>
      <c r="E58" t="n">
        <v>1</v>
      </c>
      <c r="F58" t="inlineStr">
        <is>
          <t>Hasselt</t>
        </is>
      </c>
      <c r="G58" t="n">
        <v>5</v>
      </c>
      <c r="H58" t="n">
        <v>2</v>
      </c>
      <c r="I58" t="n">
        <v>152.05</v>
      </c>
      <c r="J58" t="inlineStr">
        <is>
          <t>Af en toe</t>
        </is>
      </c>
      <c r="K58" t="inlineStr">
        <is>
          <t>Bancontact</t>
        </is>
      </c>
      <c r="L58" t="n">
        <v>6.93</v>
      </c>
      <c r="M58" t="inlineStr">
        <is>
          <t>Geen dieet</t>
        </is>
      </c>
      <c r="N58">
        <f>LEFT(A58, FIND(",", A58)-1)</f>
        <v/>
      </c>
      <c r="O58">
        <f>MID(A58, FIND(",", A58)+2, LEN(A58))</f>
        <v/>
      </c>
      <c r="P58">
        <f>SWITCH(J58, "Zelden", 1, "Af en toe", 4, "Regelmatig", 8, "Vaak", 12)</f>
        <v/>
      </c>
      <c r="Q58">
        <f>IF(L58&gt;=7, "Tevreden", "Ontevreden")</f>
        <v/>
      </c>
    </row>
    <row r="59">
      <c r="A59" t="inlineStr">
        <is>
          <t>Verheyden, Tom</t>
        </is>
      </c>
      <c r="B59" t="n">
        <v>7055894710</v>
      </c>
      <c r="C59" t="inlineStr">
        <is>
          <t>05/08/1994</t>
        </is>
      </c>
      <c r="D59" t="inlineStr">
        <is>
          <t>Eksaardserijweg</t>
        </is>
      </c>
      <c r="E59" t="n">
        <v>37</v>
      </c>
      <c r="F59" t="inlineStr">
        <is>
          <t>Zonhoven</t>
        </is>
      </c>
      <c r="G59" t="n">
        <v>2</v>
      </c>
      <c r="H59" t="n">
        <v>1</v>
      </c>
      <c r="I59" t="n">
        <v>25.27</v>
      </c>
      <c r="J59" t="inlineStr">
        <is>
          <t>Zeer vaak</t>
        </is>
      </c>
      <c r="K59" t="inlineStr">
        <is>
          <t>Bancontact</t>
        </is>
      </c>
      <c r="L59" t="n">
        <v>7.78</v>
      </c>
      <c r="M59" t="inlineStr">
        <is>
          <t>Geen dieet</t>
        </is>
      </c>
      <c r="N59">
        <f>LEFT(A59, FIND(",", A59)-1)</f>
        <v/>
      </c>
      <c r="O59">
        <f>MID(A59, FIND(",", A59)+2, LEN(A59))</f>
        <v/>
      </c>
      <c r="P59">
        <f>SWITCH(J59, "Zelden", 1, "Af en toe", 4, "Regelmatig", 8, "Vaak", 12)</f>
        <v/>
      </c>
      <c r="Q59">
        <f>IF(L59&gt;=7, "Tevreden", "Ontevreden")</f>
        <v/>
      </c>
    </row>
    <row r="60">
      <c r="A60" t="inlineStr">
        <is>
          <t>Bogaert, Annemie</t>
        </is>
      </c>
      <c r="B60" t="n">
        <v>8796496272</v>
      </c>
      <c r="C60" t="inlineStr">
        <is>
          <t>23/10/1956</t>
        </is>
      </c>
      <c r="D60" t="inlineStr">
        <is>
          <t>Voskenslaan</t>
        </is>
      </c>
      <c r="E60" t="n">
        <v>33</v>
      </c>
      <c r="F60" t="inlineStr">
        <is>
          <t>Wellen</t>
        </is>
      </c>
      <c r="G60" t="n">
        <v>2</v>
      </c>
      <c r="H60" t="n">
        <v>0</v>
      </c>
      <c r="I60" t="n">
        <v>52.79</v>
      </c>
      <c r="J60" t="inlineStr">
        <is>
          <t>Vaak</t>
        </is>
      </c>
      <c r="K60" t="inlineStr">
        <is>
          <t>Payconiq</t>
        </is>
      </c>
      <c r="L60" t="n">
        <v>6.58</v>
      </c>
      <c r="M60" t="inlineStr">
        <is>
          <t>Geen dieet</t>
        </is>
      </c>
      <c r="N60">
        <f>LEFT(A60, FIND(",", A60)-1)</f>
        <v/>
      </c>
      <c r="O60">
        <f>MID(A60, FIND(",", A60)+2, LEN(A60))</f>
        <v/>
      </c>
      <c r="P60">
        <f>SWITCH(J60, "Zelden", 1, "Af en toe", 4, "Regelmatig", 8, "Vaak", 12)</f>
        <v/>
      </c>
      <c r="Q60">
        <f>IF(L60&gt;=7, "Tevreden", "Ontevreden")</f>
        <v/>
      </c>
    </row>
    <row r="61">
      <c r="A61" t="inlineStr">
        <is>
          <t>Debruyne, Burcu</t>
        </is>
      </c>
      <c r="B61" t="n">
        <v>5299729087</v>
      </c>
      <c r="C61" t="inlineStr">
        <is>
          <t>31/07/1994</t>
        </is>
      </c>
      <c r="D61" t="inlineStr">
        <is>
          <t>Hofstraat</t>
        </is>
      </c>
      <c r="E61" t="n">
        <v>62</v>
      </c>
      <c r="F61" t="inlineStr">
        <is>
          <t>Overpelt</t>
        </is>
      </c>
      <c r="G61" t="n">
        <v>5</v>
      </c>
      <c r="H61" t="n">
        <v>2</v>
      </c>
      <c r="I61" t="n">
        <v>154.44</v>
      </c>
      <c r="J61" t="inlineStr">
        <is>
          <t>Zelden</t>
        </is>
      </c>
      <c r="K61" t="inlineStr">
        <is>
          <t>Bancontact</t>
        </is>
      </c>
      <c r="L61" t="n">
        <v>7.56</v>
      </c>
      <c r="M61" t="inlineStr">
        <is>
          <t>Geen dieet</t>
        </is>
      </c>
      <c r="N61">
        <f>LEFT(A61, FIND(",", A61)-1)</f>
        <v/>
      </c>
      <c r="O61">
        <f>MID(A61, FIND(",", A61)+2, LEN(A61))</f>
        <v/>
      </c>
      <c r="P61">
        <f>SWITCH(J61, "Zelden", 1, "Af en toe", 4, "Regelmatig", 8, "Vaak", 12)</f>
        <v/>
      </c>
      <c r="Q61">
        <f>IF(L61&gt;=7, "Tevreden", "Ontevreden")</f>
        <v/>
      </c>
    </row>
    <row r="62">
      <c r="A62" t="inlineStr">
        <is>
          <t>Maes, Maelys</t>
        </is>
      </c>
      <c r="B62" t="n">
        <v>7477392213</v>
      </c>
      <c r="C62" t="inlineStr">
        <is>
          <t>26/03/1972</t>
        </is>
      </c>
      <c r="D62" t="inlineStr">
        <is>
          <t>Gentbruggekouter</t>
        </is>
      </c>
      <c r="E62" t="n">
        <v>26</v>
      </c>
      <c r="F62" t="inlineStr">
        <is>
          <t>Gingelom</t>
        </is>
      </c>
      <c r="G62" t="n">
        <v>1</v>
      </c>
      <c r="H62" t="n">
        <v>0</v>
      </c>
      <c r="I62" t="n">
        <v>74.31999999999999</v>
      </c>
      <c r="J62" t="inlineStr">
        <is>
          <t>Af en toe</t>
        </is>
      </c>
      <c r="K62" t="inlineStr">
        <is>
          <t>Bancontact</t>
        </is>
      </c>
      <c r="L62" t="n">
        <v>6.1</v>
      </c>
      <c r="M62" t="inlineStr">
        <is>
          <t>Veganistisch</t>
        </is>
      </c>
      <c r="N62">
        <f>LEFT(A62, FIND(",", A62)-1)</f>
        <v/>
      </c>
      <c r="O62">
        <f>MID(A62, FIND(",", A62)+2, LEN(A62))</f>
        <v/>
      </c>
      <c r="P62">
        <f>SWITCH(J62, "Zelden", 1, "Af en toe", 4, "Regelmatig", 8, "Vaak", 12)</f>
        <v/>
      </c>
      <c r="Q62">
        <f>IF(L62&gt;=7, "Tevreden", "Ontevreden")</f>
        <v/>
      </c>
    </row>
    <row r="63">
      <c r="A63" t="inlineStr">
        <is>
          <t>Jacobs, Yolène</t>
        </is>
      </c>
      <c r="B63" t="n">
        <v>1964206525</v>
      </c>
      <c r="C63" t="inlineStr">
        <is>
          <t>22/12/1999</t>
        </is>
      </c>
      <c r="D63" t="inlineStr">
        <is>
          <t>Nonnemeersstraat</t>
        </is>
      </c>
      <c r="E63" t="n">
        <v>32</v>
      </c>
      <c r="F63" t="inlineStr">
        <is>
          <t>Maasmechelen</t>
        </is>
      </c>
      <c r="G63" t="n">
        <v>2</v>
      </c>
      <c r="H63" t="n">
        <v>0</v>
      </c>
      <c r="I63" t="n">
        <v>120.93</v>
      </c>
      <c r="J63" t="inlineStr">
        <is>
          <t>Vaak</t>
        </is>
      </c>
      <c r="K63" t="inlineStr">
        <is>
          <t>Payconiq</t>
        </is>
      </c>
      <c r="L63" t="n">
        <v>6.13</v>
      </c>
      <c r="M63" t="inlineStr">
        <is>
          <t>Veganistisch</t>
        </is>
      </c>
      <c r="N63">
        <f>LEFT(A63, FIND(",", A63)-1)</f>
        <v/>
      </c>
      <c r="O63">
        <f>MID(A63, FIND(",", A63)+2, LEN(A63))</f>
        <v/>
      </c>
      <c r="P63">
        <f>SWITCH(J63, "Zelden", 1, "Af en toe", 4, "Regelmatig", 8, "Vaak", 12)</f>
        <v/>
      </c>
      <c r="Q63">
        <f>IF(L63&gt;=7, "Tevreden", "Ontevreden")</f>
        <v/>
      </c>
    </row>
    <row r="64">
      <c r="A64" t="inlineStr">
        <is>
          <t>Baeyens, Marie</t>
        </is>
      </c>
      <c r="B64" t="n">
        <v>7428441816</v>
      </c>
      <c r="C64" t="inlineStr">
        <is>
          <t>24/05/2001</t>
        </is>
      </c>
      <c r="D64" t="inlineStr">
        <is>
          <t>Sint-denijslaan</t>
        </is>
      </c>
      <c r="E64" t="n">
        <v>54</v>
      </c>
      <c r="F64" t="inlineStr">
        <is>
          <t>Hasselt</t>
        </is>
      </c>
      <c r="G64" t="n">
        <v>2</v>
      </c>
      <c r="H64" t="n">
        <v>2</v>
      </c>
      <c r="I64" t="n">
        <v>98.94</v>
      </c>
      <c r="J64" t="inlineStr">
        <is>
          <t>Af en toe</t>
        </is>
      </c>
      <c r="K64" t="inlineStr">
        <is>
          <t>Bancontact</t>
        </is>
      </c>
      <c r="L64" t="n">
        <v>7.27</v>
      </c>
      <c r="M64" t="inlineStr">
        <is>
          <t>Geen dieet</t>
        </is>
      </c>
      <c r="N64">
        <f>LEFT(A64, FIND(",", A64)-1)</f>
        <v/>
      </c>
      <c r="O64">
        <f>MID(A64, FIND(",", A64)+2, LEN(A64))</f>
        <v/>
      </c>
      <c r="P64">
        <f>SWITCH(J64, "Zelden", 1, "Af en toe", 4, "Regelmatig", 8, "Vaak", 12)</f>
        <v/>
      </c>
      <c r="Q64">
        <f>IF(L64&gt;=7, "Tevreden", "Ontevreden")</f>
        <v/>
      </c>
    </row>
    <row r="65">
      <c r="A65" t="inlineStr">
        <is>
          <t>Thiry, Théo</t>
        </is>
      </c>
      <c r="B65" t="n">
        <v>5916529093</v>
      </c>
      <c r="C65" t="inlineStr">
        <is>
          <t>29/08/1954</t>
        </is>
      </c>
      <c r="D65" t="inlineStr">
        <is>
          <t>Sint-elisabethplein</t>
        </is>
      </c>
      <c r="E65" t="n">
        <v>21</v>
      </c>
      <c r="F65" t="inlineStr">
        <is>
          <t>Maaseik</t>
        </is>
      </c>
      <c r="G65" t="n">
        <v>1</v>
      </c>
      <c r="H65" t="n">
        <v>2</v>
      </c>
      <c r="I65" t="n">
        <v>41.16</v>
      </c>
      <c r="J65" t="inlineStr">
        <is>
          <t>Zelden</t>
        </is>
      </c>
      <c r="K65" t="inlineStr">
        <is>
          <t>Payconiq</t>
        </is>
      </c>
      <c r="L65" t="n">
        <v>6.74</v>
      </c>
      <c r="M65" t="inlineStr">
        <is>
          <t>Geen dieet</t>
        </is>
      </c>
      <c r="N65">
        <f>LEFT(A65, FIND(",", A65)-1)</f>
        <v/>
      </c>
      <c r="O65">
        <f>MID(A65, FIND(",", A65)+2, LEN(A65))</f>
        <v/>
      </c>
      <c r="P65">
        <f>SWITCH(J65, "Zelden", 1, "Af en toe", 4, "Regelmatig", 8, "Vaak", 12)</f>
        <v/>
      </c>
      <c r="Q65">
        <f>IF(L65&gt;=7, "Tevreden", "Ontevreden")</f>
        <v/>
      </c>
    </row>
    <row r="66">
      <c r="A66" t="inlineStr">
        <is>
          <t>Coppens, Liandro</t>
        </is>
      </c>
      <c r="B66" t="n">
        <v>4524815134</v>
      </c>
      <c r="C66" t="inlineStr">
        <is>
          <t>22/03/1990</t>
        </is>
      </c>
      <c r="D66" t="inlineStr">
        <is>
          <t>F. Lousbergskaai</t>
        </is>
      </c>
      <c r="E66" t="n">
        <v>84</v>
      </c>
      <c r="F66" t="inlineStr">
        <is>
          <t>Tongeren</t>
        </is>
      </c>
      <c r="G66" t="n">
        <v>2</v>
      </c>
      <c r="H66" t="n">
        <v>0</v>
      </c>
      <c r="I66" t="n">
        <v>49.58</v>
      </c>
      <c r="J66" t="inlineStr">
        <is>
          <t>Af en toe</t>
        </is>
      </c>
      <c r="K66" t="inlineStr">
        <is>
          <t>Bancontact</t>
        </is>
      </c>
      <c r="L66" t="n">
        <v>7.34</v>
      </c>
      <c r="M66" t="inlineStr">
        <is>
          <t>Geen dieet</t>
        </is>
      </c>
      <c r="N66">
        <f>LEFT(A66, FIND(",", A66)-1)</f>
        <v/>
      </c>
      <c r="O66">
        <f>MID(A66, FIND(",", A66)+2, LEN(A66))</f>
        <v/>
      </c>
      <c r="P66">
        <f>SWITCH(J66, "Zelden", 1, "Af en toe", 4, "Regelmatig", 8, "Vaak", 12)</f>
        <v/>
      </c>
      <c r="Q66">
        <f>IF(L66&gt;=7, "Tevreden", "Ontevreden")</f>
        <v/>
      </c>
    </row>
    <row r="67">
      <c r="A67" t="inlineStr">
        <is>
          <t>Mertens, Eric</t>
        </is>
      </c>
      <c r="B67" t="n">
        <v>5404619058</v>
      </c>
      <c r="C67" t="inlineStr">
        <is>
          <t>05/06/1945</t>
        </is>
      </c>
      <c r="D67" t="inlineStr">
        <is>
          <t>Derbystraat</t>
        </is>
      </c>
      <c r="E67" t="n">
        <v>42</v>
      </c>
      <c r="F67" t="inlineStr">
        <is>
          <t>Hoeselt</t>
        </is>
      </c>
      <c r="G67" t="n">
        <v>2</v>
      </c>
      <c r="H67" t="n">
        <v>0</v>
      </c>
      <c r="I67" t="n">
        <v>80.43000000000001</v>
      </c>
      <c r="J67" t="inlineStr">
        <is>
          <t>Af en toe</t>
        </is>
      </c>
      <c r="K67" t="inlineStr">
        <is>
          <t>Bancontact</t>
        </is>
      </c>
      <c r="L67" t="n">
        <v>7.04</v>
      </c>
      <c r="M67" t="inlineStr">
        <is>
          <t>Geen dieet</t>
        </is>
      </c>
      <c r="N67">
        <f>LEFT(A67, FIND(",", A67)-1)</f>
        <v/>
      </c>
      <c r="O67">
        <f>MID(A67, FIND(",", A67)+2, LEN(A67))</f>
        <v/>
      </c>
      <c r="P67">
        <f>SWITCH(J67, "Zelden", 1, "Af en toe", 4, "Regelmatig", 8, "Vaak", 12)</f>
        <v/>
      </c>
      <c r="Q67">
        <f>IF(L67&gt;=7, "Tevreden", "Ontevreden")</f>
        <v/>
      </c>
    </row>
    <row r="68">
      <c r="A68" t="inlineStr">
        <is>
          <t>Coppens, Alassane</t>
        </is>
      </c>
      <c r="B68" t="n">
        <v>7712960954</v>
      </c>
      <c r="C68" t="inlineStr">
        <is>
          <t>22/01/1990</t>
        </is>
      </c>
      <c r="D68" t="inlineStr">
        <is>
          <t>Kruisstraat</t>
        </is>
      </c>
      <c r="E68" t="n">
        <v>68</v>
      </c>
      <c r="F68" t="inlineStr">
        <is>
          <t>Halen</t>
        </is>
      </c>
      <c r="G68" t="n">
        <v>1</v>
      </c>
      <c r="H68" t="n">
        <v>0</v>
      </c>
      <c r="I68" t="n">
        <v>95.95999999999999</v>
      </c>
      <c r="J68" t="inlineStr">
        <is>
          <t>Af en toe</t>
        </is>
      </c>
      <c r="K68" t="inlineStr">
        <is>
          <t>Payconiq</t>
        </is>
      </c>
      <c r="L68" t="n">
        <v>7.19</v>
      </c>
      <c r="M68" t="inlineStr">
        <is>
          <t>Geen dieet</t>
        </is>
      </c>
      <c r="N68">
        <f>LEFT(A68, FIND(",", A68)-1)</f>
        <v/>
      </c>
      <c r="O68">
        <f>MID(A68, FIND(",", A68)+2, LEN(A68))</f>
        <v/>
      </c>
      <c r="P68">
        <f>SWITCH(J68, "Zelden", 1, "Af en toe", 4, "Regelmatig", 8, "Vaak", 12)</f>
        <v/>
      </c>
      <c r="Q68">
        <f>IF(L68&gt;=7, "Tevreden", "Ontevreden")</f>
        <v/>
      </c>
    </row>
    <row r="69">
      <c r="A69" t="inlineStr">
        <is>
          <t>Decoster, Jacqueline</t>
        </is>
      </c>
      <c r="B69" t="n">
        <v>3043663227</v>
      </c>
      <c r="C69" t="inlineStr">
        <is>
          <t>15/07/1945</t>
        </is>
      </c>
      <c r="D69" t="inlineStr">
        <is>
          <t>Wolterslaan</t>
        </is>
      </c>
      <c r="E69" t="n">
        <v>39</v>
      </c>
      <c r="F69" t="inlineStr">
        <is>
          <t>Genk</t>
        </is>
      </c>
      <c r="G69" t="n">
        <v>2</v>
      </c>
      <c r="H69" t="n">
        <v>3</v>
      </c>
      <c r="I69" t="n">
        <v>135.34</v>
      </c>
      <c r="J69" t="inlineStr">
        <is>
          <t>Zelden</t>
        </is>
      </c>
      <c r="K69" t="inlineStr">
        <is>
          <t>Cash</t>
        </is>
      </c>
      <c r="L69" t="n">
        <v>7.43</v>
      </c>
      <c r="M69" t="inlineStr">
        <is>
          <t>Geen dieet</t>
        </is>
      </c>
      <c r="N69">
        <f>LEFT(A69, FIND(",", A69)-1)</f>
        <v/>
      </c>
      <c r="O69">
        <f>MID(A69, FIND(",", A69)+2, LEN(A69))</f>
        <v/>
      </c>
      <c r="P69">
        <f>SWITCH(J69, "Zelden", 1, "Af en toe", 4, "Regelmatig", 8, "Vaak", 12)</f>
        <v/>
      </c>
      <c r="Q69">
        <f>IF(L69&gt;=7, "Tevreden", "Ontevreden")</f>
        <v/>
      </c>
    </row>
    <row r="70">
      <c r="A70" t="inlineStr">
        <is>
          <t>Vandamme, Walter</t>
        </is>
      </c>
      <c r="B70" t="n">
        <v>5339666678</v>
      </c>
      <c r="C70" t="inlineStr">
        <is>
          <t>26/06/1960</t>
        </is>
      </c>
      <c r="D70" t="inlineStr">
        <is>
          <t>Poortakkerstraat</t>
        </is>
      </c>
      <c r="E70" t="n">
        <v>55</v>
      </c>
      <c r="F70" t="inlineStr">
        <is>
          <t>Herten</t>
        </is>
      </c>
      <c r="G70" t="n">
        <v>2</v>
      </c>
      <c r="H70" t="n">
        <v>0</v>
      </c>
      <c r="I70" t="n">
        <v>56.45</v>
      </c>
      <c r="J70" t="inlineStr">
        <is>
          <t>Af en toe</t>
        </is>
      </c>
      <c r="K70" t="inlineStr">
        <is>
          <t>Bancontact</t>
        </is>
      </c>
      <c r="L70" t="n">
        <v>7.6</v>
      </c>
      <c r="M70" t="inlineStr">
        <is>
          <t>Geen dieet</t>
        </is>
      </c>
      <c r="N70">
        <f>LEFT(A70, FIND(",", A70)-1)</f>
        <v/>
      </c>
      <c r="O70">
        <f>MID(A70, FIND(",", A70)+2, LEN(A70))</f>
        <v/>
      </c>
      <c r="P70">
        <f>SWITCH(J70, "Zelden", 1, "Af en toe", 4, "Regelmatig", 8, "Vaak", 12)</f>
        <v/>
      </c>
      <c r="Q70">
        <f>IF(L70&gt;=7, "Tevreden", "Ontevreden")</f>
        <v/>
      </c>
    </row>
    <row r="71">
      <c r="A71" t="inlineStr">
        <is>
          <t>Van de walle, Robbe</t>
        </is>
      </c>
      <c r="B71" t="n">
        <v>3572520711</v>
      </c>
      <c r="C71" t="inlineStr">
        <is>
          <t>09/07/1996</t>
        </is>
      </c>
      <c r="D71" t="inlineStr">
        <is>
          <t>Botermarkt</t>
        </is>
      </c>
      <c r="E71" t="n">
        <v>29</v>
      </c>
      <c r="F71" t="inlineStr">
        <is>
          <t>Maaseik</t>
        </is>
      </c>
      <c r="G71" t="n">
        <v>2</v>
      </c>
      <c r="H71" t="n">
        <v>0</v>
      </c>
      <c r="I71" t="n">
        <v>68.51000000000001</v>
      </c>
      <c r="J71" t="inlineStr">
        <is>
          <t>Af en toe</t>
        </is>
      </c>
      <c r="K71" t="inlineStr">
        <is>
          <t>Bancontact</t>
        </is>
      </c>
      <c r="L71" t="n">
        <v>7.09</v>
      </c>
      <c r="M71" t="inlineStr">
        <is>
          <t>Geen dieet</t>
        </is>
      </c>
      <c r="N71">
        <f>LEFT(A71, FIND(",", A71)-1)</f>
        <v/>
      </c>
      <c r="O71">
        <f>MID(A71, FIND(",", A71)+2, LEN(A71))</f>
        <v/>
      </c>
      <c r="P71">
        <f>SWITCH(J71, "Zelden", 1, "Af en toe", 4, "Regelmatig", 8, "Vaak", 12)</f>
        <v/>
      </c>
      <c r="Q71">
        <f>IF(L71&gt;=7, "Tevreden", "Ontevreden")</f>
        <v/>
      </c>
    </row>
    <row r="72">
      <c r="A72" t="inlineStr">
        <is>
          <t>Bosmans, Geoffrey</t>
        </is>
      </c>
      <c r="B72" t="n">
        <v>8811889894</v>
      </c>
      <c r="C72" t="inlineStr">
        <is>
          <t>03/01/2005</t>
        </is>
      </c>
      <c r="D72" t="inlineStr">
        <is>
          <t>Pekelharing</t>
        </is>
      </c>
      <c r="E72" t="n">
        <v>39</v>
      </c>
      <c r="F72" t="inlineStr">
        <is>
          <t>Overpelt</t>
        </is>
      </c>
      <c r="G72" t="n">
        <v>2</v>
      </c>
      <c r="H72" t="n">
        <v>0</v>
      </c>
      <c r="I72" t="n">
        <v>75.47</v>
      </c>
      <c r="J72" t="inlineStr">
        <is>
          <t>Af en toe</t>
        </is>
      </c>
      <c r="K72" t="inlineStr">
        <is>
          <t>Payconiq</t>
        </is>
      </c>
      <c r="L72" t="n">
        <v>7.13</v>
      </c>
      <c r="M72" t="inlineStr">
        <is>
          <t>Geen dieet</t>
        </is>
      </c>
      <c r="N72">
        <f>LEFT(A72, FIND(",", A72)-1)</f>
        <v/>
      </c>
      <c r="O72">
        <f>MID(A72, FIND(",", A72)+2, LEN(A72))</f>
        <v/>
      </c>
      <c r="P72">
        <f>SWITCH(J72, "Zelden", 1, "Af en toe", 4, "Regelmatig", 8, "Vaak", 12)</f>
        <v/>
      </c>
      <c r="Q72">
        <f>IF(L72&gt;=7, "Tevreden", "Ontevreden")</f>
        <v/>
      </c>
    </row>
    <row r="73">
      <c r="A73" t="inlineStr">
        <is>
          <t>Geens, Marleen</t>
        </is>
      </c>
      <c r="B73" t="n">
        <v>3652428793</v>
      </c>
      <c r="C73" t="inlineStr">
        <is>
          <t>08/01/1963</t>
        </is>
      </c>
      <c r="D73" t="inlineStr">
        <is>
          <t>Sint-amandstraat</t>
        </is>
      </c>
      <c r="E73" t="n">
        <v>44</v>
      </c>
      <c r="F73" t="inlineStr">
        <is>
          <t>Hasselt</t>
        </is>
      </c>
      <c r="G73" t="n">
        <v>1</v>
      </c>
      <c r="H73" t="n">
        <v>0</v>
      </c>
      <c r="I73" t="n">
        <v>53.92</v>
      </c>
      <c r="J73" t="inlineStr">
        <is>
          <t>Zelden</t>
        </is>
      </c>
      <c r="K73" t="inlineStr">
        <is>
          <t>Payconiq</t>
        </is>
      </c>
      <c r="L73" t="n">
        <v>7.1</v>
      </c>
      <c r="M73" t="inlineStr">
        <is>
          <t>Geen dieet</t>
        </is>
      </c>
      <c r="N73">
        <f>LEFT(A73, FIND(",", A73)-1)</f>
        <v/>
      </c>
      <c r="O73">
        <f>MID(A73, FIND(",", A73)+2, LEN(A73))</f>
        <v/>
      </c>
      <c r="P73">
        <f>SWITCH(J73, "Zelden", 1, "Af en toe", 4, "Regelmatig", 8, "Vaak", 12)</f>
        <v/>
      </c>
      <c r="Q73">
        <f>IF(L73&gt;=7, "Tevreden", "Ontevreden")</f>
        <v/>
      </c>
    </row>
    <row r="74">
      <c r="A74" t="inlineStr">
        <is>
          <t>Toussaint, Alexander</t>
        </is>
      </c>
      <c r="B74" t="n">
        <v>7281141889</v>
      </c>
      <c r="C74" t="inlineStr">
        <is>
          <t>03/03/2002</t>
        </is>
      </c>
      <c r="D74" t="inlineStr">
        <is>
          <t>Johan Daisnestraat</t>
        </is>
      </c>
      <c r="E74" t="n">
        <v>29</v>
      </c>
      <c r="F74" t="inlineStr">
        <is>
          <t>Hoeselt</t>
        </is>
      </c>
      <c r="G74" t="n">
        <v>1</v>
      </c>
      <c r="H74" t="n">
        <v>3</v>
      </c>
      <c r="I74" t="n">
        <v>99.04000000000001</v>
      </c>
      <c r="J74" t="inlineStr">
        <is>
          <t>Af en toe</t>
        </is>
      </c>
      <c r="K74" t="inlineStr">
        <is>
          <t>Bancontact</t>
        </is>
      </c>
      <c r="L74" t="n">
        <v>6.81</v>
      </c>
      <c r="M74" t="inlineStr">
        <is>
          <t>Geen dieet</t>
        </is>
      </c>
      <c r="N74">
        <f>LEFT(A74, FIND(",", A74)-1)</f>
        <v/>
      </c>
      <c r="O74">
        <f>MID(A74, FIND(",", A74)+2, LEN(A74))</f>
        <v/>
      </c>
      <c r="P74">
        <f>SWITCH(J74, "Zelden", 1, "Af en toe", 4, "Regelmatig", 8, "Vaak", 12)</f>
        <v/>
      </c>
      <c r="Q74">
        <f>IF(L74&gt;=7, "Tevreden", "Ontevreden")</f>
        <v/>
      </c>
    </row>
    <row r="75">
      <c r="A75" t="inlineStr">
        <is>
          <t>Van acker, Thibaut</t>
        </is>
      </c>
      <c r="B75" t="n">
        <v>1308556894</v>
      </c>
      <c r="C75" t="inlineStr">
        <is>
          <t>21/03/1982</t>
        </is>
      </c>
      <c r="D75" t="inlineStr">
        <is>
          <t>Oude-abdijstraat</t>
        </is>
      </c>
      <c r="E75" t="n">
        <v>105</v>
      </c>
      <c r="F75" t="inlineStr">
        <is>
          <t>Hasselt</t>
        </is>
      </c>
      <c r="G75" t="n">
        <v>2</v>
      </c>
      <c r="H75" t="n">
        <v>0</v>
      </c>
      <c r="I75" t="n">
        <v>41.4</v>
      </c>
      <c r="J75" t="inlineStr">
        <is>
          <t>Vaak</t>
        </is>
      </c>
      <c r="K75" t="inlineStr">
        <is>
          <t>Payconiq</t>
        </is>
      </c>
      <c r="L75" t="n">
        <v>8.4</v>
      </c>
      <c r="M75" t="inlineStr">
        <is>
          <t>Vegetarisch</t>
        </is>
      </c>
      <c r="N75">
        <f>LEFT(A75, FIND(",", A75)-1)</f>
        <v/>
      </c>
      <c r="O75">
        <f>MID(A75, FIND(",", A75)+2, LEN(A75))</f>
        <v/>
      </c>
      <c r="P75">
        <f>SWITCH(J75, "Zelden", 1, "Af en toe", 4, "Regelmatig", 8, "Vaak", 12)</f>
        <v/>
      </c>
      <c r="Q75">
        <f>IF(L75&gt;=7, "Tevreden", "Ontevreden")</f>
        <v/>
      </c>
    </row>
    <row r="76">
      <c r="A76" t="inlineStr">
        <is>
          <t>Petit, Marcel</t>
        </is>
      </c>
      <c r="B76" t="n">
        <v>253977930</v>
      </c>
      <c r="C76" t="inlineStr">
        <is>
          <t>21/06/1957</t>
        </is>
      </c>
      <c r="D76" t="inlineStr">
        <is>
          <t>Korte Meer</t>
        </is>
      </c>
      <c r="E76" t="n">
        <v>66</v>
      </c>
      <c r="F76" t="inlineStr">
        <is>
          <t>Lommel</t>
        </is>
      </c>
      <c r="G76" t="n">
        <v>2</v>
      </c>
      <c r="H76" t="n">
        <v>2</v>
      </c>
      <c r="I76" t="n">
        <v>103.4</v>
      </c>
      <c r="J76" t="inlineStr">
        <is>
          <t>Af en toe</t>
        </is>
      </c>
      <c r="K76" t="inlineStr">
        <is>
          <t>Payconiq</t>
        </is>
      </c>
      <c r="L76" t="n">
        <v>8</v>
      </c>
      <c r="M76" t="inlineStr">
        <is>
          <t>Vegetarisch</t>
        </is>
      </c>
      <c r="N76">
        <f>LEFT(A76, FIND(",", A76)-1)</f>
        <v/>
      </c>
      <c r="O76">
        <f>MID(A76, FIND(",", A76)+2, LEN(A76))</f>
        <v/>
      </c>
      <c r="P76">
        <f>SWITCH(J76, "Zelden", 1, "Af en toe", 4, "Regelmatig", 8, "Vaak", 12)</f>
        <v/>
      </c>
      <c r="Q76">
        <f>IF(L76&gt;=7, "Tevreden", "Ontevreden")</f>
        <v/>
      </c>
    </row>
    <row r="77">
      <c r="A77" t="inlineStr">
        <is>
          <t>Hermans, Avak</t>
        </is>
      </c>
      <c r="B77" t="n">
        <v>2557041480</v>
      </c>
      <c r="C77" t="inlineStr">
        <is>
          <t>12/03/1999</t>
        </is>
      </c>
      <c r="D77" t="inlineStr">
        <is>
          <t>Veenakkerstraat</t>
        </is>
      </c>
      <c r="E77" t="n">
        <v>102</v>
      </c>
      <c r="F77" t="inlineStr">
        <is>
          <t>Herten</t>
        </is>
      </c>
      <c r="G77" t="n">
        <v>1</v>
      </c>
      <c r="H77" t="n">
        <v>2</v>
      </c>
      <c r="I77" t="n">
        <v>42.52</v>
      </c>
      <c r="J77" t="inlineStr">
        <is>
          <t>Vaak</t>
        </is>
      </c>
      <c r="K77" t="inlineStr">
        <is>
          <t>Cash</t>
        </is>
      </c>
      <c r="L77" t="n">
        <v>7.08</v>
      </c>
      <c r="M77" t="inlineStr">
        <is>
          <t>Geen dieet</t>
        </is>
      </c>
      <c r="N77">
        <f>LEFT(A77, FIND(",", A77)-1)</f>
        <v/>
      </c>
      <c r="O77">
        <f>MID(A77, FIND(",", A77)+2, LEN(A77))</f>
        <v/>
      </c>
      <c r="P77">
        <f>SWITCH(J77, "Zelden", 1, "Af en toe", 4, "Regelmatig", 8, "Vaak", 12)</f>
        <v/>
      </c>
      <c r="Q77">
        <f>IF(L77&gt;=7, "Tevreden", "Ontevreden")</f>
        <v/>
      </c>
    </row>
    <row r="78">
      <c r="A78" t="inlineStr">
        <is>
          <t>Segers, Muriel</t>
        </is>
      </c>
      <c r="B78" t="n">
        <v>5302579560</v>
      </c>
      <c r="C78" t="inlineStr">
        <is>
          <t>04/05/1963</t>
        </is>
      </c>
      <c r="D78" t="inlineStr">
        <is>
          <t>Schouwburgstraat</t>
        </is>
      </c>
      <c r="E78" t="n">
        <v>75</v>
      </c>
      <c r="F78" t="inlineStr">
        <is>
          <t>Hasselt</t>
        </is>
      </c>
      <c r="G78" t="n">
        <v>2</v>
      </c>
      <c r="H78" t="n">
        <v>2</v>
      </c>
      <c r="I78" t="n">
        <v>123.78</v>
      </c>
      <c r="J78" t="inlineStr">
        <is>
          <t>Vaak</t>
        </is>
      </c>
      <c r="K78" t="inlineStr">
        <is>
          <t>Bancontact</t>
        </is>
      </c>
      <c r="L78" t="n">
        <v>7.09</v>
      </c>
      <c r="M78" t="inlineStr">
        <is>
          <t>Geen dieet</t>
        </is>
      </c>
      <c r="N78">
        <f>LEFT(A78, FIND(",", A78)-1)</f>
        <v/>
      </c>
      <c r="O78">
        <f>MID(A78, FIND(",", A78)+2, LEN(A78))</f>
        <v/>
      </c>
      <c r="P78">
        <f>SWITCH(J78, "Zelden", 1, "Af en toe", 4, "Regelmatig", 8, "Vaak", 12)</f>
        <v/>
      </c>
      <c r="Q78">
        <f>IF(L78&gt;=7, "Tevreden", "Ontevreden")</f>
        <v/>
      </c>
    </row>
    <row r="79">
      <c r="A79" t="inlineStr">
        <is>
          <t>De keyser, Denise</t>
        </is>
      </c>
      <c r="B79" t="n">
        <v>3705010467</v>
      </c>
      <c r="C79" t="inlineStr">
        <is>
          <t>14/10/1981</t>
        </is>
      </c>
      <c r="D79" t="inlineStr">
        <is>
          <t>Aannemersstraat</t>
        </is>
      </c>
      <c r="E79" t="n">
        <v>13</v>
      </c>
      <c r="F79" t="inlineStr">
        <is>
          <t>Lanaken</t>
        </is>
      </c>
      <c r="G79" t="n">
        <v>1</v>
      </c>
      <c r="H79" t="n">
        <v>0</v>
      </c>
      <c r="I79" t="n">
        <v>21.16</v>
      </c>
      <c r="J79" t="inlineStr">
        <is>
          <t>Zelden</t>
        </is>
      </c>
      <c r="K79" t="inlineStr">
        <is>
          <t>Payconiq</t>
        </is>
      </c>
      <c r="L79" t="n">
        <v>7.7</v>
      </c>
      <c r="M79" t="inlineStr">
        <is>
          <t>Vegetarisch</t>
        </is>
      </c>
      <c r="N79">
        <f>LEFT(A79, FIND(",", A79)-1)</f>
        <v/>
      </c>
      <c r="O79">
        <f>MID(A79, FIND(",", A79)+2, LEN(A79))</f>
        <v/>
      </c>
      <c r="P79">
        <f>SWITCH(J79, "Zelden", 1, "Af en toe", 4, "Regelmatig", 8, "Vaak", 12)</f>
        <v/>
      </c>
      <c r="Q79">
        <f>IF(L79&gt;=7, "Tevreden", "Ontevreden")</f>
        <v/>
      </c>
    </row>
    <row r="80">
      <c r="A80" t="inlineStr">
        <is>
          <t>Hoste, Maeva</t>
        </is>
      </c>
      <c r="B80" t="n">
        <v>4306946185</v>
      </c>
      <c r="C80" t="inlineStr">
        <is>
          <t>15/07/1989</t>
        </is>
      </c>
      <c r="D80" t="inlineStr">
        <is>
          <t>Tortelduifstraat</t>
        </is>
      </c>
      <c r="E80" t="n">
        <v>47</v>
      </c>
      <c r="F80" t="inlineStr">
        <is>
          <t>Genk</t>
        </is>
      </c>
      <c r="G80" t="n">
        <v>1</v>
      </c>
      <c r="H80" t="n">
        <v>0</v>
      </c>
      <c r="I80" t="n">
        <v>35.28</v>
      </c>
      <c r="J80" t="inlineStr">
        <is>
          <t>Dagelijks</t>
        </is>
      </c>
      <c r="K80" t="inlineStr">
        <is>
          <t>Bancontact</t>
        </is>
      </c>
      <c r="L80" t="n">
        <v>7.2</v>
      </c>
      <c r="M80" t="inlineStr">
        <is>
          <t>Geen dieet</t>
        </is>
      </c>
      <c r="N80">
        <f>LEFT(A80, FIND(",", A80)-1)</f>
        <v/>
      </c>
      <c r="O80">
        <f>MID(A80, FIND(",", A80)+2, LEN(A80))</f>
        <v/>
      </c>
      <c r="P80">
        <f>SWITCH(J80, "Zelden", 1, "Af en toe", 4, "Regelmatig", 8, "Vaak", 12)</f>
        <v/>
      </c>
      <c r="Q80">
        <f>IF(L80&gt;=7, "Tevreden", "Ontevreden")</f>
        <v/>
      </c>
    </row>
    <row r="81">
      <c r="A81" t="inlineStr">
        <is>
          <t>Vercruysse, Jozef</t>
        </is>
      </c>
      <c r="B81" t="n">
        <v>7779858047</v>
      </c>
      <c r="C81" t="inlineStr">
        <is>
          <t>24/06/1964</t>
        </is>
      </c>
      <c r="D81" t="inlineStr">
        <is>
          <t>Oscar De Gruyterstraat</t>
        </is>
      </c>
      <c r="E81" t="n">
        <v>8</v>
      </c>
      <c r="F81" t="inlineStr">
        <is>
          <t>Hasselt</t>
        </is>
      </c>
      <c r="G81" t="n">
        <v>2</v>
      </c>
      <c r="H81" t="n">
        <v>3</v>
      </c>
      <c r="I81" t="n">
        <v>122.87</v>
      </c>
      <c r="J81" t="inlineStr">
        <is>
          <t>Zelden</t>
        </is>
      </c>
      <c r="K81" t="inlineStr">
        <is>
          <t>Payconiq</t>
        </is>
      </c>
      <c r="L81" t="n">
        <v>6.76</v>
      </c>
      <c r="M81" t="inlineStr">
        <is>
          <t>Geen dieet</t>
        </is>
      </c>
      <c r="N81">
        <f>LEFT(A81, FIND(",", A81)-1)</f>
        <v/>
      </c>
      <c r="O81">
        <f>MID(A81, FIND(",", A81)+2, LEN(A81))</f>
        <v/>
      </c>
      <c r="P81">
        <f>SWITCH(J81, "Zelden", 1, "Af en toe", 4, "Regelmatig", 8, "Vaak", 12)</f>
        <v/>
      </c>
      <c r="Q81">
        <f>IF(L81&gt;=7, "Tevreden", "Ontevreden")</f>
        <v/>
      </c>
    </row>
    <row r="82">
      <c r="A82" t="inlineStr">
        <is>
          <t>Lefebvre, Ambre</t>
        </is>
      </c>
      <c r="B82" t="n">
        <v>2336165948</v>
      </c>
      <c r="C82" t="inlineStr">
        <is>
          <t>03/04/1986</t>
        </is>
      </c>
      <c r="D82" t="inlineStr">
        <is>
          <t>E3-plein</t>
        </is>
      </c>
      <c r="E82" t="n">
        <v>31</v>
      </c>
      <c r="F82" t="inlineStr">
        <is>
          <t>Maaseik</t>
        </is>
      </c>
      <c r="G82" t="n">
        <v>2</v>
      </c>
      <c r="H82" t="n">
        <v>5</v>
      </c>
      <c r="I82" t="n">
        <v>73.58</v>
      </c>
      <c r="J82" t="inlineStr">
        <is>
          <t>Af en toe</t>
        </is>
      </c>
      <c r="K82" t="inlineStr">
        <is>
          <t>Payconiq</t>
        </is>
      </c>
      <c r="L82" t="n">
        <v>6.85</v>
      </c>
      <c r="M82" t="inlineStr">
        <is>
          <t>Geen dieet</t>
        </is>
      </c>
      <c r="N82">
        <f>LEFT(A82, FIND(",", A82)-1)</f>
        <v/>
      </c>
      <c r="O82">
        <f>MID(A82, FIND(",", A82)+2, LEN(A82))</f>
        <v/>
      </c>
      <c r="P82">
        <f>SWITCH(J82, "Zelden", 1, "Af en toe", 4, "Regelmatig", 8, "Vaak", 12)</f>
        <v/>
      </c>
      <c r="Q82">
        <f>IF(L82&gt;=7, "Tevreden", "Ontevreden")</f>
        <v/>
      </c>
    </row>
    <row r="83">
      <c r="A83" t="inlineStr">
        <is>
          <t>Van hecke, Grethel</t>
        </is>
      </c>
      <c r="B83" t="n">
        <v>3942464082</v>
      </c>
      <c r="C83" t="inlineStr">
        <is>
          <t>09/07/1954</t>
        </is>
      </c>
      <c r="D83" t="inlineStr">
        <is>
          <t>Helmkruidstraat</t>
        </is>
      </c>
      <c r="E83" t="n">
        <v>30</v>
      </c>
      <c r="F83" t="inlineStr">
        <is>
          <t>Sint-Truiden</t>
        </is>
      </c>
      <c r="G83" t="n">
        <v>1</v>
      </c>
      <c r="H83" t="n">
        <v>0</v>
      </c>
      <c r="I83" t="n">
        <v>25.71</v>
      </c>
      <c r="J83" t="inlineStr">
        <is>
          <t>Zelden</t>
        </is>
      </c>
      <c r="K83" t="inlineStr">
        <is>
          <t>Payconiq</t>
        </is>
      </c>
      <c r="L83" t="n">
        <v>5.83</v>
      </c>
      <c r="M83" t="inlineStr">
        <is>
          <t>Veganistisch</t>
        </is>
      </c>
      <c r="N83">
        <f>LEFT(A83, FIND(",", A83)-1)</f>
        <v/>
      </c>
      <c r="O83">
        <f>MID(A83, FIND(",", A83)+2, LEN(A83))</f>
        <v/>
      </c>
      <c r="P83">
        <f>SWITCH(J83, "Zelden", 1, "Af en toe", 4, "Regelmatig", 8, "Vaak", 12)</f>
        <v/>
      </c>
      <c r="Q83">
        <f>IF(L83&gt;=7, "Tevreden", "Ontevreden")</f>
        <v/>
      </c>
    </row>
    <row r="84">
      <c r="A84" t="inlineStr">
        <is>
          <t>Verstraete, Maria</t>
        </is>
      </c>
      <c r="B84" t="n">
        <v>7587392440</v>
      </c>
      <c r="C84" t="inlineStr">
        <is>
          <t>14/10/1995</t>
        </is>
      </c>
      <c r="D84" t="inlineStr">
        <is>
          <t>Lijnwaadstraat</t>
        </is>
      </c>
      <c r="E84" t="n">
        <v>17</v>
      </c>
      <c r="F84" t="inlineStr">
        <is>
          <t>Riemst</t>
        </is>
      </c>
      <c r="G84" t="n">
        <v>1</v>
      </c>
      <c r="H84" t="n">
        <v>3</v>
      </c>
      <c r="I84" t="n">
        <v>120.13</v>
      </c>
      <c r="J84" t="inlineStr">
        <is>
          <t>Dagelijks</t>
        </is>
      </c>
      <c r="K84" t="inlineStr">
        <is>
          <t>Bancontact</t>
        </is>
      </c>
      <c r="L84" t="n">
        <v>6.85</v>
      </c>
      <c r="M84" t="inlineStr">
        <is>
          <t>Geen dieet</t>
        </is>
      </c>
      <c r="N84">
        <f>LEFT(A84, FIND(",", A84)-1)</f>
        <v/>
      </c>
      <c r="O84">
        <f>MID(A84, FIND(",", A84)+2, LEN(A84))</f>
        <v/>
      </c>
      <c r="P84">
        <f>SWITCH(J84, "Zelden", 1, "Af en toe", 4, "Regelmatig", 8, "Vaak", 12)</f>
        <v/>
      </c>
      <c r="Q84">
        <f>IF(L84&gt;=7, "Tevreden", "Ontevreden")</f>
        <v/>
      </c>
    </row>
    <row r="85">
      <c r="A85" t="inlineStr">
        <is>
          <t>Peters, Katrien</t>
        </is>
      </c>
      <c r="B85" t="n">
        <v>3162235572</v>
      </c>
      <c r="C85" t="inlineStr">
        <is>
          <t>16/07/1973</t>
        </is>
      </c>
      <c r="D85" t="inlineStr">
        <is>
          <t>Veerstraat</t>
        </is>
      </c>
      <c r="E85" t="n">
        <v>44</v>
      </c>
      <c r="F85" t="inlineStr">
        <is>
          <t>Velm</t>
        </is>
      </c>
      <c r="G85" t="n">
        <v>5</v>
      </c>
      <c r="H85" t="n">
        <v>0</v>
      </c>
      <c r="I85" t="n">
        <v>24.18</v>
      </c>
      <c r="J85" t="inlineStr">
        <is>
          <t>Zeer vaak</t>
        </is>
      </c>
      <c r="K85" t="inlineStr">
        <is>
          <t>Payconiq</t>
        </is>
      </c>
      <c r="L85" t="n">
        <v>7.18</v>
      </c>
      <c r="M85" t="inlineStr">
        <is>
          <t>Geen dieet</t>
        </is>
      </c>
      <c r="N85">
        <f>LEFT(A85, FIND(",", A85)-1)</f>
        <v/>
      </c>
      <c r="O85">
        <f>MID(A85, FIND(",", A85)+2, LEN(A85))</f>
        <v/>
      </c>
      <c r="P85">
        <f>SWITCH(J85, "Zelden", 1, "Af en toe", 4, "Regelmatig", 8, "Vaak", 12)</f>
        <v/>
      </c>
      <c r="Q85">
        <f>IF(L85&gt;=7, "Tevreden", "Ontevreden")</f>
        <v/>
      </c>
    </row>
    <row r="86">
      <c r="A86" t="inlineStr">
        <is>
          <t>Henry, Aagje</t>
        </is>
      </c>
      <c r="B86" t="n">
        <v>176554914</v>
      </c>
      <c r="C86" t="inlineStr">
        <is>
          <t>22/10/1999</t>
        </is>
      </c>
      <c r="D86" t="inlineStr">
        <is>
          <t>Johan Daisnestraat</t>
        </is>
      </c>
      <c r="E86" t="n">
        <v>3</v>
      </c>
      <c r="F86" t="inlineStr">
        <is>
          <t>Herten</t>
        </is>
      </c>
      <c r="G86" t="n">
        <v>1</v>
      </c>
      <c r="H86" t="n">
        <v>2</v>
      </c>
      <c r="I86" t="n">
        <v>114.78</v>
      </c>
      <c r="J86" t="inlineStr">
        <is>
          <t>Zeer vaak</t>
        </is>
      </c>
      <c r="K86" t="inlineStr">
        <is>
          <t>Payconiq</t>
        </is>
      </c>
      <c r="L86" t="n">
        <v>6.92</v>
      </c>
      <c r="M86" t="inlineStr">
        <is>
          <t>Geen dieet</t>
        </is>
      </c>
      <c r="N86">
        <f>LEFT(A86, FIND(",", A86)-1)</f>
        <v/>
      </c>
      <c r="O86">
        <f>MID(A86, FIND(",", A86)+2, LEN(A86))</f>
        <v/>
      </c>
      <c r="P86">
        <f>SWITCH(J86, "Zelden", 1, "Af en toe", 4, "Regelmatig", 8, "Vaak", 12)</f>
        <v/>
      </c>
      <c r="Q86">
        <f>IF(L86&gt;=7, "Tevreden", "Ontevreden")</f>
        <v/>
      </c>
    </row>
    <row r="87">
      <c r="A87" t="inlineStr">
        <is>
          <t>Simons, Daniël</t>
        </is>
      </c>
      <c r="B87" t="n">
        <v>1229742947</v>
      </c>
      <c r="C87" t="inlineStr">
        <is>
          <t>16/01/1966</t>
        </is>
      </c>
      <c r="D87" t="inlineStr">
        <is>
          <t>Francois Laurentplein</t>
        </is>
      </c>
      <c r="E87" t="n">
        <v>1</v>
      </c>
      <c r="F87" t="inlineStr">
        <is>
          <t>Riemst</t>
        </is>
      </c>
      <c r="G87" t="n">
        <v>1</v>
      </c>
      <c r="H87" t="n">
        <v>3</v>
      </c>
      <c r="I87" t="n">
        <v>194.83</v>
      </c>
      <c r="J87" t="inlineStr">
        <is>
          <t>Zelden</t>
        </is>
      </c>
      <c r="K87" t="inlineStr">
        <is>
          <t>Bancontact</t>
        </is>
      </c>
      <c r="L87" t="n">
        <v>8.74</v>
      </c>
      <c r="M87" t="inlineStr">
        <is>
          <t>Vegetarisch</t>
        </is>
      </c>
      <c r="N87">
        <f>LEFT(A87, FIND(",", A87)-1)</f>
        <v/>
      </c>
      <c r="O87">
        <f>MID(A87, FIND(",", A87)+2, LEN(A87))</f>
        <v/>
      </c>
      <c r="P87">
        <f>SWITCH(J87, "Zelden", 1, "Af en toe", 4, "Regelmatig", 8, "Vaak", 12)</f>
        <v/>
      </c>
      <c r="Q87">
        <f>IF(L87&gt;=7, "Tevreden", "Ontevreden")</f>
        <v/>
      </c>
    </row>
    <row r="88">
      <c r="A88" t="inlineStr">
        <is>
          <t>Bosmans, Pascale</t>
        </is>
      </c>
      <c r="B88" t="n">
        <v>409117390</v>
      </c>
      <c r="C88" t="inlineStr">
        <is>
          <t>10/10/1977</t>
        </is>
      </c>
      <c r="D88" t="inlineStr">
        <is>
          <t>Sanderswal</t>
        </is>
      </c>
      <c r="E88" t="n">
        <v>64</v>
      </c>
      <c r="F88" t="inlineStr">
        <is>
          <t>Bilzen</t>
        </is>
      </c>
      <c r="G88" t="n">
        <v>2</v>
      </c>
      <c r="H88" t="n">
        <v>5</v>
      </c>
      <c r="I88" t="n">
        <v>140.74</v>
      </c>
      <c r="J88" t="inlineStr">
        <is>
          <t>Af en toe</t>
        </is>
      </c>
      <c r="K88" t="inlineStr">
        <is>
          <t>Creditcard</t>
        </is>
      </c>
      <c r="L88" t="n">
        <v>6.63</v>
      </c>
      <c r="M88" t="inlineStr">
        <is>
          <t>Geen dieet</t>
        </is>
      </c>
      <c r="N88">
        <f>LEFT(A88, FIND(",", A88)-1)</f>
        <v/>
      </c>
      <c r="O88">
        <f>MID(A88, FIND(",", A88)+2, LEN(A88))</f>
        <v/>
      </c>
      <c r="P88">
        <f>SWITCH(J88, "Zelden", 1, "Af en toe", 4, "Regelmatig", 8, "Vaak", 12)</f>
        <v/>
      </c>
      <c r="Q88">
        <f>IF(L88&gt;=7, "Tevreden", "Ontevreden")</f>
        <v/>
      </c>
    </row>
    <row r="89">
      <c r="A89" t="inlineStr">
        <is>
          <t>Mertens, Dirk</t>
        </is>
      </c>
      <c r="B89" t="n">
        <v>4248747670</v>
      </c>
      <c r="C89" t="inlineStr">
        <is>
          <t>17/11/1992</t>
        </is>
      </c>
      <c r="D89" t="inlineStr">
        <is>
          <t>Vrouwebroersstraat</t>
        </is>
      </c>
      <c r="E89" t="n">
        <v>11</v>
      </c>
      <c r="F89" t="inlineStr">
        <is>
          <t>Hasselt</t>
        </is>
      </c>
      <c r="G89" t="n">
        <v>3</v>
      </c>
      <c r="H89" t="n">
        <v>5</v>
      </c>
      <c r="I89" t="n">
        <v>173.3</v>
      </c>
      <c r="J89" t="inlineStr">
        <is>
          <t>Zeer vaak</t>
        </is>
      </c>
      <c r="K89" t="inlineStr">
        <is>
          <t>Cash</t>
        </is>
      </c>
      <c r="L89" t="n">
        <v>7.54</v>
      </c>
      <c r="M89" t="inlineStr">
        <is>
          <t>Geen dieet</t>
        </is>
      </c>
      <c r="N89">
        <f>LEFT(A89, FIND(",", A89)-1)</f>
        <v/>
      </c>
      <c r="O89">
        <f>MID(A89, FIND(",", A89)+2, LEN(A89))</f>
        <v/>
      </c>
      <c r="P89">
        <f>SWITCH(J89, "Zelden", 1, "Af en toe", 4, "Regelmatig", 8, "Vaak", 12)</f>
        <v/>
      </c>
      <c r="Q89">
        <f>IF(L89&gt;=7, "Tevreden", "Ontevreden")</f>
        <v/>
      </c>
    </row>
    <row r="90">
      <c r="A90" t="inlineStr">
        <is>
          <t>Callens, Dmitrii</t>
        </is>
      </c>
      <c r="B90" t="n">
        <v>3528039551</v>
      </c>
      <c r="C90" t="inlineStr">
        <is>
          <t>01/12/1950</t>
        </is>
      </c>
      <c r="D90" t="inlineStr">
        <is>
          <t>Stropkaai</t>
        </is>
      </c>
      <c r="E90" t="n">
        <v>65</v>
      </c>
      <c r="F90" t="inlineStr">
        <is>
          <t>Sint-Truiden</t>
        </is>
      </c>
      <c r="G90" t="n">
        <v>2</v>
      </c>
      <c r="H90" t="n">
        <v>3</v>
      </c>
      <c r="I90" t="n">
        <v>157.24</v>
      </c>
      <c r="J90" t="inlineStr">
        <is>
          <t>Vaak</t>
        </is>
      </c>
      <c r="K90" t="inlineStr">
        <is>
          <t>Bancontact</t>
        </is>
      </c>
      <c r="L90" t="n">
        <v>7.61</v>
      </c>
      <c r="M90" t="inlineStr">
        <is>
          <t>Geen dieet</t>
        </is>
      </c>
      <c r="N90">
        <f>LEFT(A90, FIND(",", A90)-1)</f>
        <v/>
      </c>
      <c r="O90">
        <f>MID(A90, FIND(",", A90)+2, LEN(A90))</f>
        <v/>
      </c>
      <c r="P90">
        <f>SWITCH(J90, "Zelden", 1, "Af en toe", 4, "Regelmatig", 8, "Vaak", 12)</f>
        <v/>
      </c>
      <c r="Q90">
        <f>IF(L90&gt;=7, "Tevreden", "Ontevreden")</f>
        <v/>
      </c>
    </row>
    <row r="91">
      <c r="A91" t="inlineStr">
        <is>
          <t>Andries, Hanne</t>
        </is>
      </c>
      <c r="B91" t="n">
        <v>4355743851</v>
      </c>
      <c r="C91" t="inlineStr">
        <is>
          <t>06/11/1996</t>
        </is>
      </c>
      <c r="D91" t="inlineStr">
        <is>
          <t>Heernislaan</t>
        </is>
      </c>
      <c r="E91" t="n">
        <v>21</v>
      </c>
      <c r="F91" t="inlineStr">
        <is>
          <t>Sint-Truiden</t>
        </is>
      </c>
      <c r="G91" t="n">
        <v>1</v>
      </c>
      <c r="H91" t="n">
        <v>3</v>
      </c>
      <c r="I91" t="n">
        <v>83.06999999999999</v>
      </c>
      <c r="J91" t="inlineStr">
        <is>
          <t>Af en toe</t>
        </is>
      </c>
      <c r="K91" t="inlineStr">
        <is>
          <t>Payconiq</t>
        </is>
      </c>
      <c r="L91" t="n">
        <v>7.03</v>
      </c>
      <c r="M91" t="inlineStr">
        <is>
          <t>Geen dieet</t>
        </is>
      </c>
      <c r="N91">
        <f>LEFT(A91, FIND(",", A91)-1)</f>
        <v/>
      </c>
      <c r="O91">
        <f>MID(A91, FIND(",", A91)+2, LEN(A91))</f>
        <v/>
      </c>
      <c r="P91">
        <f>SWITCH(J91, "Zelden", 1, "Af en toe", 4, "Regelmatig", 8, "Vaak", 12)</f>
        <v/>
      </c>
      <c r="Q91">
        <f>IF(L91&gt;=7, "Tevreden", "Ontevreden")</f>
        <v/>
      </c>
    </row>
    <row r="92">
      <c r="A92" t="inlineStr">
        <is>
          <t>Michaux, Anthony</t>
        </is>
      </c>
      <c r="B92" t="n">
        <v>2188700087</v>
      </c>
      <c r="C92" t="inlineStr">
        <is>
          <t>01/05/1981</t>
        </is>
      </c>
      <c r="D92" t="inlineStr">
        <is>
          <t>Kleine Vismarkt</t>
        </is>
      </c>
      <c r="E92" t="n">
        <v>7</v>
      </c>
      <c r="F92" t="inlineStr">
        <is>
          <t>Heusden-Zolder</t>
        </is>
      </c>
      <c r="G92" t="n">
        <v>2</v>
      </c>
      <c r="H92" t="n">
        <v>0</v>
      </c>
      <c r="I92" t="n">
        <v>109.58</v>
      </c>
      <c r="J92" t="inlineStr">
        <is>
          <t>Zeer vaak</t>
        </is>
      </c>
      <c r="K92" t="inlineStr">
        <is>
          <t>Creditcard</t>
        </is>
      </c>
      <c r="L92" t="n">
        <v>7.77</v>
      </c>
      <c r="M92" t="inlineStr">
        <is>
          <t>Geen dieet</t>
        </is>
      </c>
      <c r="N92">
        <f>LEFT(A92, FIND(",", A92)-1)</f>
        <v/>
      </c>
      <c r="O92">
        <f>MID(A92, FIND(",", A92)+2, LEN(A92))</f>
        <v/>
      </c>
      <c r="P92">
        <f>SWITCH(J92, "Zelden", 1, "Af en toe", 4, "Regelmatig", 8, "Vaak", 12)</f>
        <v/>
      </c>
      <c r="Q92">
        <f>IF(L92&gt;=7, "Tevreden", "Ontevreden")</f>
        <v/>
      </c>
    </row>
    <row r="93">
      <c r="A93" t="inlineStr">
        <is>
          <t>Bernard, Arthur</t>
        </is>
      </c>
      <c r="B93" t="n">
        <v>2427146593</v>
      </c>
      <c r="C93" t="inlineStr">
        <is>
          <t>16/05/1982</t>
        </is>
      </c>
      <c r="D93" t="inlineStr">
        <is>
          <t>Vossenbergstraat</t>
        </is>
      </c>
      <c r="E93" t="n">
        <v>44</v>
      </c>
      <c r="F93" t="inlineStr">
        <is>
          <t>Kinrooi</t>
        </is>
      </c>
      <c r="G93" t="n">
        <v>2</v>
      </c>
      <c r="H93" t="n">
        <v>0</v>
      </c>
      <c r="I93" t="n">
        <v>39.32</v>
      </c>
      <c r="J93" t="inlineStr">
        <is>
          <t>Vaak</t>
        </is>
      </c>
      <c r="K93" t="inlineStr">
        <is>
          <t>Bancontact</t>
        </is>
      </c>
      <c r="L93" t="n">
        <v>7.64</v>
      </c>
      <c r="M93" t="inlineStr">
        <is>
          <t>Geen dieet</t>
        </is>
      </c>
      <c r="N93">
        <f>LEFT(A93, FIND(",", A93)-1)</f>
        <v/>
      </c>
      <c r="O93">
        <f>MID(A93, FIND(",", A93)+2, LEN(A93))</f>
        <v/>
      </c>
      <c r="P93">
        <f>SWITCH(J93, "Zelden", 1, "Af en toe", 4, "Regelmatig", 8, "Vaak", 12)</f>
        <v/>
      </c>
      <c r="Q93">
        <f>IF(L93&gt;=7, "Tevreden", "Ontevreden")</f>
        <v/>
      </c>
    </row>
    <row r="94">
      <c r="A94" t="inlineStr">
        <is>
          <t>Baert, Sarah</t>
        </is>
      </c>
      <c r="B94" t="n">
        <v>8516166166</v>
      </c>
      <c r="C94" t="inlineStr">
        <is>
          <t>20/12/1951</t>
        </is>
      </c>
      <c r="D94" t="inlineStr">
        <is>
          <t>Leiekaai</t>
        </is>
      </c>
      <c r="E94" t="n">
        <v>41</v>
      </c>
      <c r="F94" t="inlineStr">
        <is>
          <t>Hasselt</t>
        </is>
      </c>
      <c r="G94" t="n">
        <v>1</v>
      </c>
      <c r="H94" t="n">
        <v>2</v>
      </c>
      <c r="I94" t="n">
        <v>136.47</v>
      </c>
      <c r="J94" t="inlineStr">
        <is>
          <t>Zeer vaak</t>
        </is>
      </c>
      <c r="K94" t="inlineStr">
        <is>
          <t>Payconiq</t>
        </is>
      </c>
      <c r="L94" t="n">
        <v>7.54</v>
      </c>
      <c r="M94" t="inlineStr">
        <is>
          <t>Geen dieet</t>
        </is>
      </c>
      <c r="N94">
        <f>LEFT(A94, FIND(",", A94)-1)</f>
        <v/>
      </c>
      <c r="O94">
        <f>MID(A94, FIND(",", A94)+2, LEN(A94))</f>
        <v/>
      </c>
      <c r="P94">
        <f>SWITCH(J94, "Zelden", 1, "Af en toe", 4, "Regelmatig", 8, "Vaak", 12)</f>
        <v/>
      </c>
      <c r="Q94">
        <f>IF(L94&gt;=7, "Tevreden", "Ontevreden")</f>
        <v/>
      </c>
    </row>
    <row r="95">
      <c r="A95" t="inlineStr">
        <is>
          <t>Devos, Bart</t>
        </is>
      </c>
      <c r="B95" t="n">
        <v>8865172397</v>
      </c>
      <c r="C95" t="inlineStr">
        <is>
          <t>10/01/1995</t>
        </is>
      </c>
      <c r="D95" t="inlineStr">
        <is>
          <t>Verlorensteenstraat</t>
        </is>
      </c>
      <c r="E95" t="n">
        <v>62</v>
      </c>
      <c r="F95" t="inlineStr">
        <is>
          <t>Neerpelt</t>
        </is>
      </c>
      <c r="G95" t="n">
        <v>2</v>
      </c>
      <c r="H95" t="n">
        <v>0</v>
      </c>
      <c r="I95" t="n">
        <v>50.2</v>
      </c>
      <c r="J95" t="inlineStr">
        <is>
          <t>Zelden</t>
        </is>
      </c>
      <c r="K95" t="inlineStr">
        <is>
          <t>Bancontact</t>
        </is>
      </c>
      <c r="L95" t="n">
        <v>7.3</v>
      </c>
      <c r="M95" t="inlineStr">
        <is>
          <t>Geen dieet</t>
        </is>
      </c>
      <c r="N95">
        <f>LEFT(A95, FIND(",", A95)-1)</f>
        <v/>
      </c>
      <c r="O95">
        <f>MID(A95, FIND(",", A95)+2, LEN(A95))</f>
        <v/>
      </c>
      <c r="P95">
        <f>SWITCH(J95, "Zelden", 1, "Af en toe", 4, "Regelmatig", 8, "Vaak", 12)</f>
        <v/>
      </c>
      <c r="Q95">
        <f>IF(L95&gt;=7, "Tevreden", "Ontevreden")</f>
        <v/>
      </c>
    </row>
    <row r="96">
      <c r="A96" t="inlineStr">
        <is>
          <t>Bogaerts, Dorien</t>
        </is>
      </c>
      <c r="B96" t="n">
        <v>1667873144</v>
      </c>
      <c r="C96" t="inlineStr">
        <is>
          <t>18/07/1971</t>
        </is>
      </c>
      <c r="D96" t="inlineStr">
        <is>
          <t>Jean-baptiste D'hanedreef</t>
        </is>
      </c>
      <c r="E96" t="n">
        <v>7</v>
      </c>
      <c r="F96" t="inlineStr">
        <is>
          <t>Maasmechelen</t>
        </is>
      </c>
      <c r="G96" t="n">
        <v>2</v>
      </c>
      <c r="H96" t="n">
        <v>2</v>
      </c>
      <c r="I96" t="n">
        <v>162.47</v>
      </c>
      <c r="J96" t="inlineStr">
        <is>
          <t>Vaak</t>
        </is>
      </c>
      <c r="K96" t="inlineStr">
        <is>
          <t>Bancontact</t>
        </is>
      </c>
      <c r="L96" t="n">
        <v>6.86</v>
      </c>
      <c r="M96" t="inlineStr">
        <is>
          <t>Geen dieet</t>
        </is>
      </c>
      <c r="N96">
        <f>LEFT(A96, FIND(",", A96)-1)</f>
        <v/>
      </c>
      <c r="O96">
        <f>MID(A96, FIND(",", A96)+2, LEN(A96))</f>
        <v/>
      </c>
      <c r="P96">
        <f>SWITCH(J96, "Zelden", 1, "Af en toe", 4, "Regelmatig", 8, "Vaak", 12)</f>
        <v/>
      </c>
      <c r="Q96">
        <f>IF(L96&gt;=7, "Tevreden", "Ontevreden")</f>
        <v/>
      </c>
    </row>
    <row r="97">
      <c r="A97" t="inlineStr">
        <is>
          <t>Janssens, Lauren</t>
        </is>
      </c>
      <c r="B97" t="n">
        <v>3663250166</v>
      </c>
      <c r="C97" t="inlineStr">
        <is>
          <t>19/06/1972</t>
        </is>
      </c>
      <c r="D97" t="inlineStr">
        <is>
          <t>Onafhankelijkheidslaan</t>
        </is>
      </c>
      <c r="E97" t="n">
        <v>33</v>
      </c>
      <c r="F97" t="inlineStr">
        <is>
          <t>Heusden-Zolder</t>
        </is>
      </c>
      <c r="G97" t="n">
        <v>1</v>
      </c>
      <c r="H97" t="n">
        <v>2</v>
      </c>
      <c r="I97" t="n">
        <v>79.03</v>
      </c>
      <c r="J97" t="inlineStr">
        <is>
          <t>Dagelijks</t>
        </is>
      </c>
      <c r="K97" t="inlineStr">
        <is>
          <t>Payconiq</t>
        </is>
      </c>
      <c r="L97" t="n">
        <v>7.69</v>
      </c>
      <c r="M97" t="inlineStr">
        <is>
          <t>Vegetarisch</t>
        </is>
      </c>
      <c r="N97">
        <f>LEFT(A97, FIND(",", A97)-1)</f>
        <v/>
      </c>
      <c r="O97">
        <f>MID(A97, FIND(",", A97)+2, LEN(A97))</f>
        <v/>
      </c>
      <c r="P97">
        <f>SWITCH(J97, "Zelden", 1, "Af en toe", 4, "Regelmatig", 8, "Vaak", 12)</f>
        <v/>
      </c>
      <c r="Q97">
        <f>IF(L97&gt;=7, "Tevreden", "Ontevreden")</f>
        <v/>
      </c>
    </row>
    <row r="98">
      <c r="A98" t="inlineStr">
        <is>
          <t>Peeters, Inez</t>
        </is>
      </c>
      <c r="B98" t="n">
        <v>4948997245</v>
      </c>
      <c r="C98" t="inlineStr">
        <is>
          <t>05/05/1964</t>
        </is>
      </c>
      <c r="D98" t="inlineStr">
        <is>
          <t>Sanderswal</t>
        </is>
      </c>
      <c r="E98" t="n">
        <v>2</v>
      </c>
      <c r="F98" t="inlineStr">
        <is>
          <t>Genk</t>
        </is>
      </c>
      <c r="G98" t="n">
        <v>2</v>
      </c>
      <c r="H98" t="n">
        <v>2</v>
      </c>
      <c r="I98" t="n">
        <v>145.71</v>
      </c>
      <c r="J98" t="inlineStr">
        <is>
          <t>Zelden</t>
        </is>
      </c>
      <c r="K98" t="inlineStr">
        <is>
          <t>Payconiq</t>
        </is>
      </c>
      <c r="L98" t="n">
        <v>6.99</v>
      </c>
      <c r="M98" t="inlineStr">
        <is>
          <t>Geen dieet</t>
        </is>
      </c>
      <c r="N98">
        <f>LEFT(A98, FIND(",", A98)-1)</f>
        <v/>
      </c>
      <c r="O98">
        <f>MID(A98, FIND(",", A98)+2, LEN(A98))</f>
        <v/>
      </c>
      <c r="P98">
        <f>SWITCH(J98, "Zelden", 1, "Af en toe", 4, "Regelmatig", 8, "Vaak", 12)</f>
        <v/>
      </c>
      <c r="Q98">
        <f>IF(L98&gt;=7, "Tevreden", "Ontevreden")</f>
        <v/>
      </c>
    </row>
    <row r="99">
      <c r="A99" t="inlineStr">
        <is>
          <t>Timmermans, Abdellah</t>
        </is>
      </c>
      <c r="B99" t="n">
        <v>2677478727</v>
      </c>
      <c r="C99" t="inlineStr">
        <is>
          <t>24/01/1952</t>
        </is>
      </c>
      <c r="D99" t="inlineStr">
        <is>
          <t>Dublinstraat</t>
        </is>
      </c>
      <c r="E99" t="n">
        <v>2</v>
      </c>
      <c r="F99" t="inlineStr">
        <is>
          <t>Maasmechelen</t>
        </is>
      </c>
      <c r="G99" t="n">
        <v>2</v>
      </c>
      <c r="H99" t="n">
        <v>3</v>
      </c>
      <c r="I99" t="n">
        <v>54.06</v>
      </c>
      <c r="J99" t="inlineStr">
        <is>
          <t>Af en toe</t>
        </is>
      </c>
      <c r="K99" t="inlineStr">
        <is>
          <t>Bancontact</t>
        </is>
      </c>
      <c r="L99" t="n">
        <v>6.95</v>
      </c>
      <c r="M99" t="inlineStr">
        <is>
          <t>Geen dieet</t>
        </is>
      </c>
      <c r="N99">
        <f>LEFT(A99, FIND(",", A99)-1)</f>
        <v/>
      </c>
      <c r="O99">
        <f>MID(A99, FIND(",", A99)+2, LEN(A99))</f>
        <v/>
      </c>
      <c r="P99">
        <f>SWITCH(J99, "Zelden", 1, "Af en toe", 4, "Regelmatig", 8, "Vaak", 12)</f>
        <v/>
      </c>
      <c r="Q99">
        <f>IF(L99&gt;=7, "Tevreden", "Ontevreden")</f>
        <v/>
      </c>
    </row>
    <row r="100">
      <c r="A100" t="inlineStr">
        <is>
          <t>Willems, Bintou</t>
        </is>
      </c>
      <c r="B100" t="n">
        <v>8789334026</v>
      </c>
      <c r="C100" t="inlineStr">
        <is>
          <t>20/03/1961</t>
        </is>
      </c>
      <c r="D100" t="inlineStr">
        <is>
          <t>Drongensesteenweg</t>
        </is>
      </c>
      <c r="E100" t="n">
        <v>86</v>
      </c>
      <c r="F100" t="inlineStr">
        <is>
          <t>Maaseik</t>
        </is>
      </c>
      <c r="G100" t="n">
        <v>2</v>
      </c>
      <c r="H100" t="n">
        <v>0</v>
      </c>
      <c r="I100" t="n">
        <v>30.96</v>
      </c>
      <c r="J100" t="inlineStr">
        <is>
          <t>Af en toe</t>
        </is>
      </c>
      <c r="K100" t="inlineStr">
        <is>
          <t>Payconiq</t>
        </is>
      </c>
      <c r="L100" t="n">
        <v>7.15</v>
      </c>
      <c r="M100" t="inlineStr">
        <is>
          <t>Geen dieet</t>
        </is>
      </c>
      <c r="N100">
        <f>LEFT(A100, FIND(",", A100)-1)</f>
        <v/>
      </c>
      <c r="O100">
        <f>MID(A100, FIND(",", A100)+2, LEN(A100))</f>
        <v/>
      </c>
      <c r="P100">
        <f>SWITCH(J100, "Zelden", 1, "Af en toe", 4, "Regelmatig", 8, "Vaak", 12)</f>
        <v/>
      </c>
      <c r="Q100">
        <f>IF(L100&gt;=7, "Tevreden", "Ontevreden")</f>
        <v/>
      </c>
    </row>
    <row r="101">
      <c r="A101" t="inlineStr">
        <is>
          <t>Moreau, Laurence</t>
        </is>
      </c>
      <c r="B101" t="n">
        <v>2667860396</v>
      </c>
      <c r="C101" t="inlineStr">
        <is>
          <t>16/12/1974</t>
        </is>
      </c>
      <c r="D101" t="inlineStr">
        <is>
          <t>Burgstraat</t>
        </is>
      </c>
      <c r="E101" t="n">
        <v>37</v>
      </c>
      <c r="F101" t="inlineStr">
        <is>
          <t>Genk</t>
        </is>
      </c>
      <c r="G101" t="n">
        <v>1</v>
      </c>
      <c r="H101" t="n">
        <v>2</v>
      </c>
      <c r="I101" t="n">
        <v>79.33</v>
      </c>
      <c r="J101" t="inlineStr">
        <is>
          <t>Vaak</t>
        </is>
      </c>
      <c r="K101" t="inlineStr">
        <is>
          <t>Bancontact</t>
        </is>
      </c>
      <c r="L101" t="n">
        <v>6.8</v>
      </c>
      <c r="M101" t="inlineStr">
        <is>
          <t>Geen dieet</t>
        </is>
      </c>
      <c r="N101">
        <f>LEFT(A101, FIND(",", A101)-1)</f>
        <v/>
      </c>
      <c r="O101">
        <f>MID(A101, FIND(",", A101)+2, LEN(A101))</f>
        <v/>
      </c>
      <c r="P101">
        <f>SWITCH(J101, "Zelden", 1, "Af en toe", 4, "Regelmatig", 8, "Vaak", 12)</f>
        <v/>
      </c>
      <c r="Q101">
        <f>IF(L101&gt;=7, "Tevreden", "Ontevreden")</f>
        <v/>
      </c>
    </row>
    <row r="102">
      <c r="A102" t="inlineStr">
        <is>
          <t>Dupont, Sara</t>
        </is>
      </c>
      <c r="B102" t="n">
        <v>1097035096</v>
      </c>
      <c r="C102" t="inlineStr">
        <is>
          <t>21/08/1970</t>
        </is>
      </c>
      <c r="D102" t="inlineStr">
        <is>
          <t>Harlekijnstraat</t>
        </is>
      </c>
      <c r="E102" t="n">
        <v>2</v>
      </c>
      <c r="F102" t="inlineStr">
        <is>
          <t>Zutendaal</t>
        </is>
      </c>
      <c r="G102" t="n">
        <v>1</v>
      </c>
      <c r="H102" t="n">
        <v>0</v>
      </c>
      <c r="I102" t="n">
        <v>44.15</v>
      </c>
      <c r="J102" t="inlineStr">
        <is>
          <t>Af en toe</t>
        </is>
      </c>
      <c r="K102" t="inlineStr">
        <is>
          <t>Creditcard</t>
        </is>
      </c>
      <c r="L102" t="n">
        <v>7.28</v>
      </c>
      <c r="M102" t="inlineStr">
        <is>
          <t>Geen dieet</t>
        </is>
      </c>
      <c r="N102">
        <f>LEFT(A102, FIND(",", A102)-1)</f>
        <v/>
      </c>
      <c r="O102">
        <f>MID(A102, FIND(",", A102)+2, LEN(A102))</f>
        <v/>
      </c>
      <c r="P102">
        <f>SWITCH(J102, "Zelden", 1, "Af en toe", 4, "Regelmatig", 8, "Vaak", 12)</f>
        <v/>
      </c>
      <c r="Q102">
        <f>IF(L102&gt;=7, "Tevreden", "Ontevreden")</f>
        <v/>
      </c>
    </row>
    <row r="103">
      <c r="A103" t="inlineStr">
        <is>
          <t>Baeyens, Kristoff</t>
        </is>
      </c>
      <c r="B103" t="n">
        <v>3613846572</v>
      </c>
      <c r="C103" t="inlineStr">
        <is>
          <t>12/06/1989</t>
        </is>
      </c>
      <c r="D103" t="inlineStr">
        <is>
          <t>Kantienberg</t>
        </is>
      </c>
      <c r="E103" t="n">
        <v>50</v>
      </c>
      <c r="F103" t="inlineStr">
        <is>
          <t>Maasmechelen</t>
        </is>
      </c>
      <c r="G103" t="n">
        <v>1</v>
      </c>
      <c r="H103" t="n">
        <v>0</v>
      </c>
      <c r="I103" t="n">
        <v>46.62</v>
      </c>
      <c r="J103" t="inlineStr">
        <is>
          <t>Af en toe</t>
        </is>
      </c>
      <c r="K103" t="inlineStr">
        <is>
          <t>Payconiq</t>
        </is>
      </c>
      <c r="L103" t="n">
        <v>8.460000000000001</v>
      </c>
      <c r="M103" t="inlineStr">
        <is>
          <t>Vegetarisch</t>
        </is>
      </c>
      <c r="N103">
        <f>LEFT(A103, FIND(",", A103)-1)</f>
        <v/>
      </c>
      <c r="O103">
        <f>MID(A103, FIND(",", A103)+2, LEN(A103))</f>
        <v/>
      </c>
      <c r="P103">
        <f>SWITCH(J103, "Zelden", 1, "Af en toe", 4, "Regelmatig", 8, "Vaak", 12)</f>
        <v/>
      </c>
      <c r="Q103">
        <f>IF(L103&gt;=7, "Tevreden", "Ontevreden")</f>
        <v/>
      </c>
    </row>
    <row r="104">
      <c r="A104" t="inlineStr">
        <is>
          <t>Hermans, Elise</t>
        </is>
      </c>
      <c r="B104" t="n">
        <v>2902559951</v>
      </c>
      <c r="C104" t="inlineStr">
        <is>
          <t>09/12/1956</t>
        </is>
      </c>
      <c r="D104" t="inlineStr">
        <is>
          <t>Fortlaan</t>
        </is>
      </c>
      <c r="E104" t="n">
        <v>34</v>
      </c>
      <c r="F104" t="inlineStr">
        <is>
          <t>Kinrooi</t>
        </is>
      </c>
      <c r="G104" t="n">
        <v>1</v>
      </c>
      <c r="H104" t="n">
        <v>1</v>
      </c>
      <c r="I104" t="n">
        <v>104.9</v>
      </c>
      <c r="J104" t="inlineStr">
        <is>
          <t>Af en toe</t>
        </is>
      </c>
      <c r="K104" t="inlineStr">
        <is>
          <t>Cash</t>
        </is>
      </c>
      <c r="L104" t="n">
        <v>8.710000000000001</v>
      </c>
      <c r="M104" t="inlineStr">
        <is>
          <t>Vegetarisch</t>
        </is>
      </c>
      <c r="N104">
        <f>LEFT(A104, FIND(",", A104)-1)</f>
        <v/>
      </c>
      <c r="O104">
        <f>MID(A104, FIND(",", A104)+2, LEN(A104))</f>
        <v/>
      </c>
      <c r="P104">
        <f>SWITCH(J104, "Zelden", 1, "Af en toe", 4, "Regelmatig", 8, "Vaak", 12)</f>
        <v/>
      </c>
      <c r="Q104">
        <f>IF(L104&gt;=7, "Tevreden", "Ontevreden")</f>
        <v/>
      </c>
    </row>
    <row r="105">
      <c r="A105" t="inlineStr">
        <is>
          <t>Maes, Evy</t>
        </is>
      </c>
      <c r="B105" t="n">
        <v>7734812843</v>
      </c>
      <c r="C105" t="inlineStr">
        <is>
          <t>06/12/1979</t>
        </is>
      </c>
      <c r="D105" t="inlineStr">
        <is>
          <t>Fregatstraat</t>
        </is>
      </c>
      <c r="E105" t="n">
        <v>42</v>
      </c>
      <c r="F105" t="inlineStr">
        <is>
          <t>Borgloon</t>
        </is>
      </c>
      <c r="G105" t="n">
        <v>1</v>
      </c>
      <c r="H105" t="n">
        <v>0</v>
      </c>
      <c r="I105" t="n">
        <v>21.84</v>
      </c>
      <c r="J105" t="inlineStr">
        <is>
          <t>Zeer vaak</t>
        </is>
      </c>
      <c r="K105" t="inlineStr">
        <is>
          <t>Bancontact</t>
        </is>
      </c>
      <c r="L105" t="n">
        <v>7.85</v>
      </c>
      <c r="M105" t="inlineStr">
        <is>
          <t>Geen dieet</t>
        </is>
      </c>
      <c r="N105">
        <f>LEFT(A105, FIND(",", A105)-1)</f>
        <v/>
      </c>
      <c r="O105">
        <f>MID(A105, FIND(",", A105)+2, LEN(A105))</f>
        <v/>
      </c>
      <c r="P105">
        <f>SWITCH(J105, "Zelden", 1, "Af en toe", 4, "Regelmatig", 8, "Vaak", 12)</f>
        <v/>
      </c>
      <c r="Q105">
        <f>IF(L105&gt;=7, "Tevreden", "Ontevreden")</f>
        <v/>
      </c>
    </row>
    <row r="106">
      <c r="A106" t="inlineStr">
        <is>
          <t>Matthys, Françoise</t>
        </is>
      </c>
      <c r="B106" t="n">
        <v>6818808977</v>
      </c>
      <c r="C106" t="inlineStr">
        <is>
          <t>15/12/1970</t>
        </is>
      </c>
      <c r="D106" t="inlineStr">
        <is>
          <t>Jean Jaurèslaan</t>
        </is>
      </c>
      <c r="E106" t="n">
        <v>8</v>
      </c>
      <c r="F106" t="inlineStr">
        <is>
          <t>Zonhoven</t>
        </is>
      </c>
      <c r="G106" t="n">
        <v>1</v>
      </c>
      <c r="H106" t="n">
        <v>4</v>
      </c>
      <c r="I106" t="n">
        <v>142.02</v>
      </c>
      <c r="J106" t="inlineStr">
        <is>
          <t>Dagelijks</t>
        </is>
      </c>
      <c r="K106" t="inlineStr">
        <is>
          <t>Payconiq</t>
        </is>
      </c>
      <c r="L106" t="n">
        <v>6.72</v>
      </c>
      <c r="M106" t="inlineStr">
        <is>
          <t>Geen dieet</t>
        </is>
      </c>
      <c r="N106">
        <f>LEFT(A106, FIND(",", A106)-1)</f>
        <v/>
      </c>
      <c r="O106">
        <f>MID(A106, FIND(",", A106)+2, LEN(A106))</f>
        <v/>
      </c>
      <c r="P106">
        <f>SWITCH(J106, "Zelden", 1, "Af en toe", 4, "Regelmatig", 8, "Vaak", 12)</f>
        <v/>
      </c>
      <c r="Q106">
        <f>IF(L106&gt;=7, "Tevreden", "Ontevreden")</f>
        <v/>
      </c>
    </row>
    <row r="107">
      <c r="A107" t="inlineStr">
        <is>
          <t>Janssens, Veerle</t>
        </is>
      </c>
      <c r="B107" t="n">
        <v>7133077119</v>
      </c>
      <c r="C107" t="inlineStr">
        <is>
          <t>27/11/1983</t>
        </is>
      </c>
      <c r="D107" t="inlineStr">
        <is>
          <t>Maaltemeers</t>
        </is>
      </c>
      <c r="E107" t="n">
        <v>1</v>
      </c>
      <c r="F107" t="inlineStr">
        <is>
          <t>Sint-Truiden</t>
        </is>
      </c>
      <c r="G107" t="n">
        <v>1</v>
      </c>
      <c r="H107" t="n">
        <v>0</v>
      </c>
      <c r="I107" t="n">
        <v>25.3</v>
      </c>
      <c r="J107" t="inlineStr">
        <is>
          <t>Zeer vaak</t>
        </is>
      </c>
      <c r="K107" t="inlineStr">
        <is>
          <t>Payconiq</t>
        </is>
      </c>
      <c r="L107" t="n">
        <v>8.470000000000001</v>
      </c>
      <c r="M107" t="inlineStr">
        <is>
          <t>Vegetarisch</t>
        </is>
      </c>
      <c r="N107">
        <f>LEFT(A107, FIND(",", A107)-1)</f>
        <v/>
      </c>
      <c r="O107">
        <f>MID(A107, FIND(",", A107)+2, LEN(A107))</f>
        <v/>
      </c>
      <c r="P107">
        <f>SWITCH(J107, "Zelden", 1, "Af en toe", 4, "Regelmatig", 8, "Vaak", 12)</f>
        <v/>
      </c>
      <c r="Q107">
        <f>IF(L107&gt;=7, "Tevreden", "Ontevreden")</f>
        <v/>
      </c>
    </row>
    <row r="108">
      <c r="A108" t="inlineStr">
        <is>
          <t>Vanderstraeten, Jacky</t>
        </is>
      </c>
      <c r="B108" t="n">
        <v>9911446144</v>
      </c>
      <c r="C108" t="inlineStr">
        <is>
          <t>02/10/1977</t>
        </is>
      </c>
      <c r="D108" t="inlineStr">
        <is>
          <t>Schouwingsstraat</t>
        </is>
      </c>
      <c r="E108" t="n">
        <v>15</v>
      </c>
      <c r="F108" t="inlineStr">
        <is>
          <t>Heusden-Zolder</t>
        </is>
      </c>
      <c r="G108" t="n">
        <v>2</v>
      </c>
      <c r="H108" t="n">
        <v>3</v>
      </c>
      <c r="I108" t="n">
        <v>98.69</v>
      </c>
      <c r="J108" t="inlineStr">
        <is>
          <t>Af en toe</t>
        </is>
      </c>
      <c r="K108" t="inlineStr">
        <is>
          <t>Bancontact</t>
        </is>
      </c>
      <c r="L108" t="n">
        <v>6.93</v>
      </c>
      <c r="M108" t="inlineStr">
        <is>
          <t>Geen dieet</t>
        </is>
      </c>
      <c r="N108">
        <f>LEFT(A108, FIND(",", A108)-1)</f>
        <v/>
      </c>
      <c r="O108">
        <f>MID(A108, FIND(",", A108)+2, LEN(A108))</f>
        <v/>
      </c>
      <c r="P108">
        <f>SWITCH(J108, "Zelden", 1, "Af en toe", 4, "Regelmatig", 8, "Vaak", 12)</f>
        <v/>
      </c>
      <c r="Q108">
        <f>IF(L108&gt;=7, "Tevreden", "Ontevreden")</f>
        <v/>
      </c>
    </row>
    <row r="109">
      <c r="A109" t="inlineStr">
        <is>
          <t>Peeters, Dina</t>
        </is>
      </c>
      <c r="B109" t="n">
        <v>5616155350</v>
      </c>
      <c r="C109" t="inlineStr">
        <is>
          <t>25/11/1984</t>
        </is>
      </c>
      <c r="D109" t="inlineStr">
        <is>
          <t>Pilorijnstraat</t>
        </is>
      </c>
      <c r="E109" t="n">
        <v>14</v>
      </c>
      <c r="F109" t="inlineStr">
        <is>
          <t>Genk</t>
        </is>
      </c>
      <c r="G109" t="n">
        <v>1</v>
      </c>
      <c r="H109" t="n">
        <v>5</v>
      </c>
      <c r="I109" t="n">
        <v>231.18</v>
      </c>
      <c r="J109" t="inlineStr">
        <is>
          <t>Vaak</t>
        </is>
      </c>
      <c r="K109" t="inlineStr">
        <is>
          <t>Bancontact</t>
        </is>
      </c>
      <c r="L109" t="n">
        <v>6.85</v>
      </c>
      <c r="M109" t="inlineStr">
        <is>
          <t>Geen dieet</t>
        </is>
      </c>
      <c r="N109">
        <f>LEFT(A109, FIND(",", A109)-1)</f>
        <v/>
      </c>
      <c r="O109">
        <f>MID(A109, FIND(",", A109)+2, LEN(A109))</f>
        <v/>
      </c>
      <c r="P109">
        <f>SWITCH(J109, "Zelden", 1, "Af en toe", 4, "Regelmatig", 8, "Vaak", 12)</f>
        <v/>
      </c>
      <c r="Q109">
        <f>IF(L109&gt;=7, "Tevreden", "Ontevreden")</f>
        <v/>
      </c>
    </row>
    <row r="110">
      <c r="A110" t="inlineStr">
        <is>
          <t>Lefevre, Frédérick</t>
        </is>
      </c>
      <c r="B110" t="n">
        <v>5432754949</v>
      </c>
      <c r="C110" t="inlineStr">
        <is>
          <t>12/10/2000</t>
        </is>
      </c>
      <c r="D110" t="inlineStr">
        <is>
          <t>Kortrijksesteenweg</t>
        </is>
      </c>
      <c r="E110" t="n">
        <v>18</v>
      </c>
      <c r="F110" t="inlineStr">
        <is>
          <t>Genk</t>
        </is>
      </c>
      <c r="G110" t="n">
        <v>3</v>
      </c>
      <c r="H110" t="n">
        <v>0</v>
      </c>
      <c r="I110" t="n">
        <v>101.47</v>
      </c>
      <c r="J110" t="inlineStr">
        <is>
          <t>Af en toe</t>
        </is>
      </c>
      <c r="K110" t="inlineStr">
        <is>
          <t>Cash</t>
        </is>
      </c>
      <c r="L110" t="n">
        <v>8.01</v>
      </c>
      <c r="M110" t="inlineStr">
        <is>
          <t>Vegetarisch</t>
        </is>
      </c>
      <c r="N110">
        <f>LEFT(A110, FIND(",", A110)-1)</f>
        <v/>
      </c>
      <c r="O110">
        <f>MID(A110, FIND(",", A110)+2, LEN(A110))</f>
        <v/>
      </c>
      <c r="P110">
        <f>SWITCH(J110, "Zelden", 1, "Af en toe", 4, "Regelmatig", 8, "Vaak", 12)</f>
        <v/>
      </c>
      <c r="Q110">
        <f>IF(L110&gt;=7, "Tevreden", "Ontevreden")</f>
        <v/>
      </c>
    </row>
    <row r="111">
      <c r="A111" t="inlineStr">
        <is>
          <t>De vos, Jolijn</t>
        </is>
      </c>
      <c r="B111" t="n">
        <v>5072471346</v>
      </c>
      <c r="C111" t="inlineStr">
        <is>
          <t>30/07/1971</t>
        </is>
      </c>
      <c r="D111" t="inlineStr">
        <is>
          <t>Drieselstraat</t>
        </is>
      </c>
      <c r="E111" t="n">
        <v>79</v>
      </c>
      <c r="F111" t="inlineStr">
        <is>
          <t>Tongeren</t>
        </is>
      </c>
      <c r="G111" t="n">
        <v>1</v>
      </c>
      <c r="H111" t="n">
        <v>2</v>
      </c>
      <c r="I111" t="n">
        <v>18.28</v>
      </c>
      <c r="J111" t="inlineStr">
        <is>
          <t>Af en toe</t>
        </is>
      </c>
      <c r="K111" t="inlineStr">
        <is>
          <t>Bancontact</t>
        </is>
      </c>
      <c r="L111" t="n">
        <v>6.93</v>
      </c>
      <c r="M111" t="inlineStr">
        <is>
          <t>Geen dieet</t>
        </is>
      </c>
      <c r="N111">
        <f>LEFT(A111, FIND(",", A111)-1)</f>
        <v/>
      </c>
      <c r="O111">
        <f>MID(A111, FIND(",", A111)+2, LEN(A111))</f>
        <v/>
      </c>
      <c r="P111">
        <f>SWITCH(J111, "Zelden", 1, "Af en toe", 4, "Regelmatig", 8, "Vaak", 12)</f>
        <v/>
      </c>
      <c r="Q111">
        <f>IF(L111&gt;=7, "Tevreden", "Ontevreden")</f>
        <v/>
      </c>
    </row>
    <row r="112">
      <c r="A112" t="inlineStr">
        <is>
          <t>Vranken, Marie-Christine</t>
        </is>
      </c>
      <c r="B112" t="n">
        <v>3477958029</v>
      </c>
      <c r="C112" t="inlineStr">
        <is>
          <t>04/10/1956</t>
        </is>
      </c>
      <c r="D112" t="inlineStr">
        <is>
          <t>Scheeplosserstraat</t>
        </is>
      </c>
      <c r="E112" t="n">
        <v>38</v>
      </c>
      <c r="F112" t="inlineStr">
        <is>
          <t>Genk</t>
        </is>
      </c>
      <c r="G112" t="n">
        <v>2</v>
      </c>
      <c r="H112" t="n">
        <v>5</v>
      </c>
      <c r="I112" t="n">
        <v>256.56</v>
      </c>
      <c r="J112" t="inlineStr">
        <is>
          <t>Af en toe</t>
        </is>
      </c>
      <c r="K112" t="inlineStr">
        <is>
          <t>Payconiq</t>
        </is>
      </c>
      <c r="L112" t="n">
        <v>6.93</v>
      </c>
      <c r="M112" t="inlineStr">
        <is>
          <t>Geen dieet</t>
        </is>
      </c>
      <c r="N112">
        <f>LEFT(A112, FIND(",", A112)-1)</f>
        <v/>
      </c>
      <c r="O112">
        <f>MID(A112, FIND(",", A112)+2, LEN(A112))</f>
        <v/>
      </c>
      <c r="P112">
        <f>SWITCH(J112, "Zelden", 1, "Af en toe", 4, "Regelmatig", 8, "Vaak", 12)</f>
        <v/>
      </c>
      <c r="Q112">
        <f>IF(L112&gt;=7, "Tevreden", "Ontevreden")</f>
        <v/>
      </c>
    </row>
    <row r="113">
      <c r="A113" t="inlineStr">
        <is>
          <t>De ridder, Sevda</t>
        </is>
      </c>
      <c r="B113" t="n">
        <v>6922400019</v>
      </c>
      <c r="C113" t="inlineStr">
        <is>
          <t>06/03/1953</t>
        </is>
      </c>
      <c r="D113" t="inlineStr">
        <is>
          <t>Veenakkerstraat</t>
        </is>
      </c>
      <c r="E113" t="n">
        <v>4</v>
      </c>
      <c r="F113" t="inlineStr">
        <is>
          <t>Maasmechelen</t>
        </is>
      </c>
      <c r="G113" t="n">
        <v>1</v>
      </c>
      <c r="H113" t="n">
        <v>2</v>
      </c>
      <c r="I113" t="n">
        <v>56.02</v>
      </c>
      <c r="J113" t="inlineStr">
        <is>
          <t>Zelden</t>
        </is>
      </c>
      <c r="K113" t="inlineStr">
        <is>
          <t>Payconiq</t>
        </is>
      </c>
      <c r="L113" t="n">
        <v>7.28</v>
      </c>
      <c r="M113" t="inlineStr">
        <is>
          <t>Geen dieet</t>
        </is>
      </c>
      <c r="N113">
        <f>LEFT(A113, FIND(",", A113)-1)</f>
        <v/>
      </c>
      <c r="O113">
        <f>MID(A113, FIND(",", A113)+2, LEN(A113))</f>
        <v/>
      </c>
      <c r="P113">
        <f>SWITCH(J113, "Zelden", 1, "Af en toe", 4, "Regelmatig", 8, "Vaak", 12)</f>
        <v/>
      </c>
      <c r="Q113">
        <f>IF(L113&gt;=7, "Tevreden", "Ontevreden")</f>
        <v/>
      </c>
    </row>
    <row r="114">
      <c r="A114" t="inlineStr">
        <is>
          <t>Peeters, Mamadou</t>
        </is>
      </c>
      <c r="B114" t="n">
        <v>3328288566</v>
      </c>
      <c r="C114" t="inlineStr">
        <is>
          <t>15/02/1980</t>
        </is>
      </c>
      <c r="D114" t="inlineStr">
        <is>
          <t>Gaardeniersweg</t>
        </is>
      </c>
      <c r="E114" t="n">
        <v>59</v>
      </c>
      <c r="F114" t="inlineStr">
        <is>
          <t>Maasmechelen</t>
        </is>
      </c>
      <c r="G114" t="n">
        <v>2</v>
      </c>
      <c r="H114" t="n">
        <v>0</v>
      </c>
      <c r="I114" t="n">
        <v>110.29</v>
      </c>
      <c r="J114" t="inlineStr">
        <is>
          <t>Vaak</t>
        </is>
      </c>
      <c r="K114" t="inlineStr">
        <is>
          <t>Payconiq</t>
        </is>
      </c>
      <c r="L114" t="n">
        <v>6.97</v>
      </c>
      <c r="M114" t="inlineStr">
        <is>
          <t>Geen dieet</t>
        </is>
      </c>
      <c r="N114">
        <f>LEFT(A114, FIND(",", A114)-1)</f>
        <v/>
      </c>
      <c r="O114">
        <f>MID(A114, FIND(",", A114)+2, LEN(A114))</f>
        <v/>
      </c>
      <c r="P114">
        <f>SWITCH(J114, "Zelden", 1, "Af en toe", 4, "Regelmatig", 8, "Vaak", 12)</f>
        <v/>
      </c>
      <c r="Q114">
        <f>IF(L114&gt;=7, "Tevreden", "Ontevreden")</f>
        <v/>
      </c>
    </row>
    <row r="115">
      <c r="A115" t="inlineStr">
        <is>
          <t>Pieters, Laurence</t>
        </is>
      </c>
      <c r="B115" t="n">
        <v>4236365648</v>
      </c>
      <c r="C115" t="inlineStr">
        <is>
          <t>26/04/1974</t>
        </is>
      </c>
      <c r="D115" t="inlineStr">
        <is>
          <t>Korte Kruisstraat</t>
        </is>
      </c>
      <c r="E115" t="n">
        <v>21</v>
      </c>
      <c r="F115" t="inlineStr">
        <is>
          <t>Genk</t>
        </is>
      </c>
      <c r="G115" t="n">
        <v>2</v>
      </c>
      <c r="H115" t="n">
        <v>0</v>
      </c>
      <c r="I115" t="n">
        <v>121.98</v>
      </c>
      <c r="J115" t="inlineStr">
        <is>
          <t>Af en toe</t>
        </is>
      </c>
      <c r="K115" t="inlineStr">
        <is>
          <t>Payconiq</t>
        </is>
      </c>
      <c r="L115" t="n">
        <v>7.36</v>
      </c>
      <c r="M115" t="inlineStr">
        <is>
          <t>Geen dieet</t>
        </is>
      </c>
      <c r="N115">
        <f>LEFT(A115, FIND(",", A115)-1)</f>
        <v/>
      </c>
      <c r="O115">
        <f>MID(A115, FIND(",", A115)+2, LEN(A115))</f>
        <v/>
      </c>
      <c r="P115">
        <f>SWITCH(J115, "Zelden", 1, "Af en toe", 4, "Regelmatig", 8, "Vaak", 12)</f>
        <v/>
      </c>
      <c r="Q115">
        <f>IF(L115&gt;=7, "Tevreden", "Ontevreden")</f>
        <v/>
      </c>
    </row>
    <row r="116">
      <c r="A116" t="inlineStr">
        <is>
          <t>Wouters, Danny</t>
        </is>
      </c>
      <c r="B116" t="n">
        <v>8521665712</v>
      </c>
      <c r="C116" t="inlineStr">
        <is>
          <t>27/05/1989</t>
        </is>
      </c>
      <c r="D116" t="inlineStr">
        <is>
          <t>Snepkaai</t>
        </is>
      </c>
      <c r="E116" t="n">
        <v>49</v>
      </c>
      <c r="F116" t="inlineStr">
        <is>
          <t>Maasmechelen</t>
        </is>
      </c>
      <c r="G116" t="n">
        <v>2</v>
      </c>
      <c r="H116" t="n">
        <v>0</v>
      </c>
      <c r="I116" t="n">
        <v>142.36</v>
      </c>
      <c r="J116" t="inlineStr">
        <is>
          <t>Vaak</t>
        </is>
      </c>
      <c r="K116" t="inlineStr">
        <is>
          <t>Payconiq</t>
        </is>
      </c>
      <c r="L116" t="n">
        <v>7.73</v>
      </c>
      <c r="M116" t="inlineStr">
        <is>
          <t>Geen dieet</t>
        </is>
      </c>
      <c r="N116">
        <f>LEFT(A116, FIND(",", A116)-1)</f>
        <v/>
      </c>
      <c r="O116">
        <f>MID(A116, FIND(",", A116)+2, LEN(A116))</f>
        <v/>
      </c>
      <c r="P116">
        <f>SWITCH(J116, "Zelden", 1, "Af en toe", 4, "Regelmatig", 8, "Vaak", 12)</f>
        <v/>
      </c>
      <c r="Q116">
        <f>IF(L116&gt;=7, "Tevreden", "Ontevreden")</f>
        <v/>
      </c>
    </row>
    <row r="117">
      <c r="A117" t="inlineStr">
        <is>
          <t>Huybrechts, Anna</t>
        </is>
      </c>
      <c r="B117" t="n">
        <v>4104204738</v>
      </c>
      <c r="C117" t="inlineStr">
        <is>
          <t>14/12/1975</t>
        </is>
      </c>
      <c r="D117" t="inlineStr">
        <is>
          <t>Tijdelijk Postbus</t>
        </is>
      </c>
      <c r="E117" t="n">
        <v>60</v>
      </c>
      <c r="F117" t="inlineStr">
        <is>
          <t>Maasmechelen</t>
        </is>
      </c>
      <c r="G117" t="n">
        <v>2</v>
      </c>
      <c r="H117" t="n">
        <v>0</v>
      </c>
      <c r="I117" t="n">
        <v>115.89</v>
      </c>
      <c r="J117" t="inlineStr">
        <is>
          <t>Zelden</t>
        </is>
      </c>
      <c r="K117" t="inlineStr">
        <is>
          <t>Bancontact</t>
        </is>
      </c>
      <c r="L117" t="n">
        <v>7.92</v>
      </c>
      <c r="M117" t="inlineStr">
        <is>
          <t>Vegetarisch</t>
        </is>
      </c>
      <c r="N117">
        <f>LEFT(A117, FIND(",", A117)-1)</f>
        <v/>
      </c>
      <c r="O117">
        <f>MID(A117, FIND(",", A117)+2, LEN(A117))</f>
        <v/>
      </c>
      <c r="P117">
        <f>SWITCH(J117, "Zelden", 1, "Af en toe", 4, "Regelmatig", 8, "Vaak", 12)</f>
        <v/>
      </c>
      <c r="Q117">
        <f>IF(L117&gt;=7, "Tevreden", "Ontevreden")</f>
        <v/>
      </c>
    </row>
    <row r="118">
      <c r="A118" t="inlineStr">
        <is>
          <t>Bodson, Michel</t>
        </is>
      </c>
      <c r="B118" t="n">
        <v>3983376038</v>
      </c>
      <c r="C118" t="inlineStr">
        <is>
          <t>26/09/1975</t>
        </is>
      </c>
      <c r="D118" t="inlineStr">
        <is>
          <t>Kapelledreef</t>
        </is>
      </c>
      <c r="E118" t="n">
        <v>8</v>
      </c>
      <c r="F118" t="inlineStr">
        <is>
          <t>Maasmechelen</t>
        </is>
      </c>
      <c r="G118" t="n">
        <v>2</v>
      </c>
      <c r="H118" t="n">
        <v>1</v>
      </c>
      <c r="I118" t="n">
        <v>193.56</v>
      </c>
      <c r="J118" t="inlineStr">
        <is>
          <t>Zelden</t>
        </is>
      </c>
      <c r="K118" t="inlineStr">
        <is>
          <t>Payconiq</t>
        </is>
      </c>
      <c r="L118" t="n">
        <v>7.13</v>
      </c>
      <c r="M118" t="inlineStr">
        <is>
          <t>Geen dieet</t>
        </is>
      </c>
      <c r="N118">
        <f>LEFT(A118, FIND(",", A118)-1)</f>
        <v/>
      </c>
      <c r="O118">
        <f>MID(A118, FIND(",", A118)+2, LEN(A118))</f>
        <v/>
      </c>
      <c r="P118">
        <f>SWITCH(J118, "Zelden", 1, "Af en toe", 4, "Regelmatig", 8, "Vaak", 12)</f>
        <v/>
      </c>
      <c r="Q118">
        <f>IF(L118&gt;=7, "Tevreden", "Ontevreden")</f>
        <v/>
      </c>
    </row>
    <row r="119">
      <c r="A119" t="inlineStr">
        <is>
          <t>Bauwens, Shane</t>
        </is>
      </c>
      <c r="B119" t="n">
        <v>692577914</v>
      </c>
      <c r="C119" t="inlineStr">
        <is>
          <t>11/06/1990</t>
        </is>
      </c>
      <c r="D119" t="inlineStr">
        <is>
          <t>Loskaai</t>
        </is>
      </c>
      <c r="E119" t="n">
        <v>45</v>
      </c>
      <c r="F119" t="inlineStr">
        <is>
          <t>Halen</t>
        </is>
      </c>
      <c r="G119" t="n">
        <v>1</v>
      </c>
      <c r="H119" t="n">
        <v>0</v>
      </c>
      <c r="I119" t="n">
        <v>133.15</v>
      </c>
      <c r="J119" t="inlineStr">
        <is>
          <t>Af en toe</t>
        </is>
      </c>
      <c r="K119" t="inlineStr">
        <is>
          <t>Cash</t>
        </is>
      </c>
      <c r="L119" t="n">
        <v>8.619999999999999</v>
      </c>
      <c r="M119" t="inlineStr">
        <is>
          <t>Vegetarisch</t>
        </is>
      </c>
      <c r="N119">
        <f>LEFT(A119, FIND(",", A119)-1)</f>
        <v/>
      </c>
      <c r="O119">
        <f>MID(A119, FIND(",", A119)+2, LEN(A119))</f>
        <v/>
      </c>
      <c r="P119">
        <f>SWITCH(J119, "Zelden", 1, "Af en toe", 4, "Regelmatig", 8, "Vaak", 12)</f>
        <v/>
      </c>
      <c r="Q119">
        <f>IF(L119&gt;=7, "Tevreden", "Ontevreden")</f>
        <v/>
      </c>
    </row>
    <row r="120">
      <c r="A120" t="inlineStr">
        <is>
          <t>Joris, Luc</t>
        </is>
      </c>
      <c r="B120" t="n">
        <v>1403842310</v>
      </c>
      <c r="C120" t="inlineStr">
        <is>
          <t>10/06/1964</t>
        </is>
      </c>
      <c r="D120" t="inlineStr">
        <is>
          <t>François Benardstraat</t>
        </is>
      </c>
      <c r="E120" t="n">
        <v>39</v>
      </c>
      <c r="F120" t="inlineStr">
        <is>
          <t>Genk</t>
        </is>
      </c>
      <c r="G120" t="n">
        <v>2</v>
      </c>
      <c r="H120" t="n">
        <v>0</v>
      </c>
      <c r="I120" t="n">
        <v>88.75</v>
      </c>
      <c r="J120" t="inlineStr">
        <is>
          <t>Zeer vaak</t>
        </is>
      </c>
      <c r="K120" t="inlineStr">
        <is>
          <t>Cash</t>
        </is>
      </c>
      <c r="L120" t="n">
        <v>7.36</v>
      </c>
      <c r="M120" t="inlineStr">
        <is>
          <t>Geen dieet</t>
        </is>
      </c>
      <c r="N120">
        <f>LEFT(A120, FIND(",", A120)-1)</f>
        <v/>
      </c>
      <c r="O120">
        <f>MID(A120, FIND(",", A120)+2, LEN(A120))</f>
        <v/>
      </c>
      <c r="P120">
        <f>SWITCH(J120, "Zelden", 1, "Af en toe", 4, "Regelmatig", 8, "Vaak", 12)</f>
        <v/>
      </c>
      <c r="Q120">
        <f>IF(L120&gt;=7, "Tevreden", "Ontevreden")</f>
        <v/>
      </c>
    </row>
    <row r="121">
      <c r="A121" t="inlineStr">
        <is>
          <t>De laet, Stefaan</t>
        </is>
      </c>
      <c r="B121" t="n">
        <v>6662542244</v>
      </c>
      <c r="C121" t="inlineStr">
        <is>
          <t>02/11/1958</t>
        </is>
      </c>
      <c r="D121" t="inlineStr">
        <is>
          <t>Mimosastraat</t>
        </is>
      </c>
      <c r="E121" t="n">
        <v>30</v>
      </c>
      <c r="F121" t="inlineStr">
        <is>
          <t>Maasmechelen</t>
        </is>
      </c>
      <c r="G121" t="n">
        <v>1</v>
      </c>
      <c r="H121" t="n">
        <v>0</v>
      </c>
      <c r="I121" t="n">
        <v>88.92</v>
      </c>
      <c r="J121" t="inlineStr">
        <is>
          <t>Zeer vaak</t>
        </is>
      </c>
      <c r="K121" t="inlineStr">
        <is>
          <t>Payconiq</t>
        </is>
      </c>
      <c r="L121" t="n">
        <v>7.26</v>
      </c>
      <c r="M121" t="inlineStr">
        <is>
          <t>Geen dieet</t>
        </is>
      </c>
      <c r="N121">
        <f>LEFT(A121, FIND(",", A121)-1)</f>
        <v/>
      </c>
      <c r="O121">
        <f>MID(A121, FIND(",", A121)+2, LEN(A121))</f>
        <v/>
      </c>
      <c r="P121">
        <f>SWITCH(J121, "Zelden", 1, "Af en toe", 4, "Regelmatig", 8, "Vaak", 12)</f>
        <v/>
      </c>
      <c r="Q121">
        <f>IF(L121&gt;=7, "Tevreden", "Ontevreden")</f>
        <v/>
      </c>
    </row>
    <row r="122">
      <c r="A122" t="inlineStr">
        <is>
          <t>Descamps, Mohamed</t>
        </is>
      </c>
      <c r="B122" t="n">
        <v>7886454958</v>
      </c>
      <c r="C122" t="inlineStr">
        <is>
          <t>27/10/1980</t>
        </is>
      </c>
      <c r="D122" t="inlineStr">
        <is>
          <t>Achtenkouterstraat</t>
        </is>
      </c>
      <c r="E122" t="n">
        <v>5</v>
      </c>
      <c r="F122" t="inlineStr">
        <is>
          <t>Gingelom</t>
        </is>
      </c>
      <c r="G122" t="n">
        <v>2</v>
      </c>
      <c r="H122" t="n">
        <v>0</v>
      </c>
      <c r="I122" t="n">
        <v>79.14</v>
      </c>
      <c r="J122" t="inlineStr">
        <is>
          <t>Vaak</t>
        </is>
      </c>
      <c r="K122" t="inlineStr">
        <is>
          <t>Payconiq</t>
        </is>
      </c>
      <c r="L122" t="n">
        <v>6.77</v>
      </c>
      <c r="M122" t="inlineStr">
        <is>
          <t>Geen dieet</t>
        </is>
      </c>
      <c r="N122">
        <f>LEFT(A122, FIND(",", A122)-1)</f>
        <v/>
      </c>
      <c r="O122">
        <f>MID(A122, FIND(",", A122)+2, LEN(A122))</f>
        <v/>
      </c>
      <c r="P122">
        <f>SWITCH(J122, "Zelden", 1, "Af en toe", 4, "Regelmatig", 8, "Vaak", 12)</f>
        <v/>
      </c>
      <c r="Q122">
        <f>IF(L122&gt;=7, "Tevreden", "Ontevreden")</f>
        <v/>
      </c>
    </row>
    <row r="123">
      <c r="A123" t="inlineStr">
        <is>
          <t>Hendrickx, Maxime</t>
        </is>
      </c>
      <c r="B123" t="n">
        <v>4724890859</v>
      </c>
      <c r="C123" t="inlineStr">
        <is>
          <t>26/07/1998</t>
        </is>
      </c>
      <c r="D123" t="inlineStr">
        <is>
          <t>Koopvaardijlaan</t>
        </is>
      </c>
      <c r="E123" t="n">
        <v>32</v>
      </c>
      <c r="F123" t="inlineStr">
        <is>
          <t>Genk</t>
        </is>
      </c>
      <c r="G123" t="n">
        <v>2</v>
      </c>
      <c r="H123" t="n">
        <v>1</v>
      </c>
      <c r="I123" t="n">
        <v>101.58</v>
      </c>
      <c r="J123" t="inlineStr">
        <is>
          <t>Dagelijks</t>
        </is>
      </c>
      <c r="K123" t="inlineStr">
        <is>
          <t>Cash</t>
        </is>
      </c>
      <c r="L123" t="n">
        <v>7.22</v>
      </c>
      <c r="M123" t="inlineStr">
        <is>
          <t>Geen dieet</t>
        </is>
      </c>
      <c r="N123">
        <f>LEFT(A123, FIND(",", A123)-1)</f>
        <v/>
      </c>
      <c r="O123">
        <f>MID(A123, FIND(",", A123)+2, LEN(A123))</f>
        <v/>
      </c>
      <c r="P123">
        <f>SWITCH(J123, "Zelden", 1, "Af en toe", 4, "Regelmatig", 8, "Vaak", 12)</f>
        <v/>
      </c>
      <c r="Q123">
        <f>IF(L123&gt;=7, "Tevreden", "Ontevreden")</f>
        <v/>
      </c>
    </row>
    <row r="124">
      <c r="A124" t="inlineStr">
        <is>
          <t>Claus, Mieke</t>
        </is>
      </c>
      <c r="B124" t="n">
        <v>9081630146</v>
      </c>
      <c r="C124" t="inlineStr">
        <is>
          <t>23/07/2005</t>
        </is>
      </c>
      <c r="D124" t="inlineStr">
        <is>
          <t>Frans Van Ryhovelaan</t>
        </is>
      </c>
      <c r="E124" t="n">
        <v>9</v>
      </c>
      <c r="F124" t="inlineStr">
        <is>
          <t>Diepenbeek</t>
        </is>
      </c>
      <c r="G124" t="n">
        <v>1</v>
      </c>
      <c r="H124" t="n">
        <v>5</v>
      </c>
      <c r="I124" t="n">
        <v>124.92</v>
      </c>
      <c r="J124" t="inlineStr">
        <is>
          <t>Dagelijks</t>
        </is>
      </c>
      <c r="K124" t="inlineStr">
        <is>
          <t>Cash</t>
        </is>
      </c>
      <c r="L124" t="n">
        <v>7.43</v>
      </c>
      <c r="M124" t="inlineStr">
        <is>
          <t>Geen dieet</t>
        </is>
      </c>
      <c r="N124">
        <f>LEFT(A124, FIND(",", A124)-1)</f>
        <v/>
      </c>
      <c r="O124">
        <f>MID(A124, FIND(",", A124)+2, LEN(A124))</f>
        <v/>
      </c>
      <c r="P124">
        <f>SWITCH(J124, "Zelden", 1, "Af en toe", 4, "Regelmatig", 8, "Vaak", 12)</f>
        <v/>
      </c>
      <c r="Q124">
        <f>IF(L124&gt;=7, "Tevreden", "Ontevreden")</f>
        <v/>
      </c>
    </row>
    <row r="125">
      <c r="A125" t="inlineStr">
        <is>
          <t>Devos, Maxime</t>
        </is>
      </c>
      <c r="B125" t="n">
        <v>4197596671</v>
      </c>
      <c r="C125" t="inlineStr">
        <is>
          <t>12/04/1950</t>
        </is>
      </c>
      <c r="D125" t="inlineStr">
        <is>
          <t>Schoolstraat</t>
        </is>
      </c>
      <c r="E125" t="n">
        <v>18</v>
      </c>
      <c r="F125" t="inlineStr">
        <is>
          <t>Genk</t>
        </is>
      </c>
      <c r="G125" t="n">
        <v>1</v>
      </c>
      <c r="H125" t="n">
        <v>0</v>
      </c>
      <c r="I125" t="n">
        <v>98.59999999999999</v>
      </c>
      <c r="J125" t="inlineStr">
        <is>
          <t>Af en toe</t>
        </is>
      </c>
      <c r="K125" t="inlineStr">
        <is>
          <t>Payconiq</t>
        </is>
      </c>
      <c r="L125" t="n">
        <v>8.65</v>
      </c>
      <c r="M125" t="inlineStr">
        <is>
          <t>Vegetarisch</t>
        </is>
      </c>
      <c r="N125">
        <f>LEFT(A125, FIND(",", A125)-1)</f>
        <v/>
      </c>
      <c r="O125">
        <f>MID(A125, FIND(",", A125)+2, LEN(A125))</f>
        <v/>
      </c>
      <c r="P125">
        <f>SWITCH(J125, "Zelden", 1, "Af en toe", 4, "Regelmatig", 8, "Vaak", 12)</f>
        <v/>
      </c>
      <c r="Q125">
        <f>IF(L125&gt;=7, "Tevreden", "Ontevreden")</f>
        <v/>
      </c>
    </row>
    <row r="126">
      <c r="A126" t="inlineStr">
        <is>
          <t>Meert, Hartmut</t>
        </is>
      </c>
      <c r="B126" t="n">
        <v>7015594050</v>
      </c>
      <c r="C126" t="inlineStr">
        <is>
          <t>29/11/1967</t>
        </is>
      </c>
      <c r="D126" t="inlineStr">
        <is>
          <t>Lentestraat</t>
        </is>
      </c>
      <c r="E126" t="n">
        <v>53</v>
      </c>
      <c r="F126" t="inlineStr">
        <is>
          <t>Neerpelt</t>
        </is>
      </c>
      <c r="G126" t="n">
        <v>2</v>
      </c>
      <c r="H126" t="n">
        <v>3</v>
      </c>
      <c r="I126" t="n">
        <v>193.47</v>
      </c>
      <c r="J126" t="inlineStr">
        <is>
          <t>Vaak</t>
        </is>
      </c>
      <c r="K126" t="inlineStr">
        <is>
          <t>Bancontact</t>
        </is>
      </c>
      <c r="L126" t="n">
        <v>7.02</v>
      </c>
      <c r="M126" t="inlineStr">
        <is>
          <t>Geen dieet</t>
        </is>
      </c>
      <c r="N126">
        <f>LEFT(A126, FIND(",", A126)-1)</f>
        <v/>
      </c>
      <c r="O126">
        <f>MID(A126, FIND(",", A126)+2, LEN(A126))</f>
        <v/>
      </c>
      <c r="P126">
        <f>SWITCH(J126, "Zelden", 1, "Af en toe", 4, "Regelmatig", 8, "Vaak", 12)</f>
        <v/>
      </c>
      <c r="Q126">
        <f>IF(L126&gt;=7, "Tevreden", "Ontevreden")</f>
        <v/>
      </c>
    </row>
    <row r="127">
      <c r="A127" t="inlineStr">
        <is>
          <t>Vanderstraeten, Erwin</t>
        </is>
      </c>
      <c r="B127" t="n">
        <v>8669605579</v>
      </c>
      <c r="C127" t="inlineStr">
        <is>
          <t>21/10/1978</t>
        </is>
      </c>
      <c r="D127" t="inlineStr">
        <is>
          <t>Desteldonkdorp</t>
        </is>
      </c>
      <c r="E127" t="n">
        <v>29</v>
      </c>
      <c r="F127" t="inlineStr">
        <is>
          <t>Lommel</t>
        </is>
      </c>
      <c r="G127" t="n">
        <v>1</v>
      </c>
      <c r="H127" t="n">
        <v>2</v>
      </c>
      <c r="I127" t="n">
        <v>85.98999999999999</v>
      </c>
      <c r="J127" t="inlineStr">
        <is>
          <t>Vaak</t>
        </is>
      </c>
      <c r="K127" t="inlineStr">
        <is>
          <t>Bancontact</t>
        </is>
      </c>
      <c r="L127" t="n">
        <v>8.57</v>
      </c>
      <c r="M127" t="inlineStr">
        <is>
          <t>Vegetarisch</t>
        </is>
      </c>
      <c r="N127">
        <f>LEFT(A127, FIND(",", A127)-1)</f>
        <v/>
      </c>
      <c r="O127">
        <f>MID(A127, FIND(",", A127)+2, LEN(A127))</f>
        <v/>
      </c>
      <c r="P127">
        <f>SWITCH(J127, "Zelden", 1, "Af en toe", 4, "Regelmatig", 8, "Vaak", 12)</f>
        <v/>
      </c>
      <c r="Q127">
        <f>IF(L127&gt;=7, "Tevreden", "Ontevreden")</f>
        <v/>
      </c>
    </row>
    <row r="128">
      <c r="A128" t="inlineStr">
        <is>
          <t>De backer, Luís</t>
        </is>
      </c>
      <c r="B128" t="n">
        <v>2045659440</v>
      </c>
      <c r="C128" t="inlineStr">
        <is>
          <t>12/12/2003</t>
        </is>
      </c>
      <c r="D128" t="inlineStr">
        <is>
          <t>Mathias Gesweinstraat</t>
        </is>
      </c>
      <c r="E128" t="n">
        <v>76</v>
      </c>
      <c r="F128" t="inlineStr">
        <is>
          <t>Genk</t>
        </is>
      </c>
      <c r="G128" t="n">
        <v>2</v>
      </c>
      <c r="H128" t="n">
        <v>2</v>
      </c>
      <c r="I128" t="n">
        <v>90.23</v>
      </c>
      <c r="J128" t="inlineStr">
        <is>
          <t>Af en toe</t>
        </is>
      </c>
      <c r="K128" t="inlineStr">
        <is>
          <t>Payconiq</t>
        </is>
      </c>
      <c r="L128" t="n">
        <v>7.75</v>
      </c>
      <c r="M128" t="inlineStr">
        <is>
          <t>Vegetarisch</t>
        </is>
      </c>
      <c r="N128">
        <f>LEFT(A128, FIND(",", A128)-1)</f>
        <v/>
      </c>
      <c r="O128">
        <f>MID(A128, FIND(",", A128)+2, LEN(A128))</f>
        <v/>
      </c>
      <c r="P128">
        <f>SWITCH(J128, "Zelden", 1, "Af en toe", 4, "Regelmatig", 8, "Vaak", 12)</f>
        <v/>
      </c>
      <c r="Q128">
        <f>IF(L128&gt;=7, "Tevreden", "Ontevreden")</f>
        <v/>
      </c>
    </row>
    <row r="129">
      <c r="A129" t="inlineStr">
        <is>
          <t>Dujardin, Loïc</t>
        </is>
      </c>
      <c r="B129" t="n">
        <v>9061790895</v>
      </c>
      <c r="C129" t="inlineStr">
        <is>
          <t>14/10/1954</t>
        </is>
      </c>
      <c r="D129" t="inlineStr">
        <is>
          <t>Eddastraat</t>
        </is>
      </c>
      <c r="E129" t="n">
        <v>16</v>
      </c>
      <c r="F129" t="inlineStr">
        <is>
          <t>Herten</t>
        </is>
      </c>
      <c r="G129" t="n">
        <v>2</v>
      </c>
      <c r="H129" t="n">
        <v>0</v>
      </c>
      <c r="I129" t="n">
        <v>99.18000000000001</v>
      </c>
      <c r="J129" t="inlineStr">
        <is>
          <t>Af en toe</t>
        </is>
      </c>
      <c r="K129" t="inlineStr">
        <is>
          <t>Payconiq</t>
        </is>
      </c>
      <c r="L129" t="n">
        <v>7.86</v>
      </c>
      <c r="M129" t="inlineStr">
        <is>
          <t>Geen dieet</t>
        </is>
      </c>
      <c r="N129">
        <f>LEFT(A129, FIND(",", A129)-1)</f>
        <v/>
      </c>
      <c r="O129">
        <f>MID(A129, FIND(",", A129)+2, LEN(A129))</f>
        <v/>
      </c>
      <c r="P129">
        <f>SWITCH(J129, "Zelden", 1, "Af en toe", 4, "Regelmatig", 8, "Vaak", 12)</f>
        <v/>
      </c>
      <c r="Q129">
        <f>IF(L129&gt;=7, "Tevreden", "Ontevreden")</f>
        <v/>
      </c>
    </row>
    <row r="130">
      <c r="A130" t="inlineStr">
        <is>
          <t>Lenaerts, Roger</t>
        </is>
      </c>
      <c r="B130" t="n">
        <v>9142273367</v>
      </c>
      <c r="C130" t="inlineStr">
        <is>
          <t>24/10/1952</t>
        </is>
      </c>
      <c r="D130" t="inlineStr">
        <is>
          <t>Fregatstraat</t>
        </is>
      </c>
      <c r="E130" t="n">
        <v>33</v>
      </c>
      <c r="F130" t="inlineStr">
        <is>
          <t>Kortessem</t>
        </is>
      </c>
      <c r="G130" t="n">
        <v>2</v>
      </c>
      <c r="H130" t="n">
        <v>2</v>
      </c>
      <c r="I130" t="n">
        <v>38.67</v>
      </c>
      <c r="J130" t="inlineStr">
        <is>
          <t>Zelden</t>
        </is>
      </c>
      <c r="K130" t="inlineStr">
        <is>
          <t>Bancontact</t>
        </is>
      </c>
      <c r="L130" t="n">
        <v>7.24</v>
      </c>
      <c r="M130" t="inlineStr">
        <is>
          <t>Geen dieet</t>
        </is>
      </c>
      <c r="N130">
        <f>LEFT(A130, FIND(",", A130)-1)</f>
        <v/>
      </c>
      <c r="O130">
        <f>MID(A130, FIND(",", A130)+2, LEN(A130))</f>
        <v/>
      </c>
      <c r="P130">
        <f>SWITCH(J130, "Zelden", 1, "Af en toe", 4, "Regelmatig", 8, "Vaak", 12)</f>
        <v/>
      </c>
      <c r="Q130">
        <f>IF(L130&gt;=7, "Tevreden", "Ontevreden")</f>
        <v/>
      </c>
    </row>
    <row r="131">
      <c r="A131" t="inlineStr">
        <is>
          <t>Marchal, Miranda</t>
        </is>
      </c>
      <c r="B131" t="n">
        <v>2528404159</v>
      </c>
      <c r="C131" t="inlineStr">
        <is>
          <t>07/05/1961</t>
        </is>
      </c>
      <c r="D131" t="inlineStr">
        <is>
          <t>Vrouwebroersstraat</t>
        </is>
      </c>
      <c r="E131" t="n">
        <v>50</v>
      </c>
      <c r="F131" t="inlineStr">
        <is>
          <t>Herten</t>
        </is>
      </c>
      <c r="G131" t="n">
        <v>1</v>
      </c>
      <c r="H131" t="n">
        <v>1</v>
      </c>
      <c r="I131" t="n">
        <v>137.15</v>
      </c>
      <c r="J131" t="inlineStr">
        <is>
          <t>Af en toe</t>
        </is>
      </c>
      <c r="K131" t="inlineStr">
        <is>
          <t>Bancontact</t>
        </is>
      </c>
      <c r="L131" t="n">
        <v>6.98</v>
      </c>
      <c r="M131" t="inlineStr">
        <is>
          <t>Geen dieet</t>
        </is>
      </c>
      <c r="N131">
        <f>LEFT(A131, FIND(",", A131)-1)</f>
        <v/>
      </c>
      <c r="O131">
        <f>MID(A131, FIND(",", A131)+2, LEN(A131))</f>
        <v/>
      </c>
      <c r="P131">
        <f>SWITCH(J131, "Zelden", 1, "Af en toe", 4, "Regelmatig", 8, "Vaak", 12)</f>
        <v/>
      </c>
      <c r="Q131">
        <f>IF(L131&gt;=7, "Tevreden", "Ontevreden")</f>
        <v/>
      </c>
    </row>
    <row r="132">
      <c r="A132" t="inlineStr">
        <is>
          <t>Baert, Joanna</t>
        </is>
      </c>
      <c r="B132" t="n">
        <v>7031802163</v>
      </c>
      <c r="C132" t="inlineStr">
        <is>
          <t>28/06/1970</t>
        </is>
      </c>
      <c r="D132" t="inlineStr">
        <is>
          <t>Gildestraat</t>
        </is>
      </c>
      <c r="E132" t="n">
        <v>4</v>
      </c>
      <c r="F132" t="inlineStr">
        <is>
          <t>Maasmechelen</t>
        </is>
      </c>
      <c r="G132" t="n">
        <v>2</v>
      </c>
      <c r="H132" t="n">
        <v>2</v>
      </c>
      <c r="I132" t="n">
        <v>77.31</v>
      </c>
      <c r="J132" t="inlineStr">
        <is>
          <t>Zelden</t>
        </is>
      </c>
      <c r="K132" t="inlineStr">
        <is>
          <t>Bancontact</t>
        </is>
      </c>
      <c r="L132" t="n">
        <v>7.8</v>
      </c>
      <c r="M132" t="inlineStr">
        <is>
          <t>Geen dieet</t>
        </is>
      </c>
      <c r="N132">
        <f>LEFT(A132, FIND(",", A132)-1)</f>
        <v/>
      </c>
      <c r="O132">
        <f>MID(A132, FIND(",", A132)+2, LEN(A132))</f>
        <v/>
      </c>
      <c r="P132">
        <f>SWITCH(J132, "Zelden", 1, "Af en toe", 4, "Regelmatig", 8, "Vaak", 12)</f>
        <v/>
      </c>
      <c r="Q132">
        <f>IF(L132&gt;=7, "Tevreden", "Ontevreden")</f>
        <v/>
      </c>
    </row>
    <row r="133">
      <c r="A133" t="inlineStr">
        <is>
          <t>Claes, Naorah</t>
        </is>
      </c>
      <c r="B133" t="n">
        <v>6161305680</v>
      </c>
      <c r="C133" t="inlineStr">
        <is>
          <t>20/10/1992</t>
        </is>
      </c>
      <c r="D133" t="inlineStr">
        <is>
          <t>Clarissenstraat</t>
        </is>
      </c>
      <c r="E133" t="n">
        <v>26</v>
      </c>
      <c r="F133" t="inlineStr">
        <is>
          <t>Diepenbeek</t>
        </is>
      </c>
      <c r="G133" t="n">
        <v>1</v>
      </c>
      <c r="H133" t="n">
        <v>1</v>
      </c>
      <c r="I133" t="n">
        <v>19.25</v>
      </c>
      <c r="J133" t="inlineStr">
        <is>
          <t>Zelden</t>
        </is>
      </c>
      <c r="K133" t="inlineStr">
        <is>
          <t>Payconiq</t>
        </is>
      </c>
      <c r="L133" t="n">
        <v>6.75</v>
      </c>
      <c r="M133" t="inlineStr">
        <is>
          <t>Geen dieet</t>
        </is>
      </c>
      <c r="N133">
        <f>LEFT(A133, FIND(",", A133)-1)</f>
        <v/>
      </c>
      <c r="O133">
        <f>MID(A133, FIND(",", A133)+2, LEN(A133))</f>
        <v/>
      </c>
      <c r="P133">
        <f>SWITCH(J133, "Zelden", 1, "Af en toe", 4, "Regelmatig", 8, "Vaak", 12)</f>
        <v/>
      </c>
      <c r="Q133">
        <f>IF(L133&gt;=7, "Tevreden", "Ontevreden")</f>
        <v/>
      </c>
    </row>
    <row r="134">
      <c r="A134" t="inlineStr">
        <is>
          <t>Lievens, Anouk</t>
        </is>
      </c>
      <c r="B134" t="n">
        <v>1046017066</v>
      </c>
      <c r="C134" t="inlineStr">
        <is>
          <t>16/01/1957</t>
        </is>
      </c>
      <c r="D134" t="inlineStr">
        <is>
          <t>Blekerijstraat</t>
        </is>
      </c>
      <c r="E134" t="n">
        <v>44</v>
      </c>
      <c r="F134" t="inlineStr">
        <is>
          <t>Genk</t>
        </is>
      </c>
      <c r="G134" t="n">
        <v>2</v>
      </c>
      <c r="H134" t="n">
        <v>0</v>
      </c>
      <c r="I134" t="n">
        <v>24.69</v>
      </c>
      <c r="J134" t="inlineStr">
        <is>
          <t>Vaak</t>
        </is>
      </c>
      <c r="K134" t="inlineStr">
        <is>
          <t>Payconiq</t>
        </is>
      </c>
      <c r="L134" t="n">
        <v>8.300000000000001</v>
      </c>
      <c r="M134" t="inlineStr">
        <is>
          <t>Vegetarisch</t>
        </is>
      </c>
      <c r="N134">
        <f>LEFT(A134, FIND(",", A134)-1)</f>
        <v/>
      </c>
      <c r="O134">
        <f>MID(A134, FIND(",", A134)+2, LEN(A134))</f>
        <v/>
      </c>
      <c r="P134">
        <f>SWITCH(J134, "Zelden", 1, "Af en toe", 4, "Regelmatig", 8, "Vaak", 12)</f>
        <v/>
      </c>
      <c r="Q134">
        <f>IF(L134&gt;=7, "Tevreden", "Ontevreden")</f>
        <v/>
      </c>
    </row>
    <row r="135">
      <c r="A135" t="inlineStr">
        <is>
          <t>Rousseau, Sarah</t>
        </is>
      </c>
      <c r="B135" t="n">
        <v>5274351338</v>
      </c>
      <c r="C135" t="inlineStr">
        <is>
          <t>12/10/2005</t>
        </is>
      </c>
      <c r="D135" t="inlineStr">
        <is>
          <t>Tolhuislaan</t>
        </is>
      </c>
      <c r="E135" t="n">
        <v>27</v>
      </c>
      <c r="F135" t="inlineStr">
        <is>
          <t>Lommel</t>
        </is>
      </c>
      <c r="G135" t="n">
        <v>1</v>
      </c>
      <c r="H135" t="n">
        <v>0</v>
      </c>
      <c r="I135" t="n">
        <v>41.25</v>
      </c>
      <c r="J135" t="inlineStr">
        <is>
          <t>Af en toe</t>
        </is>
      </c>
      <c r="K135" t="inlineStr">
        <is>
          <t>Cash</t>
        </is>
      </c>
      <c r="L135" t="n">
        <v>8.16</v>
      </c>
      <c r="M135" t="inlineStr">
        <is>
          <t>Vegetarisch</t>
        </is>
      </c>
      <c r="N135">
        <f>LEFT(A135, FIND(",", A135)-1)</f>
        <v/>
      </c>
      <c r="O135">
        <f>MID(A135, FIND(",", A135)+2, LEN(A135))</f>
        <v/>
      </c>
      <c r="P135">
        <f>SWITCH(J135, "Zelden", 1, "Af en toe", 4, "Regelmatig", 8, "Vaak", 12)</f>
        <v/>
      </c>
      <c r="Q135">
        <f>IF(L135&gt;=7, "Tevreden", "Ontevreden")</f>
        <v/>
      </c>
    </row>
    <row r="136">
      <c r="A136" t="inlineStr">
        <is>
          <t>Vandenbroucke, Christine</t>
        </is>
      </c>
      <c r="B136" t="n">
        <v>8702381980</v>
      </c>
      <c r="C136" t="inlineStr">
        <is>
          <t>15/05/1980</t>
        </is>
      </c>
      <c r="D136" t="inlineStr">
        <is>
          <t>Oudburg</t>
        </is>
      </c>
      <c r="E136" t="n">
        <v>23</v>
      </c>
      <c r="F136" t="inlineStr">
        <is>
          <t>Herten</t>
        </is>
      </c>
      <c r="G136" t="n">
        <v>2</v>
      </c>
      <c r="H136" t="n">
        <v>5</v>
      </c>
      <c r="I136" t="n">
        <v>155.05</v>
      </c>
      <c r="J136" t="inlineStr">
        <is>
          <t>Zelden</t>
        </is>
      </c>
      <c r="K136" t="inlineStr">
        <is>
          <t>Bancontact</t>
        </is>
      </c>
      <c r="L136" t="n">
        <v>7.55</v>
      </c>
      <c r="M136" t="inlineStr">
        <is>
          <t>Geen dieet</t>
        </is>
      </c>
      <c r="N136">
        <f>LEFT(A136, FIND(",", A136)-1)</f>
        <v/>
      </c>
      <c r="O136">
        <f>MID(A136, FIND(",", A136)+2, LEN(A136))</f>
        <v/>
      </c>
      <c r="P136">
        <f>SWITCH(J136, "Zelden", 1, "Af en toe", 4, "Regelmatig", 8, "Vaak", 12)</f>
        <v/>
      </c>
      <c r="Q136">
        <f>IF(L136&gt;=7, "Tevreden", "Ontevreden")</f>
        <v/>
      </c>
    </row>
    <row r="137">
      <c r="A137" t="inlineStr">
        <is>
          <t>De pauw, Joannes</t>
        </is>
      </c>
      <c r="B137" t="n">
        <v>8017754236</v>
      </c>
      <c r="C137" t="inlineStr">
        <is>
          <t>16/07/1994</t>
        </is>
      </c>
      <c r="D137" t="inlineStr">
        <is>
          <t>Sint-kwintensberg</t>
        </is>
      </c>
      <c r="E137" t="n">
        <v>7</v>
      </c>
      <c r="F137" t="inlineStr">
        <is>
          <t>Hoeselt</t>
        </is>
      </c>
      <c r="G137" t="n">
        <v>1</v>
      </c>
      <c r="H137" t="n">
        <v>0</v>
      </c>
      <c r="I137" t="n">
        <v>22.92</v>
      </c>
      <c r="J137" t="inlineStr">
        <is>
          <t>Vaak</t>
        </is>
      </c>
      <c r="K137" t="inlineStr">
        <is>
          <t>Payconiq</t>
        </is>
      </c>
      <c r="L137" t="n">
        <v>6.85</v>
      </c>
      <c r="M137" t="inlineStr">
        <is>
          <t>Geen dieet</t>
        </is>
      </c>
      <c r="N137">
        <f>LEFT(A137, FIND(",", A137)-1)</f>
        <v/>
      </c>
      <c r="O137">
        <f>MID(A137, FIND(",", A137)+2, LEN(A137))</f>
        <v/>
      </c>
      <c r="P137">
        <f>SWITCH(J137, "Zelden", 1, "Af en toe", 4, "Regelmatig", 8, "Vaak", 12)</f>
        <v/>
      </c>
      <c r="Q137">
        <f>IF(L137&gt;=7, "Tevreden", "Ontevreden")</f>
        <v/>
      </c>
    </row>
    <row r="138">
      <c r="A138" t="inlineStr">
        <is>
          <t>Pieters, Robert</t>
        </is>
      </c>
      <c r="B138" t="n">
        <v>2153843598</v>
      </c>
      <c r="C138" t="inlineStr">
        <is>
          <t>09/04/1949</t>
        </is>
      </c>
      <c r="D138" t="inlineStr">
        <is>
          <t>Kwartelstraat</t>
        </is>
      </c>
      <c r="E138" t="n">
        <v>46</v>
      </c>
      <c r="F138" t="inlineStr">
        <is>
          <t>Hoeselt</t>
        </is>
      </c>
      <c r="G138" t="n">
        <v>4</v>
      </c>
      <c r="H138" t="n">
        <v>5</v>
      </c>
      <c r="I138" t="n">
        <v>172.48</v>
      </c>
      <c r="J138" t="inlineStr">
        <is>
          <t>Af en toe</t>
        </is>
      </c>
      <c r="K138" t="inlineStr">
        <is>
          <t>Cash</t>
        </is>
      </c>
      <c r="L138" t="n">
        <v>7.38</v>
      </c>
      <c r="M138" t="inlineStr">
        <is>
          <t>Geen dieet</t>
        </is>
      </c>
      <c r="N138">
        <f>LEFT(A138, FIND(",", A138)-1)</f>
        <v/>
      </c>
      <c r="O138">
        <f>MID(A138, FIND(",", A138)+2, LEN(A138))</f>
        <v/>
      </c>
      <c r="P138">
        <f>SWITCH(J138, "Zelden", 1, "Af en toe", 4, "Regelmatig", 8, "Vaak", 12)</f>
        <v/>
      </c>
      <c r="Q138">
        <f>IF(L138&gt;=7, "Tevreden", "Ontevreden")</f>
        <v/>
      </c>
    </row>
    <row r="139">
      <c r="A139" t="inlineStr">
        <is>
          <t>Lambert, Gloria</t>
        </is>
      </c>
      <c r="B139" t="n">
        <v>1936212383</v>
      </c>
      <c r="C139" t="inlineStr">
        <is>
          <t>27/02/1969</t>
        </is>
      </c>
      <c r="D139" t="inlineStr">
        <is>
          <t>Buffelstraat</t>
        </is>
      </c>
      <c r="E139" t="n">
        <v>59</v>
      </c>
      <c r="F139" t="inlineStr">
        <is>
          <t>Lummen</t>
        </is>
      </c>
      <c r="G139" t="n">
        <v>1</v>
      </c>
      <c r="H139" t="n">
        <v>0</v>
      </c>
      <c r="I139" t="n">
        <v>104.39</v>
      </c>
      <c r="J139" t="inlineStr">
        <is>
          <t>Af en toe</t>
        </is>
      </c>
      <c r="K139" t="inlineStr">
        <is>
          <t>Bancontact</t>
        </is>
      </c>
      <c r="L139" t="n">
        <v>6.9</v>
      </c>
      <c r="M139" t="inlineStr">
        <is>
          <t>Geen dieet</t>
        </is>
      </c>
      <c r="N139">
        <f>LEFT(A139, FIND(",", A139)-1)</f>
        <v/>
      </c>
      <c r="O139">
        <f>MID(A139, FIND(",", A139)+2, LEN(A139))</f>
        <v/>
      </c>
      <c r="P139">
        <f>SWITCH(J139, "Zelden", 1, "Af en toe", 4, "Regelmatig", 8, "Vaak", 12)</f>
        <v/>
      </c>
      <c r="Q139">
        <f>IF(L139&gt;=7, "Tevreden", "Ontevreden")</f>
        <v/>
      </c>
    </row>
    <row r="140">
      <c r="A140" t="inlineStr">
        <is>
          <t>Van daele, Freddy</t>
        </is>
      </c>
      <c r="B140" t="n">
        <v>9541036244</v>
      </c>
      <c r="C140" t="inlineStr">
        <is>
          <t>26/11/1998</t>
        </is>
      </c>
      <c r="D140" t="inlineStr">
        <is>
          <t>Ingelandgat</t>
        </is>
      </c>
      <c r="E140" t="n">
        <v>21</v>
      </c>
      <c r="F140" t="inlineStr">
        <is>
          <t>Bilzen</t>
        </is>
      </c>
      <c r="G140" t="n">
        <v>1</v>
      </c>
      <c r="H140" t="n">
        <v>3</v>
      </c>
      <c r="I140" t="n">
        <v>131.82</v>
      </c>
      <c r="J140" t="inlineStr">
        <is>
          <t>Af en toe</t>
        </is>
      </c>
      <c r="K140" t="inlineStr">
        <is>
          <t>Payconiq</t>
        </is>
      </c>
      <c r="L140" t="n">
        <v>7.02</v>
      </c>
      <c r="M140" t="inlineStr">
        <is>
          <t>Geen dieet</t>
        </is>
      </c>
      <c r="N140">
        <f>LEFT(A140, FIND(",", A140)-1)</f>
        <v/>
      </c>
      <c r="O140">
        <f>MID(A140, FIND(",", A140)+2, LEN(A140))</f>
        <v/>
      </c>
      <c r="P140">
        <f>SWITCH(J140, "Zelden", 1, "Af en toe", 4, "Regelmatig", 8, "Vaak", 12)</f>
        <v/>
      </c>
      <c r="Q140">
        <f>IF(L140&gt;=7, "Tevreden", "Ontevreden")</f>
        <v/>
      </c>
    </row>
    <row r="141">
      <c r="A141" t="inlineStr">
        <is>
          <t>Georges, Emile</t>
        </is>
      </c>
      <c r="B141" t="n">
        <v>9405523786</v>
      </c>
      <c r="C141" t="inlineStr">
        <is>
          <t>10/10/1999</t>
        </is>
      </c>
      <c r="D141" t="inlineStr">
        <is>
          <t>Speistraat</t>
        </is>
      </c>
      <c r="E141" t="n">
        <v>98</v>
      </c>
      <c r="F141" t="inlineStr">
        <is>
          <t>Overpelt</t>
        </is>
      </c>
      <c r="G141" t="n">
        <v>2</v>
      </c>
      <c r="H141" t="n">
        <v>4</v>
      </c>
      <c r="I141" t="n">
        <v>220.87</v>
      </c>
      <c r="J141" t="inlineStr">
        <is>
          <t>Af en toe</t>
        </is>
      </c>
      <c r="K141" t="inlineStr">
        <is>
          <t>Payconiq</t>
        </is>
      </c>
      <c r="L141" t="n">
        <v>7.11</v>
      </c>
      <c r="M141" t="inlineStr">
        <is>
          <t>Geen dieet</t>
        </is>
      </c>
      <c r="N141">
        <f>LEFT(A141, FIND(",", A141)-1)</f>
        <v/>
      </c>
      <c r="O141">
        <f>MID(A141, FIND(",", A141)+2, LEN(A141))</f>
        <v/>
      </c>
      <c r="P141">
        <f>SWITCH(J141, "Zelden", 1, "Af en toe", 4, "Regelmatig", 8, "Vaak", 12)</f>
        <v/>
      </c>
      <c r="Q141">
        <f>IF(L141&gt;=7, "Tevreden", "Ontevreden")</f>
        <v/>
      </c>
    </row>
    <row r="142">
      <c r="A142" t="inlineStr">
        <is>
          <t>Maertens, Ludovique</t>
        </is>
      </c>
      <c r="B142" t="n">
        <v>8247326186</v>
      </c>
      <c r="C142" t="inlineStr">
        <is>
          <t>28/09/1989</t>
        </is>
      </c>
      <c r="D142" t="inlineStr">
        <is>
          <t>Boeierstraat</t>
        </is>
      </c>
      <c r="E142" t="n">
        <v>24</v>
      </c>
      <c r="F142" t="inlineStr">
        <is>
          <t>Gingelom</t>
        </is>
      </c>
      <c r="G142" t="n">
        <v>2</v>
      </c>
      <c r="H142" t="n">
        <v>2</v>
      </c>
      <c r="I142" t="n">
        <v>167.63</v>
      </c>
      <c r="J142" t="inlineStr">
        <is>
          <t>Zelden</t>
        </is>
      </c>
      <c r="K142" t="inlineStr">
        <is>
          <t>Bancontact</t>
        </is>
      </c>
      <c r="L142" t="n">
        <v>7.24</v>
      </c>
      <c r="M142" t="inlineStr">
        <is>
          <t>Geen dieet</t>
        </is>
      </c>
      <c r="N142">
        <f>LEFT(A142, FIND(",", A142)-1)</f>
        <v/>
      </c>
      <c r="O142">
        <f>MID(A142, FIND(",", A142)+2, LEN(A142))</f>
        <v/>
      </c>
      <c r="P142">
        <f>SWITCH(J142, "Zelden", 1, "Af en toe", 4, "Regelmatig", 8, "Vaak", 12)</f>
        <v/>
      </c>
      <c r="Q142">
        <f>IF(L142&gt;=7, "Tevreden", "Ontevreden")</f>
        <v/>
      </c>
    </row>
    <row r="143">
      <c r="A143" t="inlineStr">
        <is>
          <t>Masson, Mathieu</t>
        </is>
      </c>
      <c r="B143" t="n">
        <v>9126235398</v>
      </c>
      <c r="C143" t="inlineStr">
        <is>
          <t>05/05/1976</t>
        </is>
      </c>
      <c r="D143" t="inlineStr">
        <is>
          <t>Brabantdam</t>
        </is>
      </c>
      <c r="E143" t="n">
        <v>2</v>
      </c>
      <c r="F143" t="inlineStr">
        <is>
          <t>Tessenderlo</t>
        </is>
      </c>
      <c r="G143" t="n">
        <v>3</v>
      </c>
      <c r="H143" t="n">
        <v>5</v>
      </c>
      <c r="I143" t="n">
        <v>143.33</v>
      </c>
      <c r="J143" t="inlineStr">
        <is>
          <t>Af en toe</t>
        </is>
      </c>
      <c r="K143" t="inlineStr">
        <is>
          <t>Cash</t>
        </is>
      </c>
      <c r="L143" t="n">
        <v>6.88</v>
      </c>
      <c r="M143" t="inlineStr">
        <is>
          <t>Geen dieet</t>
        </is>
      </c>
      <c r="N143">
        <f>LEFT(A143, FIND(",", A143)-1)</f>
        <v/>
      </c>
      <c r="O143">
        <f>MID(A143, FIND(",", A143)+2, LEN(A143))</f>
        <v/>
      </c>
      <c r="P143">
        <f>SWITCH(J143, "Zelden", 1, "Af en toe", 4, "Regelmatig", 8, "Vaak", 12)</f>
        <v/>
      </c>
      <c r="Q143">
        <f>IF(L143&gt;=7, "Tevreden", "Ontevreden")</f>
        <v/>
      </c>
    </row>
    <row r="144">
      <c r="A144" t="inlineStr">
        <is>
          <t>Goffin, Dominique</t>
        </is>
      </c>
      <c r="B144" t="n">
        <v>4299491664</v>
      </c>
      <c r="C144" t="inlineStr">
        <is>
          <t>12/01/1980</t>
        </is>
      </c>
      <c r="D144" t="inlineStr">
        <is>
          <t>Desteldonkdorp</t>
        </is>
      </c>
      <c r="E144" t="n">
        <v>15</v>
      </c>
      <c r="F144" t="inlineStr">
        <is>
          <t>Kinrooi</t>
        </is>
      </c>
      <c r="G144" t="n">
        <v>1</v>
      </c>
      <c r="H144" t="n">
        <v>2</v>
      </c>
      <c r="I144" t="n">
        <v>134.82</v>
      </c>
      <c r="J144" t="inlineStr">
        <is>
          <t>Zeer vaak</t>
        </is>
      </c>
      <c r="K144" t="inlineStr">
        <is>
          <t>Payconiq</t>
        </is>
      </c>
      <c r="L144" t="n">
        <v>8.15</v>
      </c>
      <c r="M144" t="inlineStr">
        <is>
          <t>Vegetarisch</t>
        </is>
      </c>
      <c r="N144">
        <f>LEFT(A144, FIND(",", A144)-1)</f>
        <v/>
      </c>
      <c r="O144">
        <f>MID(A144, FIND(",", A144)+2, LEN(A144))</f>
        <v/>
      </c>
      <c r="P144">
        <f>SWITCH(J144, "Zelden", 1, "Af en toe", 4, "Regelmatig", 8, "Vaak", 12)</f>
        <v/>
      </c>
      <c r="Q144">
        <f>IF(L144&gt;=7, "Tevreden", "Ontevreden")</f>
        <v/>
      </c>
    </row>
    <row r="145">
      <c r="A145" t="inlineStr">
        <is>
          <t>Van roy, Stefan</t>
        </is>
      </c>
      <c r="B145" t="n">
        <v>4937967250</v>
      </c>
      <c r="C145" t="inlineStr">
        <is>
          <t>21/01/2000</t>
        </is>
      </c>
      <c r="D145" t="inlineStr">
        <is>
          <t>Limburgstraat</t>
        </is>
      </c>
      <c r="E145" t="n">
        <v>37</v>
      </c>
      <c r="F145" t="inlineStr">
        <is>
          <t>Maasmechelen</t>
        </is>
      </c>
      <c r="G145" t="n">
        <v>2</v>
      </c>
      <c r="H145" t="n">
        <v>0</v>
      </c>
      <c r="I145" t="n">
        <v>105.63</v>
      </c>
      <c r="J145" t="inlineStr">
        <is>
          <t>Vaak</t>
        </is>
      </c>
      <c r="K145" t="inlineStr">
        <is>
          <t>Bancontact</t>
        </is>
      </c>
      <c r="L145" t="n">
        <v>6.85</v>
      </c>
      <c r="M145" t="inlineStr">
        <is>
          <t>Geen dieet</t>
        </is>
      </c>
      <c r="N145">
        <f>LEFT(A145, FIND(",", A145)-1)</f>
        <v/>
      </c>
      <c r="O145">
        <f>MID(A145, FIND(",", A145)+2, LEN(A145))</f>
        <v/>
      </c>
      <c r="P145">
        <f>SWITCH(J145, "Zelden", 1, "Af en toe", 4, "Regelmatig", 8, "Vaak", 12)</f>
        <v/>
      </c>
      <c r="Q145">
        <f>IF(L145&gt;=7, "Tevreden", "Ontevreden")</f>
        <v/>
      </c>
    </row>
    <row r="146">
      <c r="A146" t="inlineStr">
        <is>
          <t>Vrancken, Karen</t>
        </is>
      </c>
      <c r="B146" t="n">
        <v>5148498333</v>
      </c>
      <c r="C146" t="inlineStr">
        <is>
          <t>03/01/2003</t>
        </is>
      </c>
      <c r="D146" t="inlineStr">
        <is>
          <t>Zuidstationstraat</t>
        </is>
      </c>
      <c r="E146" t="n">
        <v>66</v>
      </c>
      <c r="F146" t="inlineStr">
        <is>
          <t>Heusden-Zolder</t>
        </is>
      </c>
      <c r="G146" t="n">
        <v>1</v>
      </c>
      <c r="H146" t="n">
        <v>2</v>
      </c>
      <c r="I146" t="n">
        <v>93.48999999999999</v>
      </c>
      <c r="J146" t="inlineStr">
        <is>
          <t>Dagelijks</t>
        </is>
      </c>
      <c r="K146" t="inlineStr">
        <is>
          <t>Bancontact</t>
        </is>
      </c>
      <c r="L146" t="n">
        <v>7.31</v>
      </c>
      <c r="M146" t="inlineStr">
        <is>
          <t>Geen dieet</t>
        </is>
      </c>
      <c r="N146">
        <f>LEFT(A146, FIND(",", A146)-1)</f>
        <v/>
      </c>
      <c r="O146">
        <f>MID(A146, FIND(",", A146)+2, LEN(A146))</f>
        <v/>
      </c>
      <c r="P146">
        <f>SWITCH(J146, "Zelden", 1, "Af en toe", 4, "Regelmatig", 8, "Vaak", 12)</f>
        <v/>
      </c>
      <c r="Q146">
        <f>IF(L146&gt;=7, "Tevreden", "Ontevreden")</f>
        <v/>
      </c>
    </row>
    <row r="147">
      <c r="A147" t="inlineStr">
        <is>
          <t>Claes, Liselotte</t>
        </is>
      </c>
      <c r="B147" t="n">
        <v>8559360127</v>
      </c>
      <c r="C147" t="inlineStr">
        <is>
          <t>04/07/1980</t>
        </is>
      </c>
      <c r="D147" t="inlineStr">
        <is>
          <t>Imsakkerlaan</t>
        </is>
      </c>
      <c r="E147" t="n">
        <v>110</v>
      </c>
      <c r="F147" t="inlineStr">
        <is>
          <t>Hasselt</t>
        </is>
      </c>
      <c r="G147" t="n">
        <v>2</v>
      </c>
      <c r="H147" t="n">
        <v>0</v>
      </c>
      <c r="I147" t="n">
        <v>66.22</v>
      </c>
      <c r="J147" t="inlineStr">
        <is>
          <t>Af en toe</t>
        </is>
      </c>
      <c r="K147" t="inlineStr">
        <is>
          <t>Cash</t>
        </is>
      </c>
      <c r="L147" t="n">
        <v>7.47</v>
      </c>
      <c r="M147" t="inlineStr">
        <is>
          <t>Geen dieet</t>
        </is>
      </c>
      <c r="N147">
        <f>LEFT(A147, FIND(",", A147)-1)</f>
        <v/>
      </c>
      <c r="O147">
        <f>MID(A147, FIND(",", A147)+2, LEN(A147))</f>
        <v/>
      </c>
      <c r="P147">
        <f>SWITCH(J147, "Zelden", 1, "Af en toe", 4, "Regelmatig", 8, "Vaak", 12)</f>
        <v/>
      </c>
      <c r="Q147">
        <f>IF(L147&gt;=7, "Tevreden", "Ontevreden")</f>
        <v/>
      </c>
    </row>
    <row r="148">
      <c r="A148" t="inlineStr">
        <is>
          <t>Lambert, Georges</t>
        </is>
      </c>
      <c r="B148" t="n">
        <v>9363302067</v>
      </c>
      <c r="C148" t="inlineStr">
        <is>
          <t>18/06/1992</t>
        </is>
      </c>
      <c r="D148" t="inlineStr">
        <is>
          <t>Jean-baptiste D'hanedreef</t>
        </is>
      </c>
      <c r="E148" t="n">
        <v>4</v>
      </c>
      <c r="F148" t="inlineStr">
        <is>
          <t>Sint-Truiden</t>
        </is>
      </c>
      <c r="G148" t="n">
        <v>2</v>
      </c>
      <c r="H148" t="n">
        <v>3</v>
      </c>
      <c r="I148" t="n">
        <v>143.45</v>
      </c>
      <c r="J148" t="inlineStr">
        <is>
          <t>Af en toe</t>
        </is>
      </c>
      <c r="K148" t="inlineStr">
        <is>
          <t>Payconiq</t>
        </is>
      </c>
      <c r="L148" t="n">
        <v>7.62</v>
      </c>
      <c r="M148" t="inlineStr">
        <is>
          <t>Geen dieet</t>
        </is>
      </c>
      <c r="N148">
        <f>LEFT(A148, FIND(",", A148)-1)</f>
        <v/>
      </c>
      <c r="O148">
        <f>MID(A148, FIND(",", A148)+2, LEN(A148))</f>
        <v/>
      </c>
      <c r="P148">
        <f>SWITCH(J148, "Zelden", 1, "Af en toe", 4, "Regelmatig", 8, "Vaak", 12)</f>
        <v/>
      </c>
      <c r="Q148">
        <f>IF(L148&gt;=7, "Tevreden", "Ontevreden")</f>
        <v/>
      </c>
    </row>
    <row r="149">
      <c r="A149" t="inlineStr">
        <is>
          <t>De keyser, Saliha</t>
        </is>
      </c>
      <c r="B149" t="n">
        <v>1892233529</v>
      </c>
      <c r="C149" t="inlineStr">
        <is>
          <t>20/07/2001</t>
        </is>
      </c>
      <c r="D149" t="inlineStr">
        <is>
          <t>Brusselsesteenweg</t>
        </is>
      </c>
      <c r="E149" t="n">
        <v>62</v>
      </c>
      <c r="F149" t="inlineStr">
        <is>
          <t>Leopoldsburg</t>
        </is>
      </c>
      <c r="G149" t="n">
        <v>1</v>
      </c>
      <c r="H149" t="n">
        <v>0</v>
      </c>
      <c r="I149" t="n">
        <v>20.85</v>
      </c>
      <c r="J149" t="inlineStr">
        <is>
          <t>Dagelijks</t>
        </is>
      </c>
      <c r="K149" t="inlineStr">
        <is>
          <t>Payconiq</t>
        </is>
      </c>
      <c r="L149" t="n">
        <v>7.26</v>
      </c>
      <c r="M149" t="inlineStr">
        <is>
          <t>Geen dieet</t>
        </is>
      </c>
      <c r="N149">
        <f>LEFT(A149, FIND(",", A149)-1)</f>
        <v/>
      </c>
      <c r="O149">
        <f>MID(A149, FIND(",", A149)+2, LEN(A149))</f>
        <v/>
      </c>
      <c r="P149">
        <f>SWITCH(J149, "Zelden", 1, "Af en toe", 4, "Regelmatig", 8, "Vaak", 12)</f>
        <v/>
      </c>
      <c r="Q149">
        <f>IF(L149&gt;=7, "Tevreden", "Ontevreden")</f>
        <v/>
      </c>
    </row>
    <row r="150">
      <c r="A150" t="inlineStr">
        <is>
          <t>Christiaens, Florin</t>
        </is>
      </c>
      <c r="B150" t="n">
        <v>9461551460</v>
      </c>
      <c r="C150" t="inlineStr">
        <is>
          <t>10/11/1967</t>
        </is>
      </c>
      <c r="D150" t="inlineStr">
        <is>
          <t>Zeeschipstraat</t>
        </is>
      </c>
      <c r="E150" t="n">
        <v>12</v>
      </c>
      <c r="F150" t="inlineStr">
        <is>
          <t>Lummen</t>
        </is>
      </c>
      <c r="G150" t="n">
        <v>1</v>
      </c>
      <c r="H150" t="n">
        <v>0</v>
      </c>
      <c r="I150" t="n">
        <v>130.12</v>
      </c>
      <c r="J150" t="inlineStr">
        <is>
          <t>Vaak</t>
        </is>
      </c>
      <c r="K150" t="inlineStr">
        <is>
          <t>Bancontact</t>
        </is>
      </c>
      <c r="L150" t="n">
        <v>8.289999999999999</v>
      </c>
      <c r="M150" t="inlineStr">
        <is>
          <t>Vegetarisch</t>
        </is>
      </c>
      <c r="N150">
        <f>LEFT(A150, FIND(",", A150)-1)</f>
        <v/>
      </c>
      <c r="O150">
        <f>MID(A150, FIND(",", A150)+2, LEN(A150))</f>
        <v/>
      </c>
      <c r="P150">
        <f>SWITCH(J150, "Zelden", 1, "Af en toe", 4, "Regelmatig", 8, "Vaak", 12)</f>
        <v/>
      </c>
      <c r="Q150">
        <f>IF(L150&gt;=7, "Tevreden", "Ontevreden")</f>
        <v/>
      </c>
    </row>
    <row r="151">
      <c r="A151" t="inlineStr">
        <is>
          <t>Janssens, Angelina</t>
        </is>
      </c>
      <c r="B151" t="n">
        <v>5382962126</v>
      </c>
      <c r="C151" t="inlineStr">
        <is>
          <t>02/12/1978</t>
        </is>
      </c>
      <c r="D151" t="inlineStr">
        <is>
          <t>Sint-bernadettestraat</t>
        </is>
      </c>
      <c r="E151" t="n">
        <v>43</v>
      </c>
      <c r="F151" t="inlineStr">
        <is>
          <t>Heusden-Zolder</t>
        </is>
      </c>
      <c r="G151" t="n">
        <v>2</v>
      </c>
      <c r="H151" t="n">
        <v>1</v>
      </c>
      <c r="I151" t="n">
        <v>135.02</v>
      </c>
      <c r="J151" t="inlineStr">
        <is>
          <t>Af en toe</t>
        </is>
      </c>
      <c r="K151" t="inlineStr">
        <is>
          <t>Creditcard</t>
        </is>
      </c>
      <c r="L151" t="n">
        <v>7.3</v>
      </c>
      <c r="M151" t="inlineStr">
        <is>
          <t>Geen dieet</t>
        </is>
      </c>
      <c r="N151">
        <f>LEFT(A151, FIND(",", A151)-1)</f>
        <v/>
      </c>
      <c r="O151">
        <f>MID(A151, FIND(",", A151)+2, LEN(A151))</f>
        <v/>
      </c>
      <c r="P151">
        <f>SWITCH(J151, "Zelden", 1, "Af en toe", 4, "Regelmatig", 8, "Vaak", 12)</f>
        <v/>
      </c>
      <c r="Q151">
        <f>IF(L151&gt;=7, "Tevreden", "Ontevreden")</f>
        <v/>
      </c>
    </row>
    <row r="152">
      <c r="A152" t="inlineStr">
        <is>
          <t>Huybrechts, Apoline</t>
        </is>
      </c>
      <c r="B152" t="n">
        <v>1514476765</v>
      </c>
      <c r="C152" t="inlineStr">
        <is>
          <t>28/11/1980</t>
        </is>
      </c>
      <c r="D152" t="inlineStr">
        <is>
          <t>Charles De Kerchovelaan</t>
        </is>
      </c>
      <c r="E152" t="n">
        <v>105</v>
      </c>
      <c r="F152" t="inlineStr">
        <is>
          <t>Wellen</t>
        </is>
      </c>
      <c r="G152" t="n">
        <v>1</v>
      </c>
      <c r="H152" t="n">
        <v>1</v>
      </c>
      <c r="I152" t="n">
        <v>134.42</v>
      </c>
      <c r="J152" t="inlineStr">
        <is>
          <t>Af en toe</t>
        </is>
      </c>
      <c r="K152" t="inlineStr">
        <is>
          <t>Bancontact</t>
        </is>
      </c>
      <c r="L152" t="n">
        <v>7.33</v>
      </c>
      <c r="M152" t="inlineStr">
        <is>
          <t>Geen dieet</t>
        </is>
      </c>
      <c r="N152">
        <f>LEFT(A152, FIND(",", A152)-1)</f>
        <v/>
      </c>
      <c r="O152">
        <f>MID(A152, FIND(",", A152)+2, LEN(A152))</f>
        <v/>
      </c>
      <c r="P152">
        <f>SWITCH(J152, "Zelden", 1, "Af en toe", 4, "Regelmatig", 8, "Vaak", 12)</f>
        <v/>
      </c>
      <c r="Q152">
        <f>IF(L152&gt;=7, "Tevreden", "Ontevreden")</f>
        <v/>
      </c>
    </row>
    <row r="153">
      <c r="A153" t="inlineStr">
        <is>
          <t>Van den bergh, Bieke</t>
        </is>
      </c>
      <c r="B153" t="n">
        <v>6154692523</v>
      </c>
      <c r="C153" t="inlineStr">
        <is>
          <t>11/02/1971</t>
        </is>
      </c>
      <c r="D153" t="inlineStr">
        <is>
          <t>Sint-kwintensberg</t>
        </is>
      </c>
      <c r="E153" t="n">
        <v>12</v>
      </c>
      <c r="F153" t="inlineStr">
        <is>
          <t>Heusden-Zolder</t>
        </is>
      </c>
      <c r="G153" t="n">
        <v>2</v>
      </c>
      <c r="H153" t="n">
        <v>1</v>
      </c>
      <c r="I153" t="n">
        <v>86.28</v>
      </c>
      <c r="J153" t="inlineStr">
        <is>
          <t>Zelden</t>
        </is>
      </c>
      <c r="K153" t="inlineStr">
        <is>
          <t>Bancontact</t>
        </is>
      </c>
      <c r="L153" t="n">
        <v>7.47</v>
      </c>
      <c r="M153" t="inlineStr">
        <is>
          <t>Geen dieet</t>
        </is>
      </c>
      <c r="N153">
        <f>LEFT(A153, FIND(",", A153)-1)</f>
        <v/>
      </c>
      <c r="O153">
        <f>MID(A153, FIND(",", A153)+2, LEN(A153))</f>
        <v/>
      </c>
      <c r="P153">
        <f>SWITCH(J153, "Zelden", 1, "Af en toe", 4, "Regelmatig", 8, "Vaak", 12)</f>
        <v/>
      </c>
      <c r="Q153">
        <f>IF(L153&gt;=7, "Tevreden", "Ontevreden")</f>
        <v/>
      </c>
    </row>
    <row r="154">
      <c r="A154" t="inlineStr">
        <is>
          <t>De bock, Bowie</t>
        </is>
      </c>
      <c r="B154" t="n">
        <v>7858009059</v>
      </c>
      <c r="C154" t="inlineStr">
        <is>
          <t>13/12/1982</t>
        </is>
      </c>
      <c r="D154" t="inlineStr">
        <is>
          <t>Steendam</t>
        </is>
      </c>
      <c r="E154" t="n">
        <v>11</v>
      </c>
      <c r="F154" t="inlineStr">
        <is>
          <t>Zonhoven</t>
        </is>
      </c>
      <c r="G154" t="n">
        <v>2</v>
      </c>
      <c r="H154" t="n">
        <v>0</v>
      </c>
      <c r="I154" t="n">
        <v>147.84</v>
      </c>
      <c r="J154" t="inlineStr">
        <is>
          <t>Vaak</t>
        </is>
      </c>
      <c r="K154" t="inlineStr">
        <is>
          <t>Payconiq</t>
        </is>
      </c>
      <c r="L154" t="n">
        <v>7.1</v>
      </c>
      <c r="M154" t="inlineStr">
        <is>
          <t>Geen dieet</t>
        </is>
      </c>
      <c r="N154">
        <f>LEFT(A154, FIND(",", A154)-1)</f>
        <v/>
      </c>
      <c r="O154">
        <f>MID(A154, FIND(",", A154)+2, LEN(A154))</f>
        <v/>
      </c>
      <c r="P154">
        <f>SWITCH(J154, "Zelden", 1, "Af en toe", 4, "Regelmatig", 8, "Vaak", 12)</f>
        <v/>
      </c>
      <c r="Q154">
        <f>IF(L154&gt;=7, "Tevreden", "Ontevreden")</f>
        <v/>
      </c>
    </row>
    <row r="155">
      <c r="A155" t="inlineStr">
        <is>
          <t>Lauwers, Angéline</t>
        </is>
      </c>
      <c r="B155" t="n">
        <v>408009749</v>
      </c>
      <c r="C155" t="inlineStr">
        <is>
          <t>10/12/1992</t>
        </is>
      </c>
      <c r="D155" t="inlineStr">
        <is>
          <t>Jacob Van Arteveldestraat</t>
        </is>
      </c>
      <c r="E155" t="n">
        <v>1</v>
      </c>
      <c r="F155" t="inlineStr">
        <is>
          <t>Heusden-Zolder</t>
        </is>
      </c>
      <c r="G155" t="n">
        <v>1</v>
      </c>
      <c r="H155" t="n">
        <v>1</v>
      </c>
      <c r="I155" t="n">
        <v>55.75</v>
      </c>
      <c r="J155" t="inlineStr">
        <is>
          <t>Zeer vaak</t>
        </is>
      </c>
      <c r="K155" t="inlineStr">
        <is>
          <t>Cash</t>
        </is>
      </c>
      <c r="L155" t="n">
        <v>7.09</v>
      </c>
      <c r="M155" t="inlineStr">
        <is>
          <t>Geen dieet</t>
        </is>
      </c>
      <c r="N155">
        <f>LEFT(A155, FIND(",", A155)-1)</f>
        <v/>
      </c>
      <c r="O155">
        <f>MID(A155, FIND(",", A155)+2, LEN(A155))</f>
        <v/>
      </c>
      <c r="P155">
        <f>SWITCH(J155, "Zelden", 1, "Af en toe", 4, "Regelmatig", 8, "Vaak", 12)</f>
        <v/>
      </c>
      <c r="Q155">
        <f>IF(L155&gt;=7, "Tevreden", "Ontevreden")</f>
        <v/>
      </c>
    </row>
    <row r="156">
      <c r="A156" t="inlineStr">
        <is>
          <t>Marchal, Thiago</t>
        </is>
      </c>
      <c r="B156" t="n">
        <v>2538887066</v>
      </c>
      <c r="C156" t="inlineStr">
        <is>
          <t>21/08/2004</t>
        </is>
      </c>
      <c r="D156" t="inlineStr">
        <is>
          <t>Ramen</t>
        </is>
      </c>
      <c r="E156" t="n">
        <v>47</v>
      </c>
      <c r="F156" t="inlineStr">
        <is>
          <t>Maaseik</t>
        </is>
      </c>
      <c r="G156" t="n">
        <v>1</v>
      </c>
      <c r="H156" t="n">
        <v>0</v>
      </c>
      <c r="I156" t="n">
        <v>135.52</v>
      </c>
      <c r="J156" t="inlineStr">
        <is>
          <t>Af en toe</t>
        </is>
      </c>
      <c r="K156" t="inlineStr">
        <is>
          <t>Bancontact</t>
        </is>
      </c>
      <c r="L156" t="n">
        <v>6.12</v>
      </c>
      <c r="M156" t="inlineStr">
        <is>
          <t>Veganistisch</t>
        </is>
      </c>
      <c r="N156">
        <f>LEFT(A156, FIND(",", A156)-1)</f>
        <v/>
      </c>
      <c r="O156">
        <f>MID(A156, FIND(",", A156)+2, LEN(A156))</f>
        <v/>
      </c>
      <c r="P156">
        <f>SWITCH(J156, "Zelden", 1, "Af en toe", 4, "Regelmatig", 8, "Vaak", 12)</f>
        <v/>
      </c>
      <c r="Q156">
        <f>IF(L156&gt;=7, "Tevreden", "Ontevreden")</f>
        <v/>
      </c>
    </row>
    <row r="157">
      <c r="A157" t="inlineStr">
        <is>
          <t>Bodart, Christelle</t>
        </is>
      </c>
      <c r="B157" t="n">
        <v>9336113546</v>
      </c>
      <c r="C157" t="inlineStr">
        <is>
          <t>20/02/1985</t>
        </is>
      </c>
      <c r="D157" t="inlineStr">
        <is>
          <t>Evergemsesteenweg</t>
        </is>
      </c>
      <c r="E157" t="n">
        <v>60</v>
      </c>
      <c r="F157" t="inlineStr">
        <is>
          <t>Zonhoven</t>
        </is>
      </c>
      <c r="G157" t="n">
        <v>1</v>
      </c>
      <c r="H157" t="n">
        <v>2</v>
      </c>
      <c r="I157" t="n">
        <v>90.91</v>
      </c>
      <c r="J157" t="inlineStr">
        <is>
          <t>Dagelijks</t>
        </is>
      </c>
      <c r="K157" t="inlineStr">
        <is>
          <t>Payconiq</t>
        </is>
      </c>
      <c r="L157" t="n">
        <v>7.74</v>
      </c>
      <c r="M157" t="inlineStr">
        <is>
          <t>Geen dieet</t>
        </is>
      </c>
      <c r="N157">
        <f>LEFT(A157, FIND(",", A157)-1)</f>
        <v/>
      </c>
      <c r="O157">
        <f>MID(A157, FIND(",", A157)+2, LEN(A157))</f>
        <v/>
      </c>
      <c r="P157">
        <f>SWITCH(J157, "Zelden", 1, "Af en toe", 4, "Regelmatig", 8, "Vaak", 12)</f>
        <v/>
      </c>
      <c r="Q157">
        <f>IF(L157&gt;=7, "Tevreden", "Ontevreden")</f>
        <v/>
      </c>
    </row>
    <row r="158">
      <c r="A158" t="inlineStr">
        <is>
          <t>Boulanger, Thierry</t>
        </is>
      </c>
      <c r="B158" t="n">
        <v>6828829479</v>
      </c>
      <c r="C158" t="inlineStr">
        <is>
          <t>15/09/1993</t>
        </is>
      </c>
      <c r="D158" t="inlineStr">
        <is>
          <t>Ridderstraat</t>
        </is>
      </c>
      <c r="E158" t="n">
        <v>48</v>
      </c>
      <c r="F158" t="inlineStr">
        <is>
          <t>Herten</t>
        </is>
      </c>
      <c r="G158" t="n">
        <v>1</v>
      </c>
      <c r="H158" t="n">
        <v>0</v>
      </c>
      <c r="I158" t="n">
        <v>27.61</v>
      </c>
      <c r="J158" t="inlineStr">
        <is>
          <t>Zeer vaak</t>
        </is>
      </c>
      <c r="K158" t="inlineStr">
        <is>
          <t>Bancontact</t>
        </is>
      </c>
      <c r="L158" t="n">
        <v>7.59</v>
      </c>
      <c r="M158" t="inlineStr">
        <is>
          <t>Geen dieet</t>
        </is>
      </c>
      <c r="N158">
        <f>LEFT(A158, FIND(",", A158)-1)</f>
        <v/>
      </c>
      <c r="O158">
        <f>MID(A158, FIND(",", A158)+2, LEN(A158))</f>
        <v/>
      </c>
      <c r="P158">
        <f>SWITCH(J158, "Zelden", 1, "Af en toe", 4, "Regelmatig", 8, "Vaak", 12)</f>
        <v/>
      </c>
      <c r="Q158">
        <f>IF(L158&gt;=7, "Tevreden", "Ontevreden")</f>
        <v/>
      </c>
    </row>
    <row r="159">
      <c r="A159" t="inlineStr">
        <is>
          <t>Wouters, Josianne</t>
        </is>
      </c>
      <c r="B159" t="n">
        <v>5757704373</v>
      </c>
      <c r="C159" t="inlineStr">
        <is>
          <t>03/08/1970</t>
        </is>
      </c>
      <c r="D159" t="inlineStr">
        <is>
          <t>Singel</t>
        </is>
      </c>
      <c r="E159" t="n">
        <v>46</v>
      </c>
      <c r="F159" t="inlineStr">
        <is>
          <t>Lommel</t>
        </is>
      </c>
      <c r="G159" t="n">
        <v>2</v>
      </c>
      <c r="H159" t="n">
        <v>0</v>
      </c>
      <c r="I159" t="n">
        <v>151.47</v>
      </c>
      <c r="J159" t="inlineStr">
        <is>
          <t>Af en toe</t>
        </is>
      </c>
      <c r="K159" t="inlineStr">
        <is>
          <t>Payconiq</t>
        </is>
      </c>
      <c r="L159" t="n">
        <v>7.4</v>
      </c>
      <c r="M159" t="inlineStr">
        <is>
          <t>Geen dieet</t>
        </is>
      </c>
      <c r="N159">
        <f>LEFT(A159, FIND(",", A159)-1)</f>
        <v/>
      </c>
      <c r="O159">
        <f>MID(A159, FIND(",", A159)+2, LEN(A159))</f>
        <v/>
      </c>
      <c r="P159">
        <f>SWITCH(J159, "Zelden", 1, "Af en toe", 4, "Regelmatig", 8, "Vaak", 12)</f>
        <v/>
      </c>
      <c r="Q159">
        <f>IF(L159&gt;=7, "Tevreden", "Ontevreden")</f>
        <v/>
      </c>
    </row>
    <row r="160">
      <c r="A160" t="inlineStr">
        <is>
          <t>Willems, Maria</t>
        </is>
      </c>
      <c r="B160" t="n">
        <v>1163452881</v>
      </c>
      <c r="C160" t="inlineStr">
        <is>
          <t>13/11/1982</t>
        </is>
      </c>
      <c r="D160" t="inlineStr">
        <is>
          <t>Begijnhoflaan</t>
        </is>
      </c>
      <c r="E160" t="n">
        <v>18</v>
      </c>
      <c r="F160" t="inlineStr">
        <is>
          <t>Lommel</t>
        </is>
      </c>
      <c r="G160" t="n">
        <v>2</v>
      </c>
      <c r="H160" t="n">
        <v>2</v>
      </c>
      <c r="I160" t="n">
        <v>115.22</v>
      </c>
      <c r="J160" t="inlineStr">
        <is>
          <t>Zelden</t>
        </is>
      </c>
      <c r="K160" t="inlineStr">
        <is>
          <t>Payconiq</t>
        </is>
      </c>
      <c r="L160" t="n">
        <v>7.98</v>
      </c>
      <c r="M160" t="inlineStr">
        <is>
          <t>Vegetarisch</t>
        </is>
      </c>
      <c r="N160">
        <f>LEFT(A160, FIND(",", A160)-1)</f>
        <v/>
      </c>
      <c r="O160">
        <f>MID(A160, FIND(",", A160)+2, LEN(A160))</f>
        <v/>
      </c>
      <c r="P160">
        <f>SWITCH(J160, "Zelden", 1, "Af en toe", 4, "Regelmatig", 8, "Vaak", 12)</f>
        <v/>
      </c>
      <c r="Q160">
        <f>IF(L160&gt;=7, "Tevreden", "Ontevreden")</f>
        <v/>
      </c>
    </row>
    <row r="161">
      <c r="A161" t="inlineStr">
        <is>
          <t>Van den bergh, Alfons</t>
        </is>
      </c>
      <c r="B161" t="n">
        <v>1497503461</v>
      </c>
      <c r="C161" t="inlineStr">
        <is>
          <t>06/10/1991</t>
        </is>
      </c>
      <c r="D161" t="inlineStr">
        <is>
          <t>Kikvortstraat</t>
        </is>
      </c>
      <c r="E161" t="n">
        <v>77</v>
      </c>
      <c r="F161" t="inlineStr">
        <is>
          <t>Bilzen</t>
        </is>
      </c>
      <c r="G161" t="n">
        <v>2</v>
      </c>
      <c r="H161" t="n">
        <v>2</v>
      </c>
      <c r="I161" t="n">
        <v>115.94</v>
      </c>
      <c r="J161" t="inlineStr">
        <is>
          <t>Af en toe</t>
        </is>
      </c>
      <c r="K161" t="inlineStr">
        <is>
          <t>Payconiq</t>
        </is>
      </c>
      <c r="L161" t="n">
        <v>7.38</v>
      </c>
      <c r="M161" t="inlineStr">
        <is>
          <t>Geen dieet</t>
        </is>
      </c>
      <c r="N161">
        <f>LEFT(A161, FIND(",", A161)-1)</f>
        <v/>
      </c>
      <c r="O161">
        <f>MID(A161, FIND(",", A161)+2, LEN(A161))</f>
        <v/>
      </c>
      <c r="P161">
        <f>SWITCH(J161, "Zelden", 1, "Af en toe", 4, "Regelmatig", 8, "Vaak", 12)</f>
        <v/>
      </c>
      <c r="Q161">
        <f>IF(L161&gt;=7, "Tevreden", "Ontevreden")</f>
        <v/>
      </c>
    </row>
    <row r="162">
      <c r="A162" t="inlineStr">
        <is>
          <t>Van looy, Hicham</t>
        </is>
      </c>
      <c r="B162" t="n">
        <v>3267615587</v>
      </c>
      <c r="C162" t="inlineStr">
        <is>
          <t>16/09/1979</t>
        </is>
      </c>
      <c r="D162" t="inlineStr">
        <is>
          <t>Akkerhage</t>
        </is>
      </c>
      <c r="E162" t="n">
        <v>102</v>
      </c>
      <c r="F162" t="inlineStr">
        <is>
          <t>Heusden-Zolder</t>
        </is>
      </c>
      <c r="G162" t="n">
        <v>1</v>
      </c>
      <c r="H162" t="n">
        <v>2</v>
      </c>
      <c r="I162" t="n">
        <v>119.49</v>
      </c>
      <c r="J162" t="inlineStr">
        <is>
          <t>Vaak</t>
        </is>
      </c>
      <c r="K162" t="inlineStr">
        <is>
          <t>Bancontact</t>
        </is>
      </c>
      <c r="L162" t="n">
        <v>6.99</v>
      </c>
      <c r="M162" t="inlineStr">
        <is>
          <t>Geen dieet</t>
        </is>
      </c>
      <c r="N162">
        <f>LEFT(A162, FIND(",", A162)-1)</f>
        <v/>
      </c>
      <c r="O162">
        <f>MID(A162, FIND(",", A162)+2, LEN(A162))</f>
        <v/>
      </c>
      <c r="P162">
        <f>SWITCH(J162, "Zelden", 1, "Af en toe", 4, "Regelmatig", 8, "Vaak", 12)</f>
        <v/>
      </c>
      <c r="Q162">
        <f>IF(L162&gt;=7, "Tevreden", "Ontevreden")</f>
        <v/>
      </c>
    </row>
    <row r="163">
      <c r="A163" t="inlineStr">
        <is>
          <t>Parmentier, Ediz</t>
        </is>
      </c>
      <c r="B163" t="n">
        <v>157190195</v>
      </c>
      <c r="C163" t="inlineStr">
        <is>
          <t>22/06/1996</t>
        </is>
      </c>
      <c r="D163" t="inlineStr">
        <is>
          <t>Acacialaan</t>
        </is>
      </c>
      <c r="E163" t="n">
        <v>96</v>
      </c>
      <c r="F163" t="inlineStr">
        <is>
          <t>Lanaken</t>
        </is>
      </c>
      <c r="G163" t="n">
        <v>2</v>
      </c>
      <c r="H163" t="n">
        <v>5</v>
      </c>
      <c r="I163" t="n">
        <v>178.27</v>
      </c>
      <c r="J163" t="inlineStr">
        <is>
          <t>Vaak</t>
        </is>
      </c>
      <c r="K163" t="inlineStr">
        <is>
          <t>Bancontact</t>
        </is>
      </c>
      <c r="L163" t="n">
        <v>7.73</v>
      </c>
      <c r="M163" t="inlineStr">
        <is>
          <t>Geen dieet</t>
        </is>
      </c>
      <c r="N163">
        <f>LEFT(A163, FIND(",", A163)-1)</f>
        <v/>
      </c>
      <c r="O163">
        <f>MID(A163, FIND(",", A163)+2, LEN(A163))</f>
        <v/>
      </c>
      <c r="P163">
        <f>SWITCH(J163, "Zelden", 1, "Af en toe", 4, "Regelmatig", 8, "Vaak", 12)</f>
        <v/>
      </c>
      <c r="Q163">
        <f>IF(L163&gt;=7, "Tevreden", "Ontevreden")</f>
        <v/>
      </c>
    </row>
    <row r="164">
      <c r="A164" t="inlineStr">
        <is>
          <t>Huyghe, Liam</t>
        </is>
      </c>
      <c r="B164" t="n">
        <v>2266498673</v>
      </c>
      <c r="C164" t="inlineStr">
        <is>
          <t>13/06/1950</t>
        </is>
      </c>
      <c r="D164" t="inlineStr">
        <is>
          <t>Sint Pietersaalstraat</t>
        </is>
      </c>
      <c r="E164" t="n">
        <v>34</v>
      </c>
      <c r="F164" t="inlineStr">
        <is>
          <t>Maasmechelen</t>
        </is>
      </c>
      <c r="G164" t="n">
        <v>2</v>
      </c>
      <c r="H164" t="n">
        <v>0</v>
      </c>
      <c r="I164" t="n">
        <v>19.48</v>
      </c>
      <c r="J164" t="inlineStr">
        <is>
          <t>Dagelijks</t>
        </is>
      </c>
      <c r="K164" t="inlineStr">
        <is>
          <t>Bancontact</t>
        </is>
      </c>
      <c r="L164" t="n">
        <v>7.26</v>
      </c>
      <c r="M164" t="inlineStr">
        <is>
          <t>Geen dieet</t>
        </is>
      </c>
      <c r="N164">
        <f>LEFT(A164, FIND(",", A164)-1)</f>
        <v/>
      </c>
      <c r="O164">
        <f>MID(A164, FIND(",", A164)+2, LEN(A164))</f>
        <v/>
      </c>
      <c r="P164">
        <f>SWITCH(J164, "Zelden", 1, "Af en toe", 4, "Regelmatig", 8, "Vaak", 12)</f>
        <v/>
      </c>
      <c r="Q164">
        <f>IF(L164&gt;=7, "Tevreden", "Ontevreden")</f>
        <v/>
      </c>
    </row>
    <row r="165">
      <c r="A165" t="inlineStr">
        <is>
          <t>Willems, Albertus</t>
        </is>
      </c>
      <c r="B165" t="n">
        <v>3615912098</v>
      </c>
      <c r="C165" t="inlineStr">
        <is>
          <t>15/06/2003</t>
        </is>
      </c>
      <c r="D165" t="inlineStr">
        <is>
          <t>Oscar De Reusestraat</t>
        </is>
      </c>
      <c r="E165" t="n">
        <v>20</v>
      </c>
      <c r="F165" t="inlineStr">
        <is>
          <t>Tongeren</t>
        </is>
      </c>
      <c r="G165" t="n">
        <v>2</v>
      </c>
      <c r="H165" t="n">
        <v>0</v>
      </c>
      <c r="I165" t="n">
        <v>49.79</v>
      </c>
      <c r="J165" t="inlineStr">
        <is>
          <t>Vaak</t>
        </is>
      </c>
      <c r="K165" t="inlineStr">
        <is>
          <t>Payconiq</t>
        </is>
      </c>
      <c r="L165" t="n">
        <v>8.59</v>
      </c>
      <c r="M165" t="inlineStr">
        <is>
          <t>Vegetarisch</t>
        </is>
      </c>
      <c r="N165">
        <f>LEFT(A165, FIND(",", A165)-1)</f>
        <v/>
      </c>
      <c r="O165">
        <f>MID(A165, FIND(",", A165)+2, LEN(A165))</f>
        <v/>
      </c>
      <c r="P165">
        <f>SWITCH(J165, "Zelden", 1, "Af en toe", 4, "Regelmatig", 8, "Vaak", 12)</f>
        <v/>
      </c>
      <c r="Q165">
        <f>IF(L165&gt;=7, "Tevreden", "Ontevreden")</f>
        <v/>
      </c>
    </row>
    <row r="166">
      <c r="A166" t="inlineStr">
        <is>
          <t>Segers, Bart</t>
        </is>
      </c>
      <c r="B166" t="n">
        <v>739137442</v>
      </c>
      <c r="C166" t="inlineStr">
        <is>
          <t>07/09/1973</t>
        </is>
      </c>
      <c r="D166" t="inlineStr">
        <is>
          <t>New-yorkstraat</t>
        </is>
      </c>
      <c r="E166" t="n">
        <v>1</v>
      </c>
      <c r="F166" t="inlineStr">
        <is>
          <t>Maasmechelen</t>
        </is>
      </c>
      <c r="G166" t="n">
        <v>2</v>
      </c>
      <c r="H166" t="n">
        <v>0</v>
      </c>
      <c r="I166" t="n">
        <v>55.76</v>
      </c>
      <c r="J166" t="inlineStr">
        <is>
          <t>Dagelijks</t>
        </is>
      </c>
      <c r="K166" t="inlineStr">
        <is>
          <t>Bancontact</t>
        </is>
      </c>
      <c r="L166" t="n">
        <v>7.1</v>
      </c>
      <c r="M166" t="inlineStr">
        <is>
          <t>Geen dieet</t>
        </is>
      </c>
      <c r="N166">
        <f>LEFT(A166, FIND(",", A166)-1)</f>
        <v/>
      </c>
      <c r="O166">
        <f>MID(A166, FIND(",", A166)+2, LEN(A166))</f>
        <v/>
      </c>
      <c r="P166">
        <f>SWITCH(J166, "Zelden", 1, "Af en toe", 4, "Regelmatig", 8, "Vaak", 12)</f>
        <v/>
      </c>
      <c r="Q166">
        <f>IF(L166&gt;=7, "Tevreden", "Ontevreden")</f>
        <v/>
      </c>
    </row>
    <row r="167">
      <c r="A167" t="inlineStr">
        <is>
          <t>Claes, Dona</t>
        </is>
      </c>
      <c r="B167" t="n">
        <v>5547491915</v>
      </c>
      <c r="C167" t="inlineStr">
        <is>
          <t>18/11/1978</t>
        </is>
      </c>
      <c r="D167" t="inlineStr">
        <is>
          <t>Pekelharing</t>
        </is>
      </c>
      <c r="E167" t="n">
        <v>14</v>
      </c>
      <c r="F167" t="inlineStr">
        <is>
          <t>Lanaken</t>
        </is>
      </c>
      <c r="G167" t="n">
        <v>2</v>
      </c>
      <c r="H167" t="n">
        <v>2</v>
      </c>
      <c r="I167" t="n">
        <v>209.83</v>
      </c>
      <c r="J167" t="inlineStr">
        <is>
          <t>Af en toe</t>
        </is>
      </c>
      <c r="K167" t="inlineStr">
        <is>
          <t>Bancontact</t>
        </is>
      </c>
      <c r="L167" t="n">
        <v>7.07</v>
      </c>
      <c r="M167" t="inlineStr">
        <is>
          <t>Geen dieet</t>
        </is>
      </c>
      <c r="N167">
        <f>LEFT(A167, FIND(",", A167)-1)</f>
        <v/>
      </c>
      <c r="O167">
        <f>MID(A167, FIND(",", A167)+2, LEN(A167))</f>
        <v/>
      </c>
      <c r="P167">
        <f>SWITCH(J167, "Zelden", 1, "Af en toe", 4, "Regelmatig", 8, "Vaak", 12)</f>
        <v/>
      </c>
      <c r="Q167">
        <f>IF(L167&gt;=7, "Tevreden", "Ontevreden")</f>
        <v/>
      </c>
    </row>
    <row r="168">
      <c r="A168" t="inlineStr">
        <is>
          <t>Reynders, Tom</t>
        </is>
      </c>
      <c r="B168" t="n">
        <v>2169689454</v>
      </c>
      <c r="C168" t="inlineStr">
        <is>
          <t>09/03/1962</t>
        </is>
      </c>
      <c r="D168" t="inlineStr">
        <is>
          <t>Kammerstraat</t>
        </is>
      </c>
      <c r="E168" t="n">
        <v>40</v>
      </c>
      <c r="F168" t="inlineStr">
        <is>
          <t>Herten</t>
        </is>
      </c>
      <c r="G168" t="n">
        <v>6</v>
      </c>
      <c r="H168" t="n">
        <v>0</v>
      </c>
      <c r="I168" t="n">
        <v>140.13</v>
      </c>
      <c r="J168" t="inlineStr">
        <is>
          <t>Vaak</t>
        </is>
      </c>
      <c r="K168" t="inlineStr">
        <is>
          <t>Payconiq</t>
        </is>
      </c>
      <c r="L168" t="n">
        <v>7.22</v>
      </c>
      <c r="M168" t="inlineStr">
        <is>
          <t>Geen dieet</t>
        </is>
      </c>
      <c r="N168">
        <f>LEFT(A168, FIND(",", A168)-1)</f>
        <v/>
      </c>
      <c r="O168">
        <f>MID(A168, FIND(",", A168)+2, LEN(A168))</f>
        <v/>
      </c>
      <c r="P168">
        <f>SWITCH(J168, "Zelden", 1, "Af en toe", 4, "Regelmatig", 8, "Vaak", 12)</f>
        <v/>
      </c>
      <c r="Q168">
        <f>IF(L168&gt;=7, "Tevreden", "Ontevreden")</f>
        <v/>
      </c>
    </row>
    <row r="169">
      <c r="A169" t="inlineStr">
        <is>
          <t>Dubois, Julien</t>
        </is>
      </c>
      <c r="B169" t="n">
        <v>3345582355</v>
      </c>
      <c r="C169" t="inlineStr">
        <is>
          <t>10/05/1986</t>
        </is>
      </c>
      <c r="D169" t="inlineStr">
        <is>
          <t>Tijdelijk Postbus</t>
        </is>
      </c>
      <c r="E169" t="n">
        <v>26</v>
      </c>
      <c r="F169" t="inlineStr">
        <is>
          <t>Maasmechelen</t>
        </is>
      </c>
      <c r="G169" t="n">
        <v>2</v>
      </c>
      <c r="H169" t="n">
        <v>2</v>
      </c>
      <c r="I169" t="n">
        <v>137.51</v>
      </c>
      <c r="J169" t="inlineStr">
        <is>
          <t>Vaak</t>
        </is>
      </c>
      <c r="K169" t="inlineStr">
        <is>
          <t>Payconiq</t>
        </is>
      </c>
      <c r="L169" t="n">
        <v>8.42</v>
      </c>
      <c r="M169" t="inlineStr">
        <is>
          <t>Vegetarisch</t>
        </is>
      </c>
      <c r="N169">
        <f>LEFT(A169, FIND(",", A169)-1)</f>
        <v/>
      </c>
      <c r="O169">
        <f>MID(A169, FIND(",", A169)+2, LEN(A169))</f>
        <v/>
      </c>
      <c r="P169">
        <f>SWITCH(J169, "Zelden", 1, "Af en toe", 4, "Regelmatig", 8, "Vaak", 12)</f>
        <v/>
      </c>
      <c r="Q169">
        <f>IF(L169&gt;=7, "Tevreden", "Ontevreden")</f>
        <v/>
      </c>
    </row>
    <row r="170">
      <c r="A170" t="inlineStr">
        <is>
          <t>Delfosse, Maria</t>
        </is>
      </c>
      <c r="B170" t="n">
        <v>2096899864</v>
      </c>
      <c r="C170" t="inlineStr">
        <is>
          <t>03/11/1980</t>
        </is>
      </c>
      <c r="D170" t="inlineStr">
        <is>
          <t>Sint-michielsplein</t>
        </is>
      </c>
      <c r="E170" t="n">
        <v>5</v>
      </c>
      <c r="F170" t="inlineStr">
        <is>
          <t>Lommel</t>
        </is>
      </c>
      <c r="G170" t="n">
        <v>1</v>
      </c>
      <c r="H170" t="n">
        <v>2</v>
      </c>
      <c r="I170" t="n">
        <v>124.85</v>
      </c>
      <c r="J170" t="inlineStr">
        <is>
          <t>Zelden</t>
        </is>
      </c>
      <c r="K170" t="inlineStr">
        <is>
          <t>Creditcard</t>
        </is>
      </c>
      <c r="L170" t="n">
        <v>7.13</v>
      </c>
      <c r="M170" t="inlineStr">
        <is>
          <t>Geen dieet</t>
        </is>
      </c>
      <c r="N170">
        <f>LEFT(A170, FIND(",", A170)-1)</f>
        <v/>
      </c>
      <c r="O170">
        <f>MID(A170, FIND(",", A170)+2, LEN(A170))</f>
        <v/>
      </c>
      <c r="P170">
        <f>SWITCH(J170, "Zelden", 1, "Af en toe", 4, "Regelmatig", 8, "Vaak", 12)</f>
        <v/>
      </c>
      <c r="Q170">
        <f>IF(L170&gt;=7, "Tevreden", "Ontevreden")</f>
        <v/>
      </c>
    </row>
    <row r="171">
      <c r="A171" t="inlineStr">
        <is>
          <t>Deprez, Lou</t>
        </is>
      </c>
      <c r="B171" t="n">
        <v>1957489039</v>
      </c>
      <c r="C171" t="inlineStr">
        <is>
          <t>13/12/1985</t>
        </is>
      </c>
      <c r="D171" t="inlineStr">
        <is>
          <t>Frans Gevaertstraat</t>
        </is>
      </c>
      <c r="E171" t="n">
        <v>53</v>
      </c>
      <c r="F171" t="inlineStr">
        <is>
          <t>Lommel</t>
        </is>
      </c>
      <c r="G171" t="n">
        <v>1</v>
      </c>
      <c r="H171" t="n">
        <v>0</v>
      </c>
      <c r="I171" t="n">
        <v>18.09</v>
      </c>
      <c r="J171" t="inlineStr">
        <is>
          <t>Vaak</t>
        </is>
      </c>
      <c r="K171" t="inlineStr">
        <is>
          <t>Bancontact</t>
        </is>
      </c>
      <c r="L171" t="n">
        <v>7.09</v>
      </c>
      <c r="M171" t="inlineStr">
        <is>
          <t>Geen dieet</t>
        </is>
      </c>
      <c r="N171">
        <f>LEFT(A171, FIND(",", A171)-1)</f>
        <v/>
      </c>
      <c r="O171">
        <f>MID(A171, FIND(",", A171)+2, LEN(A171))</f>
        <v/>
      </c>
      <c r="P171">
        <f>SWITCH(J171, "Zelden", 1, "Af en toe", 4, "Regelmatig", 8, "Vaak", 12)</f>
        <v/>
      </c>
      <c r="Q171">
        <f>IF(L171&gt;=7, "Tevreden", "Ontevreden")</f>
        <v/>
      </c>
    </row>
    <row r="172">
      <c r="A172" t="inlineStr">
        <is>
          <t>Vandevelde, Karolien</t>
        </is>
      </c>
      <c r="B172" t="n">
        <v>2926291376</v>
      </c>
      <c r="C172" t="inlineStr">
        <is>
          <t>20/10/1971</t>
        </is>
      </c>
      <c r="D172" t="inlineStr">
        <is>
          <t>Ingelandgat</t>
        </is>
      </c>
      <c r="E172" t="n">
        <v>44</v>
      </c>
      <c r="F172" t="inlineStr">
        <is>
          <t>Zonhoven</t>
        </is>
      </c>
      <c r="G172" t="n">
        <v>2</v>
      </c>
      <c r="H172" t="n">
        <v>1</v>
      </c>
      <c r="I172" t="n">
        <v>123.62</v>
      </c>
      <c r="J172" t="inlineStr">
        <is>
          <t>Af en toe</t>
        </is>
      </c>
      <c r="K172" t="inlineStr">
        <is>
          <t>Payconiq</t>
        </is>
      </c>
      <c r="L172" t="n">
        <v>7.25</v>
      </c>
      <c r="M172" t="inlineStr">
        <is>
          <t>Geen dieet</t>
        </is>
      </c>
      <c r="N172">
        <f>LEFT(A172, FIND(",", A172)-1)</f>
        <v/>
      </c>
      <c r="O172">
        <f>MID(A172, FIND(",", A172)+2, LEN(A172))</f>
        <v/>
      </c>
      <c r="P172">
        <f>SWITCH(J172, "Zelden", 1, "Af en toe", 4, "Regelmatig", 8, "Vaak", 12)</f>
        <v/>
      </c>
      <c r="Q172">
        <f>IF(L172&gt;=7, "Tevreden", "Ontevreden")</f>
        <v/>
      </c>
    </row>
    <row r="173">
      <c r="A173" t="inlineStr">
        <is>
          <t>Van den bossche, André</t>
        </is>
      </c>
      <c r="B173" t="n">
        <v>366189245</v>
      </c>
      <c r="C173" t="inlineStr">
        <is>
          <t>06/11/1964</t>
        </is>
      </c>
      <c r="D173" t="inlineStr">
        <is>
          <t>Einde Were</t>
        </is>
      </c>
      <c r="E173" t="n">
        <v>19</v>
      </c>
      <c r="F173" t="inlineStr">
        <is>
          <t>Wellen</t>
        </is>
      </c>
      <c r="G173" t="n">
        <v>1</v>
      </c>
      <c r="H173" t="n">
        <v>0</v>
      </c>
      <c r="I173" t="n">
        <v>17.85</v>
      </c>
      <c r="J173" t="inlineStr">
        <is>
          <t>Dagelijks</t>
        </is>
      </c>
      <c r="K173" t="inlineStr">
        <is>
          <t>Bancontact</t>
        </is>
      </c>
      <c r="L173" t="n">
        <v>6.54</v>
      </c>
      <c r="M173" t="inlineStr">
        <is>
          <t>Geen dieet</t>
        </is>
      </c>
      <c r="N173">
        <f>LEFT(A173, FIND(",", A173)-1)</f>
        <v/>
      </c>
      <c r="O173">
        <f>MID(A173, FIND(",", A173)+2, LEN(A173))</f>
        <v/>
      </c>
      <c r="P173">
        <f>SWITCH(J173, "Zelden", 1, "Af en toe", 4, "Regelmatig", 8, "Vaak", 12)</f>
        <v/>
      </c>
      <c r="Q173">
        <f>IF(L173&gt;=7, "Tevreden", "Ontevreden")</f>
        <v/>
      </c>
    </row>
    <row r="174">
      <c r="A174" t="inlineStr">
        <is>
          <t>Meert, Youri</t>
        </is>
      </c>
      <c r="B174" t="n">
        <v>4935891430</v>
      </c>
      <c r="C174" t="inlineStr">
        <is>
          <t>18/11/1998</t>
        </is>
      </c>
      <c r="D174" t="inlineStr">
        <is>
          <t>Mimosastraat</t>
        </is>
      </c>
      <c r="E174" t="n">
        <v>21</v>
      </c>
      <c r="F174" t="inlineStr">
        <is>
          <t>Hasselt</t>
        </is>
      </c>
      <c r="G174" t="n">
        <v>2</v>
      </c>
      <c r="H174" t="n">
        <v>0</v>
      </c>
      <c r="I174" t="n">
        <v>40.08</v>
      </c>
      <c r="J174" t="inlineStr">
        <is>
          <t>Af en toe</t>
        </is>
      </c>
      <c r="K174" t="inlineStr">
        <is>
          <t>Bancontact</t>
        </is>
      </c>
      <c r="L174" t="n">
        <v>6.73</v>
      </c>
      <c r="M174" t="inlineStr">
        <is>
          <t>Geen dieet</t>
        </is>
      </c>
      <c r="N174">
        <f>LEFT(A174, FIND(",", A174)-1)</f>
        <v/>
      </c>
      <c r="O174">
        <f>MID(A174, FIND(",", A174)+2, LEN(A174))</f>
        <v/>
      </c>
      <c r="P174">
        <f>SWITCH(J174, "Zelden", 1, "Af en toe", 4, "Regelmatig", 8, "Vaak", 12)</f>
        <v/>
      </c>
      <c r="Q174">
        <f>IF(L174&gt;=7, "Tevreden", "Ontevreden")</f>
        <v/>
      </c>
    </row>
    <row r="175">
      <c r="A175" t="inlineStr">
        <is>
          <t>Andries, Jochem</t>
        </is>
      </c>
      <c r="B175" t="n">
        <v>8843352777</v>
      </c>
      <c r="C175" t="inlineStr">
        <is>
          <t>04/06/1959</t>
        </is>
      </c>
      <c r="D175" t="inlineStr">
        <is>
          <t>Leiekaai</t>
        </is>
      </c>
      <c r="E175" t="n">
        <v>69</v>
      </c>
      <c r="F175" t="inlineStr">
        <is>
          <t>Gingelom</t>
        </is>
      </c>
      <c r="G175" t="n">
        <v>2</v>
      </c>
      <c r="H175" t="n">
        <v>3</v>
      </c>
      <c r="I175" t="n">
        <v>145.14</v>
      </c>
      <c r="J175" t="inlineStr">
        <is>
          <t>Af en toe</t>
        </is>
      </c>
      <c r="K175" t="inlineStr">
        <is>
          <t>Cash</t>
        </is>
      </c>
      <c r="L175" t="n">
        <v>7.19</v>
      </c>
      <c r="M175" t="inlineStr">
        <is>
          <t>Geen dieet</t>
        </is>
      </c>
      <c r="N175">
        <f>LEFT(A175, FIND(",", A175)-1)</f>
        <v/>
      </c>
      <c r="O175">
        <f>MID(A175, FIND(",", A175)+2, LEN(A175))</f>
        <v/>
      </c>
      <c r="P175">
        <f>SWITCH(J175, "Zelden", 1, "Af en toe", 4, "Regelmatig", 8, "Vaak", 12)</f>
        <v/>
      </c>
      <c r="Q175">
        <f>IF(L175&gt;=7, "Tevreden", "Ontevreden")</f>
        <v/>
      </c>
    </row>
    <row r="176">
      <c r="A176" t="inlineStr">
        <is>
          <t>Thomas, Lilian</t>
        </is>
      </c>
      <c r="B176" t="n">
        <v>7562005994</v>
      </c>
      <c r="C176" t="inlineStr">
        <is>
          <t>05/06/1997</t>
        </is>
      </c>
      <c r="D176" t="inlineStr">
        <is>
          <t>Bredestraat</t>
        </is>
      </c>
      <c r="E176" t="n">
        <v>39</v>
      </c>
      <c r="F176" t="inlineStr">
        <is>
          <t>Sint-Truiden</t>
        </is>
      </c>
      <c r="G176" t="n">
        <v>2</v>
      </c>
      <c r="H176" t="n">
        <v>3</v>
      </c>
      <c r="I176" t="n">
        <v>118.35</v>
      </c>
      <c r="J176" t="inlineStr">
        <is>
          <t>Zelden</t>
        </is>
      </c>
      <c r="K176" t="inlineStr">
        <is>
          <t>Bancontact</t>
        </is>
      </c>
      <c r="L176" t="n">
        <v>7.21</v>
      </c>
      <c r="M176" t="inlineStr">
        <is>
          <t>Geen dieet</t>
        </is>
      </c>
      <c r="N176">
        <f>LEFT(A176, FIND(",", A176)-1)</f>
        <v/>
      </c>
      <c r="O176">
        <f>MID(A176, FIND(",", A176)+2, LEN(A176))</f>
        <v/>
      </c>
      <c r="P176">
        <f>SWITCH(J176, "Zelden", 1, "Af en toe", 4, "Regelmatig", 8, "Vaak", 12)</f>
        <v/>
      </c>
      <c r="Q176">
        <f>IF(L176&gt;=7, "Tevreden", "Ontevreden")</f>
        <v/>
      </c>
    </row>
    <row r="177">
      <c r="A177" t="inlineStr">
        <is>
          <t>Bracke, Féline</t>
        </is>
      </c>
      <c r="B177" t="n">
        <v>8236211694</v>
      </c>
      <c r="C177" t="inlineStr">
        <is>
          <t>13/06/1952</t>
        </is>
      </c>
      <c r="D177" t="inlineStr">
        <is>
          <t>Hoefslagstraatje</t>
        </is>
      </c>
      <c r="E177" t="n">
        <v>75</v>
      </c>
      <c r="F177" t="inlineStr">
        <is>
          <t>Zonhoven</t>
        </is>
      </c>
      <c r="G177" t="n">
        <v>1</v>
      </c>
      <c r="H177" t="n">
        <v>0</v>
      </c>
      <c r="I177" t="n">
        <v>19.08</v>
      </c>
      <c r="J177" t="inlineStr">
        <is>
          <t>Zeer vaak</t>
        </is>
      </c>
      <c r="K177" t="inlineStr">
        <is>
          <t>Payconiq</t>
        </is>
      </c>
      <c r="L177" t="n">
        <v>7.56</v>
      </c>
      <c r="M177" t="inlineStr">
        <is>
          <t>Geen dieet</t>
        </is>
      </c>
      <c r="N177">
        <f>LEFT(A177, FIND(",", A177)-1)</f>
        <v/>
      </c>
      <c r="O177">
        <f>MID(A177, FIND(",", A177)+2, LEN(A177))</f>
        <v/>
      </c>
      <c r="P177">
        <f>SWITCH(J177, "Zelden", 1, "Af en toe", 4, "Regelmatig", 8, "Vaak", 12)</f>
        <v/>
      </c>
      <c r="Q177">
        <f>IF(L177&gt;=7, "Tevreden", "Ontevreden")</f>
        <v/>
      </c>
    </row>
    <row r="178">
      <c r="A178" t="inlineStr">
        <is>
          <t>Pieters, Athanasios</t>
        </is>
      </c>
      <c r="B178" t="n">
        <v>3531844520</v>
      </c>
      <c r="C178" t="inlineStr">
        <is>
          <t>30/07/1956</t>
        </is>
      </c>
      <c r="D178" t="inlineStr">
        <is>
          <t>Dikkelindestraat</t>
        </is>
      </c>
      <c r="E178" t="n">
        <v>16</v>
      </c>
      <c r="F178" t="inlineStr">
        <is>
          <t>Lommel</t>
        </is>
      </c>
      <c r="G178" t="n">
        <v>1</v>
      </c>
      <c r="H178" t="n">
        <v>2</v>
      </c>
      <c r="I178" t="n">
        <v>234.98</v>
      </c>
      <c r="J178" t="inlineStr">
        <is>
          <t>Zelden</t>
        </is>
      </c>
      <c r="K178" t="inlineStr">
        <is>
          <t>Bancontact</t>
        </is>
      </c>
      <c r="L178" t="n">
        <v>8.279999999999999</v>
      </c>
      <c r="M178" t="inlineStr">
        <is>
          <t>Vegetarisch</t>
        </is>
      </c>
      <c r="N178">
        <f>LEFT(A178, FIND(",", A178)-1)</f>
        <v/>
      </c>
      <c r="O178">
        <f>MID(A178, FIND(",", A178)+2, LEN(A178))</f>
        <v/>
      </c>
      <c r="P178">
        <f>SWITCH(J178, "Zelden", 1, "Af en toe", 4, "Regelmatig", 8, "Vaak", 12)</f>
        <v/>
      </c>
      <c r="Q178">
        <f>IF(L178&gt;=7, "Tevreden", "Ontevreden")</f>
        <v/>
      </c>
    </row>
    <row r="179">
      <c r="A179" t="inlineStr">
        <is>
          <t>Hubert, Hemanth</t>
        </is>
      </c>
      <c r="B179" t="n">
        <v>4521245748</v>
      </c>
      <c r="C179" t="inlineStr">
        <is>
          <t>03/09/1947</t>
        </is>
      </c>
      <c r="D179" t="inlineStr">
        <is>
          <t>Eekhout</t>
        </is>
      </c>
      <c r="E179" t="n">
        <v>18</v>
      </c>
      <c r="F179" t="inlineStr">
        <is>
          <t>Hoeselt</t>
        </is>
      </c>
      <c r="G179" t="n">
        <v>2</v>
      </c>
      <c r="H179" t="n">
        <v>2</v>
      </c>
      <c r="I179" t="n">
        <v>104.54</v>
      </c>
      <c r="J179" t="inlineStr">
        <is>
          <t>Vaak</t>
        </is>
      </c>
      <c r="K179" t="inlineStr">
        <is>
          <t>Cash</t>
        </is>
      </c>
      <c r="L179" t="n">
        <v>7.58</v>
      </c>
      <c r="M179" t="inlineStr">
        <is>
          <t>Geen dieet</t>
        </is>
      </c>
      <c r="N179">
        <f>LEFT(A179, FIND(",", A179)-1)</f>
        <v/>
      </c>
      <c r="O179">
        <f>MID(A179, FIND(",", A179)+2, LEN(A179))</f>
        <v/>
      </c>
      <c r="P179">
        <f>SWITCH(J179, "Zelden", 1, "Af en toe", 4, "Regelmatig", 8, "Vaak", 12)</f>
        <v/>
      </c>
      <c r="Q179">
        <f>IF(L179&gt;=7, "Tevreden", "Ontevreden")</f>
        <v/>
      </c>
    </row>
    <row r="180">
      <c r="A180" t="inlineStr">
        <is>
          <t>Bogaert, Romi</t>
        </is>
      </c>
      <c r="B180" t="n">
        <v>8803577439</v>
      </c>
      <c r="C180" t="inlineStr">
        <is>
          <t>12/08/1991</t>
        </is>
      </c>
      <c r="D180" t="inlineStr">
        <is>
          <t>Kortrijksesteenweg</t>
        </is>
      </c>
      <c r="E180" t="n">
        <v>23</v>
      </c>
      <c r="F180" t="inlineStr">
        <is>
          <t>Maasmechelen</t>
        </is>
      </c>
      <c r="G180" t="n">
        <v>2</v>
      </c>
      <c r="H180" t="n">
        <v>1</v>
      </c>
      <c r="I180" t="n">
        <v>126.08</v>
      </c>
      <c r="J180" t="inlineStr">
        <is>
          <t>Zelden</t>
        </is>
      </c>
      <c r="K180" t="inlineStr">
        <is>
          <t>Cash</t>
        </is>
      </c>
      <c r="L180" t="n">
        <v>7.13</v>
      </c>
      <c r="M180" t="inlineStr">
        <is>
          <t>Geen dieet</t>
        </is>
      </c>
      <c r="N180">
        <f>LEFT(A180, FIND(",", A180)-1)</f>
        <v/>
      </c>
      <c r="O180">
        <f>MID(A180, FIND(",", A180)+2, LEN(A180))</f>
        <v/>
      </c>
      <c r="P180">
        <f>SWITCH(J180, "Zelden", 1, "Af en toe", 4, "Regelmatig", 8, "Vaak", 12)</f>
        <v/>
      </c>
      <c r="Q180">
        <f>IF(L180&gt;=7, "Tevreden", "Ontevreden")</f>
        <v/>
      </c>
    </row>
    <row r="181">
      <c r="A181" t="inlineStr">
        <is>
          <t>Collard, Amine</t>
        </is>
      </c>
      <c r="B181" t="n">
        <v>215875724</v>
      </c>
      <c r="C181" t="inlineStr">
        <is>
          <t>13/10/1999</t>
        </is>
      </c>
      <c r="D181" t="inlineStr">
        <is>
          <t>Krijgslaan</t>
        </is>
      </c>
      <c r="E181" t="n">
        <v>43</v>
      </c>
      <c r="F181" t="inlineStr">
        <is>
          <t>Borgloon</t>
        </is>
      </c>
      <c r="G181" t="n">
        <v>2</v>
      </c>
      <c r="H181" t="n">
        <v>0</v>
      </c>
      <c r="I181" t="n">
        <v>114.04</v>
      </c>
      <c r="J181" t="inlineStr">
        <is>
          <t>Vaak</t>
        </is>
      </c>
      <c r="K181" t="inlineStr">
        <is>
          <t>Cash</t>
        </is>
      </c>
      <c r="L181" t="n">
        <v>7.31</v>
      </c>
      <c r="M181" t="inlineStr">
        <is>
          <t>Geen dieet</t>
        </is>
      </c>
      <c r="N181">
        <f>LEFT(A181, FIND(",", A181)-1)</f>
        <v/>
      </c>
      <c r="O181">
        <f>MID(A181, FIND(",", A181)+2, LEN(A181))</f>
        <v/>
      </c>
      <c r="P181">
        <f>SWITCH(J181, "Zelden", 1, "Af en toe", 4, "Regelmatig", 8, "Vaak", 12)</f>
        <v/>
      </c>
      <c r="Q181">
        <f>IF(L181&gt;=7, "Tevreden", "Ontevreden")</f>
        <v/>
      </c>
    </row>
    <row r="182">
      <c r="A182" t="inlineStr">
        <is>
          <t>Dumont, Tolga</t>
        </is>
      </c>
      <c r="B182" t="n">
        <v>8254983971</v>
      </c>
      <c r="C182" t="inlineStr">
        <is>
          <t>19/10/1966</t>
        </is>
      </c>
      <c r="D182" t="inlineStr">
        <is>
          <t>Sint Pietersaalstraat</t>
        </is>
      </c>
      <c r="E182" t="n">
        <v>1</v>
      </c>
      <c r="F182" t="inlineStr">
        <is>
          <t>Hasselt</t>
        </is>
      </c>
      <c r="G182" t="n">
        <v>1</v>
      </c>
      <c r="H182" t="n">
        <v>0</v>
      </c>
      <c r="I182" t="n">
        <v>27.33</v>
      </c>
      <c r="J182" t="inlineStr">
        <is>
          <t>Zeer vaak</t>
        </is>
      </c>
      <c r="K182" t="inlineStr">
        <is>
          <t>Payconiq</t>
        </is>
      </c>
      <c r="L182" t="n">
        <v>7.13</v>
      </c>
      <c r="M182" t="inlineStr">
        <is>
          <t>Geen dieet</t>
        </is>
      </c>
      <c r="N182">
        <f>LEFT(A182, FIND(",", A182)-1)</f>
        <v/>
      </c>
      <c r="O182">
        <f>MID(A182, FIND(",", A182)+2, LEN(A182))</f>
        <v/>
      </c>
      <c r="P182">
        <f>SWITCH(J182, "Zelden", 1, "Af en toe", 4, "Regelmatig", 8, "Vaak", 12)</f>
        <v/>
      </c>
      <c r="Q182">
        <f>IF(L182&gt;=7, "Tevreden", "Ontevreden")</f>
        <v/>
      </c>
    </row>
    <row r="183">
      <c r="A183" t="inlineStr">
        <is>
          <t>Claes, Amine</t>
        </is>
      </c>
      <c r="B183" t="n">
        <v>2387667826</v>
      </c>
      <c r="C183" t="inlineStr">
        <is>
          <t>19/12/1984</t>
        </is>
      </c>
      <c r="D183" t="inlineStr">
        <is>
          <t>Keizer Karelstraat</t>
        </is>
      </c>
      <c r="E183" t="n">
        <v>8</v>
      </c>
      <c r="F183" t="inlineStr">
        <is>
          <t>Kinrooi</t>
        </is>
      </c>
      <c r="G183" t="n">
        <v>2</v>
      </c>
      <c r="H183" t="n">
        <v>0</v>
      </c>
      <c r="I183" t="n">
        <v>128.24</v>
      </c>
      <c r="J183" t="inlineStr">
        <is>
          <t>Af en toe</t>
        </is>
      </c>
      <c r="K183" t="inlineStr">
        <is>
          <t>Payconiq</t>
        </is>
      </c>
      <c r="L183" t="n">
        <v>7.62</v>
      </c>
      <c r="M183" t="inlineStr">
        <is>
          <t>Geen dieet</t>
        </is>
      </c>
      <c r="N183">
        <f>LEFT(A183, FIND(",", A183)-1)</f>
        <v/>
      </c>
      <c r="O183">
        <f>MID(A183, FIND(",", A183)+2, LEN(A183))</f>
        <v/>
      </c>
      <c r="P183">
        <f>SWITCH(J183, "Zelden", 1, "Af en toe", 4, "Regelmatig", 8, "Vaak", 12)</f>
        <v/>
      </c>
      <c r="Q183">
        <f>IF(L183&gt;=7, "Tevreden", "Ontevreden")</f>
        <v/>
      </c>
    </row>
    <row r="184">
      <c r="A184" t="inlineStr">
        <is>
          <t>Govaerts, Suzanne</t>
        </is>
      </c>
      <c r="B184" t="n">
        <v>3333406030</v>
      </c>
      <c r="C184" t="inlineStr">
        <is>
          <t>16/05/1976</t>
        </is>
      </c>
      <c r="D184" t="inlineStr">
        <is>
          <t>Meerseniersstraat</t>
        </is>
      </c>
      <c r="E184" t="n">
        <v>26</v>
      </c>
      <c r="F184" t="inlineStr">
        <is>
          <t>Tongeren</t>
        </is>
      </c>
      <c r="G184" t="n">
        <v>1</v>
      </c>
      <c r="H184" t="n">
        <v>1</v>
      </c>
      <c r="I184" t="n">
        <v>83.20999999999999</v>
      </c>
      <c r="J184" t="inlineStr">
        <is>
          <t>Dagelijks</t>
        </is>
      </c>
      <c r="K184" t="inlineStr">
        <is>
          <t>Payconiq</t>
        </is>
      </c>
      <c r="L184" t="n">
        <v>7.3</v>
      </c>
      <c r="M184" t="inlineStr">
        <is>
          <t>Geen dieet</t>
        </is>
      </c>
      <c r="N184">
        <f>LEFT(A184, FIND(",", A184)-1)</f>
        <v/>
      </c>
      <c r="O184">
        <f>MID(A184, FIND(",", A184)+2, LEN(A184))</f>
        <v/>
      </c>
      <c r="P184">
        <f>SWITCH(J184, "Zelden", 1, "Af en toe", 4, "Regelmatig", 8, "Vaak", 12)</f>
        <v/>
      </c>
      <c r="Q184">
        <f>IF(L184&gt;=7, "Tevreden", "Ontevreden")</f>
        <v/>
      </c>
    </row>
    <row r="185">
      <c r="A185" t="inlineStr">
        <is>
          <t>Lievens, Quentin</t>
        </is>
      </c>
      <c r="B185" t="n">
        <v>1401762277</v>
      </c>
      <c r="C185" t="inlineStr">
        <is>
          <t>12/04/1970</t>
        </is>
      </c>
      <c r="D185" t="inlineStr">
        <is>
          <t>Rozier</t>
        </is>
      </c>
      <c r="E185" t="n">
        <v>41</v>
      </c>
      <c r="F185" t="inlineStr">
        <is>
          <t>Maasmechelen</t>
        </is>
      </c>
      <c r="G185" t="n">
        <v>1</v>
      </c>
      <c r="H185" t="n">
        <v>0</v>
      </c>
      <c r="I185" t="n">
        <v>58.03</v>
      </c>
      <c r="J185" t="inlineStr">
        <is>
          <t>Zelden</t>
        </is>
      </c>
      <c r="K185" t="inlineStr">
        <is>
          <t>Bancontact</t>
        </is>
      </c>
      <c r="L185" t="n">
        <v>6.67</v>
      </c>
      <c r="M185" t="inlineStr">
        <is>
          <t>Geen dieet</t>
        </is>
      </c>
      <c r="N185">
        <f>LEFT(A185, FIND(",", A185)-1)</f>
        <v/>
      </c>
      <c r="O185">
        <f>MID(A185, FIND(",", A185)+2, LEN(A185))</f>
        <v/>
      </c>
      <c r="P185">
        <f>SWITCH(J185, "Zelden", 1, "Af en toe", 4, "Regelmatig", 8, "Vaak", 12)</f>
        <v/>
      </c>
      <c r="Q185">
        <f>IF(L185&gt;=7, "Tevreden", "Ontevreden")</f>
        <v/>
      </c>
    </row>
    <row r="186">
      <c r="A186" t="inlineStr">
        <is>
          <t>De keyser, Hervé</t>
        </is>
      </c>
      <c r="B186" t="n">
        <v>8283501287</v>
      </c>
      <c r="C186" t="inlineStr">
        <is>
          <t>07/12/1975</t>
        </is>
      </c>
      <c r="D186" t="inlineStr">
        <is>
          <t>Sint-amandstraat</t>
        </is>
      </c>
      <c r="E186" t="n">
        <v>50</v>
      </c>
      <c r="F186" t="inlineStr">
        <is>
          <t>Lummen</t>
        </is>
      </c>
      <c r="G186" t="n">
        <v>1</v>
      </c>
      <c r="H186" t="n">
        <v>0</v>
      </c>
      <c r="I186" t="n">
        <v>82.03</v>
      </c>
      <c r="J186" t="inlineStr">
        <is>
          <t>Zeer vaak</t>
        </is>
      </c>
      <c r="K186" t="inlineStr">
        <is>
          <t>Bancontact</t>
        </is>
      </c>
      <c r="L186" t="n">
        <v>6.85</v>
      </c>
      <c r="M186" t="inlineStr">
        <is>
          <t>Geen dieet</t>
        </is>
      </c>
      <c r="N186">
        <f>LEFT(A186, FIND(",", A186)-1)</f>
        <v/>
      </c>
      <c r="O186">
        <f>MID(A186, FIND(",", A186)+2, LEN(A186))</f>
        <v/>
      </c>
      <c r="P186">
        <f>SWITCH(J186, "Zelden", 1, "Af en toe", 4, "Regelmatig", 8, "Vaak", 12)</f>
        <v/>
      </c>
      <c r="Q186">
        <f>IF(L186&gt;=7, "Tevreden", "Ontevreden")</f>
        <v/>
      </c>
    </row>
    <row r="187">
      <c r="A187" t="inlineStr">
        <is>
          <t>Dubois, Nadir</t>
        </is>
      </c>
      <c r="B187" t="n">
        <v>7291652651</v>
      </c>
      <c r="C187" t="inlineStr">
        <is>
          <t>08/11/1993</t>
        </is>
      </c>
      <c r="D187" t="inlineStr">
        <is>
          <t>Onderbergen</t>
        </is>
      </c>
      <c r="E187" t="n">
        <v>6</v>
      </c>
      <c r="F187" t="inlineStr">
        <is>
          <t>Diepenbeek</t>
        </is>
      </c>
      <c r="G187" t="n">
        <v>2</v>
      </c>
      <c r="H187" t="n">
        <v>0</v>
      </c>
      <c r="I187" t="n">
        <v>84.36</v>
      </c>
      <c r="J187" t="inlineStr">
        <is>
          <t>Zeer vaak</t>
        </is>
      </c>
      <c r="K187" t="inlineStr">
        <is>
          <t>Bancontact</t>
        </is>
      </c>
      <c r="L187" t="n">
        <v>8.42</v>
      </c>
      <c r="M187" t="inlineStr">
        <is>
          <t>Vegetarisch</t>
        </is>
      </c>
      <c r="N187">
        <f>LEFT(A187, FIND(",", A187)-1)</f>
        <v/>
      </c>
      <c r="O187">
        <f>MID(A187, FIND(",", A187)+2, LEN(A187))</f>
        <v/>
      </c>
      <c r="P187">
        <f>SWITCH(J187, "Zelden", 1, "Af en toe", 4, "Regelmatig", 8, "Vaak", 12)</f>
        <v/>
      </c>
      <c r="Q187">
        <f>IF(L187&gt;=7, "Tevreden", "Ontevreden")</f>
        <v/>
      </c>
    </row>
    <row r="188">
      <c r="A188" t="inlineStr">
        <is>
          <t>Guillaume, Nadine</t>
        </is>
      </c>
      <c r="B188" t="n">
        <v>2033671216</v>
      </c>
      <c r="C188" t="inlineStr">
        <is>
          <t>23/01/1995</t>
        </is>
      </c>
      <c r="D188" t="inlineStr">
        <is>
          <t>Oudenaardsesteenweg</t>
        </is>
      </c>
      <c r="E188" t="n">
        <v>26</v>
      </c>
      <c r="F188" t="inlineStr">
        <is>
          <t>Sint-Truiden</t>
        </is>
      </c>
      <c r="G188" t="n">
        <v>1</v>
      </c>
      <c r="H188" t="n">
        <v>0</v>
      </c>
      <c r="I188" t="n">
        <v>67.59999999999999</v>
      </c>
      <c r="J188" t="inlineStr">
        <is>
          <t>Af en toe</t>
        </is>
      </c>
      <c r="K188" t="inlineStr">
        <is>
          <t>Cash</t>
        </is>
      </c>
      <c r="L188" t="n">
        <v>6.93</v>
      </c>
      <c r="M188" t="inlineStr">
        <is>
          <t>Geen dieet</t>
        </is>
      </c>
      <c r="N188">
        <f>LEFT(A188, FIND(",", A188)-1)</f>
        <v/>
      </c>
      <c r="O188">
        <f>MID(A188, FIND(",", A188)+2, LEN(A188))</f>
        <v/>
      </c>
      <c r="P188">
        <f>SWITCH(J188, "Zelden", 1, "Af en toe", 4, "Regelmatig", 8, "Vaak", 12)</f>
        <v/>
      </c>
      <c r="Q188">
        <f>IF(L188&gt;=7, "Tevreden", "Ontevreden")</f>
        <v/>
      </c>
    </row>
    <row r="189">
      <c r="A189" t="inlineStr">
        <is>
          <t>Lambrechts, Nicolas</t>
        </is>
      </c>
      <c r="B189" t="n">
        <v>8492044363</v>
      </c>
      <c r="C189" t="inlineStr">
        <is>
          <t>17/12/1952</t>
        </is>
      </c>
      <c r="D189" t="inlineStr">
        <is>
          <t>Sint-pietersaalststraat</t>
        </is>
      </c>
      <c r="E189" t="n">
        <v>17</v>
      </c>
      <c r="F189" t="inlineStr">
        <is>
          <t>Zonhoven</t>
        </is>
      </c>
      <c r="G189" t="n">
        <v>1</v>
      </c>
      <c r="H189" t="n">
        <v>1</v>
      </c>
      <c r="I189" t="n">
        <v>36.75</v>
      </c>
      <c r="J189" t="inlineStr">
        <is>
          <t>Vaak</t>
        </is>
      </c>
      <c r="K189" t="inlineStr">
        <is>
          <t>Payconiq</t>
        </is>
      </c>
      <c r="L189" t="n">
        <v>7.64</v>
      </c>
      <c r="M189" t="inlineStr">
        <is>
          <t>Geen dieet</t>
        </is>
      </c>
      <c r="N189">
        <f>LEFT(A189, FIND(",", A189)-1)</f>
        <v/>
      </c>
      <c r="O189">
        <f>MID(A189, FIND(",", A189)+2, LEN(A189))</f>
        <v/>
      </c>
      <c r="P189">
        <f>SWITCH(J189, "Zelden", 1, "Af en toe", 4, "Regelmatig", 8, "Vaak", 12)</f>
        <v/>
      </c>
      <c r="Q189">
        <f>IF(L189&gt;=7, "Tevreden", "Ontevreden")</f>
        <v/>
      </c>
    </row>
    <row r="190">
      <c r="A190" t="inlineStr">
        <is>
          <t>Verbeke, Galina</t>
        </is>
      </c>
      <c r="B190" t="n">
        <v>6937367897</v>
      </c>
      <c r="C190" t="inlineStr">
        <is>
          <t>18/06/1968</t>
        </is>
      </c>
      <c r="D190" t="inlineStr">
        <is>
          <t>Zeeschipstraat</t>
        </is>
      </c>
      <c r="E190" t="n">
        <v>109</v>
      </c>
      <c r="F190" t="inlineStr">
        <is>
          <t>Hasselt</t>
        </is>
      </c>
      <c r="G190" t="n">
        <v>2</v>
      </c>
      <c r="H190" t="n">
        <v>5</v>
      </c>
      <c r="I190" t="n">
        <v>125.09</v>
      </c>
      <c r="J190" t="inlineStr">
        <is>
          <t>Af en toe</t>
        </is>
      </c>
      <c r="K190" t="inlineStr">
        <is>
          <t>Payconiq</t>
        </is>
      </c>
      <c r="L190" t="n">
        <v>6.93</v>
      </c>
      <c r="M190" t="inlineStr">
        <is>
          <t>Geen dieet</t>
        </is>
      </c>
      <c r="N190">
        <f>LEFT(A190, FIND(",", A190)-1)</f>
        <v/>
      </c>
      <c r="O190">
        <f>MID(A190, FIND(",", A190)+2, LEN(A190))</f>
        <v/>
      </c>
      <c r="P190">
        <f>SWITCH(J190, "Zelden", 1, "Af en toe", 4, "Regelmatig", 8, "Vaak", 12)</f>
        <v/>
      </c>
      <c r="Q190">
        <f>IF(L190&gt;=7, "Tevreden", "Ontevreden")</f>
        <v/>
      </c>
    </row>
    <row r="191">
      <c r="A191" t="inlineStr">
        <is>
          <t>Van dijck, Perrine</t>
        </is>
      </c>
      <c r="B191" t="n">
        <v>9619854636</v>
      </c>
      <c r="C191" t="inlineStr">
        <is>
          <t>31/10/1995</t>
        </is>
      </c>
      <c r="D191" t="inlineStr">
        <is>
          <t>Mariakerksesteenweg</t>
        </is>
      </c>
      <c r="E191" t="n">
        <v>7</v>
      </c>
      <c r="F191" t="inlineStr">
        <is>
          <t>Neerpelt</t>
        </is>
      </c>
      <c r="G191" t="n">
        <v>1</v>
      </c>
      <c r="H191" t="n">
        <v>3</v>
      </c>
      <c r="I191" t="n">
        <v>166.81</v>
      </c>
      <c r="J191" t="inlineStr">
        <is>
          <t>Af en toe</t>
        </is>
      </c>
      <c r="K191" t="inlineStr">
        <is>
          <t>Payconiq</t>
        </is>
      </c>
      <c r="L191" t="n">
        <v>7.32</v>
      </c>
      <c r="M191" t="inlineStr">
        <is>
          <t>Geen dieet</t>
        </is>
      </c>
      <c r="N191">
        <f>LEFT(A191, FIND(",", A191)-1)</f>
        <v/>
      </c>
      <c r="O191">
        <f>MID(A191, FIND(",", A191)+2, LEN(A191))</f>
        <v/>
      </c>
      <c r="P191">
        <f>SWITCH(J191, "Zelden", 1, "Af en toe", 4, "Regelmatig", 8, "Vaak", 12)</f>
        <v/>
      </c>
      <c r="Q191">
        <f>IF(L191&gt;=7, "Tevreden", "Ontevreden")</f>
        <v/>
      </c>
    </row>
    <row r="192">
      <c r="A192" t="inlineStr">
        <is>
          <t>Geens, Selena</t>
        </is>
      </c>
      <c r="B192" t="n">
        <v>9955363761</v>
      </c>
      <c r="C192" t="inlineStr">
        <is>
          <t>15/09/1955</t>
        </is>
      </c>
      <c r="D192" t="inlineStr">
        <is>
          <t>Singel</t>
        </is>
      </c>
      <c r="E192" t="n">
        <v>82</v>
      </c>
      <c r="F192" t="inlineStr">
        <is>
          <t>Tongeren</t>
        </is>
      </c>
      <c r="G192" t="n">
        <v>5</v>
      </c>
      <c r="H192" t="n">
        <v>1</v>
      </c>
      <c r="I192" t="n">
        <v>104</v>
      </c>
      <c r="J192" t="inlineStr">
        <is>
          <t>Af en toe</t>
        </is>
      </c>
      <c r="K192" t="inlineStr">
        <is>
          <t>Bancontact</t>
        </is>
      </c>
      <c r="L192" t="n">
        <v>6.94</v>
      </c>
      <c r="M192" t="inlineStr">
        <is>
          <t>Geen dieet</t>
        </is>
      </c>
      <c r="N192">
        <f>LEFT(A192, FIND(",", A192)-1)</f>
        <v/>
      </c>
      <c r="O192">
        <f>MID(A192, FIND(",", A192)+2, LEN(A192))</f>
        <v/>
      </c>
      <c r="P192">
        <f>SWITCH(J192, "Zelden", 1, "Af en toe", 4, "Regelmatig", 8, "Vaak", 12)</f>
        <v/>
      </c>
      <c r="Q192">
        <f>IF(L192&gt;=7, "Tevreden", "Ontevreden")</f>
        <v/>
      </c>
    </row>
    <row r="193">
      <c r="A193" t="inlineStr">
        <is>
          <t>Maes, Juan</t>
        </is>
      </c>
      <c r="B193" t="n">
        <v>5652001060</v>
      </c>
      <c r="C193" t="inlineStr">
        <is>
          <t>30/07/1952</t>
        </is>
      </c>
      <c r="D193" t="inlineStr">
        <is>
          <t>Goudenleeuwplein</t>
        </is>
      </c>
      <c r="E193" t="n">
        <v>43</v>
      </c>
      <c r="F193" t="inlineStr">
        <is>
          <t>Overpelt</t>
        </is>
      </c>
      <c r="G193" t="n">
        <v>1</v>
      </c>
      <c r="H193" t="n">
        <v>3</v>
      </c>
      <c r="I193" t="n">
        <v>130.45</v>
      </c>
      <c r="J193" t="inlineStr">
        <is>
          <t>Vaak</t>
        </is>
      </c>
      <c r="K193" t="inlineStr">
        <is>
          <t>Payconiq</t>
        </is>
      </c>
      <c r="L193" t="n">
        <v>7.06</v>
      </c>
      <c r="M193" t="inlineStr">
        <is>
          <t>Geen dieet</t>
        </is>
      </c>
      <c r="N193">
        <f>LEFT(A193, FIND(",", A193)-1)</f>
        <v/>
      </c>
      <c r="O193">
        <f>MID(A193, FIND(",", A193)+2, LEN(A193))</f>
        <v/>
      </c>
      <c r="P193">
        <f>SWITCH(J193, "Zelden", 1, "Af en toe", 4, "Regelmatig", 8, "Vaak", 12)</f>
        <v/>
      </c>
      <c r="Q193">
        <f>IF(L193&gt;=7, "Tevreden", "Ontevreden")</f>
        <v/>
      </c>
    </row>
    <row r="194">
      <c r="A194" t="inlineStr">
        <is>
          <t>Geens, Roman</t>
        </is>
      </c>
      <c r="B194" t="n">
        <v>618762982</v>
      </c>
      <c r="C194" t="inlineStr">
        <is>
          <t>17/07/1955</t>
        </is>
      </c>
      <c r="D194" t="inlineStr">
        <is>
          <t>Nieuwevaart</t>
        </is>
      </c>
      <c r="E194" t="n">
        <v>74</v>
      </c>
      <c r="F194" t="inlineStr">
        <is>
          <t>Hasselt</t>
        </is>
      </c>
      <c r="G194" t="n">
        <v>1</v>
      </c>
      <c r="H194" t="n">
        <v>0</v>
      </c>
      <c r="I194" t="n">
        <v>91.54000000000001</v>
      </c>
      <c r="J194" t="inlineStr">
        <is>
          <t>Af en toe</t>
        </is>
      </c>
      <c r="K194" t="inlineStr">
        <is>
          <t>Payconiq</t>
        </is>
      </c>
      <c r="L194" t="n">
        <v>7.54</v>
      </c>
      <c r="M194" t="inlineStr">
        <is>
          <t>Geen dieet</t>
        </is>
      </c>
      <c r="N194">
        <f>LEFT(A194, FIND(",", A194)-1)</f>
        <v/>
      </c>
      <c r="O194">
        <f>MID(A194, FIND(",", A194)+2, LEN(A194))</f>
        <v/>
      </c>
      <c r="P194">
        <f>SWITCH(J194, "Zelden", 1, "Af en toe", 4, "Regelmatig", 8, "Vaak", 12)</f>
        <v/>
      </c>
      <c r="Q194">
        <f>IF(L194&gt;=7, "Tevreden", "Ontevreden")</f>
        <v/>
      </c>
    </row>
    <row r="195">
      <c r="A195" t="inlineStr">
        <is>
          <t>Dewulf, Conny</t>
        </is>
      </c>
      <c r="B195" t="n">
        <v>906188038</v>
      </c>
      <c r="C195" t="inlineStr">
        <is>
          <t>15/03/1979</t>
        </is>
      </c>
      <c r="D195" t="inlineStr">
        <is>
          <t>Baudelokaai</t>
        </is>
      </c>
      <c r="E195" t="n">
        <v>11</v>
      </c>
      <c r="F195" t="inlineStr">
        <is>
          <t>Hasselt</t>
        </is>
      </c>
      <c r="G195" t="n">
        <v>2</v>
      </c>
      <c r="H195" t="n">
        <v>0</v>
      </c>
      <c r="I195" t="n">
        <v>29.98</v>
      </c>
      <c r="J195" t="inlineStr">
        <is>
          <t>Af en toe</t>
        </is>
      </c>
      <c r="K195" t="inlineStr">
        <is>
          <t>Payconiq</t>
        </is>
      </c>
      <c r="L195" t="n">
        <v>6.97</v>
      </c>
      <c r="M195" t="inlineStr">
        <is>
          <t>Geen dieet</t>
        </is>
      </c>
      <c r="N195">
        <f>LEFT(A195, FIND(",", A195)-1)</f>
        <v/>
      </c>
      <c r="O195">
        <f>MID(A195, FIND(",", A195)+2, LEN(A195))</f>
        <v/>
      </c>
      <c r="P195">
        <f>SWITCH(J195, "Zelden", 1, "Af en toe", 4, "Regelmatig", 8, "Vaak", 12)</f>
        <v/>
      </c>
      <c r="Q195">
        <f>IF(L195&gt;=7, "Tevreden", "Ontevreden")</f>
        <v/>
      </c>
    </row>
    <row r="196">
      <c r="A196" t="inlineStr">
        <is>
          <t>Vanderheyden, Clara</t>
        </is>
      </c>
      <c r="B196" t="n">
        <v>7195423742</v>
      </c>
      <c r="C196" t="inlineStr">
        <is>
          <t>20/11/1969</t>
        </is>
      </c>
      <c r="D196" t="inlineStr">
        <is>
          <t>Notenstraat</t>
        </is>
      </c>
      <c r="E196" t="n">
        <v>30</v>
      </c>
      <c r="F196" t="inlineStr">
        <is>
          <t>Lanaken</t>
        </is>
      </c>
      <c r="G196" t="n">
        <v>6</v>
      </c>
      <c r="H196" t="n">
        <v>2</v>
      </c>
      <c r="I196" t="n">
        <v>70.95</v>
      </c>
      <c r="J196" t="inlineStr">
        <is>
          <t>Dagelijks</t>
        </is>
      </c>
      <c r="K196" t="inlineStr">
        <is>
          <t>Bancontact</t>
        </is>
      </c>
      <c r="L196" t="n">
        <v>8.6</v>
      </c>
      <c r="M196" t="inlineStr">
        <is>
          <t>Vegetarisch</t>
        </is>
      </c>
      <c r="N196">
        <f>LEFT(A196, FIND(",", A196)-1)</f>
        <v/>
      </c>
      <c r="O196">
        <f>MID(A196, FIND(",", A196)+2, LEN(A196))</f>
        <v/>
      </c>
      <c r="P196">
        <f>SWITCH(J196, "Zelden", 1, "Af en toe", 4, "Regelmatig", 8, "Vaak", 12)</f>
        <v/>
      </c>
      <c r="Q196">
        <f>IF(L196&gt;=7, "Tevreden", "Ontevreden")</f>
        <v/>
      </c>
    </row>
    <row r="197">
      <c r="A197" t="inlineStr">
        <is>
          <t>Vanneste, Camelia</t>
        </is>
      </c>
      <c r="B197" t="n">
        <v>2745865338</v>
      </c>
      <c r="C197" t="inlineStr">
        <is>
          <t>29/09/1979</t>
        </is>
      </c>
      <c r="D197" t="inlineStr">
        <is>
          <t>Koningin Fabiolalaan</t>
        </is>
      </c>
      <c r="E197" t="n">
        <v>32</v>
      </c>
      <c r="F197" t="inlineStr">
        <is>
          <t>Maaseik</t>
        </is>
      </c>
      <c r="G197" t="n">
        <v>2</v>
      </c>
      <c r="H197" t="n">
        <v>1</v>
      </c>
      <c r="I197" t="n">
        <v>57.65</v>
      </c>
      <c r="J197" t="inlineStr">
        <is>
          <t>Zelden</t>
        </is>
      </c>
      <c r="K197" t="inlineStr">
        <is>
          <t>Bancontact</t>
        </is>
      </c>
      <c r="L197" t="n">
        <v>6.98</v>
      </c>
      <c r="M197" t="inlineStr">
        <is>
          <t>Geen dieet</t>
        </is>
      </c>
      <c r="N197">
        <f>LEFT(A197, FIND(",", A197)-1)</f>
        <v/>
      </c>
      <c r="O197">
        <f>MID(A197, FIND(",", A197)+2, LEN(A197))</f>
        <v/>
      </c>
      <c r="P197">
        <f>SWITCH(J197, "Zelden", 1, "Af en toe", 4, "Regelmatig", 8, "Vaak", 12)</f>
        <v/>
      </c>
      <c r="Q197">
        <f>IF(L197&gt;=7, "Tevreden", "Ontevreden")</f>
        <v/>
      </c>
    </row>
    <row r="198">
      <c r="A198" t="inlineStr">
        <is>
          <t>Aerts, Jari</t>
        </is>
      </c>
      <c r="B198" t="n">
        <v>3822750488</v>
      </c>
      <c r="C198" t="inlineStr">
        <is>
          <t>14/04/1985</t>
        </is>
      </c>
      <c r="D198" t="inlineStr">
        <is>
          <t>Lentestraat</t>
        </is>
      </c>
      <c r="E198" t="n">
        <v>11</v>
      </c>
      <c r="F198" t="inlineStr">
        <is>
          <t>Tongeren</t>
        </is>
      </c>
      <c r="G198" t="n">
        <v>5</v>
      </c>
      <c r="H198" t="n">
        <v>2</v>
      </c>
      <c r="I198" t="n">
        <v>172.94</v>
      </c>
      <c r="J198" t="inlineStr">
        <is>
          <t>Vaak</t>
        </is>
      </c>
      <c r="K198" t="inlineStr">
        <is>
          <t>Payconiq</t>
        </is>
      </c>
      <c r="L198" t="n">
        <v>6.33</v>
      </c>
      <c r="M198" t="inlineStr">
        <is>
          <t>Geen dieet</t>
        </is>
      </c>
      <c r="N198">
        <f>LEFT(A198, FIND(",", A198)-1)</f>
        <v/>
      </c>
      <c r="O198">
        <f>MID(A198, FIND(",", A198)+2, LEN(A198))</f>
        <v/>
      </c>
      <c r="P198">
        <f>SWITCH(J198, "Zelden", 1, "Af en toe", 4, "Regelmatig", 8, "Vaak", 12)</f>
        <v/>
      </c>
      <c r="Q198">
        <f>IF(L198&gt;=7, "Tevreden", "Ontevreden")</f>
        <v/>
      </c>
    </row>
    <row r="199">
      <c r="A199" t="inlineStr">
        <is>
          <t>Sterckx, Hugo</t>
        </is>
      </c>
      <c r="B199" t="n">
        <v>2187979293</v>
      </c>
      <c r="C199" t="inlineStr">
        <is>
          <t>09/07/1997</t>
        </is>
      </c>
      <c r="D199" t="inlineStr">
        <is>
          <t>Congreslaan</t>
        </is>
      </c>
      <c r="E199" t="n">
        <v>62</v>
      </c>
      <c r="F199" t="inlineStr">
        <is>
          <t>Maasmechelen</t>
        </is>
      </c>
      <c r="G199" t="n">
        <v>1</v>
      </c>
      <c r="H199" t="n">
        <v>0</v>
      </c>
      <c r="I199" t="n">
        <v>45.97</v>
      </c>
      <c r="J199" t="inlineStr">
        <is>
          <t>Af en toe</t>
        </is>
      </c>
      <c r="K199" t="inlineStr">
        <is>
          <t>Bancontact</t>
        </is>
      </c>
      <c r="L199" t="n">
        <v>7.18</v>
      </c>
      <c r="M199" t="inlineStr">
        <is>
          <t>Geen dieet</t>
        </is>
      </c>
      <c r="N199">
        <f>LEFT(A199, FIND(",", A199)-1)</f>
        <v/>
      </c>
      <c r="O199">
        <f>MID(A199, FIND(",", A199)+2, LEN(A199))</f>
        <v/>
      </c>
      <c r="P199">
        <f>SWITCH(J199, "Zelden", 1, "Af en toe", 4, "Regelmatig", 8, "Vaak", 12)</f>
        <v/>
      </c>
      <c r="Q199">
        <f>IF(L199&gt;=7, "Tevreden", "Ontevreden")</f>
        <v/>
      </c>
    </row>
    <row r="200">
      <c r="A200" t="inlineStr">
        <is>
          <t>Moens, Sonja</t>
        </is>
      </c>
      <c r="B200" t="n">
        <v>4541373114</v>
      </c>
      <c r="C200" t="inlineStr">
        <is>
          <t>27/06/1948</t>
        </is>
      </c>
      <c r="D200" t="inlineStr">
        <is>
          <t>Frans Uyttenhovestraat</t>
        </is>
      </c>
      <c r="E200" t="n">
        <v>84</v>
      </c>
      <c r="F200" t="inlineStr">
        <is>
          <t>Lanaken</t>
        </is>
      </c>
      <c r="G200" t="n">
        <v>2</v>
      </c>
      <c r="H200" t="n">
        <v>2</v>
      </c>
      <c r="I200" t="n">
        <v>106.88</v>
      </c>
      <c r="J200" t="inlineStr">
        <is>
          <t>Af en toe</t>
        </is>
      </c>
      <c r="K200" t="inlineStr">
        <is>
          <t>Payconiq</t>
        </is>
      </c>
      <c r="L200" t="n">
        <v>7.16</v>
      </c>
      <c r="M200" t="inlineStr">
        <is>
          <t>Geen dieet</t>
        </is>
      </c>
      <c r="N200">
        <f>LEFT(A200, FIND(",", A200)-1)</f>
        <v/>
      </c>
      <c r="O200">
        <f>MID(A200, FIND(",", A200)+2, LEN(A200))</f>
        <v/>
      </c>
      <c r="P200">
        <f>SWITCH(J200, "Zelden", 1, "Af en toe", 4, "Regelmatig", 8, "Vaak", 12)</f>
        <v/>
      </c>
      <c r="Q200">
        <f>IF(L200&gt;=7, "Tevreden", "Ontevreden")</f>
        <v/>
      </c>
    </row>
    <row r="201">
      <c r="A201" t="inlineStr">
        <is>
          <t>Wauters, Mathis</t>
        </is>
      </c>
      <c r="B201" t="n">
        <v>2787882123</v>
      </c>
      <c r="C201" t="inlineStr">
        <is>
          <t>01/06/2004</t>
        </is>
      </c>
      <c r="D201" t="inlineStr">
        <is>
          <t>Kasteellaan</t>
        </is>
      </c>
      <c r="E201" t="n">
        <v>11</v>
      </c>
      <c r="F201" t="inlineStr">
        <is>
          <t>Lanaken</t>
        </is>
      </c>
      <c r="G201" t="n">
        <v>2</v>
      </c>
      <c r="H201" t="n">
        <v>2</v>
      </c>
      <c r="I201" t="n">
        <v>105.83</v>
      </c>
      <c r="J201" t="inlineStr">
        <is>
          <t>Vaak</t>
        </is>
      </c>
      <c r="K201" t="inlineStr">
        <is>
          <t>Payconiq</t>
        </is>
      </c>
      <c r="L201" t="n">
        <v>6.5</v>
      </c>
      <c r="M201" t="inlineStr">
        <is>
          <t>Geen dieet</t>
        </is>
      </c>
      <c r="N201">
        <f>LEFT(A201, FIND(",", A201)-1)</f>
        <v/>
      </c>
      <c r="O201">
        <f>MID(A201, FIND(",", A201)+2, LEN(A201))</f>
        <v/>
      </c>
      <c r="P201">
        <f>SWITCH(J201, "Zelden", 1, "Af en toe", 4, "Regelmatig", 8, "Vaak", 12)</f>
        <v/>
      </c>
      <c r="Q201">
        <f>IF(L201&gt;=7, "Tevreden", "Ontevreden")</f>
        <v/>
      </c>
    </row>
    <row r="202">
      <c r="A202" t="inlineStr">
        <is>
          <t>Wuyts, Quinten</t>
        </is>
      </c>
      <c r="B202" t="n">
        <v>7597521955</v>
      </c>
      <c r="C202" t="inlineStr">
        <is>
          <t>30/07/2006</t>
        </is>
      </c>
      <c r="D202" t="inlineStr">
        <is>
          <t>Savaanstraat</t>
        </is>
      </c>
      <c r="E202" t="n">
        <v>13</v>
      </c>
      <c r="F202" t="inlineStr">
        <is>
          <t>Heusden-Zolder</t>
        </is>
      </c>
      <c r="G202" t="n">
        <v>2</v>
      </c>
      <c r="H202" t="n">
        <v>2</v>
      </c>
      <c r="I202" t="n">
        <v>78.93000000000001</v>
      </c>
      <c r="J202" t="inlineStr">
        <is>
          <t>Zeer vaak</t>
        </is>
      </c>
      <c r="K202" t="inlineStr">
        <is>
          <t>Bancontact</t>
        </is>
      </c>
      <c r="L202" t="n">
        <v>7.2</v>
      </c>
      <c r="M202" t="inlineStr">
        <is>
          <t>Geen dieet</t>
        </is>
      </c>
      <c r="N202">
        <f>LEFT(A202, FIND(",", A202)-1)</f>
        <v/>
      </c>
      <c r="O202">
        <f>MID(A202, FIND(",", A202)+2, LEN(A202))</f>
        <v/>
      </c>
      <c r="P202">
        <f>SWITCH(J202, "Zelden", 1, "Af en toe", 4, "Regelmatig", 8, "Vaak", 12)</f>
        <v/>
      </c>
      <c r="Q202">
        <f>IF(L202&gt;=7, "Tevreden", "Ontevreden")</f>
        <v/>
      </c>
    </row>
    <row r="203">
      <c r="A203" t="inlineStr">
        <is>
          <t>Noel, Lex</t>
        </is>
      </c>
      <c r="B203" t="n">
        <v>7053279668</v>
      </c>
      <c r="C203" t="inlineStr">
        <is>
          <t>11/08/1985</t>
        </is>
      </c>
      <c r="D203" t="inlineStr">
        <is>
          <t>Edmond Van Beverenplein / Myosotisstraat</t>
        </is>
      </c>
      <c r="E203" t="n">
        <v>32</v>
      </c>
      <c r="F203" t="inlineStr">
        <is>
          <t>Lommel</t>
        </is>
      </c>
      <c r="G203" t="n">
        <v>2</v>
      </c>
      <c r="H203" t="n">
        <v>0</v>
      </c>
      <c r="I203" t="n">
        <v>83.39</v>
      </c>
      <c r="J203" t="inlineStr">
        <is>
          <t>Af en toe</t>
        </is>
      </c>
      <c r="K203" t="inlineStr">
        <is>
          <t>Payconiq</t>
        </is>
      </c>
      <c r="L203" t="n">
        <v>8.18</v>
      </c>
      <c r="M203" t="inlineStr">
        <is>
          <t>Vegetarisch</t>
        </is>
      </c>
      <c r="N203">
        <f>LEFT(A203, FIND(",", A203)-1)</f>
        <v/>
      </c>
      <c r="O203">
        <f>MID(A203, FIND(",", A203)+2, LEN(A203))</f>
        <v/>
      </c>
      <c r="P203">
        <f>SWITCH(J203, "Zelden", 1, "Af en toe", 4, "Regelmatig", 8, "Vaak", 12)</f>
        <v/>
      </c>
      <c r="Q203">
        <f>IF(L203&gt;=7, "Tevreden", "Ontevreden")</f>
        <v/>
      </c>
    </row>
    <row r="204">
      <c r="A204" t="inlineStr">
        <is>
          <t>De paepe, Julien</t>
        </is>
      </c>
      <c r="B204" t="n">
        <v>9719632077</v>
      </c>
      <c r="C204" t="inlineStr">
        <is>
          <t>28/02/1958</t>
        </is>
      </c>
      <c r="D204" t="inlineStr">
        <is>
          <t>Krijgslaan</t>
        </is>
      </c>
      <c r="E204" t="n">
        <v>13</v>
      </c>
      <c r="F204" t="inlineStr">
        <is>
          <t>Bilzen</t>
        </is>
      </c>
      <c r="G204" t="n">
        <v>1</v>
      </c>
      <c r="H204" t="n">
        <v>2</v>
      </c>
      <c r="I204" t="n">
        <v>113.32</v>
      </c>
      <c r="J204" t="inlineStr">
        <is>
          <t>Zelden</t>
        </is>
      </c>
      <c r="K204" t="inlineStr">
        <is>
          <t>Payconiq</t>
        </is>
      </c>
      <c r="L204" t="n">
        <v>6.16</v>
      </c>
      <c r="M204" t="inlineStr">
        <is>
          <t>Veganistisch</t>
        </is>
      </c>
      <c r="N204">
        <f>LEFT(A204, FIND(",", A204)-1)</f>
        <v/>
      </c>
      <c r="O204">
        <f>MID(A204, FIND(",", A204)+2, LEN(A204))</f>
        <v/>
      </c>
      <c r="P204">
        <f>SWITCH(J204, "Zelden", 1, "Af en toe", 4, "Regelmatig", 8, "Vaak", 12)</f>
        <v/>
      </c>
      <c r="Q204">
        <f>IF(L204&gt;=7, "Tevreden", "Ontevreden")</f>
        <v/>
      </c>
    </row>
    <row r="205">
      <c r="A205" t="inlineStr">
        <is>
          <t>Goethals, Victor</t>
        </is>
      </c>
      <c r="B205" t="n">
        <v>2843548077</v>
      </c>
      <c r="C205" t="inlineStr">
        <is>
          <t>01/09/1981</t>
        </is>
      </c>
      <c r="D205" t="inlineStr">
        <is>
          <t>Groenehoekstraat</t>
        </is>
      </c>
      <c r="E205" t="n">
        <v>58</v>
      </c>
      <c r="F205" t="inlineStr">
        <is>
          <t>Genk</t>
        </is>
      </c>
      <c r="G205" t="n">
        <v>2</v>
      </c>
      <c r="H205" t="n">
        <v>3</v>
      </c>
      <c r="I205" t="n">
        <v>128.71</v>
      </c>
      <c r="J205" t="inlineStr">
        <is>
          <t>Zeer vaak</t>
        </is>
      </c>
      <c r="K205" t="inlineStr">
        <is>
          <t>Payconiq</t>
        </is>
      </c>
      <c r="L205" t="n">
        <v>6.86</v>
      </c>
      <c r="M205" t="inlineStr">
        <is>
          <t>Geen dieet</t>
        </is>
      </c>
      <c r="N205">
        <f>LEFT(A205, FIND(",", A205)-1)</f>
        <v/>
      </c>
      <c r="O205">
        <f>MID(A205, FIND(",", A205)+2, LEN(A205))</f>
        <v/>
      </c>
      <c r="P205">
        <f>SWITCH(J205, "Zelden", 1, "Af en toe", 4, "Regelmatig", 8, "Vaak", 12)</f>
        <v/>
      </c>
      <c r="Q205">
        <f>IF(L205&gt;=7, "Tevreden", "Ontevreden")</f>
        <v/>
      </c>
    </row>
    <row r="206">
      <c r="A206" t="inlineStr">
        <is>
          <t>Vermeersch, David</t>
        </is>
      </c>
      <c r="B206" t="n">
        <v>5382080110</v>
      </c>
      <c r="C206" t="inlineStr">
        <is>
          <t>01/06/1975</t>
        </is>
      </c>
      <c r="D206" t="inlineStr">
        <is>
          <t>Varenstraat</t>
        </is>
      </c>
      <c r="E206" t="n">
        <v>1</v>
      </c>
      <c r="F206" t="inlineStr">
        <is>
          <t>Lommel</t>
        </is>
      </c>
      <c r="G206" t="n">
        <v>4</v>
      </c>
      <c r="H206" t="n">
        <v>0</v>
      </c>
      <c r="I206" t="n">
        <v>174.1</v>
      </c>
      <c r="J206" t="inlineStr">
        <is>
          <t>Af en toe</t>
        </is>
      </c>
      <c r="K206" t="inlineStr">
        <is>
          <t>Payconiq</t>
        </is>
      </c>
      <c r="L206" t="n">
        <v>8.17</v>
      </c>
      <c r="M206" t="inlineStr">
        <is>
          <t>Vegetarisch</t>
        </is>
      </c>
      <c r="N206">
        <f>LEFT(A206, FIND(",", A206)-1)</f>
        <v/>
      </c>
      <c r="O206">
        <f>MID(A206, FIND(",", A206)+2, LEN(A206))</f>
        <v/>
      </c>
      <c r="P206">
        <f>SWITCH(J206, "Zelden", 1, "Af en toe", 4, "Regelmatig", 8, "Vaak", 12)</f>
        <v/>
      </c>
      <c r="Q206">
        <f>IF(L206&gt;=7, "Tevreden", "Ontevreden")</f>
        <v/>
      </c>
    </row>
    <row r="207">
      <c r="A207" t="inlineStr">
        <is>
          <t>Swinnen, Christel</t>
        </is>
      </c>
      <c r="B207" t="n">
        <v>9735067852</v>
      </c>
      <c r="C207" t="inlineStr">
        <is>
          <t>01/08/2000</t>
        </is>
      </c>
      <c r="D207" t="inlineStr">
        <is>
          <t>Koninging Elisabethlaan</t>
        </is>
      </c>
      <c r="E207" t="n">
        <v>64</v>
      </c>
      <c r="F207" t="inlineStr">
        <is>
          <t>Tessenderlo</t>
        </is>
      </c>
      <c r="G207" t="n">
        <v>1</v>
      </c>
      <c r="H207" t="n">
        <v>0</v>
      </c>
      <c r="I207" t="n">
        <v>75.76000000000001</v>
      </c>
      <c r="J207" t="inlineStr">
        <is>
          <t>Zelden</t>
        </is>
      </c>
      <c r="K207" t="inlineStr">
        <is>
          <t>Bancontact</t>
        </is>
      </c>
      <c r="L207" t="n">
        <v>7.14</v>
      </c>
      <c r="M207" t="inlineStr">
        <is>
          <t>Geen dieet</t>
        </is>
      </c>
      <c r="N207">
        <f>LEFT(A207, FIND(",", A207)-1)</f>
        <v/>
      </c>
      <c r="O207">
        <f>MID(A207, FIND(",", A207)+2, LEN(A207))</f>
        <v/>
      </c>
      <c r="P207">
        <f>SWITCH(J207, "Zelden", 1, "Af en toe", 4, "Regelmatig", 8, "Vaak", 12)</f>
        <v/>
      </c>
      <c r="Q207">
        <f>IF(L207&gt;=7, "Tevreden", "Ontevreden")</f>
        <v/>
      </c>
    </row>
    <row r="208">
      <c r="A208" t="inlineStr">
        <is>
          <t>Lefevre, Naïm</t>
        </is>
      </c>
      <c r="B208" t="n">
        <v>6721154598</v>
      </c>
      <c r="C208" t="inlineStr">
        <is>
          <t>25/02/1969</t>
        </is>
      </c>
      <c r="D208" t="inlineStr">
        <is>
          <t>Meerkoetlaan</t>
        </is>
      </c>
      <c r="E208" t="n">
        <v>55</v>
      </c>
      <c r="F208" t="inlineStr">
        <is>
          <t>Hasselt</t>
        </is>
      </c>
      <c r="G208" t="n">
        <v>1</v>
      </c>
      <c r="H208" t="n">
        <v>3</v>
      </c>
      <c r="I208" t="n">
        <v>99.79000000000001</v>
      </c>
      <c r="J208" t="inlineStr">
        <is>
          <t>Zeer vaak</t>
        </is>
      </c>
      <c r="K208" t="inlineStr">
        <is>
          <t>Bancontact</t>
        </is>
      </c>
      <c r="L208" t="n">
        <v>7.2</v>
      </c>
      <c r="M208" t="inlineStr">
        <is>
          <t>Geen dieet</t>
        </is>
      </c>
      <c r="N208">
        <f>LEFT(A208, FIND(",", A208)-1)</f>
        <v/>
      </c>
      <c r="O208">
        <f>MID(A208, FIND(",", A208)+2, LEN(A208))</f>
        <v/>
      </c>
      <c r="P208">
        <f>SWITCH(J208, "Zelden", 1, "Af en toe", 4, "Regelmatig", 8, "Vaak", 12)</f>
        <v/>
      </c>
      <c r="Q208">
        <f>IF(L208&gt;=7, "Tevreden", "Ontevreden")</f>
        <v/>
      </c>
    </row>
    <row r="209">
      <c r="A209" t="inlineStr">
        <is>
          <t>Lemmens, Bilal</t>
        </is>
      </c>
      <c r="B209" t="n">
        <v>5509559096</v>
      </c>
      <c r="C209" t="inlineStr">
        <is>
          <t>30/10/1964</t>
        </is>
      </c>
      <c r="D209" t="inlineStr">
        <is>
          <t>Goedlevenstraat</t>
        </is>
      </c>
      <c r="E209" t="n">
        <v>19</v>
      </c>
      <c r="F209" t="inlineStr">
        <is>
          <t>Maaseik</t>
        </is>
      </c>
      <c r="G209" t="n">
        <v>1</v>
      </c>
      <c r="H209" t="n">
        <v>0</v>
      </c>
      <c r="I209" t="n">
        <v>44.65</v>
      </c>
      <c r="J209" t="inlineStr">
        <is>
          <t>Af en toe</t>
        </is>
      </c>
      <c r="K209" t="inlineStr">
        <is>
          <t>Bancontact</t>
        </is>
      </c>
      <c r="L209" t="n">
        <v>7.7</v>
      </c>
      <c r="M209" t="inlineStr">
        <is>
          <t>Geen dieet</t>
        </is>
      </c>
      <c r="N209">
        <f>LEFT(A209, FIND(",", A209)-1)</f>
        <v/>
      </c>
      <c r="O209">
        <f>MID(A209, FIND(",", A209)+2, LEN(A209))</f>
        <v/>
      </c>
      <c r="P209">
        <f>SWITCH(J209, "Zelden", 1, "Af en toe", 4, "Regelmatig", 8, "Vaak", 12)</f>
        <v/>
      </c>
      <c r="Q209">
        <f>IF(L209&gt;=7, "Tevreden", "Ontevreden")</f>
        <v/>
      </c>
    </row>
    <row r="210">
      <c r="A210" t="inlineStr">
        <is>
          <t>Van de velde, Marc</t>
        </is>
      </c>
      <c r="B210" t="n">
        <v>3352653421</v>
      </c>
      <c r="C210" t="inlineStr">
        <is>
          <t>20/01/1948</t>
        </is>
      </c>
      <c r="D210" t="inlineStr">
        <is>
          <t>Gaston Crommenlaan</t>
        </is>
      </c>
      <c r="E210" t="n">
        <v>77</v>
      </c>
      <c r="F210" t="inlineStr">
        <is>
          <t>Hasselt</t>
        </is>
      </c>
      <c r="G210" t="n">
        <v>6</v>
      </c>
      <c r="H210" t="n">
        <v>4</v>
      </c>
      <c r="I210" t="n">
        <v>249.01</v>
      </c>
      <c r="J210" t="inlineStr">
        <is>
          <t>Vaak</t>
        </is>
      </c>
      <c r="K210" t="inlineStr">
        <is>
          <t>Payconiq</t>
        </is>
      </c>
      <c r="L210" t="n">
        <v>6.78</v>
      </c>
      <c r="M210" t="inlineStr">
        <is>
          <t>Geen dieet</t>
        </is>
      </c>
      <c r="N210">
        <f>LEFT(A210, FIND(",", A210)-1)</f>
        <v/>
      </c>
      <c r="O210">
        <f>MID(A210, FIND(",", A210)+2, LEN(A210))</f>
        <v/>
      </c>
      <c r="P210">
        <f>SWITCH(J210, "Zelden", 1, "Af en toe", 4, "Regelmatig", 8, "Vaak", 12)</f>
        <v/>
      </c>
      <c r="Q210">
        <f>IF(L210&gt;=7, "Tevreden", "Ontevreden")</f>
        <v/>
      </c>
    </row>
    <row r="211">
      <c r="A211" t="inlineStr">
        <is>
          <t>Bosmans, Joseph</t>
        </is>
      </c>
      <c r="B211" t="n">
        <v>6899682114</v>
      </c>
      <c r="C211" t="inlineStr">
        <is>
          <t>06/09/1998</t>
        </is>
      </c>
      <c r="D211" t="inlineStr">
        <is>
          <t>Jan Baptist Davidstraat</t>
        </is>
      </c>
      <c r="E211" t="n">
        <v>19</v>
      </c>
      <c r="F211" t="inlineStr">
        <is>
          <t>Overpelt</t>
        </is>
      </c>
      <c r="G211" t="n">
        <v>1</v>
      </c>
      <c r="H211" t="n">
        <v>2</v>
      </c>
      <c r="I211" t="n">
        <v>71.70999999999999</v>
      </c>
      <c r="J211" t="inlineStr">
        <is>
          <t>Zelden</t>
        </is>
      </c>
      <c r="K211" t="inlineStr">
        <is>
          <t>Cash</t>
        </is>
      </c>
      <c r="L211" t="n">
        <v>6.48</v>
      </c>
      <c r="M211" t="inlineStr">
        <is>
          <t>Geen dieet</t>
        </is>
      </c>
      <c r="N211">
        <f>LEFT(A211, FIND(",", A211)-1)</f>
        <v/>
      </c>
      <c r="O211">
        <f>MID(A211, FIND(",", A211)+2, LEN(A211))</f>
        <v/>
      </c>
      <c r="P211">
        <f>SWITCH(J211, "Zelden", 1, "Af en toe", 4, "Regelmatig", 8, "Vaak", 12)</f>
        <v/>
      </c>
      <c r="Q211">
        <f>IF(L211&gt;=7, "Tevreden", "Ontevreden")</f>
        <v/>
      </c>
    </row>
    <row r="212">
      <c r="A212" t="inlineStr">
        <is>
          <t>Bosmans, Anne</t>
        </is>
      </c>
      <c r="B212" t="n">
        <v>4783141619</v>
      </c>
      <c r="C212" t="inlineStr">
        <is>
          <t>03/03/1986</t>
        </is>
      </c>
      <c r="D212" t="inlineStr">
        <is>
          <t>Coupure Links</t>
        </is>
      </c>
      <c r="E212" t="n">
        <v>9</v>
      </c>
      <c r="F212" t="inlineStr">
        <is>
          <t>Maaseik</t>
        </is>
      </c>
      <c r="G212" t="n">
        <v>1</v>
      </c>
      <c r="H212" t="n">
        <v>0</v>
      </c>
      <c r="I212" t="n">
        <v>45.22</v>
      </c>
      <c r="J212" t="inlineStr">
        <is>
          <t>Af en toe</t>
        </is>
      </c>
      <c r="K212" t="inlineStr">
        <is>
          <t>Creditcard</t>
        </is>
      </c>
      <c r="L212" t="n">
        <v>6.85</v>
      </c>
      <c r="M212" t="inlineStr">
        <is>
          <t>Geen dieet</t>
        </is>
      </c>
      <c r="N212">
        <f>LEFT(A212, FIND(",", A212)-1)</f>
        <v/>
      </c>
      <c r="O212">
        <f>MID(A212, FIND(",", A212)+2, LEN(A212))</f>
        <v/>
      </c>
      <c r="P212">
        <f>SWITCH(J212, "Zelden", 1, "Af en toe", 4, "Regelmatig", 8, "Vaak", 12)</f>
        <v/>
      </c>
      <c r="Q212">
        <f>IF(L212&gt;=7, "Tevreden", "Ontevreden")</f>
        <v/>
      </c>
    </row>
    <row r="213">
      <c r="A213" t="inlineStr">
        <is>
          <t>Peters, Mustafa</t>
        </is>
      </c>
      <c r="B213" t="n">
        <v>8673931818</v>
      </c>
      <c r="C213" t="inlineStr">
        <is>
          <t>01/11/1964</t>
        </is>
      </c>
      <c r="D213" t="inlineStr">
        <is>
          <t>Loofblommestraat</t>
        </is>
      </c>
      <c r="E213" t="n">
        <v>42</v>
      </c>
      <c r="F213" t="inlineStr">
        <is>
          <t>Maasmechelen</t>
        </is>
      </c>
      <c r="G213" t="n">
        <v>2</v>
      </c>
      <c r="H213" t="n">
        <v>3</v>
      </c>
      <c r="I213" t="n">
        <v>142.31</v>
      </c>
      <c r="J213" t="inlineStr">
        <is>
          <t>Dagelijks</t>
        </is>
      </c>
      <c r="K213" t="inlineStr">
        <is>
          <t>Cash</t>
        </is>
      </c>
      <c r="L213" t="n">
        <v>7.07</v>
      </c>
      <c r="M213" t="inlineStr">
        <is>
          <t>Geen dieet</t>
        </is>
      </c>
      <c r="N213">
        <f>LEFT(A213, FIND(",", A213)-1)</f>
        <v/>
      </c>
      <c r="O213">
        <f>MID(A213, FIND(",", A213)+2, LEN(A213))</f>
        <v/>
      </c>
      <c r="P213">
        <f>SWITCH(J213, "Zelden", 1, "Af en toe", 4, "Regelmatig", 8, "Vaak", 12)</f>
        <v/>
      </c>
      <c r="Q213">
        <f>IF(L213&gt;=7, "Tevreden", "Ontevreden")</f>
        <v/>
      </c>
    </row>
    <row r="214">
      <c r="A214" t="inlineStr">
        <is>
          <t>Toussaint, Saïda</t>
        </is>
      </c>
      <c r="B214" t="n">
        <v>7829536550</v>
      </c>
      <c r="C214" t="inlineStr">
        <is>
          <t>02/11/1958</t>
        </is>
      </c>
      <c r="D214" t="inlineStr">
        <is>
          <t>Overzet</t>
        </is>
      </c>
      <c r="E214" t="n">
        <v>19</v>
      </c>
      <c r="F214" t="inlineStr">
        <is>
          <t>Maasmechelen</t>
        </is>
      </c>
      <c r="G214" t="n">
        <v>4</v>
      </c>
      <c r="H214" t="n">
        <v>1</v>
      </c>
      <c r="I214" t="n">
        <v>220.04</v>
      </c>
      <c r="J214" t="inlineStr">
        <is>
          <t>Af en toe</t>
        </is>
      </c>
      <c r="K214" t="inlineStr">
        <is>
          <t>Cash</t>
        </is>
      </c>
      <c r="L214" t="n">
        <v>6.91</v>
      </c>
      <c r="M214" t="inlineStr">
        <is>
          <t>Geen dieet</t>
        </is>
      </c>
      <c r="N214">
        <f>LEFT(A214, FIND(",", A214)-1)</f>
        <v/>
      </c>
      <c r="O214">
        <f>MID(A214, FIND(",", A214)+2, LEN(A214))</f>
        <v/>
      </c>
      <c r="P214">
        <f>SWITCH(J214, "Zelden", 1, "Af en toe", 4, "Regelmatig", 8, "Vaak", 12)</f>
        <v/>
      </c>
      <c r="Q214">
        <f>IF(L214&gt;=7, "Tevreden", "Ontevreden")</f>
        <v/>
      </c>
    </row>
    <row r="215">
      <c r="A215" t="inlineStr">
        <is>
          <t>Janssen, Sienna</t>
        </is>
      </c>
      <c r="B215" t="n">
        <v>2268157467</v>
      </c>
      <c r="C215" t="inlineStr">
        <is>
          <t>18/03/2004</t>
        </is>
      </c>
      <c r="D215" t="inlineStr">
        <is>
          <t>Sassekaai</t>
        </is>
      </c>
      <c r="E215" t="n">
        <v>34</v>
      </c>
      <c r="F215" t="inlineStr">
        <is>
          <t>Heusden-Zolder</t>
        </is>
      </c>
      <c r="G215" t="n">
        <v>1</v>
      </c>
      <c r="H215" t="n">
        <v>2</v>
      </c>
      <c r="I215" t="n">
        <v>53.49</v>
      </c>
      <c r="J215" t="inlineStr">
        <is>
          <t>Af en toe</t>
        </is>
      </c>
      <c r="K215" t="inlineStr">
        <is>
          <t>Bancontact</t>
        </is>
      </c>
      <c r="L215" t="n">
        <v>8.98</v>
      </c>
      <c r="M215" t="inlineStr">
        <is>
          <t>Vegetarisch</t>
        </is>
      </c>
      <c r="N215">
        <f>LEFT(A215, FIND(",", A215)-1)</f>
        <v/>
      </c>
      <c r="O215">
        <f>MID(A215, FIND(",", A215)+2, LEN(A215))</f>
        <v/>
      </c>
      <c r="P215">
        <f>SWITCH(J215, "Zelden", 1, "Af en toe", 4, "Regelmatig", 8, "Vaak", 12)</f>
        <v/>
      </c>
      <c r="Q215">
        <f>IF(L215&gt;=7, "Tevreden", "Ontevreden")</f>
        <v/>
      </c>
    </row>
    <row r="216">
      <c r="A216" t="inlineStr">
        <is>
          <t>Etienne, Jule</t>
        </is>
      </c>
      <c r="B216" t="n">
        <v>4377762717</v>
      </c>
      <c r="C216" t="inlineStr">
        <is>
          <t>11/01/2001</t>
        </is>
      </c>
      <c r="D216" t="inlineStr">
        <is>
          <t>Rodekoningstraat</t>
        </is>
      </c>
      <c r="E216" t="n">
        <v>21</v>
      </c>
      <c r="F216" t="inlineStr">
        <is>
          <t>Hasselt</t>
        </is>
      </c>
      <c r="G216" t="n">
        <v>2</v>
      </c>
      <c r="H216" t="n">
        <v>0</v>
      </c>
      <c r="I216" t="n">
        <v>53.85</v>
      </c>
      <c r="J216" t="inlineStr">
        <is>
          <t>Zelden</t>
        </is>
      </c>
      <c r="K216" t="inlineStr">
        <is>
          <t>Payconiq</t>
        </is>
      </c>
      <c r="L216" t="n">
        <v>6.59</v>
      </c>
      <c r="M216" t="inlineStr">
        <is>
          <t>Geen dieet</t>
        </is>
      </c>
      <c r="N216">
        <f>LEFT(A216, FIND(",", A216)-1)</f>
        <v/>
      </c>
      <c r="O216">
        <f>MID(A216, FIND(",", A216)+2, LEN(A216))</f>
        <v/>
      </c>
      <c r="P216">
        <f>SWITCH(J216, "Zelden", 1, "Af en toe", 4, "Regelmatig", 8, "Vaak", 12)</f>
        <v/>
      </c>
      <c r="Q216">
        <f>IF(L216&gt;=7, "Tevreden", "Ontevreden")</f>
        <v/>
      </c>
    </row>
    <row r="217">
      <c r="A217" t="inlineStr">
        <is>
          <t>Declercq, Elene</t>
        </is>
      </c>
      <c r="B217" t="n">
        <v>1238300696</v>
      </c>
      <c r="C217" t="inlineStr">
        <is>
          <t>21/03/2000</t>
        </is>
      </c>
      <c r="D217" t="inlineStr">
        <is>
          <t>Gentbruggekouter</t>
        </is>
      </c>
      <c r="E217" t="n">
        <v>4</v>
      </c>
      <c r="F217" t="inlineStr">
        <is>
          <t>Zonhoven</t>
        </is>
      </c>
      <c r="G217" t="n">
        <v>1</v>
      </c>
      <c r="H217" t="n">
        <v>2</v>
      </c>
      <c r="I217" t="n">
        <v>77.3</v>
      </c>
      <c r="J217" t="inlineStr">
        <is>
          <t>Zeer vaak</t>
        </is>
      </c>
      <c r="K217" t="inlineStr">
        <is>
          <t>Bancontact</t>
        </is>
      </c>
      <c r="L217" t="n">
        <v>7.24</v>
      </c>
      <c r="M217" t="inlineStr">
        <is>
          <t>Geen dieet</t>
        </is>
      </c>
      <c r="N217">
        <f>LEFT(A217, FIND(",", A217)-1)</f>
        <v/>
      </c>
      <c r="O217">
        <f>MID(A217, FIND(",", A217)+2, LEN(A217))</f>
        <v/>
      </c>
      <c r="P217">
        <f>SWITCH(J217, "Zelden", 1, "Af en toe", 4, "Regelmatig", 8, "Vaak", 12)</f>
        <v/>
      </c>
      <c r="Q217">
        <f>IF(L217&gt;=7, "Tevreden", "Ontevreden")</f>
        <v/>
      </c>
    </row>
    <row r="218">
      <c r="A218" t="inlineStr">
        <is>
          <t>Michiels, Sandra</t>
        </is>
      </c>
      <c r="B218" t="n">
        <v>9593771640</v>
      </c>
      <c r="C218" t="inlineStr">
        <is>
          <t>25/05/2002</t>
        </is>
      </c>
      <c r="D218" t="inlineStr">
        <is>
          <t>Edmond Helderweirdtstraat</t>
        </is>
      </c>
      <c r="E218" t="n">
        <v>32</v>
      </c>
      <c r="F218" t="inlineStr">
        <is>
          <t>Riemst</t>
        </is>
      </c>
      <c r="G218" t="n">
        <v>2</v>
      </c>
      <c r="H218" t="n">
        <v>0</v>
      </c>
      <c r="I218" t="n">
        <v>52.54</v>
      </c>
      <c r="J218" t="inlineStr">
        <is>
          <t>Af en toe</t>
        </is>
      </c>
      <c r="K218" t="inlineStr">
        <is>
          <t>Cash</t>
        </is>
      </c>
      <c r="L218" t="n">
        <v>7.4</v>
      </c>
      <c r="M218" t="inlineStr">
        <is>
          <t>Geen dieet</t>
        </is>
      </c>
      <c r="N218">
        <f>LEFT(A218, FIND(",", A218)-1)</f>
        <v/>
      </c>
      <c r="O218">
        <f>MID(A218, FIND(",", A218)+2, LEN(A218))</f>
        <v/>
      </c>
      <c r="P218">
        <f>SWITCH(J218, "Zelden", 1, "Af en toe", 4, "Regelmatig", 8, "Vaak", 12)</f>
        <v/>
      </c>
      <c r="Q218">
        <f>IF(L218&gt;=7, "Tevreden", "Ontevreden")</f>
        <v/>
      </c>
    </row>
    <row r="219">
      <c r="A219" t="inlineStr">
        <is>
          <t>Janssens, Philippe</t>
        </is>
      </c>
      <c r="B219" t="n">
        <v>6764262651</v>
      </c>
      <c r="C219" t="inlineStr">
        <is>
          <t>04/10/1954</t>
        </is>
      </c>
      <c r="D219" t="inlineStr">
        <is>
          <t>Koning Boudewijnstraat</t>
        </is>
      </c>
      <c r="E219" t="n">
        <v>67</v>
      </c>
      <c r="F219" t="inlineStr">
        <is>
          <t>Overpelt</t>
        </is>
      </c>
      <c r="G219" t="n">
        <v>1</v>
      </c>
      <c r="H219" t="n">
        <v>0</v>
      </c>
      <c r="I219" t="n">
        <v>85.90000000000001</v>
      </c>
      <c r="J219" t="inlineStr">
        <is>
          <t>Vaak</t>
        </is>
      </c>
      <c r="K219" t="inlineStr">
        <is>
          <t>Bancontact</t>
        </is>
      </c>
      <c r="L219" t="n">
        <v>7.29</v>
      </c>
      <c r="M219" t="inlineStr">
        <is>
          <t>Geen dieet</t>
        </is>
      </c>
      <c r="N219">
        <f>LEFT(A219, FIND(",", A219)-1)</f>
        <v/>
      </c>
      <c r="O219">
        <f>MID(A219, FIND(",", A219)+2, LEN(A219))</f>
        <v/>
      </c>
      <c r="P219">
        <f>SWITCH(J219, "Zelden", 1, "Af en toe", 4, "Regelmatig", 8, "Vaak", 12)</f>
        <v/>
      </c>
      <c r="Q219">
        <f>IF(L219&gt;=7, "Tevreden", "Ontevreden")</f>
        <v/>
      </c>
    </row>
    <row r="220">
      <c r="A220" t="inlineStr">
        <is>
          <t>Denis, Henri</t>
        </is>
      </c>
      <c r="B220" t="n">
        <v>8623071043</v>
      </c>
      <c r="C220" t="inlineStr">
        <is>
          <t>03/09/1960</t>
        </is>
      </c>
      <c r="D220" t="inlineStr">
        <is>
          <t>Franklin Rooseveltlaan</t>
        </is>
      </c>
      <c r="E220" t="n">
        <v>2</v>
      </c>
      <c r="F220" t="inlineStr">
        <is>
          <t>Kinrooi</t>
        </is>
      </c>
      <c r="G220" t="n">
        <v>2</v>
      </c>
      <c r="H220" t="n">
        <v>0</v>
      </c>
      <c r="I220" t="n">
        <v>53.44</v>
      </c>
      <c r="J220" t="inlineStr">
        <is>
          <t>Vaak</t>
        </is>
      </c>
      <c r="K220" t="inlineStr">
        <is>
          <t>Payconiq</t>
        </is>
      </c>
      <c r="L220" t="n">
        <v>5.97</v>
      </c>
      <c r="M220" t="inlineStr">
        <is>
          <t>Veganistisch</t>
        </is>
      </c>
      <c r="N220">
        <f>LEFT(A220, FIND(",", A220)-1)</f>
        <v/>
      </c>
      <c r="O220">
        <f>MID(A220, FIND(",", A220)+2, LEN(A220))</f>
        <v/>
      </c>
      <c r="P220">
        <f>SWITCH(J220, "Zelden", 1, "Af en toe", 4, "Regelmatig", 8, "Vaak", 12)</f>
        <v/>
      </c>
      <c r="Q220">
        <f>IF(L220&gt;=7, "Tevreden", "Ontevreden")</f>
        <v/>
      </c>
    </row>
    <row r="221">
      <c r="A221" t="inlineStr">
        <is>
          <t>Janssens, Seppe</t>
        </is>
      </c>
      <c r="B221" t="n">
        <v>5605873646</v>
      </c>
      <c r="C221" t="inlineStr">
        <is>
          <t>10/01/1955</t>
        </is>
      </c>
      <c r="D221" t="inlineStr">
        <is>
          <t>Tweebruggenstraat</t>
        </is>
      </c>
      <c r="E221" t="n">
        <v>64</v>
      </c>
      <c r="F221" t="inlineStr">
        <is>
          <t>Sint-Truiden</t>
        </is>
      </c>
      <c r="G221" t="n">
        <v>6</v>
      </c>
      <c r="H221" t="n">
        <v>4</v>
      </c>
      <c r="I221" t="n">
        <v>279.64</v>
      </c>
      <c r="J221" t="inlineStr">
        <is>
          <t>Vaak</t>
        </is>
      </c>
      <c r="K221" t="inlineStr">
        <is>
          <t>Cash</t>
        </is>
      </c>
      <c r="L221" t="n">
        <v>6.93</v>
      </c>
      <c r="M221" t="inlineStr">
        <is>
          <t>Geen dieet</t>
        </is>
      </c>
      <c r="N221">
        <f>LEFT(A221, FIND(",", A221)-1)</f>
        <v/>
      </c>
      <c r="O221">
        <f>MID(A221, FIND(",", A221)+2, LEN(A221))</f>
        <v/>
      </c>
      <c r="P221">
        <f>SWITCH(J221, "Zelden", 1, "Af en toe", 4, "Regelmatig", 8, "Vaak", 12)</f>
        <v/>
      </c>
      <c r="Q221">
        <f>IF(L221&gt;=7, "Tevreden", "Ontevreden")</f>
        <v/>
      </c>
    </row>
    <row r="222">
      <c r="A222" t="inlineStr">
        <is>
          <t>Janssens, Eddy</t>
        </is>
      </c>
      <c r="B222" t="n">
        <v>449847948</v>
      </c>
      <c r="C222" t="inlineStr">
        <is>
          <t>12/06/1958</t>
        </is>
      </c>
      <c r="D222" t="inlineStr">
        <is>
          <t>Eekhoutdriesstraat</t>
        </is>
      </c>
      <c r="E222" t="n">
        <v>18</v>
      </c>
      <c r="F222" t="inlineStr">
        <is>
          <t>Sint-Truiden</t>
        </is>
      </c>
      <c r="G222" t="n">
        <v>2</v>
      </c>
      <c r="H222" t="n">
        <v>0</v>
      </c>
      <c r="I222" t="n">
        <v>119.3</v>
      </c>
      <c r="J222" t="inlineStr">
        <is>
          <t>Vaak</t>
        </is>
      </c>
      <c r="K222" t="inlineStr">
        <is>
          <t>Cash</t>
        </is>
      </c>
      <c r="L222" t="n">
        <v>7.38</v>
      </c>
      <c r="M222" t="inlineStr">
        <is>
          <t>Geen dieet</t>
        </is>
      </c>
      <c r="N222">
        <f>LEFT(A222, FIND(",", A222)-1)</f>
        <v/>
      </c>
      <c r="O222">
        <f>MID(A222, FIND(",", A222)+2, LEN(A222))</f>
        <v/>
      </c>
      <c r="P222">
        <f>SWITCH(J222, "Zelden", 1, "Af en toe", 4, "Regelmatig", 8, "Vaak", 12)</f>
        <v/>
      </c>
      <c r="Q222">
        <f>IF(L222&gt;=7, "Tevreden", "Ontevreden")</f>
        <v/>
      </c>
    </row>
    <row r="223">
      <c r="A223" t="inlineStr">
        <is>
          <t>Beckers, Freddy</t>
        </is>
      </c>
      <c r="B223" t="n">
        <v>6956704435</v>
      </c>
      <c r="C223" t="inlineStr">
        <is>
          <t>26/04/2001</t>
        </is>
      </c>
      <c r="D223" t="inlineStr">
        <is>
          <t>Bredestraat</t>
        </is>
      </c>
      <c r="E223" t="n">
        <v>20</v>
      </c>
      <c r="F223" t="inlineStr">
        <is>
          <t>Lommel</t>
        </is>
      </c>
      <c r="G223" t="n">
        <v>2</v>
      </c>
      <c r="H223" t="n">
        <v>0</v>
      </c>
      <c r="I223" t="n">
        <v>92.79000000000001</v>
      </c>
      <c r="J223" t="inlineStr">
        <is>
          <t>Vaak</t>
        </is>
      </c>
      <c r="K223" t="inlineStr">
        <is>
          <t>Payconiq</t>
        </is>
      </c>
      <c r="L223" t="n">
        <v>8.039999999999999</v>
      </c>
      <c r="M223" t="inlineStr">
        <is>
          <t>Vegetarisch</t>
        </is>
      </c>
      <c r="N223">
        <f>LEFT(A223, FIND(",", A223)-1)</f>
        <v/>
      </c>
      <c r="O223">
        <f>MID(A223, FIND(",", A223)+2, LEN(A223))</f>
        <v/>
      </c>
      <c r="P223">
        <f>SWITCH(J223, "Zelden", 1, "Af en toe", 4, "Regelmatig", 8, "Vaak", 12)</f>
        <v/>
      </c>
      <c r="Q223">
        <f>IF(L223&gt;=7, "Tevreden", "Ontevreden")</f>
        <v/>
      </c>
    </row>
    <row r="224">
      <c r="A224" t="inlineStr">
        <is>
          <t>De bie, Pauline</t>
        </is>
      </c>
      <c r="B224" t="n">
        <v>6518125173</v>
      </c>
      <c r="C224" t="inlineStr">
        <is>
          <t>20/02/2004</t>
        </is>
      </c>
      <c r="D224" t="inlineStr">
        <is>
          <t>Schouwburgstraat</t>
        </is>
      </c>
      <c r="E224" t="n">
        <v>8</v>
      </c>
      <c r="F224" t="inlineStr">
        <is>
          <t>Herten</t>
        </is>
      </c>
      <c r="G224" t="n">
        <v>1</v>
      </c>
      <c r="H224" t="n">
        <v>4</v>
      </c>
      <c r="I224" t="n">
        <v>265.74</v>
      </c>
      <c r="J224" t="inlineStr">
        <is>
          <t>Vaak</t>
        </is>
      </c>
      <c r="K224" t="inlineStr">
        <is>
          <t>Payconiq</t>
        </is>
      </c>
      <c r="L224" t="n">
        <v>6.96</v>
      </c>
      <c r="M224" t="inlineStr">
        <is>
          <t>Geen dieet</t>
        </is>
      </c>
      <c r="N224">
        <f>LEFT(A224, FIND(",", A224)-1)</f>
        <v/>
      </c>
      <c r="O224">
        <f>MID(A224, FIND(",", A224)+2, LEN(A224))</f>
        <v/>
      </c>
      <c r="P224">
        <f>SWITCH(J224, "Zelden", 1, "Af en toe", 4, "Regelmatig", 8, "Vaak", 12)</f>
        <v/>
      </c>
      <c r="Q224">
        <f>IF(L224&gt;=7, "Tevreden", "Ontevreden")</f>
        <v/>
      </c>
    </row>
    <row r="225">
      <c r="A225" t="inlineStr">
        <is>
          <t>Vandewalle, Martine</t>
        </is>
      </c>
      <c r="B225" t="n">
        <v>7495544525</v>
      </c>
      <c r="C225" t="inlineStr">
        <is>
          <t>22/02/1953</t>
        </is>
      </c>
      <c r="D225" t="inlineStr">
        <is>
          <t>Luxemburgstraat</t>
        </is>
      </c>
      <c r="E225" t="n">
        <v>152</v>
      </c>
      <c r="F225" t="inlineStr">
        <is>
          <t>Lommel</t>
        </is>
      </c>
      <c r="G225" t="n">
        <v>2</v>
      </c>
      <c r="H225" t="n">
        <v>4</v>
      </c>
      <c r="I225" t="n">
        <v>123.86</v>
      </c>
      <c r="J225" t="inlineStr">
        <is>
          <t>Af en toe</t>
        </is>
      </c>
      <c r="K225" t="inlineStr">
        <is>
          <t>Cash</t>
        </is>
      </c>
      <c r="L225" t="n">
        <v>7.21</v>
      </c>
      <c r="M225" t="inlineStr">
        <is>
          <t>Geen dieet</t>
        </is>
      </c>
      <c r="N225">
        <f>LEFT(A225, FIND(",", A225)-1)</f>
        <v/>
      </c>
      <c r="O225">
        <f>MID(A225, FIND(",", A225)+2, LEN(A225))</f>
        <v/>
      </c>
      <c r="P225">
        <f>SWITCH(J225, "Zelden", 1, "Af en toe", 4, "Regelmatig", 8, "Vaak", 12)</f>
        <v/>
      </c>
      <c r="Q225">
        <f>IF(L225&gt;=7, "Tevreden", "Ontevreden")</f>
        <v/>
      </c>
    </row>
    <row r="226">
      <c r="A226" t="inlineStr">
        <is>
          <t>Andries, Marilou</t>
        </is>
      </c>
      <c r="B226" t="n">
        <v>254879515</v>
      </c>
      <c r="C226" t="inlineStr">
        <is>
          <t>30/01/1953</t>
        </is>
      </c>
      <c r="D226" t="inlineStr">
        <is>
          <t>Gentsesteenweg</t>
        </is>
      </c>
      <c r="E226" t="n">
        <v>55</v>
      </c>
      <c r="F226" t="inlineStr">
        <is>
          <t>Genk</t>
        </is>
      </c>
      <c r="G226" t="n">
        <v>1</v>
      </c>
      <c r="H226" t="n">
        <v>2</v>
      </c>
      <c r="I226" t="n">
        <v>106.51</v>
      </c>
      <c r="J226" t="inlineStr">
        <is>
          <t>Vaak</t>
        </is>
      </c>
      <c r="K226" t="inlineStr">
        <is>
          <t>Payconiq</t>
        </is>
      </c>
      <c r="L226" t="n">
        <v>6.65</v>
      </c>
      <c r="M226" t="inlineStr">
        <is>
          <t>Geen dieet</t>
        </is>
      </c>
      <c r="N226">
        <f>LEFT(A226, FIND(",", A226)-1)</f>
        <v/>
      </c>
      <c r="O226">
        <f>MID(A226, FIND(",", A226)+2, LEN(A226))</f>
        <v/>
      </c>
      <c r="P226">
        <f>SWITCH(J226, "Zelden", 1, "Af en toe", 4, "Regelmatig", 8, "Vaak", 12)</f>
        <v/>
      </c>
      <c r="Q226">
        <f>IF(L226&gt;=7, "Tevreden", "Ontevreden")</f>
        <v/>
      </c>
    </row>
    <row r="227">
      <c r="A227" t="inlineStr">
        <is>
          <t>Gielen, Jonathan</t>
        </is>
      </c>
      <c r="B227" t="n">
        <v>6212375660</v>
      </c>
      <c r="C227" t="inlineStr">
        <is>
          <t>19/05/1983</t>
        </is>
      </c>
      <c r="D227" t="inlineStr">
        <is>
          <t>Zieklien</t>
        </is>
      </c>
      <c r="E227" t="n">
        <v>65</v>
      </c>
      <c r="F227" t="inlineStr">
        <is>
          <t>Tongeren</t>
        </is>
      </c>
      <c r="G227" t="n">
        <v>1</v>
      </c>
      <c r="H227" t="n">
        <v>0</v>
      </c>
      <c r="I227" t="n">
        <v>120.18</v>
      </c>
      <c r="J227" t="inlineStr">
        <is>
          <t>Vaak</t>
        </is>
      </c>
      <c r="K227" t="inlineStr">
        <is>
          <t>Cash</t>
        </is>
      </c>
      <c r="L227" t="n">
        <v>7.38</v>
      </c>
      <c r="M227" t="inlineStr">
        <is>
          <t>Geen dieet</t>
        </is>
      </c>
      <c r="N227">
        <f>LEFT(A227, FIND(",", A227)-1)</f>
        <v/>
      </c>
      <c r="O227">
        <f>MID(A227, FIND(",", A227)+2, LEN(A227))</f>
        <v/>
      </c>
      <c r="P227">
        <f>SWITCH(J227, "Zelden", 1, "Af en toe", 4, "Regelmatig", 8, "Vaak", 12)</f>
        <v/>
      </c>
      <c r="Q227">
        <f>IF(L227&gt;=7, "Tevreden", "Ontevreden")</f>
        <v/>
      </c>
    </row>
    <row r="228">
      <c r="A228" t="inlineStr">
        <is>
          <t>Lacroix, An</t>
        </is>
      </c>
      <c r="B228" t="n">
        <v>814091592</v>
      </c>
      <c r="C228" t="inlineStr">
        <is>
          <t>15/02/1951</t>
        </is>
      </c>
      <c r="D228" t="inlineStr">
        <is>
          <t>Brugsesteenweg</t>
        </is>
      </c>
      <c r="E228" t="n">
        <v>7</v>
      </c>
      <c r="F228" t="inlineStr">
        <is>
          <t>Hasselt</t>
        </is>
      </c>
      <c r="G228" t="n">
        <v>2</v>
      </c>
      <c r="H228" t="n">
        <v>0</v>
      </c>
      <c r="I228" t="n">
        <v>33.26</v>
      </c>
      <c r="J228" t="inlineStr">
        <is>
          <t>Af en toe</t>
        </is>
      </c>
      <c r="K228" t="inlineStr">
        <is>
          <t>Cash</t>
        </is>
      </c>
      <c r="L228" t="n">
        <v>7.11</v>
      </c>
      <c r="M228" t="inlineStr">
        <is>
          <t>Geen dieet</t>
        </is>
      </c>
      <c r="N228">
        <f>LEFT(A228, FIND(",", A228)-1)</f>
        <v/>
      </c>
      <c r="O228">
        <f>MID(A228, FIND(",", A228)+2, LEN(A228))</f>
        <v/>
      </c>
      <c r="P228">
        <f>SWITCH(J228, "Zelden", 1, "Af en toe", 4, "Regelmatig", 8, "Vaak", 12)</f>
        <v/>
      </c>
      <c r="Q228">
        <f>IF(L228&gt;=7, "Tevreden", "Ontevreden")</f>
        <v/>
      </c>
    </row>
    <row r="229">
      <c r="A229" t="inlineStr">
        <is>
          <t>Verhulst, Wilma</t>
        </is>
      </c>
      <c r="B229" t="n">
        <v>7257488523</v>
      </c>
      <c r="C229" t="inlineStr">
        <is>
          <t>20/07/1956</t>
        </is>
      </c>
      <c r="D229" t="inlineStr">
        <is>
          <t>Langerbruggekaai</t>
        </is>
      </c>
      <c r="E229" t="n">
        <v>65</v>
      </c>
      <c r="F229" t="inlineStr">
        <is>
          <t>Tessenderlo</t>
        </is>
      </c>
      <c r="G229" t="n">
        <v>2</v>
      </c>
      <c r="H229" t="n">
        <v>1</v>
      </c>
      <c r="I229" t="n">
        <v>63.95</v>
      </c>
      <c r="J229" t="inlineStr">
        <is>
          <t>Af en toe</t>
        </is>
      </c>
      <c r="K229" t="inlineStr">
        <is>
          <t>Bancontact</t>
        </is>
      </c>
      <c r="L229" t="n">
        <v>7.33</v>
      </c>
      <c r="M229" t="inlineStr">
        <is>
          <t>Geen dieet</t>
        </is>
      </c>
      <c r="N229">
        <f>LEFT(A229, FIND(",", A229)-1)</f>
        <v/>
      </c>
      <c r="O229">
        <f>MID(A229, FIND(",", A229)+2, LEN(A229))</f>
        <v/>
      </c>
      <c r="P229">
        <f>SWITCH(J229, "Zelden", 1, "Af en toe", 4, "Regelmatig", 8, "Vaak", 12)</f>
        <v/>
      </c>
      <c r="Q229">
        <f>IF(L229&gt;=7, "Tevreden", "Ontevreden")</f>
        <v/>
      </c>
    </row>
    <row r="230">
      <c r="A230" t="inlineStr">
        <is>
          <t>Van den eynde, Alessandro</t>
        </is>
      </c>
      <c r="B230" t="n">
        <v>4543883236</v>
      </c>
      <c r="C230" t="inlineStr">
        <is>
          <t>12/09/1994</t>
        </is>
      </c>
      <c r="D230" t="inlineStr">
        <is>
          <t>Frans Gevaertstraat</t>
        </is>
      </c>
      <c r="E230" t="n">
        <v>88</v>
      </c>
      <c r="F230" t="inlineStr">
        <is>
          <t>Nieuwerkerken</t>
        </is>
      </c>
      <c r="G230" t="n">
        <v>6</v>
      </c>
      <c r="H230" t="n">
        <v>0</v>
      </c>
      <c r="I230" t="n">
        <v>105.07</v>
      </c>
      <c r="J230" t="inlineStr">
        <is>
          <t>Zelden</t>
        </is>
      </c>
      <c r="K230" t="inlineStr">
        <is>
          <t>Cash</t>
        </is>
      </c>
      <c r="L230" t="n">
        <v>6.8</v>
      </c>
      <c r="M230" t="inlineStr">
        <is>
          <t>Geen dieet</t>
        </is>
      </c>
      <c r="N230">
        <f>LEFT(A230, FIND(",", A230)-1)</f>
        <v/>
      </c>
      <c r="O230">
        <f>MID(A230, FIND(",", A230)+2, LEN(A230))</f>
        <v/>
      </c>
      <c r="P230">
        <f>SWITCH(J230, "Zelden", 1, "Af en toe", 4, "Regelmatig", 8, "Vaak", 12)</f>
        <v/>
      </c>
      <c r="Q230">
        <f>IF(L230&gt;=7, "Tevreden", "Ontevreden")</f>
        <v/>
      </c>
    </row>
    <row r="231">
      <c r="A231" t="inlineStr">
        <is>
          <t>Tanghe, Jennifer</t>
        </is>
      </c>
      <c r="B231" t="n">
        <v>499089561</v>
      </c>
      <c r="C231" t="inlineStr">
        <is>
          <t>20/06/1998</t>
        </is>
      </c>
      <c r="D231" t="inlineStr">
        <is>
          <t>Helmkruidstraat</t>
        </is>
      </c>
      <c r="E231" t="n">
        <v>20</v>
      </c>
      <c r="F231" t="inlineStr">
        <is>
          <t>Heusden-Zolder</t>
        </is>
      </c>
      <c r="G231" t="n">
        <v>4</v>
      </c>
      <c r="H231" t="n">
        <v>2</v>
      </c>
      <c r="I231" t="n">
        <v>140.64</v>
      </c>
      <c r="J231" t="inlineStr">
        <is>
          <t>Af en toe</t>
        </is>
      </c>
      <c r="K231" t="inlineStr">
        <is>
          <t>Bancontact</t>
        </is>
      </c>
      <c r="L231" t="n">
        <v>7.09</v>
      </c>
      <c r="M231" t="inlineStr">
        <is>
          <t>Geen dieet</t>
        </is>
      </c>
      <c r="N231">
        <f>LEFT(A231, FIND(",", A231)-1)</f>
        <v/>
      </c>
      <c r="O231">
        <f>MID(A231, FIND(",", A231)+2, LEN(A231))</f>
        <v/>
      </c>
      <c r="P231">
        <f>SWITCH(J231, "Zelden", 1, "Af en toe", 4, "Regelmatig", 8, "Vaak", 12)</f>
        <v/>
      </c>
      <c r="Q231">
        <f>IF(L231&gt;=7, "Tevreden", "Ontevreden")</f>
        <v/>
      </c>
    </row>
    <row r="232">
      <c r="A232" t="inlineStr">
        <is>
          <t>Borremans, Angélique</t>
        </is>
      </c>
      <c r="B232" t="n">
        <v>3999196954</v>
      </c>
      <c r="C232" t="inlineStr">
        <is>
          <t>15/09/1964</t>
        </is>
      </c>
      <c r="D232" t="inlineStr">
        <is>
          <t>Dikkelindestraat</t>
        </is>
      </c>
      <c r="E232" t="n">
        <v>57</v>
      </c>
      <c r="F232" t="inlineStr">
        <is>
          <t>Genk</t>
        </is>
      </c>
      <c r="G232" t="n">
        <v>1</v>
      </c>
      <c r="H232" t="n">
        <v>1</v>
      </c>
      <c r="I232" t="n">
        <v>55.14</v>
      </c>
      <c r="J232" t="inlineStr">
        <is>
          <t>Zeer vaak</t>
        </is>
      </c>
      <c r="K232" t="inlineStr">
        <is>
          <t>Payconiq</t>
        </is>
      </c>
      <c r="L232" t="n">
        <v>6.88</v>
      </c>
      <c r="M232" t="inlineStr">
        <is>
          <t>Geen dieet</t>
        </is>
      </c>
      <c r="N232">
        <f>LEFT(A232, FIND(",", A232)-1)</f>
        <v/>
      </c>
      <c r="O232">
        <f>MID(A232, FIND(",", A232)+2, LEN(A232))</f>
        <v/>
      </c>
      <c r="P232">
        <f>SWITCH(J232, "Zelden", 1, "Af en toe", 4, "Regelmatig", 8, "Vaak", 12)</f>
        <v/>
      </c>
      <c r="Q232">
        <f>IF(L232&gt;=7, "Tevreden", "Ontevreden")</f>
        <v/>
      </c>
    </row>
    <row r="233">
      <c r="A233" t="inlineStr">
        <is>
          <t>Mertens, Gertrude</t>
        </is>
      </c>
      <c r="B233" t="n">
        <v>5701403220</v>
      </c>
      <c r="C233" t="inlineStr">
        <is>
          <t>27/10/1957</t>
        </is>
      </c>
      <c r="D233" t="inlineStr">
        <is>
          <t>Frans Gevaertstraat</t>
        </is>
      </c>
      <c r="E233" t="n">
        <v>34</v>
      </c>
      <c r="F233" t="inlineStr">
        <is>
          <t>Bilzen</t>
        </is>
      </c>
      <c r="G233" t="n">
        <v>2</v>
      </c>
      <c r="H233" t="n">
        <v>0</v>
      </c>
      <c r="I233" t="n">
        <v>87.20999999999999</v>
      </c>
      <c r="J233" t="inlineStr">
        <is>
          <t>Dagelijks</t>
        </is>
      </c>
      <c r="K233" t="inlineStr">
        <is>
          <t>Bancontact</t>
        </is>
      </c>
      <c r="L233" t="n">
        <v>6.36</v>
      </c>
      <c r="M233" t="inlineStr">
        <is>
          <t>Veganistisch</t>
        </is>
      </c>
      <c r="N233">
        <f>LEFT(A233, FIND(",", A233)-1)</f>
        <v/>
      </c>
      <c r="O233">
        <f>MID(A233, FIND(",", A233)+2, LEN(A233))</f>
        <v/>
      </c>
      <c r="P233">
        <f>SWITCH(J233, "Zelden", 1, "Af en toe", 4, "Regelmatig", 8, "Vaak", 12)</f>
        <v/>
      </c>
      <c r="Q233">
        <f>IF(L233&gt;=7, "Tevreden", "Ontevreden")</f>
        <v/>
      </c>
    </row>
    <row r="234">
      <c r="A234" t="inlineStr">
        <is>
          <t>Lambert, Marc</t>
        </is>
      </c>
      <c r="B234" t="n">
        <v>2534724351</v>
      </c>
      <c r="C234" t="inlineStr">
        <is>
          <t>30/10/2001</t>
        </is>
      </c>
      <c r="D234" t="inlineStr">
        <is>
          <t>Alfons Van Den Broeckstraat</t>
        </is>
      </c>
      <c r="E234" t="n">
        <v>33</v>
      </c>
      <c r="F234" t="inlineStr">
        <is>
          <t>Bilzen</t>
        </is>
      </c>
      <c r="G234" t="n">
        <v>1</v>
      </c>
      <c r="H234" t="n">
        <v>2</v>
      </c>
      <c r="I234" t="n">
        <v>86.59999999999999</v>
      </c>
      <c r="J234" t="inlineStr">
        <is>
          <t>Dagelijks</t>
        </is>
      </c>
      <c r="K234" t="inlineStr">
        <is>
          <t>Payconiq</t>
        </is>
      </c>
      <c r="L234" t="n">
        <v>6.88</v>
      </c>
      <c r="M234" t="inlineStr">
        <is>
          <t>Geen dieet</t>
        </is>
      </c>
      <c r="N234">
        <f>LEFT(A234, FIND(",", A234)-1)</f>
        <v/>
      </c>
      <c r="O234">
        <f>MID(A234, FIND(",", A234)+2, LEN(A234))</f>
        <v/>
      </c>
      <c r="P234">
        <f>SWITCH(J234, "Zelden", 1, "Af en toe", 4, "Regelmatig", 8, "Vaak", 12)</f>
        <v/>
      </c>
      <c r="Q234">
        <f>IF(L234&gt;=7, "Tevreden", "Ontevreden")</f>
        <v/>
      </c>
    </row>
    <row r="235">
      <c r="A235" t="inlineStr">
        <is>
          <t>Nijs, Joris</t>
        </is>
      </c>
      <c r="B235" t="n">
        <v>2475557971</v>
      </c>
      <c r="C235" t="inlineStr">
        <is>
          <t>18/04/1952</t>
        </is>
      </c>
      <c r="D235" t="inlineStr">
        <is>
          <t>Franklin Rooseveltlaan</t>
        </is>
      </c>
      <c r="E235" t="n">
        <v>10</v>
      </c>
      <c r="F235" t="inlineStr">
        <is>
          <t>Borgloon</t>
        </is>
      </c>
      <c r="G235" t="n">
        <v>2</v>
      </c>
      <c r="H235" t="n">
        <v>0</v>
      </c>
      <c r="I235" t="n">
        <v>34.31</v>
      </c>
      <c r="J235" t="inlineStr">
        <is>
          <t>Zelden</t>
        </is>
      </c>
      <c r="K235" t="inlineStr">
        <is>
          <t>Payconiq</t>
        </is>
      </c>
      <c r="L235" t="n">
        <v>8.02</v>
      </c>
      <c r="M235" t="inlineStr">
        <is>
          <t>Vegetarisch</t>
        </is>
      </c>
      <c r="N235">
        <f>LEFT(A235, FIND(",", A235)-1)</f>
        <v/>
      </c>
      <c r="O235">
        <f>MID(A235, FIND(",", A235)+2, LEN(A235))</f>
        <v/>
      </c>
      <c r="P235">
        <f>SWITCH(J235, "Zelden", 1, "Af en toe", 4, "Regelmatig", 8, "Vaak", 12)</f>
        <v/>
      </c>
      <c r="Q235">
        <f>IF(L235&gt;=7, "Tevreden", "Ontevreden")</f>
        <v/>
      </c>
    </row>
    <row r="236">
      <c r="A236" t="inlineStr">
        <is>
          <t>Claes, Mark</t>
        </is>
      </c>
      <c r="B236" t="n">
        <v>4166153984</v>
      </c>
      <c r="C236" t="inlineStr">
        <is>
          <t>19/04/1970</t>
        </is>
      </c>
      <c r="D236" t="inlineStr">
        <is>
          <t>Gentbruggeplein</t>
        </is>
      </c>
      <c r="E236" t="n">
        <v>16</v>
      </c>
      <c r="F236" t="inlineStr">
        <is>
          <t>Hasselt</t>
        </is>
      </c>
      <c r="G236" t="n">
        <v>2</v>
      </c>
      <c r="H236" t="n">
        <v>1</v>
      </c>
      <c r="I236" t="n">
        <v>75.25</v>
      </c>
      <c r="J236" t="inlineStr">
        <is>
          <t>Vaak</t>
        </is>
      </c>
      <c r="K236" t="inlineStr">
        <is>
          <t>Bancontact</t>
        </is>
      </c>
      <c r="L236" t="n">
        <v>7.23</v>
      </c>
      <c r="M236" t="inlineStr">
        <is>
          <t>Geen dieet</t>
        </is>
      </c>
      <c r="N236">
        <f>LEFT(A236, FIND(",", A236)-1)</f>
        <v/>
      </c>
      <c r="O236">
        <f>MID(A236, FIND(",", A236)+2, LEN(A236))</f>
        <v/>
      </c>
      <c r="P236">
        <f>SWITCH(J236, "Zelden", 1, "Af en toe", 4, "Regelmatig", 8, "Vaak", 12)</f>
        <v/>
      </c>
      <c r="Q236">
        <f>IF(L236&gt;=7, "Tevreden", "Ontevreden")</f>
        <v/>
      </c>
    </row>
    <row r="237">
      <c r="A237" t="inlineStr">
        <is>
          <t>Nijs, Kaat</t>
        </is>
      </c>
      <c r="B237" t="n">
        <v>2145010962</v>
      </c>
      <c r="C237" t="inlineStr">
        <is>
          <t>18/08/1996</t>
        </is>
      </c>
      <c r="D237" t="inlineStr">
        <is>
          <t>Emiel Lossystraat</t>
        </is>
      </c>
      <c r="E237" t="n">
        <v>7</v>
      </c>
      <c r="F237" t="inlineStr">
        <is>
          <t>Zonhoven</t>
        </is>
      </c>
      <c r="G237" t="n">
        <v>4</v>
      </c>
      <c r="H237" t="n">
        <v>0</v>
      </c>
      <c r="I237" t="n">
        <v>144.57</v>
      </c>
      <c r="J237" t="inlineStr">
        <is>
          <t>Zelden</t>
        </is>
      </c>
      <c r="K237" t="inlineStr">
        <is>
          <t>Payconiq</t>
        </is>
      </c>
      <c r="L237" t="n">
        <v>7.39</v>
      </c>
      <c r="M237" t="inlineStr">
        <is>
          <t>Geen dieet</t>
        </is>
      </c>
      <c r="N237">
        <f>LEFT(A237, FIND(",", A237)-1)</f>
        <v/>
      </c>
      <c r="O237">
        <f>MID(A237, FIND(",", A237)+2, LEN(A237))</f>
        <v/>
      </c>
      <c r="P237">
        <f>SWITCH(J237, "Zelden", 1, "Af en toe", 4, "Regelmatig", 8, "Vaak", 12)</f>
        <v/>
      </c>
      <c r="Q237">
        <f>IF(L237&gt;=7, "Tevreden", "Ontevreden")</f>
        <v/>
      </c>
    </row>
    <row r="238">
      <c r="A238" t="inlineStr">
        <is>
          <t>Van hoof, Pascal</t>
        </is>
      </c>
      <c r="B238" t="n">
        <v>1409777960</v>
      </c>
      <c r="C238" t="inlineStr">
        <is>
          <t>16/08/2005</t>
        </is>
      </c>
      <c r="D238" t="inlineStr">
        <is>
          <t>Henri Farmanstraat</t>
        </is>
      </c>
      <c r="E238" t="n">
        <v>65</v>
      </c>
      <c r="F238" t="inlineStr">
        <is>
          <t>Diepenbeek</t>
        </is>
      </c>
      <c r="G238" t="n">
        <v>2</v>
      </c>
      <c r="H238" t="n">
        <v>1</v>
      </c>
      <c r="I238" t="n">
        <v>50.22</v>
      </c>
      <c r="J238" t="inlineStr">
        <is>
          <t>Zeer vaak</t>
        </is>
      </c>
      <c r="K238" t="inlineStr">
        <is>
          <t>Payconiq</t>
        </is>
      </c>
      <c r="L238" t="n">
        <v>7.53</v>
      </c>
      <c r="M238" t="inlineStr">
        <is>
          <t>Geen dieet</t>
        </is>
      </c>
      <c r="N238">
        <f>LEFT(A238, FIND(",", A238)-1)</f>
        <v/>
      </c>
      <c r="O238">
        <f>MID(A238, FIND(",", A238)+2, LEN(A238))</f>
        <v/>
      </c>
      <c r="P238">
        <f>SWITCH(J238, "Zelden", 1, "Af en toe", 4, "Regelmatig", 8, "Vaak", 12)</f>
        <v/>
      </c>
      <c r="Q238">
        <f>IF(L238&gt;=7, "Tevreden", "Ontevreden")</f>
        <v/>
      </c>
    </row>
    <row r="239">
      <c r="A239" t="inlineStr">
        <is>
          <t>Joris, Hans</t>
        </is>
      </c>
      <c r="B239" t="n">
        <v>4488943466</v>
      </c>
      <c r="C239" t="inlineStr">
        <is>
          <t>19/05/1951</t>
        </is>
      </c>
      <c r="D239" t="inlineStr">
        <is>
          <t>Lindenlei</t>
        </is>
      </c>
      <c r="E239" t="n">
        <v>12</v>
      </c>
      <c r="F239" t="inlineStr">
        <is>
          <t>Lommel</t>
        </is>
      </c>
      <c r="G239" t="n">
        <v>2</v>
      </c>
      <c r="H239" t="n">
        <v>0</v>
      </c>
      <c r="I239" t="n">
        <v>105.92</v>
      </c>
      <c r="J239" t="inlineStr">
        <is>
          <t>Af en toe</t>
        </is>
      </c>
      <c r="K239" t="inlineStr">
        <is>
          <t>Payconiq</t>
        </is>
      </c>
      <c r="L239" t="n">
        <v>7.2</v>
      </c>
      <c r="M239" t="inlineStr">
        <is>
          <t>Geen dieet</t>
        </is>
      </c>
      <c r="N239">
        <f>LEFT(A239, FIND(",", A239)-1)</f>
        <v/>
      </c>
      <c r="O239">
        <f>MID(A239, FIND(",", A239)+2, LEN(A239))</f>
        <v/>
      </c>
      <c r="P239">
        <f>SWITCH(J239, "Zelden", 1, "Af en toe", 4, "Regelmatig", 8, "Vaak", 12)</f>
        <v/>
      </c>
      <c r="Q239">
        <f>IF(L239&gt;=7, "Tevreden", "Ontevreden")</f>
        <v/>
      </c>
    </row>
    <row r="240">
      <c r="A240" t="inlineStr">
        <is>
          <t>Mortier, Jérôme</t>
        </is>
      </c>
      <c r="B240" t="n">
        <v>2903015080</v>
      </c>
      <c r="C240" t="inlineStr">
        <is>
          <t>28/11/1972</t>
        </is>
      </c>
      <c r="D240" t="inlineStr">
        <is>
          <t>Buffelstraat</t>
        </is>
      </c>
      <c r="E240" t="n">
        <v>43</v>
      </c>
      <c r="F240" t="inlineStr">
        <is>
          <t>Lanaken</t>
        </is>
      </c>
      <c r="G240" t="n">
        <v>1</v>
      </c>
      <c r="H240" t="n">
        <v>0</v>
      </c>
      <c r="I240" t="n">
        <v>20.37</v>
      </c>
      <c r="J240" t="inlineStr">
        <is>
          <t>Zeer vaak</t>
        </is>
      </c>
      <c r="K240" t="inlineStr">
        <is>
          <t>Bancontact</t>
        </is>
      </c>
      <c r="L240" t="n">
        <v>7.68</v>
      </c>
      <c r="M240" t="inlineStr">
        <is>
          <t>Geen dieet</t>
        </is>
      </c>
      <c r="N240">
        <f>LEFT(A240, FIND(",", A240)-1)</f>
        <v/>
      </c>
      <c r="O240">
        <f>MID(A240, FIND(",", A240)+2, LEN(A240))</f>
        <v/>
      </c>
      <c r="P240">
        <f>SWITCH(J240, "Zelden", 1, "Af en toe", 4, "Regelmatig", 8, "Vaak", 12)</f>
        <v/>
      </c>
      <c r="Q240">
        <f>IF(L240&gt;=7, "Tevreden", "Ontevreden")</f>
        <v/>
      </c>
    </row>
    <row r="241">
      <c r="A241" t="inlineStr">
        <is>
          <t>Gerard, Elisabeth</t>
        </is>
      </c>
      <c r="B241" t="n">
        <v>6801905957</v>
      </c>
      <c r="C241" t="inlineStr">
        <is>
          <t>07/07/1972</t>
        </is>
      </c>
      <c r="D241" t="inlineStr">
        <is>
          <t>Gentbruggestraat</t>
        </is>
      </c>
      <c r="E241" t="n">
        <v>35</v>
      </c>
      <c r="F241" t="inlineStr">
        <is>
          <t>Lummen</t>
        </is>
      </c>
      <c r="G241" t="n">
        <v>2</v>
      </c>
      <c r="H241" t="n">
        <v>0</v>
      </c>
      <c r="I241" t="n">
        <v>108.69</v>
      </c>
      <c r="J241" t="inlineStr">
        <is>
          <t>Vaak</t>
        </is>
      </c>
      <c r="K241" t="inlineStr">
        <is>
          <t>Bancontact</t>
        </is>
      </c>
      <c r="L241" t="n">
        <v>7.81</v>
      </c>
      <c r="M241" t="inlineStr">
        <is>
          <t>Geen dieet</t>
        </is>
      </c>
      <c r="N241">
        <f>LEFT(A241, FIND(",", A241)-1)</f>
        <v/>
      </c>
      <c r="O241">
        <f>MID(A241, FIND(",", A241)+2, LEN(A241))</f>
        <v/>
      </c>
      <c r="P241">
        <f>SWITCH(J241, "Zelden", 1, "Af en toe", 4, "Regelmatig", 8, "Vaak", 12)</f>
        <v/>
      </c>
      <c r="Q241">
        <f>IF(L241&gt;=7, "Tevreden", "Ontevreden")</f>
        <v/>
      </c>
    </row>
    <row r="242">
      <c r="A242" t="inlineStr">
        <is>
          <t>Goossens, Senne</t>
        </is>
      </c>
      <c r="B242" t="n">
        <v>7479481798</v>
      </c>
      <c r="C242" t="inlineStr">
        <is>
          <t>14/01/1971</t>
        </is>
      </c>
      <c r="D242" t="inlineStr">
        <is>
          <t>Visserij</t>
        </is>
      </c>
      <c r="E242" t="n">
        <v>32</v>
      </c>
      <c r="F242" t="inlineStr">
        <is>
          <t>Heusden-Zolder</t>
        </is>
      </c>
      <c r="G242" t="n">
        <v>2</v>
      </c>
      <c r="H242" t="n">
        <v>0</v>
      </c>
      <c r="I242" t="n">
        <v>84.5</v>
      </c>
      <c r="J242" t="inlineStr">
        <is>
          <t>Af en toe</t>
        </is>
      </c>
      <c r="K242" t="inlineStr">
        <is>
          <t>Payconiq</t>
        </is>
      </c>
      <c r="L242" t="n">
        <v>7.88</v>
      </c>
      <c r="M242" t="inlineStr">
        <is>
          <t>Vegetarisch</t>
        </is>
      </c>
      <c r="N242">
        <f>LEFT(A242, FIND(",", A242)-1)</f>
        <v/>
      </c>
      <c r="O242">
        <f>MID(A242, FIND(",", A242)+2, LEN(A242))</f>
        <v/>
      </c>
      <c r="P242">
        <f>SWITCH(J242, "Zelden", 1, "Af en toe", 4, "Regelmatig", 8, "Vaak", 12)</f>
        <v/>
      </c>
      <c r="Q242">
        <f>IF(L242&gt;=7, "Tevreden", "Ontevreden")</f>
        <v/>
      </c>
    </row>
    <row r="243">
      <c r="A243" t="inlineStr">
        <is>
          <t>Van den bossche, Yohanes</t>
        </is>
      </c>
      <c r="B243" t="n">
        <v>6204745767</v>
      </c>
      <c r="C243" t="inlineStr">
        <is>
          <t>14/02/1986</t>
        </is>
      </c>
      <c r="D243" t="inlineStr">
        <is>
          <t>Sint-martensstraat</t>
        </is>
      </c>
      <c r="E243" t="n">
        <v>31</v>
      </c>
      <c r="F243" t="inlineStr">
        <is>
          <t>Genk</t>
        </is>
      </c>
      <c r="G243" t="n">
        <v>1</v>
      </c>
      <c r="H243" t="n">
        <v>4</v>
      </c>
      <c r="I243" t="n">
        <v>170.91</v>
      </c>
      <c r="J243" t="inlineStr">
        <is>
          <t>Dagelijks</t>
        </is>
      </c>
      <c r="K243" t="inlineStr">
        <is>
          <t>Payconiq</t>
        </is>
      </c>
      <c r="L243" t="n">
        <v>7.19</v>
      </c>
      <c r="M243" t="inlineStr">
        <is>
          <t>Geen dieet</t>
        </is>
      </c>
      <c r="N243">
        <f>LEFT(A243, FIND(",", A243)-1)</f>
        <v/>
      </c>
      <c r="O243">
        <f>MID(A243, FIND(",", A243)+2, LEN(A243))</f>
        <v/>
      </c>
      <c r="P243">
        <f>SWITCH(J243, "Zelden", 1, "Af en toe", 4, "Regelmatig", 8, "Vaak", 12)</f>
        <v/>
      </c>
      <c r="Q243">
        <f>IF(L243&gt;=7, "Tevreden", "Ontevreden")</f>
        <v/>
      </c>
    </row>
    <row r="244">
      <c r="A244" t="inlineStr">
        <is>
          <t>Wellens, Miguel</t>
        </is>
      </c>
      <c r="B244" t="n">
        <v>5811378180</v>
      </c>
      <c r="C244" t="inlineStr">
        <is>
          <t>10/11/1979</t>
        </is>
      </c>
      <c r="D244" t="inlineStr">
        <is>
          <t>Hieveldstraat</t>
        </is>
      </c>
      <c r="E244" t="n">
        <v>15</v>
      </c>
      <c r="F244" t="inlineStr">
        <is>
          <t>Herten</t>
        </is>
      </c>
      <c r="G244" t="n">
        <v>1</v>
      </c>
      <c r="H244" t="n">
        <v>1</v>
      </c>
      <c r="I244" t="n">
        <v>75.64</v>
      </c>
      <c r="J244" t="inlineStr">
        <is>
          <t>Af en toe</t>
        </is>
      </c>
      <c r="K244" t="inlineStr">
        <is>
          <t>Payconiq</t>
        </is>
      </c>
      <c r="L244" t="n">
        <v>7.47</v>
      </c>
      <c r="M244" t="inlineStr">
        <is>
          <t>Geen dieet</t>
        </is>
      </c>
      <c r="N244">
        <f>LEFT(A244, FIND(",", A244)-1)</f>
        <v/>
      </c>
      <c r="O244">
        <f>MID(A244, FIND(",", A244)+2, LEN(A244))</f>
        <v/>
      </c>
      <c r="P244">
        <f>SWITCH(J244, "Zelden", 1, "Af en toe", 4, "Regelmatig", 8, "Vaak", 12)</f>
        <v/>
      </c>
      <c r="Q244">
        <f>IF(L244&gt;=7, "Tevreden", "Ontevreden")</f>
        <v/>
      </c>
    </row>
    <row r="245">
      <c r="A245" t="inlineStr">
        <is>
          <t>Willems, Daniel</t>
        </is>
      </c>
      <c r="B245" t="n">
        <v>6306061889</v>
      </c>
      <c r="C245" t="inlineStr">
        <is>
          <t>06/03/1968</t>
        </is>
      </c>
      <c r="D245" t="inlineStr">
        <is>
          <t>Rozemarijnstraat</t>
        </is>
      </c>
      <c r="E245" t="n">
        <v>3</v>
      </c>
      <c r="F245" t="inlineStr">
        <is>
          <t>Herten</t>
        </is>
      </c>
      <c r="G245" t="n">
        <v>1</v>
      </c>
      <c r="H245" t="n">
        <v>4</v>
      </c>
      <c r="I245" t="n">
        <v>132.49</v>
      </c>
      <c r="J245" t="inlineStr">
        <is>
          <t>Af en toe</t>
        </is>
      </c>
      <c r="K245" t="inlineStr">
        <is>
          <t>Bancontact</t>
        </is>
      </c>
      <c r="L245" t="n">
        <v>6.07</v>
      </c>
      <c r="M245" t="inlineStr">
        <is>
          <t>Veganistisch</t>
        </is>
      </c>
      <c r="N245">
        <f>LEFT(A245, FIND(",", A245)-1)</f>
        <v/>
      </c>
      <c r="O245">
        <f>MID(A245, FIND(",", A245)+2, LEN(A245))</f>
        <v/>
      </c>
      <c r="P245">
        <f>SWITCH(J245, "Zelden", 1, "Af en toe", 4, "Regelmatig", 8, "Vaak", 12)</f>
        <v/>
      </c>
      <c r="Q245">
        <f>IF(L245&gt;=7, "Tevreden", "Ontevreden")</f>
        <v/>
      </c>
    </row>
    <row r="246">
      <c r="A246" t="inlineStr">
        <is>
          <t>Cools, Alessandro</t>
        </is>
      </c>
      <c r="B246" t="n">
        <v>864374464</v>
      </c>
      <c r="C246" t="inlineStr">
        <is>
          <t>02/02/1985</t>
        </is>
      </c>
      <c r="D246" t="inlineStr">
        <is>
          <t>Blazoenstraat</t>
        </is>
      </c>
      <c r="E246" t="n">
        <v>23</v>
      </c>
      <c r="F246" t="inlineStr">
        <is>
          <t>Maasmechelen</t>
        </is>
      </c>
      <c r="G246" t="n">
        <v>2</v>
      </c>
      <c r="H246" t="n">
        <v>5</v>
      </c>
      <c r="I246" t="n">
        <v>167.29</v>
      </c>
      <c r="J246" t="inlineStr">
        <is>
          <t>Dagelijks</t>
        </is>
      </c>
      <c r="K246" t="inlineStr">
        <is>
          <t>Cash</t>
        </is>
      </c>
      <c r="L246" t="n">
        <v>6.85</v>
      </c>
      <c r="M246" t="inlineStr">
        <is>
          <t>Geen dieet</t>
        </is>
      </c>
      <c r="N246">
        <f>LEFT(A246, FIND(",", A246)-1)</f>
        <v/>
      </c>
      <c r="O246">
        <f>MID(A246, FIND(",", A246)+2, LEN(A246))</f>
        <v/>
      </c>
      <c r="P246">
        <f>SWITCH(J246, "Zelden", 1, "Af en toe", 4, "Regelmatig", 8, "Vaak", 12)</f>
        <v/>
      </c>
      <c r="Q246">
        <f>IF(L246&gt;=7, "Tevreden", "Ontevreden")</f>
        <v/>
      </c>
    </row>
    <row r="247">
      <c r="A247" t="inlineStr">
        <is>
          <t>Janssens, Sarah</t>
        </is>
      </c>
      <c r="B247" t="n">
        <v>9456912160</v>
      </c>
      <c r="C247" t="inlineStr">
        <is>
          <t>30/09/1985</t>
        </is>
      </c>
      <c r="D247" t="inlineStr">
        <is>
          <t>Frans Louwersstraat</t>
        </is>
      </c>
      <c r="E247" t="n">
        <v>95</v>
      </c>
      <c r="F247" t="inlineStr">
        <is>
          <t>Rijkhoven</t>
        </is>
      </c>
      <c r="G247" t="n">
        <v>1</v>
      </c>
      <c r="H247" t="n">
        <v>0</v>
      </c>
      <c r="I247" t="n">
        <v>110.31</v>
      </c>
      <c r="J247" t="inlineStr">
        <is>
          <t>Af en toe</t>
        </is>
      </c>
      <c r="K247" t="inlineStr">
        <is>
          <t>Payconiq</t>
        </is>
      </c>
      <c r="L247" t="n">
        <v>7.17</v>
      </c>
      <c r="M247" t="inlineStr">
        <is>
          <t>Geen dieet</t>
        </is>
      </c>
      <c r="N247">
        <f>LEFT(A247, FIND(",", A247)-1)</f>
        <v/>
      </c>
      <c r="O247">
        <f>MID(A247, FIND(",", A247)+2, LEN(A247))</f>
        <v/>
      </c>
      <c r="P247">
        <f>SWITCH(J247, "Zelden", 1, "Af en toe", 4, "Regelmatig", 8, "Vaak", 12)</f>
        <v/>
      </c>
      <c r="Q247">
        <f>IF(L247&gt;=7, "Tevreden", "Ontevreden")</f>
        <v/>
      </c>
    </row>
    <row r="248">
      <c r="A248" t="inlineStr">
        <is>
          <t>Vermeire, Véronique</t>
        </is>
      </c>
      <c r="B248" t="n">
        <v>7619768559</v>
      </c>
      <c r="C248" t="inlineStr">
        <is>
          <t>10/03/1968</t>
        </is>
      </c>
      <c r="D248" t="inlineStr">
        <is>
          <t>Rodekoningstraat</t>
        </is>
      </c>
      <c r="E248" t="n">
        <v>22</v>
      </c>
      <c r="F248" t="inlineStr">
        <is>
          <t>Heusden-Zolder</t>
        </is>
      </c>
      <c r="G248" t="n">
        <v>2</v>
      </c>
      <c r="H248" t="n">
        <v>1</v>
      </c>
      <c r="I248" t="n">
        <v>139.45</v>
      </c>
      <c r="J248" t="inlineStr">
        <is>
          <t>Zeer vaak</t>
        </is>
      </c>
      <c r="K248" t="inlineStr">
        <is>
          <t>Payconiq</t>
        </is>
      </c>
      <c r="L248" t="n">
        <v>7.1</v>
      </c>
      <c r="M248" t="inlineStr">
        <is>
          <t>Geen dieet</t>
        </is>
      </c>
      <c r="N248">
        <f>LEFT(A248, FIND(",", A248)-1)</f>
        <v/>
      </c>
      <c r="O248">
        <f>MID(A248, FIND(",", A248)+2, LEN(A248))</f>
        <v/>
      </c>
      <c r="P248">
        <f>SWITCH(J248, "Zelden", 1, "Af en toe", 4, "Regelmatig", 8, "Vaak", 12)</f>
        <v/>
      </c>
      <c r="Q248">
        <f>IF(L248&gt;=7, "Tevreden", "Ontevreden")</f>
        <v/>
      </c>
    </row>
    <row r="249">
      <c r="A249" t="inlineStr">
        <is>
          <t>Van de voorde, Roxane</t>
        </is>
      </c>
      <c r="B249" t="n">
        <v>9813671676</v>
      </c>
      <c r="C249" t="inlineStr">
        <is>
          <t>21/05/1981</t>
        </is>
      </c>
      <c r="D249" t="inlineStr">
        <is>
          <t>Sint-jacobsnieuwstraat</t>
        </is>
      </c>
      <c r="E249" t="n">
        <v>38</v>
      </c>
      <c r="F249" t="inlineStr">
        <is>
          <t>Tessenderlo</t>
        </is>
      </c>
      <c r="G249" t="n">
        <v>1</v>
      </c>
      <c r="H249" t="n">
        <v>0</v>
      </c>
      <c r="I249" t="n">
        <v>104.56</v>
      </c>
      <c r="J249" t="inlineStr">
        <is>
          <t>Dagelijks</t>
        </is>
      </c>
      <c r="K249" t="inlineStr">
        <is>
          <t>Creditcard</t>
        </is>
      </c>
      <c r="L249" t="n">
        <v>7.57</v>
      </c>
      <c r="M249" t="inlineStr">
        <is>
          <t>Geen dieet</t>
        </is>
      </c>
      <c r="N249">
        <f>LEFT(A249, FIND(",", A249)-1)</f>
        <v/>
      </c>
      <c r="O249">
        <f>MID(A249, FIND(",", A249)+2, LEN(A249))</f>
        <v/>
      </c>
      <c r="P249">
        <f>SWITCH(J249, "Zelden", 1, "Af en toe", 4, "Regelmatig", 8, "Vaak", 12)</f>
        <v/>
      </c>
      <c r="Q249">
        <f>IF(L249&gt;=7, "Tevreden", "Ontevreden")</f>
        <v/>
      </c>
    </row>
    <row r="250">
      <c r="A250" t="inlineStr">
        <is>
          <t>Hermans, Ionu</t>
        </is>
      </c>
      <c r="B250" t="n">
        <v>6672532464</v>
      </c>
      <c r="C250" t="inlineStr">
        <is>
          <t>11/02/1949</t>
        </is>
      </c>
      <c r="D250" t="inlineStr">
        <is>
          <t>Weefselstraat</t>
        </is>
      </c>
      <c r="E250" t="n">
        <v>47</v>
      </c>
      <c r="F250" t="inlineStr">
        <is>
          <t>Riemst</t>
        </is>
      </c>
      <c r="G250" t="n">
        <v>2</v>
      </c>
      <c r="H250" t="n">
        <v>5</v>
      </c>
      <c r="I250" t="n">
        <v>174.02</v>
      </c>
      <c r="J250" t="inlineStr">
        <is>
          <t>Zelden</t>
        </is>
      </c>
      <c r="K250" t="inlineStr">
        <is>
          <t>Payconiq</t>
        </is>
      </c>
      <c r="L250" t="n">
        <v>7.01</v>
      </c>
      <c r="M250" t="inlineStr">
        <is>
          <t>Geen dieet</t>
        </is>
      </c>
      <c r="N250">
        <f>LEFT(A250, FIND(",", A250)-1)</f>
        <v/>
      </c>
      <c r="O250">
        <f>MID(A250, FIND(",", A250)+2, LEN(A250))</f>
        <v/>
      </c>
      <c r="P250">
        <f>SWITCH(J250, "Zelden", 1, "Af en toe", 4, "Regelmatig", 8, "Vaak", 12)</f>
        <v/>
      </c>
      <c r="Q250">
        <f>IF(L250&gt;=7, "Tevreden", "Ontevreden")</f>
        <v/>
      </c>
    </row>
    <row r="251">
      <c r="A251" t="inlineStr">
        <is>
          <t>Georges, Fanchon</t>
        </is>
      </c>
      <c r="B251" t="n">
        <v>5094243698</v>
      </c>
      <c r="C251" t="inlineStr">
        <is>
          <t>17/03/1999</t>
        </is>
      </c>
      <c r="D251" t="inlineStr">
        <is>
          <t>Mageleinstraat</t>
        </is>
      </c>
      <c r="E251" t="n">
        <v>53</v>
      </c>
      <c r="F251" t="inlineStr">
        <is>
          <t>Hasselt</t>
        </is>
      </c>
      <c r="G251" t="n">
        <v>1</v>
      </c>
      <c r="H251" t="n">
        <v>0</v>
      </c>
      <c r="I251" t="n">
        <v>58.16</v>
      </c>
      <c r="J251" t="inlineStr">
        <is>
          <t>Zeer vaak</t>
        </is>
      </c>
      <c r="K251" t="inlineStr">
        <is>
          <t>Cash</t>
        </is>
      </c>
      <c r="L251" t="n">
        <v>7.33</v>
      </c>
      <c r="M251" t="inlineStr">
        <is>
          <t>Geen dieet</t>
        </is>
      </c>
      <c r="N251">
        <f>LEFT(A251, FIND(",", A251)-1)</f>
        <v/>
      </c>
      <c r="O251">
        <f>MID(A251, FIND(",", A251)+2, LEN(A251))</f>
        <v/>
      </c>
      <c r="P251">
        <f>SWITCH(J251, "Zelden", 1, "Af en toe", 4, "Regelmatig", 8, "Vaak", 12)</f>
        <v/>
      </c>
      <c r="Q251">
        <f>IF(L251&gt;=7, "Tevreden", "Ontevreden")</f>
        <v/>
      </c>
    </row>
    <row r="252">
      <c r="A252" t="inlineStr">
        <is>
          <t>Jacobs, Toni</t>
        </is>
      </c>
      <c r="B252" t="n">
        <v>9467224738</v>
      </c>
      <c r="C252" t="inlineStr">
        <is>
          <t>05/05/1968</t>
        </is>
      </c>
      <c r="D252" t="inlineStr">
        <is>
          <t>Bennesteeg</t>
        </is>
      </c>
      <c r="E252" t="n">
        <v>2</v>
      </c>
      <c r="F252" t="inlineStr">
        <is>
          <t>Overpelt</t>
        </is>
      </c>
      <c r="G252" t="n">
        <v>5</v>
      </c>
      <c r="H252" t="n">
        <v>0</v>
      </c>
      <c r="I252" t="n">
        <v>161.46</v>
      </c>
      <c r="J252" t="inlineStr">
        <is>
          <t>Dagelijks</t>
        </is>
      </c>
      <c r="K252" t="inlineStr">
        <is>
          <t>Bancontact</t>
        </is>
      </c>
      <c r="L252" t="n">
        <v>6.94</v>
      </c>
      <c r="M252" t="inlineStr">
        <is>
          <t>Geen dieet</t>
        </is>
      </c>
      <c r="N252">
        <f>LEFT(A252, FIND(",", A252)-1)</f>
        <v/>
      </c>
      <c r="O252">
        <f>MID(A252, FIND(",", A252)+2, LEN(A252))</f>
        <v/>
      </c>
      <c r="P252">
        <f>SWITCH(J252, "Zelden", 1, "Af en toe", 4, "Regelmatig", 8, "Vaak", 12)</f>
        <v/>
      </c>
      <c r="Q252">
        <f>IF(L252&gt;=7, "Tevreden", "Ontevreden")</f>
        <v/>
      </c>
    </row>
    <row r="253">
      <c r="A253" t="inlineStr">
        <is>
          <t>Pieters, Christine</t>
        </is>
      </c>
      <c r="B253" t="n">
        <v>6534358720</v>
      </c>
      <c r="C253" t="inlineStr">
        <is>
          <t>19/06/1965</t>
        </is>
      </c>
      <c r="D253" t="inlineStr">
        <is>
          <t>Baudelostraat</t>
        </is>
      </c>
      <c r="E253" t="n">
        <v>90</v>
      </c>
      <c r="F253" t="inlineStr">
        <is>
          <t>Heusden-Zolder</t>
        </is>
      </c>
      <c r="G253" t="n">
        <v>4</v>
      </c>
      <c r="H253" t="n">
        <v>3</v>
      </c>
      <c r="I253" t="n">
        <v>167.32</v>
      </c>
      <c r="J253" t="inlineStr">
        <is>
          <t>Zelden</t>
        </is>
      </c>
      <c r="K253" t="inlineStr">
        <is>
          <t>Bancontact</t>
        </is>
      </c>
      <c r="L253" t="n">
        <v>6.81</v>
      </c>
      <c r="M253" t="inlineStr">
        <is>
          <t>Geen dieet</t>
        </is>
      </c>
      <c r="N253">
        <f>LEFT(A253, FIND(",", A253)-1)</f>
        <v/>
      </c>
      <c r="O253">
        <f>MID(A253, FIND(",", A253)+2, LEN(A253))</f>
        <v/>
      </c>
      <c r="P253">
        <f>SWITCH(J253, "Zelden", 1, "Af en toe", 4, "Regelmatig", 8, "Vaak", 12)</f>
        <v/>
      </c>
      <c r="Q253">
        <f>IF(L253&gt;=7, "Tevreden", "Ontevreden")</f>
        <v/>
      </c>
    </row>
    <row r="254">
      <c r="A254" t="inlineStr">
        <is>
          <t>Collignon, Francine</t>
        </is>
      </c>
      <c r="B254" t="n">
        <v>6506620511</v>
      </c>
      <c r="C254" t="inlineStr">
        <is>
          <t>26/03/1985</t>
        </is>
      </c>
      <c r="D254" t="inlineStr">
        <is>
          <t>Voldersstraat</t>
        </is>
      </c>
      <c r="E254" t="n">
        <v>35</v>
      </c>
      <c r="F254" t="inlineStr">
        <is>
          <t>Lanaken</t>
        </is>
      </c>
      <c r="G254" t="n">
        <v>2</v>
      </c>
      <c r="H254" t="n">
        <v>2</v>
      </c>
      <c r="I254" t="n">
        <v>132.88</v>
      </c>
      <c r="J254" t="inlineStr">
        <is>
          <t>Af en toe</t>
        </is>
      </c>
      <c r="K254" t="inlineStr">
        <is>
          <t>Bancontact</t>
        </is>
      </c>
      <c r="L254" t="n">
        <v>6.8</v>
      </c>
      <c r="M254" t="inlineStr">
        <is>
          <t>Geen dieet</t>
        </is>
      </c>
      <c r="N254">
        <f>LEFT(A254, FIND(",", A254)-1)</f>
        <v/>
      </c>
      <c r="O254">
        <f>MID(A254, FIND(",", A254)+2, LEN(A254))</f>
        <v/>
      </c>
      <c r="P254">
        <f>SWITCH(J254, "Zelden", 1, "Af en toe", 4, "Regelmatig", 8, "Vaak", 12)</f>
        <v/>
      </c>
      <c r="Q254">
        <f>IF(L254&gt;=7, "Tevreden", "Ontevreden")</f>
        <v/>
      </c>
    </row>
    <row r="255">
      <c r="A255" t="inlineStr">
        <is>
          <t>Raes, Nuray</t>
        </is>
      </c>
      <c r="B255" t="n">
        <v>3895123133</v>
      </c>
      <c r="C255" t="inlineStr">
        <is>
          <t>18/05/1961</t>
        </is>
      </c>
      <c r="D255" t="inlineStr">
        <is>
          <t>Coupure Links</t>
        </is>
      </c>
      <c r="E255" t="n">
        <v>96</v>
      </c>
      <c r="F255" t="inlineStr">
        <is>
          <t>Hasselt</t>
        </is>
      </c>
      <c r="G255" t="n">
        <v>1</v>
      </c>
      <c r="H255" t="n">
        <v>3</v>
      </c>
      <c r="I255" t="n">
        <v>132.09</v>
      </c>
      <c r="J255" t="inlineStr">
        <is>
          <t>Af en toe</t>
        </is>
      </c>
      <c r="K255" t="inlineStr">
        <is>
          <t>Bancontact</t>
        </is>
      </c>
      <c r="L255" t="n">
        <v>7.71</v>
      </c>
      <c r="M255" t="inlineStr">
        <is>
          <t>Geen dieet</t>
        </is>
      </c>
      <c r="N255">
        <f>LEFT(A255, FIND(",", A255)-1)</f>
        <v/>
      </c>
      <c r="O255">
        <f>MID(A255, FIND(",", A255)+2, LEN(A255))</f>
        <v/>
      </c>
      <c r="P255">
        <f>SWITCH(J255, "Zelden", 1, "Af en toe", 4, "Regelmatig", 8, "Vaak", 12)</f>
        <v/>
      </c>
      <c r="Q255">
        <f>IF(L255&gt;=7, "Tevreden", "Ontevreden")</f>
        <v/>
      </c>
    </row>
    <row r="256">
      <c r="A256" t="inlineStr">
        <is>
          <t>Laurent, Bleona</t>
        </is>
      </c>
      <c r="B256" t="n">
        <v>7557042246</v>
      </c>
      <c r="C256" t="inlineStr">
        <is>
          <t>11/03/1949</t>
        </is>
      </c>
      <c r="D256" t="inlineStr">
        <is>
          <t>Houtjen</t>
        </is>
      </c>
      <c r="E256" t="n">
        <v>60</v>
      </c>
      <c r="F256" t="inlineStr">
        <is>
          <t>Heusden-Zolder</t>
        </is>
      </c>
      <c r="G256" t="n">
        <v>2</v>
      </c>
      <c r="H256" t="n">
        <v>5</v>
      </c>
      <c r="I256" t="n">
        <v>205.16</v>
      </c>
      <c r="J256" t="inlineStr">
        <is>
          <t>Vaak</t>
        </is>
      </c>
      <c r="K256" t="inlineStr">
        <is>
          <t>Bancontact</t>
        </is>
      </c>
      <c r="L256" t="n">
        <v>7.37</v>
      </c>
      <c r="M256" t="inlineStr">
        <is>
          <t>Geen dieet</t>
        </is>
      </c>
      <c r="N256">
        <f>LEFT(A256, FIND(",", A256)-1)</f>
        <v/>
      </c>
      <c r="O256">
        <f>MID(A256, FIND(",", A256)+2, LEN(A256))</f>
        <v/>
      </c>
      <c r="P256">
        <f>SWITCH(J256, "Zelden", 1, "Af en toe", 4, "Regelmatig", 8, "Vaak", 12)</f>
        <v/>
      </c>
      <c r="Q256">
        <f>IF(L256&gt;=7, "Tevreden", "Ontevreden")</f>
        <v/>
      </c>
    </row>
    <row r="257">
      <c r="A257" t="inlineStr">
        <is>
          <t>Michiels, Mila</t>
        </is>
      </c>
      <c r="B257" t="n">
        <v>696041656</v>
      </c>
      <c r="C257" t="inlineStr">
        <is>
          <t>15/05/1968</t>
        </is>
      </c>
      <c r="D257" t="inlineStr">
        <is>
          <t>Helmkruidstraat</t>
        </is>
      </c>
      <c r="E257" t="n">
        <v>22</v>
      </c>
      <c r="F257" t="inlineStr">
        <is>
          <t>Genk</t>
        </is>
      </c>
      <c r="G257" t="n">
        <v>4</v>
      </c>
      <c r="H257" t="n">
        <v>0</v>
      </c>
      <c r="I257" t="n">
        <v>126.81</v>
      </c>
      <c r="J257" t="inlineStr">
        <is>
          <t>Vaak</t>
        </is>
      </c>
      <c r="K257" t="inlineStr">
        <is>
          <t>Payconiq</t>
        </is>
      </c>
      <c r="L257" t="n">
        <v>7.04</v>
      </c>
      <c r="M257" t="inlineStr">
        <is>
          <t>Geen dieet</t>
        </is>
      </c>
      <c r="N257">
        <f>LEFT(A257, FIND(",", A257)-1)</f>
        <v/>
      </c>
      <c r="O257">
        <f>MID(A257, FIND(",", A257)+2, LEN(A257))</f>
        <v/>
      </c>
      <c r="P257">
        <f>SWITCH(J257, "Zelden", 1, "Af en toe", 4, "Regelmatig", 8, "Vaak", 12)</f>
        <v/>
      </c>
      <c r="Q257">
        <f>IF(L257&gt;=7, "Tevreden", "Ontevreden")</f>
        <v/>
      </c>
    </row>
    <row r="258">
      <c r="A258" t="inlineStr">
        <is>
          <t>Heylen, Brandon</t>
        </is>
      </c>
      <c r="B258" t="n">
        <v>9289456928</v>
      </c>
      <c r="C258" t="inlineStr">
        <is>
          <t>14/12/1985</t>
        </is>
      </c>
      <c r="D258" t="inlineStr">
        <is>
          <t>Werkhuizenstraat</t>
        </is>
      </c>
      <c r="E258" t="n">
        <v>5</v>
      </c>
      <c r="F258" t="inlineStr">
        <is>
          <t>Overpelt</t>
        </is>
      </c>
      <c r="G258" t="n">
        <v>1</v>
      </c>
      <c r="H258" t="n">
        <v>0</v>
      </c>
      <c r="I258" t="n">
        <v>38.94</v>
      </c>
      <c r="J258" t="inlineStr">
        <is>
          <t>Vaak</t>
        </is>
      </c>
      <c r="K258" t="inlineStr">
        <is>
          <t>Payconiq</t>
        </is>
      </c>
      <c r="L258" t="n">
        <v>6.66</v>
      </c>
      <c r="M258" t="inlineStr">
        <is>
          <t>Geen dieet</t>
        </is>
      </c>
      <c r="N258">
        <f>LEFT(A258, FIND(",", A258)-1)</f>
        <v/>
      </c>
      <c r="O258">
        <f>MID(A258, FIND(",", A258)+2, LEN(A258))</f>
        <v/>
      </c>
      <c r="P258">
        <f>SWITCH(J258, "Zelden", 1, "Af en toe", 4, "Regelmatig", 8, "Vaak", 12)</f>
        <v/>
      </c>
      <c r="Q258">
        <f>IF(L258&gt;=7, "Tevreden", "Ontevreden")</f>
        <v/>
      </c>
    </row>
    <row r="259">
      <c r="A259" t="inlineStr">
        <is>
          <t>Hubert, Elodie</t>
        </is>
      </c>
      <c r="B259" t="n">
        <v>8438798978</v>
      </c>
      <c r="C259" t="inlineStr">
        <is>
          <t>15/03/1983</t>
        </is>
      </c>
      <c r="D259" t="inlineStr">
        <is>
          <t>Koninging Elisabethlaan</t>
        </is>
      </c>
      <c r="E259" t="n">
        <v>18</v>
      </c>
      <c r="F259" t="inlineStr">
        <is>
          <t>Kwaadmechelen</t>
        </is>
      </c>
      <c r="G259" t="n">
        <v>2</v>
      </c>
      <c r="H259" t="n">
        <v>0</v>
      </c>
      <c r="I259" t="n">
        <v>93</v>
      </c>
      <c r="J259" t="inlineStr">
        <is>
          <t>Dagelijks</t>
        </is>
      </c>
      <c r="K259" t="inlineStr">
        <is>
          <t>Cash</t>
        </is>
      </c>
      <c r="L259" t="n">
        <v>7.31</v>
      </c>
      <c r="M259" t="inlineStr">
        <is>
          <t>Geen dieet</t>
        </is>
      </c>
      <c r="N259">
        <f>LEFT(A259, FIND(",", A259)-1)</f>
        <v/>
      </c>
      <c r="O259">
        <f>MID(A259, FIND(",", A259)+2, LEN(A259))</f>
        <v/>
      </c>
      <c r="P259">
        <f>SWITCH(J259, "Zelden", 1, "Af en toe", 4, "Regelmatig", 8, "Vaak", 12)</f>
        <v/>
      </c>
      <c r="Q259">
        <f>IF(L259&gt;=7, "Tevreden", "Ontevreden")</f>
        <v/>
      </c>
    </row>
    <row r="260">
      <c r="A260" t="inlineStr">
        <is>
          <t>Wuyts, Jordi</t>
        </is>
      </c>
      <c r="B260" t="n">
        <v>4759925484</v>
      </c>
      <c r="C260" t="inlineStr">
        <is>
          <t>13/01/1970</t>
        </is>
      </c>
      <c r="D260" t="inlineStr">
        <is>
          <t>Kartuizerlaan</t>
        </is>
      </c>
      <c r="E260" t="n">
        <v>42</v>
      </c>
      <c r="F260" t="inlineStr">
        <is>
          <t>Maaseik</t>
        </is>
      </c>
      <c r="G260" t="n">
        <v>2</v>
      </c>
      <c r="H260" t="n">
        <v>0</v>
      </c>
      <c r="I260" t="n">
        <v>112.41</v>
      </c>
      <c r="J260" t="inlineStr">
        <is>
          <t>Zeer vaak</t>
        </is>
      </c>
      <c r="K260" t="inlineStr">
        <is>
          <t>Payconiq</t>
        </is>
      </c>
      <c r="L260" t="n">
        <v>7.46</v>
      </c>
      <c r="M260" t="inlineStr">
        <is>
          <t>Geen dieet</t>
        </is>
      </c>
      <c r="N260">
        <f>LEFT(A260, FIND(",", A260)-1)</f>
        <v/>
      </c>
      <c r="O260">
        <f>MID(A260, FIND(",", A260)+2, LEN(A260))</f>
        <v/>
      </c>
      <c r="P260">
        <f>SWITCH(J260, "Zelden", 1, "Af en toe", 4, "Regelmatig", 8, "Vaak", 12)</f>
        <v/>
      </c>
      <c r="Q260">
        <f>IF(L260&gt;=7, "Tevreden", "Ontevreden")</f>
        <v/>
      </c>
    </row>
    <row r="261">
      <c r="A261" t="inlineStr">
        <is>
          <t>Gilson, Abdelkrim</t>
        </is>
      </c>
      <c r="B261" t="n">
        <v>5469060383</v>
      </c>
      <c r="C261" t="inlineStr">
        <is>
          <t>28/07/2006</t>
        </is>
      </c>
      <c r="D261" t="inlineStr">
        <is>
          <t>Vogelzang</t>
        </is>
      </c>
      <c r="E261" t="n">
        <v>6</v>
      </c>
      <c r="F261" t="inlineStr">
        <is>
          <t>Lanaken</t>
        </is>
      </c>
      <c r="G261" t="n">
        <v>1</v>
      </c>
      <c r="H261" t="n">
        <v>0</v>
      </c>
      <c r="I261" t="n">
        <v>20.49</v>
      </c>
      <c r="J261" t="inlineStr">
        <is>
          <t>Vaak</t>
        </is>
      </c>
      <c r="K261" t="inlineStr">
        <is>
          <t>Payconiq</t>
        </is>
      </c>
      <c r="L261" t="n">
        <v>5.87</v>
      </c>
      <c r="M261" t="inlineStr">
        <is>
          <t>Veganistisch</t>
        </is>
      </c>
      <c r="N261">
        <f>LEFT(A261, FIND(",", A261)-1)</f>
        <v/>
      </c>
      <c r="O261">
        <f>MID(A261, FIND(",", A261)+2, LEN(A261))</f>
        <v/>
      </c>
      <c r="P261">
        <f>SWITCH(J261, "Zelden", 1, "Af en toe", 4, "Regelmatig", 8, "Vaak", 12)</f>
        <v/>
      </c>
      <c r="Q261">
        <f>IF(L261&gt;=7, "Tevreden", "Ontevreden")</f>
        <v/>
      </c>
    </row>
    <row r="262">
      <c r="A262" t="inlineStr">
        <is>
          <t>Van acker, Henri</t>
        </is>
      </c>
      <c r="B262" t="n">
        <v>9185403418</v>
      </c>
      <c r="C262" t="inlineStr">
        <is>
          <t>08/01/1957</t>
        </is>
      </c>
      <c r="D262" t="inlineStr">
        <is>
          <t>Port Arthurlaan</t>
        </is>
      </c>
      <c r="E262" t="n">
        <v>35</v>
      </c>
      <c r="F262" t="inlineStr">
        <is>
          <t>Maaseik</t>
        </is>
      </c>
      <c r="G262" t="n">
        <v>2</v>
      </c>
      <c r="H262" t="n">
        <v>2</v>
      </c>
      <c r="I262" t="n">
        <v>64.58</v>
      </c>
      <c r="J262" t="inlineStr">
        <is>
          <t>Af en toe</t>
        </is>
      </c>
      <c r="K262" t="inlineStr">
        <is>
          <t>Bancontact</t>
        </is>
      </c>
      <c r="L262" t="n">
        <v>7.05</v>
      </c>
      <c r="M262" t="inlineStr">
        <is>
          <t>Geen dieet</t>
        </is>
      </c>
      <c r="N262">
        <f>LEFT(A262, FIND(",", A262)-1)</f>
        <v/>
      </c>
      <c r="O262">
        <f>MID(A262, FIND(",", A262)+2, LEN(A262))</f>
        <v/>
      </c>
      <c r="P262">
        <f>SWITCH(J262, "Zelden", 1, "Af en toe", 4, "Regelmatig", 8, "Vaak", 12)</f>
        <v/>
      </c>
      <c r="Q262">
        <f>IF(L262&gt;=7, "Tevreden", "Ontevreden")</f>
        <v/>
      </c>
    </row>
    <row r="263">
      <c r="A263" t="inlineStr">
        <is>
          <t>Wouters, Pierre</t>
        </is>
      </c>
      <c r="B263" t="n">
        <v>5417765471</v>
      </c>
      <c r="C263" t="inlineStr">
        <is>
          <t>11/07/2004</t>
        </is>
      </c>
      <c r="D263" t="inlineStr">
        <is>
          <t>Vliegtuiglaan</t>
        </is>
      </c>
      <c r="E263" t="n">
        <v>34</v>
      </c>
      <c r="F263" t="inlineStr">
        <is>
          <t>Lommel</t>
        </is>
      </c>
      <c r="G263" t="n">
        <v>3</v>
      </c>
      <c r="H263" t="n">
        <v>0</v>
      </c>
      <c r="I263" t="n">
        <v>138.48</v>
      </c>
      <c r="J263" t="inlineStr">
        <is>
          <t>Dagelijks</t>
        </is>
      </c>
      <c r="K263" t="inlineStr">
        <is>
          <t>Payconiq</t>
        </is>
      </c>
      <c r="L263" t="n">
        <v>7.6</v>
      </c>
      <c r="M263" t="inlineStr">
        <is>
          <t>Geen dieet</t>
        </is>
      </c>
      <c r="N263">
        <f>LEFT(A263, FIND(",", A263)-1)</f>
        <v/>
      </c>
      <c r="O263">
        <f>MID(A263, FIND(",", A263)+2, LEN(A263))</f>
        <v/>
      </c>
      <c r="P263">
        <f>SWITCH(J263, "Zelden", 1, "Af en toe", 4, "Regelmatig", 8, "Vaak", 12)</f>
        <v/>
      </c>
      <c r="Q263">
        <f>IF(L263&gt;=7, "Tevreden", "Ontevreden")</f>
        <v/>
      </c>
    </row>
    <row r="264">
      <c r="A264" t="inlineStr">
        <is>
          <t>Van hove, Gabriel</t>
        </is>
      </c>
      <c r="B264" t="n">
        <v>7697711382</v>
      </c>
      <c r="C264" t="inlineStr">
        <is>
          <t>16/01/1981</t>
        </is>
      </c>
      <c r="D264" t="inlineStr">
        <is>
          <t>Kortedagsteeg</t>
        </is>
      </c>
      <c r="E264" t="n">
        <v>9</v>
      </c>
      <c r="F264" t="inlineStr">
        <is>
          <t>Tongeren</t>
        </is>
      </c>
      <c r="G264" t="n">
        <v>5</v>
      </c>
      <c r="H264" t="n">
        <v>0</v>
      </c>
      <c r="I264" t="n">
        <v>69.65000000000001</v>
      </c>
      <c r="J264" t="inlineStr">
        <is>
          <t>Af en toe</t>
        </is>
      </c>
      <c r="K264" t="inlineStr">
        <is>
          <t>Cash</t>
        </is>
      </c>
      <c r="L264" t="n">
        <v>7.22</v>
      </c>
      <c r="M264" t="inlineStr">
        <is>
          <t>Geen dieet</t>
        </is>
      </c>
      <c r="N264">
        <f>LEFT(A264, FIND(",", A264)-1)</f>
        <v/>
      </c>
      <c r="O264">
        <f>MID(A264, FIND(",", A264)+2, LEN(A264))</f>
        <v/>
      </c>
      <c r="P264">
        <f>SWITCH(J264, "Zelden", 1, "Af en toe", 4, "Regelmatig", 8, "Vaak", 12)</f>
        <v/>
      </c>
      <c r="Q264">
        <f>IF(L264&gt;=7, "Tevreden", "Ontevreden")</f>
        <v/>
      </c>
    </row>
    <row r="265">
      <c r="A265" t="inlineStr">
        <is>
          <t>Van den broeck, Manon</t>
        </is>
      </c>
      <c r="B265" t="n">
        <v>3895048815</v>
      </c>
      <c r="C265" t="inlineStr">
        <is>
          <t>05/12/1956</t>
        </is>
      </c>
      <c r="D265" t="inlineStr">
        <is>
          <t>Gildestraat</t>
        </is>
      </c>
      <c r="E265" t="n">
        <v>59</v>
      </c>
      <c r="F265" t="inlineStr">
        <is>
          <t>Maaseik</t>
        </is>
      </c>
      <c r="G265" t="n">
        <v>2</v>
      </c>
      <c r="H265" t="n">
        <v>4</v>
      </c>
      <c r="I265" t="n">
        <v>119.33</v>
      </c>
      <c r="J265" t="inlineStr">
        <is>
          <t>Af en toe</t>
        </is>
      </c>
      <c r="K265" t="inlineStr">
        <is>
          <t>Cash</t>
        </is>
      </c>
      <c r="L265" t="n">
        <v>6.7</v>
      </c>
      <c r="M265" t="inlineStr">
        <is>
          <t>Geen dieet</t>
        </is>
      </c>
      <c r="N265">
        <f>LEFT(A265, FIND(",", A265)-1)</f>
        <v/>
      </c>
      <c r="O265">
        <f>MID(A265, FIND(",", A265)+2, LEN(A265))</f>
        <v/>
      </c>
      <c r="P265">
        <f>SWITCH(J265, "Zelden", 1, "Af en toe", 4, "Regelmatig", 8, "Vaak", 12)</f>
        <v/>
      </c>
      <c r="Q265">
        <f>IF(L265&gt;=7, "Tevreden", "Ontevreden")</f>
        <v/>
      </c>
    </row>
    <row r="266">
      <c r="A266" t="inlineStr">
        <is>
          <t>Verstraeten, Ewelina</t>
        </is>
      </c>
      <c r="B266" t="n">
        <v>888118486</v>
      </c>
      <c r="C266" t="inlineStr">
        <is>
          <t>19/10/2000</t>
        </is>
      </c>
      <c r="D266" t="inlineStr">
        <is>
          <t>Bertha Boonantsstraat</t>
        </is>
      </c>
      <c r="E266" t="n">
        <v>5</v>
      </c>
      <c r="F266" t="inlineStr">
        <is>
          <t>Lommel</t>
        </is>
      </c>
      <c r="G266" t="n">
        <v>1</v>
      </c>
      <c r="H266" t="n">
        <v>0</v>
      </c>
      <c r="I266" t="n">
        <v>142.13</v>
      </c>
      <c r="J266" t="inlineStr">
        <is>
          <t>Af en toe</t>
        </is>
      </c>
      <c r="K266" t="inlineStr">
        <is>
          <t>Bancontact</t>
        </is>
      </c>
      <c r="L266" t="n">
        <v>7.41</v>
      </c>
      <c r="M266" t="inlineStr">
        <is>
          <t>Geen dieet</t>
        </is>
      </c>
      <c r="N266">
        <f>LEFT(A266, FIND(",", A266)-1)</f>
        <v/>
      </c>
      <c r="O266">
        <f>MID(A266, FIND(",", A266)+2, LEN(A266))</f>
        <v/>
      </c>
      <c r="P266">
        <f>SWITCH(J266, "Zelden", 1, "Af en toe", 4, "Regelmatig", 8, "Vaak", 12)</f>
        <v/>
      </c>
      <c r="Q266">
        <f>IF(L266&gt;=7, "Tevreden", "Ontevreden")</f>
        <v/>
      </c>
    </row>
    <row r="267">
      <c r="A267" t="inlineStr">
        <is>
          <t>Poncelet, Juliette</t>
        </is>
      </c>
      <c r="B267" t="n">
        <v>9053916691</v>
      </c>
      <c r="C267" t="inlineStr">
        <is>
          <t>11/12/1956</t>
        </is>
      </c>
      <c r="D267" t="inlineStr">
        <is>
          <t>Meerkoetlaan</t>
        </is>
      </c>
      <c r="E267" t="n">
        <v>16</v>
      </c>
      <c r="F267" t="inlineStr">
        <is>
          <t>Zutendaal</t>
        </is>
      </c>
      <c r="G267" t="n">
        <v>1</v>
      </c>
      <c r="H267" t="n">
        <v>2</v>
      </c>
      <c r="I267" t="n">
        <v>125.68</v>
      </c>
      <c r="J267" t="inlineStr">
        <is>
          <t>Zeer vaak</t>
        </is>
      </c>
      <c r="K267" t="inlineStr">
        <is>
          <t>Payconiq</t>
        </is>
      </c>
      <c r="L267" t="n">
        <v>8.380000000000001</v>
      </c>
      <c r="M267" t="inlineStr">
        <is>
          <t>Vegetarisch</t>
        </is>
      </c>
      <c r="N267">
        <f>LEFT(A267, FIND(",", A267)-1)</f>
        <v/>
      </c>
      <c r="O267">
        <f>MID(A267, FIND(",", A267)+2, LEN(A267))</f>
        <v/>
      </c>
      <c r="P267">
        <f>SWITCH(J267, "Zelden", 1, "Af en toe", 4, "Regelmatig", 8, "Vaak", 12)</f>
        <v/>
      </c>
      <c r="Q267">
        <f>IF(L267&gt;=7, "Tevreden", "Ontevreden")</f>
        <v/>
      </c>
    </row>
    <row r="268">
      <c r="A268" t="inlineStr">
        <is>
          <t>David, Monique</t>
        </is>
      </c>
      <c r="B268" t="n">
        <v>2215649330</v>
      </c>
      <c r="C268" t="inlineStr">
        <is>
          <t>15/02/1987</t>
        </is>
      </c>
      <c r="D268" t="inlineStr">
        <is>
          <t>Warmoezeniersweg</t>
        </is>
      </c>
      <c r="E268" t="n">
        <v>31</v>
      </c>
      <c r="F268" t="inlineStr">
        <is>
          <t>Tessenderlo</t>
        </is>
      </c>
      <c r="G268" t="n">
        <v>1</v>
      </c>
      <c r="H268" t="n">
        <v>2</v>
      </c>
      <c r="I268" t="n">
        <v>104.5</v>
      </c>
      <c r="J268" t="inlineStr">
        <is>
          <t>Vaak</t>
        </is>
      </c>
      <c r="K268" t="inlineStr">
        <is>
          <t>Bancontact</t>
        </is>
      </c>
      <c r="L268" t="n">
        <v>7.79</v>
      </c>
      <c r="M268" t="inlineStr">
        <is>
          <t>Vegetarisch</t>
        </is>
      </c>
      <c r="N268">
        <f>LEFT(A268, FIND(",", A268)-1)</f>
        <v/>
      </c>
      <c r="O268">
        <f>MID(A268, FIND(",", A268)+2, LEN(A268))</f>
        <v/>
      </c>
      <c r="P268">
        <f>SWITCH(J268, "Zelden", 1, "Af en toe", 4, "Regelmatig", 8, "Vaak", 12)</f>
        <v/>
      </c>
      <c r="Q268">
        <f>IF(L268&gt;=7, "Tevreden", "Ontevreden")</f>
        <v/>
      </c>
    </row>
    <row r="269">
      <c r="A269" t="inlineStr">
        <is>
          <t>Guillaume, Saskia</t>
        </is>
      </c>
      <c r="B269" t="n">
        <v>3257273978</v>
      </c>
      <c r="C269" t="inlineStr">
        <is>
          <t>06/12/1988</t>
        </is>
      </c>
      <c r="D269" t="inlineStr">
        <is>
          <t>Oktrooiplein</t>
        </is>
      </c>
      <c r="E269" t="n">
        <v>4</v>
      </c>
      <c r="F269" t="inlineStr">
        <is>
          <t>Heusden-Zolder</t>
        </is>
      </c>
      <c r="G269" t="n">
        <v>1</v>
      </c>
      <c r="H269" t="n">
        <v>0</v>
      </c>
      <c r="I269" t="n">
        <v>161.22</v>
      </c>
      <c r="J269" t="inlineStr">
        <is>
          <t>Zelden</t>
        </is>
      </c>
      <c r="K269" t="inlineStr">
        <is>
          <t>Bancontact</t>
        </is>
      </c>
      <c r="L269" t="n">
        <v>7.29</v>
      </c>
      <c r="M269" t="inlineStr">
        <is>
          <t>Geen dieet</t>
        </is>
      </c>
      <c r="N269">
        <f>LEFT(A269, FIND(",", A269)-1)</f>
        <v/>
      </c>
      <c r="O269">
        <f>MID(A269, FIND(",", A269)+2, LEN(A269))</f>
        <v/>
      </c>
      <c r="P269">
        <f>SWITCH(J269, "Zelden", 1, "Af en toe", 4, "Regelmatig", 8, "Vaak", 12)</f>
        <v/>
      </c>
      <c r="Q269">
        <f>IF(L269&gt;=7, "Tevreden", "Ontevreden")</f>
        <v/>
      </c>
    </row>
    <row r="270">
      <c r="A270" t="inlineStr">
        <is>
          <t>De bruyne, Angela</t>
        </is>
      </c>
      <c r="B270" t="n">
        <v>6244457547</v>
      </c>
      <c r="C270" t="inlineStr">
        <is>
          <t>28/10/1945</t>
        </is>
      </c>
      <c r="D270" t="inlineStr">
        <is>
          <t>Bredestraat</t>
        </is>
      </c>
      <c r="E270" t="n">
        <v>10</v>
      </c>
      <c r="F270" t="inlineStr">
        <is>
          <t>Hasselt</t>
        </is>
      </c>
      <c r="G270" t="n">
        <v>6</v>
      </c>
      <c r="H270" t="n">
        <v>2</v>
      </c>
      <c r="I270" t="n">
        <v>134.79</v>
      </c>
      <c r="J270" t="inlineStr">
        <is>
          <t>Zelden</t>
        </is>
      </c>
      <c r="K270" t="inlineStr">
        <is>
          <t>Payconiq</t>
        </is>
      </c>
      <c r="L270" t="n">
        <v>6.72</v>
      </c>
      <c r="M270" t="inlineStr">
        <is>
          <t>Geen dieet</t>
        </is>
      </c>
      <c r="N270">
        <f>LEFT(A270, FIND(",", A270)-1)</f>
        <v/>
      </c>
      <c r="O270">
        <f>MID(A270, FIND(",", A270)+2, LEN(A270))</f>
        <v/>
      </c>
      <c r="P270">
        <f>SWITCH(J270, "Zelden", 1, "Af en toe", 4, "Regelmatig", 8, "Vaak", 12)</f>
        <v/>
      </c>
      <c r="Q270">
        <f>IF(L270&gt;=7, "Tevreden", "Ontevreden")</f>
        <v/>
      </c>
    </row>
    <row r="271">
      <c r="A271" t="inlineStr">
        <is>
          <t>Fontaine, Ingrid</t>
        </is>
      </c>
      <c r="B271" t="n">
        <v>7274345965</v>
      </c>
      <c r="C271" t="inlineStr">
        <is>
          <t>09/03/1981</t>
        </is>
      </c>
      <c r="D271" t="inlineStr">
        <is>
          <t>Kantienberg</t>
        </is>
      </c>
      <c r="E271" t="n">
        <v>33</v>
      </c>
      <c r="F271" t="inlineStr">
        <is>
          <t>Lommel</t>
        </is>
      </c>
      <c r="G271" t="n">
        <v>2</v>
      </c>
      <c r="H271" t="n">
        <v>1</v>
      </c>
      <c r="I271" t="n">
        <v>102.26</v>
      </c>
      <c r="J271" t="inlineStr">
        <is>
          <t>Zelden</t>
        </is>
      </c>
      <c r="K271" t="inlineStr">
        <is>
          <t>Bancontact</t>
        </is>
      </c>
      <c r="L271" t="n">
        <v>7.38</v>
      </c>
      <c r="M271" t="inlineStr">
        <is>
          <t>Geen dieet</t>
        </is>
      </c>
      <c r="N271">
        <f>LEFT(A271, FIND(",", A271)-1)</f>
        <v/>
      </c>
      <c r="O271">
        <f>MID(A271, FIND(",", A271)+2, LEN(A271))</f>
        <v/>
      </c>
      <c r="P271">
        <f>SWITCH(J271, "Zelden", 1, "Af en toe", 4, "Regelmatig", 8, "Vaak", 12)</f>
        <v/>
      </c>
      <c r="Q271">
        <f>IF(L271&gt;=7, "Tevreden", "Ontevreden")</f>
        <v/>
      </c>
    </row>
    <row r="272">
      <c r="A272" t="inlineStr">
        <is>
          <t>Huysmans, Tiffany</t>
        </is>
      </c>
      <c r="B272" t="n">
        <v>5735303014</v>
      </c>
      <c r="C272" t="inlineStr">
        <is>
          <t>01/07/2006</t>
        </is>
      </c>
      <c r="D272" t="inlineStr">
        <is>
          <t>Bagattenstraat</t>
        </is>
      </c>
      <c r="E272" t="n">
        <v>7</v>
      </c>
      <c r="F272" t="inlineStr">
        <is>
          <t>Hasselt</t>
        </is>
      </c>
      <c r="G272" t="n">
        <v>2</v>
      </c>
      <c r="H272" t="n">
        <v>5</v>
      </c>
      <c r="I272" t="n">
        <v>117.05</v>
      </c>
      <c r="J272" t="inlineStr">
        <is>
          <t>Zeer vaak</t>
        </is>
      </c>
      <c r="K272" t="inlineStr">
        <is>
          <t>Payconiq</t>
        </is>
      </c>
      <c r="L272" t="n">
        <v>7.7</v>
      </c>
      <c r="M272" t="inlineStr">
        <is>
          <t>Geen dieet</t>
        </is>
      </c>
      <c r="N272">
        <f>LEFT(A272, FIND(",", A272)-1)</f>
        <v/>
      </c>
      <c r="O272">
        <f>MID(A272, FIND(",", A272)+2, LEN(A272))</f>
        <v/>
      </c>
      <c r="P272">
        <f>SWITCH(J272, "Zelden", 1, "Af en toe", 4, "Regelmatig", 8, "Vaak", 12)</f>
        <v/>
      </c>
      <c r="Q272">
        <f>IF(L272&gt;=7, "Tevreden", "Ontevreden")</f>
        <v/>
      </c>
    </row>
    <row r="273">
      <c r="A273" t="inlineStr">
        <is>
          <t>Bosmans, Eddy</t>
        </is>
      </c>
      <c r="B273" t="n">
        <v>6387985366</v>
      </c>
      <c r="C273" t="inlineStr">
        <is>
          <t>26/07/1968</t>
        </is>
      </c>
      <c r="D273" t="inlineStr">
        <is>
          <t>Penitentenstraat</t>
        </is>
      </c>
      <c r="E273" t="n">
        <v>7</v>
      </c>
      <c r="F273" t="inlineStr">
        <is>
          <t>Heusden-Zolder</t>
        </is>
      </c>
      <c r="G273" t="n">
        <v>3</v>
      </c>
      <c r="H273" t="n">
        <v>0</v>
      </c>
      <c r="I273" t="n">
        <v>19.79</v>
      </c>
      <c r="J273" t="inlineStr">
        <is>
          <t>Af en toe</t>
        </is>
      </c>
      <c r="K273" t="inlineStr">
        <is>
          <t>Payconiq</t>
        </is>
      </c>
      <c r="L273" t="n">
        <v>7.11</v>
      </c>
      <c r="M273" t="inlineStr">
        <is>
          <t>Geen dieet</t>
        </is>
      </c>
      <c r="N273">
        <f>LEFT(A273, FIND(",", A273)-1)</f>
        <v/>
      </c>
      <c r="O273">
        <f>MID(A273, FIND(",", A273)+2, LEN(A273))</f>
        <v/>
      </c>
      <c r="P273">
        <f>SWITCH(J273, "Zelden", 1, "Af en toe", 4, "Regelmatig", 8, "Vaak", 12)</f>
        <v/>
      </c>
      <c r="Q273">
        <f>IF(L273&gt;=7, "Tevreden", "Ontevreden")</f>
        <v/>
      </c>
    </row>
    <row r="274">
      <c r="A274" t="inlineStr">
        <is>
          <t>Bodson, Stefanie</t>
        </is>
      </c>
      <c r="B274" t="n">
        <v>6584622051</v>
      </c>
      <c r="C274" t="inlineStr">
        <is>
          <t>09/05/1994</t>
        </is>
      </c>
      <c r="D274" t="inlineStr">
        <is>
          <t>Kleine Vismarkt</t>
        </is>
      </c>
      <c r="E274" t="n">
        <v>36</v>
      </c>
      <c r="F274" t="inlineStr">
        <is>
          <t>Borgloon</t>
        </is>
      </c>
      <c r="G274" t="n">
        <v>2</v>
      </c>
      <c r="H274" t="n">
        <v>2</v>
      </c>
      <c r="I274" t="n">
        <v>71.27</v>
      </c>
      <c r="J274" t="inlineStr">
        <is>
          <t>Zeer vaak</t>
        </is>
      </c>
      <c r="K274" t="inlineStr">
        <is>
          <t>Bancontact</t>
        </is>
      </c>
      <c r="L274" t="n">
        <v>7.33</v>
      </c>
      <c r="M274" t="inlineStr">
        <is>
          <t>Geen dieet</t>
        </is>
      </c>
      <c r="N274">
        <f>LEFT(A274, FIND(",", A274)-1)</f>
        <v/>
      </c>
      <c r="O274">
        <f>MID(A274, FIND(",", A274)+2, LEN(A274))</f>
        <v/>
      </c>
      <c r="P274">
        <f>SWITCH(J274, "Zelden", 1, "Af en toe", 4, "Regelmatig", 8, "Vaak", 12)</f>
        <v/>
      </c>
      <c r="Q274">
        <f>IF(L274&gt;=7, "Tevreden", "Ontevreden")</f>
        <v/>
      </c>
    </row>
    <row r="275">
      <c r="A275" t="inlineStr">
        <is>
          <t>Bernard, Rosaria</t>
        </is>
      </c>
      <c r="B275" t="n">
        <v>4133872165</v>
      </c>
      <c r="C275" t="inlineStr">
        <is>
          <t>20/03/1945</t>
        </is>
      </c>
      <c r="D275" t="inlineStr">
        <is>
          <t>Krijgslaan</t>
        </is>
      </c>
      <c r="E275" t="n">
        <v>31</v>
      </c>
      <c r="F275" t="inlineStr">
        <is>
          <t>Riemst</t>
        </is>
      </c>
      <c r="G275" t="n">
        <v>3</v>
      </c>
      <c r="H275" t="n">
        <v>1</v>
      </c>
      <c r="I275" t="n">
        <v>107.77</v>
      </c>
      <c r="J275" t="inlineStr">
        <is>
          <t>Zelden</t>
        </is>
      </c>
      <c r="K275" t="inlineStr">
        <is>
          <t>Bancontact</t>
        </is>
      </c>
      <c r="L275" t="n">
        <v>7.97</v>
      </c>
      <c r="M275" t="inlineStr">
        <is>
          <t>Vegetarisch</t>
        </is>
      </c>
      <c r="N275">
        <f>LEFT(A275, FIND(",", A275)-1)</f>
        <v/>
      </c>
      <c r="O275">
        <f>MID(A275, FIND(",", A275)+2, LEN(A275))</f>
        <v/>
      </c>
      <c r="P275">
        <f>SWITCH(J275, "Zelden", 1, "Af en toe", 4, "Regelmatig", 8, "Vaak", 12)</f>
        <v/>
      </c>
      <c r="Q275">
        <f>IF(L275&gt;=7, "Tevreden", "Ontevreden")</f>
        <v/>
      </c>
    </row>
    <row r="276">
      <c r="A276" t="inlineStr">
        <is>
          <t>Gillet, Ellen</t>
        </is>
      </c>
      <c r="B276" t="n">
        <v>6667633614</v>
      </c>
      <c r="C276" t="inlineStr">
        <is>
          <t>30/12/1987</t>
        </is>
      </c>
      <c r="D276" t="inlineStr">
        <is>
          <t>Kasteellaan</t>
        </is>
      </c>
      <c r="E276" t="n">
        <v>31</v>
      </c>
      <c r="F276" t="inlineStr">
        <is>
          <t>Kinrooi</t>
        </is>
      </c>
      <c r="G276" t="n">
        <v>2</v>
      </c>
      <c r="H276" t="n">
        <v>2</v>
      </c>
      <c r="I276" t="n">
        <v>88.79000000000001</v>
      </c>
      <c r="J276" t="inlineStr">
        <is>
          <t>Zeer vaak</t>
        </is>
      </c>
      <c r="K276" t="inlineStr">
        <is>
          <t>Bancontact</t>
        </is>
      </c>
      <c r="L276" t="n">
        <v>7.29</v>
      </c>
      <c r="M276" t="inlineStr">
        <is>
          <t>Geen dieet</t>
        </is>
      </c>
      <c r="N276">
        <f>LEFT(A276, FIND(",", A276)-1)</f>
        <v/>
      </c>
      <c r="O276">
        <f>MID(A276, FIND(",", A276)+2, LEN(A276))</f>
        <v/>
      </c>
      <c r="P276">
        <f>SWITCH(J276, "Zelden", 1, "Af en toe", 4, "Regelmatig", 8, "Vaak", 12)</f>
        <v/>
      </c>
      <c r="Q276">
        <f>IF(L276&gt;=7, "Tevreden", "Ontevreden")</f>
        <v/>
      </c>
    </row>
    <row r="277">
      <c r="A277" t="inlineStr">
        <is>
          <t>Collard, Patrick</t>
        </is>
      </c>
      <c r="B277" t="n">
        <v>3332300547</v>
      </c>
      <c r="C277" t="inlineStr">
        <is>
          <t>02/02/1983</t>
        </is>
      </c>
      <c r="D277" t="inlineStr">
        <is>
          <t>Oudewee</t>
        </is>
      </c>
      <c r="E277" t="n">
        <v>51</v>
      </c>
      <c r="F277" t="inlineStr">
        <is>
          <t>Overpelt</t>
        </is>
      </c>
      <c r="G277" t="n">
        <v>2</v>
      </c>
      <c r="H277" t="n">
        <v>2</v>
      </c>
      <c r="I277" t="n">
        <v>122.46</v>
      </c>
      <c r="J277" t="inlineStr">
        <is>
          <t>Af en toe</t>
        </is>
      </c>
      <c r="K277" t="inlineStr">
        <is>
          <t>Bancontact</t>
        </is>
      </c>
      <c r="L277" t="n">
        <v>7.15</v>
      </c>
      <c r="M277" t="inlineStr">
        <is>
          <t>Geen dieet</t>
        </is>
      </c>
      <c r="N277">
        <f>LEFT(A277, FIND(",", A277)-1)</f>
        <v/>
      </c>
      <c r="O277">
        <f>MID(A277, FIND(",", A277)+2, LEN(A277))</f>
        <v/>
      </c>
      <c r="P277">
        <f>SWITCH(J277, "Zelden", 1, "Af en toe", 4, "Regelmatig", 8, "Vaak", 12)</f>
        <v/>
      </c>
      <c r="Q277">
        <f>IF(L277&gt;=7, "Tevreden", "Ontevreden")</f>
        <v/>
      </c>
    </row>
    <row r="278">
      <c r="A278" t="inlineStr">
        <is>
          <t>Willems, Souad</t>
        </is>
      </c>
      <c r="B278" t="n">
        <v>8752867917</v>
      </c>
      <c r="C278" t="inlineStr">
        <is>
          <t>01/08/1965</t>
        </is>
      </c>
      <c r="D278" t="inlineStr">
        <is>
          <t>Bennesteeg</t>
        </is>
      </c>
      <c r="E278" t="n">
        <v>35</v>
      </c>
      <c r="F278" t="inlineStr">
        <is>
          <t>Maaseik</t>
        </is>
      </c>
      <c r="G278" t="n">
        <v>2</v>
      </c>
      <c r="H278" t="n">
        <v>2</v>
      </c>
      <c r="I278" t="n">
        <v>140.07</v>
      </c>
      <c r="J278" t="inlineStr">
        <is>
          <t>Zeer vaak</t>
        </is>
      </c>
      <c r="K278" t="inlineStr">
        <is>
          <t>Payconiq</t>
        </is>
      </c>
      <c r="L278" t="n">
        <v>7.52</v>
      </c>
      <c r="M278" t="inlineStr">
        <is>
          <t>Geen dieet</t>
        </is>
      </c>
      <c r="N278">
        <f>LEFT(A278, FIND(",", A278)-1)</f>
        <v/>
      </c>
      <c r="O278">
        <f>MID(A278, FIND(",", A278)+2, LEN(A278))</f>
        <v/>
      </c>
      <c r="P278">
        <f>SWITCH(J278, "Zelden", 1, "Af en toe", 4, "Regelmatig", 8, "Vaak", 12)</f>
        <v/>
      </c>
      <c r="Q278">
        <f>IF(L278&gt;=7, "Tevreden", "Ontevreden")</f>
        <v/>
      </c>
    </row>
    <row r="279">
      <c r="A279" t="inlineStr">
        <is>
          <t>Peeters, Philippe</t>
        </is>
      </c>
      <c r="B279" t="n">
        <v>8461170376</v>
      </c>
      <c r="C279" t="inlineStr">
        <is>
          <t>13/11/1959</t>
        </is>
      </c>
      <c r="D279" t="inlineStr">
        <is>
          <t>Cyriel Buyssestraat</t>
        </is>
      </c>
      <c r="E279" t="n">
        <v>12</v>
      </c>
      <c r="F279" t="inlineStr">
        <is>
          <t>Sint-Truiden</t>
        </is>
      </c>
      <c r="G279" t="n">
        <v>1</v>
      </c>
      <c r="H279" t="n">
        <v>0</v>
      </c>
      <c r="I279" t="n">
        <v>76.81999999999999</v>
      </c>
      <c r="J279" t="inlineStr">
        <is>
          <t>Vaak</t>
        </is>
      </c>
      <c r="K279" t="inlineStr">
        <is>
          <t>Bancontact</t>
        </is>
      </c>
      <c r="L279" t="n">
        <v>7.04</v>
      </c>
      <c r="M279" t="inlineStr">
        <is>
          <t>Geen dieet</t>
        </is>
      </c>
      <c r="N279">
        <f>LEFT(A279, FIND(",", A279)-1)</f>
        <v/>
      </c>
      <c r="O279">
        <f>MID(A279, FIND(",", A279)+2, LEN(A279))</f>
        <v/>
      </c>
      <c r="P279">
        <f>SWITCH(J279, "Zelden", 1, "Af en toe", 4, "Regelmatig", 8, "Vaak", 12)</f>
        <v/>
      </c>
      <c r="Q279">
        <f>IF(L279&gt;=7, "Tevreden", "Ontevreden")</f>
        <v/>
      </c>
    </row>
    <row r="280">
      <c r="A280" t="inlineStr">
        <is>
          <t>Vandeputte, Chloé</t>
        </is>
      </c>
      <c r="B280" t="n">
        <v>1346278519</v>
      </c>
      <c r="C280" t="inlineStr">
        <is>
          <t>23/03/1947</t>
        </is>
      </c>
      <c r="D280" t="inlineStr">
        <is>
          <t>Mageleinstraat</t>
        </is>
      </c>
      <c r="E280" t="n">
        <v>22</v>
      </c>
      <c r="F280" t="inlineStr">
        <is>
          <t>Hasselt</t>
        </is>
      </c>
      <c r="G280" t="n">
        <v>2</v>
      </c>
      <c r="H280" t="n">
        <v>0</v>
      </c>
      <c r="I280" t="n">
        <v>81.40000000000001</v>
      </c>
      <c r="J280" t="inlineStr">
        <is>
          <t>Af en toe</t>
        </is>
      </c>
      <c r="K280" t="inlineStr">
        <is>
          <t>Cash</t>
        </is>
      </c>
      <c r="L280" t="n">
        <v>7.36</v>
      </c>
      <c r="M280" t="inlineStr">
        <is>
          <t>Geen dieet</t>
        </is>
      </c>
      <c r="N280">
        <f>LEFT(A280, FIND(",", A280)-1)</f>
        <v/>
      </c>
      <c r="O280">
        <f>MID(A280, FIND(",", A280)+2, LEN(A280))</f>
        <v/>
      </c>
      <c r="P280">
        <f>SWITCH(J280, "Zelden", 1, "Af en toe", 4, "Regelmatig", 8, "Vaak", 12)</f>
        <v/>
      </c>
      <c r="Q280">
        <f>IF(L280&gt;=7, "Tevreden", "Ontevreden")</f>
        <v/>
      </c>
    </row>
    <row r="281">
      <c r="A281" t="inlineStr">
        <is>
          <t>De laet, Tommy</t>
        </is>
      </c>
      <c r="B281" t="n">
        <v>9305560620</v>
      </c>
      <c r="C281" t="inlineStr">
        <is>
          <t>09/06/1957</t>
        </is>
      </c>
      <c r="D281" t="inlineStr">
        <is>
          <t>Singel</t>
        </is>
      </c>
      <c r="E281" t="n">
        <v>24</v>
      </c>
      <c r="F281" t="inlineStr">
        <is>
          <t>Tessenderlo</t>
        </is>
      </c>
      <c r="G281" t="n">
        <v>5</v>
      </c>
      <c r="H281" t="n">
        <v>1</v>
      </c>
      <c r="I281" t="n">
        <v>231.85</v>
      </c>
      <c r="J281" t="inlineStr">
        <is>
          <t>Af en toe</t>
        </is>
      </c>
      <c r="K281" t="inlineStr">
        <is>
          <t>Payconiq</t>
        </is>
      </c>
      <c r="L281" t="n">
        <v>6.85</v>
      </c>
      <c r="M281" t="inlineStr">
        <is>
          <t>Geen dieet</t>
        </is>
      </c>
      <c r="N281">
        <f>LEFT(A281, FIND(",", A281)-1)</f>
        <v/>
      </c>
      <c r="O281">
        <f>MID(A281, FIND(",", A281)+2, LEN(A281))</f>
        <v/>
      </c>
      <c r="P281">
        <f>SWITCH(J281, "Zelden", 1, "Af en toe", 4, "Regelmatig", 8, "Vaak", 12)</f>
        <v/>
      </c>
      <c r="Q281">
        <f>IF(L281&gt;=7, "Tevreden", "Ontevreden")</f>
        <v/>
      </c>
    </row>
    <row r="282">
      <c r="A282" t="inlineStr">
        <is>
          <t>Denis, Priscilla</t>
        </is>
      </c>
      <c r="B282" t="n">
        <v>9176363734</v>
      </c>
      <c r="C282" t="inlineStr">
        <is>
          <t>22/04/2004</t>
        </is>
      </c>
      <c r="D282" t="inlineStr">
        <is>
          <t>Papegaaistraat</t>
        </is>
      </c>
      <c r="E282" t="n">
        <v>64</v>
      </c>
      <c r="F282" t="inlineStr">
        <is>
          <t>Genk</t>
        </is>
      </c>
      <c r="G282" t="n">
        <v>2</v>
      </c>
      <c r="H282" t="n">
        <v>0</v>
      </c>
      <c r="I282" t="n">
        <v>79.48</v>
      </c>
      <c r="J282" t="inlineStr">
        <is>
          <t>Vaak</t>
        </is>
      </c>
      <c r="K282" t="inlineStr">
        <is>
          <t>Payconiq</t>
        </is>
      </c>
      <c r="L282" t="n">
        <v>8.24</v>
      </c>
      <c r="M282" t="inlineStr">
        <is>
          <t>Vegetarisch</t>
        </is>
      </c>
      <c r="N282">
        <f>LEFT(A282, FIND(",", A282)-1)</f>
        <v/>
      </c>
      <c r="O282">
        <f>MID(A282, FIND(",", A282)+2, LEN(A282))</f>
        <v/>
      </c>
      <c r="P282">
        <f>SWITCH(J282, "Zelden", 1, "Af en toe", 4, "Regelmatig", 8, "Vaak", 12)</f>
        <v/>
      </c>
      <c r="Q282">
        <f>IF(L282&gt;=7, "Tevreden", "Ontevreden")</f>
        <v/>
      </c>
    </row>
    <row r="283">
      <c r="A283" t="inlineStr">
        <is>
          <t>Dubois, Yüksel</t>
        </is>
      </c>
      <c r="B283" t="n">
        <v>9219536915</v>
      </c>
      <c r="C283" t="inlineStr">
        <is>
          <t>05/01/2005</t>
        </is>
      </c>
      <c r="D283" t="inlineStr">
        <is>
          <t>Rooigemlaan</t>
        </is>
      </c>
      <c r="E283" t="n">
        <v>81</v>
      </c>
      <c r="F283" t="inlineStr">
        <is>
          <t>Diepenbeek</t>
        </is>
      </c>
      <c r="G283" t="n">
        <v>4</v>
      </c>
      <c r="H283" t="n">
        <v>2</v>
      </c>
      <c r="I283" t="n">
        <v>163.52</v>
      </c>
      <c r="J283" t="inlineStr">
        <is>
          <t>Vaak</t>
        </is>
      </c>
      <c r="K283" t="inlineStr">
        <is>
          <t>Cash</t>
        </is>
      </c>
      <c r="L283" t="n">
        <v>7.14</v>
      </c>
      <c r="M283" t="inlineStr">
        <is>
          <t>Geen dieet</t>
        </is>
      </c>
      <c r="N283">
        <f>LEFT(A283, FIND(",", A283)-1)</f>
        <v/>
      </c>
      <c r="O283">
        <f>MID(A283, FIND(",", A283)+2, LEN(A283))</f>
        <v/>
      </c>
      <c r="P283">
        <f>SWITCH(J283, "Zelden", 1, "Af en toe", 4, "Regelmatig", 8, "Vaak", 12)</f>
        <v/>
      </c>
      <c r="Q283">
        <f>IF(L283&gt;=7, "Tevreden", "Ontevreden")</f>
        <v/>
      </c>
    </row>
    <row r="284">
      <c r="A284" t="inlineStr">
        <is>
          <t>De waele, Kwai</t>
        </is>
      </c>
      <c r="B284" t="n">
        <v>9432042920</v>
      </c>
      <c r="C284" t="inlineStr">
        <is>
          <t>30/10/1959</t>
        </is>
      </c>
      <c r="D284" t="inlineStr">
        <is>
          <t>Skaldenstraat</t>
        </is>
      </c>
      <c r="E284" t="n">
        <v>1</v>
      </c>
      <c r="F284" t="inlineStr">
        <is>
          <t>Zonhoven</t>
        </is>
      </c>
      <c r="G284" t="n">
        <v>1</v>
      </c>
      <c r="H284" t="n">
        <v>2</v>
      </c>
      <c r="I284" t="n">
        <v>157.57</v>
      </c>
      <c r="J284" t="inlineStr">
        <is>
          <t>Vaak</t>
        </is>
      </c>
      <c r="K284" t="inlineStr">
        <is>
          <t>Bancontact</t>
        </is>
      </c>
      <c r="L284" t="n">
        <v>7.5</v>
      </c>
      <c r="M284" t="inlineStr">
        <is>
          <t>Geen dieet</t>
        </is>
      </c>
      <c r="N284">
        <f>LEFT(A284, FIND(",", A284)-1)</f>
        <v/>
      </c>
      <c r="O284">
        <f>MID(A284, FIND(",", A284)+2, LEN(A284))</f>
        <v/>
      </c>
      <c r="P284">
        <f>SWITCH(J284, "Zelden", 1, "Af en toe", 4, "Regelmatig", 8, "Vaak", 12)</f>
        <v/>
      </c>
      <c r="Q284">
        <f>IF(L284&gt;=7, "Tevreden", "Ontevreden")</f>
        <v/>
      </c>
    </row>
    <row r="285">
      <c r="A285" t="inlineStr">
        <is>
          <t>Mertens, Christiane</t>
        </is>
      </c>
      <c r="B285" t="n">
        <v>4276349489</v>
      </c>
      <c r="C285" t="inlineStr">
        <is>
          <t>29/10/1979</t>
        </is>
      </c>
      <c r="D285" t="inlineStr">
        <is>
          <t>Mail</t>
        </is>
      </c>
      <c r="E285" t="n">
        <v>17</v>
      </c>
      <c r="F285" t="inlineStr">
        <is>
          <t>Diepenbeek</t>
        </is>
      </c>
      <c r="G285" t="n">
        <v>2</v>
      </c>
      <c r="H285" t="n">
        <v>0</v>
      </c>
      <c r="I285" t="n">
        <v>145.53</v>
      </c>
      <c r="J285" t="inlineStr">
        <is>
          <t>Zeer vaak</t>
        </is>
      </c>
      <c r="K285" t="inlineStr">
        <is>
          <t>Payconiq</t>
        </is>
      </c>
      <c r="L285" t="n">
        <v>7.22</v>
      </c>
      <c r="M285" t="inlineStr">
        <is>
          <t>Geen dieet</t>
        </is>
      </c>
      <c r="N285">
        <f>LEFT(A285, FIND(",", A285)-1)</f>
        <v/>
      </c>
      <c r="O285">
        <f>MID(A285, FIND(",", A285)+2, LEN(A285))</f>
        <v/>
      </c>
      <c r="P285">
        <f>SWITCH(J285, "Zelden", 1, "Af en toe", 4, "Regelmatig", 8, "Vaak", 12)</f>
        <v/>
      </c>
      <c r="Q285">
        <f>IF(L285&gt;=7, "Tevreden", "Ontevreden")</f>
        <v/>
      </c>
    </row>
    <row r="286">
      <c r="A286" t="inlineStr">
        <is>
          <t>Swinnen, Jozef</t>
        </is>
      </c>
      <c r="B286" t="n">
        <v>8236463573</v>
      </c>
      <c r="C286" t="inlineStr">
        <is>
          <t>09/04/1973</t>
        </is>
      </c>
      <c r="D286" t="inlineStr">
        <is>
          <t>Predikherenlei</t>
        </is>
      </c>
      <c r="E286" t="n">
        <v>12</v>
      </c>
      <c r="F286" t="inlineStr">
        <is>
          <t>Genk</t>
        </is>
      </c>
      <c r="G286" t="n">
        <v>1</v>
      </c>
      <c r="H286" t="n">
        <v>2</v>
      </c>
      <c r="I286" t="n">
        <v>134.3</v>
      </c>
      <c r="J286" t="inlineStr">
        <is>
          <t>Af en toe</t>
        </is>
      </c>
      <c r="K286" t="inlineStr">
        <is>
          <t>Bancontact</t>
        </is>
      </c>
      <c r="L286" t="n">
        <v>6.86</v>
      </c>
      <c r="M286" t="inlineStr">
        <is>
          <t>Geen dieet</t>
        </is>
      </c>
      <c r="N286">
        <f>LEFT(A286, FIND(",", A286)-1)</f>
        <v/>
      </c>
      <c r="O286">
        <f>MID(A286, FIND(",", A286)+2, LEN(A286))</f>
        <v/>
      </c>
      <c r="P286">
        <f>SWITCH(J286, "Zelden", 1, "Af en toe", 4, "Regelmatig", 8, "Vaak", 12)</f>
        <v/>
      </c>
      <c r="Q286">
        <f>IF(L286&gt;=7, "Tevreden", "Ontevreden")</f>
        <v/>
      </c>
    </row>
    <row r="287">
      <c r="A287" t="inlineStr">
        <is>
          <t>Dujardin, Jacqueline</t>
        </is>
      </c>
      <c r="B287" t="n">
        <v>1893129228</v>
      </c>
      <c r="C287" t="inlineStr">
        <is>
          <t>09/06/1999</t>
        </is>
      </c>
      <c r="D287" t="inlineStr">
        <is>
          <t>François Benardstraat</t>
        </is>
      </c>
      <c r="E287" t="n">
        <v>10</v>
      </c>
      <c r="F287" t="inlineStr">
        <is>
          <t>Hasselt</t>
        </is>
      </c>
      <c r="G287" t="n">
        <v>2</v>
      </c>
      <c r="H287" t="n">
        <v>2</v>
      </c>
      <c r="I287" t="n">
        <v>137.07</v>
      </c>
      <c r="J287" t="inlineStr">
        <is>
          <t>Dagelijks</t>
        </is>
      </c>
      <c r="K287" t="inlineStr">
        <is>
          <t>Bancontact</t>
        </is>
      </c>
      <c r="L287" t="n">
        <v>7.22</v>
      </c>
      <c r="M287" t="inlineStr">
        <is>
          <t>Geen dieet</t>
        </is>
      </c>
      <c r="N287">
        <f>LEFT(A287, FIND(",", A287)-1)</f>
        <v/>
      </c>
      <c r="O287">
        <f>MID(A287, FIND(",", A287)+2, LEN(A287))</f>
        <v/>
      </c>
      <c r="P287">
        <f>SWITCH(J287, "Zelden", 1, "Af en toe", 4, "Regelmatig", 8, "Vaak", 12)</f>
        <v/>
      </c>
      <c r="Q287">
        <f>IF(L287&gt;=7, "Tevreden", "Ontevreden")</f>
        <v/>
      </c>
    </row>
    <row r="288">
      <c r="A288" t="inlineStr">
        <is>
          <t>Huybrechts, Françoise</t>
        </is>
      </c>
      <c r="B288" t="n">
        <v>152739585</v>
      </c>
      <c r="C288" t="inlineStr">
        <is>
          <t>27/01/1971</t>
        </is>
      </c>
      <c r="D288" t="inlineStr">
        <is>
          <t>Kortrijksesteenweg</t>
        </is>
      </c>
      <c r="E288" t="n">
        <v>18</v>
      </c>
      <c r="F288" t="inlineStr">
        <is>
          <t>Herk-de-Stad</t>
        </is>
      </c>
      <c r="G288" t="n">
        <v>1</v>
      </c>
      <c r="H288" t="n">
        <v>4</v>
      </c>
      <c r="I288" t="n">
        <v>113.21</v>
      </c>
      <c r="J288" t="inlineStr">
        <is>
          <t>Dagelijks</t>
        </is>
      </c>
      <c r="K288" t="inlineStr">
        <is>
          <t>Bancontact</t>
        </is>
      </c>
      <c r="L288" t="n">
        <v>7.1</v>
      </c>
      <c r="M288" t="inlineStr">
        <is>
          <t>Geen dieet</t>
        </is>
      </c>
      <c r="N288">
        <f>LEFT(A288, FIND(",", A288)-1)</f>
        <v/>
      </c>
      <c r="O288">
        <f>MID(A288, FIND(",", A288)+2, LEN(A288))</f>
        <v/>
      </c>
      <c r="P288">
        <f>SWITCH(J288, "Zelden", 1, "Af en toe", 4, "Regelmatig", 8, "Vaak", 12)</f>
        <v/>
      </c>
      <c r="Q288">
        <f>IF(L288&gt;=7, "Tevreden", "Ontevreden")</f>
        <v/>
      </c>
    </row>
    <row r="289">
      <c r="A289" t="inlineStr">
        <is>
          <t>Libert, Godelieve</t>
        </is>
      </c>
      <c r="B289" t="n">
        <v>5373006788</v>
      </c>
      <c r="C289" t="inlineStr">
        <is>
          <t>17/09/1968</t>
        </is>
      </c>
      <c r="D289" t="inlineStr">
        <is>
          <t>Ketshage</t>
        </is>
      </c>
      <c r="E289" t="n">
        <v>91</v>
      </c>
      <c r="F289" t="inlineStr">
        <is>
          <t>Zepperen</t>
        </is>
      </c>
      <c r="G289" t="n">
        <v>1</v>
      </c>
      <c r="H289" t="n">
        <v>0</v>
      </c>
      <c r="I289" t="n">
        <v>87.02</v>
      </c>
      <c r="J289" t="inlineStr">
        <is>
          <t>Af en toe</t>
        </is>
      </c>
      <c r="K289" t="inlineStr">
        <is>
          <t>Bancontact</t>
        </is>
      </c>
      <c r="L289" t="n">
        <v>8.300000000000001</v>
      </c>
      <c r="M289" t="inlineStr">
        <is>
          <t>Vegetarisch</t>
        </is>
      </c>
      <c r="N289">
        <f>LEFT(A289, FIND(",", A289)-1)</f>
        <v/>
      </c>
      <c r="O289">
        <f>MID(A289, FIND(",", A289)+2, LEN(A289))</f>
        <v/>
      </c>
      <c r="P289">
        <f>SWITCH(J289, "Zelden", 1, "Af en toe", 4, "Regelmatig", 8, "Vaak", 12)</f>
        <v/>
      </c>
      <c r="Q289">
        <f>IF(L289&gt;=7, "Tevreden", "Ontevreden")</f>
        <v/>
      </c>
    </row>
    <row r="290">
      <c r="A290" t="inlineStr">
        <is>
          <t>Vaes, Dirk</t>
        </is>
      </c>
      <c r="B290" t="n">
        <v>7874413450</v>
      </c>
      <c r="C290" t="inlineStr">
        <is>
          <t>25/03/1947</t>
        </is>
      </c>
      <c r="D290" t="inlineStr">
        <is>
          <t>Kleine Vismarkt</t>
        </is>
      </c>
      <c r="E290" t="n">
        <v>41</v>
      </c>
      <c r="F290" t="inlineStr">
        <is>
          <t>Genk</t>
        </is>
      </c>
      <c r="G290" t="n">
        <v>2</v>
      </c>
      <c r="H290" t="n">
        <v>0</v>
      </c>
      <c r="I290" t="n">
        <v>20.49</v>
      </c>
      <c r="J290" t="inlineStr">
        <is>
          <t>Vaak</t>
        </is>
      </c>
      <c r="K290" t="inlineStr">
        <is>
          <t>Bancontact</t>
        </is>
      </c>
      <c r="L290" t="n">
        <v>6.72</v>
      </c>
      <c r="M290" t="inlineStr">
        <is>
          <t>Geen dieet</t>
        </is>
      </c>
      <c r="N290">
        <f>LEFT(A290, FIND(",", A290)-1)</f>
        <v/>
      </c>
      <c r="O290">
        <f>MID(A290, FIND(",", A290)+2, LEN(A290))</f>
        <v/>
      </c>
      <c r="P290">
        <f>SWITCH(J290, "Zelden", 1, "Af en toe", 4, "Regelmatig", 8, "Vaak", 12)</f>
        <v/>
      </c>
      <c r="Q290">
        <f>IF(L290&gt;=7, "Tevreden", "Ontevreden")</f>
        <v/>
      </c>
    </row>
    <row r="291">
      <c r="A291" t="inlineStr">
        <is>
          <t>Van den bosch, Céline</t>
        </is>
      </c>
      <c r="B291" t="n">
        <v>2286438618</v>
      </c>
      <c r="C291" t="inlineStr">
        <is>
          <t>09/02/1986</t>
        </is>
      </c>
      <c r="D291" t="inlineStr">
        <is>
          <t>Jozef Kluyskensstraat</t>
        </is>
      </c>
      <c r="E291" t="n">
        <v>4</v>
      </c>
      <c r="F291" t="inlineStr">
        <is>
          <t>Maaseik</t>
        </is>
      </c>
      <c r="G291" t="n">
        <v>2</v>
      </c>
      <c r="H291" t="n">
        <v>0</v>
      </c>
      <c r="I291" t="n">
        <v>49.04</v>
      </c>
      <c r="J291" t="inlineStr">
        <is>
          <t>Af en toe</t>
        </is>
      </c>
      <c r="K291" t="inlineStr">
        <is>
          <t>Bancontact</t>
        </is>
      </c>
      <c r="L291" t="n">
        <v>7.65</v>
      </c>
      <c r="M291" t="inlineStr">
        <is>
          <t>Vegetarisch</t>
        </is>
      </c>
      <c r="N291">
        <f>LEFT(A291, FIND(",", A291)-1)</f>
        <v/>
      </c>
      <c r="O291">
        <f>MID(A291, FIND(",", A291)+2, LEN(A291))</f>
        <v/>
      </c>
      <c r="P291">
        <f>SWITCH(J291, "Zelden", 1, "Af en toe", 4, "Regelmatig", 8, "Vaak", 12)</f>
        <v/>
      </c>
      <c r="Q291">
        <f>IF(L291&gt;=7, "Tevreden", "Ontevreden")</f>
        <v/>
      </c>
    </row>
    <row r="292">
      <c r="A292" t="inlineStr">
        <is>
          <t>De ridder, Mohamed</t>
        </is>
      </c>
      <c r="B292" t="n">
        <v>1702742417</v>
      </c>
      <c r="C292" t="inlineStr">
        <is>
          <t>21/05/1945</t>
        </is>
      </c>
      <c r="D292" t="inlineStr">
        <is>
          <t>Coomansheide</t>
        </is>
      </c>
      <c r="E292" t="n">
        <v>27</v>
      </c>
      <c r="F292" t="inlineStr">
        <is>
          <t>Diepenbeek</t>
        </is>
      </c>
      <c r="G292" t="n">
        <v>1</v>
      </c>
      <c r="H292" t="n">
        <v>0</v>
      </c>
      <c r="I292" t="n">
        <v>78.02</v>
      </c>
      <c r="J292" t="inlineStr">
        <is>
          <t>Zeer vaak</t>
        </is>
      </c>
      <c r="K292" t="inlineStr">
        <is>
          <t>Payconiq</t>
        </is>
      </c>
      <c r="L292" t="n">
        <v>7.49</v>
      </c>
      <c r="M292" t="inlineStr">
        <is>
          <t>Geen dieet</t>
        </is>
      </c>
      <c r="N292">
        <f>LEFT(A292, FIND(",", A292)-1)</f>
        <v/>
      </c>
      <c r="O292">
        <f>MID(A292, FIND(",", A292)+2, LEN(A292))</f>
        <v/>
      </c>
      <c r="P292">
        <f>SWITCH(J292, "Zelden", 1, "Af en toe", 4, "Regelmatig", 8, "Vaak", 12)</f>
        <v/>
      </c>
      <c r="Q292">
        <f>IF(L292&gt;=7, "Tevreden", "Ontevreden")</f>
        <v/>
      </c>
    </row>
    <row r="293">
      <c r="A293" t="inlineStr">
        <is>
          <t>Dubois, Joseline</t>
        </is>
      </c>
      <c r="B293" t="n">
        <v>5369641475</v>
      </c>
      <c r="C293" t="inlineStr">
        <is>
          <t>31/12/1953</t>
        </is>
      </c>
      <c r="D293" t="inlineStr">
        <is>
          <t>Eliane Vogel-polskypad</t>
        </is>
      </c>
      <c r="E293" t="n">
        <v>24</v>
      </c>
      <c r="F293" t="inlineStr">
        <is>
          <t>Kortessem</t>
        </is>
      </c>
      <c r="G293" t="n">
        <v>2</v>
      </c>
      <c r="H293" t="n">
        <v>2</v>
      </c>
      <c r="I293" t="n">
        <v>69.31</v>
      </c>
      <c r="J293" t="inlineStr">
        <is>
          <t>Vaak</t>
        </is>
      </c>
      <c r="K293" t="inlineStr">
        <is>
          <t>Bancontact</t>
        </is>
      </c>
      <c r="L293" t="n">
        <v>7.56</v>
      </c>
      <c r="M293" t="inlineStr">
        <is>
          <t>Geen dieet</t>
        </is>
      </c>
      <c r="N293">
        <f>LEFT(A293, FIND(",", A293)-1)</f>
        <v/>
      </c>
      <c r="O293">
        <f>MID(A293, FIND(",", A293)+2, LEN(A293))</f>
        <v/>
      </c>
      <c r="P293">
        <f>SWITCH(J293, "Zelden", 1, "Af en toe", 4, "Regelmatig", 8, "Vaak", 12)</f>
        <v/>
      </c>
      <c r="Q293">
        <f>IF(L293&gt;=7, "Tevreden", "Ontevreden")</f>
        <v/>
      </c>
    </row>
    <row r="294">
      <c r="A294" t="inlineStr">
        <is>
          <t>Joris, Jacqueline</t>
        </is>
      </c>
      <c r="B294" t="n">
        <v>2577946468</v>
      </c>
      <c r="C294" t="inlineStr">
        <is>
          <t>17/05/1957</t>
        </is>
      </c>
      <c r="D294" t="inlineStr">
        <is>
          <t>Fregatstraat</t>
        </is>
      </c>
      <c r="E294" t="n">
        <v>12</v>
      </c>
      <c r="F294" t="inlineStr">
        <is>
          <t>Maasmechelen</t>
        </is>
      </c>
      <c r="G294" t="n">
        <v>2</v>
      </c>
      <c r="H294" t="n">
        <v>0</v>
      </c>
      <c r="I294" t="n">
        <v>20.68</v>
      </c>
      <c r="J294" t="inlineStr">
        <is>
          <t>Zelden</t>
        </is>
      </c>
      <c r="K294" t="inlineStr">
        <is>
          <t>Payconiq</t>
        </is>
      </c>
      <c r="L294" t="n">
        <v>6.6</v>
      </c>
      <c r="M294" t="inlineStr">
        <is>
          <t>Geen dieet</t>
        </is>
      </c>
      <c r="N294">
        <f>LEFT(A294, FIND(",", A294)-1)</f>
        <v/>
      </c>
      <c r="O294">
        <f>MID(A294, FIND(",", A294)+2, LEN(A294))</f>
        <v/>
      </c>
      <c r="P294">
        <f>SWITCH(J294, "Zelden", 1, "Af en toe", 4, "Regelmatig", 8, "Vaak", 12)</f>
        <v/>
      </c>
      <c r="Q294">
        <f>IF(L294&gt;=7, "Tevreden", "Ontevreden")</f>
        <v/>
      </c>
    </row>
    <row r="295">
      <c r="A295" t="inlineStr">
        <is>
          <t>Coppens, Rita</t>
        </is>
      </c>
      <c r="B295" t="n">
        <v>8813080040</v>
      </c>
      <c r="C295" t="inlineStr">
        <is>
          <t>29/09/1945</t>
        </is>
      </c>
      <c r="D295" t="inlineStr">
        <is>
          <t>Pantserschipstraat</t>
        </is>
      </c>
      <c r="E295" t="n">
        <v>1</v>
      </c>
      <c r="F295" t="inlineStr">
        <is>
          <t>Maasmechelen</t>
        </is>
      </c>
      <c r="G295" t="n">
        <v>1</v>
      </c>
      <c r="H295" t="n">
        <v>5</v>
      </c>
      <c r="I295" t="n">
        <v>248.48</v>
      </c>
      <c r="J295" t="inlineStr">
        <is>
          <t>Af en toe</t>
        </is>
      </c>
      <c r="K295" t="inlineStr">
        <is>
          <t>Bancontact</t>
        </is>
      </c>
      <c r="L295" t="n">
        <v>7.46</v>
      </c>
      <c r="M295" t="inlineStr">
        <is>
          <t>Geen dieet</t>
        </is>
      </c>
      <c r="N295">
        <f>LEFT(A295, FIND(",", A295)-1)</f>
        <v/>
      </c>
      <c r="O295">
        <f>MID(A295, FIND(",", A295)+2, LEN(A295))</f>
        <v/>
      </c>
      <c r="P295">
        <f>SWITCH(J295, "Zelden", 1, "Af en toe", 4, "Regelmatig", 8, "Vaak", 12)</f>
        <v/>
      </c>
      <c r="Q295">
        <f>IF(L295&gt;=7, "Tevreden", "Ontevreden")</f>
        <v/>
      </c>
    </row>
    <row r="296">
      <c r="A296" t="inlineStr">
        <is>
          <t>Toussaint, Francine</t>
        </is>
      </c>
      <c r="B296" t="n">
        <v>6887960321</v>
      </c>
      <c r="C296" t="inlineStr">
        <is>
          <t>23/09/1992</t>
        </is>
      </c>
      <c r="D296" t="inlineStr">
        <is>
          <t>Koninging Elisabethlaan</t>
        </is>
      </c>
      <c r="E296" t="n">
        <v>48</v>
      </c>
      <c r="F296" t="inlineStr">
        <is>
          <t>Heusden-Zolder</t>
        </is>
      </c>
      <c r="G296" t="n">
        <v>2</v>
      </c>
      <c r="H296" t="n">
        <v>0</v>
      </c>
      <c r="I296" t="n">
        <v>62.35</v>
      </c>
      <c r="J296" t="inlineStr">
        <is>
          <t>Af en toe</t>
        </is>
      </c>
      <c r="K296" t="inlineStr">
        <is>
          <t>Payconiq</t>
        </is>
      </c>
      <c r="L296" t="n">
        <v>8.609999999999999</v>
      </c>
      <c r="M296" t="inlineStr">
        <is>
          <t>Vegetarisch</t>
        </is>
      </c>
      <c r="N296">
        <f>LEFT(A296, FIND(",", A296)-1)</f>
        <v/>
      </c>
      <c r="O296">
        <f>MID(A296, FIND(",", A296)+2, LEN(A296))</f>
        <v/>
      </c>
      <c r="P296">
        <f>SWITCH(J296, "Zelden", 1, "Af en toe", 4, "Regelmatig", 8, "Vaak", 12)</f>
        <v/>
      </c>
      <c r="Q296">
        <f>IF(L296&gt;=7, "Tevreden", "Ontevreden")</f>
        <v/>
      </c>
    </row>
    <row r="297">
      <c r="A297" t="inlineStr">
        <is>
          <t>Gillet, Eléonore</t>
        </is>
      </c>
      <c r="B297" t="n">
        <v>7343293465</v>
      </c>
      <c r="C297" t="inlineStr">
        <is>
          <t>22/11/2002</t>
        </is>
      </c>
      <c r="D297" t="inlineStr">
        <is>
          <t>Ebergiste De Deynestraat</t>
        </is>
      </c>
      <c r="E297" t="n">
        <v>26</v>
      </c>
      <c r="F297" t="inlineStr">
        <is>
          <t>Leopoldsburg</t>
        </is>
      </c>
      <c r="G297" t="n">
        <v>2</v>
      </c>
      <c r="H297" t="n">
        <v>1</v>
      </c>
      <c r="I297" t="n">
        <v>113.57</v>
      </c>
      <c r="J297" t="inlineStr">
        <is>
          <t>Dagelijks</t>
        </is>
      </c>
      <c r="K297" t="inlineStr">
        <is>
          <t>Payconiq</t>
        </is>
      </c>
      <c r="L297" t="n">
        <v>8.25</v>
      </c>
      <c r="M297" t="inlineStr">
        <is>
          <t>Vegetarisch</t>
        </is>
      </c>
      <c r="N297">
        <f>LEFT(A297, FIND(",", A297)-1)</f>
        <v/>
      </c>
      <c r="O297">
        <f>MID(A297, FIND(",", A297)+2, LEN(A297))</f>
        <v/>
      </c>
      <c r="P297">
        <f>SWITCH(J297, "Zelden", 1, "Af en toe", 4, "Regelmatig", 8, "Vaak", 12)</f>
        <v/>
      </c>
      <c r="Q297">
        <f>IF(L297&gt;=7, "Tevreden", "Ontevreden")</f>
        <v/>
      </c>
    </row>
    <row r="298">
      <c r="A298" t="inlineStr">
        <is>
          <t>Hendrickx, Willy</t>
        </is>
      </c>
      <c r="B298" t="n">
        <v>9304545389</v>
      </c>
      <c r="C298" t="inlineStr">
        <is>
          <t>28/10/1965</t>
        </is>
      </c>
      <c r="D298" t="inlineStr">
        <is>
          <t>Bouwmeestersstraat</t>
        </is>
      </c>
      <c r="E298" t="n">
        <v>2</v>
      </c>
      <c r="F298" t="inlineStr">
        <is>
          <t>Lummen</t>
        </is>
      </c>
      <c r="G298" t="n">
        <v>2</v>
      </c>
      <c r="H298" t="n">
        <v>0</v>
      </c>
      <c r="I298" t="n">
        <v>116.46</v>
      </c>
      <c r="J298" t="inlineStr">
        <is>
          <t>Af en toe</t>
        </is>
      </c>
      <c r="K298" t="inlineStr">
        <is>
          <t>Cash</t>
        </is>
      </c>
      <c r="L298" t="n">
        <v>7.29</v>
      </c>
      <c r="M298" t="inlineStr">
        <is>
          <t>Geen dieet</t>
        </is>
      </c>
      <c r="N298">
        <f>LEFT(A298, FIND(",", A298)-1)</f>
        <v/>
      </c>
      <c r="O298">
        <f>MID(A298, FIND(",", A298)+2, LEN(A298))</f>
        <v/>
      </c>
      <c r="P298">
        <f>SWITCH(J298, "Zelden", 1, "Af en toe", 4, "Regelmatig", 8, "Vaak", 12)</f>
        <v/>
      </c>
      <c r="Q298">
        <f>IF(L298&gt;=7, "Tevreden", "Ontevreden")</f>
        <v/>
      </c>
    </row>
    <row r="299">
      <c r="A299" t="inlineStr">
        <is>
          <t>Jacques, Fanny</t>
        </is>
      </c>
      <c r="B299" t="n">
        <v>2531093490</v>
      </c>
      <c r="C299" t="inlineStr">
        <is>
          <t>07/04/1977</t>
        </is>
      </c>
      <c r="D299" t="inlineStr">
        <is>
          <t>Botermarkt</t>
        </is>
      </c>
      <c r="E299" t="n">
        <v>1</v>
      </c>
      <c r="F299" t="inlineStr">
        <is>
          <t>Heusden-Zolder</t>
        </is>
      </c>
      <c r="G299" t="n">
        <v>3</v>
      </c>
      <c r="H299" t="n">
        <v>0</v>
      </c>
      <c r="I299" t="n">
        <v>80.40000000000001</v>
      </c>
      <c r="J299" t="inlineStr">
        <is>
          <t>Af en toe</t>
        </is>
      </c>
      <c r="K299" t="inlineStr">
        <is>
          <t>Payconiq</t>
        </is>
      </c>
      <c r="L299" t="n">
        <v>7.43</v>
      </c>
      <c r="M299" t="inlineStr">
        <is>
          <t>Geen dieet</t>
        </is>
      </c>
      <c r="N299">
        <f>LEFT(A299, FIND(",", A299)-1)</f>
        <v/>
      </c>
      <c r="O299">
        <f>MID(A299, FIND(",", A299)+2, LEN(A299))</f>
        <v/>
      </c>
      <c r="P299">
        <f>SWITCH(J299, "Zelden", 1, "Af en toe", 4, "Regelmatig", 8, "Vaak", 12)</f>
        <v/>
      </c>
      <c r="Q299">
        <f>IF(L299&gt;=7, "Tevreden", "Ontevreden")</f>
        <v/>
      </c>
    </row>
    <row r="300">
      <c r="A300" t="inlineStr">
        <is>
          <t>Delfosse, Nancy</t>
        </is>
      </c>
      <c r="B300" t="n">
        <v>3475837431</v>
      </c>
      <c r="C300" t="inlineStr">
        <is>
          <t>31/03/1999</t>
        </is>
      </c>
      <c r="D300" t="inlineStr">
        <is>
          <t>Sparrestraat</t>
        </is>
      </c>
      <c r="E300" t="n">
        <v>17</v>
      </c>
      <c r="F300" t="inlineStr">
        <is>
          <t>Genk</t>
        </is>
      </c>
      <c r="G300" t="n">
        <v>2</v>
      </c>
      <c r="H300" t="n">
        <v>4</v>
      </c>
      <c r="I300" t="n">
        <v>143.23</v>
      </c>
      <c r="J300" t="inlineStr">
        <is>
          <t>Vaak</t>
        </is>
      </c>
      <c r="K300" t="inlineStr">
        <is>
          <t>Bancontact</t>
        </is>
      </c>
      <c r="L300" t="n">
        <v>7.47</v>
      </c>
      <c r="M300" t="inlineStr">
        <is>
          <t>Geen dieet</t>
        </is>
      </c>
      <c r="N300">
        <f>LEFT(A300, FIND(",", A300)-1)</f>
        <v/>
      </c>
      <c r="O300">
        <f>MID(A300, FIND(",", A300)+2, LEN(A300))</f>
        <v/>
      </c>
      <c r="P300">
        <f>SWITCH(J300, "Zelden", 1, "Af en toe", 4, "Regelmatig", 8, "Vaak", 12)</f>
        <v/>
      </c>
      <c r="Q300">
        <f>IF(L300&gt;=7, "Tevreden", "Ontevreden")</f>
        <v/>
      </c>
    </row>
    <row r="301">
      <c r="A301" t="inlineStr">
        <is>
          <t>Lievens, Gunther</t>
        </is>
      </c>
      <c r="B301" t="n">
        <v>2601158720</v>
      </c>
      <c r="C301" t="inlineStr">
        <is>
          <t>22/06/1951</t>
        </is>
      </c>
      <c r="D301" t="inlineStr">
        <is>
          <t>Rijsenbergstraat</t>
        </is>
      </c>
      <c r="E301" t="n">
        <v>18</v>
      </c>
      <c r="F301" t="inlineStr">
        <is>
          <t>Tessenderlo</t>
        </is>
      </c>
      <c r="G301" t="n">
        <v>2</v>
      </c>
      <c r="H301" t="n">
        <v>0</v>
      </c>
      <c r="I301" t="n">
        <v>111.9</v>
      </c>
      <c r="J301" t="inlineStr">
        <is>
          <t>Af en toe</t>
        </is>
      </c>
      <c r="K301" t="inlineStr">
        <is>
          <t>Bancontact</t>
        </is>
      </c>
      <c r="L301" t="n">
        <v>7.16</v>
      </c>
      <c r="M301" t="inlineStr">
        <is>
          <t>Geen dieet</t>
        </is>
      </c>
      <c r="N301">
        <f>LEFT(A301, FIND(",", A301)-1)</f>
        <v/>
      </c>
      <c r="O301">
        <f>MID(A301, FIND(",", A301)+2, LEN(A301))</f>
        <v/>
      </c>
      <c r="P301">
        <f>SWITCH(J301, "Zelden", 1, "Af en toe", 4, "Regelmatig", 8, "Vaak", 12)</f>
        <v/>
      </c>
      <c r="Q301">
        <f>IF(L301&gt;=7, "Tevreden", "Ontevreden")</f>
        <v/>
      </c>
    </row>
    <row r="302">
      <c r="A302" t="inlineStr">
        <is>
          <t>Stevens, Sandra</t>
        </is>
      </c>
      <c r="B302" t="n">
        <v>1004858537</v>
      </c>
      <c r="C302" t="inlineStr">
        <is>
          <t>23/07/1953</t>
        </is>
      </c>
      <c r="D302" t="inlineStr">
        <is>
          <t>Muizelstraat</t>
        </is>
      </c>
      <c r="E302" t="n">
        <v>39</v>
      </c>
      <c r="F302" t="inlineStr">
        <is>
          <t>Genk</t>
        </is>
      </c>
      <c r="G302" t="n">
        <v>4</v>
      </c>
      <c r="H302" t="n">
        <v>1</v>
      </c>
      <c r="I302" t="n">
        <v>213.57</v>
      </c>
      <c r="J302" t="inlineStr">
        <is>
          <t>Af en toe</t>
        </is>
      </c>
      <c r="K302" t="inlineStr">
        <is>
          <t>Cash</t>
        </is>
      </c>
      <c r="L302" t="n">
        <v>7.5</v>
      </c>
      <c r="M302" t="inlineStr">
        <is>
          <t>Geen dieet</t>
        </is>
      </c>
      <c r="N302">
        <f>LEFT(A302, FIND(",", A302)-1)</f>
        <v/>
      </c>
      <c r="O302">
        <f>MID(A302, FIND(",", A302)+2, LEN(A302))</f>
        <v/>
      </c>
      <c r="P302">
        <f>SWITCH(J302, "Zelden", 1, "Af en toe", 4, "Regelmatig", 8, "Vaak", 12)</f>
        <v/>
      </c>
      <c r="Q302">
        <f>IF(L302&gt;=7, "Tevreden", "Ontevreden")</f>
        <v/>
      </c>
    </row>
    <row r="303">
      <c r="A303" t="inlineStr">
        <is>
          <t>Luyckx, Arunkumar</t>
        </is>
      </c>
      <c r="B303" t="n">
        <v>6797437121</v>
      </c>
      <c r="C303" t="inlineStr">
        <is>
          <t>07/06/1971</t>
        </is>
      </c>
      <c r="D303" t="inlineStr">
        <is>
          <t>Pijlstraat</t>
        </is>
      </c>
      <c r="E303" t="n">
        <v>5</v>
      </c>
      <c r="F303" t="inlineStr">
        <is>
          <t>Overpelt</t>
        </is>
      </c>
      <c r="G303" t="n">
        <v>1</v>
      </c>
      <c r="H303" t="n">
        <v>0</v>
      </c>
      <c r="I303" t="n">
        <v>21.4</v>
      </c>
      <c r="J303" t="inlineStr">
        <is>
          <t>Vaak</t>
        </is>
      </c>
      <c r="K303" t="inlineStr">
        <is>
          <t>Payconiq</t>
        </is>
      </c>
      <c r="L303" t="n">
        <v>6.99</v>
      </c>
      <c r="M303" t="inlineStr">
        <is>
          <t>Geen dieet</t>
        </is>
      </c>
      <c r="N303">
        <f>LEFT(A303, FIND(",", A303)-1)</f>
        <v/>
      </c>
      <c r="O303">
        <f>MID(A303, FIND(",", A303)+2, LEN(A303))</f>
        <v/>
      </c>
      <c r="P303">
        <f>SWITCH(J303, "Zelden", 1, "Af en toe", 4, "Regelmatig", 8, "Vaak", 12)</f>
        <v/>
      </c>
      <c r="Q303">
        <f>IF(L303&gt;=7, "Tevreden", "Ontevreden")</f>
        <v/>
      </c>
    </row>
    <row r="304">
      <c r="A304" t="inlineStr">
        <is>
          <t>Peeters, Thierry</t>
        </is>
      </c>
      <c r="B304" t="n">
        <v>8838103462</v>
      </c>
      <c r="C304" t="inlineStr">
        <is>
          <t>21/08/1961</t>
        </is>
      </c>
      <c r="D304" t="inlineStr">
        <is>
          <t>Proeftuinstraat</t>
        </is>
      </c>
      <c r="E304" t="n">
        <v>1</v>
      </c>
      <c r="F304" t="inlineStr">
        <is>
          <t>Lommel</t>
        </is>
      </c>
      <c r="G304" t="n">
        <v>1</v>
      </c>
      <c r="H304" t="n">
        <v>0</v>
      </c>
      <c r="I304" t="n">
        <v>20.54</v>
      </c>
      <c r="J304" t="inlineStr">
        <is>
          <t>Zelden</t>
        </is>
      </c>
      <c r="K304" t="inlineStr">
        <is>
          <t>Payconiq</t>
        </is>
      </c>
      <c r="L304" t="n">
        <v>6.99</v>
      </c>
      <c r="M304" t="inlineStr">
        <is>
          <t>Geen dieet</t>
        </is>
      </c>
      <c r="N304">
        <f>LEFT(A304, FIND(",", A304)-1)</f>
        <v/>
      </c>
      <c r="O304">
        <f>MID(A304, FIND(",", A304)+2, LEN(A304))</f>
        <v/>
      </c>
      <c r="P304">
        <f>SWITCH(J304, "Zelden", 1, "Af en toe", 4, "Regelmatig", 8, "Vaak", 12)</f>
        <v/>
      </c>
      <c r="Q304">
        <f>IF(L304&gt;=7, "Tevreden", "Ontevreden")</f>
        <v/>
      </c>
    </row>
    <row r="305">
      <c r="A305" t="inlineStr">
        <is>
          <t>De bie, Magalie</t>
        </is>
      </c>
      <c r="B305" t="n">
        <v>3741944295</v>
      </c>
      <c r="C305" t="inlineStr">
        <is>
          <t>08/07/1994</t>
        </is>
      </c>
      <c r="D305" t="inlineStr">
        <is>
          <t>Rijsenbergstraat</t>
        </is>
      </c>
      <c r="E305" t="n">
        <v>89</v>
      </c>
      <c r="F305" t="inlineStr">
        <is>
          <t>Genk</t>
        </is>
      </c>
      <c r="G305" t="n">
        <v>1</v>
      </c>
      <c r="H305" t="n">
        <v>0</v>
      </c>
      <c r="I305" t="n">
        <v>37.16</v>
      </c>
      <c r="J305" t="inlineStr">
        <is>
          <t>Af en toe</t>
        </is>
      </c>
      <c r="K305" t="inlineStr">
        <is>
          <t>Payconiq</t>
        </is>
      </c>
      <c r="L305" t="n">
        <v>8.4</v>
      </c>
      <c r="M305" t="inlineStr">
        <is>
          <t>Vegetarisch</t>
        </is>
      </c>
      <c r="N305">
        <f>LEFT(A305, FIND(",", A305)-1)</f>
        <v/>
      </c>
      <c r="O305">
        <f>MID(A305, FIND(",", A305)+2, LEN(A305))</f>
        <v/>
      </c>
      <c r="P305">
        <f>SWITCH(J305, "Zelden", 1, "Af en toe", 4, "Regelmatig", 8, "Vaak", 12)</f>
        <v/>
      </c>
      <c r="Q305">
        <f>IF(L305&gt;=7, "Tevreden", "Ontevreden")</f>
        <v/>
      </c>
    </row>
    <row r="306">
      <c r="A306" t="inlineStr">
        <is>
          <t>Martin, Lukman</t>
        </is>
      </c>
      <c r="B306" t="n">
        <v>1118094144</v>
      </c>
      <c r="C306" t="inlineStr">
        <is>
          <t>27/03/1962</t>
        </is>
      </c>
      <c r="D306" t="inlineStr">
        <is>
          <t>Stapelplein</t>
        </is>
      </c>
      <c r="E306" t="n">
        <v>53</v>
      </c>
      <c r="F306" t="inlineStr">
        <is>
          <t>Genk</t>
        </is>
      </c>
      <c r="G306" t="n">
        <v>1</v>
      </c>
      <c r="H306" t="n">
        <v>1</v>
      </c>
      <c r="I306" t="n">
        <v>76.26000000000001</v>
      </c>
      <c r="J306" t="inlineStr">
        <is>
          <t>Af en toe</t>
        </is>
      </c>
      <c r="K306" t="inlineStr">
        <is>
          <t>Bancontact</t>
        </is>
      </c>
      <c r="L306" t="n">
        <v>7.4</v>
      </c>
      <c r="M306" t="inlineStr">
        <is>
          <t>Geen dieet</t>
        </is>
      </c>
      <c r="N306">
        <f>LEFT(A306, FIND(",", A306)-1)</f>
        <v/>
      </c>
      <c r="O306">
        <f>MID(A306, FIND(",", A306)+2, LEN(A306))</f>
        <v/>
      </c>
      <c r="P306">
        <f>SWITCH(J306, "Zelden", 1, "Af en toe", 4, "Regelmatig", 8, "Vaak", 12)</f>
        <v/>
      </c>
      <c r="Q306">
        <f>IF(L306&gt;=7, "Tevreden", "Ontevreden")</f>
        <v/>
      </c>
    </row>
    <row r="307">
      <c r="A307" t="inlineStr">
        <is>
          <t>Vervoort, Josianne</t>
        </is>
      </c>
      <c r="B307" t="n">
        <v>3184330448</v>
      </c>
      <c r="C307" t="inlineStr">
        <is>
          <t>26/06/1979</t>
        </is>
      </c>
      <c r="D307" t="inlineStr">
        <is>
          <t>Prinses Clementinalaan</t>
        </is>
      </c>
      <c r="E307" t="n">
        <v>78</v>
      </c>
      <c r="F307" t="inlineStr">
        <is>
          <t>Hasselt</t>
        </is>
      </c>
      <c r="G307" t="n">
        <v>2</v>
      </c>
      <c r="H307" t="n">
        <v>2</v>
      </c>
      <c r="I307" t="n">
        <v>111.08</v>
      </c>
      <c r="J307" t="inlineStr">
        <is>
          <t>Vaak</t>
        </is>
      </c>
      <c r="K307" t="inlineStr">
        <is>
          <t>Payconiq</t>
        </is>
      </c>
      <c r="L307" t="n">
        <v>6.88</v>
      </c>
      <c r="M307" t="inlineStr">
        <is>
          <t>Geen dieet</t>
        </is>
      </c>
      <c r="N307">
        <f>LEFT(A307, FIND(",", A307)-1)</f>
        <v/>
      </c>
      <c r="O307">
        <f>MID(A307, FIND(",", A307)+2, LEN(A307))</f>
        <v/>
      </c>
      <c r="P307">
        <f>SWITCH(J307, "Zelden", 1, "Af en toe", 4, "Regelmatig", 8, "Vaak", 12)</f>
        <v/>
      </c>
      <c r="Q307">
        <f>IF(L307&gt;=7, "Tevreden", "Ontevreden")</f>
        <v/>
      </c>
    </row>
    <row r="308">
      <c r="A308" t="inlineStr">
        <is>
          <t>Peeters, Peter</t>
        </is>
      </c>
      <c r="B308" t="n">
        <v>9334125380</v>
      </c>
      <c r="C308" t="inlineStr">
        <is>
          <t>26/08/1977</t>
        </is>
      </c>
      <c r="D308" t="inlineStr">
        <is>
          <t>Jan Breydelstraat</t>
        </is>
      </c>
      <c r="E308" t="n">
        <v>17</v>
      </c>
      <c r="F308" t="inlineStr">
        <is>
          <t>Riemst</t>
        </is>
      </c>
      <c r="G308" t="n">
        <v>2</v>
      </c>
      <c r="H308" t="n">
        <v>0</v>
      </c>
      <c r="I308" t="n">
        <v>76.12</v>
      </c>
      <c r="J308" t="inlineStr">
        <is>
          <t>Af en toe</t>
        </is>
      </c>
      <c r="K308" t="inlineStr">
        <is>
          <t>Payconiq</t>
        </is>
      </c>
      <c r="L308" t="n">
        <v>7.66</v>
      </c>
      <c r="M308" t="inlineStr">
        <is>
          <t>Geen dieet</t>
        </is>
      </c>
      <c r="N308">
        <f>LEFT(A308, FIND(",", A308)-1)</f>
        <v/>
      </c>
      <c r="O308">
        <f>MID(A308, FIND(",", A308)+2, LEN(A308))</f>
        <v/>
      </c>
      <c r="P308">
        <f>SWITCH(J308, "Zelden", 1, "Af en toe", 4, "Regelmatig", 8, "Vaak", 12)</f>
        <v/>
      </c>
      <c r="Q308">
        <f>IF(L308&gt;=7, "Tevreden", "Ontevreden")</f>
        <v/>
      </c>
    </row>
    <row r="309">
      <c r="A309" t="inlineStr">
        <is>
          <t>Daniels, Asma</t>
        </is>
      </c>
      <c r="B309" t="n">
        <v>1102113751</v>
      </c>
      <c r="C309" t="inlineStr">
        <is>
          <t>09/05/1966</t>
        </is>
      </c>
      <c r="D309" t="inlineStr">
        <is>
          <t>Kasteellaan</t>
        </is>
      </c>
      <c r="E309" t="n">
        <v>80</v>
      </c>
      <c r="F309" t="inlineStr">
        <is>
          <t>Herten</t>
        </is>
      </c>
      <c r="G309" t="n">
        <v>1</v>
      </c>
      <c r="H309" t="n">
        <v>0</v>
      </c>
      <c r="I309" t="n">
        <v>37.88</v>
      </c>
      <c r="J309" t="inlineStr">
        <is>
          <t>Af en toe</t>
        </is>
      </c>
      <c r="K309" t="inlineStr">
        <is>
          <t>Payconiq</t>
        </is>
      </c>
      <c r="L309" t="n">
        <v>7.87</v>
      </c>
      <c r="M309" t="inlineStr">
        <is>
          <t>Vegetarisch</t>
        </is>
      </c>
      <c r="N309">
        <f>LEFT(A309, FIND(",", A309)-1)</f>
        <v/>
      </c>
      <c r="O309">
        <f>MID(A309, FIND(",", A309)+2, LEN(A309))</f>
        <v/>
      </c>
      <c r="P309">
        <f>SWITCH(J309, "Zelden", 1, "Af en toe", 4, "Regelmatig", 8, "Vaak", 12)</f>
        <v/>
      </c>
      <c r="Q309">
        <f>IF(L309&gt;=7, "Tevreden", "Ontevreden")</f>
        <v/>
      </c>
    </row>
    <row r="310">
      <c r="A310" t="inlineStr">
        <is>
          <t>Martin, Luc</t>
        </is>
      </c>
      <c r="B310" t="n">
        <v>2757937334</v>
      </c>
      <c r="C310" t="inlineStr">
        <is>
          <t>21/11/1978</t>
        </is>
      </c>
      <c r="D310" t="inlineStr">
        <is>
          <t>Kleine Gentstraat</t>
        </is>
      </c>
      <c r="E310" t="n">
        <v>7</v>
      </c>
      <c r="F310" t="inlineStr">
        <is>
          <t>Kinrooi</t>
        </is>
      </c>
      <c r="G310" t="n">
        <v>2</v>
      </c>
      <c r="H310" t="n">
        <v>0</v>
      </c>
      <c r="I310" t="n">
        <v>123.02</v>
      </c>
      <c r="J310" t="inlineStr">
        <is>
          <t>Af en toe</t>
        </is>
      </c>
      <c r="K310" t="inlineStr">
        <is>
          <t>Payconiq</t>
        </is>
      </c>
      <c r="L310" t="n">
        <v>7.52</v>
      </c>
      <c r="M310" t="inlineStr">
        <is>
          <t>Geen dieet</t>
        </is>
      </c>
      <c r="N310">
        <f>LEFT(A310, FIND(",", A310)-1)</f>
        <v/>
      </c>
      <c r="O310">
        <f>MID(A310, FIND(",", A310)+2, LEN(A310))</f>
        <v/>
      </c>
      <c r="P310">
        <f>SWITCH(J310, "Zelden", 1, "Af en toe", 4, "Regelmatig", 8, "Vaak", 12)</f>
        <v/>
      </c>
      <c r="Q310">
        <f>IF(L310&gt;=7, "Tevreden", "Ontevreden")</f>
        <v/>
      </c>
    </row>
    <row r="311">
      <c r="A311" t="inlineStr">
        <is>
          <t>Stevens, Walid</t>
        </is>
      </c>
      <c r="B311" t="n">
        <v>1083789257</v>
      </c>
      <c r="C311" t="inlineStr">
        <is>
          <t>31/08/1955</t>
        </is>
      </c>
      <c r="D311" t="inlineStr">
        <is>
          <t>Steenakker</t>
        </is>
      </c>
      <c r="E311" t="n">
        <v>23</v>
      </c>
      <c r="F311" t="inlineStr">
        <is>
          <t>Diepenbeek</t>
        </is>
      </c>
      <c r="G311" t="n">
        <v>1</v>
      </c>
      <c r="H311" t="n">
        <v>0</v>
      </c>
      <c r="I311" t="n">
        <v>19.84</v>
      </c>
      <c r="J311" t="inlineStr">
        <is>
          <t>Zelden</t>
        </is>
      </c>
      <c r="K311" t="inlineStr">
        <is>
          <t>Bancontact</t>
        </is>
      </c>
      <c r="L311" t="n">
        <v>6.38</v>
      </c>
      <c r="M311" t="inlineStr">
        <is>
          <t>Veganistisch</t>
        </is>
      </c>
      <c r="N311">
        <f>LEFT(A311, FIND(",", A311)-1)</f>
        <v/>
      </c>
      <c r="O311">
        <f>MID(A311, FIND(",", A311)+2, LEN(A311))</f>
        <v/>
      </c>
      <c r="P311">
        <f>SWITCH(J311, "Zelden", 1, "Af en toe", 4, "Regelmatig", 8, "Vaak", 12)</f>
        <v/>
      </c>
      <c r="Q311">
        <f>IF(L311&gt;=7, "Tevreden", "Ontevreden")</f>
        <v/>
      </c>
    </row>
    <row r="312">
      <c r="A312" t="inlineStr">
        <is>
          <t>De bruyne, Giuseppe</t>
        </is>
      </c>
      <c r="B312" t="n">
        <v>4147809555</v>
      </c>
      <c r="C312" t="inlineStr">
        <is>
          <t>09/01/1946</t>
        </is>
      </c>
      <c r="D312" t="inlineStr">
        <is>
          <t>Citadellaan</t>
        </is>
      </c>
      <c r="E312" t="n">
        <v>108</v>
      </c>
      <c r="F312" t="inlineStr">
        <is>
          <t>Genk</t>
        </is>
      </c>
      <c r="G312" t="n">
        <v>1</v>
      </c>
      <c r="H312" t="n">
        <v>1</v>
      </c>
      <c r="I312" t="n">
        <v>22.14</v>
      </c>
      <c r="J312" t="inlineStr">
        <is>
          <t>Vaak</t>
        </is>
      </c>
      <c r="K312" t="inlineStr">
        <is>
          <t>Cash</t>
        </is>
      </c>
      <c r="L312" t="n">
        <v>6.94</v>
      </c>
      <c r="M312" t="inlineStr">
        <is>
          <t>Geen dieet</t>
        </is>
      </c>
      <c r="N312">
        <f>LEFT(A312, FIND(",", A312)-1)</f>
        <v/>
      </c>
      <c r="O312">
        <f>MID(A312, FIND(",", A312)+2, LEN(A312))</f>
        <v/>
      </c>
      <c r="P312">
        <f>SWITCH(J312, "Zelden", 1, "Af en toe", 4, "Regelmatig", 8, "Vaak", 12)</f>
        <v/>
      </c>
      <c r="Q312">
        <f>IF(L312&gt;=7, "Tevreden", "Ontevreden")</f>
        <v/>
      </c>
    </row>
    <row r="313">
      <c r="A313" t="inlineStr">
        <is>
          <t>Huybrechts, Navdeep</t>
        </is>
      </c>
      <c r="B313" t="n">
        <v>8271241890</v>
      </c>
      <c r="C313" t="inlineStr">
        <is>
          <t>28/10/1955</t>
        </is>
      </c>
      <c r="D313" t="inlineStr">
        <is>
          <t>Brusselsepoortstraat</t>
        </is>
      </c>
      <c r="E313" t="n">
        <v>24</v>
      </c>
      <c r="F313" t="inlineStr">
        <is>
          <t>Wellen</t>
        </is>
      </c>
      <c r="G313" t="n">
        <v>2</v>
      </c>
      <c r="H313" t="n">
        <v>3</v>
      </c>
      <c r="I313" t="n">
        <v>195.43</v>
      </c>
      <c r="J313" t="inlineStr">
        <is>
          <t>Zeer vaak</t>
        </is>
      </c>
      <c r="K313" t="inlineStr">
        <is>
          <t>Bancontact</t>
        </is>
      </c>
      <c r="L313" t="n">
        <v>7.48</v>
      </c>
      <c r="M313" t="inlineStr">
        <is>
          <t>Geen dieet</t>
        </is>
      </c>
      <c r="N313">
        <f>LEFT(A313, FIND(",", A313)-1)</f>
        <v/>
      </c>
      <c r="O313">
        <f>MID(A313, FIND(",", A313)+2, LEN(A313))</f>
        <v/>
      </c>
      <c r="P313">
        <f>SWITCH(J313, "Zelden", 1, "Af en toe", 4, "Regelmatig", 8, "Vaak", 12)</f>
        <v/>
      </c>
      <c r="Q313">
        <f>IF(L313&gt;=7, "Tevreden", "Ontevreden")</f>
        <v/>
      </c>
    </row>
    <row r="314">
      <c r="A314" t="inlineStr">
        <is>
          <t>De roeck, Sophie</t>
        </is>
      </c>
      <c r="B314" t="n">
        <v>5616548545</v>
      </c>
      <c r="C314" t="inlineStr">
        <is>
          <t>06/04/1980</t>
        </is>
      </c>
      <c r="D314" t="inlineStr">
        <is>
          <t>Groot-brittanniëlaan</t>
        </is>
      </c>
      <c r="E314" t="n">
        <v>59</v>
      </c>
      <c r="F314" t="inlineStr">
        <is>
          <t>Neerpelt</t>
        </is>
      </c>
      <c r="G314" t="n">
        <v>4</v>
      </c>
      <c r="H314" t="n">
        <v>2</v>
      </c>
      <c r="I314" t="n">
        <v>131.81</v>
      </c>
      <c r="J314" t="inlineStr">
        <is>
          <t>Dagelijks</t>
        </is>
      </c>
      <c r="K314" t="inlineStr">
        <is>
          <t>Payconiq</t>
        </is>
      </c>
      <c r="L314" t="n">
        <v>7.18</v>
      </c>
      <c r="M314" t="inlineStr">
        <is>
          <t>Geen dieet</t>
        </is>
      </c>
      <c r="N314">
        <f>LEFT(A314, FIND(",", A314)-1)</f>
        <v/>
      </c>
      <c r="O314">
        <f>MID(A314, FIND(",", A314)+2, LEN(A314))</f>
        <v/>
      </c>
      <c r="P314">
        <f>SWITCH(J314, "Zelden", 1, "Af en toe", 4, "Regelmatig", 8, "Vaak", 12)</f>
        <v/>
      </c>
      <c r="Q314">
        <f>IF(L314&gt;=7, "Tevreden", "Ontevreden")</f>
        <v/>
      </c>
    </row>
    <row r="315">
      <c r="A315" t="inlineStr">
        <is>
          <t>Van damme, Nathanael</t>
        </is>
      </c>
      <c r="B315" t="n">
        <v>1804423778</v>
      </c>
      <c r="C315" t="inlineStr">
        <is>
          <t>18/07/1992</t>
        </is>
      </c>
      <c r="D315" t="inlineStr">
        <is>
          <t>E3-plein</t>
        </is>
      </c>
      <c r="E315" t="n">
        <v>1</v>
      </c>
      <c r="F315" t="inlineStr">
        <is>
          <t>Lanaken</t>
        </is>
      </c>
      <c r="G315" t="n">
        <v>2</v>
      </c>
      <c r="H315" t="n">
        <v>0</v>
      </c>
      <c r="I315" t="n">
        <v>22.86</v>
      </c>
      <c r="J315" t="inlineStr">
        <is>
          <t>Vaak</t>
        </is>
      </c>
      <c r="K315" t="inlineStr">
        <is>
          <t>Bancontact</t>
        </is>
      </c>
      <c r="L315" t="n">
        <v>7.07</v>
      </c>
      <c r="M315" t="inlineStr">
        <is>
          <t>Geen dieet</t>
        </is>
      </c>
      <c r="N315">
        <f>LEFT(A315, FIND(",", A315)-1)</f>
        <v/>
      </c>
      <c r="O315">
        <f>MID(A315, FIND(",", A315)+2, LEN(A315))</f>
        <v/>
      </c>
      <c r="P315">
        <f>SWITCH(J315, "Zelden", 1, "Af en toe", 4, "Regelmatig", 8, "Vaak", 12)</f>
        <v/>
      </c>
      <c r="Q315">
        <f>IF(L315&gt;=7, "Tevreden", "Ontevreden")</f>
        <v/>
      </c>
    </row>
    <row r="316">
      <c r="A316" t="inlineStr">
        <is>
          <t>Smet, Arzu</t>
        </is>
      </c>
      <c r="B316" t="n">
        <v>4349327337</v>
      </c>
      <c r="C316" t="inlineStr">
        <is>
          <t>10/08/1988</t>
        </is>
      </c>
      <c r="D316" t="inlineStr">
        <is>
          <t>Kuiperskaai</t>
        </is>
      </c>
      <c r="E316" t="n">
        <v>53</v>
      </c>
      <c r="F316" t="inlineStr">
        <is>
          <t>Lummen</t>
        </is>
      </c>
      <c r="G316" t="n">
        <v>5</v>
      </c>
      <c r="H316" t="n">
        <v>0</v>
      </c>
      <c r="I316" t="n">
        <v>129.31</v>
      </c>
      <c r="J316" t="inlineStr">
        <is>
          <t>Af en toe</t>
        </is>
      </c>
      <c r="K316" t="inlineStr">
        <is>
          <t>Payconiq</t>
        </is>
      </c>
      <c r="L316" t="n">
        <v>6.82</v>
      </c>
      <c r="M316" t="inlineStr">
        <is>
          <t>Geen dieet</t>
        </is>
      </c>
      <c r="N316">
        <f>LEFT(A316, FIND(",", A316)-1)</f>
        <v/>
      </c>
      <c r="O316">
        <f>MID(A316, FIND(",", A316)+2, LEN(A316))</f>
        <v/>
      </c>
      <c r="P316">
        <f>SWITCH(J316, "Zelden", 1, "Af en toe", 4, "Regelmatig", 8, "Vaak", 12)</f>
        <v/>
      </c>
      <c r="Q316">
        <f>IF(L316&gt;=7, "Tevreden", "Ontevreden")</f>
        <v/>
      </c>
    </row>
    <row r="317">
      <c r="A317" t="inlineStr">
        <is>
          <t>Thys, Robert-Marian</t>
        </is>
      </c>
      <c r="B317" t="n">
        <v>4293828116</v>
      </c>
      <c r="C317" t="inlineStr">
        <is>
          <t>29/11/1987</t>
        </is>
      </c>
      <c r="D317" t="inlineStr">
        <is>
          <t>Krijgslaan</t>
        </is>
      </c>
      <c r="E317" t="n">
        <v>31</v>
      </c>
      <c r="F317" t="inlineStr">
        <is>
          <t>Heusden-Zolder</t>
        </is>
      </c>
      <c r="G317" t="n">
        <v>2</v>
      </c>
      <c r="H317" t="n">
        <v>5</v>
      </c>
      <c r="I317" t="n">
        <v>224.02</v>
      </c>
      <c r="J317" t="inlineStr">
        <is>
          <t>Af en toe</t>
        </is>
      </c>
      <c r="K317" t="inlineStr">
        <is>
          <t>Payconiq</t>
        </is>
      </c>
      <c r="L317" t="n">
        <v>7.67</v>
      </c>
      <c r="M317" t="inlineStr">
        <is>
          <t>Geen dieet</t>
        </is>
      </c>
      <c r="N317">
        <f>LEFT(A317, FIND(",", A317)-1)</f>
        <v/>
      </c>
      <c r="O317">
        <f>MID(A317, FIND(",", A317)+2, LEN(A317))</f>
        <v/>
      </c>
      <c r="P317">
        <f>SWITCH(J317, "Zelden", 1, "Af en toe", 4, "Regelmatig", 8, "Vaak", 12)</f>
        <v/>
      </c>
      <c r="Q317">
        <f>IF(L317&gt;=7, "Tevreden", "Ontevreden")</f>
        <v/>
      </c>
    </row>
    <row r="318">
      <c r="A318" t="inlineStr">
        <is>
          <t>Dewulf, Peggy</t>
        </is>
      </c>
      <c r="B318" t="n">
        <v>8656733480</v>
      </c>
      <c r="C318" t="inlineStr">
        <is>
          <t>12/11/1995</t>
        </is>
      </c>
      <c r="D318" t="inlineStr">
        <is>
          <t>Afrikalaan</t>
        </is>
      </c>
      <c r="E318" t="n">
        <v>50</v>
      </c>
      <c r="F318" t="inlineStr">
        <is>
          <t>Genk</t>
        </is>
      </c>
      <c r="G318" t="n">
        <v>1</v>
      </c>
      <c r="H318" t="n">
        <v>0</v>
      </c>
      <c r="I318" t="n">
        <v>63.45</v>
      </c>
      <c r="J318" t="inlineStr">
        <is>
          <t>Af en toe</t>
        </is>
      </c>
      <c r="K318" t="inlineStr">
        <is>
          <t>Bancontact</t>
        </is>
      </c>
      <c r="L318" t="n">
        <v>6.97</v>
      </c>
      <c r="M318" t="inlineStr">
        <is>
          <t>Geen dieet</t>
        </is>
      </c>
      <c r="N318">
        <f>LEFT(A318, FIND(",", A318)-1)</f>
        <v/>
      </c>
      <c r="O318">
        <f>MID(A318, FIND(",", A318)+2, LEN(A318))</f>
        <v/>
      </c>
      <c r="P318">
        <f>SWITCH(J318, "Zelden", 1, "Af en toe", 4, "Regelmatig", 8, "Vaak", 12)</f>
        <v/>
      </c>
      <c r="Q318">
        <f>IF(L318&gt;=7, "Tevreden", "Ontevreden")</f>
        <v/>
      </c>
    </row>
    <row r="319">
      <c r="A319" t="inlineStr">
        <is>
          <t>Pauwels, Fabienne</t>
        </is>
      </c>
      <c r="B319" t="n">
        <v>3153708971</v>
      </c>
      <c r="C319" t="inlineStr">
        <is>
          <t>14/12/1971</t>
        </is>
      </c>
      <c r="D319" t="inlineStr">
        <is>
          <t>Koestraat</t>
        </is>
      </c>
      <c r="E319" t="n">
        <v>16</v>
      </c>
      <c r="F319" t="inlineStr">
        <is>
          <t>Herten</t>
        </is>
      </c>
      <c r="G319" t="n">
        <v>1</v>
      </c>
      <c r="H319" t="n">
        <v>3</v>
      </c>
      <c r="I319" t="n">
        <v>193.28</v>
      </c>
      <c r="J319" t="inlineStr">
        <is>
          <t>Af en toe</t>
        </is>
      </c>
      <c r="K319" t="inlineStr">
        <is>
          <t>Cash</t>
        </is>
      </c>
      <c r="L319" t="n">
        <v>6.83</v>
      </c>
      <c r="M319" t="inlineStr">
        <is>
          <t>Geen dieet</t>
        </is>
      </c>
      <c r="N319">
        <f>LEFT(A319, FIND(",", A319)-1)</f>
        <v/>
      </c>
      <c r="O319">
        <f>MID(A319, FIND(",", A319)+2, LEN(A319))</f>
        <v/>
      </c>
      <c r="P319">
        <f>SWITCH(J319, "Zelden", 1, "Af en toe", 4, "Regelmatig", 8, "Vaak", 12)</f>
        <v/>
      </c>
      <c r="Q319">
        <f>IF(L319&gt;=7, "Tevreden", "Ontevreden")</f>
        <v/>
      </c>
    </row>
    <row r="320">
      <c r="A320" t="inlineStr">
        <is>
          <t>Garcia, Jeanne</t>
        </is>
      </c>
      <c r="B320" t="n">
        <v>3037960598</v>
      </c>
      <c r="C320" t="inlineStr">
        <is>
          <t>06/04/1988</t>
        </is>
      </c>
      <c r="D320" t="inlineStr">
        <is>
          <t>Sint-bernadestraat</t>
        </is>
      </c>
      <c r="E320" t="n">
        <v>11</v>
      </c>
      <c r="F320" t="inlineStr">
        <is>
          <t>Sint-Truiden</t>
        </is>
      </c>
      <c r="G320" t="n">
        <v>2</v>
      </c>
      <c r="H320" t="n">
        <v>4</v>
      </c>
      <c r="I320" t="n">
        <v>142.69</v>
      </c>
      <c r="J320" t="inlineStr">
        <is>
          <t>Vaak</t>
        </is>
      </c>
      <c r="K320" t="inlineStr">
        <is>
          <t>Payconiq</t>
        </is>
      </c>
      <c r="L320" t="n">
        <v>8.49</v>
      </c>
      <c r="M320" t="inlineStr">
        <is>
          <t>Vegetarisch</t>
        </is>
      </c>
      <c r="N320">
        <f>LEFT(A320, FIND(",", A320)-1)</f>
        <v/>
      </c>
      <c r="O320">
        <f>MID(A320, FIND(",", A320)+2, LEN(A320))</f>
        <v/>
      </c>
      <c r="P320">
        <f>SWITCH(J320, "Zelden", 1, "Af en toe", 4, "Regelmatig", 8, "Vaak", 12)</f>
        <v/>
      </c>
      <c r="Q320">
        <f>IF(L320&gt;=7, "Tevreden", "Ontevreden")</f>
        <v/>
      </c>
    </row>
    <row r="321">
      <c r="A321" t="inlineStr">
        <is>
          <t>Dumont, Suzie</t>
        </is>
      </c>
      <c r="B321" t="n">
        <v>5545359297</v>
      </c>
      <c r="C321" t="inlineStr">
        <is>
          <t>14/10/1959</t>
        </is>
      </c>
      <c r="D321" t="inlineStr">
        <is>
          <t>St Kristoffelstraat</t>
        </is>
      </c>
      <c r="E321" t="n">
        <v>3</v>
      </c>
      <c r="F321" t="inlineStr">
        <is>
          <t>Hasselt</t>
        </is>
      </c>
      <c r="G321" t="n">
        <v>1</v>
      </c>
      <c r="H321" t="n">
        <v>0</v>
      </c>
      <c r="I321" t="n">
        <v>49.27</v>
      </c>
      <c r="J321" t="inlineStr">
        <is>
          <t>Zeer vaak</t>
        </is>
      </c>
      <c r="K321" t="inlineStr">
        <is>
          <t>Bancontact</t>
        </is>
      </c>
      <c r="L321" t="n">
        <v>6.89</v>
      </c>
      <c r="M321" t="inlineStr">
        <is>
          <t>Geen dieet</t>
        </is>
      </c>
      <c r="N321">
        <f>LEFT(A321, FIND(",", A321)-1)</f>
        <v/>
      </c>
      <c r="O321">
        <f>MID(A321, FIND(",", A321)+2, LEN(A321))</f>
        <v/>
      </c>
      <c r="P321">
        <f>SWITCH(J321, "Zelden", 1, "Af en toe", 4, "Regelmatig", 8, "Vaak", 12)</f>
        <v/>
      </c>
      <c r="Q321">
        <f>IF(L321&gt;=7, "Tevreden", "Ontevreden")</f>
        <v/>
      </c>
    </row>
    <row r="322">
      <c r="A322" t="inlineStr">
        <is>
          <t>Bogaert, Francis</t>
        </is>
      </c>
      <c r="B322" t="n">
        <v>6987175054</v>
      </c>
      <c r="C322" t="inlineStr">
        <is>
          <t>30/11/1992</t>
        </is>
      </c>
      <c r="D322" t="inlineStr">
        <is>
          <t>Sanderswal</t>
        </is>
      </c>
      <c r="E322" t="n">
        <v>78</v>
      </c>
      <c r="F322" t="inlineStr">
        <is>
          <t>Herten</t>
        </is>
      </c>
      <c r="G322" t="n">
        <v>2</v>
      </c>
      <c r="H322" t="n">
        <v>0</v>
      </c>
      <c r="I322" t="n">
        <v>24.26</v>
      </c>
      <c r="J322" t="inlineStr">
        <is>
          <t>Af en toe</t>
        </is>
      </c>
      <c r="K322" t="inlineStr">
        <is>
          <t>Bancontact</t>
        </is>
      </c>
      <c r="L322" t="n">
        <v>7.13</v>
      </c>
      <c r="M322" t="inlineStr">
        <is>
          <t>Geen dieet</t>
        </is>
      </c>
      <c r="N322">
        <f>LEFT(A322, FIND(",", A322)-1)</f>
        <v/>
      </c>
      <c r="O322">
        <f>MID(A322, FIND(",", A322)+2, LEN(A322))</f>
        <v/>
      </c>
      <c r="P322">
        <f>SWITCH(J322, "Zelden", 1, "Af en toe", 4, "Regelmatig", 8, "Vaak", 12)</f>
        <v/>
      </c>
      <c r="Q322">
        <f>IF(L322&gt;=7, "Tevreden", "Ontevreden")</f>
        <v/>
      </c>
    </row>
    <row r="323">
      <c r="A323" t="inlineStr">
        <is>
          <t>De bock, Meindert</t>
        </is>
      </c>
      <c r="B323" t="n">
        <v>9861467630</v>
      </c>
      <c r="C323" t="inlineStr">
        <is>
          <t>10/08/2002</t>
        </is>
      </c>
      <c r="D323" t="inlineStr">
        <is>
          <t>Foreestelaan</t>
        </is>
      </c>
      <c r="E323" t="n">
        <v>90</v>
      </c>
      <c r="F323" t="inlineStr">
        <is>
          <t>Bilzen</t>
        </is>
      </c>
      <c r="G323" t="n">
        <v>2</v>
      </c>
      <c r="H323" t="n">
        <v>1</v>
      </c>
      <c r="I323" t="n">
        <v>49.14</v>
      </c>
      <c r="J323" t="inlineStr">
        <is>
          <t>Dagelijks</t>
        </is>
      </c>
      <c r="K323" t="inlineStr">
        <is>
          <t>Payconiq</t>
        </is>
      </c>
      <c r="L323" t="n">
        <v>5.47</v>
      </c>
      <c r="M323" t="inlineStr">
        <is>
          <t>Veganistisch</t>
        </is>
      </c>
      <c r="N323">
        <f>LEFT(A323, FIND(",", A323)-1)</f>
        <v/>
      </c>
      <c r="O323">
        <f>MID(A323, FIND(",", A323)+2, LEN(A323))</f>
        <v/>
      </c>
      <c r="P323">
        <f>SWITCH(J323, "Zelden", 1, "Af en toe", 4, "Regelmatig", 8, "Vaak", 12)</f>
        <v/>
      </c>
      <c r="Q323">
        <f>IF(L323&gt;=7, "Tevreden", "Ontevreden")</f>
        <v/>
      </c>
    </row>
    <row r="324">
      <c r="A324" t="inlineStr">
        <is>
          <t>Vermeulen, Gaetan</t>
        </is>
      </c>
      <c r="B324" t="n">
        <v>3263242748</v>
      </c>
      <c r="C324" t="inlineStr">
        <is>
          <t>01/02/1986</t>
        </is>
      </c>
      <c r="D324" t="inlineStr">
        <is>
          <t>Jacob Van Arteveldestraat</t>
        </is>
      </c>
      <c r="E324" t="n">
        <v>56</v>
      </c>
      <c r="F324" t="inlineStr">
        <is>
          <t>Herten</t>
        </is>
      </c>
      <c r="G324" t="n">
        <v>2</v>
      </c>
      <c r="H324" t="n">
        <v>3</v>
      </c>
      <c r="I324" t="n">
        <v>97.54000000000001</v>
      </c>
      <c r="J324" t="inlineStr">
        <is>
          <t>Zeer vaak</t>
        </is>
      </c>
      <c r="K324" t="inlineStr">
        <is>
          <t>Bancontact</t>
        </is>
      </c>
      <c r="L324" t="n">
        <v>7.32</v>
      </c>
      <c r="M324" t="inlineStr">
        <is>
          <t>Geen dieet</t>
        </is>
      </c>
      <c r="N324">
        <f>LEFT(A324, FIND(",", A324)-1)</f>
        <v/>
      </c>
      <c r="O324">
        <f>MID(A324, FIND(",", A324)+2, LEN(A324))</f>
        <v/>
      </c>
      <c r="P324">
        <f>SWITCH(J324, "Zelden", 1, "Af en toe", 4, "Regelmatig", 8, "Vaak", 12)</f>
        <v/>
      </c>
      <c r="Q324">
        <f>IF(L324&gt;=7, "Tevreden", "Ontevreden")</f>
        <v/>
      </c>
    </row>
    <row r="325">
      <c r="A325" t="inlineStr">
        <is>
          <t>David, Kristel</t>
        </is>
      </c>
      <c r="B325" t="n">
        <v>9124372622</v>
      </c>
      <c r="C325" t="inlineStr">
        <is>
          <t>22/10/1984</t>
        </is>
      </c>
      <c r="D325" t="inlineStr">
        <is>
          <t>Foreestelaan</t>
        </is>
      </c>
      <c r="E325" t="n">
        <v>20</v>
      </c>
      <c r="F325" t="inlineStr">
        <is>
          <t>Herten</t>
        </is>
      </c>
      <c r="G325" t="n">
        <v>2</v>
      </c>
      <c r="H325" t="n">
        <v>0</v>
      </c>
      <c r="I325" t="n">
        <v>32.75</v>
      </c>
      <c r="J325" t="inlineStr">
        <is>
          <t>Af en toe</t>
        </is>
      </c>
      <c r="K325" t="inlineStr">
        <is>
          <t>Bancontact</t>
        </is>
      </c>
      <c r="L325" t="n">
        <v>7.5</v>
      </c>
      <c r="M325" t="inlineStr">
        <is>
          <t>Geen dieet</t>
        </is>
      </c>
      <c r="N325">
        <f>LEFT(A325, FIND(",", A325)-1)</f>
        <v/>
      </c>
      <c r="O325">
        <f>MID(A325, FIND(",", A325)+2, LEN(A325))</f>
        <v/>
      </c>
      <c r="P325">
        <f>SWITCH(J325, "Zelden", 1, "Af en toe", 4, "Regelmatig", 8, "Vaak", 12)</f>
        <v/>
      </c>
      <c r="Q325">
        <f>IF(L325&gt;=7, "Tevreden", "Ontevreden")</f>
        <v/>
      </c>
    </row>
    <row r="326">
      <c r="A326" t="inlineStr">
        <is>
          <t>Cornelis, Samuel</t>
        </is>
      </c>
      <c r="B326" t="n">
        <v>4681944714</v>
      </c>
      <c r="C326" t="inlineStr">
        <is>
          <t>03/10/1961</t>
        </is>
      </c>
      <c r="D326" t="inlineStr">
        <is>
          <t>Oktrooiplein</t>
        </is>
      </c>
      <c r="E326" t="n">
        <v>33</v>
      </c>
      <c r="F326" t="inlineStr">
        <is>
          <t>Neerpelt</t>
        </is>
      </c>
      <c r="G326" t="n">
        <v>1</v>
      </c>
      <c r="H326" t="n">
        <v>3</v>
      </c>
      <c r="I326" t="n">
        <v>147.58</v>
      </c>
      <c r="J326" t="inlineStr">
        <is>
          <t>Zelden</t>
        </is>
      </c>
      <c r="K326" t="inlineStr">
        <is>
          <t>Payconiq</t>
        </is>
      </c>
      <c r="L326" t="n">
        <v>5.86</v>
      </c>
      <c r="M326" t="inlineStr">
        <is>
          <t>Veganistisch</t>
        </is>
      </c>
      <c r="N326">
        <f>LEFT(A326, FIND(",", A326)-1)</f>
        <v/>
      </c>
      <c r="O326">
        <f>MID(A326, FIND(",", A326)+2, LEN(A326))</f>
        <v/>
      </c>
      <c r="P326">
        <f>SWITCH(J326, "Zelden", 1, "Af en toe", 4, "Regelmatig", 8, "Vaak", 12)</f>
        <v/>
      </c>
      <c r="Q326">
        <f>IF(L326&gt;=7, "Tevreden", "Ontevreden")</f>
        <v/>
      </c>
    </row>
    <row r="327">
      <c r="A327" t="inlineStr">
        <is>
          <t>Peeters, Eva</t>
        </is>
      </c>
      <c r="B327" t="n">
        <v>7053344024</v>
      </c>
      <c r="C327" t="inlineStr">
        <is>
          <t>11/08/2002</t>
        </is>
      </c>
      <c r="D327" t="inlineStr">
        <is>
          <t>Koningin Astridlaan</t>
        </is>
      </c>
      <c r="E327" t="n">
        <v>53</v>
      </c>
      <c r="F327" t="inlineStr">
        <is>
          <t>Lommel</t>
        </is>
      </c>
      <c r="G327" t="n">
        <v>2</v>
      </c>
      <c r="H327" t="n">
        <v>0</v>
      </c>
      <c r="I327" t="n">
        <v>110.57</v>
      </c>
      <c r="J327" t="inlineStr">
        <is>
          <t>Zeer vaak</t>
        </is>
      </c>
      <c r="K327" t="inlineStr">
        <is>
          <t>Cash</t>
        </is>
      </c>
      <c r="L327" t="n">
        <v>6.54</v>
      </c>
      <c r="M327" t="inlineStr">
        <is>
          <t>Geen dieet</t>
        </is>
      </c>
      <c r="N327">
        <f>LEFT(A327, FIND(",", A327)-1)</f>
        <v/>
      </c>
      <c r="O327">
        <f>MID(A327, FIND(",", A327)+2, LEN(A327))</f>
        <v/>
      </c>
      <c r="P327">
        <f>SWITCH(J327, "Zelden", 1, "Af en toe", 4, "Regelmatig", 8, "Vaak", 12)</f>
        <v/>
      </c>
      <c r="Q327">
        <f>IF(L327&gt;=7, "Tevreden", "Ontevreden")</f>
        <v/>
      </c>
    </row>
    <row r="328">
      <c r="A328" t="inlineStr">
        <is>
          <t>Smits, Erwan</t>
        </is>
      </c>
      <c r="B328" t="n">
        <v>7241671311</v>
      </c>
      <c r="C328" t="inlineStr">
        <is>
          <t>12/11/1962</t>
        </is>
      </c>
      <c r="D328" t="inlineStr">
        <is>
          <t>Jacob Van Arteveldestraat</t>
        </is>
      </c>
      <c r="E328" t="n">
        <v>7</v>
      </c>
      <c r="F328" t="inlineStr">
        <is>
          <t>Genk</t>
        </is>
      </c>
      <c r="G328" t="n">
        <v>1</v>
      </c>
      <c r="H328" t="n">
        <v>3</v>
      </c>
      <c r="I328" t="n">
        <v>99.95999999999999</v>
      </c>
      <c r="J328" t="inlineStr">
        <is>
          <t>Zeer vaak</t>
        </is>
      </c>
      <c r="K328" t="inlineStr">
        <is>
          <t>Cash</t>
        </is>
      </c>
      <c r="L328" t="n">
        <v>7.45</v>
      </c>
      <c r="M328" t="inlineStr">
        <is>
          <t>Vegetarisch</t>
        </is>
      </c>
      <c r="N328">
        <f>LEFT(A328, FIND(",", A328)-1)</f>
        <v/>
      </c>
      <c r="O328">
        <f>MID(A328, FIND(",", A328)+2, LEN(A328))</f>
        <v/>
      </c>
      <c r="P328">
        <f>SWITCH(J328, "Zelden", 1, "Af en toe", 4, "Regelmatig", 8, "Vaak", 12)</f>
        <v/>
      </c>
      <c r="Q328">
        <f>IF(L328&gt;=7, "Tevreden", "Ontevreden")</f>
        <v/>
      </c>
    </row>
    <row r="329">
      <c r="A329" t="inlineStr">
        <is>
          <t>Willems, Esteban</t>
        </is>
      </c>
      <c r="B329" t="n">
        <v>7343947067</v>
      </c>
      <c r="C329" t="inlineStr">
        <is>
          <t>10/11/1956</t>
        </is>
      </c>
      <c r="D329" t="inlineStr">
        <is>
          <t>Peerstraat</t>
        </is>
      </c>
      <c r="E329" t="n">
        <v>51</v>
      </c>
      <c r="F329" t="inlineStr">
        <is>
          <t>Zepperen</t>
        </is>
      </c>
      <c r="G329" t="n">
        <v>1</v>
      </c>
      <c r="H329" t="n">
        <v>2</v>
      </c>
      <c r="I329" t="n">
        <v>157.1</v>
      </c>
      <c r="J329" t="inlineStr">
        <is>
          <t>Zeer vaak</t>
        </is>
      </c>
      <c r="K329" t="inlineStr">
        <is>
          <t>Bancontact</t>
        </is>
      </c>
      <c r="L329" t="n">
        <v>7.62</v>
      </c>
      <c r="M329" t="inlineStr">
        <is>
          <t>Geen dieet</t>
        </is>
      </c>
      <c r="N329">
        <f>LEFT(A329, FIND(",", A329)-1)</f>
        <v/>
      </c>
      <c r="O329">
        <f>MID(A329, FIND(",", A329)+2, LEN(A329))</f>
        <v/>
      </c>
      <c r="P329">
        <f>SWITCH(J329, "Zelden", 1, "Af en toe", 4, "Regelmatig", 8, "Vaak", 12)</f>
        <v/>
      </c>
      <c r="Q329">
        <f>IF(L329&gt;=7, "Tevreden", "Ontevreden")</f>
        <v/>
      </c>
    </row>
    <row r="330">
      <c r="A330" t="inlineStr">
        <is>
          <t>Van den eynde, Rita</t>
        </is>
      </c>
      <c r="B330" t="n">
        <v>3967600120</v>
      </c>
      <c r="C330" t="inlineStr">
        <is>
          <t>15/12/1978</t>
        </is>
      </c>
      <c r="D330" t="inlineStr">
        <is>
          <t>Warmoezeniersweg</t>
        </is>
      </c>
      <c r="E330" t="n">
        <v>1</v>
      </c>
      <c r="F330" t="inlineStr">
        <is>
          <t>Heusden-Zolder</t>
        </is>
      </c>
      <c r="G330" t="n">
        <v>2</v>
      </c>
      <c r="H330" t="n">
        <v>1</v>
      </c>
      <c r="I330" t="n">
        <v>113.88</v>
      </c>
      <c r="J330" t="inlineStr">
        <is>
          <t>Zelden</t>
        </is>
      </c>
      <c r="K330" t="inlineStr">
        <is>
          <t>Payconiq</t>
        </is>
      </c>
      <c r="L330" t="n">
        <v>7.05</v>
      </c>
      <c r="M330" t="inlineStr">
        <is>
          <t>Geen dieet</t>
        </is>
      </c>
      <c r="N330">
        <f>LEFT(A330, FIND(",", A330)-1)</f>
        <v/>
      </c>
      <c r="O330">
        <f>MID(A330, FIND(",", A330)+2, LEN(A330))</f>
        <v/>
      </c>
      <c r="P330">
        <f>SWITCH(J330, "Zelden", 1, "Af en toe", 4, "Regelmatig", 8, "Vaak", 12)</f>
        <v/>
      </c>
      <c r="Q330">
        <f>IF(L330&gt;=7, "Tevreden", "Ontevreden")</f>
        <v/>
      </c>
    </row>
    <row r="331">
      <c r="A331" t="inlineStr">
        <is>
          <t>Van driessche, Gaspard</t>
        </is>
      </c>
      <c r="B331" t="n">
        <v>6447235564</v>
      </c>
      <c r="C331" t="inlineStr">
        <is>
          <t>17/06/2002</t>
        </is>
      </c>
      <c r="D331" t="inlineStr">
        <is>
          <t>Botermarkt</t>
        </is>
      </c>
      <c r="E331" t="n">
        <v>66</v>
      </c>
      <c r="F331" t="inlineStr">
        <is>
          <t>Sint-Truiden</t>
        </is>
      </c>
      <c r="G331" t="n">
        <v>2</v>
      </c>
      <c r="H331" t="n">
        <v>1</v>
      </c>
      <c r="I331" t="n">
        <v>49.89</v>
      </c>
      <c r="J331" t="inlineStr">
        <is>
          <t>Vaak</t>
        </is>
      </c>
      <c r="K331" t="inlineStr">
        <is>
          <t>Cash</t>
        </is>
      </c>
      <c r="L331" t="n">
        <v>6.57</v>
      </c>
      <c r="M331" t="inlineStr">
        <is>
          <t>Veganistisch</t>
        </is>
      </c>
      <c r="N331">
        <f>LEFT(A331, FIND(",", A331)-1)</f>
        <v/>
      </c>
      <c r="O331">
        <f>MID(A331, FIND(",", A331)+2, LEN(A331))</f>
        <v/>
      </c>
      <c r="P331">
        <f>SWITCH(J331, "Zelden", 1, "Af en toe", 4, "Regelmatig", 8, "Vaak", 12)</f>
        <v/>
      </c>
      <c r="Q331">
        <f>IF(L331&gt;=7, "Tevreden", "Ontevreden")</f>
        <v/>
      </c>
    </row>
    <row r="332">
      <c r="A332" t="inlineStr">
        <is>
          <t>Bastin, Adrien</t>
        </is>
      </c>
      <c r="B332" t="n">
        <v>7037148269</v>
      </c>
      <c r="C332" t="inlineStr">
        <is>
          <t>14/05/1997</t>
        </is>
      </c>
      <c r="D332" t="inlineStr">
        <is>
          <t>Belfortstraat</t>
        </is>
      </c>
      <c r="E332" t="n">
        <v>14</v>
      </c>
      <c r="F332" t="inlineStr">
        <is>
          <t>Genk</t>
        </is>
      </c>
      <c r="G332" t="n">
        <v>2</v>
      </c>
      <c r="H332" t="n">
        <v>1</v>
      </c>
      <c r="I332" t="n">
        <v>150.32</v>
      </c>
      <c r="J332" t="inlineStr">
        <is>
          <t>Af en toe</t>
        </is>
      </c>
      <c r="K332" t="inlineStr">
        <is>
          <t>Payconiq</t>
        </is>
      </c>
      <c r="L332" t="n">
        <v>6.96</v>
      </c>
      <c r="M332" t="inlineStr">
        <is>
          <t>Geen dieet</t>
        </is>
      </c>
      <c r="N332">
        <f>LEFT(A332, FIND(",", A332)-1)</f>
        <v/>
      </c>
      <c r="O332">
        <f>MID(A332, FIND(",", A332)+2, LEN(A332))</f>
        <v/>
      </c>
      <c r="P332">
        <f>SWITCH(J332, "Zelden", 1, "Af en toe", 4, "Regelmatig", 8, "Vaak", 12)</f>
        <v/>
      </c>
      <c r="Q332">
        <f>IF(L332&gt;=7, "Tevreden", "Ontevreden")</f>
        <v/>
      </c>
    </row>
    <row r="333">
      <c r="A333" t="inlineStr">
        <is>
          <t>Houben, Jessica</t>
        </is>
      </c>
      <c r="B333" t="n">
        <v>4858347973</v>
      </c>
      <c r="C333" t="inlineStr">
        <is>
          <t>23/02/1948</t>
        </is>
      </c>
      <c r="D333" t="inlineStr">
        <is>
          <t>Franklin Rooseveltlaan</t>
        </is>
      </c>
      <c r="E333" t="n">
        <v>15</v>
      </c>
      <c r="F333" t="inlineStr">
        <is>
          <t>Tongeren</t>
        </is>
      </c>
      <c r="G333" t="n">
        <v>1</v>
      </c>
      <c r="H333" t="n">
        <v>0</v>
      </c>
      <c r="I333" t="n">
        <v>20.21</v>
      </c>
      <c r="J333" t="inlineStr">
        <is>
          <t>Zeer vaak</t>
        </is>
      </c>
      <c r="K333" t="inlineStr">
        <is>
          <t>Payconiq</t>
        </is>
      </c>
      <c r="L333" t="n">
        <v>7.28</v>
      </c>
      <c r="M333" t="inlineStr">
        <is>
          <t>Geen dieet</t>
        </is>
      </c>
      <c r="N333">
        <f>LEFT(A333, FIND(",", A333)-1)</f>
        <v/>
      </c>
      <c r="O333">
        <f>MID(A333, FIND(",", A333)+2, LEN(A333))</f>
        <v/>
      </c>
      <c r="P333">
        <f>SWITCH(J333, "Zelden", 1, "Af en toe", 4, "Regelmatig", 8, "Vaak", 12)</f>
        <v/>
      </c>
      <c r="Q333">
        <f>IF(L333&gt;=7, "Tevreden", "Ontevreden")</f>
        <v/>
      </c>
    </row>
    <row r="334">
      <c r="A334" t="inlineStr">
        <is>
          <t>Baert, Giuseppina</t>
        </is>
      </c>
      <c r="B334" t="n">
        <v>1138104991</v>
      </c>
      <c r="C334" t="inlineStr">
        <is>
          <t>17/09/1966</t>
        </is>
      </c>
      <c r="D334" t="inlineStr">
        <is>
          <t>J.b. De Ghellincklaan</t>
        </is>
      </c>
      <c r="E334" t="n">
        <v>46</v>
      </c>
      <c r="F334" t="inlineStr">
        <is>
          <t>Tongeren</t>
        </is>
      </c>
      <c r="G334" t="n">
        <v>1</v>
      </c>
      <c r="H334" t="n">
        <v>5</v>
      </c>
      <c r="I334" t="n">
        <v>174.07</v>
      </c>
      <c r="J334" t="inlineStr">
        <is>
          <t>Vaak</t>
        </is>
      </c>
      <c r="K334" t="inlineStr">
        <is>
          <t>Bancontact</t>
        </is>
      </c>
      <c r="L334" t="n">
        <v>6.77</v>
      </c>
      <c r="M334" t="inlineStr">
        <is>
          <t>Geen dieet</t>
        </is>
      </c>
      <c r="N334">
        <f>LEFT(A334, FIND(",", A334)-1)</f>
        <v/>
      </c>
      <c r="O334">
        <f>MID(A334, FIND(",", A334)+2, LEN(A334))</f>
        <v/>
      </c>
      <c r="P334">
        <f>SWITCH(J334, "Zelden", 1, "Af en toe", 4, "Regelmatig", 8, "Vaak", 12)</f>
        <v/>
      </c>
      <c r="Q334">
        <f>IF(L334&gt;=7, "Tevreden", "Ontevreden")</f>
        <v/>
      </c>
    </row>
    <row r="335">
      <c r="A335" t="inlineStr">
        <is>
          <t>Daniels, Lucrèce</t>
        </is>
      </c>
      <c r="B335" t="n">
        <v>7132824796</v>
      </c>
      <c r="C335" t="inlineStr">
        <is>
          <t>05/04/1957</t>
        </is>
      </c>
      <c r="D335" t="inlineStr">
        <is>
          <t>Scheepzatestraat</t>
        </is>
      </c>
      <c r="E335" t="n">
        <v>54</v>
      </c>
      <c r="F335" t="inlineStr">
        <is>
          <t>Heusden-Zolder</t>
        </is>
      </c>
      <c r="G335" t="n">
        <v>4</v>
      </c>
      <c r="H335" t="n">
        <v>3</v>
      </c>
      <c r="I335" t="n">
        <v>170.21</v>
      </c>
      <c r="J335" t="inlineStr">
        <is>
          <t>Af en toe</t>
        </is>
      </c>
      <c r="K335" t="inlineStr">
        <is>
          <t>Bancontact</t>
        </is>
      </c>
      <c r="L335" t="n">
        <v>7.52</v>
      </c>
      <c r="M335" t="inlineStr">
        <is>
          <t>Geen dieet</t>
        </is>
      </c>
      <c r="N335">
        <f>LEFT(A335, FIND(",", A335)-1)</f>
        <v/>
      </c>
      <c r="O335">
        <f>MID(A335, FIND(",", A335)+2, LEN(A335))</f>
        <v/>
      </c>
      <c r="P335">
        <f>SWITCH(J335, "Zelden", 1, "Af en toe", 4, "Regelmatig", 8, "Vaak", 12)</f>
        <v/>
      </c>
      <c r="Q335">
        <f>IF(L335&gt;=7, "Tevreden", "Ontevreden")</f>
        <v/>
      </c>
    </row>
    <row r="336">
      <c r="A336" t="inlineStr">
        <is>
          <t>Vervoort, Florian</t>
        </is>
      </c>
      <c r="B336" t="n">
        <v>6566189136</v>
      </c>
      <c r="C336" t="inlineStr">
        <is>
          <t>15/05/1980</t>
        </is>
      </c>
      <c r="D336" t="inlineStr">
        <is>
          <t>Eliane Vogel-polskypad</t>
        </is>
      </c>
      <c r="E336" t="n">
        <v>23</v>
      </c>
      <c r="F336" t="inlineStr">
        <is>
          <t>Maaseik</t>
        </is>
      </c>
      <c r="G336" t="n">
        <v>2</v>
      </c>
      <c r="H336" t="n">
        <v>0</v>
      </c>
      <c r="I336" t="n">
        <v>19.64</v>
      </c>
      <c r="J336" t="inlineStr">
        <is>
          <t>Af en toe</t>
        </is>
      </c>
      <c r="K336" t="inlineStr">
        <is>
          <t>Cash</t>
        </is>
      </c>
      <c r="L336" t="n">
        <v>6.98</v>
      </c>
      <c r="M336" t="inlineStr">
        <is>
          <t>Geen dieet</t>
        </is>
      </c>
      <c r="N336">
        <f>LEFT(A336, FIND(",", A336)-1)</f>
        <v/>
      </c>
      <c r="O336">
        <f>MID(A336, FIND(",", A336)+2, LEN(A336))</f>
        <v/>
      </c>
      <c r="P336">
        <f>SWITCH(J336, "Zelden", 1, "Af en toe", 4, "Regelmatig", 8, "Vaak", 12)</f>
        <v/>
      </c>
      <c r="Q336">
        <f>IF(L336&gt;=7, "Tevreden", "Ontevreden")</f>
        <v/>
      </c>
    </row>
    <row r="337">
      <c r="A337" t="inlineStr">
        <is>
          <t>Wouters, Gisèle</t>
        </is>
      </c>
      <c r="B337" t="n">
        <v>6279230288</v>
      </c>
      <c r="C337" t="inlineStr">
        <is>
          <t>04/07/1984</t>
        </is>
      </c>
      <c r="D337" t="inlineStr">
        <is>
          <t>Fregatstraat</t>
        </is>
      </c>
      <c r="E337" t="n">
        <v>91</v>
      </c>
      <c r="F337" t="inlineStr">
        <is>
          <t>Hasselt</t>
        </is>
      </c>
      <c r="G337" t="n">
        <v>3</v>
      </c>
      <c r="H337" t="n">
        <v>1</v>
      </c>
      <c r="I337" t="n">
        <v>159.29</v>
      </c>
      <c r="J337" t="inlineStr">
        <is>
          <t>Af en toe</t>
        </is>
      </c>
      <c r="K337" t="inlineStr">
        <is>
          <t>Payconiq</t>
        </is>
      </c>
      <c r="L337" t="n">
        <v>8.32</v>
      </c>
      <c r="M337" t="inlineStr">
        <is>
          <t>Vegetarisch</t>
        </is>
      </c>
      <c r="N337">
        <f>LEFT(A337, FIND(",", A337)-1)</f>
        <v/>
      </c>
      <c r="O337">
        <f>MID(A337, FIND(",", A337)+2, LEN(A337))</f>
        <v/>
      </c>
      <c r="P337">
        <f>SWITCH(J337, "Zelden", 1, "Af en toe", 4, "Regelmatig", 8, "Vaak", 12)</f>
        <v/>
      </c>
      <c r="Q337">
        <f>IF(L337&gt;=7, "Tevreden", "Ontevreden")</f>
        <v/>
      </c>
    </row>
    <row r="338">
      <c r="A338" t="inlineStr">
        <is>
          <t>Denis, Caitlin</t>
        </is>
      </c>
      <c r="B338" t="n">
        <v>5774450569</v>
      </c>
      <c r="C338" t="inlineStr">
        <is>
          <t>19/03/1949</t>
        </is>
      </c>
      <c r="D338" t="inlineStr">
        <is>
          <t>Keuze</t>
        </is>
      </c>
      <c r="E338" t="n">
        <v>7</v>
      </c>
      <c r="F338" t="inlineStr">
        <is>
          <t>Bilzen</t>
        </is>
      </c>
      <c r="G338" t="n">
        <v>2</v>
      </c>
      <c r="H338" t="n">
        <v>5</v>
      </c>
      <c r="I338" t="n">
        <v>104.17</v>
      </c>
      <c r="J338" t="inlineStr">
        <is>
          <t>Af en toe</t>
        </is>
      </c>
      <c r="K338" t="inlineStr">
        <is>
          <t>Payconiq</t>
        </is>
      </c>
      <c r="L338" t="n">
        <v>5.92</v>
      </c>
      <c r="M338" t="inlineStr">
        <is>
          <t>Veganistisch</t>
        </is>
      </c>
      <c r="N338">
        <f>LEFT(A338, FIND(",", A338)-1)</f>
        <v/>
      </c>
      <c r="O338">
        <f>MID(A338, FIND(",", A338)+2, LEN(A338))</f>
        <v/>
      </c>
      <c r="P338">
        <f>SWITCH(J338, "Zelden", 1, "Af en toe", 4, "Regelmatig", 8, "Vaak", 12)</f>
        <v/>
      </c>
      <c r="Q338">
        <f>IF(L338&gt;=7, "Tevreden", "Ontevreden")</f>
        <v/>
      </c>
    </row>
    <row r="339">
      <c r="A339" t="inlineStr">
        <is>
          <t>Mertens, Françoise</t>
        </is>
      </c>
      <c r="B339" t="n">
        <v>654974348</v>
      </c>
      <c r="C339" t="inlineStr">
        <is>
          <t>17/01/1973</t>
        </is>
      </c>
      <c r="D339" t="inlineStr">
        <is>
          <t>Rozier</t>
        </is>
      </c>
      <c r="E339" t="n">
        <v>2</v>
      </c>
      <c r="F339" t="inlineStr">
        <is>
          <t>Kinrooi</t>
        </is>
      </c>
      <c r="G339" t="n">
        <v>2</v>
      </c>
      <c r="H339" t="n">
        <v>0</v>
      </c>
      <c r="I339" t="n">
        <v>60.24</v>
      </c>
      <c r="J339" t="inlineStr">
        <is>
          <t>Af en toe</t>
        </is>
      </c>
      <c r="K339" t="inlineStr">
        <is>
          <t>Payconiq</t>
        </is>
      </c>
      <c r="L339" t="n">
        <v>7.11</v>
      </c>
      <c r="M339" t="inlineStr">
        <is>
          <t>Geen dieet</t>
        </is>
      </c>
      <c r="N339">
        <f>LEFT(A339, FIND(",", A339)-1)</f>
        <v/>
      </c>
      <c r="O339">
        <f>MID(A339, FIND(",", A339)+2, LEN(A339))</f>
        <v/>
      </c>
      <c r="P339">
        <f>SWITCH(J339, "Zelden", 1, "Af en toe", 4, "Regelmatig", 8, "Vaak", 12)</f>
        <v/>
      </c>
      <c r="Q339">
        <f>IF(L339&gt;=7, "Tevreden", "Ontevreden")</f>
        <v/>
      </c>
    </row>
    <row r="340">
      <c r="A340" t="inlineStr">
        <is>
          <t>Dumont, Maël</t>
        </is>
      </c>
      <c r="B340" t="n">
        <v>1662966716</v>
      </c>
      <c r="C340" t="inlineStr">
        <is>
          <t>06/12/1979</t>
        </is>
      </c>
      <c r="D340" t="inlineStr">
        <is>
          <t>Zwijnaardesteenweg</t>
        </is>
      </c>
      <c r="E340" t="n">
        <v>34</v>
      </c>
      <c r="F340" t="inlineStr">
        <is>
          <t>Lommel</t>
        </is>
      </c>
      <c r="G340" t="n">
        <v>3</v>
      </c>
      <c r="H340" t="n">
        <v>0</v>
      </c>
      <c r="I340" t="n">
        <v>123.23</v>
      </c>
      <c r="J340" t="inlineStr">
        <is>
          <t>Vaak</t>
        </is>
      </c>
      <c r="K340" t="inlineStr">
        <is>
          <t>Bancontact</t>
        </is>
      </c>
      <c r="L340" t="n">
        <v>7.27</v>
      </c>
      <c r="M340" t="inlineStr">
        <is>
          <t>Geen dieet</t>
        </is>
      </c>
      <c r="N340">
        <f>LEFT(A340, FIND(",", A340)-1)</f>
        <v/>
      </c>
      <c r="O340">
        <f>MID(A340, FIND(",", A340)+2, LEN(A340))</f>
        <v/>
      </c>
      <c r="P340">
        <f>SWITCH(J340, "Zelden", 1, "Af en toe", 4, "Regelmatig", 8, "Vaak", 12)</f>
        <v/>
      </c>
      <c r="Q340">
        <f>IF(L340&gt;=7, "Tevreden", "Ontevreden")</f>
        <v/>
      </c>
    </row>
    <row r="341">
      <c r="A341" t="inlineStr">
        <is>
          <t>De jonghe, Lena</t>
        </is>
      </c>
      <c r="B341" t="n">
        <v>9906811126</v>
      </c>
      <c r="C341" t="inlineStr">
        <is>
          <t>03/12/1965</t>
        </is>
      </c>
      <c r="D341" t="inlineStr">
        <is>
          <t>Lindestuk</t>
        </is>
      </c>
      <c r="E341" t="n">
        <v>48</v>
      </c>
      <c r="F341" t="inlineStr">
        <is>
          <t>Neerpelt</t>
        </is>
      </c>
      <c r="G341" t="n">
        <v>2</v>
      </c>
      <c r="H341" t="n">
        <v>0</v>
      </c>
      <c r="I341" t="n">
        <v>65.64</v>
      </c>
      <c r="J341" t="inlineStr">
        <is>
          <t>Af en toe</t>
        </is>
      </c>
      <c r="K341" t="inlineStr">
        <is>
          <t>Payconiq</t>
        </is>
      </c>
      <c r="L341" t="n">
        <v>6.95</v>
      </c>
      <c r="M341" t="inlineStr">
        <is>
          <t>Geen dieet</t>
        </is>
      </c>
      <c r="N341">
        <f>LEFT(A341, FIND(",", A341)-1)</f>
        <v/>
      </c>
      <c r="O341">
        <f>MID(A341, FIND(",", A341)+2, LEN(A341))</f>
        <v/>
      </c>
      <c r="P341">
        <f>SWITCH(J341, "Zelden", 1, "Af en toe", 4, "Regelmatig", 8, "Vaak", 12)</f>
        <v/>
      </c>
      <c r="Q341">
        <f>IF(L341&gt;=7, "Tevreden", "Ontevreden")</f>
        <v/>
      </c>
    </row>
    <row r="342">
      <c r="A342" t="inlineStr">
        <is>
          <t>Aerts, Marie-Thérèse</t>
        </is>
      </c>
      <c r="B342" t="n">
        <v>4681951725</v>
      </c>
      <c r="C342" t="inlineStr">
        <is>
          <t>28/02/1954</t>
        </is>
      </c>
      <c r="D342" t="inlineStr">
        <is>
          <t>Ebergiste De Deynestraat</t>
        </is>
      </c>
      <c r="E342" t="n">
        <v>7</v>
      </c>
      <c r="F342" t="inlineStr">
        <is>
          <t>Sint-Truiden</t>
        </is>
      </c>
      <c r="G342" t="n">
        <v>2</v>
      </c>
      <c r="H342" t="n">
        <v>2</v>
      </c>
      <c r="I342" t="n">
        <v>130.5</v>
      </c>
      <c r="J342" t="inlineStr">
        <is>
          <t>Vaak</t>
        </is>
      </c>
      <c r="K342" t="inlineStr">
        <is>
          <t>Bancontact</t>
        </is>
      </c>
      <c r="L342" t="n">
        <v>7.51</v>
      </c>
      <c r="M342" t="inlineStr">
        <is>
          <t>Geen dieet</t>
        </is>
      </c>
      <c r="N342">
        <f>LEFT(A342, FIND(",", A342)-1)</f>
        <v/>
      </c>
      <c r="O342">
        <f>MID(A342, FIND(",", A342)+2, LEN(A342))</f>
        <v/>
      </c>
      <c r="P342">
        <f>SWITCH(J342, "Zelden", 1, "Af en toe", 4, "Regelmatig", 8, "Vaak", 12)</f>
        <v/>
      </c>
      <c r="Q342">
        <f>IF(L342&gt;=7, "Tevreden", "Ontevreden")</f>
        <v/>
      </c>
    </row>
    <row r="343">
      <c r="A343" t="inlineStr">
        <is>
          <t>Van den brande, Salwa</t>
        </is>
      </c>
      <c r="B343" t="n">
        <v>239392812</v>
      </c>
      <c r="C343" t="inlineStr">
        <is>
          <t>22/04/1998</t>
        </is>
      </c>
      <c r="D343" t="inlineStr">
        <is>
          <t>F. Lousbergskaai</t>
        </is>
      </c>
      <c r="E343" t="n">
        <v>56</v>
      </c>
      <c r="F343" t="inlineStr">
        <is>
          <t>Tessenderlo</t>
        </is>
      </c>
      <c r="G343" t="n">
        <v>2</v>
      </c>
      <c r="H343" t="n">
        <v>0</v>
      </c>
      <c r="I343" t="n">
        <v>42.67</v>
      </c>
      <c r="J343" t="inlineStr">
        <is>
          <t>Af en toe</t>
        </is>
      </c>
      <c r="K343" t="inlineStr">
        <is>
          <t>Bancontact</t>
        </is>
      </c>
      <c r="L343" t="n">
        <v>7.07</v>
      </c>
      <c r="M343" t="inlineStr">
        <is>
          <t>Geen dieet</t>
        </is>
      </c>
      <c r="N343">
        <f>LEFT(A343, FIND(",", A343)-1)</f>
        <v/>
      </c>
      <c r="O343">
        <f>MID(A343, FIND(",", A343)+2, LEN(A343))</f>
        <v/>
      </c>
      <c r="P343">
        <f>SWITCH(J343, "Zelden", 1, "Af en toe", 4, "Regelmatig", 8, "Vaak", 12)</f>
        <v/>
      </c>
      <c r="Q343">
        <f>IF(L343&gt;=7, "Tevreden", "Ontevreden")</f>
        <v/>
      </c>
    </row>
    <row r="344">
      <c r="A344" t="inlineStr">
        <is>
          <t>De roeck, Charle</t>
        </is>
      </c>
      <c r="B344" t="n">
        <v>4871969949</v>
      </c>
      <c r="C344" t="inlineStr">
        <is>
          <t>20/08/1950</t>
        </is>
      </c>
      <c r="D344" t="inlineStr">
        <is>
          <t>Maria Theresiastraat</t>
        </is>
      </c>
      <c r="E344" t="n">
        <v>4</v>
      </c>
      <c r="F344" t="inlineStr">
        <is>
          <t>Opglabbeek</t>
        </is>
      </c>
      <c r="G344" t="n">
        <v>2</v>
      </c>
      <c r="H344" t="n">
        <v>2</v>
      </c>
      <c r="I344" t="n">
        <v>104.37</v>
      </c>
      <c r="J344" t="inlineStr">
        <is>
          <t>Af en toe</t>
        </is>
      </c>
      <c r="K344" t="inlineStr">
        <is>
          <t>Payconiq</t>
        </is>
      </c>
      <c r="L344" t="n">
        <v>6.93</v>
      </c>
      <c r="M344" t="inlineStr">
        <is>
          <t>Geen dieet</t>
        </is>
      </c>
      <c r="N344">
        <f>LEFT(A344, FIND(",", A344)-1)</f>
        <v/>
      </c>
      <c r="O344">
        <f>MID(A344, FIND(",", A344)+2, LEN(A344))</f>
        <v/>
      </c>
      <c r="P344">
        <f>SWITCH(J344, "Zelden", 1, "Af en toe", 4, "Regelmatig", 8, "Vaak", 12)</f>
        <v/>
      </c>
      <c r="Q344">
        <f>IF(L344&gt;=7, "Tevreden", "Ontevreden")</f>
        <v/>
      </c>
    </row>
    <row r="345">
      <c r="A345" t="inlineStr">
        <is>
          <t>Van de velde, Tijs</t>
        </is>
      </c>
      <c r="B345" t="n">
        <v>4581257135</v>
      </c>
      <c r="C345" t="inlineStr">
        <is>
          <t>07/12/1982</t>
        </is>
      </c>
      <c r="D345" t="inlineStr">
        <is>
          <t>Keuze</t>
        </is>
      </c>
      <c r="E345" t="n">
        <v>58</v>
      </c>
      <c r="F345" t="inlineStr">
        <is>
          <t>Tongeren</t>
        </is>
      </c>
      <c r="G345" t="n">
        <v>1</v>
      </c>
      <c r="H345" t="n">
        <v>2</v>
      </c>
      <c r="I345" t="n">
        <v>41.55</v>
      </c>
      <c r="J345" t="inlineStr">
        <is>
          <t>Vaak</t>
        </is>
      </c>
      <c r="K345" t="inlineStr">
        <is>
          <t>Payconiq</t>
        </is>
      </c>
      <c r="L345" t="n">
        <v>8.6</v>
      </c>
      <c r="M345" t="inlineStr">
        <is>
          <t>Vegetarisch</t>
        </is>
      </c>
      <c r="N345">
        <f>LEFT(A345, FIND(",", A345)-1)</f>
        <v/>
      </c>
      <c r="O345">
        <f>MID(A345, FIND(",", A345)+2, LEN(A345))</f>
        <v/>
      </c>
      <c r="P345">
        <f>SWITCH(J345, "Zelden", 1, "Af en toe", 4, "Regelmatig", 8, "Vaak", 12)</f>
        <v/>
      </c>
      <c r="Q345">
        <f>IF(L345&gt;=7, "Tevreden", "Ontevreden")</f>
        <v/>
      </c>
    </row>
    <row r="346">
      <c r="A346" t="inlineStr">
        <is>
          <t>Lacroix, Liliane</t>
        </is>
      </c>
      <c r="B346" t="n">
        <v>1783474847</v>
      </c>
      <c r="C346" t="inlineStr">
        <is>
          <t>29/07/1945</t>
        </is>
      </c>
      <c r="D346" t="inlineStr">
        <is>
          <t>Oudenaardsesteenweg</t>
        </is>
      </c>
      <c r="E346" t="n">
        <v>26</v>
      </c>
      <c r="F346" t="inlineStr">
        <is>
          <t>Hasselt</t>
        </is>
      </c>
      <c r="G346" t="n">
        <v>2</v>
      </c>
      <c r="H346" t="n">
        <v>5</v>
      </c>
      <c r="I346" t="n">
        <v>255.02</v>
      </c>
      <c r="J346" t="inlineStr">
        <is>
          <t>Zelden</t>
        </is>
      </c>
      <c r="K346" t="inlineStr">
        <is>
          <t>Payconiq</t>
        </is>
      </c>
      <c r="L346" t="n">
        <v>7.3</v>
      </c>
      <c r="M346" t="inlineStr">
        <is>
          <t>Geen dieet</t>
        </is>
      </c>
      <c r="N346">
        <f>LEFT(A346, FIND(",", A346)-1)</f>
        <v/>
      </c>
      <c r="O346">
        <f>MID(A346, FIND(",", A346)+2, LEN(A346))</f>
        <v/>
      </c>
      <c r="P346">
        <f>SWITCH(J346, "Zelden", 1, "Af en toe", 4, "Regelmatig", 8, "Vaak", 12)</f>
        <v/>
      </c>
      <c r="Q346">
        <f>IF(L346&gt;=7, "Tevreden", "Ontevreden")</f>
        <v/>
      </c>
    </row>
    <row r="347">
      <c r="A347" t="inlineStr">
        <is>
          <t>Van den broeck, Anaïs</t>
        </is>
      </c>
      <c r="B347" t="n">
        <v>9409076254</v>
      </c>
      <c r="C347" t="inlineStr">
        <is>
          <t>14/06/1951</t>
        </is>
      </c>
      <c r="D347" t="inlineStr">
        <is>
          <t>Morelstraat</t>
        </is>
      </c>
      <c r="E347" t="n">
        <v>32</v>
      </c>
      <c r="F347" t="inlineStr">
        <is>
          <t>Riemst</t>
        </is>
      </c>
      <c r="G347" t="n">
        <v>6</v>
      </c>
      <c r="H347" t="n">
        <v>0</v>
      </c>
      <c r="I347" t="n">
        <v>174.59</v>
      </c>
      <c r="J347" t="inlineStr">
        <is>
          <t>Dagelijks</t>
        </is>
      </c>
      <c r="K347" t="inlineStr">
        <is>
          <t>Bancontact</t>
        </is>
      </c>
      <c r="L347" t="n">
        <v>6.94</v>
      </c>
      <c r="M347" t="inlineStr">
        <is>
          <t>Geen dieet</t>
        </is>
      </c>
      <c r="N347">
        <f>LEFT(A347, FIND(",", A347)-1)</f>
        <v/>
      </c>
      <c r="O347">
        <f>MID(A347, FIND(",", A347)+2, LEN(A347))</f>
        <v/>
      </c>
      <c r="P347">
        <f>SWITCH(J347, "Zelden", 1, "Af en toe", 4, "Regelmatig", 8, "Vaak", 12)</f>
        <v/>
      </c>
      <c r="Q347">
        <f>IF(L347&gt;=7, "Tevreden", "Ontevreden")</f>
        <v/>
      </c>
    </row>
    <row r="348">
      <c r="A348" t="inlineStr">
        <is>
          <t>Collignon, Wout</t>
        </is>
      </c>
      <c r="B348" t="n">
        <v>8629262678</v>
      </c>
      <c r="C348" t="inlineStr">
        <is>
          <t>20/06/1971</t>
        </is>
      </c>
      <c r="D348" t="inlineStr">
        <is>
          <t>Dampoortstraat</t>
        </is>
      </c>
      <c r="E348" t="n">
        <v>2</v>
      </c>
      <c r="F348" t="inlineStr">
        <is>
          <t>Herten</t>
        </is>
      </c>
      <c r="G348" t="n">
        <v>1</v>
      </c>
      <c r="H348" t="n">
        <v>5</v>
      </c>
      <c r="I348" t="n">
        <v>100.31</v>
      </c>
      <c r="J348" t="inlineStr">
        <is>
          <t>Af en toe</t>
        </is>
      </c>
      <c r="K348" t="inlineStr">
        <is>
          <t>Bancontact</t>
        </is>
      </c>
      <c r="L348" t="n">
        <v>7.1</v>
      </c>
      <c r="M348" t="inlineStr">
        <is>
          <t>Geen dieet</t>
        </is>
      </c>
      <c r="N348">
        <f>LEFT(A348, FIND(",", A348)-1)</f>
        <v/>
      </c>
      <c r="O348">
        <f>MID(A348, FIND(",", A348)+2, LEN(A348))</f>
        <v/>
      </c>
      <c r="P348">
        <f>SWITCH(J348, "Zelden", 1, "Af en toe", 4, "Regelmatig", 8, "Vaak", 12)</f>
        <v/>
      </c>
      <c r="Q348">
        <f>IF(L348&gt;=7, "Tevreden", "Ontevreden")</f>
        <v/>
      </c>
    </row>
    <row r="349">
      <c r="A349" t="inlineStr">
        <is>
          <t>Hendrickx, Kris</t>
        </is>
      </c>
      <c r="B349" t="n">
        <v>5972798971</v>
      </c>
      <c r="C349" t="inlineStr">
        <is>
          <t>19/11/1987</t>
        </is>
      </c>
      <c r="D349" t="inlineStr">
        <is>
          <t>Varendriesstraat</t>
        </is>
      </c>
      <c r="E349" t="n">
        <v>85</v>
      </c>
      <c r="F349" t="inlineStr">
        <is>
          <t>Lummen</t>
        </is>
      </c>
      <c r="G349" t="n">
        <v>2</v>
      </c>
      <c r="H349" t="n">
        <v>0</v>
      </c>
      <c r="I349" t="n">
        <v>106.2</v>
      </c>
      <c r="J349" t="inlineStr">
        <is>
          <t>Zelden</t>
        </is>
      </c>
      <c r="K349" t="inlineStr">
        <is>
          <t>Bancontact</t>
        </is>
      </c>
      <c r="L349" t="n">
        <v>6.99</v>
      </c>
      <c r="M349" t="inlineStr">
        <is>
          <t>Geen dieet</t>
        </is>
      </c>
      <c r="N349">
        <f>LEFT(A349, FIND(",", A349)-1)</f>
        <v/>
      </c>
      <c r="O349">
        <f>MID(A349, FIND(",", A349)+2, LEN(A349))</f>
        <v/>
      </c>
      <c r="P349">
        <f>SWITCH(J349, "Zelden", 1, "Af en toe", 4, "Regelmatig", 8, "Vaak", 12)</f>
        <v/>
      </c>
      <c r="Q349">
        <f>IF(L349&gt;=7, "Tevreden", "Ontevreden")</f>
        <v/>
      </c>
    </row>
    <row r="350">
      <c r="A350" t="inlineStr">
        <is>
          <t>Van den broeck, Bianca</t>
        </is>
      </c>
      <c r="B350" t="n">
        <v>3416787537</v>
      </c>
      <c r="C350" t="inlineStr">
        <is>
          <t>18/08/1997</t>
        </is>
      </c>
      <c r="D350" t="inlineStr">
        <is>
          <t>Meulestedekaai</t>
        </is>
      </c>
      <c r="E350" t="n">
        <v>44</v>
      </c>
      <c r="F350" t="inlineStr">
        <is>
          <t>Leopoldsburg</t>
        </is>
      </c>
      <c r="G350" t="n">
        <v>1</v>
      </c>
      <c r="H350" t="n">
        <v>1</v>
      </c>
      <c r="I350" t="n">
        <v>41.9</v>
      </c>
      <c r="J350" t="inlineStr">
        <is>
          <t>Vaak</t>
        </is>
      </c>
      <c r="K350" t="inlineStr">
        <is>
          <t>Payconiq</t>
        </is>
      </c>
      <c r="L350" t="n">
        <v>7.78</v>
      </c>
      <c r="M350" t="inlineStr">
        <is>
          <t>Vegetarisch</t>
        </is>
      </c>
      <c r="N350">
        <f>LEFT(A350, FIND(",", A350)-1)</f>
        <v/>
      </c>
      <c r="O350">
        <f>MID(A350, FIND(",", A350)+2, LEN(A350))</f>
        <v/>
      </c>
      <c r="P350">
        <f>SWITCH(J350, "Zelden", 1, "Af en toe", 4, "Regelmatig", 8, "Vaak", 12)</f>
        <v/>
      </c>
      <c r="Q350">
        <f>IF(L350&gt;=7, "Tevreden", "Ontevreden")</f>
        <v/>
      </c>
    </row>
    <row r="351">
      <c r="A351" t="inlineStr">
        <is>
          <t>Antoine, Safia</t>
        </is>
      </c>
      <c r="B351" t="n">
        <v>9603285512</v>
      </c>
      <c r="C351" t="inlineStr">
        <is>
          <t>15/12/1960</t>
        </is>
      </c>
      <c r="D351" t="inlineStr">
        <is>
          <t>Bijlokehof</t>
        </is>
      </c>
      <c r="E351" t="n">
        <v>63</v>
      </c>
      <c r="F351" t="inlineStr">
        <is>
          <t>Halen</t>
        </is>
      </c>
      <c r="G351" t="n">
        <v>1</v>
      </c>
      <c r="H351" t="n">
        <v>1</v>
      </c>
      <c r="I351" t="n">
        <v>52.97</v>
      </c>
      <c r="J351" t="inlineStr">
        <is>
          <t>Vaak</t>
        </is>
      </c>
      <c r="K351" t="inlineStr">
        <is>
          <t>Bancontact</t>
        </is>
      </c>
      <c r="L351" t="n">
        <v>6.97</v>
      </c>
      <c r="M351" t="inlineStr">
        <is>
          <t>Geen dieet</t>
        </is>
      </c>
      <c r="N351">
        <f>LEFT(A351, FIND(",", A351)-1)</f>
        <v/>
      </c>
      <c r="O351">
        <f>MID(A351, FIND(",", A351)+2, LEN(A351))</f>
        <v/>
      </c>
      <c r="P351">
        <f>SWITCH(J351, "Zelden", 1, "Af en toe", 4, "Regelmatig", 8, "Vaak", 12)</f>
        <v/>
      </c>
      <c r="Q351">
        <f>IF(L351&gt;=7, "Tevreden", "Ontevreden")</f>
        <v/>
      </c>
    </row>
    <row r="352">
      <c r="A352" t="inlineStr">
        <is>
          <t>Brasseur, Carine</t>
        </is>
      </c>
      <c r="B352" t="n">
        <v>3392074978</v>
      </c>
      <c r="C352" t="inlineStr">
        <is>
          <t>22/11/1989</t>
        </is>
      </c>
      <c r="D352" t="inlineStr">
        <is>
          <t>Groot-brittanniëlaan</t>
        </is>
      </c>
      <c r="E352" t="n">
        <v>48</v>
      </c>
      <c r="F352" t="inlineStr">
        <is>
          <t>Hasselt</t>
        </is>
      </c>
      <c r="G352" t="n">
        <v>2</v>
      </c>
      <c r="H352" t="n">
        <v>1</v>
      </c>
      <c r="I352" t="n">
        <v>104.28</v>
      </c>
      <c r="J352" t="inlineStr">
        <is>
          <t>Zelden</t>
        </is>
      </c>
      <c r="K352" t="inlineStr">
        <is>
          <t>Bancontact</t>
        </is>
      </c>
      <c r="L352" t="n">
        <v>8.449999999999999</v>
      </c>
      <c r="M352" t="inlineStr">
        <is>
          <t>Vegetarisch</t>
        </is>
      </c>
      <c r="N352">
        <f>LEFT(A352, FIND(",", A352)-1)</f>
        <v/>
      </c>
      <c r="O352">
        <f>MID(A352, FIND(",", A352)+2, LEN(A352))</f>
        <v/>
      </c>
      <c r="P352">
        <f>SWITCH(J352, "Zelden", 1, "Af en toe", 4, "Regelmatig", 8, "Vaak", 12)</f>
        <v/>
      </c>
      <c r="Q352">
        <f>IF(L352&gt;=7, "Tevreden", "Ontevreden")</f>
        <v/>
      </c>
    </row>
    <row r="353">
      <c r="A353" t="inlineStr">
        <is>
          <t>Verbist, Virginie</t>
        </is>
      </c>
      <c r="B353" t="n">
        <v>7884201231</v>
      </c>
      <c r="C353" t="inlineStr">
        <is>
          <t>29/01/2001</t>
        </is>
      </c>
      <c r="D353" t="inlineStr">
        <is>
          <t>Vierhekkensstraat</t>
        </is>
      </c>
      <c r="E353" t="n">
        <v>33</v>
      </c>
      <c r="F353" t="inlineStr">
        <is>
          <t>Diepenbeek</t>
        </is>
      </c>
      <c r="G353" t="n">
        <v>1</v>
      </c>
      <c r="H353" t="n">
        <v>0</v>
      </c>
      <c r="I353" t="n">
        <v>19.79</v>
      </c>
      <c r="J353" t="inlineStr">
        <is>
          <t>Af en toe</t>
        </is>
      </c>
      <c r="K353" t="inlineStr">
        <is>
          <t>Payconiq</t>
        </is>
      </c>
      <c r="L353" t="n">
        <v>6.85</v>
      </c>
      <c r="M353" t="inlineStr">
        <is>
          <t>Geen dieet</t>
        </is>
      </c>
      <c r="N353">
        <f>LEFT(A353, FIND(",", A353)-1)</f>
        <v/>
      </c>
      <c r="O353">
        <f>MID(A353, FIND(",", A353)+2, LEN(A353))</f>
        <v/>
      </c>
      <c r="P353">
        <f>SWITCH(J353, "Zelden", 1, "Af en toe", 4, "Regelmatig", 8, "Vaak", 12)</f>
        <v/>
      </c>
      <c r="Q353">
        <f>IF(L353&gt;=7, "Tevreden", "Ontevreden")</f>
        <v/>
      </c>
    </row>
    <row r="354">
      <c r="A354" t="inlineStr">
        <is>
          <t>Laurent, Saskia</t>
        </is>
      </c>
      <c r="B354" t="n">
        <v>8237156581</v>
      </c>
      <c r="C354" t="inlineStr">
        <is>
          <t>07/11/1971</t>
        </is>
      </c>
      <c r="D354" t="inlineStr">
        <is>
          <t>Ph. Van Der Nootstraat</t>
        </is>
      </c>
      <c r="E354" t="n">
        <v>20</v>
      </c>
      <c r="F354" t="inlineStr">
        <is>
          <t>Tessenderlo</t>
        </is>
      </c>
      <c r="G354" t="n">
        <v>2</v>
      </c>
      <c r="H354" t="n">
        <v>0</v>
      </c>
      <c r="I354" t="n">
        <v>95.90000000000001</v>
      </c>
      <c r="J354" t="inlineStr">
        <is>
          <t>Vaak</t>
        </is>
      </c>
      <c r="K354" t="inlineStr">
        <is>
          <t>Payconiq</t>
        </is>
      </c>
      <c r="L354" t="n">
        <v>7.59</v>
      </c>
      <c r="M354" t="inlineStr">
        <is>
          <t>Geen dieet</t>
        </is>
      </c>
      <c r="N354">
        <f>LEFT(A354, FIND(",", A354)-1)</f>
        <v/>
      </c>
      <c r="O354">
        <f>MID(A354, FIND(",", A354)+2, LEN(A354))</f>
        <v/>
      </c>
      <c r="P354">
        <f>SWITCH(J354, "Zelden", 1, "Af en toe", 4, "Regelmatig", 8, "Vaak", 12)</f>
        <v/>
      </c>
      <c r="Q354">
        <f>IF(L354&gt;=7, "Tevreden", "Ontevreden")</f>
        <v/>
      </c>
    </row>
    <row r="355">
      <c r="A355" t="inlineStr">
        <is>
          <t>Colson, Henk</t>
        </is>
      </c>
      <c r="B355" t="n">
        <v>3621585256</v>
      </c>
      <c r="C355" t="inlineStr">
        <is>
          <t>26/12/1972</t>
        </is>
      </c>
      <c r="D355" t="inlineStr">
        <is>
          <t>Ketelvest</t>
        </is>
      </c>
      <c r="E355" t="n">
        <v>31</v>
      </c>
      <c r="F355" t="inlineStr">
        <is>
          <t>Overpelt</t>
        </is>
      </c>
      <c r="G355" t="n">
        <v>2</v>
      </c>
      <c r="H355" t="n">
        <v>1</v>
      </c>
      <c r="I355" t="n">
        <v>121.36</v>
      </c>
      <c r="J355" t="inlineStr">
        <is>
          <t>Dagelijks</t>
        </is>
      </c>
      <c r="K355" t="inlineStr">
        <is>
          <t>Cash</t>
        </is>
      </c>
      <c r="L355" t="n">
        <v>7.29</v>
      </c>
      <c r="M355" t="inlineStr">
        <is>
          <t>Geen dieet</t>
        </is>
      </c>
      <c r="N355">
        <f>LEFT(A355, FIND(",", A355)-1)</f>
        <v/>
      </c>
      <c r="O355">
        <f>MID(A355, FIND(",", A355)+2, LEN(A355))</f>
        <v/>
      </c>
      <c r="P355">
        <f>SWITCH(J355, "Zelden", 1, "Af en toe", 4, "Regelmatig", 8, "Vaak", 12)</f>
        <v/>
      </c>
      <c r="Q355">
        <f>IF(L355&gt;=7, "Tevreden", "Ontevreden")</f>
        <v/>
      </c>
    </row>
    <row r="356">
      <c r="A356" t="inlineStr">
        <is>
          <t>De boeck, André</t>
        </is>
      </c>
      <c r="B356" t="n">
        <v>9717332689</v>
      </c>
      <c r="C356" t="inlineStr">
        <is>
          <t>23/01/1997</t>
        </is>
      </c>
      <c r="D356" t="inlineStr">
        <is>
          <t>Lobeliastraat</t>
        </is>
      </c>
      <c r="E356" t="n">
        <v>20</v>
      </c>
      <c r="F356" t="inlineStr">
        <is>
          <t>Genk</t>
        </is>
      </c>
      <c r="G356" t="n">
        <v>1</v>
      </c>
      <c r="H356" t="n">
        <v>0</v>
      </c>
      <c r="I356" t="n">
        <v>88.34</v>
      </c>
      <c r="J356" t="inlineStr">
        <is>
          <t>Af en toe</t>
        </is>
      </c>
      <c r="K356" t="inlineStr">
        <is>
          <t>Payconiq</t>
        </is>
      </c>
      <c r="L356" t="n">
        <v>7.28</v>
      </c>
      <c r="M356" t="inlineStr">
        <is>
          <t>Geen dieet</t>
        </is>
      </c>
      <c r="N356">
        <f>LEFT(A356, FIND(",", A356)-1)</f>
        <v/>
      </c>
      <c r="O356">
        <f>MID(A356, FIND(",", A356)+2, LEN(A356))</f>
        <v/>
      </c>
      <c r="P356">
        <f>SWITCH(J356, "Zelden", 1, "Af en toe", 4, "Regelmatig", 8, "Vaak", 12)</f>
        <v/>
      </c>
      <c r="Q356">
        <f>IF(L356&gt;=7, "Tevreden", "Ontevreden")</f>
        <v/>
      </c>
    </row>
    <row r="357">
      <c r="A357" t="inlineStr">
        <is>
          <t>Temmerman, Jaro</t>
        </is>
      </c>
      <c r="B357" t="n">
        <v>8303490316</v>
      </c>
      <c r="C357" t="inlineStr">
        <is>
          <t>04/03/1972</t>
        </is>
      </c>
      <c r="D357" t="inlineStr">
        <is>
          <t>Lourdestraat</t>
        </is>
      </c>
      <c r="E357" t="n">
        <v>21</v>
      </c>
      <c r="F357" t="inlineStr">
        <is>
          <t>Genk</t>
        </is>
      </c>
      <c r="G357" t="n">
        <v>2</v>
      </c>
      <c r="H357" t="n">
        <v>2</v>
      </c>
      <c r="I357" t="n">
        <v>40.13</v>
      </c>
      <c r="J357" t="inlineStr">
        <is>
          <t>Vaak</t>
        </is>
      </c>
      <c r="K357" t="inlineStr">
        <is>
          <t>Bancontact</t>
        </is>
      </c>
      <c r="L357" t="n">
        <v>6.98</v>
      </c>
      <c r="M357" t="inlineStr">
        <is>
          <t>Geen dieet</t>
        </is>
      </c>
      <c r="N357">
        <f>LEFT(A357, FIND(",", A357)-1)</f>
        <v/>
      </c>
      <c r="O357">
        <f>MID(A357, FIND(",", A357)+2, LEN(A357))</f>
        <v/>
      </c>
      <c r="P357">
        <f>SWITCH(J357, "Zelden", 1, "Af en toe", 4, "Regelmatig", 8, "Vaak", 12)</f>
        <v/>
      </c>
      <c r="Q357">
        <f>IF(L357&gt;=7, "Tevreden", "Ontevreden")</f>
        <v/>
      </c>
    </row>
    <row r="358">
      <c r="A358" t="inlineStr">
        <is>
          <t>Nijs, Roxana</t>
        </is>
      </c>
      <c r="B358" t="n">
        <v>6157664954</v>
      </c>
      <c r="C358" t="inlineStr">
        <is>
          <t>25/12/1988</t>
        </is>
      </c>
      <c r="D358" t="inlineStr">
        <is>
          <t>De Pintelaan</t>
        </is>
      </c>
      <c r="E358" t="n">
        <v>61</v>
      </c>
      <c r="F358" t="inlineStr">
        <is>
          <t>Hasselt</t>
        </is>
      </c>
      <c r="G358" t="n">
        <v>1</v>
      </c>
      <c r="H358" t="n">
        <v>2</v>
      </c>
      <c r="I358" t="n">
        <v>33.32</v>
      </c>
      <c r="J358" t="inlineStr">
        <is>
          <t>Zelden</t>
        </is>
      </c>
      <c r="K358" t="inlineStr">
        <is>
          <t>Bancontact</t>
        </is>
      </c>
      <c r="L358" t="n">
        <v>6.58</v>
      </c>
      <c r="M358" t="inlineStr">
        <is>
          <t>Geen dieet</t>
        </is>
      </c>
      <c r="N358">
        <f>LEFT(A358, FIND(",", A358)-1)</f>
        <v/>
      </c>
      <c r="O358">
        <f>MID(A358, FIND(",", A358)+2, LEN(A358))</f>
        <v/>
      </c>
      <c r="P358">
        <f>SWITCH(J358, "Zelden", 1, "Af en toe", 4, "Regelmatig", 8, "Vaak", 12)</f>
        <v/>
      </c>
      <c r="Q358">
        <f>IF(L358&gt;=7, "Tevreden", "Ontevreden")</f>
        <v/>
      </c>
    </row>
    <row r="359">
      <c r="A359" t="inlineStr">
        <is>
          <t>Thomas, Pascal</t>
        </is>
      </c>
      <c r="B359" t="n">
        <v>1735738720</v>
      </c>
      <c r="C359" t="inlineStr">
        <is>
          <t>06/06/1953</t>
        </is>
      </c>
      <c r="D359" t="inlineStr">
        <is>
          <t>Wildebrake</t>
        </is>
      </c>
      <c r="E359" t="n">
        <v>18</v>
      </c>
      <c r="F359" t="inlineStr">
        <is>
          <t>Maaseik</t>
        </is>
      </c>
      <c r="G359" t="n">
        <v>2</v>
      </c>
      <c r="H359" t="n">
        <v>2</v>
      </c>
      <c r="I359" t="n">
        <v>149.67</v>
      </c>
      <c r="J359" t="inlineStr">
        <is>
          <t>Vaak</t>
        </is>
      </c>
      <c r="K359" t="inlineStr">
        <is>
          <t>Cash</t>
        </is>
      </c>
      <c r="L359" t="n">
        <v>7.35</v>
      </c>
      <c r="M359" t="inlineStr">
        <is>
          <t>Geen dieet</t>
        </is>
      </c>
      <c r="N359">
        <f>LEFT(A359, FIND(",", A359)-1)</f>
        <v/>
      </c>
      <c r="O359">
        <f>MID(A359, FIND(",", A359)+2, LEN(A359))</f>
        <v/>
      </c>
      <c r="P359">
        <f>SWITCH(J359, "Zelden", 1, "Af en toe", 4, "Regelmatig", 8, "Vaak", 12)</f>
        <v/>
      </c>
      <c r="Q359">
        <f>IF(L359&gt;=7, "Tevreden", "Ontevreden")</f>
        <v/>
      </c>
    </row>
    <row r="360">
      <c r="A360" t="inlineStr">
        <is>
          <t>Noel, Isabelle</t>
        </is>
      </c>
      <c r="B360" t="n">
        <v>2169782014</v>
      </c>
      <c r="C360" t="inlineStr">
        <is>
          <t>23/07/1992</t>
        </is>
      </c>
      <c r="D360" t="inlineStr">
        <is>
          <t>Desteldonkdorp</t>
        </is>
      </c>
      <c r="E360" t="n">
        <v>3</v>
      </c>
      <c r="F360" t="inlineStr">
        <is>
          <t>Overpelt</t>
        </is>
      </c>
      <c r="G360" t="n">
        <v>1</v>
      </c>
      <c r="H360" t="n">
        <v>0</v>
      </c>
      <c r="I360" t="n">
        <v>60.88</v>
      </c>
      <c r="J360" t="inlineStr">
        <is>
          <t>Vaak</t>
        </is>
      </c>
      <c r="K360" t="inlineStr">
        <is>
          <t>Payconiq</t>
        </is>
      </c>
      <c r="L360" t="n">
        <v>6.97</v>
      </c>
      <c r="M360" t="inlineStr">
        <is>
          <t>Geen dieet</t>
        </is>
      </c>
      <c r="N360">
        <f>LEFT(A360, FIND(",", A360)-1)</f>
        <v/>
      </c>
      <c r="O360">
        <f>MID(A360, FIND(",", A360)+2, LEN(A360))</f>
        <v/>
      </c>
      <c r="P360">
        <f>SWITCH(J360, "Zelden", 1, "Af en toe", 4, "Regelmatig", 8, "Vaak", 12)</f>
        <v/>
      </c>
      <c r="Q360">
        <f>IF(L360&gt;=7, "Tevreden", "Ontevreden")</f>
        <v/>
      </c>
    </row>
    <row r="361">
      <c r="A361" t="inlineStr">
        <is>
          <t>Simon, Louisa</t>
        </is>
      </c>
      <c r="B361" t="n">
        <v>6559907145</v>
      </c>
      <c r="C361" t="inlineStr">
        <is>
          <t>22/05/1995</t>
        </is>
      </c>
      <c r="D361" t="inlineStr">
        <is>
          <t>Wittemolenstraat</t>
        </is>
      </c>
      <c r="E361" t="n">
        <v>2</v>
      </c>
      <c r="F361" t="inlineStr">
        <is>
          <t>Halen</t>
        </is>
      </c>
      <c r="G361" t="n">
        <v>2</v>
      </c>
      <c r="H361" t="n">
        <v>2</v>
      </c>
      <c r="I361" t="n">
        <v>205.16</v>
      </c>
      <c r="J361" t="inlineStr">
        <is>
          <t>Vaak</t>
        </is>
      </c>
      <c r="K361" t="inlineStr">
        <is>
          <t>Bancontact</t>
        </is>
      </c>
      <c r="L361" t="n">
        <v>7.48</v>
      </c>
      <c r="M361" t="inlineStr">
        <is>
          <t>Geen dieet</t>
        </is>
      </c>
      <c r="N361">
        <f>LEFT(A361, FIND(",", A361)-1)</f>
        <v/>
      </c>
      <c r="O361">
        <f>MID(A361, FIND(",", A361)+2, LEN(A361))</f>
        <v/>
      </c>
      <c r="P361">
        <f>SWITCH(J361, "Zelden", 1, "Af en toe", 4, "Regelmatig", 8, "Vaak", 12)</f>
        <v/>
      </c>
      <c r="Q361">
        <f>IF(L361&gt;=7, "Tevreden", "Ontevreden")</f>
        <v/>
      </c>
    </row>
    <row r="362">
      <c r="A362" t="inlineStr">
        <is>
          <t>Vandamme, Jordan</t>
        </is>
      </c>
      <c r="B362" t="n">
        <v>1143343232</v>
      </c>
      <c r="C362" t="inlineStr">
        <is>
          <t>20/08/1949</t>
        </is>
      </c>
      <c r="D362" t="inlineStr">
        <is>
          <t>Lindestuk</t>
        </is>
      </c>
      <c r="E362" t="n">
        <v>24</v>
      </c>
      <c r="F362" t="inlineStr">
        <is>
          <t>Lanaken</t>
        </is>
      </c>
      <c r="G362" t="n">
        <v>4</v>
      </c>
      <c r="H362" t="n">
        <v>3</v>
      </c>
      <c r="I362" t="n">
        <v>164.32</v>
      </c>
      <c r="J362" t="inlineStr">
        <is>
          <t>Dagelijks</t>
        </is>
      </c>
      <c r="K362" t="inlineStr">
        <is>
          <t>Payconiq</t>
        </is>
      </c>
      <c r="L362" t="n">
        <v>6.93</v>
      </c>
      <c r="M362" t="inlineStr">
        <is>
          <t>Geen dieet</t>
        </is>
      </c>
      <c r="N362">
        <f>LEFT(A362, FIND(",", A362)-1)</f>
        <v/>
      </c>
      <c r="O362">
        <f>MID(A362, FIND(",", A362)+2, LEN(A362))</f>
        <v/>
      </c>
      <c r="P362">
        <f>SWITCH(J362, "Zelden", 1, "Af en toe", 4, "Regelmatig", 8, "Vaak", 12)</f>
        <v/>
      </c>
      <c r="Q362">
        <f>IF(L362&gt;=7, "Tevreden", "Ontevreden")</f>
        <v/>
      </c>
    </row>
    <row r="363">
      <c r="A363" t="inlineStr">
        <is>
          <t>Timmermans, Hüseyin</t>
        </is>
      </c>
      <c r="B363" t="n">
        <v>656710896</v>
      </c>
      <c r="C363" t="inlineStr">
        <is>
          <t>28/02/1986</t>
        </is>
      </c>
      <c r="D363" t="inlineStr">
        <is>
          <t>Blazoenstraat</t>
        </is>
      </c>
      <c r="E363" t="n">
        <v>17</v>
      </c>
      <c r="F363" t="inlineStr">
        <is>
          <t>Maasmechelen</t>
        </is>
      </c>
      <c r="G363" t="n">
        <v>2</v>
      </c>
      <c r="H363" t="n">
        <v>0</v>
      </c>
      <c r="I363" t="n">
        <v>53.81</v>
      </c>
      <c r="J363" t="inlineStr">
        <is>
          <t>Af en toe</t>
        </is>
      </c>
      <c r="K363" t="inlineStr">
        <is>
          <t>Creditcard</t>
        </is>
      </c>
      <c r="L363" t="n">
        <v>8.460000000000001</v>
      </c>
      <c r="M363" t="inlineStr">
        <is>
          <t>Vegetarisch</t>
        </is>
      </c>
      <c r="N363">
        <f>LEFT(A363, FIND(",", A363)-1)</f>
        <v/>
      </c>
      <c r="O363">
        <f>MID(A363, FIND(",", A363)+2, LEN(A363))</f>
        <v/>
      </c>
      <c r="P363">
        <f>SWITCH(J363, "Zelden", 1, "Af en toe", 4, "Regelmatig", 8, "Vaak", 12)</f>
        <v/>
      </c>
      <c r="Q363">
        <f>IF(L363&gt;=7, "Tevreden", "Ontevreden")</f>
        <v/>
      </c>
    </row>
    <row r="364">
      <c r="A364" t="inlineStr">
        <is>
          <t>Verbist, Hicham</t>
        </is>
      </c>
      <c r="B364" t="n">
        <v>9882152156</v>
      </c>
      <c r="C364" t="inlineStr">
        <is>
          <t>26/02/1979</t>
        </is>
      </c>
      <c r="D364" t="inlineStr">
        <is>
          <t>Koningin Astridlaan</t>
        </is>
      </c>
      <c r="E364" t="n">
        <v>1</v>
      </c>
      <c r="F364" t="inlineStr">
        <is>
          <t>Maaseik</t>
        </is>
      </c>
      <c r="G364" t="n">
        <v>2</v>
      </c>
      <c r="H364" t="n">
        <v>2</v>
      </c>
      <c r="I364" t="n">
        <v>118.3</v>
      </c>
      <c r="J364" t="inlineStr">
        <is>
          <t>Af en toe</t>
        </is>
      </c>
      <c r="K364" t="inlineStr">
        <is>
          <t>Payconiq</t>
        </is>
      </c>
      <c r="L364" t="n">
        <v>6.98</v>
      </c>
      <c r="M364" t="inlineStr">
        <is>
          <t>Geen dieet</t>
        </is>
      </c>
      <c r="N364">
        <f>LEFT(A364, FIND(",", A364)-1)</f>
        <v/>
      </c>
      <c r="O364">
        <f>MID(A364, FIND(",", A364)+2, LEN(A364))</f>
        <v/>
      </c>
      <c r="P364">
        <f>SWITCH(J364, "Zelden", 1, "Af en toe", 4, "Regelmatig", 8, "Vaak", 12)</f>
        <v/>
      </c>
      <c r="Q364">
        <f>IF(L364&gt;=7, "Tevreden", "Ontevreden")</f>
        <v/>
      </c>
    </row>
    <row r="365">
      <c r="A365" t="inlineStr">
        <is>
          <t>Lacroix, Nyendak</t>
        </is>
      </c>
      <c r="B365" t="n">
        <v>7773040332</v>
      </c>
      <c r="C365" t="inlineStr">
        <is>
          <t>06/03/1975</t>
        </is>
      </c>
      <c r="D365" t="inlineStr">
        <is>
          <t>Scheeplosserstraat</t>
        </is>
      </c>
      <c r="E365" t="n">
        <v>72</v>
      </c>
      <c r="F365" t="inlineStr">
        <is>
          <t>Heusden-Zolder</t>
        </is>
      </c>
      <c r="G365" t="n">
        <v>2</v>
      </c>
      <c r="H365" t="n">
        <v>0</v>
      </c>
      <c r="I365" t="n">
        <v>39.95</v>
      </c>
      <c r="J365" t="inlineStr">
        <is>
          <t>Af en toe</t>
        </is>
      </c>
      <c r="K365" t="inlineStr">
        <is>
          <t>Payconiq</t>
        </is>
      </c>
      <c r="L365" t="n">
        <v>7.27</v>
      </c>
      <c r="M365" t="inlineStr">
        <is>
          <t>Geen dieet</t>
        </is>
      </c>
      <c r="N365">
        <f>LEFT(A365, FIND(",", A365)-1)</f>
        <v/>
      </c>
      <c r="O365">
        <f>MID(A365, FIND(",", A365)+2, LEN(A365))</f>
        <v/>
      </c>
      <c r="P365">
        <f>SWITCH(J365, "Zelden", 1, "Af en toe", 4, "Regelmatig", 8, "Vaak", 12)</f>
        <v/>
      </c>
      <c r="Q365">
        <f>IF(L365&gt;=7, "Tevreden", "Ontevreden")</f>
        <v/>
      </c>
    </row>
    <row r="366">
      <c r="A366" t="inlineStr">
        <is>
          <t>De vos, Abou</t>
        </is>
      </c>
      <c r="B366" t="n">
        <v>7784008811</v>
      </c>
      <c r="C366" t="inlineStr">
        <is>
          <t>14/08/1981</t>
        </is>
      </c>
      <c r="D366" t="inlineStr">
        <is>
          <t>Dampoortstraat</t>
        </is>
      </c>
      <c r="E366" t="n">
        <v>96</v>
      </c>
      <c r="F366" t="inlineStr">
        <is>
          <t>Opglabbeek</t>
        </is>
      </c>
      <c r="G366" t="n">
        <v>1</v>
      </c>
      <c r="H366" t="n">
        <v>0</v>
      </c>
      <c r="I366" t="n">
        <v>59.22</v>
      </c>
      <c r="J366" t="inlineStr">
        <is>
          <t>Vaak</t>
        </is>
      </c>
      <c r="K366" t="inlineStr">
        <is>
          <t>Cash</t>
        </is>
      </c>
      <c r="L366" t="n">
        <v>7.06</v>
      </c>
      <c r="M366" t="inlineStr">
        <is>
          <t>Geen dieet</t>
        </is>
      </c>
      <c r="N366">
        <f>LEFT(A366, FIND(",", A366)-1)</f>
        <v/>
      </c>
      <c r="O366">
        <f>MID(A366, FIND(",", A366)+2, LEN(A366))</f>
        <v/>
      </c>
      <c r="P366">
        <f>SWITCH(J366, "Zelden", 1, "Af en toe", 4, "Regelmatig", 8, "Vaak", 12)</f>
        <v/>
      </c>
      <c r="Q366">
        <f>IF(L366&gt;=7, "Tevreden", "Ontevreden")</f>
        <v/>
      </c>
    </row>
    <row r="367">
      <c r="A367" t="inlineStr">
        <is>
          <t>Leroy, Nicky</t>
        </is>
      </c>
      <c r="B367" t="n">
        <v>1584188495</v>
      </c>
      <c r="C367" t="inlineStr">
        <is>
          <t>13/12/1989</t>
        </is>
      </c>
      <c r="D367" t="inlineStr">
        <is>
          <t>Congreslaan</t>
        </is>
      </c>
      <c r="E367" t="n">
        <v>34</v>
      </c>
      <c r="F367" t="inlineStr">
        <is>
          <t>Lanaken</t>
        </is>
      </c>
      <c r="G367" t="n">
        <v>2</v>
      </c>
      <c r="H367" t="n">
        <v>2</v>
      </c>
      <c r="I367" t="n">
        <v>148.04</v>
      </c>
      <c r="J367" t="inlineStr">
        <is>
          <t>Vaak</t>
        </is>
      </c>
      <c r="K367" t="inlineStr">
        <is>
          <t>Bancontact</t>
        </is>
      </c>
      <c r="L367" t="n">
        <v>7.22</v>
      </c>
      <c r="M367" t="inlineStr">
        <is>
          <t>Geen dieet</t>
        </is>
      </c>
      <c r="N367">
        <f>LEFT(A367, FIND(",", A367)-1)</f>
        <v/>
      </c>
      <c r="O367">
        <f>MID(A367, FIND(",", A367)+2, LEN(A367))</f>
        <v/>
      </c>
      <c r="P367">
        <f>SWITCH(J367, "Zelden", 1, "Af en toe", 4, "Regelmatig", 8, "Vaak", 12)</f>
        <v/>
      </c>
      <c r="Q367">
        <f>IF(L367&gt;=7, "Tevreden", "Ontevreden")</f>
        <v/>
      </c>
    </row>
    <row r="368">
      <c r="A368" t="inlineStr">
        <is>
          <t>Herman, Emi</t>
        </is>
      </c>
      <c r="B368" t="n">
        <v>3833908047</v>
      </c>
      <c r="C368" t="inlineStr">
        <is>
          <t>19/03/1989</t>
        </is>
      </c>
      <c r="D368" t="inlineStr">
        <is>
          <t>Sint-jacobsnieuwstraat</t>
        </is>
      </c>
      <c r="E368" t="n">
        <v>20</v>
      </c>
      <c r="F368" t="inlineStr">
        <is>
          <t>Genk</t>
        </is>
      </c>
      <c r="G368" t="n">
        <v>1</v>
      </c>
      <c r="H368" t="n">
        <v>2</v>
      </c>
      <c r="I368" t="n">
        <v>118.82</v>
      </c>
      <c r="J368" t="inlineStr">
        <is>
          <t>Dagelijks</t>
        </is>
      </c>
      <c r="K368" t="inlineStr">
        <is>
          <t>Bancontact</t>
        </is>
      </c>
      <c r="L368" t="n">
        <v>7.11</v>
      </c>
      <c r="M368" t="inlineStr">
        <is>
          <t>Geen dieet</t>
        </is>
      </c>
      <c r="N368">
        <f>LEFT(A368, FIND(",", A368)-1)</f>
        <v/>
      </c>
      <c r="O368">
        <f>MID(A368, FIND(",", A368)+2, LEN(A368))</f>
        <v/>
      </c>
      <c r="P368">
        <f>SWITCH(J368, "Zelden", 1, "Af en toe", 4, "Regelmatig", 8, "Vaak", 12)</f>
        <v/>
      </c>
      <c r="Q368">
        <f>IF(L368&gt;=7, "Tevreden", "Ontevreden")</f>
        <v/>
      </c>
    </row>
    <row r="369">
      <c r="A369" t="inlineStr">
        <is>
          <t>Ooms, Aouatif</t>
        </is>
      </c>
      <c r="B369" t="n">
        <v>4724463580</v>
      </c>
      <c r="C369" t="inlineStr">
        <is>
          <t>05/01/1974</t>
        </is>
      </c>
      <c r="D369" t="inlineStr">
        <is>
          <t>Kalandeberg</t>
        </is>
      </c>
      <c r="E369" t="n">
        <v>13</v>
      </c>
      <c r="F369" t="inlineStr">
        <is>
          <t>Sint-Truiden</t>
        </is>
      </c>
      <c r="G369" t="n">
        <v>2</v>
      </c>
      <c r="H369" t="n">
        <v>0</v>
      </c>
      <c r="I369" t="n">
        <v>41.14</v>
      </c>
      <c r="J369" t="inlineStr">
        <is>
          <t>Vaak</t>
        </is>
      </c>
      <c r="K369" t="inlineStr">
        <is>
          <t>Payconiq</t>
        </is>
      </c>
      <c r="L369" t="n">
        <v>7.26</v>
      </c>
      <c r="M369" t="inlineStr">
        <is>
          <t>Geen dieet</t>
        </is>
      </c>
      <c r="N369">
        <f>LEFT(A369, FIND(",", A369)-1)</f>
        <v/>
      </c>
      <c r="O369">
        <f>MID(A369, FIND(",", A369)+2, LEN(A369))</f>
        <v/>
      </c>
      <c r="P369">
        <f>SWITCH(J369, "Zelden", 1, "Af en toe", 4, "Regelmatig", 8, "Vaak", 12)</f>
        <v/>
      </c>
      <c r="Q369">
        <f>IF(L369&gt;=7, "Tevreden", "Ontevreden")</f>
        <v/>
      </c>
    </row>
    <row r="370">
      <c r="A370" t="inlineStr">
        <is>
          <t>De meyer, Lise</t>
        </is>
      </c>
      <c r="B370" t="n">
        <v>1151800820</v>
      </c>
      <c r="C370" t="inlineStr">
        <is>
          <t>14/05/1954</t>
        </is>
      </c>
      <c r="D370" t="inlineStr">
        <is>
          <t>Ramen</t>
        </is>
      </c>
      <c r="E370" t="n">
        <v>40</v>
      </c>
      <c r="F370" t="inlineStr">
        <is>
          <t>Heusden-Zolder</t>
        </is>
      </c>
      <c r="G370" t="n">
        <v>2</v>
      </c>
      <c r="H370" t="n">
        <v>2</v>
      </c>
      <c r="I370" t="n">
        <v>190.48</v>
      </c>
      <c r="J370" t="inlineStr">
        <is>
          <t>Af en toe</t>
        </is>
      </c>
      <c r="K370" t="inlineStr">
        <is>
          <t>Payconiq</t>
        </is>
      </c>
      <c r="L370" t="n">
        <v>7.19</v>
      </c>
      <c r="M370" t="inlineStr">
        <is>
          <t>Geen dieet</t>
        </is>
      </c>
      <c r="N370">
        <f>LEFT(A370, FIND(",", A370)-1)</f>
        <v/>
      </c>
      <c r="O370">
        <f>MID(A370, FIND(",", A370)+2, LEN(A370))</f>
        <v/>
      </c>
      <c r="P370">
        <f>SWITCH(J370, "Zelden", 1, "Af en toe", 4, "Regelmatig", 8, "Vaak", 12)</f>
        <v/>
      </c>
      <c r="Q370">
        <f>IF(L370&gt;=7, "Tevreden", "Ontevreden")</f>
        <v/>
      </c>
    </row>
    <row r="371">
      <c r="A371" t="inlineStr">
        <is>
          <t>Janssens, Remi</t>
        </is>
      </c>
      <c r="B371" t="n">
        <v>9079603675</v>
      </c>
      <c r="C371" t="inlineStr">
        <is>
          <t>17/01/1959</t>
        </is>
      </c>
      <c r="D371" t="inlineStr">
        <is>
          <t>Limburgstraat</t>
        </is>
      </c>
      <c r="E371" t="n">
        <v>44</v>
      </c>
      <c r="F371" t="inlineStr">
        <is>
          <t>Hasselt</t>
        </is>
      </c>
      <c r="G371" t="n">
        <v>1</v>
      </c>
      <c r="H371" t="n">
        <v>0</v>
      </c>
      <c r="I371" t="n">
        <v>104.92</v>
      </c>
      <c r="J371" t="inlineStr">
        <is>
          <t>Vaak</t>
        </is>
      </c>
      <c r="K371" t="inlineStr">
        <is>
          <t>Bancontact</t>
        </is>
      </c>
      <c r="L371" t="n">
        <v>7.52</v>
      </c>
      <c r="M371" t="inlineStr">
        <is>
          <t>Geen dieet</t>
        </is>
      </c>
      <c r="N371">
        <f>LEFT(A371, FIND(",", A371)-1)</f>
        <v/>
      </c>
      <c r="O371">
        <f>MID(A371, FIND(",", A371)+2, LEN(A371))</f>
        <v/>
      </c>
      <c r="P371">
        <f>SWITCH(J371, "Zelden", 1, "Af en toe", 4, "Regelmatig", 8, "Vaak", 12)</f>
        <v/>
      </c>
      <c r="Q371">
        <f>IF(L371&gt;=7, "Tevreden", "Ontevreden")</f>
        <v/>
      </c>
    </row>
    <row r="372">
      <c r="A372" t="inlineStr">
        <is>
          <t>Robert, Sebastien</t>
        </is>
      </c>
      <c r="B372" t="n">
        <v>5863973958</v>
      </c>
      <c r="C372" t="inlineStr">
        <is>
          <t>26/01/1951</t>
        </is>
      </c>
      <c r="D372" t="inlineStr">
        <is>
          <t>Baarledorpstraat</t>
        </is>
      </c>
      <c r="E372" t="n">
        <v>81</v>
      </c>
      <c r="F372" t="inlineStr">
        <is>
          <t>Hasselt</t>
        </is>
      </c>
      <c r="G372" t="n">
        <v>2</v>
      </c>
      <c r="H372" t="n">
        <v>4</v>
      </c>
      <c r="I372" t="n">
        <v>133.13</v>
      </c>
      <c r="J372" t="inlineStr">
        <is>
          <t>Af en toe</t>
        </is>
      </c>
      <c r="K372" t="inlineStr">
        <is>
          <t>Payconiq</t>
        </is>
      </c>
      <c r="L372" t="n">
        <v>7.15</v>
      </c>
      <c r="M372" t="inlineStr">
        <is>
          <t>Geen dieet</t>
        </is>
      </c>
      <c r="N372">
        <f>LEFT(A372, FIND(",", A372)-1)</f>
        <v/>
      </c>
      <c r="O372">
        <f>MID(A372, FIND(",", A372)+2, LEN(A372))</f>
        <v/>
      </c>
      <c r="P372">
        <f>SWITCH(J372, "Zelden", 1, "Af en toe", 4, "Regelmatig", 8, "Vaak", 12)</f>
        <v/>
      </c>
      <c r="Q372">
        <f>IF(L372&gt;=7, "Tevreden", "Ontevreden")</f>
        <v/>
      </c>
    </row>
    <row r="373">
      <c r="A373" t="inlineStr">
        <is>
          <t>Moons, Luc</t>
        </is>
      </c>
      <c r="B373" t="n">
        <v>9536879263</v>
      </c>
      <c r="C373" t="inlineStr">
        <is>
          <t>20/05/1980</t>
        </is>
      </c>
      <c r="D373" t="inlineStr">
        <is>
          <t>Phoenixstraat</t>
        </is>
      </c>
      <c r="E373" t="n">
        <v>53</v>
      </c>
      <c r="F373" t="inlineStr">
        <is>
          <t>Maasmechelen</t>
        </is>
      </c>
      <c r="G373" t="n">
        <v>2</v>
      </c>
      <c r="H373" t="n">
        <v>0</v>
      </c>
      <c r="I373" t="n">
        <v>41.7</v>
      </c>
      <c r="J373" t="inlineStr">
        <is>
          <t>Zelden</t>
        </is>
      </c>
      <c r="K373" t="inlineStr">
        <is>
          <t>Bancontact</t>
        </is>
      </c>
      <c r="L373" t="n">
        <v>8.98</v>
      </c>
      <c r="M373" t="inlineStr">
        <is>
          <t>Vegetarisch</t>
        </is>
      </c>
      <c r="N373">
        <f>LEFT(A373, FIND(",", A373)-1)</f>
        <v/>
      </c>
      <c r="O373">
        <f>MID(A373, FIND(",", A373)+2, LEN(A373))</f>
        <v/>
      </c>
      <c r="P373">
        <f>SWITCH(J373, "Zelden", 1, "Af en toe", 4, "Regelmatig", 8, "Vaak", 12)</f>
        <v/>
      </c>
      <c r="Q373">
        <f>IF(L373&gt;=7, "Tevreden", "Ontevreden")</f>
        <v/>
      </c>
    </row>
    <row r="374">
      <c r="A374" t="inlineStr">
        <is>
          <t>De meyer, Marine</t>
        </is>
      </c>
      <c r="B374" t="n">
        <v>721863034</v>
      </c>
      <c r="C374" t="inlineStr">
        <is>
          <t>06/10/1973</t>
        </is>
      </c>
      <c r="D374" t="inlineStr">
        <is>
          <t>Breestraat</t>
        </is>
      </c>
      <c r="E374" t="n">
        <v>52</v>
      </c>
      <c r="F374" t="inlineStr">
        <is>
          <t>Riemst</t>
        </is>
      </c>
      <c r="G374" t="n">
        <v>2</v>
      </c>
      <c r="H374" t="n">
        <v>0</v>
      </c>
      <c r="I374" t="n">
        <v>43.81</v>
      </c>
      <c r="J374" t="inlineStr">
        <is>
          <t>Af en toe</t>
        </is>
      </c>
      <c r="K374" t="inlineStr">
        <is>
          <t>Payconiq</t>
        </is>
      </c>
      <c r="L374" t="n">
        <v>7.46</v>
      </c>
      <c r="M374" t="inlineStr">
        <is>
          <t>Geen dieet</t>
        </is>
      </c>
      <c r="N374">
        <f>LEFT(A374, FIND(",", A374)-1)</f>
        <v/>
      </c>
      <c r="O374">
        <f>MID(A374, FIND(",", A374)+2, LEN(A374))</f>
        <v/>
      </c>
      <c r="P374">
        <f>SWITCH(J374, "Zelden", 1, "Af en toe", 4, "Regelmatig", 8, "Vaak", 12)</f>
        <v/>
      </c>
      <c r="Q374">
        <f>IF(L374&gt;=7, "Tevreden", "Ontevreden")</f>
        <v/>
      </c>
    </row>
    <row r="375">
      <c r="A375" t="inlineStr">
        <is>
          <t>Vandeputte, Sebastiano</t>
        </is>
      </c>
      <c r="B375" t="n">
        <v>8761469540</v>
      </c>
      <c r="C375" t="inlineStr">
        <is>
          <t>19/08/1970</t>
        </is>
      </c>
      <c r="D375" t="inlineStr">
        <is>
          <t>Koningin Fabiolalaan</t>
        </is>
      </c>
      <c r="E375" t="n">
        <v>59</v>
      </c>
      <c r="F375" t="inlineStr">
        <is>
          <t>Maaseik</t>
        </is>
      </c>
      <c r="G375" t="n">
        <v>2</v>
      </c>
      <c r="H375" t="n">
        <v>2</v>
      </c>
      <c r="I375" t="n">
        <v>150.78</v>
      </c>
      <c r="J375" t="inlineStr">
        <is>
          <t>Zelden</t>
        </is>
      </c>
      <c r="K375" t="inlineStr">
        <is>
          <t>Payconiq</t>
        </is>
      </c>
      <c r="L375" t="n">
        <v>6.36</v>
      </c>
      <c r="M375" t="inlineStr">
        <is>
          <t>Veganistisch</t>
        </is>
      </c>
      <c r="N375">
        <f>LEFT(A375, FIND(",", A375)-1)</f>
        <v/>
      </c>
      <c r="O375">
        <f>MID(A375, FIND(",", A375)+2, LEN(A375))</f>
        <v/>
      </c>
      <c r="P375">
        <f>SWITCH(J375, "Zelden", 1, "Af en toe", 4, "Regelmatig", 8, "Vaak", 12)</f>
        <v/>
      </c>
      <c r="Q375">
        <f>IF(L375&gt;=7, "Tevreden", "Ontevreden")</f>
        <v/>
      </c>
    </row>
    <row r="376">
      <c r="A376" t="inlineStr">
        <is>
          <t>Lemaire, Jérémy</t>
        </is>
      </c>
      <c r="B376" t="n">
        <v>7173824355</v>
      </c>
      <c r="C376" t="inlineStr">
        <is>
          <t>01/01/1979</t>
        </is>
      </c>
      <c r="D376" t="inlineStr">
        <is>
          <t>Schoolstraat</t>
        </is>
      </c>
      <c r="E376" t="n">
        <v>1</v>
      </c>
      <c r="F376" t="inlineStr">
        <is>
          <t>Hasselt</t>
        </is>
      </c>
      <c r="G376" t="n">
        <v>5</v>
      </c>
      <c r="H376" t="n">
        <v>2</v>
      </c>
      <c r="I376" t="n">
        <v>202.93</v>
      </c>
      <c r="J376" t="inlineStr">
        <is>
          <t>Af en toe</t>
        </is>
      </c>
      <c r="K376" t="inlineStr">
        <is>
          <t>Payconiq</t>
        </is>
      </c>
      <c r="L376" t="n">
        <v>6.67</v>
      </c>
      <c r="M376" t="inlineStr">
        <is>
          <t>Geen dieet</t>
        </is>
      </c>
      <c r="N376">
        <f>LEFT(A376, FIND(",", A376)-1)</f>
        <v/>
      </c>
      <c r="O376">
        <f>MID(A376, FIND(",", A376)+2, LEN(A376))</f>
        <v/>
      </c>
      <c r="P376">
        <f>SWITCH(J376, "Zelden", 1, "Af en toe", 4, "Regelmatig", 8, "Vaak", 12)</f>
        <v/>
      </c>
      <c r="Q376">
        <f>IF(L376&gt;=7, "Tevreden", "Ontevreden")</f>
        <v/>
      </c>
    </row>
    <row r="377">
      <c r="A377" t="inlineStr">
        <is>
          <t>Vervoort, Dave</t>
        </is>
      </c>
      <c r="B377" t="n">
        <v>959718019</v>
      </c>
      <c r="C377" t="inlineStr">
        <is>
          <t>29/01/1954</t>
        </is>
      </c>
      <c r="D377" t="inlineStr">
        <is>
          <t>Meulesteedsesteenweg</t>
        </is>
      </c>
      <c r="E377" t="n">
        <v>55</v>
      </c>
      <c r="F377" t="inlineStr">
        <is>
          <t>Lanaken</t>
        </is>
      </c>
      <c r="G377" t="n">
        <v>2</v>
      </c>
      <c r="H377" t="n">
        <v>0</v>
      </c>
      <c r="I377" t="n">
        <v>83.34999999999999</v>
      </c>
      <c r="J377" t="inlineStr">
        <is>
          <t>Af en toe</t>
        </is>
      </c>
      <c r="K377" t="inlineStr">
        <is>
          <t>Payconiq</t>
        </is>
      </c>
      <c r="L377" t="n">
        <v>7.61</v>
      </c>
      <c r="M377" t="inlineStr">
        <is>
          <t>Vegetarisch</t>
        </is>
      </c>
      <c r="N377">
        <f>LEFT(A377, FIND(",", A377)-1)</f>
        <v/>
      </c>
      <c r="O377">
        <f>MID(A377, FIND(",", A377)+2, LEN(A377))</f>
        <v/>
      </c>
      <c r="P377">
        <f>SWITCH(J377, "Zelden", 1, "Af en toe", 4, "Regelmatig", 8, "Vaak", 12)</f>
        <v/>
      </c>
      <c r="Q377">
        <f>IF(L377&gt;=7, "Tevreden", "Ontevreden")</f>
        <v/>
      </c>
    </row>
    <row r="378">
      <c r="A378" t="inlineStr">
        <is>
          <t>Van dyck, Marc</t>
        </is>
      </c>
      <c r="B378" t="n">
        <v>6631840837</v>
      </c>
      <c r="C378" t="inlineStr">
        <is>
          <t>04/02/1946</t>
        </is>
      </c>
      <c r="D378" t="inlineStr">
        <is>
          <t>Forelstraat</t>
        </is>
      </c>
      <c r="E378" t="n">
        <v>9</v>
      </c>
      <c r="F378" t="inlineStr">
        <is>
          <t>Heusden-Zolder</t>
        </is>
      </c>
      <c r="G378" t="n">
        <v>2</v>
      </c>
      <c r="H378" t="n">
        <v>0</v>
      </c>
      <c r="I378" t="n">
        <v>74.59999999999999</v>
      </c>
      <c r="J378" t="inlineStr">
        <is>
          <t>Zelden</t>
        </is>
      </c>
      <c r="K378" t="inlineStr">
        <is>
          <t>Bancontact</t>
        </is>
      </c>
      <c r="L378" t="n">
        <v>7</v>
      </c>
      <c r="M378" t="inlineStr">
        <is>
          <t>Geen dieet</t>
        </is>
      </c>
      <c r="N378">
        <f>LEFT(A378, FIND(",", A378)-1)</f>
        <v/>
      </c>
      <c r="O378">
        <f>MID(A378, FIND(",", A378)+2, LEN(A378))</f>
        <v/>
      </c>
      <c r="P378">
        <f>SWITCH(J378, "Zelden", 1, "Af en toe", 4, "Regelmatig", 8, "Vaak", 12)</f>
        <v/>
      </c>
      <c r="Q378">
        <f>IF(L378&gt;=7, "Tevreden", "Ontevreden")</f>
        <v/>
      </c>
    </row>
    <row r="379">
      <c r="A379" t="inlineStr">
        <is>
          <t>Lemaire, Yana</t>
        </is>
      </c>
      <c r="B379" t="n">
        <v>3635818395</v>
      </c>
      <c r="C379" t="inlineStr">
        <is>
          <t>10/07/1958</t>
        </is>
      </c>
      <c r="D379" t="inlineStr">
        <is>
          <t>Gebroeders Vandeveldestraat</t>
        </is>
      </c>
      <c r="E379" t="n">
        <v>28</v>
      </c>
      <c r="F379" t="inlineStr">
        <is>
          <t>Gingelom</t>
        </is>
      </c>
      <c r="G379" t="n">
        <v>1</v>
      </c>
      <c r="H379" t="n">
        <v>1</v>
      </c>
      <c r="I379" t="n">
        <v>118.99</v>
      </c>
      <c r="J379" t="inlineStr">
        <is>
          <t>Vaak</t>
        </is>
      </c>
      <c r="K379" t="inlineStr">
        <is>
          <t>Cash</t>
        </is>
      </c>
      <c r="L379" t="n">
        <v>6.66</v>
      </c>
      <c r="M379" t="inlineStr">
        <is>
          <t>Geen dieet</t>
        </is>
      </c>
      <c r="N379">
        <f>LEFT(A379, FIND(",", A379)-1)</f>
        <v/>
      </c>
      <c r="O379">
        <f>MID(A379, FIND(",", A379)+2, LEN(A379))</f>
        <v/>
      </c>
      <c r="P379">
        <f>SWITCH(J379, "Zelden", 1, "Af en toe", 4, "Regelmatig", 8, "Vaak", 12)</f>
        <v/>
      </c>
      <c r="Q379">
        <f>IF(L379&gt;=7, "Tevreden", "Ontevreden")</f>
        <v/>
      </c>
    </row>
    <row r="380">
      <c r="A380" t="inlineStr">
        <is>
          <t>Goris, Patrick</t>
        </is>
      </c>
      <c r="B380" t="n">
        <v>1903100233</v>
      </c>
      <c r="C380" t="inlineStr">
        <is>
          <t>18/09/1985</t>
        </is>
      </c>
      <c r="D380" t="inlineStr">
        <is>
          <t>Lostraat</t>
        </is>
      </c>
      <c r="E380" t="n">
        <v>83</v>
      </c>
      <c r="F380" t="inlineStr">
        <is>
          <t>Hasselt</t>
        </is>
      </c>
      <c r="G380" t="n">
        <v>1</v>
      </c>
      <c r="H380" t="n">
        <v>2</v>
      </c>
      <c r="I380" t="n">
        <v>46.5</v>
      </c>
      <c r="J380" t="inlineStr">
        <is>
          <t>Af en toe</t>
        </is>
      </c>
      <c r="K380" t="inlineStr">
        <is>
          <t>Bancontact</t>
        </is>
      </c>
      <c r="L380" t="n">
        <v>7.81</v>
      </c>
      <c r="M380" t="inlineStr">
        <is>
          <t>Geen dieet</t>
        </is>
      </c>
      <c r="N380">
        <f>LEFT(A380, FIND(",", A380)-1)</f>
        <v/>
      </c>
      <c r="O380">
        <f>MID(A380, FIND(",", A380)+2, LEN(A380))</f>
        <v/>
      </c>
      <c r="P380">
        <f>SWITCH(J380, "Zelden", 1, "Af en toe", 4, "Regelmatig", 8, "Vaak", 12)</f>
        <v/>
      </c>
      <c r="Q380">
        <f>IF(L380&gt;=7, "Tevreden", "Ontevreden")</f>
        <v/>
      </c>
    </row>
    <row r="381">
      <c r="A381" t="inlineStr">
        <is>
          <t>Lemaire, Isabelle</t>
        </is>
      </c>
      <c r="B381" t="n">
        <v>4428102053</v>
      </c>
      <c r="C381" t="inlineStr">
        <is>
          <t>01/02/1975</t>
        </is>
      </c>
      <c r="D381" t="inlineStr">
        <is>
          <t>Gaverlandstraat</t>
        </is>
      </c>
      <c r="E381" t="n">
        <v>35</v>
      </c>
      <c r="F381" t="inlineStr">
        <is>
          <t>Sint-Truiden</t>
        </is>
      </c>
      <c r="G381" t="n">
        <v>1</v>
      </c>
      <c r="H381" t="n">
        <v>5</v>
      </c>
      <c r="I381" t="n">
        <v>153.21</v>
      </c>
      <c r="J381" t="inlineStr">
        <is>
          <t>Vaak</t>
        </is>
      </c>
      <c r="K381" t="inlineStr">
        <is>
          <t>Bancontact</t>
        </is>
      </c>
      <c r="L381" t="n">
        <v>7.1</v>
      </c>
      <c r="M381" t="inlineStr">
        <is>
          <t>Geen dieet</t>
        </is>
      </c>
      <c r="N381">
        <f>LEFT(A381, FIND(",", A381)-1)</f>
        <v/>
      </c>
      <c r="O381">
        <f>MID(A381, FIND(",", A381)+2, LEN(A381))</f>
        <v/>
      </c>
      <c r="P381">
        <f>SWITCH(J381, "Zelden", 1, "Af en toe", 4, "Regelmatig", 8, "Vaak", 12)</f>
        <v/>
      </c>
      <c r="Q381">
        <f>IF(L381&gt;=7, "Tevreden", "Ontevreden")</f>
        <v/>
      </c>
    </row>
    <row r="382">
      <c r="A382" t="inlineStr">
        <is>
          <t>De boeck, Hedwig</t>
        </is>
      </c>
      <c r="B382" t="n">
        <v>3762702384</v>
      </c>
      <c r="C382" t="inlineStr">
        <is>
          <t>13/12/1957</t>
        </is>
      </c>
      <c r="D382" t="inlineStr">
        <is>
          <t>Kartuizerlaan</t>
        </is>
      </c>
      <c r="E382" t="n">
        <v>3</v>
      </c>
      <c r="F382" t="inlineStr">
        <is>
          <t>Maasmechelen</t>
        </is>
      </c>
      <c r="G382" t="n">
        <v>1</v>
      </c>
      <c r="H382" t="n">
        <v>1</v>
      </c>
      <c r="I382" t="n">
        <v>18</v>
      </c>
      <c r="J382" t="inlineStr">
        <is>
          <t>Zelden</t>
        </is>
      </c>
      <c r="K382" t="inlineStr">
        <is>
          <t>Cash</t>
        </is>
      </c>
      <c r="L382" t="n">
        <v>6.86</v>
      </c>
      <c r="M382" t="inlineStr">
        <is>
          <t>Geen dieet</t>
        </is>
      </c>
      <c r="N382">
        <f>LEFT(A382, FIND(",", A382)-1)</f>
        <v/>
      </c>
      <c r="O382">
        <f>MID(A382, FIND(",", A382)+2, LEN(A382))</f>
        <v/>
      </c>
      <c r="P382">
        <f>SWITCH(J382, "Zelden", 1, "Af en toe", 4, "Regelmatig", 8, "Vaak", 12)</f>
        <v/>
      </c>
      <c r="Q382">
        <f>IF(L382&gt;=7, "Tevreden", "Ontevreden")</f>
        <v/>
      </c>
    </row>
    <row r="383">
      <c r="A383" t="inlineStr">
        <is>
          <t>Dubois, Gibril</t>
        </is>
      </c>
      <c r="B383" t="n">
        <v>4527111854</v>
      </c>
      <c r="C383" t="inlineStr">
        <is>
          <t>10/11/1957</t>
        </is>
      </c>
      <c r="D383" t="inlineStr">
        <is>
          <t>Ajuinlei</t>
        </is>
      </c>
      <c r="E383" t="n">
        <v>21</v>
      </c>
      <c r="F383" t="inlineStr">
        <is>
          <t>Maaseik</t>
        </is>
      </c>
      <c r="G383" t="n">
        <v>2</v>
      </c>
      <c r="H383" t="n">
        <v>2</v>
      </c>
      <c r="I383" t="n">
        <v>200.22</v>
      </c>
      <c r="J383" t="inlineStr">
        <is>
          <t>Af en toe</t>
        </is>
      </c>
      <c r="K383" t="inlineStr">
        <is>
          <t>Payconiq</t>
        </is>
      </c>
      <c r="L383" t="n">
        <v>7</v>
      </c>
      <c r="M383" t="inlineStr">
        <is>
          <t>Geen dieet</t>
        </is>
      </c>
      <c r="N383">
        <f>LEFT(A383, FIND(",", A383)-1)</f>
        <v/>
      </c>
      <c r="O383">
        <f>MID(A383, FIND(",", A383)+2, LEN(A383))</f>
        <v/>
      </c>
      <c r="P383">
        <f>SWITCH(J383, "Zelden", 1, "Af en toe", 4, "Regelmatig", 8, "Vaak", 12)</f>
        <v/>
      </c>
      <c r="Q383">
        <f>IF(L383&gt;=7, "Tevreden", "Ontevreden")</f>
        <v/>
      </c>
    </row>
    <row r="384">
      <c r="A384" t="inlineStr">
        <is>
          <t>Mertens, Oussama</t>
        </is>
      </c>
      <c r="B384" t="n">
        <v>9429084161</v>
      </c>
      <c r="C384" t="inlineStr">
        <is>
          <t>01/10/1974</t>
        </is>
      </c>
      <c r="D384" t="inlineStr">
        <is>
          <t>Ijskelderstraat</t>
        </is>
      </c>
      <c r="E384" t="n">
        <v>49</v>
      </c>
      <c r="F384" t="inlineStr">
        <is>
          <t>Opglabbeek</t>
        </is>
      </c>
      <c r="G384" t="n">
        <v>2</v>
      </c>
      <c r="H384" t="n">
        <v>1</v>
      </c>
      <c r="I384" t="n">
        <v>95.13</v>
      </c>
      <c r="J384" t="inlineStr">
        <is>
          <t>Dagelijks</t>
        </is>
      </c>
      <c r="K384" t="inlineStr">
        <is>
          <t>Bancontact</t>
        </is>
      </c>
      <c r="L384" t="n">
        <v>6.95</v>
      </c>
      <c r="M384" t="inlineStr">
        <is>
          <t>Geen dieet</t>
        </is>
      </c>
      <c r="N384">
        <f>LEFT(A384, FIND(",", A384)-1)</f>
        <v/>
      </c>
      <c r="O384">
        <f>MID(A384, FIND(",", A384)+2, LEN(A384))</f>
        <v/>
      </c>
      <c r="P384">
        <f>SWITCH(J384, "Zelden", 1, "Af en toe", 4, "Regelmatig", 8, "Vaak", 12)</f>
        <v/>
      </c>
      <c r="Q384">
        <f>IF(L384&gt;=7, "Tevreden", "Ontevreden")</f>
        <v/>
      </c>
    </row>
    <row r="385">
      <c r="A385" t="inlineStr">
        <is>
          <t>Maes, Aleksandr</t>
        </is>
      </c>
      <c r="B385" t="n">
        <v>232112587</v>
      </c>
      <c r="C385" t="inlineStr">
        <is>
          <t>23/10/1970</t>
        </is>
      </c>
      <c r="D385" t="inlineStr">
        <is>
          <t>Merelbekestationplein</t>
        </is>
      </c>
      <c r="E385" t="n">
        <v>68</v>
      </c>
      <c r="F385" t="inlineStr">
        <is>
          <t>Maaseik</t>
        </is>
      </c>
      <c r="G385" t="n">
        <v>2</v>
      </c>
      <c r="H385" t="n">
        <v>1</v>
      </c>
      <c r="I385" t="n">
        <v>122.19</v>
      </c>
      <c r="J385" t="inlineStr">
        <is>
          <t>Zeer vaak</t>
        </is>
      </c>
      <c r="K385" t="inlineStr">
        <is>
          <t>Bancontact</t>
        </is>
      </c>
      <c r="L385" t="n">
        <v>7.17</v>
      </c>
      <c r="M385" t="inlineStr">
        <is>
          <t>Geen dieet</t>
        </is>
      </c>
      <c r="N385">
        <f>LEFT(A385, FIND(",", A385)-1)</f>
        <v/>
      </c>
      <c r="O385">
        <f>MID(A385, FIND(",", A385)+2, LEN(A385))</f>
        <v/>
      </c>
      <c r="P385">
        <f>SWITCH(J385, "Zelden", 1, "Af en toe", 4, "Regelmatig", 8, "Vaak", 12)</f>
        <v/>
      </c>
      <c r="Q385">
        <f>IF(L385&gt;=7, "Tevreden", "Ontevreden")</f>
        <v/>
      </c>
    </row>
    <row r="386">
      <c r="A386" t="inlineStr">
        <is>
          <t>Bernard, Hans</t>
        </is>
      </c>
      <c r="B386" t="n">
        <v>3279476296</v>
      </c>
      <c r="C386" t="inlineStr">
        <is>
          <t>26/06/1960</t>
        </is>
      </c>
      <c r="D386" t="inlineStr">
        <is>
          <t>Leiekaai</t>
        </is>
      </c>
      <c r="E386" t="n">
        <v>25</v>
      </c>
      <c r="F386" t="inlineStr">
        <is>
          <t>Neerpelt</t>
        </is>
      </c>
      <c r="G386" t="n">
        <v>2</v>
      </c>
      <c r="H386" t="n">
        <v>0</v>
      </c>
      <c r="I386" t="n">
        <v>36.7</v>
      </c>
      <c r="J386" t="inlineStr">
        <is>
          <t>Vaak</t>
        </is>
      </c>
      <c r="K386" t="inlineStr">
        <is>
          <t>Bancontact</t>
        </is>
      </c>
      <c r="L386" t="n">
        <v>6.95</v>
      </c>
      <c r="M386" t="inlineStr">
        <is>
          <t>Geen dieet</t>
        </is>
      </c>
      <c r="N386">
        <f>LEFT(A386, FIND(",", A386)-1)</f>
        <v/>
      </c>
      <c r="O386">
        <f>MID(A386, FIND(",", A386)+2, LEN(A386))</f>
        <v/>
      </c>
      <c r="P386">
        <f>SWITCH(J386, "Zelden", 1, "Af en toe", 4, "Regelmatig", 8, "Vaak", 12)</f>
        <v/>
      </c>
      <c r="Q386">
        <f>IF(L386&gt;=7, "Tevreden", "Ontevreden")</f>
        <v/>
      </c>
    </row>
    <row r="387">
      <c r="A387" t="inlineStr">
        <is>
          <t>Vandamme, Katleen</t>
        </is>
      </c>
      <c r="B387" t="n">
        <v>7552893375</v>
      </c>
      <c r="C387" t="inlineStr">
        <is>
          <t>25/09/2001</t>
        </is>
      </c>
      <c r="D387" t="inlineStr">
        <is>
          <t>Forelstraat</t>
        </is>
      </c>
      <c r="E387" t="n">
        <v>15</v>
      </c>
      <c r="F387" t="inlineStr">
        <is>
          <t>Genk</t>
        </is>
      </c>
      <c r="G387" t="n">
        <v>1</v>
      </c>
      <c r="H387" t="n">
        <v>1</v>
      </c>
      <c r="I387" t="n">
        <v>55.43</v>
      </c>
      <c r="J387" t="inlineStr">
        <is>
          <t>Af en toe</t>
        </is>
      </c>
      <c r="K387" t="inlineStr">
        <is>
          <t>Bancontact</t>
        </is>
      </c>
      <c r="L387" t="n">
        <v>8.19</v>
      </c>
      <c r="M387" t="inlineStr">
        <is>
          <t>Vegetarisch</t>
        </is>
      </c>
      <c r="N387">
        <f>LEFT(A387, FIND(",", A387)-1)</f>
        <v/>
      </c>
      <c r="O387">
        <f>MID(A387, FIND(",", A387)+2, LEN(A387))</f>
        <v/>
      </c>
      <c r="P387">
        <f>SWITCH(J387, "Zelden", 1, "Af en toe", 4, "Regelmatig", 8, "Vaak", 12)</f>
        <v/>
      </c>
      <c r="Q387">
        <f>IF(L387&gt;=7, "Tevreden", "Ontevreden")</f>
        <v/>
      </c>
    </row>
    <row r="388">
      <c r="A388" t="inlineStr">
        <is>
          <t>Evrard, Margaux</t>
        </is>
      </c>
      <c r="B388" t="n">
        <v>9755631937</v>
      </c>
      <c r="C388" t="inlineStr">
        <is>
          <t>06/06/1982</t>
        </is>
      </c>
      <c r="D388" t="inlineStr">
        <is>
          <t>Hoornstraat</t>
        </is>
      </c>
      <c r="E388" t="n">
        <v>49</v>
      </c>
      <c r="F388" t="inlineStr">
        <is>
          <t>Lommel</t>
        </is>
      </c>
      <c r="G388" t="n">
        <v>2</v>
      </c>
      <c r="H388" t="n">
        <v>2</v>
      </c>
      <c r="I388" t="n">
        <v>103.83</v>
      </c>
      <c r="J388" t="inlineStr">
        <is>
          <t>Dagelijks</t>
        </is>
      </c>
      <c r="K388" t="inlineStr">
        <is>
          <t>Payconiq</t>
        </is>
      </c>
      <c r="L388" t="n">
        <v>7.3</v>
      </c>
      <c r="M388" t="inlineStr">
        <is>
          <t>Geen dieet</t>
        </is>
      </c>
      <c r="N388">
        <f>LEFT(A388, FIND(",", A388)-1)</f>
        <v/>
      </c>
      <c r="O388">
        <f>MID(A388, FIND(",", A388)+2, LEN(A388))</f>
        <v/>
      </c>
      <c r="P388">
        <f>SWITCH(J388, "Zelden", 1, "Af en toe", 4, "Regelmatig", 8, "Vaak", 12)</f>
        <v/>
      </c>
      <c r="Q388">
        <f>IF(L388&gt;=7, "Tevreden", "Ontevreden")</f>
        <v/>
      </c>
    </row>
    <row r="389">
      <c r="A389" t="inlineStr">
        <is>
          <t>Masson, Maha</t>
        </is>
      </c>
      <c r="B389" t="n">
        <v>2258836764</v>
      </c>
      <c r="C389" t="inlineStr">
        <is>
          <t>25/03/1986</t>
        </is>
      </c>
      <c r="D389" t="inlineStr">
        <is>
          <t>Vijfwindgatenstraat</t>
        </is>
      </c>
      <c r="E389" t="n">
        <v>59</v>
      </c>
      <c r="F389" t="inlineStr">
        <is>
          <t>Kinrooi</t>
        </is>
      </c>
      <c r="G389" t="n">
        <v>1</v>
      </c>
      <c r="H389" t="n">
        <v>1</v>
      </c>
      <c r="I389" t="n">
        <v>168.53</v>
      </c>
      <c r="J389" t="inlineStr">
        <is>
          <t>Af en toe</t>
        </is>
      </c>
      <c r="K389" t="inlineStr">
        <is>
          <t>Payconiq</t>
        </is>
      </c>
      <c r="L389" t="n">
        <v>7.44</v>
      </c>
      <c r="M389" t="inlineStr">
        <is>
          <t>Geen dieet</t>
        </is>
      </c>
      <c r="N389">
        <f>LEFT(A389, FIND(",", A389)-1)</f>
        <v/>
      </c>
      <c r="O389">
        <f>MID(A389, FIND(",", A389)+2, LEN(A389))</f>
        <v/>
      </c>
      <c r="P389">
        <f>SWITCH(J389, "Zelden", 1, "Af en toe", 4, "Regelmatig", 8, "Vaak", 12)</f>
        <v/>
      </c>
      <c r="Q389">
        <f>IF(L389&gt;=7, "Tevreden", "Ontevreden")</f>
        <v/>
      </c>
    </row>
    <row r="390">
      <c r="A390" t="inlineStr">
        <is>
          <t>Petit, Camille</t>
        </is>
      </c>
      <c r="B390" t="n">
        <v>6522250874</v>
      </c>
      <c r="C390" t="inlineStr">
        <is>
          <t>14/09/1981</t>
        </is>
      </c>
      <c r="D390" t="inlineStr">
        <is>
          <t>Kwartelstraat</t>
        </is>
      </c>
      <c r="E390" t="n">
        <v>1</v>
      </c>
      <c r="F390" t="inlineStr">
        <is>
          <t>Bilzen</t>
        </is>
      </c>
      <c r="G390" t="n">
        <v>1</v>
      </c>
      <c r="H390" t="n">
        <v>0</v>
      </c>
      <c r="I390" t="n">
        <v>36.34</v>
      </c>
      <c r="J390" t="inlineStr">
        <is>
          <t>Zelden</t>
        </is>
      </c>
      <c r="K390" t="inlineStr">
        <is>
          <t>Cash</t>
        </is>
      </c>
      <c r="L390" t="n">
        <v>8.09</v>
      </c>
      <c r="M390" t="inlineStr">
        <is>
          <t>Vegetarisch</t>
        </is>
      </c>
      <c r="N390">
        <f>LEFT(A390, FIND(",", A390)-1)</f>
        <v/>
      </c>
      <c r="O390">
        <f>MID(A390, FIND(",", A390)+2, LEN(A390))</f>
        <v/>
      </c>
      <c r="P390">
        <f>SWITCH(J390, "Zelden", 1, "Af en toe", 4, "Regelmatig", 8, "Vaak", 12)</f>
        <v/>
      </c>
      <c r="Q390">
        <f>IF(L390&gt;=7, "Tevreden", "Ontevreden")</f>
        <v/>
      </c>
    </row>
    <row r="391">
      <c r="A391" t="inlineStr">
        <is>
          <t>Jans, Filip</t>
        </is>
      </c>
      <c r="B391" t="n">
        <v>7845210597</v>
      </c>
      <c r="C391" t="inlineStr">
        <is>
          <t>26/12/1955</t>
        </is>
      </c>
      <c r="D391" t="inlineStr">
        <is>
          <t>Zuidstationstraat</t>
        </is>
      </c>
      <c r="E391" t="n">
        <v>87</v>
      </c>
      <c r="F391" t="inlineStr">
        <is>
          <t>Nieuwerkerken</t>
        </is>
      </c>
      <c r="G391" t="n">
        <v>1</v>
      </c>
      <c r="H391" t="n">
        <v>2</v>
      </c>
      <c r="I391" t="n">
        <v>95.06</v>
      </c>
      <c r="J391" t="inlineStr">
        <is>
          <t>Vaak</t>
        </is>
      </c>
      <c r="K391" t="inlineStr">
        <is>
          <t>Payconiq</t>
        </is>
      </c>
      <c r="L391" t="n">
        <v>7.41</v>
      </c>
      <c r="M391" t="inlineStr">
        <is>
          <t>Geen dieet</t>
        </is>
      </c>
      <c r="N391">
        <f>LEFT(A391, FIND(",", A391)-1)</f>
        <v/>
      </c>
      <c r="O391">
        <f>MID(A391, FIND(",", A391)+2, LEN(A391))</f>
        <v/>
      </c>
      <c r="P391">
        <f>SWITCH(J391, "Zelden", 1, "Af en toe", 4, "Regelmatig", 8, "Vaak", 12)</f>
        <v/>
      </c>
      <c r="Q391">
        <f>IF(L391&gt;=7, "Tevreden", "Ontevreden")</f>
        <v/>
      </c>
    </row>
    <row r="392">
      <c r="A392" t="inlineStr">
        <is>
          <t>Desmet, Danielle</t>
        </is>
      </c>
      <c r="B392" t="n">
        <v>9942377691</v>
      </c>
      <c r="C392" t="inlineStr">
        <is>
          <t>08/02/1965</t>
        </is>
      </c>
      <c r="D392" t="inlineStr">
        <is>
          <t>Dendermondsesteenweg</t>
        </is>
      </c>
      <c r="E392" t="n">
        <v>62</v>
      </c>
      <c r="F392" t="inlineStr">
        <is>
          <t>Riemst</t>
        </is>
      </c>
      <c r="G392" t="n">
        <v>2</v>
      </c>
      <c r="H392" t="n">
        <v>3</v>
      </c>
      <c r="I392" t="n">
        <v>174.13</v>
      </c>
      <c r="J392" t="inlineStr">
        <is>
          <t>Af en toe</t>
        </is>
      </c>
      <c r="K392" t="inlineStr">
        <is>
          <t>Payconiq</t>
        </is>
      </c>
      <c r="L392" t="n">
        <v>7.12</v>
      </c>
      <c r="M392" t="inlineStr">
        <is>
          <t>Geen dieet</t>
        </is>
      </c>
      <c r="N392">
        <f>LEFT(A392, FIND(",", A392)-1)</f>
        <v/>
      </c>
      <c r="O392">
        <f>MID(A392, FIND(",", A392)+2, LEN(A392))</f>
        <v/>
      </c>
      <c r="P392">
        <f>SWITCH(J392, "Zelden", 1, "Af en toe", 4, "Regelmatig", 8, "Vaak", 12)</f>
        <v/>
      </c>
      <c r="Q392">
        <f>IF(L392&gt;=7, "Tevreden", "Ontevreden")</f>
        <v/>
      </c>
    </row>
    <row r="393">
      <c r="A393" t="inlineStr">
        <is>
          <t>Delvaux, Elvire</t>
        </is>
      </c>
      <c r="B393" t="n">
        <v>1692632024</v>
      </c>
      <c r="C393" t="inlineStr">
        <is>
          <t>19/01/1998</t>
        </is>
      </c>
      <c r="D393" t="inlineStr">
        <is>
          <t>Tuinwijk Ter Heide</t>
        </is>
      </c>
      <c r="E393" t="n">
        <v>60</v>
      </c>
      <c r="F393" t="inlineStr">
        <is>
          <t>Hasselt</t>
        </is>
      </c>
      <c r="G393" t="n">
        <v>2</v>
      </c>
      <c r="H393" t="n">
        <v>0</v>
      </c>
      <c r="I393" t="n">
        <v>139.05</v>
      </c>
      <c r="J393" t="inlineStr">
        <is>
          <t>Vaak</t>
        </is>
      </c>
      <c r="K393" t="inlineStr">
        <is>
          <t>Bancontact</t>
        </is>
      </c>
      <c r="L393" t="n">
        <v>6.79</v>
      </c>
      <c r="M393" t="inlineStr">
        <is>
          <t>Geen dieet</t>
        </is>
      </c>
      <c r="N393">
        <f>LEFT(A393, FIND(",", A393)-1)</f>
        <v/>
      </c>
      <c r="O393">
        <f>MID(A393, FIND(",", A393)+2, LEN(A393))</f>
        <v/>
      </c>
      <c r="P393">
        <f>SWITCH(J393, "Zelden", 1, "Af en toe", 4, "Regelmatig", 8, "Vaak", 12)</f>
        <v/>
      </c>
      <c r="Q393">
        <f>IF(L393&gt;=7, "Tevreden", "Ontevreden")</f>
        <v/>
      </c>
    </row>
    <row r="394">
      <c r="A394" t="inlineStr">
        <is>
          <t>Meeus, Karolien</t>
        </is>
      </c>
      <c r="B394" t="n">
        <v>7502710721</v>
      </c>
      <c r="C394" t="inlineStr">
        <is>
          <t>03/05/2002</t>
        </is>
      </c>
      <c r="D394" t="inlineStr">
        <is>
          <t>Francisco Ferrerlaan</t>
        </is>
      </c>
      <c r="E394" t="n">
        <v>35</v>
      </c>
      <c r="F394" t="inlineStr">
        <is>
          <t>Sint-Truiden</t>
        </is>
      </c>
      <c r="G394" t="n">
        <v>2</v>
      </c>
      <c r="H394" t="n">
        <v>0</v>
      </c>
      <c r="I394" t="n">
        <v>86.83</v>
      </c>
      <c r="J394" t="inlineStr">
        <is>
          <t>Af en toe</t>
        </is>
      </c>
      <c r="K394" t="inlineStr">
        <is>
          <t>Cash</t>
        </is>
      </c>
      <c r="L394" t="n">
        <v>7.26</v>
      </c>
      <c r="M394" t="inlineStr">
        <is>
          <t>Geen dieet</t>
        </is>
      </c>
      <c r="N394">
        <f>LEFT(A394, FIND(",", A394)-1)</f>
        <v/>
      </c>
      <c r="O394">
        <f>MID(A394, FIND(",", A394)+2, LEN(A394))</f>
        <v/>
      </c>
      <c r="P394">
        <f>SWITCH(J394, "Zelden", 1, "Af en toe", 4, "Regelmatig", 8, "Vaak", 12)</f>
        <v/>
      </c>
      <c r="Q394">
        <f>IF(L394&gt;=7, "Tevreden", "Ontevreden")</f>
        <v/>
      </c>
    </row>
    <row r="395">
      <c r="A395" t="inlineStr">
        <is>
          <t>Vanderstraeten, Sacha</t>
        </is>
      </c>
      <c r="B395" t="n">
        <v>3607928419</v>
      </c>
      <c r="C395" t="inlineStr">
        <is>
          <t>26/09/1995</t>
        </is>
      </c>
      <c r="D395" t="inlineStr">
        <is>
          <t>Vrouwebroersstraat</t>
        </is>
      </c>
      <c r="E395" t="n">
        <v>4</v>
      </c>
      <c r="F395" t="inlineStr">
        <is>
          <t>Herten</t>
        </is>
      </c>
      <c r="G395" t="n">
        <v>1</v>
      </c>
      <c r="H395" t="n">
        <v>0</v>
      </c>
      <c r="I395" t="n">
        <v>117.45</v>
      </c>
      <c r="J395" t="inlineStr">
        <is>
          <t>Dagelijks</t>
        </is>
      </c>
      <c r="K395" t="inlineStr">
        <is>
          <t>Cash</t>
        </is>
      </c>
      <c r="L395" t="n">
        <v>6.93</v>
      </c>
      <c r="M395" t="inlineStr">
        <is>
          <t>Geen dieet</t>
        </is>
      </c>
      <c r="N395">
        <f>LEFT(A395, FIND(",", A395)-1)</f>
        <v/>
      </c>
      <c r="O395">
        <f>MID(A395, FIND(",", A395)+2, LEN(A395))</f>
        <v/>
      </c>
      <c r="P395">
        <f>SWITCH(J395, "Zelden", 1, "Af en toe", 4, "Regelmatig", 8, "Vaak", 12)</f>
        <v/>
      </c>
      <c r="Q395">
        <f>IF(L395&gt;=7, "Tevreden", "Ontevreden")</f>
        <v/>
      </c>
    </row>
    <row r="396">
      <c r="A396" t="inlineStr">
        <is>
          <t>Michiels, Filippa</t>
        </is>
      </c>
      <c r="B396" t="n">
        <v>1195291965</v>
      </c>
      <c r="C396" t="inlineStr">
        <is>
          <t>17/05/2000</t>
        </is>
      </c>
      <c r="D396" t="inlineStr">
        <is>
          <t>Alpacastraat</t>
        </is>
      </c>
      <c r="E396" t="n">
        <v>69</v>
      </c>
      <c r="F396" t="inlineStr">
        <is>
          <t>Lommel</t>
        </is>
      </c>
      <c r="G396" t="n">
        <v>4</v>
      </c>
      <c r="H396" t="n">
        <v>2</v>
      </c>
      <c r="I396" t="n">
        <v>240.77</v>
      </c>
      <c r="J396" t="inlineStr">
        <is>
          <t>Zelden</t>
        </is>
      </c>
      <c r="K396" t="inlineStr">
        <is>
          <t>Creditcard</t>
        </is>
      </c>
      <c r="L396" t="n">
        <v>6.48</v>
      </c>
      <c r="M396" t="inlineStr">
        <is>
          <t>Geen dieet</t>
        </is>
      </c>
      <c r="N396">
        <f>LEFT(A396, FIND(",", A396)-1)</f>
        <v/>
      </c>
      <c r="O396">
        <f>MID(A396, FIND(",", A396)+2, LEN(A396))</f>
        <v/>
      </c>
      <c r="P396">
        <f>SWITCH(J396, "Zelden", 1, "Af en toe", 4, "Regelmatig", 8, "Vaak", 12)</f>
        <v/>
      </c>
      <c r="Q396">
        <f>IF(L396&gt;=7, "Tevreden", "Ontevreden")</f>
        <v/>
      </c>
    </row>
    <row r="397">
      <c r="A397" t="inlineStr">
        <is>
          <t>Jacobs, Tibo</t>
        </is>
      </c>
      <c r="B397" t="n">
        <v>469144135</v>
      </c>
      <c r="C397" t="inlineStr">
        <is>
          <t>22/12/1982</t>
        </is>
      </c>
      <c r="D397" t="inlineStr">
        <is>
          <t>Paul De Smet De Naeyerpl</t>
        </is>
      </c>
      <c r="E397" t="n">
        <v>18</v>
      </c>
      <c r="F397" t="inlineStr">
        <is>
          <t>Riemst</t>
        </is>
      </c>
      <c r="G397" t="n">
        <v>2</v>
      </c>
      <c r="H397" t="n">
        <v>0</v>
      </c>
      <c r="I397" t="n">
        <v>142.94</v>
      </c>
      <c r="J397" t="inlineStr">
        <is>
          <t>Zeer vaak</t>
        </is>
      </c>
      <c r="K397" t="inlineStr">
        <is>
          <t>Payconiq</t>
        </is>
      </c>
      <c r="L397" t="n">
        <v>6.9</v>
      </c>
      <c r="M397" t="inlineStr">
        <is>
          <t>Geen dieet</t>
        </is>
      </c>
      <c r="N397">
        <f>LEFT(A397, FIND(",", A397)-1)</f>
        <v/>
      </c>
      <c r="O397">
        <f>MID(A397, FIND(",", A397)+2, LEN(A397))</f>
        <v/>
      </c>
      <c r="P397">
        <f>SWITCH(J397, "Zelden", 1, "Af en toe", 4, "Regelmatig", 8, "Vaak", 12)</f>
        <v/>
      </c>
      <c r="Q397">
        <f>IF(L397&gt;=7, "Tevreden", "Ontevreden")</f>
        <v/>
      </c>
    </row>
    <row r="398">
      <c r="A398" t="inlineStr">
        <is>
          <t>Claes, Manu</t>
        </is>
      </c>
      <c r="B398" t="n">
        <v>6491989048</v>
      </c>
      <c r="C398" t="inlineStr">
        <is>
          <t>03/04/1970</t>
        </is>
      </c>
      <c r="D398" t="inlineStr">
        <is>
          <t>Maaltemeers</t>
        </is>
      </c>
      <c r="E398" t="n">
        <v>85</v>
      </c>
      <c r="F398" t="inlineStr">
        <is>
          <t>Tessenderlo</t>
        </is>
      </c>
      <c r="G398" t="n">
        <v>1</v>
      </c>
      <c r="H398" t="n">
        <v>2</v>
      </c>
      <c r="I398" t="n">
        <v>124.08</v>
      </c>
      <c r="J398" t="inlineStr">
        <is>
          <t>Af en toe</t>
        </is>
      </c>
      <c r="K398" t="inlineStr">
        <is>
          <t>Bancontact</t>
        </is>
      </c>
      <c r="L398" t="n">
        <v>7.33</v>
      </c>
      <c r="M398" t="inlineStr">
        <is>
          <t>Geen dieet</t>
        </is>
      </c>
      <c r="N398">
        <f>LEFT(A398, FIND(",", A398)-1)</f>
        <v/>
      </c>
      <c r="O398">
        <f>MID(A398, FIND(",", A398)+2, LEN(A398))</f>
        <v/>
      </c>
      <c r="P398">
        <f>SWITCH(J398, "Zelden", 1, "Af en toe", 4, "Regelmatig", 8, "Vaak", 12)</f>
        <v/>
      </c>
      <c r="Q398">
        <f>IF(L398&gt;=7, "Tevreden", "Ontevreden")</f>
        <v/>
      </c>
    </row>
    <row r="399">
      <c r="A399" t="inlineStr">
        <is>
          <t>Gerard, Bruno</t>
        </is>
      </c>
      <c r="B399" t="n">
        <v>341893876</v>
      </c>
      <c r="C399" t="inlineStr">
        <is>
          <t>11/09/1976</t>
        </is>
      </c>
      <c r="D399" t="inlineStr">
        <is>
          <t>Sagastraat</t>
        </is>
      </c>
      <c r="E399" t="n">
        <v>28</v>
      </c>
      <c r="F399" t="inlineStr">
        <is>
          <t>Herten</t>
        </is>
      </c>
      <c r="G399" t="n">
        <v>2</v>
      </c>
      <c r="H399" t="n">
        <v>0</v>
      </c>
      <c r="I399" t="n">
        <v>134.4</v>
      </c>
      <c r="J399" t="inlineStr">
        <is>
          <t>Af en toe</t>
        </is>
      </c>
      <c r="K399" t="inlineStr">
        <is>
          <t>Bancontact</t>
        </is>
      </c>
      <c r="L399" t="n">
        <v>7.22</v>
      </c>
      <c r="M399" t="inlineStr">
        <is>
          <t>Geen dieet</t>
        </is>
      </c>
      <c r="N399">
        <f>LEFT(A399, FIND(",", A399)-1)</f>
        <v/>
      </c>
      <c r="O399">
        <f>MID(A399, FIND(",", A399)+2, LEN(A399))</f>
        <v/>
      </c>
      <c r="P399">
        <f>SWITCH(J399, "Zelden", 1, "Af en toe", 4, "Regelmatig", 8, "Vaak", 12)</f>
        <v/>
      </c>
      <c r="Q399">
        <f>IF(L399&gt;=7, "Tevreden", "Ontevreden")</f>
        <v/>
      </c>
    </row>
    <row r="400">
      <c r="A400" t="inlineStr">
        <is>
          <t>Verheyen, Pascale</t>
        </is>
      </c>
      <c r="B400" t="n">
        <v>7739598567</v>
      </c>
      <c r="C400" t="inlineStr">
        <is>
          <t>20/08/1950</t>
        </is>
      </c>
      <c r="D400" t="inlineStr">
        <is>
          <t>Patershol-plotersgracht</t>
        </is>
      </c>
      <c r="E400" t="n">
        <v>59</v>
      </c>
      <c r="F400" t="inlineStr">
        <is>
          <t>Overpelt</t>
        </is>
      </c>
      <c r="G400" t="n">
        <v>2</v>
      </c>
      <c r="H400" t="n">
        <v>3</v>
      </c>
      <c r="I400" t="n">
        <v>114.06</v>
      </c>
      <c r="J400" t="inlineStr">
        <is>
          <t>Zeer vaak</t>
        </is>
      </c>
      <c r="K400" t="inlineStr">
        <is>
          <t>Payconiq</t>
        </is>
      </c>
      <c r="L400" t="n">
        <v>7.32</v>
      </c>
      <c r="M400" t="inlineStr">
        <is>
          <t>Geen dieet</t>
        </is>
      </c>
      <c r="N400">
        <f>LEFT(A400, FIND(",", A400)-1)</f>
        <v/>
      </c>
      <c r="O400">
        <f>MID(A400, FIND(",", A400)+2, LEN(A400))</f>
        <v/>
      </c>
      <c r="P400">
        <f>SWITCH(J400, "Zelden", 1, "Af en toe", 4, "Regelmatig", 8, "Vaak", 12)</f>
        <v/>
      </c>
      <c r="Q400">
        <f>IF(L400&gt;=7, "Tevreden", "Ontevreden")</f>
        <v/>
      </c>
    </row>
    <row r="401">
      <c r="A401" t="inlineStr">
        <is>
          <t>Cornelis, Anne-Marie</t>
        </is>
      </c>
      <c r="B401" t="n">
        <v>4501470165</v>
      </c>
      <c r="C401" t="inlineStr">
        <is>
          <t>07/02/1970</t>
        </is>
      </c>
      <c r="D401" t="inlineStr">
        <is>
          <t>Sint Pietersaalstraat</t>
        </is>
      </c>
      <c r="E401" t="n">
        <v>28</v>
      </c>
      <c r="F401" t="inlineStr">
        <is>
          <t>Sint-Truiden</t>
        </is>
      </c>
      <c r="G401" t="n">
        <v>2</v>
      </c>
      <c r="H401" t="n">
        <v>3</v>
      </c>
      <c r="I401" t="n">
        <v>108.28</v>
      </c>
      <c r="J401" t="inlineStr">
        <is>
          <t>Af en toe</t>
        </is>
      </c>
      <c r="K401" t="inlineStr">
        <is>
          <t>Payconiq</t>
        </is>
      </c>
      <c r="L401" t="n">
        <v>7.27</v>
      </c>
      <c r="M401" t="inlineStr">
        <is>
          <t>Geen dieet</t>
        </is>
      </c>
      <c r="N401">
        <f>LEFT(A401, FIND(",", A401)-1)</f>
        <v/>
      </c>
      <c r="O401">
        <f>MID(A401, FIND(",", A401)+2, LEN(A401))</f>
        <v/>
      </c>
      <c r="P401">
        <f>SWITCH(J401, "Zelden", 1, "Af en toe", 4, "Regelmatig", 8, "Vaak", 12)</f>
        <v/>
      </c>
      <c r="Q401">
        <f>IF(L401&gt;=7, "Tevreden", "Ontevreden")</f>
        <v/>
      </c>
    </row>
    <row r="402">
      <c r="A402" t="inlineStr">
        <is>
          <t>Van den bergh, Sunay</t>
        </is>
      </c>
      <c r="B402" t="n">
        <v>4361652258</v>
      </c>
      <c r="C402" t="inlineStr">
        <is>
          <t>25/02/1989</t>
        </is>
      </c>
      <c r="D402" t="inlineStr">
        <is>
          <t>Pijlstraat</t>
        </is>
      </c>
      <c r="E402" t="n">
        <v>45</v>
      </c>
      <c r="F402" t="inlineStr">
        <is>
          <t>Leopoldsburg</t>
        </is>
      </c>
      <c r="G402" t="n">
        <v>1</v>
      </c>
      <c r="H402" t="n">
        <v>0</v>
      </c>
      <c r="I402" t="n">
        <v>43.07</v>
      </c>
      <c r="J402" t="inlineStr">
        <is>
          <t>Af en toe</t>
        </is>
      </c>
      <c r="K402" t="inlineStr">
        <is>
          <t>Bancontact</t>
        </is>
      </c>
      <c r="L402" t="n">
        <v>7.23</v>
      </c>
      <c r="M402" t="inlineStr">
        <is>
          <t>Geen dieet</t>
        </is>
      </c>
      <c r="N402">
        <f>LEFT(A402, FIND(",", A402)-1)</f>
        <v/>
      </c>
      <c r="O402">
        <f>MID(A402, FIND(",", A402)+2, LEN(A402))</f>
        <v/>
      </c>
      <c r="P402">
        <f>SWITCH(J402, "Zelden", 1, "Af en toe", 4, "Regelmatig", 8, "Vaak", 12)</f>
        <v/>
      </c>
      <c r="Q402">
        <f>IF(L402&gt;=7, "Tevreden", "Ontevreden")</f>
        <v/>
      </c>
    </row>
    <row r="403">
      <c r="A403" t="inlineStr">
        <is>
          <t>Moreau, Steven</t>
        </is>
      </c>
      <c r="B403" t="n">
        <v>2915615817</v>
      </c>
      <c r="C403" t="inlineStr">
        <is>
          <t>27/03/1946</t>
        </is>
      </c>
      <c r="D403" t="inlineStr">
        <is>
          <t>Stropstraat</t>
        </is>
      </c>
      <c r="E403" t="n">
        <v>103</v>
      </c>
      <c r="F403" t="inlineStr">
        <is>
          <t>Lommel</t>
        </is>
      </c>
      <c r="G403" t="n">
        <v>1</v>
      </c>
      <c r="H403" t="n">
        <v>3</v>
      </c>
      <c r="I403" t="n">
        <v>109.55</v>
      </c>
      <c r="J403" t="inlineStr">
        <is>
          <t>Dagelijks</t>
        </is>
      </c>
      <c r="K403" t="inlineStr">
        <is>
          <t>Payconiq</t>
        </is>
      </c>
      <c r="L403" t="n">
        <v>6.08</v>
      </c>
      <c r="M403" t="inlineStr">
        <is>
          <t>Veganistisch</t>
        </is>
      </c>
      <c r="N403">
        <f>LEFT(A403, FIND(",", A403)-1)</f>
        <v/>
      </c>
      <c r="O403">
        <f>MID(A403, FIND(",", A403)+2, LEN(A403))</f>
        <v/>
      </c>
      <c r="P403">
        <f>SWITCH(J403, "Zelden", 1, "Af en toe", 4, "Regelmatig", 8, "Vaak", 12)</f>
        <v/>
      </c>
      <c r="Q403">
        <f>IF(L403&gt;=7, "Tevreden", "Ontevreden")</f>
        <v/>
      </c>
    </row>
    <row r="404">
      <c r="A404" t="inlineStr">
        <is>
          <t>Bernard, Viviane</t>
        </is>
      </c>
      <c r="B404" t="n">
        <v>328284670</v>
      </c>
      <c r="C404" t="inlineStr">
        <is>
          <t>27/04/1975</t>
        </is>
      </c>
      <c r="D404" t="inlineStr">
        <is>
          <t>Kortijksesteenweg</t>
        </is>
      </c>
      <c r="E404" t="n">
        <v>13</v>
      </c>
      <c r="F404" t="inlineStr">
        <is>
          <t>Tessenderlo</t>
        </is>
      </c>
      <c r="G404" t="n">
        <v>2</v>
      </c>
      <c r="H404" t="n">
        <v>2</v>
      </c>
      <c r="I404" t="n">
        <v>119.58</v>
      </c>
      <c r="J404" t="inlineStr">
        <is>
          <t>Af en toe</t>
        </is>
      </c>
      <c r="K404" t="inlineStr">
        <is>
          <t>Payconiq</t>
        </is>
      </c>
      <c r="L404" t="n">
        <v>8.01</v>
      </c>
      <c r="M404" t="inlineStr">
        <is>
          <t>Vegetarisch</t>
        </is>
      </c>
      <c r="N404">
        <f>LEFT(A404, FIND(",", A404)-1)</f>
        <v/>
      </c>
      <c r="O404">
        <f>MID(A404, FIND(",", A404)+2, LEN(A404))</f>
        <v/>
      </c>
      <c r="P404">
        <f>SWITCH(J404, "Zelden", 1, "Af en toe", 4, "Regelmatig", 8, "Vaak", 12)</f>
        <v/>
      </c>
      <c r="Q404">
        <f>IF(L404&gt;=7, "Tevreden", "Ontevreden")</f>
        <v/>
      </c>
    </row>
    <row r="405">
      <c r="A405" t="inlineStr">
        <is>
          <t>Ceulemans, Nicole</t>
        </is>
      </c>
      <c r="B405" t="n">
        <v>8268269326</v>
      </c>
      <c r="C405" t="inlineStr">
        <is>
          <t>29/11/1981</t>
        </is>
      </c>
      <c r="D405" t="inlineStr">
        <is>
          <t>Markt</t>
        </is>
      </c>
      <c r="E405" t="n">
        <v>69</v>
      </c>
      <c r="F405" t="inlineStr">
        <is>
          <t>Nieuwerkerken</t>
        </is>
      </c>
      <c r="G405" t="n">
        <v>1</v>
      </c>
      <c r="H405" t="n">
        <v>0</v>
      </c>
      <c r="I405" t="n">
        <v>20.42</v>
      </c>
      <c r="J405" t="inlineStr">
        <is>
          <t>Vaak</t>
        </is>
      </c>
      <c r="K405" t="inlineStr">
        <is>
          <t>Payconiq</t>
        </is>
      </c>
      <c r="L405" t="n">
        <v>7.2</v>
      </c>
      <c r="M405" t="inlineStr">
        <is>
          <t>Geen dieet</t>
        </is>
      </c>
      <c r="N405">
        <f>LEFT(A405, FIND(",", A405)-1)</f>
        <v/>
      </c>
      <c r="O405">
        <f>MID(A405, FIND(",", A405)+2, LEN(A405))</f>
        <v/>
      </c>
      <c r="P405">
        <f>SWITCH(J405, "Zelden", 1, "Af en toe", 4, "Regelmatig", 8, "Vaak", 12)</f>
        <v/>
      </c>
      <c r="Q405">
        <f>IF(L405&gt;=7, "Tevreden", "Ontevreden")</f>
        <v/>
      </c>
    </row>
    <row r="406">
      <c r="A406" t="inlineStr">
        <is>
          <t>Thomas, Gaston</t>
        </is>
      </c>
      <c r="B406" t="n">
        <v>9671192035</v>
      </c>
      <c r="C406" t="inlineStr">
        <is>
          <t>24/03/1986</t>
        </is>
      </c>
      <c r="D406" t="inlineStr">
        <is>
          <t>Skaldenstraat</t>
        </is>
      </c>
      <c r="E406" t="n">
        <v>126</v>
      </c>
      <c r="F406" t="inlineStr">
        <is>
          <t>Maaseik</t>
        </is>
      </c>
      <c r="G406" t="n">
        <v>3</v>
      </c>
      <c r="H406" t="n">
        <v>4</v>
      </c>
      <c r="I406" t="n">
        <v>218</v>
      </c>
      <c r="J406" t="inlineStr">
        <is>
          <t>Af en toe</t>
        </is>
      </c>
      <c r="K406" t="inlineStr">
        <is>
          <t>Bancontact</t>
        </is>
      </c>
      <c r="L406" t="n">
        <v>8.869999999999999</v>
      </c>
      <c r="M406" t="inlineStr">
        <is>
          <t>Vegetarisch</t>
        </is>
      </c>
      <c r="N406">
        <f>LEFT(A406, FIND(",", A406)-1)</f>
        <v/>
      </c>
      <c r="O406">
        <f>MID(A406, FIND(",", A406)+2, LEN(A406))</f>
        <v/>
      </c>
      <c r="P406">
        <f>SWITCH(J406, "Zelden", 1, "Af en toe", 4, "Regelmatig", 8, "Vaak", 12)</f>
        <v/>
      </c>
      <c r="Q406">
        <f>IF(L406&gt;=7, "Tevreden", "Ontevreden")</f>
        <v/>
      </c>
    </row>
    <row r="407">
      <c r="A407" t="inlineStr">
        <is>
          <t>De cock, Daniel</t>
        </is>
      </c>
      <c r="B407" t="n">
        <v>6274949828</v>
      </c>
      <c r="C407" t="inlineStr">
        <is>
          <t>26/06/1945</t>
        </is>
      </c>
      <c r="D407" t="inlineStr">
        <is>
          <t>Bomastraat</t>
        </is>
      </c>
      <c r="E407" t="n">
        <v>12</v>
      </c>
      <c r="F407" t="inlineStr">
        <is>
          <t>Kortessem</t>
        </is>
      </c>
      <c r="G407" t="n">
        <v>2</v>
      </c>
      <c r="H407" t="n">
        <v>2</v>
      </c>
      <c r="I407" t="n">
        <v>98.68000000000001</v>
      </c>
      <c r="J407" t="inlineStr">
        <is>
          <t>Vaak</t>
        </is>
      </c>
      <c r="K407" t="inlineStr">
        <is>
          <t>Bancontact</t>
        </is>
      </c>
      <c r="L407" t="n">
        <v>6.91</v>
      </c>
      <c r="M407" t="inlineStr">
        <is>
          <t>Geen dieet</t>
        </is>
      </c>
      <c r="N407">
        <f>LEFT(A407, FIND(",", A407)-1)</f>
        <v/>
      </c>
      <c r="O407">
        <f>MID(A407, FIND(",", A407)+2, LEN(A407))</f>
        <v/>
      </c>
      <c r="P407">
        <f>SWITCH(J407, "Zelden", 1, "Af en toe", 4, "Regelmatig", 8, "Vaak", 12)</f>
        <v/>
      </c>
      <c r="Q407">
        <f>IF(L407&gt;=7, "Tevreden", "Ontevreden")</f>
        <v/>
      </c>
    </row>
    <row r="408">
      <c r="A408" t="inlineStr">
        <is>
          <t>Lemaire, Sarah</t>
        </is>
      </c>
      <c r="B408" t="n">
        <v>1145282547</v>
      </c>
      <c r="C408" t="inlineStr">
        <is>
          <t>26/09/1961</t>
        </is>
      </c>
      <c r="D408" t="inlineStr">
        <is>
          <t>Alpacastraat</t>
        </is>
      </c>
      <c r="E408" t="n">
        <v>43</v>
      </c>
      <c r="F408" t="inlineStr">
        <is>
          <t>Lanaken</t>
        </is>
      </c>
      <c r="G408" t="n">
        <v>2</v>
      </c>
      <c r="H408" t="n">
        <v>2</v>
      </c>
      <c r="I408" t="n">
        <v>160.35</v>
      </c>
      <c r="J408" t="inlineStr">
        <is>
          <t>Dagelijks</t>
        </is>
      </c>
      <c r="K408" t="inlineStr">
        <is>
          <t>Cash</t>
        </is>
      </c>
      <c r="L408" t="n">
        <v>7.38</v>
      </c>
      <c r="M408" t="inlineStr">
        <is>
          <t>Geen dieet</t>
        </is>
      </c>
      <c r="N408">
        <f>LEFT(A408, FIND(",", A408)-1)</f>
        <v/>
      </c>
      <c r="O408">
        <f>MID(A408, FIND(",", A408)+2, LEN(A408))</f>
        <v/>
      </c>
      <c r="P408">
        <f>SWITCH(J408, "Zelden", 1, "Af en toe", 4, "Regelmatig", 8, "Vaak", 12)</f>
        <v/>
      </c>
      <c r="Q408">
        <f>IF(L408&gt;=7, "Tevreden", "Ontevreden")</f>
        <v/>
      </c>
    </row>
    <row r="409">
      <c r="A409" t="inlineStr">
        <is>
          <t>Jacques, Rudolf</t>
        </is>
      </c>
      <c r="B409" t="n">
        <v>3621212836</v>
      </c>
      <c r="C409" t="inlineStr">
        <is>
          <t>11/04/1956</t>
        </is>
      </c>
      <c r="D409" t="inlineStr">
        <is>
          <t>Weverstraat</t>
        </is>
      </c>
      <c r="E409" t="n">
        <v>78</v>
      </c>
      <c r="F409" t="inlineStr">
        <is>
          <t>Hasselt</t>
        </is>
      </c>
      <c r="G409" t="n">
        <v>1</v>
      </c>
      <c r="H409" t="n">
        <v>0</v>
      </c>
      <c r="I409" t="n">
        <v>57.35</v>
      </c>
      <c r="J409" t="inlineStr">
        <is>
          <t>Vaak</t>
        </is>
      </c>
      <c r="K409" t="inlineStr">
        <is>
          <t>Bancontact</t>
        </is>
      </c>
      <c r="L409" t="n">
        <v>6.88</v>
      </c>
      <c r="M409" t="inlineStr">
        <is>
          <t>Geen dieet</t>
        </is>
      </c>
      <c r="N409">
        <f>LEFT(A409, FIND(",", A409)-1)</f>
        <v/>
      </c>
      <c r="O409">
        <f>MID(A409, FIND(",", A409)+2, LEN(A409))</f>
        <v/>
      </c>
      <c r="P409">
        <f>SWITCH(J409, "Zelden", 1, "Af en toe", 4, "Regelmatig", 8, "Vaak", 12)</f>
        <v/>
      </c>
      <c r="Q409">
        <f>IF(L409&gt;=7, "Tevreden", "Ontevreden")</f>
        <v/>
      </c>
    </row>
    <row r="410">
      <c r="A410" t="inlineStr">
        <is>
          <t>Aerts, Maddalena</t>
        </is>
      </c>
      <c r="B410" t="n">
        <v>3926370227</v>
      </c>
      <c r="C410" t="inlineStr">
        <is>
          <t>01/09/1998</t>
        </is>
      </c>
      <c r="D410" t="inlineStr">
        <is>
          <t>Markt</t>
        </is>
      </c>
      <c r="E410" t="n">
        <v>35</v>
      </c>
      <c r="F410" t="inlineStr">
        <is>
          <t>Sint-Truiden</t>
        </is>
      </c>
      <c r="G410" t="n">
        <v>2</v>
      </c>
      <c r="H410" t="n">
        <v>0</v>
      </c>
      <c r="I410" t="n">
        <v>141.91</v>
      </c>
      <c r="J410" t="inlineStr">
        <is>
          <t>Af en toe</t>
        </is>
      </c>
      <c r="K410" t="inlineStr">
        <is>
          <t>Payconiq</t>
        </is>
      </c>
      <c r="L410" t="n">
        <v>6.09</v>
      </c>
      <c r="M410" t="inlineStr">
        <is>
          <t>Veganistisch</t>
        </is>
      </c>
      <c r="N410">
        <f>LEFT(A410, FIND(",", A410)-1)</f>
        <v/>
      </c>
      <c r="O410">
        <f>MID(A410, FIND(",", A410)+2, LEN(A410))</f>
        <v/>
      </c>
      <c r="P410">
        <f>SWITCH(J410, "Zelden", 1, "Af en toe", 4, "Regelmatig", 8, "Vaak", 12)</f>
        <v/>
      </c>
      <c r="Q410">
        <f>IF(L410&gt;=7, "Tevreden", "Ontevreden")</f>
        <v/>
      </c>
    </row>
    <row r="411">
      <c r="A411" t="inlineStr">
        <is>
          <t>Verbeke, Mariam</t>
        </is>
      </c>
      <c r="B411" t="n">
        <v>1326224575</v>
      </c>
      <c r="C411" t="inlineStr">
        <is>
          <t>01/08/1946</t>
        </is>
      </c>
      <c r="D411" t="inlineStr">
        <is>
          <t>Kerkstraat</t>
        </is>
      </c>
      <c r="E411" t="n">
        <v>31</v>
      </c>
      <c r="F411" t="inlineStr">
        <is>
          <t>Zutendaal</t>
        </is>
      </c>
      <c r="G411" t="n">
        <v>1</v>
      </c>
      <c r="H411" t="n">
        <v>1</v>
      </c>
      <c r="I411" t="n">
        <v>20.15</v>
      </c>
      <c r="J411" t="inlineStr">
        <is>
          <t>Vaak</t>
        </is>
      </c>
      <c r="K411" t="inlineStr">
        <is>
          <t>Cash</t>
        </is>
      </c>
      <c r="L411" t="n">
        <v>6.57</v>
      </c>
      <c r="M411" t="inlineStr">
        <is>
          <t>Geen dieet</t>
        </is>
      </c>
      <c r="N411">
        <f>LEFT(A411, FIND(",", A411)-1)</f>
        <v/>
      </c>
      <c r="O411">
        <f>MID(A411, FIND(",", A411)+2, LEN(A411))</f>
        <v/>
      </c>
      <c r="P411">
        <f>SWITCH(J411, "Zelden", 1, "Af en toe", 4, "Regelmatig", 8, "Vaak", 12)</f>
        <v/>
      </c>
      <c r="Q411">
        <f>IF(L411&gt;=7, "Tevreden", "Ontevreden")</f>
        <v/>
      </c>
    </row>
    <row r="412">
      <c r="A412" t="inlineStr">
        <is>
          <t>Verheyen, Daan</t>
        </is>
      </c>
      <c r="B412" t="n">
        <v>3744315443</v>
      </c>
      <c r="C412" t="inlineStr">
        <is>
          <t>25/01/1995</t>
        </is>
      </c>
      <c r="D412" t="inlineStr">
        <is>
          <t>Maria Theresiastraat</t>
        </is>
      </c>
      <c r="E412" t="n">
        <v>41</v>
      </c>
      <c r="F412" t="inlineStr">
        <is>
          <t>Herk-de-Stad</t>
        </is>
      </c>
      <c r="G412" t="n">
        <v>2</v>
      </c>
      <c r="H412" t="n">
        <v>2</v>
      </c>
      <c r="I412" t="n">
        <v>210.32</v>
      </c>
      <c r="J412" t="inlineStr">
        <is>
          <t>Af en toe</t>
        </is>
      </c>
      <c r="K412" t="inlineStr">
        <is>
          <t>Payconiq</t>
        </is>
      </c>
      <c r="L412" t="n">
        <v>6.96</v>
      </c>
      <c r="M412" t="inlineStr">
        <is>
          <t>Geen dieet</t>
        </is>
      </c>
      <c r="N412">
        <f>LEFT(A412, FIND(",", A412)-1)</f>
        <v/>
      </c>
      <c r="O412">
        <f>MID(A412, FIND(",", A412)+2, LEN(A412))</f>
        <v/>
      </c>
      <c r="P412">
        <f>SWITCH(J412, "Zelden", 1, "Af en toe", 4, "Regelmatig", 8, "Vaak", 12)</f>
        <v/>
      </c>
      <c r="Q412">
        <f>IF(L412&gt;=7, "Tevreden", "Ontevreden")</f>
        <v/>
      </c>
    </row>
    <row r="413">
      <c r="A413" t="inlineStr">
        <is>
          <t>De cock, Kadiatou</t>
        </is>
      </c>
      <c r="B413" t="n">
        <v>1315868427</v>
      </c>
      <c r="C413" t="inlineStr">
        <is>
          <t>15/09/1982</t>
        </is>
      </c>
      <c r="D413" t="inlineStr">
        <is>
          <t>Wildebrake</t>
        </is>
      </c>
      <c r="E413" t="n">
        <v>111</v>
      </c>
      <c r="F413" t="inlineStr">
        <is>
          <t>Hasselt</t>
        </is>
      </c>
      <c r="G413" t="n">
        <v>2</v>
      </c>
      <c r="H413" t="n">
        <v>0</v>
      </c>
      <c r="I413" t="n">
        <v>47.23</v>
      </c>
      <c r="J413" t="inlineStr">
        <is>
          <t>Vaak</t>
        </is>
      </c>
      <c r="K413" t="inlineStr">
        <is>
          <t>Payconiq</t>
        </is>
      </c>
      <c r="L413" t="n">
        <v>5.68</v>
      </c>
      <c r="M413" t="inlineStr">
        <is>
          <t>Veganistisch</t>
        </is>
      </c>
      <c r="N413">
        <f>LEFT(A413, FIND(",", A413)-1)</f>
        <v/>
      </c>
      <c r="O413">
        <f>MID(A413, FIND(",", A413)+2, LEN(A413))</f>
        <v/>
      </c>
      <c r="P413">
        <f>SWITCH(J413, "Zelden", 1, "Af en toe", 4, "Regelmatig", 8, "Vaak", 12)</f>
        <v/>
      </c>
      <c r="Q413">
        <f>IF(L413&gt;=7, "Tevreden", "Ontevreden")</f>
        <v/>
      </c>
    </row>
    <row r="414">
      <c r="A414" t="inlineStr">
        <is>
          <t>Petit, Myrthe</t>
        </is>
      </c>
      <c r="B414" t="n">
        <v>9341104678</v>
      </c>
      <c r="C414" t="inlineStr">
        <is>
          <t>22/11/1981</t>
        </is>
      </c>
      <c r="D414" t="inlineStr">
        <is>
          <t>Sint-dionysiusstraat</t>
        </is>
      </c>
      <c r="E414" t="n">
        <v>16</v>
      </c>
      <c r="F414" t="inlineStr">
        <is>
          <t>Neerpelt</t>
        </is>
      </c>
      <c r="G414" t="n">
        <v>1</v>
      </c>
      <c r="H414" t="n">
        <v>1</v>
      </c>
      <c r="I414" t="n">
        <v>91.45</v>
      </c>
      <c r="J414" t="inlineStr">
        <is>
          <t>Af en toe</t>
        </is>
      </c>
      <c r="K414" t="inlineStr">
        <is>
          <t>Cash</t>
        </is>
      </c>
      <c r="L414" t="n">
        <v>7.09</v>
      </c>
      <c r="M414" t="inlineStr">
        <is>
          <t>Geen dieet</t>
        </is>
      </c>
      <c r="N414">
        <f>LEFT(A414, FIND(",", A414)-1)</f>
        <v/>
      </c>
      <c r="O414">
        <f>MID(A414, FIND(",", A414)+2, LEN(A414))</f>
        <v/>
      </c>
      <c r="P414">
        <f>SWITCH(J414, "Zelden", 1, "Af en toe", 4, "Regelmatig", 8, "Vaak", 12)</f>
        <v/>
      </c>
      <c r="Q414">
        <f>IF(L414&gt;=7, "Tevreden", "Ontevreden")</f>
        <v/>
      </c>
    </row>
    <row r="415">
      <c r="A415" t="inlineStr">
        <is>
          <t>Renard, Yannick</t>
        </is>
      </c>
      <c r="B415" t="n">
        <v>4546217573</v>
      </c>
      <c r="C415" t="inlineStr">
        <is>
          <t>03/06/1951</t>
        </is>
      </c>
      <c r="D415" t="inlineStr">
        <is>
          <t>Deinse Horsweg</t>
        </is>
      </c>
      <c r="E415" t="n">
        <v>13</v>
      </c>
      <c r="F415" t="inlineStr">
        <is>
          <t>Genk</t>
        </is>
      </c>
      <c r="G415" t="n">
        <v>2</v>
      </c>
      <c r="H415" t="n">
        <v>2</v>
      </c>
      <c r="I415" t="n">
        <v>143.5</v>
      </c>
      <c r="J415" t="inlineStr">
        <is>
          <t>Vaak</t>
        </is>
      </c>
      <c r="K415" t="inlineStr">
        <is>
          <t>Bancontact</t>
        </is>
      </c>
      <c r="L415" t="n">
        <v>8.130000000000001</v>
      </c>
      <c r="M415" t="inlineStr">
        <is>
          <t>Vegetarisch</t>
        </is>
      </c>
      <c r="N415">
        <f>LEFT(A415, FIND(",", A415)-1)</f>
        <v/>
      </c>
      <c r="O415">
        <f>MID(A415, FIND(",", A415)+2, LEN(A415))</f>
        <v/>
      </c>
      <c r="P415">
        <f>SWITCH(J415, "Zelden", 1, "Af en toe", 4, "Regelmatig", 8, "Vaak", 12)</f>
        <v/>
      </c>
      <c r="Q415">
        <f>IF(L415&gt;=7, "Tevreden", "Ontevreden")</f>
        <v/>
      </c>
    </row>
    <row r="416">
      <c r="A416" t="inlineStr">
        <is>
          <t>De moor, Pierre</t>
        </is>
      </c>
      <c r="B416" t="n">
        <v>3995334746</v>
      </c>
      <c r="C416" t="inlineStr">
        <is>
          <t>20/09/2005</t>
        </is>
      </c>
      <c r="D416" t="inlineStr">
        <is>
          <t>Begoniastraat</t>
        </is>
      </c>
      <c r="E416" t="n">
        <v>8</v>
      </c>
      <c r="F416" t="inlineStr">
        <is>
          <t>Heusden-Zolder</t>
        </is>
      </c>
      <c r="G416" t="n">
        <v>2</v>
      </c>
      <c r="H416" t="n">
        <v>3</v>
      </c>
      <c r="I416" t="n">
        <v>163.22</v>
      </c>
      <c r="J416" t="inlineStr">
        <is>
          <t>Dagelijks</t>
        </is>
      </c>
      <c r="K416" t="inlineStr">
        <is>
          <t>Cash</t>
        </is>
      </c>
      <c r="L416" t="n">
        <v>7.45</v>
      </c>
      <c r="M416" t="inlineStr">
        <is>
          <t>Geen dieet</t>
        </is>
      </c>
      <c r="N416">
        <f>LEFT(A416, FIND(",", A416)-1)</f>
        <v/>
      </c>
      <c r="O416">
        <f>MID(A416, FIND(",", A416)+2, LEN(A416))</f>
        <v/>
      </c>
      <c r="P416">
        <f>SWITCH(J416, "Zelden", 1, "Af en toe", 4, "Regelmatig", 8, "Vaak", 12)</f>
        <v/>
      </c>
      <c r="Q416">
        <f>IF(L416&gt;=7, "Tevreden", "Ontevreden")</f>
        <v/>
      </c>
    </row>
    <row r="417">
      <c r="A417" t="inlineStr">
        <is>
          <t>Vanneste, Ary</t>
        </is>
      </c>
      <c r="B417" t="n">
        <v>3335477462</v>
      </c>
      <c r="C417" t="inlineStr">
        <is>
          <t>18/09/2003</t>
        </is>
      </c>
      <c r="D417" t="inlineStr">
        <is>
          <t>Aannemersstraat</t>
        </is>
      </c>
      <c r="E417" t="n">
        <v>51</v>
      </c>
      <c r="F417" t="inlineStr">
        <is>
          <t>Sint-Truiden</t>
        </is>
      </c>
      <c r="G417" t="n">
        <v>2</v>
      </c>
      <c r="H417" t="n">
        <v>0</v>
      </c>
      <c r="I417" t="n">
        <v>105.42</v>
      </c>
      <c r="J417" t="inlineStr">
        <is>
          <t>Vaak</t>
        </is>
      </c>
      <c r="K417" t="inlineStr">
        <is>
          <t>Payconiq</t>
        </is>
      </c>
      <c r="L417" t="n">
        <v>8.58</v>
      </c>
      <c r="M417" t="inlineStr">
        <is>
          <t>Vegetarisch</t>
        </is>
      </c>
      <c r="N417">
        <f>LEFT(A417, FIND(",", A417)-1)</f>
        <v/>
      </c>
      <c r="O417">
        <f>MID(A417, FIND(",", A417)+2, LEN(A417))</f>
        <v/>
      </c>
      <c r="P417">
        <f>SWITCH(J417, "Zelden", 1, "Af en toe", 4, "Regelmatig", 8, "Vaak", 12)</f>
        <v/>
      </c>
      <c r="Q417">
        <f>IF(L417&gt;=7, "Tevreden", "Ontevreden")</f>
        <v/>
      </c>
    </row>
    <row r="418">
      <c r="A418" t="inlineStr">
        <is>
          <t>De clerck, Vienna</t>
        </is>
      </c>
      <c r="B418" t="n">
        <v>492878365</v>
      </c>
      <c r="C418" t="inlineStr">
        <is>
          <t>09/11/1992</t>
        </is>
      </c>
      <c r="D418" t="inlineStr">
        <is>
          <t>Meersstraat</t>
        </is>
      </c>
      <c r="E418" t="n">
        <v>55</v>
      </c>
      <c r="F418" t="inlineStr">
        <is>
          <t>Leopoldsburg</t>
        </is>
      </c>
      <c r="G418" t="n">
        <v>2</v>
      </c>
      <c r="H418" t="n">
        <v>2</v>
      </c>
      <c r="I418" t="n">
        <v>95.14</v>
      </c>
      <c r="J418" t="inlineStr">
        <is>
          <t>Af en toe</t>
        </is>
      </c>
      <c r="K418" t="inlineStr">
        <is>
          <t>Payconiq</t>
        </is>
      </c>
      <c r="L418" t="n">
        <v>7.85</v>
      </c>
      <c r="M418" t="inlineStr">
        <is>
          <t>Vegetarisch</t>
        </is>
      </c>
      <c r="N418">
        <f>LEFT(A418, FIND(",", A418)-1)</f>
        <v/>
      </c>
      <c r="O418">
        <f>MID(A418, FIND(",", A418)+2, LEN(A418))</f>
        <v/>
      </c>
      <c r="P418">
        <f>SWITCH(J418, "Zelden", 1, "Af en toe", 4, "Regelmatig", 8, "Vaak", 12)</f>
        <v/>
      </c>
      <c r="Q418">
        <f>IF(L418&gt;=7, "Tevreden", "Ontevreden")</f>
        <v/>
      </c>
    </row>
    <row r="419">
      <c r="A419" t="inlineStr">
        <is>
          <t>Vervoort, Barbara</t>
        </is>
      </c>
      <c r="B419" t="n">
        <v>6389962818</v>
      </c>
      <c r="C419" t="inlineStr">
        <is>
          <t>07/10/2006</t>
        </is>
      </c>
      <c r="D419" t="inlineStr">
        <is>
          <t>Weverstraat</t>
        </is>
      </c>
      <c r="E419" t="n">
        <v>9</v>
      </c>
      <c r="F419" t="inlineStr">
        <is>
          <t>Tessenderlo</t>
        </is>
      </c>
      <c r="G419" t="n">
        <v>4</v>
      </c>
      <c r="H419" t="n">
        <v>0</v>
      </c>
      <c r="I419" t="n">
        <v>103.3</v>
      </c>
      <c r="J419" t="inlineStr">
        <is>
          <t>Zelden</t>
        </is>
      </c>
      <c r="K419" t="inlineStr">
        <is>
          <t>Payconiq</t>
        </is>
      </c>
      <c r="L419" t="n">
        <v>8.52</v>
      </c>
      <c r="M419" t="inlineStr">
        <is>
          <t>Vegetarisch</t>
        </is>
      </c>
      <c r="N419">
        <f>LEFT(A419, FIND(",", A419)-1)</f>
        <v/>
      </c>
      <c r="O419">
        <f>MID(A419, FIND(",", A419)+2, LEN(A419))</f>
        <v/>
      </c>
      <c r="P419">
        <f>SWITCH(J419, "Zelden", 1, "Af en toe", 4, "Regelmatig", 8, "Vaak", 12)</f>
        <v/>
      </c>
      <c r="Q419">
        <f>IF(L419&gt;=7, "Tevreden", "Ontevreden")</f>
        <v/>
      </c>
    </row>
    <row r="420">
      <c r="A420" t="inlineStr">
        <is>
          <t>Dubois, Garyfalia</t>
        </is>
      </c>
      <c r="B420" t="n">
        <v>5036380063</v>
      </c>
      <c r="C420" t="inlineStr">
        <is>
          <t>28/06/2006</t>
        </is>
      </c>
      <c r="D420" t="inlineStr">
        <is>
          <t>J.b. De Ghellincklaan</t>
        </is>
      </c>
      <c r="E420" t="n">
        <v>26</v>
      </c>
      <c r="F420" t="inlineStr">
        <is>
          <t>Tongeren</t>
        </is>
      </c>
      <c r="G420" t="n">
        <v>1</v>
      </c>
      <c r="H420" t="n">
        <v>0</v>
      </c>
      <c r="I420" t="n">
        <v>90.48</v>
      </c>
      <c r="J420" t="inlineStr">
        <is>
          <t>Af en toe</t>
        </is>
      </c>
      <c r="K420" t="inlineStr">
        <is>
          <t>Payconiq</t>
        </is>
      </c>
      <c r="L420" t="n">
        <v>7.1</v>
      </c>
      <c r="M420" t="inlineStr">
        <is>
          <t>Geen dieet</t>
        </is>
      </c>
      <c r="N420">
        <f>LEFT(A420, FIND(",", A420)-1)</f>
        <v/>
      </c>
      <c r="O420">
        <f>MID(A420, FIND(",", A420)+2, LEN(A420))</f>
        <v/>
      </c>
      <c r="P420">
        <f>SWITCH(J420, "Zelden", 1, "Af en toe", 4, "Regelmatig", 8, "Vaak", 12)</f>
        <v/>
      </c>
      <c r="Q420">
        <f>IF(L420&gt;=7, "Tevreden", "Ontevreden")</f>
        <v/>
      </c>
    </row>
    <row r="421">
      <c r="A421" t="inlineStr">
        <is>
          <t>Dewulf, Frank</t>
        </is>
      </c>
      <c r="B421" t="n">
        <v>9444383046</v>
      </c>
      <c r="C421" t="inlineStr">
        <is>
          <t>11/01/1984</t>
        </is>
      </c>
      <c r="D421" t="inlineStr">
        <is>
          <t>Muinkkaai</t>
        </is>
      </c>
      <c r="E421" t="n">
        <v>19</v>
      </c>
      <c r="F421" t="inlineStr">
        <is>
          <t>Overpelt</t>
        </is>
      </c>
      <c r="G421" t="n">
        <v>1</v>
      </c>
      <c r="H421" t="n">
        <v>2</v>
      </c>
      <c r="I421" t="n">
        <v>94.26000000000001</v>
      </c>
      <c r="J421" t="inlineStr">
        <is>
          <t>Vaak</t>
        </is>
      </c>
      <c r="K421" t="inlineStr">
        <is>
          <t>Bancontact</t>
        </is>
      </c>
      <c r="L421" t="n">
        <v>7.8</v>
      </c>
      <c r="M421" t="inlineStr">
        <is>
          <t>Vegetarisch</t>
        </is>
      </c>
      <c r="N421">
        <f>LEFT(A421, FIND(",", A421)-1)</f>
        <v/>
      </c>
      <c r="O421">
        <f>MID(A421, FIND(",", A421)+2, LEN(A421))</f>
        <v/>
      </c>
      <c r="P421">
        <f>SWITCH(J421, "Zelden", 1, "Af en toe", 4, "Regelmatig", 8, "Vaak", 12)</f>
        <v/>
      </c>
      <c r="Q421">
        <f>IF(L421&gt;=7, "Tevreden", "Ontevreden")</f>
        <v/>
      </c>
    </row>
    <row r="422">
      <c r="A422" t="inlineStr">
        <is>
          <t>Vandenbroucke, Emeline</t>
        </is>
      </c>
      <c r="B422" t="n">
        <v>1002264419</v>
      </c>
      <c r="C422" t="inlineStr">
        <is>
          <t>23/09/1955</t>
        </is>
      </c>
      <c r="D422" t="inlineStr">
        <is>
          <t>Drongensesteenweg</t>
        </is>
      </c>
      <c r="E422" t="n">
        <v>29</v>
      </c>
      <c r="F422" t="inlineStr">
        <is>
          <t>Riemst</t>
        </is>
      </c>
      <c r="G422" t="n">
        <v>2</v>
      </c>
      <c r="H422" t="n">
        <v>2</v>
      </c>
      <c r="I422" t="n">
        <v>186.37</v>
      </c>
      <c r="J422" t="inlineStr">
        <is>
          <t>Zelden</t>
        </is>
      </c>
      <c r="K422" t="inlineStr">
        <is>
          <t>Bancontact</t>
        </is>
      </c>
      <c r="L422" t="n">
        <v>6.85</v>
      </c>
      <c r="M422" t="inlineStr">
        <is>
          <t>Geen dieet</t>
        </is>
      </c>
      <c r="N422">
        <f>LEFT(A422, FIND(",", A422)-1)</f>
        <v/>
      </c>
      <c r="O422">
        <f>MID(A422, FIND(",", A422)+2, LEN(A422))</f>
        <v/>
      </c>
      <c r="P422">
        <f>SWITCH(J422, "Zelden", 1, "Af en toe", 4, "Regelmatig", 8, "Vaak", 12)</f>
        <v/>
      </c>
      <c r="Q422">
        <f>IF(L422&gt;=7, "Tevreden", "Ontevreden")</f>
        <v/>
      </c>
    </row>
    <row r="423">
      <c r="A423" t="inlineStr">
        <is>
          <t>Lemmens, Audrey</t>
        </is>
      </c>
      <c r="B423" t="n">
        <v>7304767254</v>
      </c>
      <c r="C423" t="inlineStr">
        <is>
          <t>24/09/1989</t>
        </is>
      </c>
      <c r="D423" t="inlineStr">
        <is>
          <t>Pleitstraat</t>
        </is>
      </c>
      <c r="E423" t="n">
        <v>1</v>
      </c>
      <c r="F423" t="inlineStr">
        <is>
          <t>Bilzen</t>
        </is>
      </c>
      <c r="G423" t="n">
        <v>2</v>
      </c>
      <c r="H423" t="n">
        <v>0</v>
      </c>
      <c r="I423" t="n">
        <v>21.72</v>
      </c>
      <c r="J423" t="inlineStr">
        <is>
          <t>Vaak</t>
        </is>
      </c>
      <c r="K423" t="inlineStr">
        <is>
          <t>Bancontact</t>
        </is>
      </c>
      <c r="L423" t="n">
        <v>6.78</v>
      </c>
      <c r="M423" t="inlineStr">
        <is>
          <t>Geen dieet</t>
        </is>
      </c>
      <c r="N423">
        <f>LEFT(A423, FIND(",", A423)-1)</f>
        <v/>
      </c>
      <c r="O423">
        <f>MID(A423, FIND(",", A423)+2, LEN(A423))</f>
        <v/>
      </c>
      <c r="P423">
        <f>SWITCH(J423, "Zelden", 1, "Af en toe", 4, "Regelmatig", 8, "Vaak", 12)</f>
        <v/>
      </c>
      <c r="Q423">
        <f>IF(L423&gt;=7, "Tevreden", "Ontevreden")</f>
        <v/>
      </c>
    </row>
    <row r="424">
      <c r="A424" t="inlineStr">
        <is>
          <t>Vandenberghe, Sam</t>
        </is>
      </c>
      <c r="B424" t="n">
        <v>2199332573</v>
      </c>
      <c r="C424" t="inlineStr">
        <is>
          <t>07/02/1962</t>
        </is>
      </c>
      <c r="D424" t="inlineStr">
        <is>
          <t>Florbertusstraat</t>
        </is>
      </c>
      <c r="E424" t="n">
        <v>9</v>
      </c>
      <c r="F424" t="inlineStr">
        <is>
          <t>Maaseik</t>
        </is>
      </c>
      <c r="G424" t="n">
        <v>1</v>
      </c>
      <c r="H424" t="n">
        <v>0</v>
      </c>
      <c r="I424" t="n">
        <v>83.73999999999999</v>
      </c>
      <c r="J424" t="inlineStr">
        <is>
          <t>Vaak</t>
        </is>
      </c>
      <c r="K424" t="inlineStr">
        <is>
          <t>Cash</t>
        </is>
      </c>
      <c r="L424" t="n">
        <v>6.86</v>
      </c>
      <c r="M424" t="inlineStr">
        <is>
          <t>Geen dieet</t>
        </is>
      </c>
      <c r="N424">
        <f>LEFT(A424, FIND(",", A424)-1)</f>
        <v/>
      </c>
      <c r="O424">
        <f>MID(A424, FIND(",", A424)+2, LEN(A424))</f>
        <v/>
      </c>
      <c r="P424">
        <f>SWITCH(J424, "Zelden", 1, "Af en toe", 4, "Regelmatig", 8, "Vaak", 12)</f>
        <v/>
      </c>
      <c r="Q424">
        <f>IF(L424&gt;=7, "Tevreden", "Ontevreden")</f>
        <v/>
      </c>
    </row>
    <row r="425">
      <c r="A425" t="inlineStr">
        <is>
          <t>Dethier, Etienne</t>
        </is>
      </c>
      <c r="B425" t="n">
        <v>5557050710</v>
      </c>
      <c r="C425" t="inlineStr">
        <is>
          <t>28/01/1989</t>
        </is>
      </c>
      <c r="D425" t="inlineStr">
        <is>
          <t>H. Frère Orbanlaan</t>
        </is>
      </c>
      <c r="E425" t="n">
        <v>67</v>
      </c>
      <c r="F425" t="inlineStr">
        <is>
          <t>Halen</t>
        </is>
      </c>
      <c r="G425" t="n">
        <v>1</v>
      </c>
      <c r="H425" t="n">
        <v>2</v>
      </c>
      <c r="I425" t="n">
        <v>73.13</v>
      </c>
      <c r="J425" t="inlineStr">
        <is>
          <t>Af en toe</t>
        </is>
      </c>
      <c r="K425" t="inlineStr">
        <is>
          <t>Payconiq</t>
        </is>
      </c>
      <c r="L425" t="n">
        <v>7.45</v>
      </c>
      <c r="M425" t="inlineStr">
        <is>
          <t>Geen dieet</t>
        </is>
      </c>
      <c r="N425">
        <f>LEFT(A425, FIND(",", A425)-1)</f>
        <v/>
      </c>
      <c r="O425">
        <f>MID(A425, FIND(",", A425)+2, LEN(A425))</f>
        <v/>
      </c>
      <c r="P425">
        <f>SWITCH(J425, "Zelden", 1, "Af en toe", 4, "Regelmatig", 8, "Vaak", 12)</f>
        <v/>
      </c>
      <c r="Q425">
        <f>IF(L425&gt;=7, "Tevreden", "Ontevreden")</f>
        <v/>
      </c>
    </row>
    <row r="426">
      <c r="A426" t="inlineStr">
        <is>
          <t>Bosmans, Florian</t>
        </is>
      </c>
      <c r="B426" t="n">
        <v>3704279966</v>
      </c>
      <c r="C426" t="inlineStr">
        <is>
          <t>26/09/1945</t>
        </is>
      </c>
      <c r="D426" t="inlineStr">
        <is>
          <t>Leiekaai</t>
        </is>
      </c>
      <c r="E426" t="n">
        <v>1</v>
      </c>
      <c r="F426" t="inlineStr">
        <is>
          <t>Gingelom</t>
        </is>
      </c>
      <c r="G426" t="n">
        <v>2</v>
      </c>
      <c r="H426" t="n">
        <v>3</v>
      </c>
      <c r="I426" t="n">
        <v>106.16</v>
      </c>
      <c r="J426" t="inlineStr">
        <is>
          <t>Af en toe</t>
        </is>
      </c>
      <c r="K426" t="inlineStr">
        <is>
          <t>Payconiq</t>
        </is>
      </c>
      <c r="L426" t="n">
        <v>7.26</v>
      </c>
      <c r="M426" t="inlineStr">
        <is>
          <t>Geen dieet</t>
        </is>
      </c>
      <c r="N426">
        <f>LEFT(A426, FIND(",", A426)-1)</f>
        <v/>
      </c>
      <c r="O426">
        <f>MID(A426, FIND(",", A426)+2, LEN(A426))</f>
        <v/>
      </c>
      <c r="P426">
        <f>SWITCH(J426, "Zelden", 1, "Af en toe", 4, "Regelmatig", 8, "Vaak", 12)</f>
        <v/>
      </c>
      <c r="Q426">
        <f>IF(L426&gt;=7, "Tevreden", "Ontevreden")</f>
        <v/>
      </c>
    </row>
    <row r="427">
      <c r="A427" t="inlineStr">
        <is>
          <t>Dethier, Martin</t>
        </is>
      </c>
      <c r="B427" t="n">
        <v>5194894395</v>
      </c>
      <c r="C427" t="inlineStr">
        <is>
          <t>05/09/1995</t>
        </is>
      </c>
      <c r="D427" t="inlineStr">
        <is>
          <t>Lostraat</t>
        </is>
      </c>
      <c r="E427" t="n">
        <v>1</v>
      </c>
      <c r="F427" t="inlineStr">
        <is>
          <t>Maaseik</t>
        </is>
      </c>
      <c r="G427" t="n">
        <v>1</v>
      </c>
      <c r="H427" t="n">
        <v>5</v>
      </c>
      <c r="I427" t="n">
        <v>128.67</v>
      </c>
      <c r="J427" t="inlineStr">
        <is>
          <t>Zelden</t>
        </is>
      </c>
      <c r="K427" t="inlineStr">
        <is>
          <t>Payconiq</t>
        </is>
      </c>
      <c r="L427" t="n">
        <v>6.83</v>
      </c>
      <c r="M427" t="inlineStr">
        <is>
          <t>Geen dieet</t>
        </is>
      </c>
      <c r="N427">
        <f>LEFT(A427, FIND(",", A427)-1)</f>
        <v/>
      </c>
      <c r="O427">
        <f>MID(A427, FIND(",", A427)+2, LEN(A427))</f>
        <v/>
      </c>
      <c r="P427">
        <f>SWITCH(J427, "Zelden", 1, "Af en toe", 4, "Regelmatig", 8, "Vaak", 12)</f>
        <v/>
      </c>
      <c r="Q427">
        <f>IF(L427&gt;=7, "Tevreden", "Ontevreden")</f>
        <v/>
      </c>
    </row>
    <row r="428">
      <c r="A428" t="inlineStr">
        <is>
          <t>Heylen, Mia</t>
        </is>
      </c>
      <c r="B428" t="n">
        <v>4136914165</v>
      </c>
      <c r="C428" t="inlineStr">
        <is>
          <t>24/08/1965</t>
        </is>
      </c>
      <c r="D428" t="inlineStr">
        <is>
          <t>Drieselstraat</t>
        </is>
      </c>
      <c r="E428" t="n">
        <v>98</v>
      </c>
      <c r="F428" t="inlineStr">
        <is>
          <t>Hasselt</t>
        </is>
      </c>
      <c r="G428" t="n">
        <v>1</v>
      </c>
      <c r="H428" t="n">
        <v>1</v>
      </c>
      <c r="I428" t="n">
        <v>73.52</v>
      </c>
      <c r="J428" t="inlineStr">
        <is>
          <t>Af en toe</t>
        </is>
      </c>
      <c r="K428" t="inlineStr">
        <is>
          <t>Payconiq</t>
        </is>
      </c>
      <c r="L428" t="n">
        <v>7.65</v>
      </c>
      <c r="M428" t="inlineStr">
        <is>
          <t>Geen dieet</t>
        </is>
      </c>
      <c r="N428">
        <f>LEFT(A428, FIND(",", A428)-1)</f>
        <v/>
      </c>
      <c r="O428">
        <f>MID(A428, FIND(",", A428)+2, LEN(A428))</f>
        <v/>
      </c>
      <c r="P428">
        <f>SWITCH(J428, "Zelden", 1, "Af en toe", 4, "Regelmatig", 8, "Vaak", 12)</f>
        <v/>
      </c>
      <c r="Q428">
        <f>IF(L428&gt;=7, "Tevreden", "Ontevreden")</f>
        <v/>
      </c>
    </row>
    <row r="429">
      <c r="A429" t="inlineStr">
        <is>
          <t>Leys, Georges</t>
        </is>
      </c>
      <c r="B429" t="n">
        <v>882198792</v>
      </c>
      <c r="C429" t="inlineStr">
        <is>
          <t>28/02/1970</t>
        </is>
      </c>
      <c r="D429" t="inlineStr">
        <is>
          <t>Ganzendries</t>
        </is>
      </c>
      <c r="E429" t="n">
        <v>38</v>
      </c>
      <c r="F429" t="inlineStr">
        <is>
          <t>Bilzen</t>
        </is>
      </c>
      <c r="G429" t="n">
        <v>2</v>
      </c>
      <c r="H429" t="n">
        <v>0</v>
      </c>
      <c r="I429" t="n">
        <v>112.89</v>
      </c>
      <c r="J429" t="inlineStr">
        <is>
          <t>Dagelijks</t>
        </is>
      </c>
      <c r="K429" t="inlineStr">
        <is>
          <t>Cash</t>
        </is>
      </c>
      <c r="L429" t="n">
        <v>7.11</v>
      </c>
      <c r="M429" t="inlineStr">
        <is>
          <t>Geen dieet</t>
        </is>
      </c>
      <c r="N429">
        <f>LEFT(A429, FIND(",", A429)-1)</f>
        <v/>
      </c>
      <c r="O429">
        <f>MID(A429, FIND(",", A429)+2, LEN(A429))</f>
        <v/>
      </c>
      <c r="P429">
        <f>SWITCH(J429, "Zelden", 1, "Af en toe", 4, "Regelmatig", 8, "Vaak", 12)</f>
        <v/>
      </c>
      <c r="Q429">
        <f>IF(L429&gt;=7, "Tevreden", "Ontevreden")</f>
        <v/>
      </c>
    </row>
    <row r="430">
      <c r="A430" t="inlineStr">
        <is>
          <t>Bogaert, Laura</t>
        </is>
      </c>
      <c r="B430" t="n">
        <v>2041005827</v>
      </c>
      <c r="C430" t="inlineStr">
        <is>
          <t>30/12/1979</t>
        </is>
      </c>
      <c r="D430" t="inlineStr">
        <is>
          <t>Muinkkaai</t>
        </is>
      </c>
      <c r="E430" t="n">
        <v>42</v>
      </c>
      <c r="F430" t="inlineStr">
        <is>
          <t>Maasmechelen</t>
        </is>
      </c>
      <c r="G430" t="n">
        <v>1</v>
      </c>
      <c r="H430" t="n">
        <v>0</v>
      </c>
      <c r="I430" t="n">
        <v>22.49</v>
      </c>
      <c r="J430" t="inlineStr">
        <is>
          <t>Af en toe</t>
        </is>
      </c>
      <c r="K430" t="inlineStr">
        <is>
          <t>Payconiq</t>
        </is>
      </c>
      <c r="L430" t="n">
        <v>8.470000000000001</v>
      </c>
      <c r="M430" t="inlineStr">
        <is>
          <t>Vegetarisch</t>
        </is>
      </c>
      <c r="N430">
        <f>LEFT(A430, FIND(",", A430)-1)</f>
        <v/>
      </c>
      <c r="O430">
        <f>MID(A430, FIND(",", A430)+2, LEN(A430))</f>
        <v/>
      </c>
      <c r="P430">
        <f>SWITCH(J430, "Zelden", 1, "Af en toe", 4, "Regelmatig", 8, "Vaak", 12)</f>
        <v/>
      </c>
      <c r="Q430">
        <f>IF(L430&gt;=7, "Tevreden", "Ontevreden")</f>
        <v/>
      </c>
    </row>
    <row r="431">
      <c r="A431" t="inlineStr">
        <is>
          <t>Wauters, Jules</t>
        </is>
      </c>
      <c r="B431" t="n">
        <v>3405008328</v>
      </c>
      <c r="C431" t="inlineStr">
        <is>
          <t>11/09/2005</t>
        </is>
      </c>
      <c r="D431" t="inlineStr">
        <is>
          <t>Koningin Elisabethlaan</t>
        </is>
      </c>
      <c r="E431" t="n">
        <v>1</v>
      </c>
      <c r="F431" t="inlineStr">
        <is>
          <t>Genk</t>
        </is>
      </c>
      <c r="G431" t="n">
        <v>2</v>
      </c>
      <c r="H431" t="n">
        <v>2</v>
      </c>
      <c r="I431" t="n">
        <v>166.51</v>
      </c>
      <c r="J431" t="inlineStr">
        <is>
          <t>Zeer vaak</t>
        </is>
      </c>
      <c r="K431" t="inlineStr">
        <is>
          <t>Payconiq</t>
        </is>
      </c>
      <c r="L431" t="n">
        <v>7.01</v>
      </c>
      <c r="M431" t="inlineStr">
        <is>
          <t>Geen dieet</t>
        </is>
      </c>
      <c r="N431">
        <f>LEFT(A431, FIND(",", A431)-1)</f>
        <v/>
      </c>
      <c r="O431">
        <f>MID(A431, FIND(",", A431)+2, LEN(A431))</f>
        <v/>
      </c>
      <c r="P431">
        <f>SWITCH(J431, "Zelden", 1, "Af en toe", 4, "Regelmatig", 8, "Vaak", 12)</f>
        <v/>
      </c>
      <c r="Q431">
        <f>IF(L431&gt;=7, "Tevreden", "Ontevreden")</f>
        <v/>
      </c>
    </row>
    <row r="432">
      <c r="A432" t="inlineStr">
        <is>
          <t>Buelens, Simon</t>
        </is>
      </c>
      <c r="B432" t="n">
        <v>3207120728</v>
      </c>
      <c r="C432" t="inlineStr">
        <is>
          <t>07/10/1947</t>
        </is>
      </c>
      <c r="D432" t="inlineStr">
        <is>
          <t>Goudenleeuwplein</t>
        </is>
      </c>
      <c r="E432" t="n">
        <v>28</v>
      </c>
      <c r="F432" t="inlineStr">
        <is>
          <t>Borgloon</t>
        </is>
      </c>
      <c r="G432" t="n">
        <v>1</v>
      </c>
      <c r="H432" t="n">
        <v>0</v>
      </c>
      <c r="I432" t="n">
        <v>63.65</v>
      </c>
      <c r="J432" t="inlineStr">
        <is>
          <t>Vaak</t>
        </is>
      </c>
      <c r="K432" t="inlineStr">
        <is>
          <t>Payconiq</t>
        </is>
      </c>
      <c r="L432" t="n">
        <v>7.32</v>
      </c>
      <c r="M432" t="inlineStr">
        <is>
          <t>Geen dieet</t>
        </is>
      </c>
      <c r="N432">
        <f>LEFT(A432, FIND(",", A432)-1)</f>
        <v/>
      </c>
      <c r="O432">
        <f>MID(A432, FIND(",", A432)+2, LEN(A432))</f>
        <v/>
      </c>
      <c r="P432">
        <f>SWITCH(J432, "Zelden", 1, "Af en toe", 4, "Regelmatig", 8, "Vaak", 12)</f>
        <v/>
      </c>
      <c r="Q432">
        <f>IF(L432&gt;=7, "Tevreden", "Ontevreden")</f>
        <v/>
      </c>
    </row>
    <row r="433">
      <c r="A433" t="inlineStr">
        <is>
          <t>Aerts, Aydin</t>
        </is>
      </c>
      <c r="B433" t="n">
        <v>7744074935</v>
      </c>
      <c r="C433" t="inlineStr">
        <is>
          <t>18/05/1997</t>
        </is>
      </c>
      <c r="D433" t="inlineStr">
        <is>
          <t>Gentstraat</t>
        </is>
      </c>
      <c r="E433" t="n">
        <v>83</v>
      </c>
      <c r="F433" t="inlineStr">
        <is>
          <t>Genk</t>
        </is>
      </c>
      <c r="G433" t="n">
        <v>2</v>
      </c>
      <c r="H433" t="n">
        <v>0</v>
      </c>
      <c r="I433" t="n">
        <v>25.88</v>
      </c>
      <c r="J433" t="inlineStr">
        <is>
          <t>Zelden</t>
        </is>
      </c>
      <c r="K433" t="inlineStr">
        <is>
          <t>Bancontact</t>
        </is>
      </c>
      <c r="L433" t="n">
        <v>8.470000000000001</v>
      </c>
      <c r="M433" t="inlineStr">
        <is>
          <t>Vegetarisch</t>
        </is>
      </c>
      <c r="N433">
        <f>LEFT(A433, FIND(",", A433)-1)</f>
        <v/>
      </c>
      <c r="O433">
        <f>MID(A433, FIND(",", A433)+2, LEN(A433))</f>
        <v/>
      </c>
      <c r="P433">
        <f>SWITCH(J433, "Zelden", 1, "Af en toe", 4, "Regelmatig", 8, "Vaak", 12)</f>
        <v/>
      </c>
      <c r="Q433">
        <f>IF(L433&gt;=7, "Tevreden", "Ontevreden")</f>
        <v/>
      </c>
    </row>
    <row r="434">
      <c r="A434" t="inlineStr">
        <is>
          <t>Maertens, Maria</t>
        </is>
      </c>
      <c r="B434" t="n">
        <v>8885636072</v>
      </c>
      <c r="C434" t="inlineStr">
        <is>
          <t>12/08/2006</t>
        </is>
      </c>
      <c r="D434" t="inlineStr">
        <is>
          <t>Aannemersstraat</t>
        </is>
      </c>
      <c r="E434" t="n">
        <v>20</v>
      </c>
      <c r="F434" t="inlineStr">
        <is>
          <t>Velm</t>
        </is>
      </c>
      <c r="G434" t="n">
        <v>1</v>
      </c>
      <c r="H434" t="n">
        <v>0</v>
      </c>
      <c r="I434" t="n">
        <v>56.98</v>
      </c>
      <c r="J434" t="inlineStr">
        <is>
          <t>Zeer vaak</t>
        </is>
      </c>
      <c r="K434" t="inlineStr">
        <is>
          <t>Bancontact</t>
        </is>
      </c>
      <c r="L434" t="n">
        <v>7.09</v>
      </c>
      <c r="M434" t="inlineStr">
        <is>
          <t>Geen dieet</t>
        </is>
      </c>
      <c r="N434">
        <f>LEFT(A434, FIND(",", A434)-1)</f>
        <v/>
      </c>
      <c r="O434">
        <f>MID(A434, FIND(",", A434)+2, LEN(A434))</f>
        <v/>
      </c>
      <c r="P434">
        <f>SWITCH(J434, "Zelden", 1, "Af en toe", 4, "Regelmatig", 8, "Vaak", 12)</f>
        <v/>
      </c>
      <c r="Q434">
        <f>IF(L434&gt;=7, "Tevreden", "Ontevreden")</f>
        <v/>
      </c>
    </row>
    <row r="435">
      <c r="A435" t="inlineStr">
        <is>
          <t>Michiels, Bertrande</t>
        </is>
      </c>
      <c r="B435" t="n">
        <v>8923346939</v>
      </c>
      <c r="C435" t="inlineStr">
        <is>
          <t>07/01/1975</t>
        </is>
      </c>
      <c r="D435" t="inlineStr">
        <is>
          <t>Molenaarsstraat</t>
        </is>
      </c>
      <c r="E435" t="n">
        <v>80</v>
      </c>
      <c r="F435" t="inlineStr">
        <is>
          <t>Tongeren</t>
        </is>
      </c>
      <c r="G435" t="n">
        <v>1</v>
      </c>
      <c r="H435" t="n">
        <v>0</v>
      </c>
      <c r="I435" t="n">
        <v>78.31</v>
      </c>
      <c r="J435" t="inlineStr">
        <is>
          <t>Af en toe</t>
        </is>
      </c>
      <c r="K435" t="inlineStr">
        <is>
          <t>Payconiq</t>
        </is>
      </c>
      <c r="L435" t="n">
        <v>7.99</v>
      </c>
      <c r="M435" t="inlineStr">
        <is>
          <t>Vegetarisch</t>
        </is>
      </c>
      <c r="N435">
        <f>LEFT(A435, FIND(",", A435)-1)</f>
        <v/>
      </c>
      <c r="O435">
        <f>MID(A435, FIND(",", A435)+2, LEN(A435))</f>
        <v/>
      </c>
      <c r="P435">
        <f>SWITCH(J435, "Zelden", 1, "Af en toe", 4, "Regelmatig", 8, "Vaak", 12)</f>
        <v/>
      </c>
      <c r="Q435">
        <f>IF(L435&gt;=7, "Tevreden", "Ontevreden")</f>
        <v/>
      </c>
    </row>
    <row r="436">
      <c r="A436" t="inlineStr">
        <is>
          <t>Verhaeghe, Myriam</t>
        </is>
      </c>
      <c r="B436" t="n">
        <v>4174238126</v>
      </c>
      <c r="C436" t="inlineStr">
        <is>
          <t>05/02/1985</t>
        </is>
      </c>
      <c r="D436" t="inlineStr">
        <is>
          <t>Tuinwijk Ter Heide</t>
        </is>
      </c>
      <c r="E436" t="n">
        <v>24</v>
      </c>
      <c r="F436" t="inlineStr">
        <is>
          <t>Tongeren</t>
        </is>
      </c>
      <c r="G436" t="n">
        <v>2</v>
      </c>
      <c r="H436" t="n">
        <v>0</v>
      </c>
      <c r="I436" t="n">
        <v>66.78</v>
      </c>
      <c r="J436" t="inlineStr">
        <is>
          <t>Af en toe</t>
        </is>
      </c>
      <c r="K436" t="inlineStr">
        <is>
          <t>Payconiq</t>
        </is>
      </c>
      <c r="L436" t="n">
        <v>5.9</v>
      </c>
      <c r="M436" t="inlineStr">
        <is>
          <t>Veganistisch</t>
        </is>
      </c>
      <c r="N436">
        <f>LEFT(A436, FIND(",", A436)-1)</f>
        <v/>
      </c>
      <c r="O436">
        <f>MID(A436, FIND(",", A436)+2, LEN(A436))</f>
        <v/>
      </c>
      <c r="P436">
        <f>SWITCH(J436, "Zelden", 1, "Af en toe", 4, "Regelmatig", 8, "Vaak", 12)</f>
        <v/>
      </c>
      <c r="Q436">
        <f>IF(L436&gt;=7, "Tevreden", "Ontevreden")</f>
        <v/>
      </c>
    </row>
    <row r="437">
      <c r="A437" t="inlineStr">
        <is>
          <t>Van damme, Serge</t>
        </is>
      </c>
      <c r="B437" t="n">
        <v>2054247993</v>
      </c>
      <c r="C437" t="inlineStr">
        <is>
          <t>08/02/1995</t>
        </is>
      </c>
      <c r="D437" t="inlineStr">
        <is>
          <t xml:space="preserve">Jakob Van Caeneghemstraat, </t>
        </is>
      </c>
      <c r="E437" t="n">
        <v>10</v>
      </c>
      <c r="F437" t="inlineStr">
        <is>
          <t>Sint-Truiden</t>
        </is>
      </c>
      <c r="G437" t="n">
        <v>2</v>
      </c>
      <c r="H437" t="n">
        <v>4</v>
      </c>
      <c r="I437" t="n">
        <v>143.51</v>
      </c>
      <c r="J437" t="inlineStr">
        <is>
          <t>Zelden</t>
        </is>
      </c>
      <c r="K437" t="inlineStr">
        <is>
          <t>Payconiq</t>
        </is>
      </c>
      <c r="L437" t="n">
        <v>6.56</v>
      </c>
      <c r="M437" t="inlineStr">
        <is>
          <t>Geen dieet</t>
        </is>
      </c>
      <c r="N437">
        <f>LEFT(A437, FIND(",", A437)-1)</f>
        <v/>
      </c>
      <c r="O437">
        <f>MID(A437, FIND(",", A437)+2, LEN(A437))</f>
        <v/>
      </c>
      <c r="P437">
        <f>SWITCH(J437, "Zelden", 1, "Af en toe", 4, "Regelmatig", 8, "Vaak", 12)</f>
        <v/>
      </c>
      <c r="Q437">
        <f>IF(L437&gt;=7, "Tevreden", "Ontevreden")</f>
        <v/>
      </c>
    </row>
    <row r="438">
      <c r="A438" t="inlineStr">
        <is>
          <t>Piron, Monique</t>
        </is>
      </c>
      <c r="B438" t="n">
        <v>1035260332</v>
      </c>
      <c r="C438" t="inlineStr">
        <is>
          <t>19/12/2002</t>
        </is>
      </c>
      <c r="D438" t="inlineStr">
        <is>
          <t>Tortelduifstraat</t>
        </is>
      </c>
      <c r="E438" t="n">
        <v>86</v>
      </c>
      <c r="F438" t="inlineStr">
        <is>
          <t>Overpelt</t>
        </is>
      </c>
      <c r="G438" t="n">
        <v>2</v>
      </c>
      <c r="H438" t="n">
        <v>1</v>
      </c>
      <c r="I438" t="n">
        <v>99.19</v>
      </c>
      <c r="J438" t="inlineStr">
        <is>
          <t>Vaak</t>
        </is>
      </c>
      <c r="K438" t="inlineStr">
        <is>
          <t>Cash</t>
        </is>
      </c>
      <c r="L438" t="n">
        <v>7.89</v>
      </c>
      <c r="M438" t="inlineStr">
        <is>
          <t>Vegetarisch</t>
        </is>
      </c>
      <c r="N438">
        <f>LEFT(A438, FIND(",", A438)-1)</f>
        <v/>
      </c>
      <c r="O438">
        <f>MID(A438, FIND(",", A438)+2, LEN(A438))</f>
        <v/>
      </c>
      <c r="P438">
        <f>SWITCH(J438, "Zelden", 1, "Af en toe", 4, "Regelmatig", 8, "Vaak", 12)</f>
        <v/>
      </c>
      <c r="Q438">
        <f>IF(L438&gt;=7, "Tevreden", "Ontevreden")</f>
        <v/>
      </c>
    </row>
    <row r="439">
      <c r="A439" t="inlineStr">
        <is>
          <t>Claes, Claude</t>
        </is>
      </c>
      <c r="B439" t="n">
        <v>2775109610</v>
      </c>
      <c r="C439" t="inlineStr">
        <is>
          <t>22/11/1965</t>
        </is>
      </c>
      <c r="D439" t="inlineStr">
        <is>
          <t>Ivonna Nevejanstraat</t>
        </is>
      </c>
      <c r="E439" t="n">
        <v>40</v>
      </c>
      <c r="F439" t="inlineStr">
        <is>
          <t>Heers</t>
        </is>
      </c>
      <c r="G439" t="n">
        <v>1</v>
      </c>
      <c r="H439" t="n">
        <v>1</v>
      </c>
      <c r="I439" t="n">
        <v>88.83</v>
      </c>
      <c r="J439" t="inlineStr">
        <is>
          <t>Dagelijks</t>
        </is>
      </c>
      <c r="K439" t="inlineStr">
        <is>
          <t>Payconiq</t>
        </is>
      </c>
      <c r="L439" t="n">
        <v>5.28</v>
      </c>
      <c r="M439" t="inlineStr">
        <is>
          <t>Veganistisch</t>
        </is>
      </c>
      <c r="N439">
        <f>LEFT(A439, FIND(",", A439)-1)</f>
        <v/>
      </c>
      <c r="O439">
        <f>MID(A439, FIND(",", A439)+2, LEN(A439))</f>
        <v/>
      </c>
      <c r="P439">
        <f>SWITCH(J439, "Zelden", 1, "Af en toe", 4, "Regelmatig", 8, "Vaak", 12)</f>
        <v/>
      </c>
      <c r="Q439">
        <f>IF(L439&gt;=7, "Tevreden", "Ontevreden")</f>
        <v/>
      </c>
    </row>
    <row r="440">
      <c r="A440" t="inlineStr">
        <is>
          <t>Houben, Grazia</t>
        </is>
      </c>
      <c r="B440" t="n">
        <v>845509945</v>
      </c>
      <c r="C440" t="inlineStr">
        <is>
          <t>24/01/1946</t>
        </is>
      </c>
      <c r="D440" t="inlineStr">
        <is>
          <t>Burgstraat</t>
        </is>
      </c>
      <c r="E440" t="n">
        <v>4</v>
      </c>
      <c r="F440" t="inlineStr">
        <is>
          <t>Lanaken</t>
        </is>
      </c>
      <c r="G440" t="n">
        <v>2</v>
      </c>
      <c r="H440" t="n">
        <v>0</v>
      </c>
      <c r="I440" t="n">
        <v>55.84</v>
      </c>
      <c r="J440" t="inlineStr">
        <is>
          <t>Zelden</t>
        </is>
      </c>
      <c r="K440" t="inlineStr">
        <is>
          <t>Bancontact</t>
        </is>
      </c>
      <c r="L440" t="n">
        <v>7.03</v>
      </c>
      <c r="M440" t="inlineStr">
        <is>
          <t>Geen dieet</t>
        </is>
      </c>
      <c r="N440">
        <f>LEFT(A440, FIND(",", A440)-1)</f>
        <v/>
      </c>
      <c r="O440">
        <f>MID(A440, FIND(",", A440)+2, LEN(A440))</f>
        <v/>
      </c>
      <c r="P440">
        <f>SWITCH(J440, "Zelden", 1, "Af en toe", 4, "Regelmatig", 8, "Vaak", 12)</f>
        <v/>
      </c>
      <c r="Q440">
        <f>IF(L440&gt;=7, "Tevreden", "Ontevreden")</f>
        <v/>
      </c>
    </row>
    <row r="441">
      <c r="A441" t="inlineStr">
        <is>
          <t>Mortier, Antoine</t>
        </is>
      </c>
      <c r="B441" t="n">
        <v>1112498333</v>
      </c>
      <c r="C441" t="inlineStr">
        <is>
          <t>13/05/1964</t>
        </is>
      </c>
      <c r="D441" t="inlineStr">
        <is>
          <t>Kartuizerlaan</t>
        </is>
      </c>
      <c r="E441" t="n">
        <v>37</v>
      </c>
      <c r="F441" t="inlineStr">
        <is>
          <t>Herten</t>
        </is>
      </c>
      <c r="G441" t="n">
        <v>1</v>
      </c>
      <c r="H441" t="n">
        <v>2</v>
      </c>
      <c r="I441" t="n">
        <v>145.25</v>
      </c>
      <c r="J441" t="inlineStr">
        <is>
          <t>Af en toe</t>
        </is>
      </c>
      <c r="K441" t="inlineStr">
        <is>
          <t>Bancontact</t>
        </is>
      </c>
      <c r="L441" t="n">
        <v>7.65</v>
      </c>
      <c r="M441" t="inlineStr">
        <is>
          <t>Geen dieet</t>
        </is>
      </c>
      <c r="N441">
        <f>LEFT(A441, FIND(",", A441)-1)</f>
        <v/>
      </c>
      <c r="O441">
        <f>MID(A441, FIND(",", A441)+2, LEN(A441))</f>
        <v/>
      </c>
      <c r="P441">
        <f>SWITCH(J441, "Zelden", 1, "Af en toe", 4, "Regelmatig", 8, "Vaak", 12)</f>
        <v/>
      </c>
      <c r="Q441">
        <f>IF(L441&gt;=7, "Tevreden", "Ontevreden")</f>
        <v/>
      </c>
    </row>
    <row r="442">
      <c r="A442" t="inlineStr">
        <is>
          <t>Wouters, Marcel</t>
        </is>
      </c>
      <c r="B442" t="n">
        <v>9235029633</v>
      </c>
      <c r="C442" t="inlineStr">
        <is>
          <t>03/04/1956</t>
        </is>
      </c>
      <c r="D442" t="inlineStr">
        <is>
          <t>Handbalstraat</t>
        </is>
      </c>
      <c r="E442" t="n">
        <v>41</v>
      </c>
      <c r="F442" t="inlineStr">
        <is>
          <t>Diepenbeek</t>
        </is>
      </c>
      <c r="G442" t="n">
        <v>3</v>
      </c>
      <c r="H442" t="n">
        <v>0</v>
      </c>
      <c r="I442" t="n">
        <v>105.77</v>
      </c>
      <c r="J442" t="inlineStr">
        <is>
          <t>Zeer vaak</t>
        </is>
      </c>
      <c r="K442" t="inlineStr">
        <is>
          <t>Bancontact</t>
        </is>
      </c>
      <c r="L442" t="n">
        <v>6.82</v>
      </c>
      <c r="M442" t="inlineStr">
        <is>
          <t>Geen dieet</t>
        </is>
      </c>
      <c r="N442">
        <f>LEFT(A442, FIND(",", A442)-1)</f>
        <v/>
      </c>
      <c r="O442">
        <f>MID(A442, FIND(",", A442)+2, LEN(A442))</f>
        <v/>
      </c>
      <c r="P442">
        <f>SWITCH(J442, "Zelden", 1, "Af en toe", 4, "Regelmatig", 8, "Vaak", 12)</f>
        <v/>
      </c>
      <c r="Q442">
        <f>IF(L442&gt;=7, "Tevreden", "Ontevreden")</f>
        <v/>
      </c>
    </row>
    <row r="443">
      <c r="A443" t="inlineStr">
        <is>
          <t>Vandaele, Jolanda</t>
        </is>
      </c>
      <c r="B443" t="n">
        <v>2463884529</v>
      </c>
      <c r="C443" t="inlineStr">
        <is>
          <t>27/06/1979</t>
        </is>
      </c>
      <c r="D443" t="inlineStr">
        <is>
          <t>Sint-denijslaan</t>
        </is>
      </c>
      <c r="E443" t="n">
        <v>101</v>
      </c>
      <c r="F443" t="inlineStr">
        <is>
          <t>Genk</t>
        </is>
      </c>
      <c r="G443" t="n">
        <v>3</v>
      </c>
      <c r="H443" t="n">
        <v>2</v>
      </c>
      <c r="I443" t="n">
        <v>178.55</v>
      </c>
      <c r="J443" t="inlineStr">
        <is>
          <t>Zelden</t>
        </is>
      </c>
      <c r="K443" t="inlineStr">
        <is>
          <t>Payconiq</t>
        </is>
      </c>
      <c r="L443" t="n">
        <v>7.02</v>
      </c>
      <c r="M443" t="inlineStr">
        <is>
          <t>Geen dieet</t>
        </is>
      </c>
      <c r="N443">
        <f>LEFT(A443, FIND(",", A443)-1)</f>
        <v/>
      </c>
      <c r="O443">
        <f>MID(A443, FIND(",", A443)+2, LEN(A443))</f>
        <v/>
      </c>
      <c r="P443">
        <f>SWITCH(J443, "Zelden", 1, "Af en toe", 4, "Regelmatig", 8, "Vaak", 12)</f>
        <v/>
      </c>
      <c r="Q443">
        <f>IF(L443&gt;=7, "Tevreden", "Ontevreden")</f>
        <v/>
      </c>
    </row>
    <row r="444">
      <c r="A444" t="inlineStr">
        <is>
          <t>Gilles, Isabelle</t>
        </is>
      </c>
      <c r="B444" t="n">
        <v>6752400133</v>
      </c>
      <c r="C444" t="inlineStr">
        <is>
          <t>05/06/1959</t>
        </is>
      </c>
      <c r="D444" t="inlineStr">
        <is>
          <t>Zieklien</t>
        </is>
      </c>
      <c r="E444" t="n">
        <v>10</v>
      </c>
      <c r="F444" t="inlineStr">
        <is>
          <t>Hasselt</t>
        </is>
      </c>
      <c r="G444" t="n">
        <v>1</v>
      </c>
      <c r="H444" t="n">
        <v>0</v>
      </c>
      <c r="I444" t="n">
        <v>64.86</v>
      </c>
      <c r="J444" t="inlineStr">
        <is>
          <t>Zeer vaak</t>
        </is>
      </c>
      <c r="K444" t="inlineStr">
        <is>
          <t>Cash</t>
        </is>
      </c>
      <c r="L444" t="n">
        <v>6.75</v>
      </c>
      <c r="M444" t="inlineStr">
        <is>
          <t>Geen dieet</t>
        </is>
      </c>
      <c r="N444">
        <f>LEFT(A444, FIND(",", A444)-1)</f>
        <v/>
      </c>
      <c r="O444">
        <f>MID(A444, FIND(",", A444)+2, LEN(A444))</f>
        <v/>
      </c>
      <c r="P444">
        <f>SWITCH(J444, "Zelden", 1, "Af en toe", 4, "Regelmatig", 8, "Vaak", 12)</f>
        <v/>
      </c>
      <c r="Q444">
        <f>IF(L444&gt;=7, "Tevreden", "Ontevreden")</f>
        <v/>
      </c>
    </row>
    <row r="445">
      <c r="A445" t="inlineStr">
        <is>
          <t>Dufour, Stivan</t>
        </is>
      </c>
      <c r="B445" t="n">
        <v>3363200988</v>
      </c>
      <c r="C445" t="inlineStr">
        <is>
          <t>29/05/2000</t>
        </is>
      </c>
      <c r="D445" t="inlineStr">
        <is>
          <t>Nonnemeersstraat</t>
        </is>
      </c>
      <c r="E445" t="n">
        <v>5</v>
      </c>
      <c r="F445" t="inlineStr">
        <is>
          <t>Genk</t>
        </is>
      </c>
      <c r="G445" t="n">
        <v>2</v>
      </c>
      <c r="H445" t="n">
        <v>0</v>
      </c>
      <c r="I445" t="n">
        <v>57.07</v>
      </c>
      <c r="J445" t="inlineStr">
        <is>
          <t>Zelden</t>
        </is>
      </c>
      <c r="K445" t="inlineStr">
        <is>
          <t>Payconiq</t>
        </is>
      </c>
      <c r="L445" t="n">
        <v>8.449999999999999</v>
      </c>
      <c r="M445" t="inlineStr">
        <is>
          <t>Vegetarisch</t>
        </is>
      </c>
      <c r="N445">
        <f>LEFT(A445, FIND(",", A445)-1)</f>
        <v/>
      </c>
      <c r="O445">
        <f>MID(A445, FIND(",", A445)+2, LEN(A445))</f>
        <v/>
      </c>
      <c r="P445">
        <f>SWITCH(J445, "Zelden", 1, "Af en toe", 4, "Regelmatig", 8, "Vaak", 12)</f>
        <v/>
      </c>
      <c r="Q445">
        <f>IF(L445&gt;=7, "Tevreden", "Ontevreden")</f>
        <v/>
      </c>
    </row>
    <row r="446">
      <c r="A446" t="inlineStr">
        <is>
          <t>Noel, Sven</t>
        </is>
      </c>
      <c r="B446" t="n">
        <v>802088759</v>
      </c>
      <c r="C446" t="inlineStr">
        <is>
          <t>25/03/1949</t>
        </is>
      </c>
      <c r="D446" t="inlineStr">
        <is>
          <t>Davidtenierslaan</t>
        </is>
      </c>
      <c r="E446" t="n">
        <v>18</v>
      </c>
      <c r="F446" t="inlineStr">
        <is>
          <t>Hasselt</t>
        </is>
      </c>
      <c r="G446" t="n">
        <v>2</v>
      </c>
      <c r="H446" t="n">
        <v>4</v>
      </c>
      <c r="I446" t="n">
        <v>141.71</v>
      </c>
      <c r="J446" t="inlineStr">
        <is>
          <t>Vaak</t>
        </is>
      </c>
      <c r="K446" t="inlineStr">
        <is>
          <t>Payconiq</t>
        </is>
      </c>
      <c r="L446" t="n">
        <v>8.1</v>
      </c>
      <c r="M446" t="inlineStr">
        <is>
          <t>Vegetarisch</t>
        </is>
      </c>
      <c r="N446">
        <f>LEFT(A446, FIND(",", A446)-1)</f>
        <v/>
      </c>
      <c r="O446">
        <f>MID(A446, FIND(",", A446)+2, LEN(A446))</f>
        <v/>
      </c>
      <c r="P446">
        <f>SWITCH(J446, "Zelden", 1, "Af en toe", 4, "Regelmatig", 8, "Vaak", 12)</f>
        <v/>
      </c>
      <c r="Q446">
        <f>IF(L446&gt;=7, "Tevreden", "Ontevreden")</f>
        <v/>
      </c>
    </row>
    <row r="447">
      <c r="A447" t="inlineStr">
        <is>
          <t>Pauwels, Silvère</t>
        </is>
      </c>
      <c r="B447" t="n">
        <v>5912575957</v>
      </c>
      <c r="C447" t="inlineStr">
        <is>
          <t>23/09/1974</t>
        </is>
      </c>
      <c r="D447" t="inlineStr">
        <is>
          <t>Kleimoer</t>
        </is>
      </c>
      <c r="E447" t="n">
        <v>62</v>
      </c>
      <c r="F447" t="inlineStr">
        <is>
          <t>Sint-Truiden</t>
        </is>
      </c>
      <c r="G447" t="n">
        <v>3</v>
      </c>
      <c r="H447" t="n">
        <v>0</v>
      </c>
      <c r="I447" t="n">
        <v>128.72</v>
      </c>
      <c r="J447" t="inlineStr">
        <is>
          <t>Vaak</t>
        </is>
      </c>
      <c r="K447" t="inlineStr">
        <is>
          <t>Creditcard</t>
        </is>
      </c>
      <c r="L447" t="n">
        <v>6.69</v>
      </c>
      <c r="M447" t="inlineStr">
        <is>
          <t>Geen dieet</t>
        </is>
      </c>
      <c r="N447">
        <f>LEFT(A447, FIND(",", A447)-1)</f>
        <v/>
      </c>
      <c r="O447">
        <f>MID(A447, FIND(",", A447)+2, LEN(A447))</f>
        <v/>
      </c>
      <c r="P447">
        <f>SWITCH(J447, "Zelden", 1, "Af en toe", 4, "Regelmatig", 8, "Vaak", 12)</f>
        <v/>
      </c>
      <c r="Q447">
        <f>IF(L447&gt;=7, "Tevreden", "Ontevreden")</f>
        <v/>
      </c>
    </row>
    <row r="448">
      <c r="A448" t="inlineStr">
        <is>
          <t>Bauwens, Andrée</t>
        </is>
      </c>
      <c r="B448" t="n">
        <v>5533056892</v>
      </c>
      <c r="C448" t="inlineStr">
        <is>
          <t>10/12/1957</t>
        </is>
      </c>
      <c r="D448" t="inlineStr">
        <is>
          <t>Bruiloftstraat</t>
        </is>
      </c>
      <c r="E448" t="n">
        <v>40</v>
      </c>
      <c r="F448" t="inlineStr">
        <is>
          <t>Hasselt</t>
        </is>
      </c>
      <c r="G448" t="n">
        <v>2</v>
      </c>
      <c r="H448" t="n">
        <v>2</v>
      </c>
      <c r="I448" t="n">
        <v>81.70999999999999</v>
      </c>
      <c r="J448" t="inlineStr">
        <is>
          <t>Af en toe</t>
        </is>
      </c>
      <c r="K448" t="inlineStr">
        <is>
          <t>Bancontact</t>
        </is>
      </c>
      <c r="L448" t="n">
        <v>7.39</v>
      </c>
      <c r="M448" t="inlineStr">
        <is>
          <t>Geen dieet</t>
        </is>
      </c>
      <c r="N448">
        <f>LEFT(A448, FIND(",", A448)-1)</f>
        <v/>
      </c>
      <c r="O448">
        <f>MID(A448, FIND(",", A448)+2, LEN(A448))</f>
        <v/>
      </c>
      <c r="P448">
        <f>SWITCH(J448, "Zelden", 1, "Af en toe", 4, "Regelmatig", 8, "Vaak", 12)</f>
        <v/>
      </c>
      <c r="Q448">
        <f>IF(L448&gt;=7, "Tevreden", "Ontevreden")</f>
        <v/>
      </c>
    </row>
    <row r="449">
      <c r="A449" t="inlineStr">
        <is>
          <t>Maes, Anthony</t>
        </is>
      </c>
      <c r="B449" t="n">
        <v>9787234258</v>
      </c>
      <c r="C449" t="inlineStr">
        <is>
          <t>21/07/1954</t>
        </is>
      </c>
      <c r="D449" t="inlineStr">
        <is>
          <t>Groenstraat</t>
        </is>
      </c>
      <c r="E449" t="n">
        <v>11</v>
      </c>
      <c r="F449" t="inlineStr">
        <is>
          <t>Maasmechelen</t>
        </is>
      </c>
      <c r="G449" t="n">
        <v>1</v>
      </c>
      <c r="H449" t="n">
        <v>0</v>
      </c>
      <c r="I449" t="n">
        <v>49.45</v>
      </c>
      <c r="J449" t="inlineStr">
        <is>
          <t>Af en toe</t>
        </is>
      </c>
      <c r="K449" t="inlineStr">
        <is>
          <t>Bancontact</t>
        </is>
      </c>
      <c r="L449" t="n">
        <v>6.94</v>
      </c>
      <c r="M449" t="inlineStr">
        <is>
          <t>Geen dieet</t>
        </is>
      </c>
      <c r="N449">
        <f>LEFT(A449, FIND(",", A449)-1)</f>
        <v/>
      </c>
      <c r="O449">
        <f>MID(A449, FIND(",", A449)+2, LEN(A449))</f>
        <v/>
      </c>
      <c r="P449">
        <f>SWITCH(J449, "Zelden", 1, "Af en toe", 4, "Regelmatig", 8, "Vaak", 12)</f>
        <v/>
      </c>
      <c r="Q449">
        <f>IF(L449&gt;=7, "Tevreden", "Ontevreden")</f>
        <v/>
      </c>
    </row>
    <row r="450">
      <c r="A450" t="inlineStr">
        <is>
          <t>Verbeke, Birgit</t>
        </is>
      </c>
      <c r="B450" t="n">
        <v>2741074420</v>
      </c>
      <c r="C450" t="inlineStr">
        <is>
          <t>01/11/1948</t>
        </is>
      </c>
      <c r="D450" t="inlineStr">
        <is>
          <t>Reep</t>
        </is>
      </c>
      <c r="E450" t="n">
        <v>47</v>
      </c>
      <c r="F450" t="inlineStr">
        <is>
          <t>Riemst</t>
        </is>
      </c>
      <c r="G450" t="n">
        <v>2</v>
      </c>
      <c r="H450" t="n">
        <v>3</v>
      </c>
      <c r="I450" t="n">
        <v>151.54</v>
      </c>
      <c r="J450" t="inlineStr">
        <is>
          <t>Af en toe</t>
        </is>
      </c>
      <c r="K450" t="inlineStr">
        <is>
          <t>Payconiq</t>
        </is>
      </c>
      <c r="L450" t="n">
        <v>8.220000000000001</v>
      </c>
      <c r="M450" t="inlineStr">
        <is>
          <t>Vegetarisch</t>
        </is>
      </c>
      <c r="N450">
        <f>LEFT(A450, FIND(",", A450)-1)</f>
        <v/>
      </c>
      <c r="O450">
        <f>MID(A450, FIND(",", A450)+2, LEN(A450))</f>
        <v/>
      </c>
      <c r="P450">
        <f>SWITCH(J450, "Zelden", 1, "Af en toe", 4, "Regelmatig", 8, "Vaak", 12)</f>
        <v/>
      </c>
      <c r="Q450">
        <f>IF(L450&gt;=7, "Tevreden", "Ontevreden")</f>
        <v/>
      </c>
    </row>
    <row r="451">
      <c r="A451" t="inlineStr">
        <is>
          <t>Descamps, Valerie</t>
        </is>
      </c>
      <c r="B451" t="n">
        <v>5341454855</v>
      </c>
      <c r="C451" t="inlineStr">
        <is>
          <t>17/02/1994</t>
        </is>
      </c>
      <c r="D451" t="inlineStr">
        <is>
          <t>Begijnhoflaan</t>
        </is>
      </c>
      <c r="E451" t="n">
        <v>103</v>
      </c>
      <c r="F451" t="inlineStr">
        <is>
          <t>Lommel</t>
        </is>
      </c>
      <c r="G451" t="n">
        <v>2</v>
      </c>
      <c r="H451" t="n">
        <v>2</v>
      </c>
      <c r="I451" t="n">
        <v>202.91</v>
      </c>
      <c r="J451" t="inlineStr">
        <is>
          <t>Zelden</t>
        </is>
      </c>
      <c r="K451" t="inlineStr">
        <is>
          <t>Payconiq</t>
        </is>
      </c>
      <c r="L451" t="n">
        <v>6.13</v>
      </c>
      <c r="M451" t="inlineStr">
        <is>
          <t>Veganistisch</t>
        </is>
      </c>
      <c r="N451">
        <f>LEFT(A451, FIND(",", A451)-1)</f>
        <v/>
      </c>
      <c r="O451">
        <f>MID(A451, FIND(",", A451)+2, LEN(A451))</f>
        <v/>
      </c>
      <c r="P451">
        <f>SWITCH(J451, "Zelden", 1, "Af en toe", 4, "Regelmatig", 8, "Vaak", 12)</f>
        <v/>
      </c>
      <c r="Q451">
        <f>IF(L451&gt;=7, "Tevreden", "Ontevreden")</f>
        <v/>
      </c>
    </row>
    <row r="452">
      <c r="A452" t="inlineStr">
        <is>
          <t>Dupont, Elza</t>
        </is>
      </c>
      <c r="B452" t="n">
        <v>2692336636</v>
      </c>
      <c r="C452" t="inlineStr">
        <is>
          <t>19/09/1954</t>
        </is>
      </c>
      <c r="D452" t="inlineStr">
        <is>
          <t>Henegouwenstraat</t>
        </is>
      </c>
      <c r="E452" t="n">
        <v>114</v>
      </c>
      <c r="F452" t="inlineStr">
        <is>
          <t>Riemst</t>
        </is>
      </c>
      <c r="G452" t="n">
        <v>1</v>
      </c>
      <c r="H452" t="n">
        <v>0</v>
      </c>
      <c r="I452" t="n">
        <v>46.88</v>
      </c>
      <c r="J452" t="inlineStr">
        <is>
          <t>Dagelijks</t>
        </is>
      </c>
      <c r="K452" t="inlineStr">
        <is>
          <t>Payconiq</t>
        </is>
      </c>
      <c r="L452" t="n">
        <v>7.36</v>
      </c>
      <c r="M452" t="inlineStr">
        <is>
          <t>Geen dieet</t>
        </is>
      </c>
      <c r="N452">
        <f>LEFT(A452, FIND(",", A452)-1)</f>
        <v/>
      </c>
      <c r="O452">
        <f>MID(A452, FIND(",", A452)+2, LEN(A452))</f>
        <v/>
      </c>
      <c r="P452">
        <f>SWITCH(J452, "Zelden", 1, "Af en toe", 4, "Regelmatig", 8, "Vaak", 12)</f>
        <v/>
      </c>
      <c r="Q452">
        <f>IF(L452&gt;=7, "Tevreden", "Ontevreden")</f>
        <v/>
      </c>
    </row>
    <row r="453">
      <c r="A453" t="inlineStr">
        <is>
          <t>Vandevelde, Asif</t>
        </is>
      </c>
      <c r="B453" t="n">
        <v>373659541</v>
      </c>
      <c r="C453" t="inlineStr">
        <is>
          <t>23/09/1974</t>
        </is>
      </c>
      <c r="D453" t="inlineStr">
        <is>
          <t>Ajuinlei</t>
        </is>
      </c>
      <c r="E453" t="n">
        <v>9</v>
      </c>
      <c r="F453" t="inlineStr">
        <is>
          <t>Bilzen</t>
        </is>
      </c>
      <c r="G453" t="n">
        <v>1</v>
      </c>
      <c r="H453" t="n">
        <v>0</v>
      </c>
      <c r="I453" t="n">
        <v>35.96</v>
      </c>
      <c r="J453" t="inlineStr">
        <is>
          <t>Dagelijks</t>
        </is>
      </c>
      <c r="K453" t="inlineStr">
        <is>
          <t>Bancontact</t>
        </is>
      </c>
      <c r="L453" t="n">
        <v>8.42</v>
      </c>
      <c r="M453" t="inlineStr">
        <is>
          <t>Vegetarisch</t>
        </is>
      </c>
      <c r="N453">
        <f>LEFT(A453, FIND(",", A453)-1)</f>
        <v/>
      </c>
      <c r="O453">
        <f>MID(A453, FIND(",", A453)+2, LEN(A453))</f>
        <v/>
      </c>
      <c r="P453">
        <f>SWITCH(J453, "Zelden", 1, "Af en toe", 4, "Regelmatig", 8, "Vaak", 12)</f>
        <v/>
      </c>
      <c r="Q453">
        <f>IF(L453&gt;=7, "Tevreden", "Ontevreden")</f>
        <v/>
      </c>
    </row>
    <row r="454">
      <c r="A454" t="inlineStr">
        <is>
          <t>Dubois, Dany</t>
        </is>
      </c>
      <c r="B454" t="n">
        <v>7087494821</v>
      </c>
      <c r="C454" t="inlineStr">
        <is>
          <t>31/03/1946</t>
        </is>
      </c>
      <c r="D454" t="inlineStr">
        <is>
          <t>Papegaaistraat</t>
        </is>
      </c>
      <c r="E454" t="n">
        <v>14</v>
      </c>
      <c r="F454" t="inlineStr">
        <is>
          <t>Heers</t>
        </is>
      </c>
      <c r="G454" t="n">
        <v>1</v>
      </c>
      <c r="H454" t="n">
        <v>2</v>
      </c>
      <c r="I454" t="n">
        <v>61.81</v>
      </c>
      <c r="J454" t="inlineStr">
        <is>
          <t>Zeer vaak</t>
        </is>
      </c>
      <c r="K454" t="inlineStr">
        <is>
          <t>Bancontact</t>
        </is>
      </c>
      <c r="L454" t="n">
        <v>7.29</v>
      </c>
      <c r="M454" t="inlineStr">
        <is>
          <t>Geen dieet</t>
        </is>
      </c>
      <c r="N454">
        <f>LEFT(A454, FIND(",", A454)-1)</f>
        <v/>
      </c>
      <c r="O454">
        <f>MID(A454, FIND(",", A454)+2, LEN(A454))</f>
        <v/>
      </c>
      <c r="P454">
        <f>SWITCH(J454, "Zelden", 1, "Af en toe", 4, "Regelmatig", 8, "Vaak", 12)</f>
        <v/>
      </c>
      <c r="Q454">
        <f>IF(L454&gt;=7, "Tevreden", "Ontevreden")</f>
        <v/>
      </c>
    </row>
    <row r="455">
      <c r="A455" t="inlineStr">
        <is>
          <t>Evrard, Cezar</t>
        </is>
      </c>
      <c r="B455" t="n">
        <v>6753697211</v>
      </c>
      <c r="C455" t="inlineStr">
        <is>
          <t>18/11/1947</t>
        </is>
      </c>
      <c r="D455" t="inlineStr">
        <is>
          <t>Wildebrake</t>
        </is>
      </c>
      <c r="E455" t="n">
        <v>24</v>
      </c>
      <c r="F455" t="inlineStr">
        <is>
          <t>Lummen</t>
        </is>
      </c>
      <c r="G455" t="n">
        <v>2</v>
      </c>
      <c r="H455" t="n">
        <v>0</v>
      </c>
      <c r="I455" t="n">
        <v>42.17</v>
      </c>
      <c r="J455" t="inlineStr">
        <is>
          <t>Zelden</t>
        </is>
      </c>
      <c r="K455" t="inlineStr">
        <is>
          <t>Bancontact</t>
        </is>
      </c>
      <c r="L455" t="n">
        <v>7.24</v>
      </c>
      <c r="M455" t="inlineStr">
        <is>
          <t>Geen dieet</t>
        </is>
      </c>
      <c r="N455">
        <f>LEFT(A455, FIND(",", A455)-1)</f>
        <v/>
      </c>
      <c r="O455">
        <f>MID(A455, FIND(",", A455)+2, LEN(A455))</f>
        <v/>
      </c>
      <c r="P455">
        <f>SWITCH(J455, "Zelden", 1, "Af en toe", 4, "Regelmatig", 8, "Vaak", 12)</f>
        <v/>
      </c>
      <c r="Q455">
        <f>IF(L455&gt;=7, "Tevreden", "Ontevreden")</f>
        <v/>
      </c>
    </row>
    <row r="456">
      <c r="A456" t="inlineStr">
        <is>
          <t>Aerts, Wilfried</t>
        </is>
      </c>
      <c r="B456" t="n">
        <v>3484040952</v>
      </c>
      <c r="C456" t="inlineStr">
        <is>
          <t>03/03/1960</t>
        </is>
      </c>
      <c r="D456" t="inlineStr">
        <is>
          <t>Notenstraat</t>
        </is>
      </c>
      <c r="E456" t="n">
        <v>58</v>
      </c>
      <c r="F456" t="inlineStr">
        <is>
          <t>Herk-de-Stad</t>
        </is>
      </c>
      <c r="G456" t="n">
        <v>2</v>
      </c>
      <c r="H456" t="n">
        <v>0</v>
      </c>
      <c r="I456" t="n">
        <v>84.67</v>
      </c>
      <c r="J456" t="inlineStr">
        <is>
          <t>Vaak</t>
        </is>
      </c>
      <c r="K456" t="inlineStr">
        <is>
          <t>Bancontact</t>
        </is>
      </c>
      <c r="L456" t="n">
        <v>7.06</v>
      </c>
      <c r="M456" t="inlineStr">
        <is>
          <t>Geen dieet</t>
        </is>
      </c>
      <c r="N456">
        <f>LEFT(A456, FIND(",", A456)-1)</f>
        <v/>
      </c>
      <c r="O456">
        <f>MID(A456, FIND(",", A456)+2, LEN(A456))</f>
        <v/>
      </c>
      <c r="P456">
        <f>SWITCH(J456, "Zelden", 1, "Af en toe", 4, "Regelmatig", 8, "Vaak", 12)</f>
        <v/>
      </c>
      <c r="Q456">
        <f>IF(L456&gt;=7, "Tevreden", "Ontevreden")</f>
        <v/>
      </c>
    </row>
    <row r="457">
      <c r="A457" t="inlineStr">
        <is>
          <t>De schepper, Thierry</t>
        </is>
      </c>
      <c r="B457" t="n">
        <v>5127473420</v>
      </c>
      <c r="C457" t="inlineStr">
        <is>
          <t>16/07/1999</t>
        </is>
      </c>
      <c r="D457" t="inlineStr">
        <is>
          <t>Hoogstraat</t>
        </is>
      </c>
      <c r="E457" t="n">
        <v>69</v>
      </c>
      <c r="F457" t="inlineStr">
        <is>
          <t>Herten</t>
        </is>
      </c>
      <c r="G457" t="n">
        <v>2</v>
      </c>
      <c r="H457" t="n">
        <v>2</v>
      </c>
      <c r="I457" t="n">
        <v>134.11</v>
      </c>
      <c r="J457" t="inlineStr">
        <is>
          <t>Dagelijks</t>
        </is>
      </c>
      <c r="K457" t="inlineStr">
        <is>
          <t>Bancontact</t>
        </is>
      </c>
      <c r="L457" t="n">
        <v>7.12</v>
      </c>
      <c r="M457" t="inlineStr">
        <is>
          <t>Geen dieet</t>
        </is>
      </c>
      <c r="N457">
        <f>LEFT(A457, FIND(",", A457)-1)</f>
        <v/>
      </c>
      <c r="O457">
        <f>MID(A457, FIND(",", A457)+2, LEN(A457))</f>
        <v/>
      </c>
      <c r="P457">
        <f>SWITCH(J457, "Zelden", 1, "Af en toe", 4, "Regelmatig", 8, "Vaak", 12)</f>
        <v/>
      </c>
      <c r="Q457">
        <f>IF(L457&gt;=7, "Tevreden", "Ontevreden")</f>
        <v/>
      </c>
    </row>
    <row r="458">
      <c r="A458" t="inlineStr">
        <is>
          <t>Verschueren, Linda</t>
        </is>
      </c>
      <c r="B458" t="n">
        <v>6454188188</v>
      </c>
      <c r="C458" t="inlineStr">
        <is>
          <t>05/07/1994</t>
        </is>
      </c>
      <c r="D458" t="inlineStr">
        <is>
          <t>Mimosastraat</t>
        </is>
      </c>
      <c r="E458" t="n">
        <v>9</v>
      </c>
      <c r="F458" t="inlineStr">
        <is>
          <t>Herk-de-Stad</t>
        </is>
      </c>
      <c r="G458" t="n">
        <v>1</v>
      </c>
      <c r="H458" t="n">
        <v>0</v>
      </c>
      <c r="I458" t="n">
        <v>16.68</v>
      </c>
      <c r="J458" t="inlineStr">
        <is>
          <t>Zeer vaak</t>
        </is>
      </c>
      <c r="K458" t="inlineStr">
        <is>
          <t>Bancontact</t>
        </is>
      </c>
      <c r="L458" t="n">
        <v>7.78</v>
      </c>
      <c r="M458" t="inlineStr">
        <is>
          <t>Geen dieet</t>
        </is>
      </c>
      <c r="N458">
        <f>LEFT(A458, FIND(",", A458)-1)</f>
        <v/>
      </c>
      <c r="O458">
        <f>MID(A458, FIND(",", A458)+2, LEN(A458))</f>
        <v/>
      </c>
      <c r="P458">
        <f>SWITCH(J458, "Zelden", 1, "Af en toe", 4, "Regelmatig", 8, "Vaak", 12)</f>
        <v/>
      </c>
      <c r="Q458">
        <f>IF(L458&gt;=7, "Tevreden", "Ontevreden")</f>
        <v/>
      </c>
    </row>
    <row r="459">
      <c r="A459" t="inlineStr">
        <is>
          <t>Delvaux, Danaé</t>
        </is>
      </c>
      <c r="B459" t="n">
        <v>7038234443</v>
      </c>
      <c r="C459" t="inlineStr">
        <is>
          <t>28/10/2001</t>
        </is>
      </c>
      <c r="D459" t="inlineStr">
        <is>
          <t>Olifantenstraat</t>
        </is>
      </c>
      <c r="E459" t="n">
        <v>28</v>
      </c>
      <c r="F459" t="inlineStr">
        <is>
          <t>Maasmechelen</t>
        </is>
      </c>
      <c r="G459" t="n">
        <v>1</v>
      </c>
      <c r="H459" t="n">
        <v>0</v>
      </c>
      <c r="I459" t="n">
        <v>28.96</v>
      </c>
      <c r="J459" t="inlineStr">
        <is>
          <t>Vaak</t>
        </is>
      </c>
      <c r="K459" t="inlineStr">
        <is>
          <t>Bancontact</t>
        </is>
      </c>
      <c r="L459" t="n">
        <v>6.98</v>
      </c>
      <c r="M459" t="inlineStr">
        <is>
          <t>Geen dieet</t>
        </is>
      </c>
      <c r="N459">
        <f>LEFT(A459, FIND(",", A459)-1)</f>
        <v/>
      </c>
      <c r="O459">
        <f>MID(A459, FIND(",", A459)+2, LEN(A459))</f>
        <v/>
      </c>
      <c r="P459">
        <f>SWITCH(J459, "Zelden", 1, "Af en toe", 4, "Regelmatig", 8, "Vaak", 12)</f>
        <v/>
      </c>
      <c r="Q459">
        <f>IF(L459&gt;=7, "Tevreden", "Ontevreden")</f>
        <v/>
      </c>
    </row>
    <row r="460">
      <c r="A460" t="inlineStr">
        <is>
          <t>De moor, Bilal</t>
        </is>
      </c>
      <c r="B460" t="n">
        <v>3424096615</v>
      </c>
      <c r="C460" t="inlineStr">
        <is>
          <t>12/07/1999</t>
        </is>
      </c>
      <c r="D460" t="inlineStr">
        <is>
          <t>Snepkaai</t>
        </is>
      </c>
      <c r="E460" t="n">
        <v>3</v>
      </c>
      <c r="F460" t="inlineStr">
        <is>
          <t>Herten</t>
        </is>
      </c>
      <c r="G460" t="n">
        <v>2</v>
      </c>
      <c r="H460" t="n">
        <v>0</v>
      </c>
      <c r="I460" t="n">
        <v>79.98</v>
      </c>
      <c r="J460" t="inlineStr">
        <is>
          <t>Zeer vaak</t>
        </is>
      </c>
      <c r="K460" t="inlineStr">
        <is>
          <t>Payconiq</t>
        </is>
      </c>
      <c r="L460" t="n">
        <v>6.94</v>
      </c>
      <c r="M460" t="inlineStr">
        <is>
          <t>Geen dieet</t>
        </is>
      </c>
      <c r="N460">
        <f>LEFT(A460, FIND(",", A460)-1)</f>
        <v/>
      </c>
      <c r="O460">
        <f>MID(A460, FIND(",", A460)+2, LEN(A460))</f>
        <v/>
      </c>
      <c r="P460">
        <f>SWITCH(J460, "Zelden", 1, "Af en toe", 4, "Regelmatig", 8, "Vaak", 12)</f>
        <v/>
      </c>
      <c r="Q460">
        <f>IF(L460&gt;=7, "Tevreden", "Ontevreden")</f>
        <v/>
      </c>
    </row>
    <row r="461">
      <c r="A461" t="inlineStr">
        <is>
          <t>Poppe, Lyliane</t>
        </is>
      </c>
      <c r="B461" t="n">
        <v>3453791455</v>
      </c>
      <c r="C461" t="inlineStr">
        <is>
          <t>27/10/1963</t>
        </is>
      </c>
      <c r="D461" t="inlineStr">
        <is>
          <t>Ottogracht</t>
        </is>
      </c>
      <c r="E461" t="n">
        <v>26</v>
      </c>
      <c r="F461" t="inlineStr">
        <is>
          <t>Riemst</t>
        </is>
      </c>
      <c r="G461" t="n">
        <v>1</v>
      </c>
      <c r="H461" t="n">
        <v>0</v>
      </c>
      <c r="I461" t="n">
        <v>81.17</v>
      </c>
      <c r="J461" t="inlineStr">
        <is>
          <t>Af en toe</t>
        </is>
      </c>
      <c r="K461" t="inlineStr">
        <is>
          <t>Payconiq</t>
        </is>
      </c>
      <c r="L461" t="n">
        <v>7.16</v>
      </c>
      <c r="M461" t="inlineStr">
        <is>
          <t>Geen dieet</t>
        </is>
      </c>
      <c r="N461">
        <f>LEFT(A461, FIND(",", A461)-1)</f>
        <v/>
      </c>
      <c r="O461">
        <f>MID(A461, FIND(",", A461)+2, LEN(A461))</f>
        <v/>
      </c>
      <c r="P461">
        <f>SWITCH(J461, "Zelden", 1, "Af en toe", 4, "Regelmatig", 8, "Vaak", 12)</f>
        <v/>
      </c>
      <c r="Q461">
        <f>IF(L461&gt;=7, "Tevreden", "Ontevreden")</f>
        <v/>
      </c>
    </row>
    <row r="462">
      <c r="A462" t="inlineStr">
        <is>
          <t>Goffin, Abdelali</t>
        </is>
      </c>
      <c r="B462" t="n">
        <v>9892776463</v>
      </c>
      <c r="C462" t="inlineStr">
        <is>
          <t>15/03/1979</t>
        </is>
      </c>
      <c r="D462" t="inlineStr">
        <is>
          <t>Francisco Ferrerlaan</t>
        </is>
      </c>
      <c r="E462" t="n">
        <v>16</v>
      </c>
      <c r="F462" t="inlineStr">
        <is>
          <t>Lommel</t>
        </is>
      </c>
      <c r="G462" t="n">
        <v>2</v>
      </c>
      <c r="H462" t="n">
        <v>1</v>
      </c>
      <c r="I462" t="n">
        <v>113.45</v>
      </c>
      <c r="J462" t="inlineStr">
        <is>
          <t>Af en toe</t>
        </is>
      </c>
      <c r="K462" t="inlineStr">
        <is>
          <t>Payconiq</t>
        </is>
      </c>
      <c r="L462" t="n">
        <v>6.73</v>
      </c>
      <c r="M462" t="inlineStr">
        <is>
          <t>Geen dieet</t>
        </is>
      </c>
      <c r="N462">
        <f>LEFT(A462, FIND(",", A462)-1)</f>
        <v/>
      </c>
      <c r="O462">
        <f>MID(A462, FIND(",", A462)+2, LEN(A462))</f>
        <v/>
      </c>
      <c r="P462">
        <f>SWITCH(J462, "Zelden", 1, "Af en toe", 4, "Regelmatig", 8, "Vaak", 12)</f>
        <v/>
      </c>
      <c r="Q462">
        <f>IF(L462&gt;=7, "Tevreden", "Ontevreden")</f>
        <v/>
      </c>
    </row>
    <row r="463">
      <c r="A463" t="inlineStr">
        <is>
          <t>Masson, Abdelhak</t>
        </is>
      </c>
      <c r="B463" t="n">
        <v>4555142820</v>
      </c>
      <c r="C463" t="inlineStr">
        <is>
          <t>24/04/1957</t>
        </is>
      </c>
      <c r="D463" t="inlineStr">
        <is>
          <t>Kouter</t>
        </is>
      </c>
      <c r="E463" t="n">
        <v>3</v>
      </c>
      <c r="F463" t="inlineStr">
        <is>
          <t>Herten</t>
        </is>
      </c>
      <c r="G463" t="n">
        <v>1</v>
      </c>
      <c r="H463" t="n">
        <v>0</v>
      </c>
      <c r="I463" t="n">
        <v>41.29</v>
      </c>
      <c r="J463" t="inlineStr">
        <is>
          <t>Zeer vaak</t>
        </is>
      </c>
      <c r="K463" t="inlineStr">
        <is>
          <t>Cash</t>
        </is>
      </c>
      <c r="L463" t="n">
        <v>7.13</v>
      </c>
      <c r="M463" t="inlineStr">
        <is>
          <t>Geen dieet</t>
        </is>
      </c>
      <c r="N463">
        <f>LEFT(A463, FIND(",", A463)-1)</f>
        <v/>
      </c>
      <c r="O463">
        <f>MID(A463, FIND(",", A463)+2, LEN(A463))</f>
        <v/>
      </c>
      <c r="P463">
        <f>SWITCH(J463, "Zelden", 1, "Af en toe", 4, "Regelmatig", 8, "Vaak", 12)</f>
        <v/>
      </c>
      <c r="Q463">
        <f>IF(L463&gt;=7, "Tevreden", "Ontevreden")</f>
        <v/>
      </c>
    </row>
    <row r="464">
      <c r="A464" t="inlineStr">
        <is>
          <t>Dewaele, Mehdy</t>
        </is>
      </c>
      <c r="B464" t="n">
        <v>4587047647</v>
      </c>
      <c r="C464" t="inlineStr">
        <is>
          <t>25/11/1980</t>
        </is>
      </c>
      <c r="D464" t="inlineStr">
        <is>
          <t>Wilgetronkstraat</t>
        </is>
      </c>
      <c r="E464" t="n">
        <v>41</v>
      </c>
      <c r="F464" t="inlineStr">
        <is>
          <t>Genk</t>
        </is>
      </c>
      <c r="G464" t="n">
        <v>2</v>
      </c>
      <c r="H464" t="n">
        <v>5</v>
      </c>
      <c r="I464" t="n">
        <v>120.71</v>
      </c>
      <c r="J464" t="inlineStr">
        <is>
          <t>Vaak</t>
        </is>
      </c>
      <c r="K464" t="inlineStr">
        <is>
          <t>Payconiq</t>
        </is>
      </c>
      <c r="L464" t="n">
        <v>7.28</v>
      </c>
      <c r="M464" t="inlineStr">
        <is>
          <t>Geen dieet</t>
        </is>
      </c>
      <c r="N464">
        <f>LEFT(A464, FIND(",", A464)-1)</f>
        <v/>
      </c>
      <c r="O464">
        <f>MID(A464, FIND(",", A464)+2, LEN(A464))</f>
        <v/>
      </c>
      <c r="P464">
        <f>SWITCH(J464, "Zelden", 1, "Af en toe", 4, "Regelmatig", 8, "Vaak", 12)</f>
        <v/>
      </c>
      <c r="Q464">
        <f>IF(L464&gt;=7, "Tevreden", "Ontevreden")</f>
        <v/>
      </c>
    </row>
    <row r="465">
      <c r="A465" t="inlineStr">
        <is>
          <t>Collard, Leontien</t>
        </is>
      </c>
      <c r="B465" t="n">
        <v>3529400873</v>
      </c>
      <c r="C465" t="inlineStr">
        <is>
          <t>10/12/1977</t>
        </is>
      </c>
      <c r="D465" t="inlineStr">
        <is>
          <t>Reep</t>
        </is>
      </c>
      <c r="E465" t="n">
        <v>1</v>
      </c>
      <c r="F465" t="inlineStr">
        <is>
          <t>Wellen</t>
        </is>
      </c>
      <c r="G465" t="n">
        <v>1</v>
      </c>
      <c r="H465" t="n">
        <v>0</v>
      </c>
      <c r="I465" t="n">
        <v>40.28</v>
      </c>
      <c r="J465" t="inlineStr">
        <is>
          <t>Af en toe</t>
        </is>
      </c>
      <c r="K465" t="inlineStr">
        <is>
          <t>Payconiq</t>
        </is>
      </c>
      <c r="L465" t="n">
        <v>7.34</v>
      </c>
      <c r="M465" t="inlineStr">
        <is>
          <t>Geen dieet</t>
        </is>
      </c>
      <c r="N465">
        <f>LEFT(A465, FIND(",", A465)-1)</f>
        <v/>
      </c>
      <c r="O465">
        <f>MID(A465, FIND(",", A465)+2, LEN(A465))</f>
        <v/>
      </c>
      <c r="P465">
        <f>SWITCH(J465, "Zelden", 1, "Af en toe", 4, "Regelmatig", 8, "Vaak", 12)</f>
        <v/>
      </c>
      <c r="Q465">
        <f>IF(L465&gt;=7, "Tevreden", "Ontevreden")</f>
        <v/>
      </c>
    </row>
    <row r="466">
      <c r="A466" t="inlineStr">
        <is>
          <t>Marchal, Marie</t>
        </is>
      </c>
      <c r="B466" t="n">
        <v>6499200452</v>
      </c>
      <c r="C466" t="inlineStr">
        <is>
          <t>16/07/1993</t>
        </is>
      </c>
      <c r="D466" t="inlineStr">
        <is>
          <t>Molenaarsstraat</t>
        </is>
      </c>
      <c r="E466" t="n">
        <v>85</v>
      </c>
      <c r="F466" t="inlineStr">
        <is>
          <t>Zonhoven</t>
        </is>
      </c>
      <c r="G466" t="n">
        <v>2</v>
      </c>
      <c r="H466" t="n">
        <v>4</v>
      </c>
      <c r="I466" t="n">
        <v>196.82</v>
      </c>
      <c r="J466" t="inlineStr">
        <is>
          <t>Af en toe</t>
        </is>
      </c>
      <c r="K466" t="inlineStr">
        <is>
          <t>Creditcard</t>
        </is>
      </c>
      <c r="L466" t="n">
        <v>7.05</v>
      </c>
      <c r="M466" t="inlineStr">
        <is>
          <t>Geen dieet</t>
        </is>
      </c>
      <c r="N466">
        <f>LEFT(A466, FIND(",", A466)-1)</f>
        <v/>
      </c>
      <c r="O466">
        <f>MID(A466, FIND(",", A466)+2, LEN(A466))</f>
        <v/>
      </c>
      <c r="P466">
        <f>SWITCH(J466, "Zelden", 1, "Af en toe", 4, "Regelmatig", 8, "Vaak", 12)</f>
        <v/>
      </c>
      <c r="Q466">
        <f>IF(L466&gt;=7, "Tevreden", "Ontevreden")</f>
        <v/>
      </c>
    </row>
    <row r="467">
      <c r="A467" t="inlineStr">
        <is>
          <t>Laurent, Romain</t>
        </is>
      </c>
      <c r="B467" t="n">
        <v>6521364854</v>
      </c>
      <c r="C467" t="inlineStr">
        <is>
          <t>14/10/1996</t>
        </is>
      </c>
      <c r="D467" t="inlineStr">
        <is>
          <t>Bollewerkstraat</t>
        </is>
      </c>
      <c r="E467" t="n">
        <v>98</v>
      </c>
      <c r="F467" t="inlineStr">
        <is>
          <t>Halen</t>
        </is>
      </c>
      <c r="G467" t="n">
        <v>4</v>
      </c>
      <c r="H467" t="n">
        <v>0</v>
      </c>
      <c r="I467" t="n">
        <v>146.75</v>
      </c>
      <c r="J467" t="inlineStr">
        <is>
          <t>Zeer vaak</t>
        </is>
      </c>
      <c r="K467" t="inlineStr">
        <is>
          <t>Cash</t>
        </is>
      </c>
      <c r="L467" t="n">
        <v>7.31</v>
      </c>
      <c r="M467" t="inlineStr">
        <is>
          <t>Geen dieet</t>
        </is>
      </c>
      <c r="N467">
        <f>LEFT(A467, FIND(",", A467)-1)</f>
        <v/>
      </c>
      <c r="O467">
        <f>MID(A467, FIND(",", A467)+2, LEN(A467))</f>
        <v/>
      </c>
      <c r="P467">
        <f>SWITCH(J467, "Zelden", 1, "Af en toe", 4, "Regelmatig", 8, "Vaak", 12)</f>
        <v/>
      </c>
      <c r="Q467">
        <f>IF(L467&gt;=7, "Tevreden", "Ontevreden")</f>
        <v/>
      </c>
    </row>
    <row r="468">
      <c r="A468" t="inlineStr">
        <is>
          <t>Claes, Elif</t>
        </is>
      </c>
      <c r="B468" t="n">
        <v>8482312336</v>
      </c>
      <c r="C468" t="inlineStr">
        <is>
          <t>12/06/1987</t>
        </is>
      </c>
      <c r="D468" t="inlineStr">
        <is>
          <t>Bijenstraat</t>
        </is>
      </c>
      <c r="E468" t="n">
        <v>41</v>
      </c>
      <c r="F468" t="inlineStr">
        <is>
          <t>Maasmechelen</t>
        </is>
      </c>
      <c r="G468" t="n">
        <v>1</v>
      </c>
      <c r="H468" t="n">
        <v>0</v>
      </c>
      <c r="I468" t="n">
        <v>84.08</v>
      </c>
      <c r="J468" t="inlineStr">
        <is>
          <t>Zeer vaak</t>
        </is>
      </c>
      <c r="K468" t="inlineStr">
        <is>
          <t>Cash</t>
        </is>
      </c>
      <c r="L468" t="n">
        <v>7.18</v>
      </c>
      <c r="M468" t="inlineStr">
        <is>
          <t>Geen dieet</t>
        </is>
      </c>
      <c r="N468">
        <f>LEFT(A468, FIND(",", A468)-1)</f>
        <v/>
      </c>
      <c r="O468">
        <f>MID(A468, FIND(",", A468)+2, LEN(A468))</f>
        <v/>
      </c>
      <c r="P468">
        <f>SWITCH(J468, "Zelden", 1, "Af en toe", 4, "Regelmatig", 8, "Vaak", 12)</f>
        <v/>
      </c>
      <c r="Q468">
        <f>IF(L468&gt;=7, "Tevreden", "Ontevreden")</f>
        <v/>
      </c>
    </row>
    <row r="469">
      <c r="A469" t="inlineStr">
        <is>
          <t>Thys, Francis</t>
        </is>
      </c>
      <c r="B469" t="n">
        <v>6366684067</v>
      </c>
      <c r="C469" t="inlineStr">
        <is>
          <t>03/10/1985</t>
        </is>
      </c>
      <c r="D469" t="inlineStr">
        <is>
          <t>Tennisbaanstraat</t>
        </is>
      </c>
      <c r="E469" t="n">
        <v>71</v>
      </c>
      <c r="F469" t="inlineStr">
        <is>
          <t>Borgloon</t>
        </is>
      </c>
      <c r="G469" t="n">
        <v>2</v>
      </c>
      <c r="H469" t="n">
        <v>0</v>
      </c>
      <c r="I469" t="n">
        <v>92.11</v>
      </c>
      <c r="J469" t="inlineStr">
        <is>
          <t>Af en toe</t>
        </is>
      </c>
      <c r="K469" t="inlineStr">
        <is>
          <t>Bancontact</t>
        </is>
      </c>
      <c r="L469" t="n">
        <v>7.1</v>
      </c>
      <c r="M469" t="inlineStr">
        <is>
          <t>Geen dieet</t>
        </is>
      </c>
      <c r="N469">
        <f>LEFT(A469, FIND(",", A469)-1)</f>
        <v/>
      </c>
      <c r="O469">
        <f>MID(A469, FIND(",", A469)+2, LEN(A469))</f>
        <v/>
      </c>
      <c r="P469">
        <f>SWITCH(J469, "Zelden", 1, "Af en toe", 4, "Regelmatig", 8, "Vaak", 12)</f>
        <v/>
      </c>
      <c r="Q469">
        <f>IF(L469&gt;=7, "Tevreden", "Ontevreden")</f>
        <v/>
      </c>
    </row>
    <row r="470">
      <c r="A470" t="inlineStr">
        <is>
          <t>Verhaeghe, Rudy</t>
        </is>
      </c>
      <c r="B470" t="n">
        <v>1025065372</v>
      </c>
      <c r="C470" t="inlineStr">
        <is>
          <t>18/11/1951</t>
        </is>
      </c>
      <c r="D470" t="inlineStr">
        <is>
          <t>Meerhoutstraat</t>
        </is>
      </c>
      <c r="E470" t="n">
        <v>55</v>
      </c>
      <c r="F470" t="inlineStr">
        <is>
          <t>Maaseik</t>
        </is>
      </c>
      <c r="G470" t="n">
        <v>1</v>
      </c>
      <c r="H470" t="n">
        <v>1</v>
      </c>
      <c r="I470" t="n">
        <v>100.53</v>
      </c>
      <c r="J470" t="inlineStr">
        <is>
          <t>Vaak</t>
        </is>
      </c>
      <c r="K470" t="inlineStr">
        <is>
          <t>Bancontact</t>
        </is>
      </c>
      <c r="L470" t="n">
        <v>8.23</v>
      </c>
      <c r="M470" t="inlineStr">
        <is>
          <t>Vegetarisch</t>
        </is>
      </c>
      <c r="N470">
        <f>LEFT(A470, FIND(",", A470)-1)</f>
        <v/>
      </c>
      <c r="O470">
        <f>MID(A470, FIND(",", A470)+2, LEN(A470))</f>
        <v/>
      </c>
      <c r="P470">
        <f>SWITCH(J470, "Zelden", 1, "Af en toe", 4, "Regelmatig", 8, "Vaak", 12)</f>
        <v/>
      </c>
      <c r="Q470">
        <f>IF(L470&gt;=7, "Tevreden", "Ontevreden")</f>
        <v/>
      </c>
    </row>
    <row r="471">
      <c r="A471" t="inlineStr">
        <is>
          <t>Bernard, Cathérine</t>
        </is>
      </c>
      <c r="B471" t="n">
        <v>1877269813</v>
      </c>
      <c r="C471" t="inlineStr">
        <is>
          <t>12/04/1951</t>
        </is>
      </c>
      <c r="D471" t="inlineStr">
        <is>
          <t>Meulesteedsesteenweg</t>
        </is>
      </c>
      <c r="E471" t="n">
        <v>45</v>
      </c>
      <c r="F471" t="inlineStr">
        <is>
          <t>Hasselt</t>
        </is>
      </c>
      <c r="G471" t="n">
        <v>2</v>
      </c>
      <c r="H471" t="n">
        <v>0</v>
      </c>
      <c r="I471" t="n">
        <v>37.1</v>
      </c>
      <c r="J471" t="inlineStr">
        <is>
          <t>Dagelijks</t>
        </is>
      </c>
      <c r="K471" t="inlineStr">
        <is>
          <t>Bancontact</t>
        </is>
      </c>
      <c r="L471" t="n">
        <v>6.93</v>
      </c>
      <c r="M471" t="inlineStr">
        <is>
          <t>Geen dieet</t>
        </is>
      </c>
      <c r="N471">
        <f>LEFT(A471, FIND(",", A471)-1)</f>
        <v/>
      </c>
      <c r="O471">
        <f>MID(A471, FIND(",", A471)+2, LEN(A471))</f>
        <v/>
      </c>
      <c r="P471">
        <f>SWITCH(J471, "Zelden", 1, "Af en toe", 4, "Regelmatig", 8, "Vaak", 12)</f>
        <v/>
      </c>
      <c r="Q471">
        <f>IF(L471&gt;=7, "Tevreden", "Ontevreden")</f>
        <v/>
      </c>
    </row>
    <row r="472">
      <c r="A472" t="inlineStr">
        <is>
          <t>Bekaert, Célia</t>
        </is>
      </c>
      <c r="B472" t="n">
        <v>6799732191</v>
      </c>
      <c r="C472" t="inlineStr">
        <is>
          <t>15/08/2005</t>
        </is>
      </c>
      <c r="D472" t="inlineStr">
        <is>
          <t>Beverhoutplein</t>
        </is>
      </c>
      <c r="E472" t="n">
        <v>90</v>
      </c>
      <c r="F472" t="inlineStr">
        <is>
          <t>Neerpelt</t>
        </is>
      </c>
      <c r="G472" t="n">
        <v>4</v>
      </c>
      <c r="H472" t="n">
        <v>2</v>
      </c>
      <c r="I472" t="n">
        <v>136.95</v>
      </c>
      <c r="J472" t="inlineStr">
        <is>
          <t>Zeer vaak</t>
        </is>
      </c>
      <c r="K472" t="inlineStr">
        <is>
          <t>Bancontact</t>
        </is>
      </c>
      <c r="L472" t="n">
        <v>7.1</v>
      </c>
      <c r="M472" t="inlineStr">
        <is>
          <t>Geen dieet</t>
        </is>
      </c>
      <c r="N472">
        <f>LEFT(A472, FIND(",", A472)-1)</f>
        <v/>
      </c>
      <c r="O472">
        <f>MID(A472, FIND(",", A472)+2, LEN(A472))</f>
        <v/>
      </c>
      <c r="P472">
        <f>SWITCH(J472, "Zelden", 1, "Af en toe", 4, "Regelmatig", 8, "Vaak", 12)</f>
        <v/>
      </c>
      <c r="Q472">
        <f>IF(L472&gt;=7, "Tevreden", "Ontevreden")</f>
        <v/>
      </c>
    </row>
    <row r="473">
      <c r="A473" t="inlineStr">
        <is>
          <t>Hendrickx, Solayman</t>
        </is>
      </c>
      <c r="B473" t="n">
        <v>5352861959</v>
      </c>
      <c r="C473" t="inlineStr">
        <is>
          <t>12/04/1946</t>
        </is>
      </c>
      <c r="D473" t="inlineStr">
        <is>
          <t>Houtjen</t>
        </is>
      </c>
      <c r="E473" t="n">
        <v>9</v>
      </c>
      <c r="F473" t="inlineStr">
        <is>
          <t>Hasselt</t>
        </is>
      </c>
      <c r="G473" t="n">
        <v>3</v>
      </c>
      <c r="H473" t="n">
        <v>0</v>
      </c>
      <c r="I473" t="n">
        <v>144.65</v>
      </c>
      <c r="J473" t="inlineStr">
        <is>
          <t>Zeer vaak</t>
        </is>
      </c>
      <c r="K473" t="inlineStr">
        <is>
          <t>Payconiq</t>
        </is>
      </c>
      <c r="L473" t="n">
        <v>7.42</v>
      </c>
      <c r="M473" t="inlineStr">
        <is>
          <t>Geen dieet</t>
        </is>
      </c>
      <c r="N473">
        <f>LEFT(A473, FIND(",", A473)-1)</f>
        <v/>
      </c>
      <c r="O473">
        <f>MID(A473, FIND(",", A473)+2, LEN(A473))</f>
        <v/>
      </c>
      <c r="P473">
        <f>SWITCH(J473, "Zelden", 1, "Af en toe", 4, "Regelmatig", 8, "Vaak", 12)</f>
        <v/>
      </c>
      <c r="Q473">
        <f>IF(L473&gt;=7, "Tevreden", "Ontevreden")</f>
        <v/>
      </c>
    </row>
    <row r="474">
      <c r="A474" t="inlineStr">
        <is>
          <t>Segers, Arnaldo</t>
        </is>
      </c>
      <c r="B474" t="n">
        <v>9813947743</v>
      </c>
      <c r="C474" t="inlineStr">
        <is>
          <t>27/11/2004</t>
        </is>
      </c>
      <c r="D474" t="inlineStr">
        <is>
          <t>Gasmeterlaan</t>
        </is>
      </c>
      <c r="E474" t="n">
        <v>10</v>
      </c>
      <c r="F474" t="inlineStr">
        <is>
          <t>Tongeren</t>
        </is>
      </c>
      <c r="G474" t="n">
        <v>1</v>
      </c>
      <c r="H474" t="n">
        <v>0</v>
      </c>
      <c r="I474" t="n">
        <v>91.95999999999999</v>
      </c>
      <c r="J474" t="inlineStr">
        <is>
          <t>Dagelijks</t>
        </is>
      </c>
      <c r="K474" t="inlineStr">
        <is>
          <t>Cash</t>
        </is>
      </c>
      <c r="L474" t="n">
        <v>7.1</v>
      </c>
      <c r="M474" t="inlineStr">
        <is>
          <t>Geen dieet</t>
        </is>
      </c>
      <c r="N474">
        <f>LEFT(A474, FIND(",", A474)-1)</f>
        <v/>
      </c>
      <c r="O474">
        <f>MID(A474, FIND(",", A474)+2, LEN(A474))</f>
        <v/>
      </c>
      <c r="P474">
        <f>SWITCH(J474, "Zelden", 1, "Af en toe", 4, "Regelmatig", 8, "Vaak", 12)</f>
        <v/>
      </c>
      <c r="Q474">
        <f>IF(L474&gt;=7, "Tevreden", "Ontevreden")</f>
        <v/>
      </c>
    </row>
    <row r="475">
      <c r="A475" t="inlineStr">
        <is>
          <t>De witte, Aurélien</t>
        </is>
      </c>
      <c r="B475" t="n">
        <v>6872782549</v>
      </c>
      <c r="C475" t="inlineStr">
        <is>
          <t>13/05/1994</t>
        </is>
      </c>
      <c r="D475" t="inlineStr">
        <is>
          <t>Bredestraat</t>
        </is>
      </c>
      <c r="E475" t="n">
        <v>26</v>
      </c>
      <c r="F475" t="inlineStr">
        <is>
          <t>Lummen</t>
        </is>
      </c>
      <c r="G475" t="n">
        <v>2</v>
      </c>
      <c r="H475" t="n">
        <v>0</v>
      </c>
      <c r="I475" t="n">
        <v>117.79</v>
      </c>
      <c r="J475" t="inlineStr">
        <is>
          <t>Vaak</t>
        </is>
      </c>
      <c r="K475" t="inlineStr">
        <is>
          <t>Payconiq</t>
        </is>
      </c>
      <c r="L475" t="n">
        <v>7.08</v>
      </c>
      <c r="M475" t="inlineStr">
        <is>
          <t>Geen dieet</t>
        </is>
      </c>
      <c r="N475">
        <f>LEFT(A475, FIND(",", A475)-1)</f>
        <v/>
      </c>
      <c r="O475">
        <f>MID(A475, FIND(",", A475)+2, LEN(A475))</f>
        <v/>
      </c>
      <c r="P475">
        <f>SWITCH(J475, "Zelden", 1, "Af en toe", 4, "Regelmatig", 8, "Vaak", 12)</f>
        <v/>
      </c>
      <c r="Q475">
        <f>IF(L475&gt;=7, "Tevreden", "Ontevreden")</f>
        <v/>
      </c>
    </row>
    <row r="476">
      <c r="A476" t="inlineStr">
        <is>
          <t>Francois, Conny</t>
        </is>
      </c>
      <c r="B476" t="n">
        <v>7927827827</v>
      </c>
      <c r="C476" t="inlineStr">
        <is>
          <t>21/04/1983</t>
        </is>
      </c>
      <c r="D476" t="inlineStr">
        <is>
          <t>Poolse - Winglaan</t>
        </is>
      </c>
      <c r="E476" t="n">
        <v>31</v>
      </c>
      <c r="F476" t="inlineStr">
        <is>
          <t>Overpelt</t>
        </is>
      </c>
      <c r="G476" t="n">
        <v>2</v>
      </c>
      <c r="H476" t="n">
        <v>0</v>
      </c>
      <c r="I476" t="n">
        <v>35.55</v>
      </c>
      <c r="J476" t="inlineStr">
        <is>
          <t>Zelden</t>
        </is>
      </c>
      <c r="K476" t="inlineStr">
        <is>
          <t>Payconiq</t>
        </is>
      </c>
      <c r="L476" t="n">
        <v>7.26</v>
      </c>
      <c r="M476" t="inlineStr">
        <is>
          <t>Geen dieet</t>
        </is>
      </c>
      <c r="N476">
        <f>LEFT(A476, FIND(",", A476)-1)</f>
        <v/>
      </c>
      <c r="O476">
        <f>MID(A476, FIND(",", A476)+2, LEN(A476))</f>
        <v/>
      </c>
      <c r="P476">
        <f>SWITCH(J476, "Zelden", 1, "Af en toe", 4, "Regelmatig", 8, "Vaak", 12)</f>
        <v/>
      </c>
      <c r="Q476">
        <f>IF(L476&gt;=7, "Tevreden", "Ontevreden")</f>
        <v/>
      </c>
    </row>
    <row r="477">
      <c r="A477" t="inlineStr">
        <is>
          <t>De cock, Edward</t>
        </is>
      </c>
      <c r="B477" t="n">
        <v>2343588834</v>
      </c>
      <c r="C477" t="inlineStr">
        <is>
          <t>11/06/1951</t>
        </is>
      </c>
      <c r="D477" t="inlineStr">
        <is>
          <t>Jean Jaurèslaan</t>
        </is>
      </c>
      <c r="E477" t="n">
        <v>70</v>
      </c>
      <c r="F477" t="inlineStr">
        <is>
          <t>Lanaken</t>
        </is>
      </c>
      <c r="G477" t="n">
        <v>2</v>
      </c>
      <c r="H477" t="n">
        <v>0</v>
      </c>
      <c r="I477" t="n">
        <v>80.03</v>
      </c>
      <c r="J477" t="inlineStr">
        <is>
          <t>Vaak</t>
        </is>
      </c>
      <c r="K477" t="inlineStr">
        <is>
          <t>Bancontact</t>
        </is>
      </c>
      <c r="L477" t="n">
        <v>6.51</v>
      </c>
      <c r="M477" t="inlineStr">
        <is>
          <t>Veganistisch</t>
        </is>
      </c>
      <c r="N477">
        <f>LEFT(A477, FIND(",", A477)-1)</f>
        <v/>
      </c>
      <c r="O477">
        <f>MID(A477, FIND(",", A477)+2, LEN(A477))</f>
        <v/>
      </c>
      <c r="P477">
        <f>SWITCH(J477, "Zelden", 1, "Af en toe", 4, "Regelmatig", 8, "Vaak", 12)</f>
        <v/>
      </c>
      <c r="Q477">
        <f>IF(L477&gt;=7, "Tevreden", "Ontevreden")</f>
        <v/>
      </c>
    </row>
    <row r="478">
      <c r="A478" t="inlineStr">
        <is>
          <t>Vandendriessche, Lisanne</t>
        </is>
      </c>
      <c r="B478" t="n">
        <v>7675480255</v>
      </c>
      <c r="C478" t="inlineStr">
        <is>
          <t>19/09/1996</t>
        </is>
      </c>
      <c r="D478" t="inlineStr">
        <is>
          <t>Sluizeken</t>
        </is>
      </c>
      <c r="E478" t="n">
        <v>70</v>
      </c>
      <c r="F478" t="inlineStr">
        <is>
          <t>Bilzen</t>
        </is>
      </c>
      <c r="G478" t="n">
        <v>1</v>
      </c>
      <c r="H478" t="n">
        <v>0</v>
      </c>
      <c r="I478" t="n">
        <v>63.87</v>
      </c>
      <c r="J478" t="inlineStr">
        <is>
          <t>Zeer vaak</t>
        </is>
      </c>
      <c r="K478" t="inlineStr">
        <is>
          <t>Bancontact</t>
        </is>
      </c>
      <c r="L478" t="n">
        <v>7.43</v>
      </c>
      <c r="M478" t="inlineStr">
        <is>
          <t>Geen dieet</t>
        </is>
      </c>
      <c r="N478">
        <f>LEFT(A478, FIND(",", A478)-1)</f>
        <v/>
      </c>
      <c r="O478">
        <f>MID(A478, FIND(",", A478)+2, LEN(A478))</f>
        <v/>
      </c>
      <c r="P478">
        <f>SWITCH(J478, "Zelden", 1, "Af en toe", 4, "Regelmatig", 8, "Vaak", 12)</f>
        <v/>
      </c>
      <c r="Q478">
        <f>IF(L478&gt;=7, "Tevreden", "Ontevreden")</f>
        <v/>
      </c>
    </row>
    <row r="479">
      <c r="A479" t="inlineStr">
        <is>
          <t>Mortier, Romain</t>
        </is>
      </c>
      <c r="B479" t="n">
        <v>3466431477</v>
      </c>
      <c r="C479" t="inlineStr">
        <is>
          <t>14/05/1970</t>
        </is>
      </c>
      <c r="D479" t="inlineStr">
        <is>
          <t>Veldstraat</t>
        </is>
      </c>
      <c r="E479" t="n">
        <v>25</v>
      </c>
      <c r="F479" t="inlineStr">
        <is>
          <t>Heusden-Zolder</t>
        </is>
      </c>
      <c r="G479" t="n">
        <v>2</v>
      </c>
      <c r="H479" t="n">
        <v>1</v>
      </c>
      <c r="I479" t="n">
        <v>86.03</v>
      </c>
      <c r="J479" t="inlineStr">
        <is>
          <t>Af en toe</t>
        </is>
      </c>
      <c r="K479" t="inlineStr">
        <is>
          <t>Payconiq</t>
        </is>
      </c>
      <c r="L479" t="n">
        <v>8.5</v>
      </c>
      <c r="M479" t="inlineStr">
        <is>
          <t>Vegetarisch</t>
        </is>
      </c>
      <c r="N479">
        <f>LEFT(A479, FIND(",", A479)-1)</f>
        <v/>
      </c>
      <c r="O479">
        <f>MID(A479, FIND(",", A479)+2, LEN(A479))</f>
        <v/>
      </c>
      <c r="P479">
        <f>SWITCH(J479, "Zelden", 1, "Af en toe", 4, "Regelmatig", 8, "Vaak", 12)</f>
        <v/>
      </c>
      <c r="Q479">
        <f>IF(L479&gt;=7, "Tevreden", "Ontevreden")</f>
        <v/>
      </c>
    </row>
    <row r="480">
      <c r="A480" t="inlineStr">
        <is>
          <t>Devos, Jelle</t>
        </is>
      </c>
      <c r="B480" t="n">
        <v>3499712596</v>
      </c>
      <c r="C480" t="inlineStr">
        <is>
          <t>06/09/1952</t>
        </is>
      </c>
      <c r="D480" t="inlineStr">
        <is>
          <t>Oudebareelstraat</t>
        </is>
      </c>
      <c r="E480" t="n">
        <v>23</v>
      </c>
      <c r="F480" t="inlineStr">
        <is>
          <t>Bilzen</t>
        </is>
      </c>
      <c r="G480" t="n">
        <v>1</v>
      </c>
      <c r="H480" t="n">
        <v>2</v>
      </c>
      <c r="I480" t="n">
        <v>137.25</v>
      </c>
      <c r="J480" t="inlineStr">
        <is>
          <t>Vaak</t>
        </is>
      </c>
      <c r="K480" t="inlineStr">
        <is>
          <t>Cash</t>
        </is>
      </c>
      <c r="L480" t="n">
        <v>6.86</v>
      </c>
      <c r="M480" t="inlineStr">
        <is>
          <t>Geen dieet</t>
        </is>
      </c>
      <c r="N480">
        <f>LEFT(A480, FIND(",", A480)-1)</f>
        <v/>
      </c>
      <c r="O480">
        <f>MID(A480, FIND(",", A480)+2, LEN(A480))</f>
        <v/>
      </c>
      <c r="P480">
        <f>SWITCH(J480, "Zelden", 1, "Af en toe", 4, "Regelmatig", 8, "Vaak", 12)</f>
        <v/>
      </c>
      <c r="Q480">
        <f>IF(L480&gt;=7, "Tevreden", "Ontevreden")</f>
        <v/>
      </c>
    </row>
    <row r="481">
      <c r="A481" t="inlineStr">
        <is>
          <t>Leclercq, Carine</t>
        </is>
      </c>
      <c r="B481" t="n">
        <v>8277147917</v>
      </c>
      <c r="C481" t="inlineStr">
        <is>
          <t>29/04/1966</t>
        </is>
      </c>
      <c r="D481" t="inlineStr">
        <is>
          <t>Verlorensteenstraat</t>
        </is>
      </c>
      <c r="E481" t="n">
        <v>27</v>
      </c>
      <c r="F481" t="inlineStr">
        <is>
          <t>Hasselt</t>
        </is>
      </c>
      <c r="G481" t="n">
        <v>2</v>
      </c>
      <c r="H481" t="n">
        <v>0</v>
      </c>
      <c r="I481" t="n">
        <v>63.87</v>
      </c>
      <c r="J481" t="inlineStr">
        <is>
          <t>Dagelijks</t>
        </is>
      </c>
      <c r="K481" t="inlineStr">
        <is>
          <t>Bancontact</t>
        </is>
      </c>
      <c r="L481" t="n">
        <v>7.22</v>
      </c>
      <c r="M481" t="inlineStr">
        <is>
          <t>Geen dieet</t>
        </is>
      </c>
      <c r="N481">
        <f>LEFT(A481, FIND(",", A481)-1)</f>
        <v/>
      </c>
      <c r="O481">
        <f>MID(A481, FIND(",", A481)+2, LEN(A481))</f>
        <v/>
      </c>
      <c r="P481">
        <f>SWITCH(J481, "Zelden", 1, "Af en toe", 4, "Regelmatig", 8, "Vaak", 12)</f>
        <v/>
      </c>
      <c r="Q481">
        <f>IF(L481&gt;=7, "Tevreden", "Ontevreden")</f>
        <v/>
      </c>
    </row>
    <row r="482">
      <c r="A482" t="inlineStr">
        <is>
          <t>Michiels, Jenny</t>
        </is>
      </c>
      <c r="B482" t="n">
        <v>8604361725</v>
      </c>
      <c r="C482" t="inlineStr">
        <is>
          <t>11/04/1972</t>
        </is>
      </c>
      <c r="D482" t="inlineStr">
        <is>
          <t>Chr. Van Der Heydenlaan</t>
        </is>
      </c>
      <c r="E482" t="n">
        <v>25</v>
      </c>
      <c r="F482" t="inlineStr">
        <is>
          <t>Hasselt</t>
        </is>
      </c>
      <c r="G482" t="n">
        <v>1</v>
      </c>
      <c r="H482" t="n">
        <v>0</v>
      </c>
      <c r="I482" t="n">
        <v>59.68</v>
      </c>
      <c r="J482" t="inlineStr">
        <is>
          <t>Zeer vaak</t>
        </is>
      </c>
      <c r="K482" t="inlineStr">
        <is>
          <t>Payconiq</t>
        </is>
      </c>
      <c r="L482" t="n">
        <v>7</v>
      </c>
      <c r="M482" t="inlineStr">
        <is>
          <t>Geen dieet</t>
        </is>
      </c>
      <c r="N482">
        <f>LEFT(A482, FIND(",", A482)-1)</f>
        <v/>
      </c>
      <c r="O482">
        <f>MID(A482, FIND(",", A482)+2, LEN(A482))</f>
        <v/>
      </c>
      <c r="P482">
        <f>SWITCH(J482, "Zelden", 1, "Af en toe", 4, "Regelmatig", 8, "Vaak", 12)</f>
        <v/>
      </c>
      <c r="Q482">
        <f>IF(L482&gt;=7, "Tevreden", "Ontevreden")</f>
        <v/>
      </c>
    </row>
    <row r="483">
      <c r="A483" t="inlineStr">
        <is>
          <t>Van hoof, Maurice</t>
        </is>
      </c>
      <c r="B483" t="n">
        <v>8386206919</v>
      </c>
      <c r="C483" t="inlineStr">
        <is>
          <t>02/04/1960</t>
        </is>
      </c>
      <c r="D483" t="inlineStr">
        <is>
          <t>Land Van Waaslaan</t>
        </is>
      </c>
      <c r="E483" t="n">
        <v>82</v>
      </c>
      <c r="F483" t="inlineStr">
        <is>
          <t>Maasmechelen</t>
        </is>
      </c>
      <c r="G483" t="n">
        <v>1</v>
      </c>
      <c r="H483" t="n">
        <v>0</v>
      </c>
      <c r="I483" t="n">
        <v>92.56</v>
      </c>
      <c r="J483" t="inlineStr">
        <is>
          <t>Zelden</t>
        </is>
      </c>
      <c r="K483" t="inlineStr">
        <is>
          <t>Bancontact</t>
        </is>
      </c>
      <c r="L483" t="n">
        <v>6.6</v>
      </c>
      <c r="M483" t="inlineStr">
        <is>
          <t>Geen dieet</t>
        </is>
      </c>
      <c r="N483">
        <f>LEFT(A483, FIND(",", A483)-1)</f>
        <v/>
      </c>
      <c r="O483">
        <f>MID(A483, FIND(",", A483)+2, LEN(A483))</f>
        <v/>
      </c>
      <c r="P483">
        <f>SWITCH(J483, "Zelden", 1, "Af en toe", 4, "Regelmatig", 8, "Vaak", 12)</f>
        <v/>
      </c>
      <c r="Q483">
        <f>IF(L483&gt;=7, "Tevreden", "Ontevreden")</f>
        <v/>
      </c>
    </row>
    <row r="484">
      <c r="A484" t="inlineStr">
        <is>
          <t>Denis, Alessandro</t>
        </is>
      </c>
      <c r="B484" t="n">
        <v>7763495936</v>
      </c>
      <c r="C484" t="inlineStr">
        <is>
          <t>06/05/1970</t>
        </is>
      </c>
      <c r="D484" t="inlineStr">
        <is>
          <t>Wittewalle</t>
        </is>
      </c>
      <c r="E484" t="n">
        <v>52</v>
      </c>
      <c r="F484" t="inlineStr">
        <is>
          <t>Maasmechelen</t>
        </is>
      </c>
      <c r="G484" t="n">
        <v>2</v>
      </c>
      <c r="H484" t="n">
        <v>0</v>
      </c>
      <c r="I484" t="n">
        <v>106.76</v>
      </c>
      <c r="J484" t="inlineStr">
        <is>
          <t>Dagelijks</t>
        </is>
      </c>
      <c r="K484" t="inlineStr">
        <is>
          <t>Bancontact</t>
        </is>
      </c>
      <c r="L484" t="n">
        <v>6.98</v>
      </c>
      <c r="M484" t="inlineStr">
        <is>
          <t>Geen dieet</t>
        </is>
      </c>
      <c r="N484">
        <f>LEFT(A484, FIND(",", A484)-1)</f>
        <v/>
      </c>
      <c r="O484">
        <f>MID(A484, FIND(",", A484)+2, LEN(A484))</f>
        <v/>
      </c>
      <c r="P484">
        <f>SWITCH(J484, "Zelden", 1, "Af en toe", 4, "Regelmatig", 8, "Vaak", 12)</f>
        <v/>
      </c>
      <c r="Q484">
        <f>IF(L484&gt;=7, "Tevreden", "Ontevreden")</f>
        <v/>
      </c>
    </row>
    <row r="485">
      <c r="A485" t="inlineStr">
        <is>
          <t>Noel, Marc</t>
        </is>
      </c>
      <c r="B485" t="n">
        <v>9963629759</v>
      </c>
      <c r="C485" t="inlineStr">
        <is>
          <t>15/02/1971</t>
        </is>
      </c>
      <c r="D485" t="inlineStr">
        <is>
          <t>Vrijdagmarkt</t>
        </is>
      </c>
      <c r="E485" t="n">
        <v>63</v>
      </c>
      <c r="F485" t="inlineStr">
        <is>
          <t>Genk</t>
        </is>
      </c>
      <c r="G485" t="n">
        <v>5</v>
      </c>
      <c r="H485" t="n">
        <v>3</v>
      </c>
      <c r="I485" t="n">
        <v>206.92</v>
      </c>
      <c r="J485" t="inlineStr">
        <is>
          <t>Vaak</t>
        </is>
      </c>
      <c r="K485" t="inlineStr">
        <is>
          <t>Payconiq</t>
        </is>
      </c>
      <c r="L485" t="n">
        <v>6.65</v>
      </c>
      <c r="M485" t="inlineStr">
        <is>
          <t>Geen dieet</t>
        </is>
      </c>
      <c r="N485">
        <f>LEFT(A485, FIND(",", A485)-1)</f>
        <v/>
      </c>
      <c r="O485">
        <f>MID(A485, FIND(",", A485)+2, LEN(A485))</f>
        <v/>
      </c>
      <c r="P485">
        <f>SWITCH(J485, "Zelden", 1, "Af en toe", 4, "Regelmatig", 8, "Vaak", 12)</f>
        <v/>
      </c>
      <c r="Q485">
        <f>IF(L485&gt;=7, "Tevreden", "Ontevreden")</f>
        <v/>
      </c>
    </row>
    <row r="486">
      <c r="A486" t="inlineStr">
        <is>
          <t>Verhoeven, Hans</t>
        </is>
      </c>
      <c r="B486" t="n">
        <v>1909394257</v>
      </c>
      <c r="C486" t="inlineStr">
        <is>
          <t>05/09/2003</t>
        </is>
      </c>
      <c r="D486" t="inlineStr">
        <is>
          <t>Hogeheerweg</t>
        </is>
      </c>
      <c r="E486" t="n">
        <v>6</v>
      </c>
      <c r="F486" t="inlineStr">
        <is>
          <t>Zutendaal</t>
        </is>
      </c>
      <c r="G486" t="n">
        <v>2</v>
      </c>
      <c r="H486" t="n">
        <v>4</v>
      </c>
      <c r="I486" t="n">
        <v>189.8</v>
      </c>
      <c r="J486" t="inlineStr">
        <is>
          <t>Zeer vaak</t>
        </is>
      </c>
      <c r="K486" t="inlineStr">
        <is>
          <t>Payconiq</t>
        </is>
      </c>
      <c r="L486" t="n">
        <v>6.05</v>
      </c>
      <c r="M486" t="inlineStr">
        <is>
          <t>Veganistisch</t>
        </is>
      </c>
      <c r="N486">
        <f>LEFT(A486, FIND(",", A486)-1)</f>
        <v/>
      </c>
      <c r="O486">
        <f>MID(A486, FIND(",", A486)+2, LEN(A486))</f>
        <v/>
      </c>
      <c r="P486">
        <f>SWITCH(J486, "Zelden", 1, "Af en toe", 4, "Regelmatig", 8, "Vaak", 12)</f>
        <v/>
      </c>
      <c r="Q486">
        <f>IF(L486&gt;=7, "Tevreden", "Ontevreden")</f>
        <v/>
      </c>
    </row>
    <row r="487">
      <c r="A487" t="inlineStr">
        <is>
          <t>Jans, Karim</t>
        </is>
      </c>
      <c r="B487" t="n">
        <v>9099152829</v>
      </c>
      <c r="C487" t="inlineStr">
        <is>
          <t>20/04/1971</t>
        </is>
      </c>
      <c r="D487" t="inlineStr">
        <is>
          <t>Bij Sint-jacobs</t>
        </is>
      </c>
      <c r="E487" t="n">
        <v>72</v>
      </c>
      <c r="F487" t="inlineStr">
        <is>
          <t>Maasmechelen</t>
        </is>
      </c>
      <c r="G487" t="n">
        <v>2</v>
      </c>
      <c r="H487" t="n">
        <v>0</v>
      </c>
      <c r="I487" t="n">
        <v>64.51000000000001</v>
      </c>
      <c r="J487" t="inlineStr">
        <is>
          <t>Zeer vaak</t>
        </is>
      </c>
      <c r="K487" t="inlineStr">
        <is>
          <t>Payconiq</t>
        </is>
      </c>
      <c r="L487" t="n">
        <v>7.23</v>
      </c>
      <c r="M487" t="inlineStr">
        <is>
          <t>Geen dieet</t>
        </is>
      </c>
      <c r="N487">
        <f>LEFT(A487, FIND(",", A487)-1)</f>
        <v/>
      </c>
      <c r="O487">
        <f>MID(A487, FIND(",", A487)+2, LEN(A487))</f>
        <v/>
      </c>
      <c r="P487">
        <f>SWITCH(J487, "Zelden", 1, "Af en toe", 4, "Regelmatig", 8, "Vaak", 12)</f>
        <v/>
      </c>
      <c r="Q487">
        <f>IF(L487&gt;=7, "Tevreden", "Ontevreden")</f>
        <v/>
      </c>
    </row>
    <row r="488">
      <c r="A488" t="inlineStr">
        <is>
          <t>Daems, Victoria</t>
        </is>
      </c>
      <c r="B488" t="n">
        <v>5986251165</v>
      </c>
      <c r="C488" t="inlineStr">
        <is>
          <t>12/07/1962</t>
        </is>
      </c>
      <c r="D488" t="inlineStr">
        <is>
          <t>Cyriel Buyssestraat</t>
        </is>
      </c>
      <c r="E488" t="n">
        <v>8</v>
      </c>
      <c r="F488" t="inlineStr">
        <is>
          <t>Herten</t>
        </is>
      </c>
      <c r="G488" t="n">
        <v>1</v>
      </c>
      <c r="H488" t="n">
        <v>1</v>
      </c>
      <c r="I488" t="n">
        <v>109.39</v>
      </c>
      <c r="J488" t="inlineStr">
        <is>
          <t>Dagelijks</t>
        </is>
      </c>
      <c r="K488" t="inlineStr">
        <is>
          <t>Bancontact</t>
        </is>
      </c>
      <c r="L488" t="n">
        <v>7.11</v>
      </c>
      <c r="M488" t="inlineStr">
        <is>
          <t>Geen dieet</t>
        </is>
      </c>
      <c r="N488">
        <f>LEFT(A488, FIND(",", A488)-1)</f>
        <v/>
      </c>
      <c r="O488">
        <f>MID(A488, FIND(",", A488)+2, LEN(A488))</f>
        <v/>
      </c>
      <c r="P488">
        <f>SWITCH(J488, "Zelden", 1, "Af en toe", 4, "Regelmatig", 8, "Vaak", 12)</f>
        <v/>
      </c>
      <c r="Q488">
        <f>IF(L488&gt;=7, "Tevreden", "Ontevreden")</f>
        <v/>
      </c>
    </row>
    <row r="489">
      <c r="A489" t="inlineStr">
        <is>
          <t>Stevens, Lya</t>
        </is>
      </c>
      <c r="B489" t="n">
        <v>7808224957</v>
      </c>
      <c r="C489" t="inlineStr">
        <is>
          <t>08/02/1952</t>
        </is>
      </c>
      <c r="D489" t="inlineStr">
        <is>
          <t>Kouter</t>
        </is>
      </c>
      <c r="E489" t="n">
        <v>19</v>
      </c>
      <c r="F489" t="inlineStr">
        <is>
          <t>Maasmechelen</t>
        </is>
      </c>
      <c r="G489" t="n">
        <v>2</v>
      </c>
      <c r="H489" t="n">
        <v>2</v>
      </c>
      <c r="I489" t="n">
        <v>128.83</v>
      </c>
      <c r="J489" t="inlineStr">
        <is>
          <t>Zeer vaak</t>
        </is>
      </c>
      <c r="K489" t="inlineStr">
        <is>
          <t>Bancontact</t>
        </is>
      </c>
      <c r="L489" t="n">
        <v>7.67</v>
      </c>
      <c r="M489" t="inlineStr">
        <is>
          <t>Geen dieet</t>
        </is>
      </c>
      <c r="N489">
        <f>LEFT(A489, FIND(",", A489)-1)</f>
        <v/>
      </c>
      <c r="O489">
        <f>MID(A489, FIND(",", A489)+2, LEN(A489))</f>
        <v/>
      </c>
      <c r="P489">
        <f>SWITCH(J489, "Zelden", 1, "Af en toe", 4, "Regelmatig", 8, "Vaak", 12)</f>
        <v/>
      </c>
      <c r="Q489">
        <f>IF(L489&gt;=7, "Tevreden", "Ontevreden")</f>
        <v/>
      </c>
    </row>
    <row r="490">
      <c r="A490" t="inlineStr">
        <is>
          <t>Francois, Angélique</t>
        </is>
      </c>
      <c r="B490" t="n">
        <v>6566813679</v>
      </c>
      <c r="C490" t="inlineStr">
        <is>
          <t>28/09/1997</t>
        </is>
      </c>
      <c r="D490" t="inlineStr">
        <is>
          <t>Casier De Ter Bekenlaan</t>
        </is>
      </c>
      <c r="E490" t="n">
        <v>12</v>
      </c>
      <c r="F490" t="inlineStr">
        <is>
          <t>Bilzen</t>
        </is>
      </c>
      <c r="G490" t="n">
        <v>1</v>
      </c>
      <c r="H490" t="n">
        <v>2</v>
      </c>
      <c r="I490" t="n">
        <v>39.93</v>
      </c>
      <c r="J490" t="inlineStr">
        <is>
          <t>Zeer vaak</t>
        </is>
      </c>
      <c r="K490" t="inlineStr">
        <is>
          <t>Cash</t>
        </is>
      </c>
      <c r="L490" t="n">
        <v>6.86</v>
      </c>
      <c r="M490" t="inlineStr">
        <is>
          <t>Geen dieet</t>
        </is>
      </c>
      <c r="N490">
        <f>LEFT(A490, FIND(",", A490)-1)</f>
        <v/>
      </c>
      <c r="O490">
        <f>MID(A490, FIND(",", A490)+2, LEN(A490))</f>
        <v/>
      </c>
      <c r="P490">
        <f>SWITCH(J490, "Zelden", 1, "Af en toe", 4, "Regelmatig", 8, "Vaak", 12)</f>
        <v/>
      </c>
      <c r="Q490">
        <f>IF(L490&gt;=7, "Tevreden", "Ontevreden")</f>
        <v/>
      </c>
    </row>
    <row r="491">
      <c r="A491" t="inlineStr">
        <is>
          <t>Verstraete, Eddy</t>
        </is>
      </c>
      <c r="B491" t="n">
        <v>9195481554</v>
      </c>
      <c r="C491" t="inlineStr">
        <is>
          <t>10/04/1998</t>
        </is>
      </c>
      <c r="D491" t="inlineStr">
        <is>
          <t>Grauwpoort</t>
        </is>
      </c>
      <c r="E491" t="n">
        <v>35</v>
      </c>
      <c r="F491" t="inlineStr">
        <is>
          <t>Hasselt</t>
        </is>
      </c>
      <c r="G491" t="n">
        <v>2</v>
      </c>
      <c r="H491" t="n">
        <v>2</v>
      </c>
      <c r="I491" t="n">
        <v>24.33</v>
      </c>
      <c r="J491" t="inlineStr">
        <is>
          <t>Zeer vaak</t>
        </is>
      </c>
      <c r="K491" t="inlineStr">
        <is>
          <t>Bancontact</t>
        </is>
      </c>
      <c r="L491" t="n">
        <v>8.210000000000001</v>
      </c>
      <c r="M491" t="inlineStr">
        <is>
          <t>Vegetarisch</t>
        </is>
      </c>
      <c r="N491">
        <f>LEFT(A491, FIND(",", A491)-1)</f>
        <v/>
      </c>
      <c r="O491">
        <f>MID(A491, FIND(",", A491)+2, LEN(A491))</f>
        <v/>
      </c>
      <c r="P491">
        <f>SWITCH(J491, "Zelden", 1, "Af en toe", 4, "Regelmatig", 8, "Vaak", 12)</f>
        <v/>
      </c>
      <c r="Q491">
        <f>IF(L491&gt;=7, "Tevreden", "Ontevreden")</f>
        <v/>
      </c>
    </row>
    <row r="492">
      <c r="A492" t="inlineStr">
        <is>
          <t>Mahieu, Yassine</t>
        </is>
      </c>
      <c r="B492" t="n">
        <v>1078113775</v>
      </c>
      <c r="C492" t="inlineStr">
        <is>
          <t>27/04/1946</t>
        </is>
      </c>
      <c r="D492" t="inlineStr">
        <is>
          <t>Onze-lieve-vrouwdreef</t>
        </is>
      </c>
      <c r="E492" t="n">
        <v>66</v>
      </c>
      <c r="F492" t="inlineStr">
        <is>
          <t>Tessenderlo</t>
        </is>
      </c>
      <c r="G492" t="n">
        <v>1</v>
      </c>
      <c r="H492" t="n">
        <v>0</v>
      </c>
      <c r="I492" t="n">
        <v>39.51</v>
      </c>
      <c r="J492" t="inlineStr">
        <is>
          <t>Vaak</t>
        </is>
      </c>
      <c r="K492" t="inlineStr">
        <is>
          <t>Cash</t>
        </is>
      </c>
      <c r="L492" t="n">
        <v>6.88</v>
      </c>
      <c r="M492" t="inlineStr">
        <is>
          <t>Geen dieet</t>
        </is>
      </c>
      <c r="N492">
        <f>LEFT(A492, FIND(",", A492)-1)</f>
        <v/>
      </c>
      <c r="O492">
        <f>MID(A492, FIND(",", A492)+2, LEN(A492))</f>
        <v/>
      </c>
      <c r="P492">
        <f>SWITCH(J492, "Zelden", 1, "Af en toe", 4, "Regelmatig", 8, "Vaak", 12)</f>
        <v/>
      </c>
      <c r="Q492">
        <f>IF(L492&gt;=7, "Tevreden", "Ontevreden")</f>
        <v/>
      </c>
    </row>
    <row r="493">
      <c r="A493" t="inlineStr">
        <is>
          <t>Maes, Sarah</t>
        </is>
      </c>
      <c r="B493" t="n">
        <v>7552979513</v>
      </c>
      <c r="C493" t="inlineStr">
        <is>
          <t>28/04/1979</t>
        </is>
      </c>
      <c r="D493" t="inlineStr">
        <is>
          <t>Rooigemlaan</t>
        </is>
      </c>
      <c r="E493" t="n">
        <v>29</v>
      </c>
      <c r="F493" t="inlineStr">
        <is>
          <t>Genk</t>
        </is>
      </c>
      <c r="G493" t="n">
        <v>2</v>
      </c>
      <c r="H493" t="n">
        <v>0</v>
      </c>
      <c r="I493" t="n">
        <v>114.18</v>
      </c>
      <c r="J493" t="inlineStr">
        <is>
          <t>Af en toe</t>
        </is>
      </c>
      <c r="K493" t="inlineStr">
        <is>
          <t>Bancontact</t>
        </is>
      </c>
      <c r="L493" t="n">
        <v>6.92</v>
      </c>
      <c r="M493" t="inlineStr">
        <is>
          <t>Geen dieet</t>
        </is>
      </c>
      <c r="N493">
        <f>LEFT(A493, FIND(",", A493)-1)</f>
        <v/>
      </c>
      <c r="O493">
        <f>MID(A493, FIND(",", A493)+2, LEN(A493))</f>
        <v/>
      </c>
      <c r="P493">
        <f>SWITCH(J493, "Zelden", 1, "Af en toe", 4, "Regelmatig", 8, "Vaak", 12)</f>
        <v/>
      </c>
      <c r="Q493">
        <f>IF(L493&gt;=7, "Tevreden", "Ontevreden")</f>
        <v/>
      </c>
    </row>
    <row r="494">
      <c r="A494" t="inlineStr">
        <is>
          <t>Beckers, Carole</t>
        </is>
      </c>
      <c r="B494" t="n">
        <v>3476662327</v>
      </c>
      <c r="C494" t="inlineStr">
        <is>
          <t>17/01/1999</t>
        </is>
      </c>
      <c r="D494" t="inlineStr">
        <is>
          <t>Warmoezeniersweg</t>
        </is>
      </c>
      <c r="E494" t="n">
        <v>26</v>
      </c>
      <c r="F494" t="inlineStr">
        <is>
          <t>Zonhoven</t>
        </is>
      </c>
      <c r="G494" t="n">
        <v>3</v>
      </c>
      <c r="H494" t="n">
        <v>3</v>
      </c>
      <c r="I494" t="n">
        <v>174.07</v>
      </c>
      <c r="J494" t="inlineStr">
        <is>
          <t>Af en toe</t>
        </is>
      </c>
      <c r="K494" t="inlineStr">
        <is>
          <t>Bancontact</t>
        </is>
      </c>
      <c r="L494" t="n">
        <v>7.64</v>
      </c>
      <c r="M494" t="inlineStr">
        <is>
          <t>Geen dieet</t>
        </is>
      </c>
      <c r="N494">
        <f>LEFT(A494, FIND(",", A494)-1)</f>
        <v/>
      </c>
      <c r="O494">
        <f>MID(A494, FIND(",", A494)+2, LEN(A494))</f>
        <v/>
      </c>
      <c r="P494">
        <f>SWITCH(J494, "Zelden", 1, "Af en toe", 4, "Regelmatig", 8, "Vaak", 12)</f>
        <v/>
      </c>
      <c r="Q494">
        <f>IF(L494&gt;=7, "Tevreden", "Ontevreden")</f>
        <v/>
      </c>
    </row>
    <row r="495">
      <c r="A495" t="inlineStr">
        <is>
          <t>De bock, Priscillia</t>
        </is>
      </c>
      <c r="B495" t="n">
        <v>4422814566</v>
      </c>
      <c r="C495" t="inlineStr">
        <is>
          <t>10/06/1953</t>
        </is>
      </c>
      <c r="D495" t="inlineStr">
        <is>
          <t>Blekerijstraat</t>
        </is>
      </c>
      <c r="E495" t="n">
        <v>30</v>
      </c>
      <c r="F495" t="inlineStr">
        <is>
          <t>Zutendaal</t>
        </is>
      </c>
      <c r="G495" t="n">
        <v>2</v>
      </c>
      <c r="H495" t="n">
        <v>0</v>
      </c>
      <c r="I495" t="n">
        <v>133.83</v>
      </c>
      <c r="J495" t="inlineStr">
        <is>
          <t>Af en toe</t>
        </is>
      </c>
      <c r="K495" t="inlineStr">
        <is>
          <t>Bancontact</t>
        </is>
      </c>
      <c r="L495" t="n">
        <v>7.31</v>
      </c>
      <c r="M495" t="inlineStr">
        <is>
          <t>Geen dieet</t>
        </is>
      </c>
      <c r="N495">
        <f>LEFT(A495, FIND(",", A495)-1)</f>
        <v/>
      </c>
      <c r="O495">
        <f>MID(A495, FIND(",", A495)+2, LEN(A495))</f>
        <v/>
      </c>
      <c r="P495">
        <f>SWITCH(J495, "Zelden", 1, "Af en toe", 4, "Regelmatig", 8, "Vaak", 12)</f>
        <v/>
      </c>
      <c r="Q495">
        <f>IF(L495&gt;=7, "Tevreden", "Ontevreden")</f>
        <v/>
      </c>
    </row>
    <row r="496">
      <c r="A496" t="inlineStr">
        <is>
          <t>Lebrun, Gunther</t>
        </is>
      </c>
      <c r="B496" t="n">
        <v>3147401017</v>
      </c>
      <c r="C496" t="inlineStr">
        <is>
          <t>16/07/1952</t>
        </is>
      </c>
      <c r="D496" t="inlineStr">
        <is>
          <t>Wolfputstraat</t>
        </is>
      </c>
      <c r="E496" t="n">
        <v>34</v>
      </c>
      <c r="F496" t="inlineStr">
        <is>
          <t>Halen</t>
        </is>
      </c>
      <c r="G496" t="n">
        <v>2</v>
      </c>
      <c r="H496" t="n">
        <v>0</v>
      </c>
      <c r="I496" t="n">
        <v>144.74</v>
      </c>
      <c r="J496" t="inlineStr">
        <is>
          <t>Zeer vaak</t>
        </is>
      </c>
      <c r="K496" t="inlineStr">
        <is>
          <t>Bancontact</t>
        </is>
      </c>
      <c r="L496" t="n">
        <v>6.8</v>
      </c>
      <c r="M496" t="inlineStr">
        <is>
          <t>Geen dieet</t>
        </is>
      </c>
      <c r="N496">
        <f>LEFT(A496, FIND(",", A496)-1)</f>
        <v/>
      </c>
      <c r="O496">
        <f>MID(A496, FIND(",", A496)+2, LEN(A496))</f>
        <v/>
      </c>
      <c r="P496">
        <f>SWITCH(J496, "Zelden", 1, "Af en toe", 4, "Regelmatig", 8, "Vaak", 12)</f>
        <v/>
      </c>
      <c r="Q496">
        <f>IF(L496&gt;=7, "Tevreden", "Ontevreden")</f>
        <v/>
      </c>
    </row>
    <row r="497">
      <c r="A497" t="inlineStr">
        <is>
          <t>Rousseau, Sayed</t>
        </is>
      </c>
      <c r="B497" t="n">
        <v>4404002160</v>
      </c>
      <c r="C497" t="inlineStr">
        <is>
          <t>18/02/1992</t>
        </is>
      </c>
      <c r="D497" t="inlineStr">
        <is>
          <t>Twaalfapostelenstraat</t>
        </is>
      </c>
      <c r="E497" t="n">
        <v>8</v>
      </c>
      <c r="F497" t="inlineStr">
        <is>
          <t>Maasmechelen</t>
        </is>
      </c>
      <c r="G497" t="n">
        <v>5</v>
      </c>
      <c r="H497" t="n">
        <v>2</v>
      </c>
      <c r="I497" t="n">
        <v>208.54</v>
      </c>
      <c r="J497" t="inlineStr">
        <is>
          <t>Af en toe</t>
        </is>
      </c>
      <c r="K497" t="inlineStr">
        <is>
          <t>Bancontact</t>
        </is>
      </c>
      <c r="L497" t="n">
        <v>8.119999999999999</v>
      </c>
      <c r="M497" t="inlineStr">
        <is>
          <t>Vegetarisch</t>
        </is>
      </c>
      <c r="N497">
        <f>LEFT(A497, FIND(",", A497)-1)</f>
        <v/>
      </c>
      <c r="O497">
        <f>MID(A497, FIND(",", A497)+2, LEN(A497))</f>
        <v/>
      </c>
      <c r="P497">
        <f>SWITCH(J497, "Zelden", 1, "Af en toe", 4, "Regelmatig", 8, "Vaak", 12)</f>
        <v/>
      </c>
      <c r="Q497">
        <f>IF(L497&gt;=7, "Tevreden", "Ontevreden")</f>
        <v/>
      </c>
    </row>
    <row r="498">
      <c r="A498" t="inlineStr">
        <is>
          <t>Verlinden, Jean</t>
        </is>
      </c>
      <c r="B498" t="n">
        <v>8689156435</v>
      </c>
      <c r="C498" t="inlineStr">
        <is>
          <t>22/03/1948</t>
        </is>
      </c>
      <c r="D498" t="inlineStr">
        <is>
          <t>Gentsesteenweg</t>
        </is>
      </c>
      <c r="E498" t="n">
        <v>56</v>
      </c>
      <c r="F498" t="inlineStr">
        <is>
          <t>Hasselt</t>
        </is>
      </c>
      <c r="G498" t="n">
        <v>6</v>
      </c>
      <c r="H498" t="n">
        <v>2</v>
      </c>
      <c r="I498" t="n">
        <v>185.69</v>
      </c>
      <c r="J498" t="inlineStr">
        <is>
          <t>Vaak</t>
        </is>
      </c>
      <c r="K498" t="inlineStr">
        <is>
          <t>Payconiq</t>
        </is>
      </c>
      <c r="L498" t="n">
        <v>7.18</v>
      </c>
      <c r="M498" t="inlineStr">
        <is>
          <t>Geen dieet</t>
        </is>
      </c>
      <c r="N498">
        <f>LEFT(A498, FIND(",", A498)-1)</f>
        <v/>
      </c>
      <c r="O498">
        <f>MID(A498, FIND(",", A498)+2, LEN(A498))</f>
        <v/>
      </c>
      <c r="P498">
        <f>SWITCH(J498, "Zelden", 1, "Af en toe", 4, "Regelmatig", 8, "Vaak", 12)</f>
        <v/>
      </c>
      <c r="Q498">
        <f>IF(L498&gt;=7, "Tevreden", "Ontevreden")</f>
        <v/>
      </c>
    </row>
    <row r="499">
      <c r="A499" t="inlineStr">
        <is>
          <t>Stas, Shannon</t>
        </is>
      </c>
      <c r="B499" t="n">
        <v>6101372565</v>
      </c>
      <c r="C499" t="inlineStr">
        <is>
          <t>30/07/1970</t>
        </is>
      </c>
      <c r="D499" t="inlineStr">
        <is>
          <t>Edmond Helderweirdtstraat</t>
        </is>
      </c>
      <c r="E499" t="n">
        <v>37</v>
      </c>
      <c r="F499" t="inlineStr">
        <is>
          <t>Kessenich</t>
        </is>
      </c>
      <c r="G499" t="n">
        <v>2</v>
      </c>
      <c r="H499" t="n">
        <v>3</v>
      </c>
      <c r="I499" t="n">
        <v>146.85</v>
      </c>
      <c r="J499" t="inlineStr">
        <is>
          <t>Af en toe</t>
        </is>
      </c>
      <c r="K499" t="inlineStr">
        <is>
          <t>Bancontact</t>
        </is>
      </c>
      <c r="L499" t="n">
        <v>8.49</v>
      </c>
      <c r="M499" t="inlineStr">
        <is>
          <t>Vegetarisch</t>
        </is>
      </c>
      <c r="N499">
        <f>LEFT(A499, FIND(",", A499)-1)</f>
        <v/>
      </c>
      <c r="O499">
        <f>MID(A499, FIND(",", A499)+2, LEN(A499))</f>
        <v/>
      </c>
      <c r="P499">
        <f>SWITCH(J499, "Zelden", 1, "Af en toe", 4, "Regelmatig", 8, "Vaak", 12)</f>
        <v/>
      </c>
      <c r="Q499">
        <f>IF(L499&gt;=7, "Tevreden", "Ontevreden")</f>
        <v/>
      </c>
    </row>
    <row r="500">
      <c r="A500" t="inlineStr">
        <is>
          <t>Bosmans, David</t>
        </is>
      </c>
      <c r="B500" t="n">
        <v>5218677245</v>
      </c>
      <c r="C500" t="inlineStr">
        <is>
          <t>18/11/1977</t>
        </is>
      </c>
      <c r="D500" t="inlineStr">
        <is>
          <t>Kapelledreef</t>
        </is>
      </c>
      <c r="E500" t="n">
        <v>5</v>
      </c>
      <c r="F500" t="inlineStr">
        <is>
          <t>Opglabbeek</t>
        </is>
      </c>
      <c r="G500" t="n">
        <v>1</v>
      </c>
      <c r="H500" t="n">
        <v>5</v>
      </c>
      <c r="I500" t="n">
        <v>181.51</v>
      </c>
      <c r="J500" t="inlineStr">
        <is>
          <t>Vaak</t>
        </is>
      </c>
      <c r="K500" t="inlineStr">
        <is>
          <t>Payconiq</t>
        </is>
      </c>
      <c r="L500" t="n">
        <v>7.02</v>
      </c>
      <c r="M500" t="inlineStr">
        <is>
          <t>Geen dieet</t>
        </is>
      </c>
      <c r="N500">
        <f>LEFT(A500, FIND(",", A500)-1)</f>
        <v/>
      </c>
      <c r="O500">
        <f>MID(A500, FIND(",", A500)+2, LEN(A500))</f>
        <v/>
      </c>
      <c r="P500">
        <f>SWITCH(J500, "Zelden", 1, "Af en toe", 4, "Regelmatig", 8, "Vaak", 12)</f>
        <v/>
      </c>
      <c r="Q500">
        <f>IF(L500&gt;=7, "Tevreden", "Ontevreden")</f>
        <v/>
      </c>
    </row>
    <row r="501">
      <c r="A501" t="inlineStr">
        <is>
          <t>Raes, Loïc</t>
        </is>
      </c>
      <c r="B501" t="n">
        <v>4248220411</v>
      </c>
      <c r="C501" t="inlineStr">
        <is>
          <t>28/05/2005</t>
        </is>
      </c>
      <c r="D501" t="inlineStr">
        <is>
          <t>Coupure Rechts</t>
        </is>
      </c>
      <c r="E501" t="n">
        <v>21</v>
      </c>
      <c r="F501" t="inlineStr">
        <is>
          <t>Overpelt</t>
        </is>
      </c>
      <c r="G501" t="n">
        <v>1</v>
      </c>
      <c r="H501" t="n">
        <v>1</v>
      </c>
      <c r="I501" t="n">
        <v>127.82</v>
      </c>
      <c r="J501" t="inlineStr">
        <is>
          <t>Af en toe</t>
        </is>
      </c>
      <c r="K501" t="inlineStr">
        <is>
          <t>Payconiq</t>
        </is>
      </c>
      <c r="L501" t="n">
        <v>8.210000000000001</v>
      </c>
      <c r="M501" t="inlineStr">
        <is>
          <t>Vegetarisch</t>
        </is>
      </c>
      <c r="N501">
        <f>LEFT(A501, FIND(",", A501)-1)</f>
        <v/>
      </c>
      <c r="O501">
        <f>MID(A501, FIND(",", A501)+2, LEN(A501))</f>
        <v/>
      </c>
      <c r="P501">
        <f>SWITCH(J501, "Zelden", 1, "Af en toe", 4, "Regelmatig", 8, "Vaak", 12)</f>
        <v/>
      </c>
      <c r="Q501">
        <f>IF(L501&gt;=7, "Tevreden", "Ontevreden")</f>
        <v/>
      </c>
    </row>
    <row r="502">
      <c r="A502" t="inlineStr">
        <is>
          <t>Heymans, Mohamed</t>
        </is>
      </c>
      <c r="B502" t="n">
        <v>8133952048</v>
      </c>
      <c r="C502" t="inlineStr">
        <is>
          <t>12/01/2005</t>
        </is>
      </c>
      <c r="D502" t="inlineStr">
        <is>
          <t>Bennesteeg</t>
        </is>
      </c>
      <c r="E502" t="n">
        <v>56</v>
      </c>
      <c r="F502" t="inlineStr">
        <is>
          <t>Zonhoven</t>
        </is>
      </c>
      <c r="G502" t="n">
        <v>2</v>
      </c>
      <c r="H502" t="n">
        <v>2</v>
      </c>
      <c r="I502" t="n">
        <v>91.90000000000001</v>
      </c>
      <c r="J502" t="inlineStr">
        <is>
          <t>Zelden</t>
        </is>
      </c>
      <c r="K502" t="inlineStr">
        <is>
          <t>Payconiq</t>
        </is>
      </c>
      <c r="L502" t="n">
        <v>7.14</v>
      </c>
      <c r="M502" t="inlineStr">
        <is>
          <t>Geen dieet</t>
        </is>
      </c>
      <c r="N502">
        <f>LEFT(A502, FIND(",", A502)-1)</f>
        <v/>
      </c>
      <c r="O502">
        <f>MID(A502, FIND(",", A502)+2, LEN(A502))</f>
        <v/>
      </c>
      <c r="P502">
        <f>SWITCH(J502, "Zelden", 1, "Af en toe", 4, "Regelmatig", 8, "Vaak", 12)</f>
        <v/>
      </c>
      <c r="Q502">
        <f>IF(L502&gt;=7, "Tevreden", "Ontevreden")</f>
        <v/>
      </c>
    </row>
    <row r="503">
      <c r="A503" t="inlineStr">
        <is>
          <t>Houben, Isra</t>
        </is>
      </c>
      <c r="B503" t="n">
        <v>5682150478</v>
      </c>
      <c r="C503" t="inlineStr">
        <is>
          <t>24/02/1966</t>
        </is>
      </c>
      <c r="D503" t="inlineStr">
        <is>
          <t>F. Lousbergskaai</t>
        </is>
      </c>
      <c r="E503" t="n">
        <v>106</v>
      </c>
      <c r="F503" t="inlineStr">
        <is>
          <t>Lanaken</t>
        </is>
      </c>
      <c r="G503" t="n">
        <v>2</v>
      </c>
      <c r="H503" t="n">
        <v>3</v>
      </c>
      <c r="I503" t="n">
        <v>92.09999999999999</v>
      </c>
      <c r="J503" t="inlineStr">
        <is>
          <t>Zeer vaak</t>
        </is>
      </c>
      <c r="K503" t="inlineStr">
        <is>
          <t>Bancontact</t>
        </is>
      </c>
      <c r="L503" t="n">
        <v>7.06</v>
      </c>
      <c r="M503" t="inlineStr">
        <is>
          <t>Geen dieet</t>
        </is>
      </c>
      <c r="N503">
        <f>LEFT(A503, FIND(",", A503)-1)</f>
        <v/>
      </c>
      <c r="O503">
        <f>MID(A503, FIND(",", A503)+2, LEN(A503))</f>
        <v/>
      </c>
      <c r="P503">
        <f>SWITCH(J503, "Zelden", 1, "Af en toe", 4, "Regelmatig", 8, "Vaak", 12)</f>
        <v/>
      </c>
      <c r="Q503">
        <f>IF(L503&gt;=7, "Tevreden", "Ontevreden")</f>
        <v/>
      </c>
    </row>
    <row r="504">
      <c r="A504" t="inlineStr">
        <is>
          <t>Matthys, Camille</t>
        </is>
      </c>
      <c r="B504" t="n">
        <v>5604629157</v>
      </c>
      <c r="C504" t="inlineStr">
        <is>
          <t>29/07/1987</t>
        </is>
      </c>
      <c r="D504" t="inlineStr">
        <is>
          <t>Bagattenstraat</t>
        </is>
      </c>
      <c r="E504" t="n">
        <v>36</v>
      </c>
      <c r="F504" t="inlineStr">
        <is>
          <t>Sint-Truiden</t>
        </is>
      </c>
      <c r="G504" t="n">
        <v>1</v>
      </c>
      <c r="H504" t="n">
        <v>1</v>
      </c>
      <c r="I504" t="n">
        <v>43.35</v>
      </c>
      <c r="J504" t="inlineStr">
        <is>
          <t>Zelden</t>
        </is>
      </c>
      <c r="K504" t="inlineStr">
        <is>
          <t>Cash</t>
        </is>
      </c>
      <c r="L504" t="n">
        <v>7.54</v>
      </c>
      <c r="M504" t="inlineStr">
        <is>
          <t>Geen dieet</t>
        </is>
      </c>
      <c r="N504">
        <f>LEFT(A504, FIND(",", A504)-1)</f>
        <v/>
      </c>
      <c r="O504">
        <f>MID(A504, FIND(",", A504)+2, LEN(A504))</f>
        <v/>
      </c>
      <c r="P504">
        <f>SWITCH(J504, "Zelden", 1, "Af en toe", 4, "Regelmatig", 8, "Vaak", 12)</f>
        <v/>
      </c>
      <c r="Q504">
        <f>IF(L504&gt;=7, "Tevreden", "Ontevreden")</f>
        <v/>
      </c>
    </row>
    <row r="505">
      <c r="A505" t="inlineStr">
        <is>
          <t>Verheyen, Jarne</t>
        </is>
      </c>
      <c r="B505" t="n">
        <v>3192333429</v>
      </c>
      <c r="C505" t="inlineStr">
        <is>
          <t>23/11/1958</t>
        </is>
      </c>
      <c r="D505" t="inlineStr">
        <is>
          <t>Groot-brittanniëlaan</t>
        </is>
      </c>
      <c r="E505" t="n">
        <v>52</v>
      </c>
      <c r="F505" t="inlineStr">
        <is>
          <t>Heusden-Zolder</t>
        </is>
      </c>
      <c r="G505" t="n">
        <v>1</v>
      </c>
      <c r="H505" t="n">
        <v>5</v>
      </c>
      <c r="I505" t="n">
        <v>239.11</v>
      </c>
      <c r="J505" t="inlineStr">
        <is>
          <t>Af en toe</t>
        </is>
      </c>
      <c r="K505" t="inlineStr">
        <is>
          <t>Bancontact</t>
        </is>
      </c>
      <c r="L505" t="n">
        <v>7.12</v>
      </c>
      <c r="M505" t="inlineStr">
        <is>
          <t>Geen dieet</t>
        </is>
      </c>
      <c r="N505">
        <f>LEFT(A505, FIND(",", A505)-1)</f>
        <v/>
      </c>
      <c r="O505">
        <f>MID(A505, FIND(",", A505)+2, LEN(A505))</f>
        <v/>
      </c>
      <c r="P505">
        <f>SWITCH(J505, "Zelden", 1, "Af en toe", 4, "Regelmatig", 8, "Vaak", 12)</f>
        <v/>
      </c>
      <c r="Q505">
        <f>IF(L505&gt;=7, "Tevreden", "Ontevreden")</f>
        <v/>
      </c>
    </row>
    <row r="506">
      <c r="A506" t="inlineStr">
        <is>
          <t>Hermans, Hans</t>
        </is>
      </c>
      <c r="B506" t="n">
        <v>1643723732</v>
      </c>
      <c r="C506" t="inlineStr">
        <is>
          <t>18/03/1957</t>
        </is>
      </c>
      <c r="D506" t="inlineStr">
        <is>
          <t>Mathias Gesweinstraat</t>
        </is>
      </c>
      <c r="E506" t="n">
        <v>19</v>
      </c>
      <c r="F506" t="inlineStr">
        <is>
          <t>Herten</t>
        </is>
      </c>
      <c r="G506" t="n">
        <v>3</v>
      </c>
      <c r="H506" t="n">
        <v>4</v>
      </c>
      <c r="I506" t="n">
        <v>221.57</v>
      </c>
      <c r="J506" t="inlineStr">
        <is>
          <t>Af en toe</t>
        </is>
      </c>
      <c r="K506" t="inlineStr">
        <is>
          <t>Payconiq</t>
        </is>
      </c>
      <c r="L506" t="n">
        <v>6.91</v>
      </c>
      <c r="M506" t="inlineStr">
        <is>
          <t>Geen dieet</t>
        </is>
      </c>
      <c r="N506">
        <f>LEFT(A506, FIND(",", A506)-1)</f>
        <v/>
      </c>
      <c r="O506">
        <f>MID(A506, FIND(",", A506)+2, LEN(A506))</f>
        <v/>
      </c>
      <c r="P506">
        <f>SWITCH(J506, "Zelden", 1, "Af en toe", 4, "Regelmatig", 8, "Vaak", 12)</f>
        <v/>
      </c>
      <c r="Q506">
        <f>IF(L506&gt;=7, "Tevreden", "Ontevreden")</f>
        <v/>
      </c>
    </row>
    <row r="507">
      <c r="A507" t="inlineStr">
        <is>
          <t>Goris, Jihad</t>
        </is>
      </c>
      <c r="B507" t="n">
        <v>9552783364</v>
      </c>
      <c r="C507" t="inlineStr">
        <is>
          <t>06/11/1955</t>
        </is>
      </c>
      <c r="D507" t="inlineStr">
        <is>
          <t>Destelbergenstraat</t>
        </is>
      </c>
      <c r="E507" t="n">
        <v>10</v>
      </c>
      <c r="F507" t="inlineStr">
        <is>
          <t>Hasselt</t>
        </is>
      </c>
      <c r="G507" t="n">
        <v>1</v>
      </c>
      <c r="H507" t="n">
        <v>0</v>
      </c>
      <c r="I507" t="n">
        <v>92.92</v>
      </c>
      <c r="J507" t="inlineStr">
        <is>
          <t>Vaak</t>
        </is>
      </c>
      <c r="K507" t="inlineStr">
        <is>
          <t>Bancontact</t>
        </is>
      </c>
      <c r="L507" t="n">
        <v>7.42</v>
      </c>
      <c r="M507" t="inlineStr">
        <is>
          <t>Geen dieet</t>
        </is>
      </c>
      <c r="N507">
        <f>LEFT(A507, FIND(",", A507)-1)</f>
        <v/>
      </c>
      <c r="O507">
        <f>MID(A507, FIND(",", A507)+2, LEN(A507))</f>
        <v/>
      </c>
      <c r="P507">
        <f>SWITCH(J507, "Zelden", 1, "Af en toe", 4, "Regelmatig", 8, "Vaak", 12)</f>
        <v/>
      </c>
      <c r="Q507">
        <f>IF(L507&gt;=7, "Tevreden", "Ontevreden")</f>
        <v/>
      </c>
    </row>
    <row r="508">
      <c r="A508" t="inlineStr">
        <is>
          <t>Vermeulen, Virginie</t>
        </is>
      </c>
      <c r="B508" t="n">
        <v>4187456555</v>
      </c>
      <c r="C508" t="inlineStr">
        <is>
          <t>13/07/1965</t>
        </is>
      </c>
      <c r="D508" t="inlineStr">
        <is>
          <t>Langerbruggestraat</t>
        </is>
      </c>
      <c r="E508" t="n">
        <v>1</v>
      </c>
      <c r="F508" t="inlineStr">
        <is>
          <t>Hasselt</t>
        </is>
      </c>
      <c r="G508" t="n">
        <v>2</v>
      </c>
      <c r="H508" t="n">
        <v>2</v>
      </c>
      <c r="I508" t="n">
        <v>144.5</v>
      </c>
      <c r="J508" t="inlineStr">
        <is>
          <t>Zelden</t>
        </is>
      </c>
      <c r="K508" t="inlineStr">
        <is>
          <t>Payconiq</t>
        </is>
      </c>
      <c r="L508" t="n">
        <v>7.45</v>
      </c>
      <c r="M508" t="inlineStr">
        <is>
          <t>Geen dieet</t>
        </is>
      </c>
      <c r="N508">
        <f>LEFT(A508, FIND(",", A508)-1)</f>
        <v/>
      </c>
      <c r="O508">
        <f>MID(A508, FIND(",", A508)+2, LEN(A508))</f>
        <v/>
      </c>
      <c r="P508">
        <f>SWITCH(J508, "Zelden", 1, "Af en toe", 4, "Regelmatig", 8, "Vaak", 12)</f>
        <v/>
      </c>
      <c r="Q508">
        <f>IF(L508&gt;=7, "Tevreden", "Ontevreden")</f>
        <v/>
      </c>
    </row>
    <row r="509">
      <c r="A509" t="inlineStr">
        <is>
          <t>Devos, Henri</t>
        </is>
      </c>
      <c r="B509" t="n">
        <v>1199891769</v>
      </c>
      <c r="C509" t="inlineStr">
        <is>
          <t>04/05/1987</t>
        </is>
      </c>
      <c r="D509" t="inlineStr">
        <is>
          <t>Bijlokevest</t>
        </is>
      </c>
      <c r="E509" t="n">
        <v>27</v>
      </c>
      <c r="F509" t="inlineStr">
        <is>
          <t>Herten</t>
        </is>
      </c>
      <c r="G509" t="n">
        <v>2</v>
      </c>
      <c r="H509" t="n">
        <v>2</v>
      </c>
      <c r="I509" t="n">
        <v>177.12</v>
      </c>
      <c r="J509" t="inlineStr">
        <is>
          <t>Af en toe</t>
        </is>
      </c>
      <c r="K509" t="inlineStr">
        <is>
          <t>Creditcard</t>
        </is>
      </c>
      <c r="L509" t="n">
        <v>7.28</v>
      </c>
      <c r="M509" t="inlineStr">
        <is>
          <t>Geen dieet</t>
        </is>
      </c>
      <c r="N509">
        <f>LEFT(A509, FIND(",", A509)-1)</f>
        <v/>
      </c>
      <c r="O509">
        <f>MID(A509, FIND(",", A509)+2, LEN(A509))</f>
        <v/>
      </c>
      <c r="P509">
        <f>SWITCH(J509, "Zelden", 1, "Af en toe", 4, "Regelmatig", 8, "Vaak", 12)</f>
        <v/>
      </c>
      <c r="Q509">
        <f>IF(L509&gt;=7, "Tevreden", "Ontevreden")</f>
        <v/>
      </c>
    </row>
    <row r="510">
      <c r="A510" t="inlineStr">
        <is>
          <t>Willems, Francine</t>
        </is>
      </c>
      <c r="B510" t="n">
        <v>4059242332</v>
      </c>
      <c r="C510" t="inlineStr">
        <is>
          <t>16/06/1989</t>
        </is>
      </c>
      <c r="D510" t="inlineStr">
        <is>
          <t>Joremaaie</t>
        </is>
      </c>
      <c r="E510" t="n">
        <v>26</v>
      </c>
      <c r="F510" t="inlineStr">
        <is>
          <t>Maasmechelen</t>
        </is>
      </c>
      <c r="G510" t="n">
        <v>2</v>
      </c>
      <c r="H510" t="n">
        <v>5</v>
      </c>
      <c r="I510" t="n">
        <v>193.59</v>
      </c>
      <c r="J510" t="inlineStr">
        <is>
          <t>Vaak</t>
        </is>
      </c>
      <c r="K510" t="inlineStr">
        <is>
          <t>Cash</t>
        </is>
      </c>
      <c r="L510" t="n">
        <v>7.05</v>
      </c>
      <c r="M510" t="inlineStr">
        <is>
          <t>Geen dieet</t>
        </is>
      </c>
      <c r="N510">
        <f>LEFT(A510, FIND(",", A510)-1)</f>
        <v/>
      </c>
      <c r="O510">
        <f>MID(A510, FIND(",", A510)+2, LEN(A510))</f>
        <v/>
      </c>
      <c r="P510">
        <f>SWITCH(J510, "Zelden", 1, "Af en toe", 4, "Regelmatig", 8, "Vaak", 12)</f>
        <v/>
      </c>
      <c r="Q510">
        <f>IF(L510&gt;=7, "Tevreden", "Ontevreden")</f>
        <v/>
      </c>
    </row>
    <row r="511">
      <c r="A511" t="inlineStr">
        <is>
          <t>Decoster, Tjardo</t>
        </is>
      </c>
      <c r="B511" t="n">
        <v>4738806256</v>
      </c>
      <c r="C511" t="inlineStr">
        <is>
          <t>30/06/1995</t>
        </is>
      </c>
      <c r="D511" t="inlineStr">
        <is>
          <t>Pekelharing</t>
        </is>
      </c>
      <c r="E511" t="n">
        <v>30</v>
      </c>
      <c r="F511" t="inlineStr">
        <is>
          <t>Kinrooi</t>
        </is>
      </c>
      <c r="G511" t="n">
        <v>2</v>
      </c>
      <c r="H511" t="n">
        <v>0</v>
      </c>
      <c r="I511" t="n">
        <v>161.39</v>
      </c>
      <c r="J511" t="inlineStr">
        <is>
          <t>Af en toe</t>
        </is>
      </c>
      <c r="K511" t="inlineStr">
        <is>
          <t>Payconiq</t>
        </is>
      </c>
      <c r="L511" t="n">
        <v>7.28</v>
      </c>
      <c r="M511" t="inlineStr">
        <is>
          <t>Geen dieet</t>
        </is>
      </c>
      <c r="N511">
        <f>LEFT(A511, FIND(",", A511)-1)</f>
        <v/>
      </c>
      <c r="O511">
        <f>MID(A511, FIND(",", A511)+2, LEN(A511))</f>
        <v/>
      </c>
      <c r="P511">
        <f>SWITCH(J511, "Zelden", 1, "Af en toe", 4, "Regelmatig", 8, "Vaak", 12)</f>
        <v/>
      </c>
      <c r="Q511">
        <f>IF(L511&gt;=7, "Tevreden", "Ontevreden")</f>
        <v/>
      </c>
    </row>
    <row r="512">
      <c r="A512" t="inlineStr">
        <is>
          <t>André, Nassim</t>
        </is>
      </c>
      <c r="B512" t="n">
        <v>9334555893</v>
      </c>
      <c r="C512" t="inlineStr">
        <is>
          <t>24/02/1991</t>
        </is>
      </c>
      <c r="D512" t="inlineStr">
        <is>
          <t>Noordstraat</t>
        </is>
      </c>
      <c r="E512" t="n">
        <v>15</v>
      </c>
      <c r="F512" t="inlineStr">
        <is>
          <t>Maaseik</t>
        </is>
      </c>
      <c r="G512" t="n">
        <v>2</v>
      </c>
      <c r="H512" t="n">
        <v>0</v>
      </c>
      <c r="I512" t="n">
        <v>71.65000000000001</v>
      </c>
      <c r="J512" t="inlineStr">
        <is>
          <t>Vaak</t>
        </is>
      </c>
      <c r="K512" t="inlineStr">
        <is>
          <t>Payconiq</t>
        </is>
      </c>
      <c r="L512" t="n">
        <v>5.87</v>
      </c>
      <c r="M512" t="inlineStr">
        <is>
          <t>Veganistisch</t>
        </is>
      </c>
      <c r="N512">
        <f>LEFT(A512, FIND(",", A512)-1)</f>
        <v/>
      </c>
      <c r="O512">
        <f>MID(A512, FIND(",", A512)+2, LEN(A512))</f>
        <v/>
      </c>
      <c r="P512">
        <f>SWITCH(J512, "Zelden", 1, "Af en toe", 4, "Regelmatig", 8, "Vaak", 12)</f>
        <v/>
      </c>
      <c r="Q512">
        <f>IF(L512&gt;=7, "Tevreden", "Ontevreden")</f>
        <v/>
      </c>
    </row>
    <row r="513">
      <c r="A513" t="inlineStr">
        <is>
          <t>Vaes, Stéphan</t>
        </is>
      </c>
      <c r="B513" t="n">
        <v>7062706078</v>
      </c>
      <c r="C513" t="inlineStr">
        <is>
          <t>05/01/1957</t>
        </is>
      </c>
      <c r="D513" t="inlineStr">
        <is>
          <t>Overpoortstraat</t>
        </is>
      </c>
      <c r="E513" t="n">
        <v>14</v>
      </c>
      <c r="F513" t="inlineStr">
        <is>
          <t>Nieuwerkerken</t>
        </is>
      </c>
      <c r="G513" t="n">
        <v>2</v>
      </c>
      <c r="H513" t="n">
        <v>1</v>
      </c>
      <c r="I513" t="n">
        <v>69.42</v>
      </c>
      <c r="J513" t="inlineStr">
        <is>
          <t>Vaak</t>
        </is>
      </c>
      <c r="K513" t="inlineStr">
        <is>
          <t>Bancontact</t>
        </is>
      </c>
      <c r="L513" t="n">
        <v>7.15</v>
      </c>
      <c r="M513" t="inlineStr">
        <is>
          <t>Geen dieet</t>
        </is>
      </c>
      <c r="N513">
        <f>LEFT(A513, FIND(",", A513)-1)</f>
        <v/>
      </c>
      <c r="O513">
        <f>MID(A513, FIND(",", A513)+2, LEN(A513))</f>
        <v/>
      </c>
      <c r="P513">
        <f>SWITCH(J513, "Zelden", 1, "Af en toe", 4, "Regelmatig", 8, "Vaak", 12)</f>
        <v/>
      </c>
      <c r="Q513">
        <f>IF(L513&gt;=7, "Tevreden", "Ontevreden")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Voornaam</t>
        </is>
      </c>
      <c r="B1" s="1" t="inlineStr">
        <is>
          <t>Familienaam</t>
        </is>
      </c>
      <c r="C1" s="1" t="inlineStr">
        <is>
          <t>Klantnummer</t>
        </is>
      </c>
      <c r="D1" s="1" t="inlineStr">
        <is>
          <t>Geboortedatum</t>
        </is>
      </c>
      <c r="E1" s="1" t="inlineStr">
        <is>
          <t>adres</t>
        </is>
      </c>
      <c r="F1" s="1" t="inlineStr">
        <is>
          <t>gezinsleden</t>
        </is>
      </c>
      <c r="G1" s="1" t="inlineStr">
        <is>
          <t>Totale_wekelijkse_uitgaven</t>
        </is>
      </c>
      <c r="H1" s="1" t="inlineStr">
        <is>
          <t>aantal bezoeken per maand</t>
        </is>
      </c>
      <c r="I1" s="1" t="inlineStr">
        <is>
          <t>Betaalwijze</t>
        </is>
      </c>
      <c r="J1" s="1" t="inlineStr">
        <is>
          <t>Tevreden_over_aanbod</t>
        </is>
      </c>
      <c r="K1" s="1" t="inlineStr">
        <is>
          <t>Tevreden_over_versheid</t>
        </is>
      </c>
      <c r="L1" s="1" t="inlineStr">
        <is>
          <t>Tevreden_over_winkelvoorraad</t>
        </is>
      </c>
      <c r="M1" s="1" t="inlineStr">
        <is>
          <t>Tevreden_over_wachttijden_kassa</t>
        </is>
      </c>
      <c r="N1" s="1" t="inlineStr">
        <is>
          <t>Tevreden_over_personeel</t>
        </is>
      </c>
      <c r="O1" s="1" t="inlineStr">
        <is>
          <t>Dieet</t>
        </is>
      </c>
      <c r="Q1" t="inlineStr">
        <is>
          <t>Aantal gezinsleden</t>
        </is>
      </c>
      <c r="R1" t="inlineStr">
        <is>
          <t>Bezoeken per maand</t>
        </is>
      </c>
      <c r="S1" t="inlineStr">
        <is>
          <t>Tevredenheid score</t>
        </is>
      </c>
      <c r="T1" t="inlineStr">
        <is>
          <t>Tevredenheidsniveau</t>
        </is>
      </c>
    </row>
    <row r="2">
      <c r="A2" t="inlineStr">
        <is>
          <t>Elfie</t>
        </is>
      </c>
      <c r="B2" t="inlineStr">
        <is>
          <t>De vos</t>
        </is>
      </c>
      <c r="C2" t="inlineStr">
        <is>
          <t>544.87301-63</t>
        </is>
      </c>
      <c r="D2" t="inlineStr">
        <is>
          <t>18/07/1973</t>
        </is>
      </c>
      <c r="E2" t="inlineStr">
        <is>
          <t>Meersstraat 61, 3840 Borgloon</t>
        </is>
      </c>
      <c r="F2" t="inlineStr">
        <is>
          <t>Elfie,Olga,Carl</t>
        </is>
      </c>
      <c r="G2" t="n">
        <v>163.5</v>
      </c>
      <c r="H2" t="n">
        <v>4</v>
      </c>
      <c r="I2" t="inlineStr">
        <is>
          <t>Creditcard</t>
        </is>
      </c>
      <c r="J2" t="inlineStr">
        <is>
          <t>nee</t>
        </is>
      </c>
      <c r="K2" t="inlineStr">
        <is>
          <t>nee</t>
        </is>
      </c>
      <c r="L2" t="inlineStr">
        <is>
          <t>nee</t>
        </is>
      </c>
      <c r="M2" t="inlineStr">
        <is>
          <t>ja</t>
        </is>
      </c>
      <c r="N2" t="inlineStr">
        <is>
          <t>ja</t>
        </is>
      </c>
      <c r="O2" t="inlineStr">
        <is>
          <t>Geen dieet</t>
        </is>
      </c>
      <c r="Q2">
        <f>LEN(G2)-LEN(SUBSTITUTE(G2,",",""))+1</f>
        <v/>
      </c>
      <c r="R2">
        <f>SWITCH(I2, "Zelden", 1, "Af en toe", 4, "Regelmatig", 8, "Vaak", 12)</f>
        <v/>
      </c>
      <c r="S2">
        <f>AVERAGE(--(K2="ja"), --(L2="ja"), --(M2="ja"), --(N2="ja"), --(O2="ja"))*10</f>
        <v/>
      </c>
      <c r="T2">
        <f>IF(S2&gt;=7, "Tevreden", "Ontevreden")</f>
        <v/>
      </c>
    </row>
    <row r="3">
      <c r="A3" t="inlineStr">
        <is>
          <t>Lenn</t>
        </is>
      </c>
      <c r="B3" t="inlineStr">
        <is>
          <t>Vaes</t>
        </is>
      </c>
      <c r="C3" t="inlineStr">
        <is>
          <t>660.36886-10</t>
        </is>
      </c>
      <c r="D3" t="inlineStr">
        <is>
          <t>22/10/1957</t>
        </is>
      </c>
      <c r="E3" t="inlineStr">
        <is>
          <t>Merelbekestationplein 7, 3620 Lanaken</t>
        </is>
      </c>
      <c r="F3" t="inlineStr">
        <is>
          <t>Lenn,Jakob,Véronique</t>
        </is>
      </c>
      <c r="G3" t="n">
        <v>156.51</v>
      </c>
      <c r="H3" t="n">
        <v>7</v>
      </c>
      <c r="I3" t="inlineStr">
        <is>
          <t>Cash</t>
        </is>
      </c>
      <c r="J3" t="inlineStr">
        <is>
          <t>ja</t>
        </is>
      </c>
      <c r="K3" t="inlineStr">
        <is>
          <t>ja</t>
        </is>
      </c>
      <c r="L3" t="inlineStr">
        <is>
          <t>ja</t>
        </is>
      </c>
      <c r="M3" t="inlineStr">
        <is>
          <t>ja</t>
        </is>
      </c>
      <c r="N3" t="inlineStr">
        <is>
          <t>ja</t>
        </is>
      </c>
      <c r="O3" t="inlineStr">
        <is>
          <t>Geen dieet</t>
        </is>
      </c>
      <c r="Q3">
        <f>LEN(G3)-LEN(SUBSTITUTE(G3,",",""))+1</f>
        <v/>
      </c>
      <c r="R3">
        <f>SWITCH(I3, "Zelden", 1, "Af en toe", 4, "Regelmatig", 8, "Vaak", 12)</f>
        <v/>
      </c>
      <c r="S3">
        <f>AVERAGE(--(K3="ja"), --(L3="ja"), --(M3="ja"), --(N3="ja"), --(O3="ja"))*10</f>
        <v/>
      </c>
      <c r="T3">
        <f>IF(S3&gt;=7, "Tevreden", "Ontevreden")</f>
        <v/>
      </c>
    </row>
    <row r="4">
      <c r="A4" t="inlineStr">
        <is>
          <t>Wendy</t>
        </is>
      </c>
      <c r="B4" t="inlineStr">
        <is>
          <t>Houben</t>
        </is>
      </c>
      <c r="C4" t="inlineStr">
        <is>
          <t>650.78215-45</t>
        </is>
      </c>
      <c r="D4" t="inlineStr">
        <is>
          <t>21/11/1999</t>
        </is>
      </c>
      <c r="E4" t="inlineStr">
        <is>
          <t>Jan Delvinlaan 37, 3800 Sint-Truiden</t>
        </is>
      </c>
      <c r="F4" t="inlineStr">
        <is>
          <t>Wendy,Biagio,Arthur,Vilmos,Tifany</t>
        </is>
      </c>
      <c r="G4" t="n">
        <v>190.86</v>
      </c>
      <c r="H4" t="n">
        <v>17</v>
      </c>
      <c r="I4" t="inlineStr">
        <is>
          <t>Bancontact</t>
        </is>
      </c>
      <c r="J4" t="inlineStr">
        <is>
          <t>ja</t>
        </is>
      </c>
      <c r="K4" t="inlineStr">
        <is>
          <t>ja</t>
        </is>
      </c>
      <c r="L4" t="inlineStr">
        <is>
          <t>ja</t>
        </is>
      </c>
      <c r="M4" t="inlineStr">
        <is>
          <t>ja</t>
        </is>
      </c>
      <c r="N4" t="inlineStr">
        <is>
          <t>ja</t>
        </is>
      </c>
      <c r="O4" t="inlineStr">
        <is>
          <t>Geen dieet</t>
        </is>
      </c>
      <c r="Q4">
        <f>LEN(G4)-LEN(SUBSTITUTE(G4,",",""))+1</f>
        <v/>
      </c>
      <c r="R4">
        <f>SWITCH(I4, "Zelden", 1, "Af en toe", 4, "Regelmatig", 8, "Vaak", 12)</f>
        <v/>
      </c>
      <c r="S4">
        <f>AVERAGE(--(K4="ja"), --(L4="ja"), --(M4="ja"), --(N4="ja"), --(O4="ja"))*10</f>
        <v/>
      </c>
      <c r="T4">
        <f>IF(S4&gt;=7, "Tevreden", "Ontevreden")</f>
        <v/>
      </c>
    </row>
    <row r="5">
      <c r="A5" t="inlineStr">
        <is>
          <t>Jade</t>
        </is>
      </c>
      <c r="B5" t="inlineStr">
        <is>
          <t>Swinnen</t>
        </is>
      </c>
      <c r="C5" t="inlineStr">
        <is>
          <t>247.57551-14</t>
        </is>
      </c>
      <c r="D5" t="inlineStr">
        <is>
          <t>23/03/1996</t>
        </is>
      </c>
      <c r="E5" t="inlineStr">
        <is>
          <t>Bredestraat 27, 3500 Hasselt</t>
        </is>
      </c>
      <c r="F5" t="inlineStr">
        <is>
          <t>Jade,Amelie</t>
        </is>
      </c>
      <c r="G5" t="n">
        <v>53.51</v>
      </c>
      <c r="H5" t="n">
        <v>12</v>
      </c>
      <c r="I5" t="inlineStr">
        <is>
          <t>Cash</t>
        </is>
      </c>
      <c r="J5" t="inlineStr">
        <is>
          <t>ja</t>
        </is>
      </c>
      <c r="K5" t="inlineStr">
        <is>
          <t>ja</t>
        </is>
      </c>
      <c r="L5" t="inlineStr">
        <is>
          <t>ja</t>
        </is>
      </c>
      <c r="M5" t="inlineStr">
        <is>
          <t>ja</t>
        </is>
      </c>
      <c r="N5" t="inlineStr">
        <is>
          <t>ja</t>
        </is>
      </c>
      <c r="O5" t="inlineStr">
        <is>
          <t>Geen dieet</t>
        </is>
      </c>
      <c r="Q5">
        <f>LEN(G5)-LEN(SUBSTITUTE(G5,",",""))+1</f>
        <v/>
      </c>
      <c r="R5">
        <f>SWITCH(I5, "Zelden", 1, "Af en toe", 4, "Regelmatig", 8, "Vaak", 12)</f>
        <v/>
      </c>
      <c r="S5">
        <f>AVERAGE(--(K5="ja"), --(L5="ja"), --(M5="ja"), --(N5="ja"), --(O5="ja"))*10</f>
        <v/>
      </c>
      <c r="T5">
        <f>IF(S5&gt;=7, "Tevreden", "Ontevreden")</f>
        <v/>
      </c>
    </row>
    <row r="6">
      <c r="A6" t="inlineStr">
        <is>
          <t>Catalina</t>
        </is>
      </c>
      <c r="B6" t="inlineStr">
        <is>
          <t>Janssen</t>
        </is>
      </c>
      <c r="C6" t="inlineStr">
        <is>
          <t>518.72078-76</t>
        </is>
      </c>
      <c r="D6" t="inlineStr">
        <is>
          <t>23/01/1974</t>
        </is>
      </c>
      <c r="E6" t="inlineStr">
        <is>
          <t>Jacob Van Arteveldestraat 10, 3930 Hamont-Achel</t>
        </is>
      </c>
      <c r="F6" t="inlineStr">
        <is>
          <t>Catalina,Matias</t>
        </is>
      </c>
      <c r="G6" t="n">
        <v>36.89</v>
      </c>
      <c r="H6" t="n">
        <v>5</v>
      </c>
      <c r="I6" t="inlineStr">
        <is>
          <t>Payconiq</t>
        </is>
      </c>
      <c r="J6" t="inlineStr">
        <is>
          <t>ja</t>
        </is>
      </c>
      <c r="K6" t="inlineStr">
        <is>
          <t>ja</t>
        </is>
      </c>
      <c r="L6" t="inlineStr">
        <is>
          <t>ja</t>
        </is>
      </c>
      <c r="M6" t="inlineStr">
        <is>
          <t>ja</t>
        </is>
      </c>
      <c r="N6" t="inlineStr">
        <is>
          <t>ja</t>
        </is>
      </c>
      <c r="O6" t="inlineStr">
        <is>
          <t>Geen dieet</t>
        </is>
      </c>
      <c r="Q6">
        <f>LEN(G6)-LEN(SUBSTITUTE(G6,",",""))+1</f>
        <v/>
      </c>
      <c r="R6">
        <f>SWITCH(I6, "Zelden", 1, "Af en toe", 4, "Regelmatig", 8, "Vaak", 12)</f>
        <v/>
      </c>
      <c r="S6">
        <f>AVERAGE(--(K6="ja"), --(L6="ja"), --(M6="ja"), --(N6="ja"), --(O6="ja"))*10</f>
        <v/>
      </c>
      <c r="T6">
        <f>IF(S6&gt;=7, "Tevreden", "Ontevreden")</f>
        <v/>
      </c>
    </row>
    <row r="7">
      <c r="A7" t="inlineStr">
        <is>
          <t>Maria</t>
        </is>
      </c>
      <c r="B7" t="inlineStr">
        <is>
          <t>Dierckx</t>
        </is>
      </c>
      <c r="C7" t="inlineStr">
        <is>
          <t>781.97644-15</t>
        </is>
      </c>
      <c r="D7" t="inlineStr">
        <is>
          <t>09/08/1954</t>
        </is>
      </c>
      <c r="E7" t="inlineStr">
        <is>
          <t>Oudekouter 65, 3600 Genk</t>
        </is>
      </c>
      <c r="F7" t="inlineStr">
        <is>
          <t>Maria,Leana</t>
        </is>
      </c>
      <c r="G7" t="n">
        <v>128.06</v>
      </c>
      <c r="H7" t="n">
        <v>7</v>
      </c>
      <c r="I7" t="inlineStr">
        <is>
          <t>Payconiq</t>
        </is>
      </c>
      <c r="J7" t="inlineStr">
        <is>
          <t>nee</t>
        </is>
      </c>
      <c r="K7" t="inlineStr">
        <is>
          <t>ja</t>
        </is>
      </c>
      <c r="L7" t="inlineStr">
        <is>
          <t>ja</t>
        </is>
      </c>
      <c r="M7" t="inlineStr">
        <is>
          <t>ja</t>
        </is>
      </c>
      <c r="N7" t="inlineStr">
        <is>
          <t>nee</t>
        </is>
      </c>
      <c r="O7" t="inlineStr">
        <is>
          <t>Geen dieet</t>
        </is>
      </c>
      <c r="Q7">
        <f>LEN(G7)-LEN(SUBSTITUTE(G7,",",""))+1</f>
        <v/>
      </c>
      <c r="R7">
        <f>SWITCH(I7, "Zelden", 1, "Af en toe", 4, "Regelmatig", 8, "Vaak", 12)</f>
        <v/>
      </c>
      <c r="S7">
        <f>AVERAGE(--(K7="ja"), --(L7="ja"), --(M7="ja"), --(N7="ja"), --(O7="ja"))*10</f>
        <v/>
      </c>
      <c r="T7">
        <f>IF(S7&gt;=7, "Tevreden", "Ontevreden")</f>
        <v/>
      </c>
    </row>
    <row r="8">
      <c r="A8" t="inlineStr">
        <is>
          <t>Généviève</t>
        </is>
      </c>
      <c r="B8" t="inlineStr">
        <is>
          <t>Heymans</t>
        </is>
      </c>
      <c r="C8" t="inlineStr">
        <is>
          <t>191.99640-65</t>
        </is>
      </c>
      <c r="D8" t="inlineStr">
        <is>
          <t>30/11/2005</t>
        </is>
      </c>
      <c r="E8" t="inlineStr">
        <is>
          <t>Blazoenstraat 1, 3630 Maasmechelen</t>
        </is>
      </c>
      <c r="F8" t="inlineStr">
        <is>
          <t>Généviève,Karel,Pascal,Tom</t>
        </is>
      </c>
      <c r="G8" t="n">
        <v>169.77</v>
      </c>
      <c r="H8" t="n">
        <v>15</v>
      </c>
      <c r="I8" t="inlineStr">
        <is>
          <t>Payconiq</t>
        </is>
      </c>
      <c r="J8" t="inlineStr">
        <is>
          <t>ja</t>
        </is>
      </c>
      <c r="K8" t="inlineStr">
        <is>
          <t>ja</t>
        </is>
      </c>
      <c r="L8" t="inlineStr">
        <is>
          <t>ja</t>
        </is>
      </c>
      <c r="M8" t="inlineStr">
        <is>
          <t>nee</t>
        </is>
      </c>
      <c r="N8" t="inlineStr">
        <is>
          <t>ja</t>
        </is>
      </c>
      <c r="O8" t="inlineStr">
        <is>
          <t>Geen dieet</t>
        </is>
      </c>
      <c r="Q8">
        <f>LEN(G8)-LEN(SUBSTITUTE(G8,",",""))+1</f>
        <v/>
      </c>
      <c r="R8">
        <f>SWITCH(I8, "Zelden", 1, "Af en toe", 4, "Regelmatig", 8, "Vaak", 12)</f>
        <v/>
      </c>
      <c r="S8">
        <f>AVERAGE(--(K8="ja"), --(L8="ja"), --(M8="ja"), --(N8="ja"), --(O8="ja"))*10</f>
        <v/>
      </c>
      <c r="T8">
        <f>IF(S8&gt;=7, "Tevreden", "Ontevreden")</f>
        <v/>
      </c>
    </row>
    <row r="9">
      <c r="A9" t="inlineStr">
        <is>
          <t>Hugo</t>
        </is>
      </c>
      <c r="B9" t="inlineStr">
        <is>
          <t>Moreau</t>
        </is>
      </c>
      <c r="C9" t="inlineStr">
        <is>
          <t>753.57915-21</t>
        </is>
      </c>
      <c r="D9" t="inlineStr">
        <is>
          <t>20/01/1988</t>
        </is>
      </c>
      <c r="E9" t="inlineStr">
        <is>
          <t>Pilorijnstraat 31, 3891 Meilen</t>
        </is>
      </c>
      <c r="F9" t="inlineStr">
        <is>
          <t>Hugo,Cecilia</t>
        </is>
      </c>
      <c r="G9" t="n">
        <v>140.42</v>
      </c>
      <c r="H9" t="n">
        <v>6</v>
      </c>
      <c r="I9" t="inlineStr">
        <is>
          <t>Cash</t>
        </is>
      </c>
      <c r="J9" t="inlineStr">
        <is>
          <t>nee</t>
        </is>
      </c>
      <c r="K9" t="inlineStr">
        <is>
          <t>ja</t>
        </is>
      </c>
      <c r="L9" t="inlineStr">
        <is>
          <t>nee</t>
        </is>
      </c>
      <c r="M9" t="inlineStr">
        <is>
          <t>nee</t>
        </is>
      </c>
      <c r="N9" t="inlineStr">
        <is>
          <t>nee</t>
        </is>
      </c>
      <c r="O9" t="inlineStr">
        <is>
          <t>Geen dieet</t>
        </is>
      </c>
      <c r="Q9">
        <f>LEN(G9)-LEN(SUBSTITUTE(G9,",",""))+1</f>
        <v/>
      </c>
      <c r="R9">
        <f>SWITCH(I9, "Zelden", 1, "Af en toe", 4, "Regelmatig", 8, "Vaak", 12)</f>
        <v/>
      </c>
      <c r="S9">
        <f>AVERAGE(--(K9="ja"), --(L9="ja"), --(M9="ja"), --(N9="ja"), --(O9="ja"))*10</f>
        <v/>
      </c>
      <c r="T9">
        <f>IF(S9&gt;=7, "Tevreden", "Ontevreden")</f>
        <v/>
      </c>
    </row>
    <row r="10">
      <c r="A10" t="inlineStr">
        <is>
          <t>Jozef</t>
        </is>
      </c>
      <c r="B10" t="inlineStr">
        <is>
          <t>Lemmens</t>
        </is>
      </c>
      <c r="C10" t="inlineStr">
        <is>
          <t>292.33788-95</t>
        </is>
      </c>
      <c r="D10" t="inlineStr">
        <is>
          <t>02/02/2000</t>
        </is>
      </c>
      <c r="E10" t="inlineStr">
        <is>
          <t>Voorhoutkaai 4, 3545 Halen</t>
        </is>
      </c>
      <c r="F10" t="inlineStr">
        <is>
          <t>Jozef,Jeff</t>
        </is>
      </c>
      <c r="G10" t="n">
        <v>113.21</v>
      </c>
      <c r="H10" t="n">
        <v>11</v>
      </c>
      <c r="I10" t="inlineStr">
        <is>
          <t>Payconiq</t>
        </is>
      </c>
      <c r="J10" t="inlineStr">
        <is>
          <t>ja</t>
        </is>
      </c>
      <c r="K10" t="inlineStr">
        <is>
          <t>nee</t>
        </is>
      </c>
      <c r="L10" t="inlineStr">
        <is>
          <t>ja</t>
        </is>
      </c>
      <c r="M10" t="inlineStr">
        <is>
          <t>ja</t>
        </is>
      </c>
      <c r="N10" t="inlineStr">
        <is>
          <t>ja</t>
        </is>
      </c>
      <c r="O10" t="inlineStr">
        <is>
          <t>Geen dieet</t>
        </is>
      </c>
      <c r="Q10">
        <f>LEN(G10)-LEN(SUBSTITUTE(G10,",",""))+1</f>
        <v/>
      </c>
      <c r="R10">
        <f>SWITCH(I10, "Zelden", 1, "Af en toe", 4, "Regelmatig", 8, "Vaak", 12)</f>
        <v/>
      </c>
      <c r="S10">
        <f>AVERAGE(--(K10="ja"), --(L10="ja"), --(M10="ja"), --(N10="ja"), --(O10="ja"))*10</f>
        <v/>
      </c>
      <c r="T10">
        <f>IF(S10&gt;=7, "Tevreden", "Ontevreden")</f>
        <v/>
      </c>
    </row>
    <row r="11">
      <c r="A11" t="inlineStr">
        <is>
          <t>Jan</t>
        </is>
      </c>
      <c r="B11" t="inlineStr">
        <is>
          <t>Etienne</t>
        </is>
      </c>
      <c r="C11" t="inlineStr">
        <is>
          <t>97.23464-86</t>
        </is>
      </c>
      <c r="D11" t="inlineStr">
        <is>
          <t>20/07/1988</t>
        </is>
      </c>
      <c r="E11" t="inlineStr">
        <is>
          <t>Brugstraat 51, 3500 Hasselt</t>
        </is>
      </c>
      <c r="F11" t="inlineStr">
        <is>
          <t>Jan,Hatice,Maria,Youssef</t>
        </is>
      </c>
      <c r="G11" t="n">
        <v>199.74</v>
      </c>
      <c r="H11" t="n">
        <v>16</v>
      </c>
      <c r="I11" t="inlineStr">
        <is>
          <t>Bancontact</t>
        </is>
      </c>
      <c r="J11" t="inlineStr">
        <is>
          <t>ja</t>
        </is>
      </c>
      <c r="K11" t="inlineStr">
        <is>
          <t>ja</t>
        </is>
      </c>
      <c r="L11" t="inlineStr">
        <is>
          <t>ja</t>
        </is>
      </c>
      <c r="M11" t="inlineStr">
        <is>
          <t>ja</t>
        </is>
      </c>
      <c r="N11" t="inlineStr">
        <is>
          <t>ja</t>
        </is>
      </c>
      <c r="O11" t="inlineStr">
        <is>
          <t>Geen dieet</t>
        </is>
      </c>
      <c r="Q11">
        <f>LEN(G11)-LEN(SUBSTITUTE(G11,",",""))+1</f>
        <v/>
      </c>
      <c r="R11">
        <f>SWITCH(I11, "Zelden", 1, "Af en toe", 4, "Regelmatig", 8, "Vaak", 12)</f>
        <v/>
      </c>
      <c r="S11">
        <f>AVERAGE(--(K11="ja"), --(L11="ja"), --(M11="ja"), --(N11="ja"), --(O11="ja"))*10</f>
        <v/>
      </c>
      <c r="T11">
        <f>IF(S11&gt;=7, "Tevreden", "Ontevreden")</f>
        <v/>
      </c>
    </row>
    <row r="12">
      <c r="A12" t="inlineStr">
        <is>
          <t>Tony</t>
        </is>
      </c>
      <c r="B12" t="inlineStr">
        <is>
          <t>Lecomte</t>
        </is>
      </c>
      <c r="C12" t="inlineStr">
        <is>
          <t>312.55101-85</t>
        </is>
      </c>
      <c r="D12" t="inlineStr">
        <is>
          <t>05/04/1962</t>
        </is>
      </c>
      <c r="E12" t="inlineStr">
        <is>
          <t>Eendrachtstraat 72, 3600 Genk</t>
        </is>
      </c>
      <c r="F12" t="inlineStr">
        <is>
          <t>Tony,Abdelatif,Vittorio,Boudewijn</t>
        </is>
      </c>
      <c r="G12" t="n">
        <v>49.87</v>
      </c>
      <c r="H12" t="n">
        <v>11</v>
      </c>
      <c r="I12" t="inlineStr">
        <is>
          <t>Payconiq</t>
        </is>
      </c>
      <c r="J12" t="inlineStr">
        <is>
          <t>ja</t>
        </is>
      </c>
      <c r="K12" t="inlineStr">
        <is>
          <t>ja</t>
        </is>
      </c>
      <c r="L12" t="inlineStr">
        <is>
          <t>ja</t>
        </is>
      </c>
      <c r="M12" t="inlineStr">
        <is>
          <t>ja</t>
        </is>
      </c>
      <c r="N12" t="inlineStr">
        <is>
          <t>nee</t>
        </is>
      </c>
      <c r="O12" t="inlineStr">
        <is>
          <t>Geen dieet</t>
        </is>
      </c>
      <c r="Q12">
        <f>LEN(G12)-LEN(SUBSTITUTE(G12,",",""))+1</f>
        <v/>
      </c>
      <c r="R12">
        <f>SWITCH(I12, "Zelden", 1, "Af en toe", 4, "Regelmatig", 8, "Vaak", 12)</f>
        <v/>
      </c>
      <c r="S12">
        <f>AVERAGE(--(K12="ja"), --(L12="ja"), --(M12="ja"), --(N12="ja"), --(O12="ja"))*10</f>
        <v/>
      </c>
      <c r="T12">
        <f>IF(S12&gt;=7, "Tevreden", "Ontevreden")</f>
        <v/>
      </c>
    </row>
    <row r="13">
      <c r="A13" t="inlineStr">
        <is>
          <t>Ruth</t>
        </is>
      </c>
      <c r="B13" t="inlineStr">
        <is>
          <t>De bruyn</t>
        </is>
      </c>
      <c r="C13" t="inlineStr">
        <is>
          <t>164.51453-79</t>
        </is>
      </c>
      <c r="D13" t="inlineStr">
        <is>
          <t>26/01/1974</t>
        </is>
      </c>
      <c r="E13" t="inlineStr">
        <is>
          <t>Luxemburgstraat 25, 3831 Herten</t>
        </is>
      </c>
      <c r="F13" t="inlineStr">
        <is>
          <t>Ruth,Brigitte</t>
        </is>
      </c>
      <c r="G13" t="n">
        <v>128.28</v>
      </c>
      <c r="H13" t="n">
        <v>6</v>
      </c>
      <c r="I13" t="inlineStr">
        <is>
          <t>Bancontact</t>
        </is>
      </c>
      <c r="J13" t="inlineStr">
        <is>
          <t>nee</t>
        </is>
      </c>
      <c r="K13" t="inlineStr">
        <is>
          <t>nee</t>
        </is>
      </c>
      <c r="L13" t="inlineStr">
        <is>
          <t>ja</t>
        </is>
      </c>
      <c r="M13" t="inlineStr">
        <is>
          <t>nee</t>
        </is>
      </c>
      <c r="N13" t="inlineStr">
        <is>
          <t>ja</t>
        </is>
      </c>
      <c r="O13" t="inlineStr">
        <is>
          <t>Vegetarisch</t>
        </is>
      </c>
      <c r="Q13">
        <f>LEN(G13)-LEN(SUBSTITUTE(G13,",",""))+1</f>
        <v/>
      </c>
      <c r="R13">
        <f>SWITCH(I13, "Zelden", 1, "Af en toe", 4, "Regelmatig", 8, "Vaak", 12)</f>
        <v/>
      </c>
      <c r="S13">
        <f>AVERAGE(--(K13="ja"), --(L13="ja"), --(M13="ja"), --(N13="ja"), --(O13="ja"))*10</f>
        <v/>
      </c>
      <c r="T13">
        <f>IF(S13&gt;=7, "Tevreden", "Ontevreden")</f>
        <v/>
      </c>
    </row>
    <row r="14">
      <c r="A14" t="inlineStr">
        <is>
          <t>Amber</t>
        </is>
      </c>
      <c r="B14" t="inlineStr">
        <is>
          <t>Parmentier</t>
        </is>
      </c>
      <c r="C14" t="inlineStr">
        <is>
          <t>551.15584-47</t>
        </is>
      </c>
      <c r="D14" t="inlineStr">
        <is>
          <t>07/12/1984</t>
        </is>
      </c>
      <c r="E14" t="inlineStr">
        <is>
          <t>Jozef Kluyskensstraat 35, 3970 Leopoldsburg</t>
        </is>
      </c>
      <c r="F14" t="inlineStr">
        <is>
          <t>Amber,Leen</t>
        </is>
      </c>
      <c r="G14" t="n">
        <v>40.51</v>
      </c>
      <c r="H14" t="n">
        <v>12</v>
      </c>
      <c r="I14" t="inlineStr">
        <is>
          <t>Payconiq</t>
        </is>
      </c>
      <c r="J14" t="inlineStr">
        <is>
          <t>ja</t>
        </is>
      </c>
      <c r="K14" t="inlineStr">
        <is>
          <t>ja</t>
        </is>
      </c>
      <c r="L14" t="inlineStr">
        <is>
          <t>ja</t>
        </is>
      </c>
      <c r="M14" t="inlineStr">
        <is>
          <t>ja</t>
        </is>
      </c>
      <c r="N14" t="inlineStr">
        <is>
          <t>ja</t>
        </is>
      </c>
      <c r="O14" t="inlineStr">
        <is>
          <t>Geen dieet</t>
        </is>
      </c>
      <c r="Q14">
        <f>LEN(G14)-LEN(SUBSTITUTE(G14,",",""))+1</f>
        <v/>
      </c>
      <c r="R14">
        <f>SWITCH(I14, "Zelden", 1, "Af en toe", 4, "Regelmatig", 8, "Vaak", 12)</f>
        <v/>
      </c>
      <c r="S14">
        <f>AVERAGE(--(K14="ja"), --(L14="ja"), --(M14="ja"), --(N14="ja"), --(O14="ja"))*10</f>
        <v/>
      </c>
      <c r="T14">
        <f>IF(S14&gt;=7, "Tevreden", "Ontevreden")</f>
        <v/>
      </c>
    </row>
    <row r="15">
      <c r="A15" t="inlineStr">
        <is>
          <t>Stijn</t>
        </is>
      </c>
      <c r="B15" t="inlineStr">
        <is>
          <t>Van den bergh</t>
        </is>
      </c>
      <c r="C15" t="inlineStr">
        <is>
          <t>494.28676-66</t>
        </is>
      </c>
      <c r="D15" t="inlineStr">
        <is>
          <t>09/05/1969</t>
        </is>
      </c>
      <c r="E15" t="inlineStr">
        <is>
          <t>Mageleinstraat 59, 3630 Maasmechelen</t>
        </is>
      </c>
      <c r="F15" t="inlineStr">
        <is>
          <t>Stijn,Diana</t>
        </is>
      </c>
      <c r="G15" t="n">
        <v>144.64</v>
      </c>
      <c r="H15" t="n">
        <v>8</v>
      </c>
      <c r="I15" t="inlineStr">
        <is>
          <t>Payconiq</t>
        </is>
      </c>
      <c r="J15" t="inlineStr">
        <is>
          <t>ja</t>
        </is>
      </c>
      <c r="K15" t="inlineStr">
        <is>
          <t>nee</t>
        </is>
      </c>
      <c r="L15" t="inlineStr">
        <is>
          <t>nee</t>
        </is>
      </c>
      <c r="M15" t="inlineStr">
        <is>
          <t>ja</t>
        </is>
      </c>
      <c r="N15" t="inlineStr">
        <is>
          <t>ja</t>
        </is>
      </c>
      <c r="O15" t="inlineStr">
        <is>
          <t>Geen dieet</t>
        </is>
      </c>
      <c r="Q15">
        <f>LEN(G15)-LEN(SUBSTITUTE(G15,",",""))+1</f>
        <v/>
      </c>
      <c r="R15">
        <f>SWITCH(I15, "Zelden", 1, "Af en toe", 4, "Regelmatig", 8, "Vaak", 12)</f>
        <v/>
      </c>
      <c r="S15">
        <f>AVERAGE(--(K15="ja"), --(L15="ja"), --(M15="ja"), --(N15="ja"), --(O15="ja"))*10</f>
        <v/>
      </c>
      <c r="T15">
        <f>IF(S15&gt;=7, "Tevreden", "Ontevreden")</f>
        <v/>
      </c>
    </row>
    <row r="16">
      <c r="A16" t="inlineStr">
        <is>
          <t>Thomas</t>
        </is>
      </c>
      <c r="B16" t="inlineStr">
        <is>
          <t>Simons</t>
        </is>
      </c>
      <c r="C16" t="inlineStr">
        <is>
          <t>341.77274-78</t>
        </is>
      </c>
      <c r="D16" t="inlineStr">
        <is>
          <t>16/12/1980</t>
        </is>
      </c>
      <c r="E16" t="inlineStr">
        <is>
          <t>Oktrooiplein 29, 3700 Tongeren</t>
        </is>
      </c>
      <c r="F16" t="inlineStr">
        <is>
          <t>Thomas,Boas,Milagros,Kemal</t>
        </is>
      </c>
      <c r="G16" t="n">
        <v>86.75</v>
      </c>
      <c r="H16" t="n">
        <v>2</v>
      </c>
      <c r="I16" t="inlineStr">
        <is>
          <t>Payconiq</t>
        </is>
      </c>
      <c r="J16" t="inlineStr">
        <is>
          <t>ja</t>
        </is>
      </c>
      <c r="K16" t="inlineStr">
        <is>
          <t>ja</t>
        </is>
      </c>
      <c r="L16" t="inlineStr">
        <is>
          <t>ja</t>
        </is>
      </c>
      <c r="M16" t="inlineStr">
        <is>
          <t>ja</t>
        </is>
      </c>
      <c r="N16" t="inlineStr">
        <is>
          <t>ja</t>
        </is>
      </c>
      <c r="O16" t="inlineStr">
        <is>
          <t>Geen dieet</t>
        </is>
      </c>
      <c r="Q16">
        <f>LEN(G16)-LEN(SUBSTITUTE(G16,",",""))+1</f>
        <v/>
      </c>
      <c r="R16">
        <f>SWITCH(I16, "Zelden", 1, "Af en toe", 4, "Regelmatig", 8, "Vaak", 12)</f>
        <v/>
      </c>
      <c r="S16">
        <f>AVERAGE(--(K16="ja"), --(L16="ja"), --(M16="ja"), --(N16="ja"), --(O16="ja"))*10</f>
        <v/>
      </c>
      <c r="T16">
        <f>IF(S16&gt;=7, "Tevreden", "Ontevreden")</f>
        <v/>
      </c>
    </row>
    <row r="17">
      <c r="A17" t="inlineStr">
        <is>
          <t>Aïcha</t>
        </is>
      </c>
      <c r="B17" t="inlineStr">
        <is>
          <t>Beckers</t>
        </is>
      </c>
      <c r="C17" t="inlineStr">
        <is>
          <t>77.93855-85</t>
        </is>
      </c>
      <c r="D17" t="inlineStr">
        <is>
          <t>15/04/1945</t>
        </is>
      </c>
      <c r="E17" t="inlineStr">
        <is>
          <t>Twaalfapostelenstraat 133, 3520 Zonhoven</t>
        </is>
      </c>
      <c r="F17" t="inlineStr">
        <is>
          <t>Aïcha,Eva</t>
        </is>
      </c>
      <c r="G17" t="n">
        <v>61.43</v>
      </c>
      <c r="H17" t="n">
        <v>8</v>
      </c>
      <c r="I17" t="inlineStr">
        <is>
          <t>Payconiq</t>
        </is>
      </c>
      <c r="J17" t="inlineStr">
        <is>
          <t>nee</t>
        </is>
      </c>
      <c r="K17" t="inlineStr">
        <is>
          <t>ja</t>
        </is>
      </c>
      <c r="L17" t="inlineStr">
        <is>
          <t>ja</t>
        </is>
      </c>
      <c r="M17" t="inlineStr">
        <is>
          <t>ja</t>
        </is>
      </c>
      <c r="N17" t="inlineStr">
        <is>
          <t>ja</t>
        </is>
      </c>
      <c r="O17" t="inlineStr">
        <is>
          <t>Geen dieet</t>
        </is>
      </c>
      <c r="Q17">
        <f>LEN(G17)-LEN(SUBSTITUTE(G17,",",""))+1</f>
        <v/>
      </c>
      <c r="R17">
        <f>SWITCH(I17, "Zelden", 1, "Af en toe", 4, "Regelmatig", 8, "Vaak", 12)</f>
        <v/>
      </c>
      <c r="S17">
        <f>AVERAGE(--(K17="ja"), --(L17="ja"), --(M17="ja"), --(N17="ja"), --(O17="ja"))*10</f>
        <v/>
      </c>
      <c r="T17">
        <f>IF(S17&gt;=7, "Tevreden", "Ontevreden")</f>
        <v/>
      </c>
    </row>
    <row r="18">
      <c r="A18" t="inlineStr">
        <is>
          <t>Sybille</t>
        </is>
      </c>
      <c r="B18" t="inlineStr">
        <is>
          <t>Bogaert</t>
        </is>
      </c>
      <c r="C18" t="inlineStr">
        <is>
          <t>511.52386-37</t>
        </is>
      </c>
      <c r="D18" t="inlineStr">
        <is>
          <t>08/07/1947</t>
        </is>
      </c>
      <c r="E18" t="inlineStr">
        <is>
          <t>Sint-elisabethplein 4, 3650 Dilsen-Stokkem</t>
        </is>
      </c>
      <c r="F18" t="inlineStr">
        <is>
          <t>Sybille,Eric</t>
        </is>
      </c>
      <c r="G18" t="n">
        <v>70.45999999999999</v>
      </c>
      <c r="H18" t="n">
        <v>1</v>
      </c>
      <c r="I18" t="inlineStr">
        <is>
          <t>Bancontact</t>
        </is>
      </c>
      <c r="J18" t="inlineStr">
        <is>
          <t>nee</t>
        </is>
      </c>
      <c r="K18" t="inlineStr">
        <is>
          <t>ja</t>
        </is>
      </c>
      <c r="L18" t="inlineStr">
        <is>
          <t>ja</t>
        </is>
      </c>
      <c r="M18" t="inlineStr">
        <is>
          <t>ja</t>
        </is>
      </c>
      <c r="N18" t="inlineStr">
        <is>
          <t>nee</t>
        </is>
      </c>
      <c r="O18" t="inlineStr">
        <is>
          <t>Vegetarisch</t>
        </is>
      </c>
      <c r="Q18">
        <f>LEN(G18)-LEN(SUBSTITUTE(G18,",",""))+1</f>
        <v/>
      </c>
      <c r="R18">
        <f>SWITCH(I18, "Zelden", 1, "Af en toe", 4, "Regelmatig", 8, "Vaak", 12)</f>
        <v/>
      </c>
      <c r="S18">
        <f>AVERAGE(--(K18="ja"), --(L18="ja"), --(M18="ja"), --(N18="ja"), --(O18="ja"))*10</f>
        <v/>
      </c>
      <c r="T18">
        <f>IF(S18&gt;=7, "Tevreden", "Ontevreden")</f>
        <v/>
      </c>
    </row>
    <row r="19">
      <c r="A19" t="inlineStr">
        <is>
          <t>Cécile</t>
        </is>
      </c>
      <c r="B19" t="inlineStr">
        <is>
          <t>Goossens</t>
        </is>
      </c>
      <c r="C19" t="inlineStr">
        <is>
          <t>752.26548-29</t>
        </is>
      </c>
      <c r="D19" t="inlineStr">
        <is>
          <t>01/03/1972</t>
        </is>
      </c>
      <c r="E19" t="inlineStr">
        <is>
          <t>Ottergemsesteenweg 95, 3831 Herten</t>
        </is>
      </c>
      <c r="F19" t="inlineStr">
        <is>
          <t>Cécile,Hesham,Yusuf</t>
        </is>
      </c>
      <c r="G19" t="n">
        <v>64.22</v>
      </c>
      <c r="H19" t="n">
        <v>11</v>
      </c>
      <c r="I19" t="inlineStr">
        <is>
          <t>Bancontact</t>
        </is>
      </c>
      <c r="J19" t="inlineStr">
        <is>
          <t>ja</t>
        </is>
      </c>
      <c r="K19" t="inlineStr">
        <is>
          <t>ja</t>
        </is>
      </c>
      <c r="L19" t="inlineStr">
        <is>
          <t>ja</t>
        </is>
      </c>
      <c r="M19" t="inlineStr">
        <is>
          <t>ja</t>
        </is>
      </c>
      <c r="N19" t="inlineStr">
        <is>
          <t>ja</t>
        </is>
      </c>
      <c r="O19" t="inlineStr">
        <is>
          <t>Geen dieet</t>
        </is>
      </c>
      <c r="Q19">
        <f>LEN(G19)-LEN(SUBSTITUTE(G19,",",""))+1</f>
        <v/>
      </c>
      <c r="R19">
        <f>SWITCH(I19, "Zelden", 1, "Af en toe", 4, "Regelmatig", 8, "Vaak", 12)</f>
        <v/>
      </c>
      <c r="S19">
        <f>AVERAGE(--(K19="ja"), --(L19="ja"), --(M19="ja"), --(N19="ja"), --(O19="ja"))*10</f>
        <v/>
      </c>
      <c r="T19">
        <f>IF(S19&gt;=7, "Tevreden", "Ontevreden")</f>
        <v/>
      </c>
    </row>
    <row r="20">
      <c r="A20" t="inlineStr">
        <is>
          <t>Alexandra</t>
        </is>
      </c>
      <c r="B20" t="inlineStr">
        <is>
          <t>Martin</t>
        </is>
      </c>
      <c r="C20" t="inlineStr">
        <is>
          <t>193.78350-27</t>
        </is>
      </c>
      <c r="D20" t="inlineStr">
        <is>
          <t>04/11/1947</t>
        </is>
      </c>
      <c r="E20" t="inlineStr">
        <is>
          <t>Fritz De Beulestraat 28, 3831 Herten</t>
        </is>
      </c>
      <c r="F20" t="inlineStr">
        <is>
          <t>Alexandra,Sabine,Franscine</t>
        </is>
      </c>
      <c r="G20" t="n">
        <v>112.34</v>
      </c>
      <c r="H20" t="n">
        <v>19</v>
      </c>
      <c r="I20" t="inlineStr">
        <is>
          <t>Bancontact</t>
        </is>
      </c>
      <c r="J20" t="inlineStr">
        <is>
          <t>ja</t>
        </is>
      </c>
      <c r="K20" t="inlineStr">
        <is>
          <t>ja</t>
        </is>
      </c>
      <c r="L20" t="inlineStr">
        <is>
          <t>nee</t>
        </is>
      </c>
      <c r="M20" t="inlineStr">
        <is>
          <t>nee</t>
        </is>
      </c>
      <c r="N20" t="inlineStr">
        <is>
          <t>ja</t>
        </is>
      </c>
      <c r="O20" t="inlineStr">
        <is>
          <t>Geen dieet</t>
        </is>
      </c>
      <c r="Q20">
        <f>LEN(G20)-LEN(SUBSTITUTE(G20,",",""))+1</f>
        <v/>
      </c>
      <c r="R20">
        <f>SWITCH(I20, "Zelden", 1, "Af en toe", 4, "Regelmatig", 8, "Vaak", 12)</f>
        <v/>
      </c>
      <c r="S20">
        <f>AVERAGE(--(K20="ja"), --(L20="ja"), --(M20="ja"), --(N20="ja"), --(O20="ja"))*10</f>
        <v/>
      </c>
      <c r="T20">
        <f>IF(S20&gt;=7, "Tevreden", "Ontevreden")</f>
        <v/>
      </c>
    </row>
    <row r="21">
      <c r="A21" t="inlineStr">
        <is>
          <t>Sabrina</t>
        </is>
      </c>
      <c r="B21" t="inlineStr">
        <is>
          <t>Gilles</t>
        </is>
      </c>
      <c r="C21" t="inlineStr">
        <is>
          <t>867.83193-57</t>
        </is>
      </c>
      <c r="D21" t="inlineStr">
        <is>
          <t>04/10/2003</t>
        </is>
      </c>
      <c r="E21" t="inlineStr">
        <is>
          <t>Alpacastraat 7, 3980 Tessenderlo</t>
        </is>
      </c>
      <c r="F21" t="inlineStr">
        <is>
          <t>Sabrina,Jimmy,Patrick,Maïté</t>
        </is>
      </c>
      <c r="G21" t="n">
        <v>212.66</v>
      </c>
      <c r="H21" t="n">
        <v>14</v>
      </c>
      <c r="I21" t="inlineStr">
        <is>
          <t>Payconiq</t>
        </is>
      </c>
      <c r="J21" t="inlineStr">
        <is>
          <t>ja</t>
        </is>
      </c>
      <c r="K21" t="inlineStr">
        <is>
          <t>ja</t>
        </is>
      </c>
      <c r="L21" t="inlineStr">
        <is>
          <t>ja</t>
        </is>
      </c>
      <c r="M21" t="inlineStr">
        <is>
          <t>ja</t>
        </is>
      </c>
      <c r="N21" t="inlineStr">
        <is>
          <t>ja</t>
        </is>
      </c>
      <c r="O21" t="inlineStr">
        <is>
          <t>Geen dieet</t>
        </is>
      </c>
      <c r="Q21">
        <f>LEN(G21)-LEN(SUBSTITUTE(G21,",",""))+1</f>
        <v/>
      </c>
      <c r="R21">
        <f>SWITCH(I21, "Zelden", 1, "Af en toe", 4, "Regelmatig", 8, "Vaak", 12)</f>
        <v/>
      </c>
      <c r="S21">
        <f>AVERAGE(--(K21="ja"), --(L21="ja"), --(M21="ja"), --(N21="ja"), --(O21="ja"))*10</f>
        <v/>
      </c>
      <c r="T21">
        <f>IF(S21&gt;=7, "Tevreden", "Ontevreden")</f>
        <v/>
      </c>
    </row>
    <row r="22">
      <c r="A22" t="inlineStr">
        <is>
          <t>Cornelis</t>
        </is>
      </c>
      <c r="B22" t="inlineStr">
        <is>
          <t>Fernandez</t>
        </is>
      </c>
      <c r="C22" t="inlineStr">
        <is>
          <t>793.34724-37</t>
        </is>
      </c>
      <c r="D22" t="inlineStr">
        <is>
          <t>12/06/1979</t>
        </is>
      </c>
      <c r="E22" t="inlineStr">
        <is>
          <t>Predikherenlei 21, 3830 Wellen</t>
        </is>
      </c>
      <c r="F22" t="inlineStr">
        <is>
          <t>Cornelis,Shany,Frans,Fatima,Thomas</t>
        </is>
      </c>
      <c r="G22" t="n">
        <v>110.65</v>
      </c>
      <c r="H22" t="n">
        <v>12</v>
      </c>
      <c r="I22" t="inlineStr">
        <is>
          <t>Bancontact</t>
        </is>
      </c>
      <c r="J22" t="inlineStr">
        <is>
          <t>ja</t>
        </is>
      </c>
      <c r="K22" t="inlineStr">
        <is>
          <t>ja</t>
        </is>
      </c>
      <c r="L22" t="inlineStr">
        <is>
          <t>nee</t>
        </is>
      </c>
      <c r="M22" t="inlineStr">
        <is>
          <t>ja</t>
        </is>
      </c>
      <c r="N22" t="inlineStr">
        <is>
          <t>ja</t>
        </is>
      </c>
      <c r="O22" t="inlineStr">
        <is>
          <t>Geen dieet</t>
        </is>
      </c>
      <c r="Q22">
        <f>LEN(G22)-LEN(SUBSTITUTE(G22,",",""))+1</f>
        <v/>
      </c>
      <c r="R22">
        <f>SWITCH(I22, "Zelden", 1, "Af en toe", 4, "Regelmatig", 8, "Vaak", 12)</f>
        <v/>
      </c>
      <c r="S22">
        <f>AVERAGE(--(K22="ja"), --(L22="ja"), --(M22="ja"), --(N22="ja"), --(O22="ja"))*10</f>
        <v/>
      </c>
      <c r="T22">
        <f>IF(S22&gt;=7, "Tevreden", "Ontevreden")</f>
        <v/>
      </c>
    </row>
    <row r="23">
      <c r="A23" t="inlineStr">
        <is>
          <t>Constantin</t>
        </is>
      </c>
      <c r="B23" t="inlineStr">
        <is>
          <t>Smets</t>
        </is>
      </c>
      <c r="C23" t="inlineStr">
        <is>
          <t>211.52042-53</t>
        </is>
      </c>
      <c r="D23" t="inlineStr">
        <is>
          <t>09/01/1994</t>
        </is>
      </c>
      <c r="E23" t="inlineStr">
        <is>
          <t>Herfststraat 76, 3770 Oud-Vroenhoven</t>
        </is>
      </c>
      <c r="F23" t="inlineStr">
        <is>
          <t>Constantin,Mélina,Johan,Chantal</t>
        </is>
      </c>
      <c r="G23" t="n">
        <v>266.46</v>
      </c>
      <c r="H23" t="n">
        <v>8</v>
      </c>
      <c r="I23" t="inlineStr">
        <is>
          <t>Creditcard</t>
        </is>
      </c>
      <c r="J23" t="inlineStr">
        <is>
          <t>ja</t>
        </is>
      </c>
      <c r="K23" t="inlineStr">
        <is>
          <t>nee</t>
        </is>
      </c>
      <c r="L23" t="inlineStr">
        <is>
          <t>nee</t>
        </is>
      </c>
      <c r="M23" t="inlineStr">
        <is>
          <t>ja</t>
        </is>
      </c>
      <c r="N23" t="inlineStr">
        <is>
          <t>ja</t>
        </is>
      </c>
      <c r="O23" t="inlineStr">
        <is>
          <t>Geen dieet</t>
        </is>
      </c>
      <c r="Q23">
        <f>LEN(G23)-LEN(SUBSTITUTE(G23,",",""))+1</f>
        <v/>
      </c>
      <c r="R23">
        <f>SWITCH(I23, "Zelden", 1, "Af en toe", 4, "Regelmatig", 8, "Vaak", 12)</f>
        <v/>
      </c>
      <c r="S23">
        <f>AVERAGE(--(K23="ja"), --(L23="ja"), --(M23="ja"), --(N23="ja"), --(O23="ja"))*10</f>
        <v/>
      </c>
      <c r="T23">
        <f>IF(S23&gt;=7, "Tevreden", "Ontevreden")</f>
        <v/>
      </c>
    </row>
    <row r="24">
      <c r="A24" t="inlineStr">
        <is>
          <t>Ivo</t>
        </is>
      </c>
      <c r="B24" t="inlineStr">
        <is>
          <t>Dewaele</t>
        </is>
      </c>
      <c r="C24" t="inlineStr">
        <is>
          <t>168.14122-20</t>
        </is>
      </c>
      <c r="D24" t="inlineStr">
        <is>
          <t>23/02/2000</t>
        </is>
      </c>
      <c r="E24" t="inlineStr">
        <is>
          <t>Harlekijnstraat 106, 3600 Genk</t>
        </is>
      </c>
      <c r="F24" t="inlineStr">
        <is>
          <t>Ivo,Liliane,Michèle</t>
        </is>
      </c>
      <c r="G24" t="n">
        <v>142.5</v>
      </c>
      <c r="H24" t="n">
        <v>13</v>
      </c>
      <c r="I24" t="inlineStr">
        <is>
          <t>Bancontact</t>
        </is>
      </c>
      <c r="J24" t="inlineStr">
        <is>
          <t>nee</t>
        </is>
      </c>
      <c r="K24" t="inlineStr">
        <is>
          <t>ja</t>
        </is>
      </c>
      <c r="L24" t="inlineStr">
        <is>
          <t>ja</t>
        </is>
      </c>
      <c r="M24" t="inlineStr">
        <is>
          <t>ja</t>
        </is>
      </c>
      <c r="N24" t="inlineStr">
        <is>
          <t>ja</t>
        </is>
      </c>
      <c r="O24" t="inlineStr">
        <is>
          <t>Geen dieet</t>
        </is>
      </c>
      <c r="Q24">
        <f>LEN(G24)-LEN(SUBSTITUTE(G24,",",""))+1</f>
        <v/>
      </c>
      <c r="R24">
        <f>SWITCH(I24, "Zelden", 1, "Af en toe", 4, "Regelmatig", 8, "Vaak", 12)</f>
        <v/>
      </c>
      <c r="S24">
        <f>AVERAGE(--(K24="ja"), --(L24="ja"), --(M24="ja"), --(N24="ja"), --(O24="ja"))*10</f>
        <v/>
      </c>
      <c r="T24">
        <f>IF(S24&gt;=7, "Tevreden", "Ontevreden")</f>
        <v/>
      </c>
    </row>
    <row r="25">
      <c r="A25" t="inlineStr">
        <is>
          <t>Leen</t>
        </is>
      </c>
      <c r="B25" t="inlineStr">
        <is>
          <t>Blomme</t>
        </is>
      </c>
      <c r="C25" t="inlineStr">
        <is>
          <t>118.53026-90</t>
        </is>
      </c>
      <c r="D25" t="inlineStr">
        <is>
          <t>13/04/2004</t>
        </is>
      </c>
      <c r="E25" t="inlineStr">
        <is>
          <t>Tweebruggenstraat 93, 3831 Herten</t>
        </is>
      </c>
      <c r="F25" t="inlineStr">
        <is>
          <t>Leen,Bibiche</t>
        </is>
      </c>
      <c r="G25" t="n">
        <v>156.93</v>
      </c>
      <c r="H25" t="n">
        <v>5</v>
      </c>
      <c r="I25" t="inlineStr">
        <is>
          <t>Payconiq</t>
        </is>
      </c>
      <c r="J25" t="inlineStr">
        <is>
          <t>nee</t>
        </is>
      </c>
      <c r="K25" t="inlineStr">
        <is>
          <t>ja</t>
        </is>
      </c>
      <c r="L25" t="inlineStr">
        <is>
          <t>ja</t>
        </is>
      </c>
      <c r="M25" t="inlineStr">
        <is>
          <t>nee</t>
        </is>
      </c>
      <c r="N25" t="inlineStr">
        <is>
          <t>ja</t>
        </is>
      </c>
      <c r="O25" t="inlineStr">
        <is>
          <t>Geen dieet</t>
        </is>
      </c>
      <c r="Q25">
        <f>LEN(G25)-LEN(SUBSTITUTE(G25,",",""))+1</f>
        <v/>
      </c>
      <c r="R25">
        <f>SWITCH(I25, "Zelden", 1, "Af en toe", 4, "Regelmatig", 8, "Vaak", 12)</f>
        <v/>
      </c>
      <c r="S25">
        <f>AVERAGE(--(K25="ja"), --(L25="ja"), --(M25="ja"), --(N25="ja"), --(O25="ja"))*10</f>
        <v/>
      </c>
      <c r="T25">
        <f>IF(S25&gt;=7, "Tevreden", "Ontevreden")</f>
        <v/>
      </c>
    </row>
    <row r="26">
      <c r="A26" t="inlineStr">
        <is>
          <t>Kelly</t>
        </is>
      </c>
      <c r="B26" t="inlineStr">
        <is>
          <t>Marchal</t>
        </is>
      </c>
      <c r="C26" t="inlineStr">
        <is>
          <t>899.21286-30</t>
        </is>
      </c>
      <c r="D26" t="inlineStr">
        <is>
          <t>15/09/1993</t>
        </is>
      </c>
      <c r="E26" t="inlineStr">
        <is>
          <t>Lobeliastraat 25, 3840 Borgloon</t>
        </is>
      </c>
      <c r="F26" t="inlineStr">
        <is>
          <t>Kelly,Arcangelo</t>
        </is>
      </c>
      <c r="G26" t="n">
        <v>31.97</v>
      </c>
      <c r="H26" t="n">
        <v>8</v>
      </c>
      <c r="I26" t="inlineStr">
        <is>
          <t>Bancontact</t>
        </is>
      </c>
      <c r="J26" t="inlineStr">
        <is>
          <t>nee</t>
        </is>
      </c>
      <c r="K26" t="inlineStr">
        <is>
          <t>nee</t>
        </is>
      </c>
      <c r="L26" t="inlineStr">
        <is>
          <t>ja</t>
        </is>
      </c>
      <c r="M26" t="inlineStr">
        <is>
          <t>ja</t>
        </is>
      </c>
      <c r="N26" t="inlineStr">
        <is>
          <t>ja</t>
        </is>
      </c>
      <c r="O26" t="inlineStr">
        <is>
          <t>Geen dieet</t>
        </is>
      </c>
      <c r="Q26">
        <f>LEN(G26)-LEN(SUBSTITUTE(G26,",",""))+1</f>
        <v/>
      </c>
      <c r="R26">
        <f>SWITCH(I26, "Zelden", 1, "Af en toe", 4, "Regelmatig", 8, "Vaak", 12)</f>
        <v/>
      </c>
      <c r="S26">
        <f>AVERAGE(--(K26="ja"), --(L26="ja"), --(M26="ja"), --(N26="ja"), --(O26="ja"))*10</f>
        <v/>
      </c>
      <c r="T26">
        <f>IF(S26&gt;=7, "Tevreden", "Ontevreden")</f>
        <v/>
      </c>
    </row>
    <row r="27">
      <c r="A27" t="inlineStr">
        <is>
          <t>Kaat</t>
        </is>
      </c>
      <c r="B27" t="inlineStr">
        <is>
          <t>Dewaele</t>
        </is>
      </c>
      <c r="C27" t="inlineStr">
        <is>
          <t>133.73315-45</t>
        </is>
      </c>
      <c r="D27" t="inlineStr">
        <is>
          <t>18/09/2005</t>
        </is>
      </c>
      <c r="E27" t="inlineStr">
        <is>
          <t>Koestraat 16, 3500 Hasselt</t>
        </is>
      </c>
      <c r="F27" t="inlineStr">
        <is>
          <t>Kaat,Mireille</t>
        </is>
      </c>
      <c r="G27" t="n">
        <v>96.23</v>
      </c>
      <c r="H27" t="n">
        <v>1</v>
      </c>
      <c r="I27" t="inlineStr">
        <is>
          <t>Bancontact</t>
        </is>
      </c>
      <c r="J27" t="inlineStr">
        <is>
          <t>ja</t>
        </is>
      </c>
      <c r="K27" t="inlineStr">
        <is>
          <t>ja</t>
        </is>
      </c>
      <c r="L27" t="inlineStr">
        <is>
          <t>ja</t>
        </is>
      </c>
      <c r="M27" t="inlineStr">
        <is>
          <t>nee</t>
        </is>
      </c>
      <c r="N27" t="inlineStr">
        <is>
          <t>nee</t>
        </is>
      </c>
      <c r="O27" t="inlineStr">
        <is>
          <t>Geen dieet</t>
        </is>
      </c>
      <c r="Q27">
        <f>LEN(G27)-LEN(SUBSTITUTE(G27,",",""))+1</f>
        <v/>
      </c>
      <c r="R27">
        <f>SWITCH(I27, "Zelden", 1, "Af en toe", 4, "Regelmatig", 8, "Vaak", 12)</f>
        <v/>
      </c>
      <c r="S27">
        <f>AVERAGE(--(K27="ja"), --(L27="ja"), --(M27="ja"), --(N27="ja"), --(O27="ja"))*10</f>
        <v/>
      </c>
      <c r="T27">
        <f>IF(S27&gt;=7, "Tevreden", "Ontevreden")</f>
        <v/>
      </c>
    </row>
    <row r="28">
      <c r="A28" t="inlineStr">
        <is>
          <t>Eric</t>
        </is>
      </c>
      <c r="B28" t="inlineStr">
        <is>
          <t>Geens</t>
        </is>
      </c>
      <c r="C28" t="inlineStr">
        <is>
          <t>147.67927-58</t>
        </is>
      </c>
      <c r="D28" t="inlineStr">
        <is>
          <t>25/12/1965</t>
        </is>
      </c>
      <c r="E28" t="inlineStr">
        <is>
          <t>Wielewaalstraat 1, 3840 Borgloon</t>
        </is>
      </c>
      <c r="F28" t="inlineStr">
        <is>
          <t>Eric,Maya,Ema</t>
        </is>
      </c>
      <c r="G28" t="n">
        <v>48.24</v>
      </c>
      <c r="H28" t="n">
        <v>10</v>
      </c>
      <c r="I28" t="inlineStr">
        <is>
          <t>Cash</t>
        </is>
      </c>
      <c r="J28" t="inlineStr">
        <is>
          <t>ja</t>
        </is>
      </c>
      <c r="K28" t="inlineStr">
        <is>
          <t>nee</t>
        </is>
      </c>
      <c r="L28" t="inlineStr">
        <is>
          <t>ja</t>
        </is>
      </c>
      <c r="M28" t="inlineStr">
        <is>
          <t>ja</t>
        </is>
      </c>
      <c r="N28" t="inlineStr">
        <is>
          <t>ja</t>
        </is>
      </c>
      <c r="O28" t="inlineStr">
        <is>
          <t>Geen dieet</t>
        </is>
      </c>
      <c r="Q28">
        <f>LEN(G28)-LEN(SUBSTITUTE(G28,",",""))+1</f>
        <v/>
      </c>
      <c r="R28">
        <f>SWITCH(I28, "Zelden", 1, "Af en toe", 4, "Regelmatig", 8, "Vaak", 12)</f>
        <v/>
      </c>
      <c r="S28">
        <f>AVERAGE(--(K28="ja"), --(L28="ja"), --(M28="ja"), --(N28="ja"), --(O28="ja"))*10</f>
        <v/>
      </c>
      <c r="T28">
        <f>IF(S28&gt;=7, "Tevreden", "Ontevreden")</f>
        <v/>
      </c>
    </row>
    <row r="29">
      <c r="A29" t="inlineStr">
        <is>
          <t>Laurence</t>
        </is>
      </c>
      <c r="B29" t="inlineStr">
        <is>
          <t>Moens</t>
        </is>
      </c>
      <c r="C29" t="inlineStr">
        <is>
          <t>884.71406-80</t>
        </is>
      </c>
      <c r="D29" t="inlineStr">
        <is>
          <t>05/10/1968</t>
        </is>
      </c>
      <c r="E29" t="inlineStr">
        <is>
          <t>Oudburg 29, 3500 Hasselt</t>
        </is>
      </c>
      <c r="F29" t="inlineStr">
        <is>
          <t>Laurence,Brigitte,François</t>
        </is>
      </c>
      <c r="G29" t="n">
        <v>133.68</v>
      </c>
      <c r="H29" t="n">
        <v>2</v>
      </c>
      <c r="I29" t="inlineStr">
        <is>
          <t>Bancontact</t>
        </is>
      </c>
      <c r="J29" t="inlineStr">
        <is>
          <t>ja</t>
        </is>
      </c>
      <c r="K29" t="inlineStr">
        <is>
          <t>ja</t>
        </is>
      </c>
      <c r="L29" t="inlineStr">
        <is>
          <t>ja</t>
        </is>
      </c>
      <c r="M29" t="inlineStr">
        <is>
          <t>nee</t>
        </is>
      </c>
      <c r="N29" t="inlineStr">
        <is>
          <t>ja</t>
        </is>
      </c>
      <c r="O29" t="inlineStr">
        <is>
          <t>Geen dieet</t>
        </is>
      </c>
      <c r="Q29">
        <f>LEN(G29)-LEN(SUBSTITUTE(G29,",",""))+1</f>
        <v/>
      </c>
      <c r="R29">
        <f>SWITCH(I29, "Zelden", 1, "Af en toe", 4, "Regelmatig", 8, "Vaak", 12)</f>
        <v/>
      </c>
      <c r="S29">
        <f>AVERAGE(--(K29="ja"), --(L29="ja"), --(M29="ja"), --(N29="ja"), --(O29="ja"))*10</f>
        <v/>
      </c>
      <c r="T29">
        <f>IF(S29&gt;=7, "Tevreden", "Ontevreden")</f>
        <v/>
      </c>
    </row>
    <row r="30">
      <c r="A30" t="inlineStr">
        <is>
          <t>Ahmad</t>
        </is>
      </c>
      <c r="B30" t="inlineStr">
        <is>
          <t>De backer</t>
        </is>
      </c>
      <c r="C30" t="inlineStr">
        <is>
          <t>333.89680-71</t>
        </is>
      </c>
      <c r="D30" t="inlineStr">
        <is>
          <t>22/09/2001</t>
        </is>
      </c>
      <c r="E30" t="inlineStr">
        <is>
          <t>New-yorkstraat 6, 3945 Kwaadmechelen</t>
        </is>
      </c>
      <c r="F30" t="inlineStr">
        <is>
          <t>Ahmad,Arlette,Eric,Boubaker</t>
        </is>
      </c>
      <c r="G30" t="n">
        <v>122.74</v>
      </c>
      <c r="H30" t="n">
        <v>12</v>
      </c>
      <c r="I30" t="inlineStr">
        <is>
          <t>Bancontact</t>
        </is>
      </c>
      <c r="J30" t="inlineStr">
        <is>
          <t>ja</t>
        </is>
      </c>
      <c r="K30" t="inlineStr">
        <is>
          <t>ja</t>
        </is>
      </c>
      <c r="L30" t="inlineStr">
        <is>
          <t>ja</t>
        </is>
      </c>
      <c r="M30" t="inlineStr">
        <is>
          <t>ja</t>
        </is>
      </c>
      <c r="N30" t="inlineStr">
        <is>
          <t>ja</t>
        </is>
      </c>
      <c r="O30" t="inlineStr">
        <is>
          <t>Vegetarisch</t>
        </is>
      </c>
      <c r="Q30">
        <f>LEN(G30)-LEN(SUBSTITUTE(G30,",",""))+1</f>
        <v/>
      </c>
      <c r="R30">
        <f>SWITCH(I30, "Zelden", 1, "Af en toe", 4, "Regelmatig", 8, "Vaak", 12)</f>
        <v/>
      </c>
      <c r="S30">
        <f>AVERAGE(--(K30="ja"), --(L30="ja"), --(M30="ja"), --(N30="ja"), --(O30="ja"))*10</f>
        <v/>
      </c>
      <c r="T30">
        <f>IF(S30&gt;=7, "Tevreden", "Ontevreden")</f>
        <v/>
      </c>
    </row>
    <row r="31">
      <c r="A31" t="inlineStr">
        <is>
          <t>Jonathan</t>
        </is>
      </c>
      <c r="B31" t="inlineStr">
        <is>
          <t>Van dijck</t>
        </is>
      </c>
      <c r="C31" t="inlineStr">
        <is>
          <t>588.35745-65</t>
        </is>
      </c>
      <c r="D31" t="inlineStr">
        <is>
          <t>30/09/1949</t>
        </is>
      </c>
      <c r="E31" t="inlineStr">
        <is>
          <t>Gustaaf Callierlaan 15, 3790 Moelingen</t>
        </is>
      </c>
      <c r="F31" t="inlineStr">
        <is>
          <t>Jonathan,João,Luna,Jean-Pierre</t>
        </is>
      </c>
      <c r="G31" t="n">
        <v>97.11</v>
      </c>
      <c r="H31" t="n">
        <v>1</v>
      </c>
      <c r="I31" t="inlineStr">
        <is>
          <t>Bancontact</t>
        </is>
      </c>
      <c r="J31" t="inlineStr">
        <is>
          <t>ja</t>
        </is>
      </c>
      <c r="K31" t="inlineStr">
        <is>
          <t>nee</t>
        </is>
      </c>
      <c r="L31" t="inlineStr">
        <is>
          <t>ja</t>
        </is>
      </c>
      <c r="M31" t="inlineStr">
        <is>
          <t>nee</t>
        </is>
      </c>
      <c r="N31" t="inlineStr">
        <is>
          <t>ja</t>
        </is>
      </c>
      <c r="O31" t="inlineStr">
        <is>
          <t>Geen dieet</t>
        </is>
      </c>
      <c r="Q31">
        <f>LEN(G31)-LEN(SUBSTITUTE(G31,",",""))+1</f>
        <v/>
      </c>
      <c r="R31">
        <f>SWITCH(I31, "Zelden", 1, "Af en toe", 4, "Regelmatig", 8, "Vaak", 12)</f>
        <v/>
      </c>
      <c r="S31">
        <f>AVERAGE(--(K31="ja"), --(L31="ja"), --(M31="ja"), --(N31="ja"), --(O31="ja"))*10</f>
        <v/>
      </c>
      <c r="T31">
        <f>IF(S31&gt;=7, "Tevreden", "Ontevreden")</f>
        <v/>
      </c>
    </row>
    <row r="32">
      <c r="A32" t="inlineStr">
        <is>
          <t>Francis</t>
        </is>
      </c>
      <c r="B32" t="inlineStr">
        <is>
          <t>Mathieu</t>
        </is>
      </c>
      <c r="C32" t="inlineStr">
        <is>
          <t>602.21630-38</t>
        </is>
      </c>
      <c r="D32" t="inlineStr">
        <is>
          <t>04/10/1996</t>
        </is>
      </c>
      <c r="E32" t="inlineStr">
        <is>
          <t>Bruiloftstraat 41, 3600 Genk</t>
        </is>
      </c>
      <c r="F32" t="inlineStr">
        <is>
          <t>Francis,Ibrahim,Chantal</t>
        </is>
      </c>
      <c r="G32" t="n">
        <v>157.52</v>
      </c>
      <c r="H32" t="n">
        <v>23</v>
      </c>
      <c r="I32" t="inlineStr">
        <is>
          <t>Payconiq</t>
        </is>
      </c>
      <c r="J32" t="inlineStr">
        <is>
          <t>ja</t>
        </is>
      </c>
      <c r="K32" t="inlineStr">
        <is>
          <t>nee</t>
        </is>
      </c>
      <c r="L32" t="inlineStr">
        <is>
          <t>ja</t>
        </is>
      </c>
      <c r="M32" t="inlineStr">
        <is>
          <t>ja</t>
        </is>
      </c>
      <c r="N32" t="inlineStr">
        <is>
          <t>ja</t>
        </is>
      </c>
      <c r="O32" t="inlineStr">
        <is>
          <t>Geen dieet</t>
        </is>
      </c>
      <c r="Q32">
        <f>LEN(G32)-LEN(SUBSTITUTE(G32,",",""))+1</f>
        <v/>
      </c>
      <c r="R32">
        <f>SWITCH(I32, "Zelden", 1, "Af en toe", 4, "Regelmatig", 8, "Vaak", 12)</f>
        <v/>
      </c>
      <c r="S32">
        <f>AVERAGE(--(K32="ja"), --(L32="ja"), --(M32="ja"), --(N32="ja"), --(O32="ja"))*10</f>
        <v/>
      </c>
      <c r="T32">
        <f>IF(S32&gt;=7, "Tevreden", "Ontevreden")</f>
        <v/>
      </c>
    </row>
    <row r="33">
      <c r="A33" t="inlineStr">
        <is>
          <t>Alicia</t>
        </is>
      </c>
      <c r="B33" t="inlineStr">
        <is>
          <t>Claus</t>
        </is>
      </c>
      <c r="C33" t="inlineStr">
        <is>
          <t>358.27445-80</t>
        </is>
      </c>
      <c r="D33" t="inlineStr">
        <is>
          <t>11/03/1970</t>
        </is>
      </c>
      <c r="E33" t="inlineStr">
        <is>
          <t>Zeeschipstraat 78, 3500 Hasselt</t>
        </is>
      </c>
      <c r="F33" t="inlineStr">
        <is>
          <t>Alicia,Wilsan,Esther,Bregtje</t>
        </is>
      </c>
      <c r="G33" t="n">
        <v>228.67</v>
      </c>
      <c r="H33" t="n">
        <v>6</v>
      </c>
      <c r="I33" t="inlineStr">
        <is>
          <t>Payconiq</t>
        </is>
      </c>
      <c r="J33" t="inlineStr">
        <is>
          <t>ja</t>
        </is>
      </c>
      <c r="K33" t="inlineStr">
        <is>
          <t>nee</t>
        </is>
      </c>
      <c r="L33" t="inlineStr">
        <is>
          <t>ja</t>
        </is>
      </c>
      <c r="M33" t="inlineStr">
        <is>
          <t>ja</t>
        </is>
      </c>
      <c r="N33" t="inlineStr">
        <is>
          <t>ja</t>
        </is>
      </c>
      <c r="O33" t="inlineStr">
        <is>
          <t>Geen dieet</t>
        </is>
      </c>
      <c r="Q33">
        <f>LEN(G33)-LEN(SUBSTITUTE(G33,",",""))+1</f>
        <v/>
      </c>
      <c r="R33">
        <f>SWITCH(I33, "Zelden", 1, "Af en toe", 4, "Regelmatig", 8, "Vaak", 12)</f>
        <v/>
      </c>
      <c r="S33">
        <f>AVERAGE(--(K33="ja"), --(L33="ja"), --(M33="ja"), --(N33="ja"), --(O33="ja"))*10</f>
        <v/>
      </c>
      <c r="T33">
        <f>IF(S33&gt;=7, "Tevreden", "Ontevreden")</f>
        <v/>
      </c>
    </row>
    <row r="34">
      <c r="A34" t="inlineStr">
        <is>
          <t>Xander</t>
        </is>
      </c>
      <c r="B34" t="inlineStr">
        <is>
          <t>Adam</t>
        </is>
      </c>
      <c r="C34" t="inlineStr">
        <is>
          <t>596.66709-64</t>
        </is>
      </c>
      <c r="D34" t="inlineStr">
        <is>
          <t>16/09/1998</t>
        </is>
      </c>
      <c r="E34" t="inlineStr">
        <is>
          <t>Burgstraat 43, 3600 Genk</t>
        </is>
      </c>
      <c r="F34" t="inlineStr">
        <is>
          <t>Xander,Bérengère,Apolonia,Yves</t>
        </is>
      </c>
      <c r="G34" t="n">
        <v>131.61</v>
      </c>
      <c r="H34" t="n">
        <v>15</v>
      </c>
      <c r="I34" t="inlineStr">
        <is>
          <t>Payconiq</t>
        </is>
      </c>
      <c r="J34" t="inlineStr">
        <is>
          <t>ja</t>
        </is>
      </c>
      <c r="K34" t="inlineStr">
        <is>
          <t>nee</t>
        </is>
      </c>
      <c r="L34" t="inlineStr">
        <is>
          <t>nee</t>
        </is>
      </c>
      <c r="M34" t="inlineStr">
        <is>
          <t>nee</t>
        </is>
      </c>
      <c r="N34" t="inlineStr">
        <is>
          <t>ja</t>
        </is>
      </c>
      <c r="O34" t="inlineStr">
        <is>
          <t>Veganistisch</t>
        </is>
      </c>
      <c r="Q34">
        <f>LEN(G34)-LEN(SUBSTITUTE(G34,",",""))+1</f>
        <v/>
      </c>
      <c r="R34">
        <f>SWITCH(I34, "Zelden", 1, "Af en toe", 4, "Regelmatig", 8, "Vaak", 12)</f>
        <v/>
      </c>
      <c r="S34">
        <f>AVERAGE(--(K34="ja"), --(L34="ja"), --(M34="ja"), --(N34="ja"), --(O34="ja"))*10</f>
        <v/>
      </c>
      <c r="T34">
        <f>IF(S34&gt;=7, "Tevreden", "Ontevreden")</f>
        <v/>
      </c>
    </row>
    <row r="35">
      <c r="A35" t="inlineStr">
        <is>
          <t>Enora</t>
        </is>
      </c>
      <c r="B35" t="inlineStr">
        <is>
          <t>Delvaux</t>
        </is>
      </c>
      <c r="C35" t="inlineStr">
        <is>
          <t>76.23335-60</t>
        </is>
      </c>
      <c r="D35" t="inlineStr">
        <is>
          <t>20/06/1987</t>
        </is>
      </c>
      <c r="E35" t="inlineStr">
        <is>
          <t>Lobeliastraat 22, 3530 Houthalen-Helchteren</t>
        </is>
      </c>
      <c r="F35" t="inlineStr">
        <is>
          <t>Enora,Robert,Eric,Dominik,Carine</t>
        </is>
      </c>
      <c r="G35" t="n">
        <v>195.99</v>
      </c>
      <c r="H35" t="n">
        <v>26</v>
      </c>
      <c r="I35" t="inlineStr">
        <is>
          <t>Bancontact</t>
        </is>
      </c>
      <c r="J35" t="inlineStr">
        <is>
          <t>ja</t>
        </is>
      </c>
      <c r="K35" t="inlineStr">
        <is>
          <t>ja</t>
        </is>
      </c>
      <c r="L35" t="inlineStr">
        <is>
          <t>ja</t>
        </is>
      </c>
      <c r="M35" t="inlineStr">
        <is>
          <t>ja</t>
        </is>
      </c>
      <c r="N35" t="inlineStr">
        <is>
          <t>ja</t>
        </is>
      </c>
      <c r="O35" t="inlineStr">
        <is>
          <t>Vegetarisch</t>
        </is>
      </c>
      <c r="Q35">
        <f>LEN(G35)-LEN(SUBSTITUTE(G35,",",""))+1</f>
        <v/>
      </c>
      <c r="R35">
        <f>SWITCH(I35, "Zelden", 1, "Af en toe", 4, "Regelmatig", 8, "Vaak", 12)</f>
        <v/>
      </c>
      <c r="S35">
        <f>AVERAGE(--(K35="ja"), --(L35="ja"), --(M35="ja"), --(N35="ja"), --(O35="ja"))*10</f>
        <v/>
      </c>
      <c r="T35">
        <f>IF(S35&gt;=7, "Tevreden", "Ontevreden")</f>
        <v/>
      </c>
    </row>
    <row r="36">
      <c r="A36" t="inlineStr">
        <is>
          <t>Kato</t>
        </is>
      </c>
      <c r="B36" t="inlineStr">
        <is>
          <t>De jonghe</t>
        </is>
      </c>
      <c r="C36" t="inlineStr">
        <is>
          <t>899.34538-81</t>
        </is>
      </c>
      <c r="D36" t="inlineStr">
        <is>
          <t>19/06/1978</t>
        </is>
      </c>
      <c r="E36" t="inlineStr">
        <is>
          <t>Kouter 33, 3831 Herten</t>
        </is>
      </c>
      <c r="F36" t="inlineStr">
        <is>
          <t>Kato,Pierre</t>
        </is>
      </c>
      <c r="G36" t="n">
        <v>35.83</v>
      </c>
      <c r="H36" t="n">
        <v>11</v>
      </c>
      <c r="I36" t="inlineStr">
        <is>
          <t>Cash</t>
        </is>
      </c>
      <c r="J36" t="inlineStr">
        <is>
          <t>ja</t>
        </is>
      </c>
      <c r="K36" t="inlineStr">
        <is>
          <t>ja</t>
        </is>
      </c>
      <c r="L36" t="inlineStr">
        <is>
          <t>ja</t>
        </is>
      </c>
      <c r="M36" t="inlineStr">
        <is>
          <t>nee</t>
        </is>
      </c>
      <c r="N36" t="inlineStr">
        <is>
          <t>nee</t>
        </is>
      </c>
      <c r="O36" t="inlineStr">
        <is>
          <t>Geen dieet</t>
        </is>
      </c>
      <c r="Q36">
        <f>LEN(G36)-LEN(SUBSTITUTE(G36,",",""))+1</f>
        <v/>
      </c>
      <c r="R36">
        <f>SWITCH(I36, "Zelden", 1, "Af en toe", 4, "Regelmatig", 8, "Vaak", 12)</f>
        <v/>
      </c>
      <c r="S36">
        <f>AVERAGE(--(K36="ja"), --(L36="ja"), --(M36="ja"), --(N36="ja"), --(O36="ja"))*10</f>
        <v/>
      </c>
      <c r="T36">
        <f>IF(S36&gt;=7, "Tevreden", "Ontevreden")</f>
        <v/>
      </c>
    </row>
    <row r="37">
      <c r="A37" t="inlineStr">
        <is>
          <t>Salim</t>
        </is>
      </c>
      <c r="B37" t="inlineStr">
        <is>
          <t>De vos</t>
        </is>
      </c>
      <c r="C37" t="inlineStr">
        <is>
          <t>201.72275-28</t>
        </is>
      </c>
      <c r="D37" t="inlineStr">
        <is>
          <t>19/10/1979</t>
        </is>
      </c>
      <c r="E37" t="inlineStr">
        <is>
          <t>Tussen Heerwegen 2, 3790 Voeren</t>
        </is>
      </c>
      <c r="F37" t="inlineStr">
        <is>
          <t>Salim,Eva</t>
        </is>
      </c>
      <c r="G37" t="n">
        <v>187.81</v>
      </c>
      <c r="H37" t="n">
        <v>10</v>
      </c>
      <c r="I37" t="inlineStr">
        <is>
          <t>Bancontact</t>
        </is>
      </c>
      <c r="J37" t="inlineStr">
        <is>
          <t>ja</t>
        </is>
      </c>
      <c r="K37" t="inlineStr">
        <is>
          <t>ja</t>
        </is>
      </c>
      <c r="L37" t="inlineStr">
        <is>
          <t>ja</t>
        </is>
      </c>
      <c r="M37" t="inlineStr">
        <is>
          <t>ja</t>
        </is>
      </c>
      <c r="N37" t="inlineStr">
        <is>
          <t>ja</t>
        </is>
      </c>
      <c r="O37" t="inlineStr">
        <is>
          <t>Geen dieet</t>
        </is>
      </c>
      <c r="Q37">
        <f>LEN(G37)-LEN(SUBSTITUTE(G37,",",""))+1</f>
        <v/>
      </c>
      <c r="R37">
        <f>SWITCH(I37, "Zelden", 1, "Af en toe", 4, "Regelmatig", 8, "Vaak", 12)</f>
        <v/>
      </c>
      <c r="S37">
        <f>AVERAGE(--(K37="ja"), --(L37="ja"), --(M37="ja"), --(N37="ja"), --(O37="ja"))*10</f>
        <v/>
      </c>
      <c r="T37">
        <f>IF(S37&gt;=7, "Tevreden", "Ontevreden")</f>
        <v/>
      </c>
    </row>
    <row r="38">
      <c r="A38" t="inlineStr">
        <is>
          <t>Stéphane</t>
        </is>
      </c>
      <c r="B38" t="inlineStr">
        <is>
          <t>Eeckhout</t>
        </is>
      </c>
      <c r="C38" t="inlineStr">
        <is>
          <t>121.59132-77</t>
        </is>
      </c>
      <c r="D38" t="inlineStr">
        <is>
          <t>12/05/1951</t>
        </is>
      </c>
      <c r="E38" t="inlineStr">
        <is>
          <t>Dreef 57, 3620 Lanaken</t>
        </is>
      </c>
      <c r="F38" t="inlineStr">
        <is>
          <t>Stéphane,Laudine,Frans,Maaika</t>
        </is>
      </c>
      <c r="G38" t="n">
        <v>165.65</v>
      </c>
      <c r="H38" t="n">
        <v>1</v>
      </c>
      <c r="I38" t="inlineStr">
        <is>
          <t>Bancontact</t>
        </is>
      </c>
      <c r="J38" t="inlineStr">
        <is>
          <t>ja</t>
        </is>
      </c>
      <c r="K38" t="inlineStr">
        <is>
          <t>ja</t>
        </is>
      </c>
      <c r="L38" t="inlineStr">
        <is>
          <t>ja</t>
        </is>
      </c>
      <c r="M38" t="inlineStr">
        <is>
          <t>ja</t>
        </is>
      </c>
      <c r="N38" t="inlineStr">
        <is>
          <t>ja</t>
        </is>
      </c>
      <c r="O38" t="inlineStr">
        <is>
          <t>Geen dieet</t>
        </is>
      </c>
      <c r="Q38">
        <f>LEN(G38)-LEN(SUBSTITUTE(G38,",",""))+1</f>
        <v/>
      </c>
      <c r="R38">
        <f>SWITCH(I38, "Zelden", 1, "Af en toe", 4, "Regelmatig", 8, "Vaak", 12)</f>
        <v/>
      </c>
      <c r="S38">
        <f>AVERAGE(--(K38="ja"), --(L38="ja"), --(M38="ja"), --(N38="ja"), --(O38="ja"))*10</f>
        <v/>
      </c>
      <c r="T38">
        <f>IF(S38&gt;=7, "Tevreden", "Ontevreden")</f>
        <v/>
      </c>
    </row>
    <row r="39">
      <c r="A39" t="inlineStr">
        <is>
          <t>Nicolaus</t>
        </is>
      </c>
      <c r="B39" t="inlineStr">
        <is>
          <t>Somers</t>
        </is>
      </c>
      <c r="C39" t="inlineStr">
        <is>
          <t>125.82952-55</t>
        </is>
      </c>
      <c r="D39" t="inlineStr">
        <is>
          <t>05/11/1949</t>
        </is>
      </c>
      <c r="E39" t="inlineStr">
        <is>
          <t>Pijphoekstraat 45, 3600 Genk</t>
        </is>
      </c>
      <c r="F39" t="inlineStr">
        <is>
          <t>Nicolaus,Jetty,Dieter,Boris</t>
        </is>
      </c>
      <c r="G39" t="n">
        <v>169.31</v>
      </c>
      <c r="H39" t="n">
        <v>5</v>
      </c>
      <c r="I39" t="inlineStr">
        <is>
          <t>Cash</t>
        </is>
      </c>
      <c r="J39" t="inlineStr">
        <is>
          <t>ja</t>
        </is>
      </c>
      <c r="K39" t="inlineStr">
        <is>
          <t>ja</t>
        </is>
      </c>
      <c r="L39" t="inlineStr">
        <is>
          <t>ja</t>
        </is>
      </c>
      <c r="M39" t="inlineStr">
        <is>
          <t>ja</t>
        </is>
      </c>
      <c r="N39" t="inlineStr">
        <is>
          <t>ja</t>
        </is>
      </c>
      <c r="O39" t="inlineStr">
        <is>
          <t>Geen dieet</t>
        </is>
      </c>
      <c r="Q39">
        <f>LEN(G39)-LEN(SUBSTITUTE(G39,",",""))+1</f>
        <v/>
      </c>
      <c r="R39">
        <f>SWITCH(I39, "Zelden", 1, "Af en toe", 4, "Regelmatig", 8, "Vaak", 12)</f>
        <v/>
      </c>
      <c r="S39">
        <f>AVERAGE(--(K39="ja"), --(L39="ja"), --(M39="ja"), --(N39="ja"), --(O39="ja"))*10</f>
        <v/>
      </c>
      <c r="T39">
        <f>IF(S39&gt;=7, "Tevreden", "Ontevreden")</f>
        <v/>
      </c>
    </row>
    <row r="40">
      <c r="A40" t="inlineStr">
        <is>
          <t>Maarten</t>
        </is>
      </c>
      <c r="B40" t="inlineStr">
        <is>
          <t>Wouters</t>
        </is>
      </c>
      <c r="C40" t="inlineStr">
        <is>
          <t>900.74039-56</t>
        </is>
      </c>
      <c r="D40" t="inlineStr">
        <is>
          <t>28/07/1990</t>
        </is>
      </c>
      <c r="E40" t="inlineStr">
        <is>
          <t>Noordstraat 18, 3800 Sint-Truiden</t>
        </is>
      </c>
      <c r="F40" t="inlineStr">
        <is>
          <t>Maarten,Leonardo</t>
        </is>
      </c>
      <c r="G40" t="n">
        <v>133.4</v>
      </c>
      <c r="H40" t="n">
        <v>3</v>
      </c>
      <c r="I40" t="inlineStr">
        <is>
          <t>Payconiq</t>
        </is>
      </c>
      <c r="J40" t="inlineStr">
        <is>
          <t>ja</t>
        </is>
      </c>
      <c r="K40" t="inlineStr">
        <is>
          <t>nee</t>
        </is>
      </c>
      <c r="L40" t="inlineStr">
        <is>
          <t>nee</t>
        </is>
      </c>
      <c r="M40" t="inlineStr">
        <is>
          <t>nee</t>
        </is>
      </c>
      <c r="N40" t="inlineStr">
        <is>
          <t>ja</t>
        </is>
      </c>
      <c r="O40" t="inlineStr">
        <is>
          <t>Veganistisch</t>
        </is>
      </c>
      <c r="Q40">
        <f>LEN(G40)-LEN(SUBSTITUTE(G40,",",""))+1</f>
        <v/>
      </c>
      <c r="R40">
        <f>SWITCH(I40, "Zelden", 1, "Af en toe", 4, "Regelmatig", 8, "Vaak", 12)</f>
        <v/>
      </c>
      <c r="S40">
        <f>AVERAGE(--(K40="ja"), --(L40="ja"), --(M40="ja"), --(N40="ja"), --(O40="ja"))*10</f>
        <v/>
      </c>
      <c r="T40">
        <f>IF(S40&gt;=7, "Tevreden", "Ontevreden")</f>
        <v/>
      </c>
    </row>
    <row r="41">
      <c r="A41" t="inlineStr">
        <is>
          <t>Gerda</t>
        </is>
      </c>
      <c r="B41" t="inlineStr">
        <is>
          <t>Maes</t>
        </is>
      </c>
      <c r="C41" t="inlineStr">
        <is>
          <t>543.91995-40</t>
        </is>
      </c>
      <c r="D41" t="inlineStr">
        <is>
          <t>20/06/1981</t>
        </is>
      </c>
      <c r="E41" t="inlineStr">
        <is>
          <t>Oude-abdijstraat 19, 3670 Meeuwen-Gruitrode</t>
        </is>
      </c>
      <c r="F41" t="inlineStr">
        <is>
          <t>Gerda,Cindy</t>
        </is>
      </c>
      <c r="G41" t="n">
        <v>75.28</v>
      </c>
      <c r="H41" t="n">
        <v>8</v>
      </c>
      <c r="I41" t="inlineStr">
        <is>
          <t>Payconiq</t>
        </is>
      </c>
      <c r="J41" t="inlineStr">
        <is>
          <t>ja</t>
        </is>
      </c>
      <c r="K41" t="inlineStr">
        <is>
          <t>ja</t>
        </is>
      </c>
      <c r="L41" t="inlineStr">
        <is>
          <t>ja</t>
        </is>
      </c>
      <c r="M41" t="inlineStr">
        <is>
          <t>ja</t>
        </is>
      </c>
      <c r="N41" t="inlineStr">
        <is>
          <t>nee</t>
        </is>
      </c>
      <c r="O41" t="inlineStr">
        <is>
          <t>Vegetarisch</t>
        </is>
      </c>
      <c r="Q41">
        <f>LEN(G41)-LEN(SUBSTITUTE(G41,",",""))+1</f>
        <v/>
      </c>
      <c r="R41">
        <f>SWITCH(I41, "Zelden", 1, "Af en toe", 4, "Regelmatig", 8, "Vaak", 12)</f>
        <v/>
      </c>
      <c r="S41">
        <f>AVERAGE(--(K41="ja"), --(L41="ja"), --(M41="ja"), --(N41="ja"), --(O41="ja"))*10</f>
        <v/>
      </c>
      <c r="T41">
        <f>IF(S41&gt;=7, "Tevreden", "Ontevreden")</f>
        <v/>
      </c>
    </row>
    <row r="42">
      <c r="A42" t="inlineStr">
        <is>
          <t>Soufiane</t>
        </is>
      </c>
      <c r="B42" t="inlineStr">
        <is>
          <t>Aerts</t>
        </is>
      </c>
      <c r="C42" t="inlineStr">
        <is>
          <t>432.30105-87</t>
        </is>
      </c>
      <c r="D42" t="inlineStr">
        <is>
          <t>28/12/1972</t>
        </is>
      </c>
      <c r="E42" t="inlineStr">
        <is>
          <t>Stapelplein 31, 3670 Meeuwen-Gruitrode</t>
        </is>
      </c>
      <c r="F42" t="inlineStr">
        <is>
          <t>Soufiane,Yasmine,Paolino</t>
        </is>
      </c>
      <c r="G42" t="n">
        <v>158.52</v>
      </c>
      <c r="H42" t="n">
        <v>2</v>
      </c>
      <c r="I42" t="inlineStr">
        <is>
          <t>Bancontact</t>
        </is>
      </c>
      <c r="J42" t="inlineStr">
        <is>
          <t>nee</t>
        </is>
      </c>
      <c r="K42" t="inlineStr">
        <is>
          <t>ja</t>
        </is>
      </c>
      <c r="L42" t="inlineStr">
        <is>
          <t>ja</t>
        </is>
      </c>
      <c r="M42" t="inlineStr">
        <is>
          <t>ja</t>
        </is>
      </c>
      <c r="N42" t="inlineStr">
        <is>
          <t>ja</t>
        </is>
      </c>
      <c r="O42" t="inlineStr">
        <is>
          <t>Vegetarisch</t>
        </is>
      </c>
      <c r="Q42">
        <f>LEN(G42)-LEN(SUBSTITUTE(G42,",",""))+1</f>
        <v/>
      </c>
      <c r="R42">
        <f>SWITCH(I42, "Zelden", 1, "Af en toe", 4, "Regelmatig", 8, "Vaak", 12)</f>
        <v/>
      </c>
      <c r="S42">
        <f>AVERAGE(--(K42="ja"), --(L42="ja"), --(M42="ja"), --(N42="ja"), --(O42="ja"))*10</f>
        <v/>
      </c>
      <c r="T42">
        <f>IF(S42&gt;=7, "Tevreden", "Ontevreden")</f>
        <v/>
      </c>
    </row>
    <row r="43">
      <c r="A43" t="inlineStr">
        <is>
          <t>Maria</t>
        </is>
      </c>
      <c r="B43" t="inlineStr">
        <is>
          <t>Henry</t>
        </is>
      </c>
      <c r="C43" t="inlineStr">
        <is>
          <t>752.37173-55</t>
        </is>
      </c>
      <c r="D43" t="inlineStr">
        <is>
          <t>14/07/1952</t>
        </is>
      </c>
      <c r="E43" t="inlineStr">
        <is>
          <t>Koningin Fabiolalaan 60, 3800 Sint-Truiden</t>
        </is>
      </c>
      <c r="F43" t="inlineStr">
        <is>
          <t>Maria,Regina,Maria-Pia</t>
        </is>
      </c>
      <c r="G43" t="n">
        <v>115.1</v>
      </c>
      <c r="H43" t="n">
        <v>7</v>
      </c>
      <c r="I43" t="inlineStr">
        <is>
          <t>Bancontact</t>
        </is>
      </c>
      <c r="J43" t="inlineStr">
        <is>
          <t>ja</t>
        </is>
      </c>
      <c r="K43" t="inlineStr">
        <is>
          <t>ja</t>
        </is>
      </c>
      <c r="L43" t="inlineStr">
        <is>
          <t>ja</t>
        </is>
      </c>
      <c r="M43" t="inlineStr">
        <is>
          <t>ja</t>
        </is>
      </c>
      <c r="N43" t="inlineStr">
        <is>
          <t>nee</t>
        </is>
      </c>
      <c r="O43" t="inlineStr">
        <is>
          <t>Geen dieet</t>
        </is>
      </c>
      <c r="Q43">
        <f>LEN(G43)-LEN(SUBSTITUTE(G43,",",""))+1</f>
        <v/>
      </c>
      <c r="R43">
        <f>SWITCH(I43, "Zelden", 1, "Af en toe", 4, "Regelmatig", 8, "Vaak", 12)</f>
        <v/>
      </c>
      <c r="S43">
        <f>AVERAGE(--(K43="ja"), --(L43="ja"), --(M43="ja"), --(N43="ja"), --(O43="ja"))*10</f>
        <v/>
      </c>
      <c r="T43">
        <f>IF(S43&gt;=7, "Tevreden", "Ontevreden")</f>
        <v/>
      </c>
    </row>
    <row r="44">
      <c r="A44" t="inlineStr">
        <is>
          <t>Théotime</t>
        </is>
      </c>
      <c r="B44" t="inlineStr">
        <is>
          <t>Diallo</t>
        </is>
      </c>
      <c r="C44" t="inlineStr">
        <is>
          <t>262.41777-43</t>
        </is>
      </c>
      <c r="D44" t="inlineStr">
        <is>
          <t>05/07/1958</t>
        </is>
      </c>
      <c r="E44" t="inlineStr">
        <is>
          <t>Onafhankelijkheidslaan 29, 3830 Wellen</t>
        </is>
      </c>
      <c r="F44" t="inlineStr">
        <is>
          <t>Théotime,Ingeborg</t>
        </is>
      </c>
      <c r="G44" t="n">
        <v>105.16</v>
      </c>
      <c r="H44" t="n">
        <v>6</v>
      </c>
      <c r="I44" t="inlineStr">
        <is>
          <t>Payconiq</t>
        </is>
      </c>
      <c r="J44" t="inlineStr">
        <is>
          <t>nee</t>
        </is>
      </c>
      <c r="K44" t="inlineStr">
        <is>
          <t>ja</t>
        </is>
      </c>
      <c r="L44" t="inlineStr">
        <is>
          <t>ja</t>
        </is>
      </c>
      <c r="M44" t="inlineStr">
        <is>
          <t>ja</t>
        </is>
      </c>
      <c r="N44" t="inlineStr">
        <is>
          <t>ja</t>
        </is>
      </c>
      <c r="O44" t="inlineStr">
        <is>
          <t>Vegetarisch</t>
        </is>
      </c>
      <c r="Q44">
        <f>LEN(G44)-LEN(SUBSTITUTE(G44,",",""))+1</f>
        <v/>
      </c>
      <c r="R44">
        <f>SWITCH(I44, "Zelden", 1, "Af en toe", 4, "Regelmatig", 8, "Vaak", 12)</f>
        <v/>
      </c>
      <c r="S44">
        <f>AVERAGE(--(K44="ja"), --(L44="ja"), --(M44="ja"), --(N44="ja"), --(O44="ja"))*10</f>
        <v/>
      </c>
      <c r="T44">
        <f>IF(S44&gt;=7, "Tevreden", "Ontevreden")</f>
        <v/>
      </c>
    </row>
    <row r="45">
      <c r="A45" t="inlineStr">
        <is>
          <t>Siebe</t>
        </is>
      </c>
      <c r="B45" t="inlineStr">
        <is>
          <t>Devos</t>
        </is>
      </c>
      <c r="C45" t="inlineStr">
        <is>
          <t>256.44874-82</t>
        </is>
      </c>
      <c r="D45" t="inlineStr">
        <is>
          <t>10/01/1968</t>
        </is>
      </c>
      <c r="E45" t="inlineStr">
        <is>
          <t>Traktaatweg 34, 3910 Neerpelt</t>
        </is>
      </c>
      <c r="F45" t="inlineStr">
        <is>
          <t>Siebe</t>
        </is>
      </c>
      <c r="G45" t="n">
        <v>68.56</v>
      </c>
      <c r="H45" t="n">
        <v>7</v>
      </c>
      <c r="I45" t="inlineStr">
        <is>
          <t>Payconiq</t>
        </is>
      </c>
      <c r="J45" t="inlineStr">
        <is>
          <t>nee</t>
        </is>
      </c>
      <c r="K45" t="inlineStr">
        <is>
          <t>nee</t>
        </is>
      </c>
      <c r="L45" t="inlineStr">
        <is>
          <t>nee</t>
        </is>
      </c>
      <c r="M45" t="inlineStr">
        <is>
          <t>nee</t>
        </is>
      </c>
      <c r="N45" t="inlineStr">
        <is>
          <t>ja</t>
        </is>
      </c>
      <c r="O45" t="inlineStr">
        <is>
          <t>Veganistisch</t>
        </is>
      </c>
      <c r="Q45">
        <f>LEN(G45)-LEN(SUBSTITUTE(G45,",",""))+1</f>
        <v/>
      </c>
      <c r="R45">
        <f>SWITCH(I45, "Zelden", 1, "Af en toe", 4, "Regelmatig", 8, "Vaak", 12)</f>
        <v/>
      </c>
      <c r="S45">
        <f>AVERAGE(--(K45="ja"), --(L45="ja"), --(M45="ja"), --(N45="ja"), --(O45="ja"))*10</f>
        <v/>
      </c>
      <c r="T45">
        <f>IF(S45&gt;=7, "Tevreden", "Ontevreden")</f>
        <v/>
      </c>
    </row>
    <row r="46">
      <c r="A46" t="inlineStr">
        <is>
          <t>Joffrey</t>
        </is>
      </c>
      <c r="B46" t="inlineStr">
        <is>
          <t>Peeters</t>
        </is>
      </c>
      <c r="C46" t="inlineStr">
        <is>
          <t>666.51782-58</t>
        </is>
      </c>
      <c r="D46" t="inlineStr">
        <is>
          <t>05/05/2003</t>
        </is>
      </c>
      <c r="E46" t="inlineStr">
        <is>
          <t>Bevrijdingslaan 38, 3650 Dilsen-Stokkem</t>
        </is>
      </c>
      <c r="F46" t="inlineStr">
        <is>
          <t>Joffrey,Bianca</t>
        </is>
      </c>
      <c r="G46" t="n">
        <v>67.38</v>
      </c>
      <c r="H46" t="n">
        <v>14</v>
      </c>
      <c r="I46" t="inlineStr">
        <is>
          <t>Bancontact</t>
        </is>
      </c>
      <c r="J46" t="inlineStr">
        <is>
          <t>ja</t>
        </is>
      </c>
      <c r="K46" t="inlineStr">
        <is>
          <t>ja</t>
        </is>
      </c>
      <c r="L46" t="inlineStr">
        <is>
          <t>ja</t>
        </is>
      </c>
      <c r="M46" t="inlineStr">
        <is>
          <t>ja</t>
        </is>
      </c>
      <c r="N46" t="inlineStr">
        <is>
          <t>nee</t>
        </is>
      </c>
      <c r="O46" t="inlineStr">
        <is>
          <t>Geen dieet</t>
        </is>
      </c>
      <c r="Q46">
        <f>LEN(G46)-LEN(SUBSTITUTE(G46,",",""))+1</f>
        <v/>
      </c>
      <c r="R46">
        <f>SWITCH(I46, "Zelden", 1, "Af en toe", 4, "Regelmatig", 8, "Vaak", 12)</f>
        <v/>
      </c>
      <c r="S46">
        <f>AVERAGE(--(K46="ja"), --(L46="ja"), --(M46="ja"), --(N46="ja"), --(O46="ja"))*10</f>
        <v/>
      </c>
      <c r="T46">
        <f>IF(S46&gt;=7, "Tevreden", "Ontevreden")</f>
        <v/>
      </c>
    </row>
    <row r="47">
      <c r="A47" t="inlineStr">
        <is>
          <t>Régis</t>
        </is>
      </c>
      <c r="B47" t="inlineStr">
        <is>
          <t>Lambrecht</t>
        </is>
      </c>
      <c r="C47" t="inlineStr">
        <is>
          <t>247.64812-66</t>
        </is>
      </c>
      <c r="D47" t="inlineStr">
        <is>
          <t>12/12/1956</t>
        </is>
      </c>
      <c r="E47" t="inlineStr">
        <is>
          <t>Schouwingsstraat 65, 3640 Kinrooi</t>
        </is>
      </c>
      <c r="F47" t="inlineStr">
        <is>
          <t>Régis,Jef,Frédine</t>
        </is>
      </c>
      <c r="G47" t="n">
        <v>86.65000000000001</v>
      </c>
      <c r="H47" t="n">
        <v>1</v>
      </c>
      <c r="I47" t="inlineStr">
        <is>
          <t>Cash</t>
        </is>
      </c>
      <c r="J47" t="inlineStr">
        <is>
          <t>nee</t>
        </is>
      </c>
      <c r="K47" t="inlineStr">
        <is>
          <t>ja</t>
        </is>
      </c>
      <c r="L47" t="inlineStr">
        <is>
          <t>nee</t>
        </is>
      </c>
      <c r="M47" t="inlineStr">
        <is>
          <t>nee</t>
        </is>
      </c>
      <c r="N47" t="inlineStr">
        <is>
          <t>ja</t>
        </is>
      </c>
      <c r="O47" t="inlineStr">
        <is>
          <t>Geen dieet</t>
        </is>
      </c>
      <c r="Q47">
        <f>LEN(G47)-LEN(SUBSTITUTE(G47,",",""))+1</f>
        <v/>
      </c>
      <c r="R47">
        <f>SWITCH(I47, "Zelden", 1, "Af en toe", 4, "Regelmatig", 8, "Vaak", 12)</f>
        <v/>
      </c>
      <c r="S47">
        <f>AVERAGE(--(K47="ja"), --(L47="ja"), --(M47="ja"), --(N47="ja"), --(O47="ja"))*10</f>
        <v/>
      </c>
      <c r="T47">
        <f>IF(S47&gt;=7, "Tevreden", "Ontevreden")</f>
        <v/>
      </c>
    </row>
    <row r="48">
      <c r="A48" t="inlineStr">
        <is>
          <t>Liz</t>
        </is>
      </c>
      <c r="B48" t="inlineStr">
        <is>
          <t>Stevens</t>
        </is>
      </c>
      <c r="C48" t="inlineStr">
        <is>
          <t>803.29672-58</t>
        </is>
      </c>
      <c r="D48" t="inlineStr">
        <is>
          <t>08/11/1979</t>
        </is>
      </c>
      <c r="E48" t="inlineStr">
        <is>
          <t>Gouvernementstraat 7, 3890 Gingelom</t>
        </is>
      </c>
      <c r="F48" t="inlineStr">
        <is>
          <t>Liz,Godelieve,Amy,Laurens</t>
        </is>
      </c>
      <c r="G48" t="n">
        <v>131.32</v>
      </c>
      <c r="H48" t="n">
        <v>12</v>
      </c>
      <c r="I48" t="inlineStr">
        <is>
          <t>Payconiq</t>
        </is>
      </c>
      <c r="J48" t="inlineStr">
        <is>
          <t>nee</t>
        </is>
      </c>
      <c r="K48" t="inlineStr">
        <is>
          <t>nee</t>
        </is>
      </c>
      <c r="L48" t="inlineStr">
        <is>
          <t>nee</t>
        </is>
      </c>
      <c r="M48" t="inlineStr">
        <is>
          <t>ja</t>
        </is>
      </c>
      <c r="N48" t="inlineStr">
        <is>
          <t>ja</t>
        </is>
      </c>
      <c r="O48" t="inlineStr">
        <is>
          <t>Geen dieet</t>
        </is>
      </c>
      <c r="Q48">
        <f>LEN(G48)-LEN(SUBSTITUTE(G48,",",""))+1</f>
        <v/>
      </c>
      <c r="R48">
        <f>SWITCH(I48, "Zelden", 1, "Af en toe", 4, "Regelmatig", 8, "Vaak", 12)</f>
        <v/>
      </c>
      <c r="S48">
        <f>AVERAGE(--(K48="ja"), --(L48="ja"), --(M48="ja"), --(N48="ja"), --(O48="ja"))*10</f>
        <v/>
      </c>
      <c r="T48">
        <f>IF(S48&gt;=7, "Tevreden", "Ontevreden")</f>
        <v/>
      </c>
    </row>
    <row r="49">
      <c r="A49" t="inlineStr">
        <is>
          <t>Helena</t>
        </is>
      </c>
      <c r="B49" t="inlineStr">
        <is>
          <t>Huyghe</t>
        </is>
      </c>
      <c r="C49" t="inlineStr">
        <is>
          <t>438.94651-46</t>
        </is>
      </c>
      <c r="D49" t="inlineStr">
        <is>
          <t>06/02/1999</t>
        </is>
      </c>
      <c r="E49" t="inlineStr">
        <is>
          <t>Franklin Rooseveltlaan 22, 3770 Riemst</t>
        </is>
      </c>
      <c r="F49" t="inlineStr">
        <is>
          <t>Helena,Auguste</t>
        </is>
      </c>
      <c r="G49" t="n">
        <v>89.62</v>
      </c>
      <c r="H49" t="n">
        <v>1</v>
      </c>
      <c r="I49" t="inlineStr">
        <is>
          <t>Cash</t>
        </is>
      </c>
      <c r="J49" t="inlineStr">
        <is>
          <t>ja</t>
        </is>
      </c>
      <c r="K49" t="inlineStr">
        <is>
          <t>ja</t>
        </is>
      </c>
      <c r="L49" t="inlineStr">
        <is>
          <t>ja</t>
        </is>
      </c>
      <c r="M49" t="inlineStr">
        <is>
          <t>ja</t>
        </is>
      </c>
      <c r="N49" t="inlineStr">
        <is>
          <t>ja</t>
        </is>
      </c>
      <c r="O49" t="inlineStr">
        <is>
          <t>Vegetarisch</t>
        </is>
      </c>
      <c r="Q49">
        <f>LEN(G49)-LEN(SUBSTITUTE(G49,",",""))+1</f>
        <v/>
      </c>
      <c r="R49">
        <f>SWITCH(I49, "Zelden", 1, "Af en toe", 4, "Regelmatig", 8, "Vaak", 12)</f>
        <v/>
      </c>
      <c r="S49">
        <f>AVERAGE(--(K49="ja"), --(L49="ja"), --(M49="ja"), --(N49="ja"), --(O49="ja"))*10</f>
        <v/>
      </c>
      <c r="T49">
        <f>IF(S49&gt;=7, "Tevreden", "Ontevreden")</f>
        <v/>
      </c>
    </row>
    <row r="50">
      <c r="A50" t="inlineStr">
        <is>
          <t>Nicky</t>
        </is>
      </c>
      <c r="B50" t="inlineStr">
        <is>
          <t>Borremans</t>
        </is>
      </c>
      <c r="C50" t="inlineStr">
        <is>
          <t>199.45934-81</t>
        </is>
      </c>
      <c r="D50" t="inlineStr">
        <is>
          <t>13/11/1977</t>
        </is>
      </c>
      <c r="E50" t="inlineStr">
        <is>
          <t>Varendriesstraat 22, 3945 Kwaadmechelen</t>
        </is>
      </c>
      <c r="F50" t="inlineStr">
        <is>
          <t>Nicky,Florent</t>
        </is>
      </c>
      <c r="G50" t="n">
        <v>18.37</v>
      </c>
      <c r="H50" t="n">
        <v>15</v>
      </c>
      <c r="I50" t="inlineStr">
        <is>
          <t>Payconiq</t>
        </is>
      </c>
      <c r="J50" t="inlineStr">
        <is>
          <t>ja</t>
        </is>
      </c>
      <c r="K50" t="inlineStr">
        <is>
          <t>nee</t>
        </is>
      </c>
      <c r="L50" t="inlineStr">
        <is>
          <t>ja</t>
        </is>
      </c>
      <c r="M50" t="inlineStr">
        <is>
          <t>ja</t>
        </is>
      </c>
      <c r="N50" t="inlineStr">
        <is>
          <t>nee</t>
        </is>
      </c>
      <c r="O50" t="inlineStr">
        <is>
          <t>Geen dieet</t>
        </is>
      </c>
      <c r="Q50">
        <f>LEN(G50)-LEN(SUBSTITUTE(G50,",",""))+1</f>
        <v/>
      </c>
      <c r="R50">
        <f>SWITCH(I50, "Zelden", 1, "Af en toe", 4, "Regelmatig", 8, "Vaak", 12)</f>
        <v/>
      </c>
      <c r="S50">
        <f>AVERAGE(--(K50="ja"), --(L50="ja"), --(M50="ja"), --(N50="ja"), --(O50="ja"))*10</f>
        <v/>
      </c>
      <c r="T50">
        <f>IF(S50&gt;=7, "Tevreden", "Ontevreden")</f>
        <v/>
      </c>
    </row>
    <row r="51">
      <c r="A51" t="inlineStr">
        <is>
          <t>Marc</t>
        </is>
      </c>
      <c r="B51" t="inlineStr">
        <is>
          <t>Engels</t>
        </is>
      </c>
      <c r="C51" t="inlineStr">
        <is>
          <t>65.34438-92</t>
        </is>
      </c>
      <c r="D51" t="inlineStr">
        <is>
          <t>26/11/2003</t>
        </is>
      </c>
      <c r="E51" t="inlineStr">
        <is>
          <t>Kerkstraat 13, 3770 Kanne</t>
        </is>
      </c>
      <c r="F51" t="inlineStr">
        <is>
          <t>Marc,Rosette,Michaël,Magali,Anna</t>
        </is>
      </c>
      <c r="G51" t="n">
        <v>176.39</v>
      </c>
      <c r="H51" t="n">
        <v>13</v>
      </c>
      <c r="I51" t="inlineStr">
        <is>
          <t>Payconiq</t>
        </is>
      </c>
      <c r="J51" t="inlineStr">
        <is>
          <t>ja</t>
        </is>
      </c>
      <c r="K51" t="inlineStr">
        <is>
          <t>ja</t>
        </is>
      </c>
      <c r="L51" t="inlineStr">
        <is>
          <t>nee</t>
        </is>
      </c>
      <c r="M51" t="inlineStr">
        <is>
          <t>nee</t>
        </is>
      </c>
      <c r="N51" t="inlineStr">
        <is>
          <t>ja</t>
        </is>
      </c>
      <c r="O51" t="inlineStr">
        <is>
          <t>Veganistisch</t>
        </is>
      </c>
      <c r="Q51">
        <f>LEN(G51)-LEN(SUBSTITUTE(G51,",",""))+1</f>
        <v/>
      </c>
      <c r="R51">
        <f>SWITCH(I51, "Zelden", 1, "Af en toe", 4, "Regelmatig", 8, "Vaak", 12)</f>
        <v/>
      </c>
      <c r="S51">
        <f>AVERAGE(--(K51="ja"), --(L51="ja"), --(M51="ja"), --(N51="ja"), --(O51="ja"))*10</f>
        <v/>
      </c>
      <c r="T51">
        <f>IF(S51&gt;=7, "Tevreden", "Ontevreden")</f>
        <v/>
      </c>
    </row>
    <row r="52">
      <c r="A52" t="inlineStr">
        <is>
          <t>Sara</t>
        </is>
      </c>
      <c r="B52" t="inlineStr">
        <is>
          <t>Lenaerts</t>
        </is>
      </c>
      <c r="C52" t="inlineStr">
        <is>
          <t>840.23328-21</t>
        </is>
      </c>
      <c r="D52" t="inlineStr">
        <is>
          <t>11/02/1998</t>
        </is>
      </c>
      <c r="E52" t="inlineStr">
        <is>
          <t>Bijlokevest 22, 3620 Lanaken</t>
        </is>
      </c>
      <c r="F52" t="inlineStr">
        <is>
          <t>Sara,Noreddine</t>
        </is>
      </c>
      <c r="G52" t="n">
        <v>176.27</v>
      </c>
      <c r="H52" t="n">
        <v>10</v>
      </c>
      <c r="I52" t="inlineStr">
        <is>
          <t>Payconiq</t>
        </is>
      </c>
      <c r="J52" t="inlineStr">
        <is>
          <t>ja</t>
        </is>
      </c>
      <c r="K52" t="inlineStr">
        <is>
          <t>nee</t>
        </is>
      </c>
      <c r="L52" t="inlineStr">
        <is>
          <t>ja</t>
        </is>
      </c>
      <c r="M52" t="inlineStr">
        <is>
          <t>nee</t>
        </is>
      </c>
      <c r="N52" t="inlineStr">
        <is>
          <t>ja</t>
        </is>
      </c>
      <c r="O52" t="inlineStr">
        <is>
          <t>Geen dieet</t>
        </is>
      </c>
      <c r="Q52">
        <f>LEN(G52)-LEN(SUBSTITUTE(G52,",",""))+1</f>
        <v/>
      </c>
      <c r="R52">
        <f>SWITCH(I52, "Zelden", 1, "Af en toe", 4, "Regelmatig", 8, "Vaak", 12)</f>
        <v/>
      </c>
      <c r="S52">
        <f>AVERAGE(--(K52="ja"), --(L52="ja"), --(M52="ja"), --(N52="ja"), --(O52="ja"))*10</f>
        <v/>
      </c>
      <c r="T52">
        <f>IF(S52&gt;=7, "Tevreden", "Ontevreden")</f>
        <v/>
      </c>
    </row>
    <row r="53">
      <c r="A53" t="inlineStr">
        <is>
          <t>Jean-Claude</t>
        </is>
      </c>
      <c r="B53" t="inlineStr">
        <is>
          <t>De smedt</t>
        </is>
      </c>
      <c r="C53" t="inlineStr">
        <is>
          <t>922.55154-51</t>
        </is>
      </c>
      <c r="D53" t="inlineStr">
        <is>
          <t>21/01/1967</t>
        </is>
      </c>
      <c r="E53" t="inlineStr">
        <is>
          <t>Rooigemlaan 7, 3910 Neerpelt</t>
        </is>
      </c>
      <c r="F53" t="inlineStr">
        <is>
          <t>Jean-Claude,Aldo</t>
        </is>
      </c>
      <c r="G53" t="n">
        <v>70.61</v>
      </c>
      <c r="H53" t="n">
        <v>6</v>
      </c>
      <c r="I53" t="inlineStr">
        <is>
          <t>Cash</t>
        </is>
      </c>
      <c r="J53" t="inlineStr">
        <is>
          <t>ja</t>
        </is>
      </c>
      <c r="K53" t="inlineStr">
        <is>
          <t>ja</t>
        </is>
      </c>
      <c r="L53" t="inlineStr">
        <is>
          <t>ja</t>
        </is>
      </c>
      <c r="M53" t="inlineStr">
        <is>
          <t>nee</t>
        </is>
      </c>
      <c r="N53" t="inlineStr">
        <is>
          <t>ja</t>
        </is>
      </c>
      <c r="O53" t="inlineStr">
        <is>
          <t>Geen dieet</t>
        </is>
      </c>
      <c r="Q53">
        <f>LEN(G53)-LEN(SUBSTITUTE(G53,",",""))+1</f>
        <v/>
      </c>
      <c r="R53">
        <f>SWITCH(I53, "Zelden", 1, "Af en toe", 4, "Regelmatig", 8, "Vaak", 12)</f>
        <v/>
      </c>
      <c r="S53">
        <f>AVERAGE(--(K53="ja"), --(L53="ja"), --(M53="ja"), --(N53="ja"), --(O53="ja"))*10</f>
        <v/>
      </c>
      <c r="T53">
        <f>IF(S53&gt;=7, "Tevreden", "Ontevreden")</f>
        <v/>
      </c>
    </row>
    <row r="54">
      <c r="A54" t="inlineStr">
        <is>
          <t>Sonja</t>
        </is>
      </c>
      <c r="B54" t="inlineStr">
        <is>
          <t>De jonghe</t>
        </is>
      </c>
      <c r="C54" t="inlineStr">
        <is>
          <t>442.65533-41</t>
        </is>
      </c>
      <c r="D54" t="inlineStr">
        <is>
          <t>16/04/1953</t>
        </is>
      </c>
      <c r="E54" t="inlineStr">
        <is>
          <t>Kleine Gentstraat 104, 3831 Herten</t>
        </is>
      </c>
      <c r="F54" t="inlineStr">
        <is>
          <t>Sonja</t>
        </is>
      </c>
      <c r="G54" t="n">
        <v>108.41</v>
      </c>
      <c r="H54" t="n">
        <v>15</v>
      </c>
      <c r="I54" t="inlineStr">
        <is>
          <t>Cash</t>
        </is>
      </c>
      <c r="J54" t="inlineStr">
        <is>
          <t>nee</t>
        </is>
      </c>
      <c r="K54" t="inlineStr">
        <is>
          <t>ja</t>
        </is>
      </c>
      <c r="L54" t="inlineStr">
        <is>
          <t>ja</t>
        </is>
      </c>
      <c r="M54" t="inlineStr">
        <is>
          <t>ja</t>
        </is>
      </c>
      <c r="N54" t="inlineStr">
        <is>
          <t>ja</t>
        </is>
      </c>
      <c r="O54" t="inlineStr">
        <is>
          <t>Veganistisch</t>
        </is>
      </c>
      <c r="Q54">
        <f>LEN(G54)-LEN(SUBSTITUTE(G54,",",""))+1</f>
        <v/>
      </c>
      <c r="R54">
        <f>SWITCH(I54, "Zelden", 1, "Af en toe", 4, "Regelmatig", 8, "Vaak", 12)</f>
        <v/>
      </c>
      <c r="S54">
        <f>AVERAGE(--(K54="ja"), --(L54="ja"), --(M54="ja"), --(N54="ja"), --(O54="ja"))*10</f>
        <v/>
      </c>
      <c r="T54">
        <f>IF(S54&gt;=7, "Tevreden", "Ontevreden")</f>
        <v/>
      </c>
    </row>
    <row r="55">
      <c r="A55" t="inlineStr">
        <is>
          <t>Chisom</t>
        </is>
      </c>
      <c r="B55" t="inlineStr">
        <is>
          <t>Simons</t>
        </is>
      </c>
      <c r="C55" t="inlineStr">
        <is>
          <t>414.80354-22</t>
        </is>
      </c>
      <c r="D55" t="inlineStr">
        <is>
          <t>05/02/1958</t>
        </is>
      </c>
      <c r="E55" t="inlineStr">
        <is>
          <t>Destelbergenstraat 22, 3500 Hasselt</t>
        </is>
      </c>
      <c r="F55" t="inlineStr">
        <is>
          <t>Chisom,Dario,Matthias</t>
        </is>
      </c>
      <c r="G55" t="n">
        <v>165.38</v>
      </c>
      <c r="H55" t="n">
        <v>6</v>
      </c>
      <c r="I55" t="inlineStr">
        <is>
          <t>Bancontact</t>
        </is>
      </c>
      <c r="J55" t="inlineStr">
        <is>
          <t>ja</t>
        </is>
      </c>
      <c r="K55" t="inlineStr">
        <is>
          <t>nee</t>
        </is>
      </c>
      <c r="L55" t="inlineStr">
        <is>
          <t>ja</t>
        </is>
      </c>
      <c r="M55" t="inlineStr">
        <is>
          <t>ja</t>
        </is>
      </c>
      <c r="N55" t="inlineStr">
        <is>
          <t>nee</t>
        </is>
      </c>
      <c r="O55" t="inlineStr">
        <is>
          <t>Geen dieet</t>
        </is>
      </c>
      <c r="Q55">
        <f>LEN(G55)-LEN(SUBSTITUTE(G55,",",""))+1</f>
        <v/>
      </c>
      <c r="R55">
        <f>SWITCH(I55, "Zelden", 1, "Af en toe", 4, "Regelmatig", 8, "Vaak", 12)</f>
        <v/>
      </c>
      <c r="S55">
        <f>AVERAGE(--(K55="ja"), --(L55="ja"), --(M55="ja"), --(N55="ja"), --(O55="ja"))*10</f>
        <v/>
      </c>
      <c r="T55">
        <f>IF(S55&gt;=7, "Tevreden", "Ontevreden")</f>
        <v/>
      </c>
    </row>
    <row r="56">
      <c r="A56" t="inlineStr">
        <is>
          <t>Hugo</t>
        </is>
      </c>
      <c r="B56" t="inlineStr">
        <is>
          <t>Vervoort</t>
        </is>
      </c>
      <c r="C56" t="inlineStr">
        <is>
          <t>612.71841-48</t>
        </is>
      </c>
      <c r="D56" t="inlineStr">
        <is>
          <t>14/04/1978</t>
        </is>
      </c>
      <c r="E56" t="inlineStr">
        <is>
          <t>Scheeplosserstraat 61, 3840 Borgloon</t>
        </is>
      </c>
      <c r="F56" t="inlineStr">
        <is>
          <t>Hugo</t>
        </is>
      </c>
      <c r="G56" t="n">
        <v>58.77</v>
      </c>
      <c r="H56" t="n">
        <v>7</v>
      </c>
      <c r="I56" t="inlineStr">
        <is>
          <t>Payconiq</t>
        </is>
      </c>
      <c r="J56" t="inlineStr">
        <is>
          <t>ja</t>
        </is>
      </c>
      <c r="K56" t="inlineStr">
        <is>
          <t>ja</t>
        </is>
      </c>
      <c r="L56" t="inlineStr">
        <is>
          <t>ja</t>
        </is>
      </c>
      <c r="M56" t="inlineStr">
        <is>
          <t>ja</t>
        </is>
      </c>
      <c r="N56" t="inlineStr">
        <is>
          <t>ja</t>
        </is>
      </c>
      <c r="O56" t="inlineStr">
        <is>
          <t>Vegetarisch</t>
        </is>
      </c>
      <c r="Q56">
        <f>LEN(G56)-LEN(SUBSTITUTE(G56,",",""))+1</f>
        <v/>
      </c>
      <c r="R56">
        <f>SWITCH(I56, "Zelden", 1, "Af en toe", 4, "Regelmatig", 8, "Vaak", 12)</f>
        <v/>
      </c>
      <c r="S56">
        <f>AVERAGE(--(K56="ja"), --(L56="ja"), --(M56="ja"), --(N56="ja"), --(O56="ja"))*10</f>
        <v/>
      </c>
      <c r="T56">
        <f>IF(S56&gt;=7, "Tevreden", "Ontevreden")</f>
        <v/>
      </c>
    </row>
    <row r="57">
      <c r="A57" t="inlineStr">
        <is>
          <t>Maria</t>
        </is>
      </c>
      <c r="B57" t="inlineStr">
        <is>
          <t>Moons</t>
        </is>
      </c>
      <c r="C57" t="inlineStr">
        <is>
          <t>288.52432-68</t>
        </is>
      </c>
      <c r="D57" t="inlineStr">
        <is>
          <t>06/01/1966</t>
        </is>
      </c>
      <c r="E57" t="inlineStr">
        <is>
          <t>Gaverlandstraat 9, 3770 Riemst</t>
        </is>
      </c>
      <c r="F57" t="inlineStr">
        <is>
          <t>Maria</t>
        </is>
      </c>
      <c r="G57" t="n">
        <v>132.15</v>
      </c>
      <c r="H57" t="n">
        <v>10</v>
      </c>
      <c r="I57" t="inlineStr">
        <is>
          <t>Payconiq</t>
        </is>
      </c>
      <c r="J57" t="inlineStr">
        <is>
          <t>ja</t>
        </is>
      </c>
      <c r="K57" t="inlineStr">
        <is>
          <t>ja</t>
        </is>
      </c>
      <c r="L57" t="inlineStr">
        <is>
          <t>ja</t>
        </is>
      </c>
      <c r="M57" t="inlineStr">
        <is>
          <t>ja</t>
        </is>
      </c>
      <c r="N57" t="inlineStr">
        <is>
          <t>ja</t>
        </is>
      </c>
      <c r="O57" t="inlineStr">
        <is>
          <t>Vegetarisch</t>
        </is>
      </c>
      <c r="Q57">
        <f>LEN(G57)-LEN(SUBSTITUTE(G57,",",""))+1</f>
        <v/>
      </c>
      <c r="R57">
        <f>SWITCH(I57, "Zelden", 1, "Af en toe", 4, "Regelmatig", 8, "Vaak", 12)</f>
        <v/>
      </c>
      <c r="S57">
        <f>AVERAGE(--(K57="ja"), --(L57="ja"), --(M57="ja"), --(N57="ja"), --(O57="ja"))*10</f>
        <v/>
      </c>
      <c r="T57">
        <f>IF(S57&gt;=7, "Tevreden", "Ontevreden")</f>
        <v/>
      </c>
    </row>
    <row r="58">
      <c r="A58" t="inlineStr">
        <is>
          <t>Bjorn</t>
        </is>
      </c>
      <c r="B58" t="inlineStr">
        <is>
          <t>Dhondt</t>
        </is>
      </c>
      <c r="C58" t="inlineStr">
        <is>
          <t>978.67410-15</t>
        </is>
      </c>
      <c r="D58" t="inlineStr">
        <is>
          <t>11/05/1970</t>
        </is>
      </c>
      <c r="E58" t="inlineStr">
        <is>
          <t>Voorhavenlaan 39, 3540 Herk-de-Stad</t>
        </is>
      </c>
      <c r="F58" t="inlineStr">
        <is>
          <t>Bjorn</t>
        </is>
      </c>
      <c r="G58" t="n">
        <v>78.05</v>
      </c>
      <c r="H58" t="n">
        <v>1</v>
      </c>
      <c r="I58" t="inlineStr">
        <is>
          <t>Payconiq</t>
        </is>
      </c>
      <c r="J58" t="inlineStr">
        <is>
          <t>ja</t>
        </is>
      </c>
      <c r="K58" t="inlineStr">
        <is>
          <t>nee</t>
        </is>
      </c>
      <c r="L58" t="inlineStr">
        <is>
          <t>ja</t>
        </is>
      </c>
      <c r="M58" t="inlineStr">
        <is>
          <t>ja</t>
        </is>
      </c>
      <c r="N58" t="inlineStr">
        <is>
          <t>ja</t>
        </is>
      </c>
      <c r="O58" t="inlineStr">
        <is>
          <t>Geen dieet</t>
        </is>
      </c>
      <c r="Q58">
        <f>LEN(G58)-LEN(SUBSTITUTE(G58,",",""))+1</f>
        <v/>
      </c>
      <c r="R58">
        <f>SWITCH(I58, "Zelden", 1, "Af en toe", 4, "Regelmatig", 8, "Vaak", 12)</f>
        <v/>
      </c>
      <c r="S58">
        <f>AVERAGE(--(K58="ja"), --(L58="ja"), --(M58="ja"), --(N58="ja"), --(O58="ja"))*10</f>
        <v/>
      </c>
      <c r="T58">
        <f>IF(S58&gt;=7, "Tevreden", "Ontevreden")</f>
        <v/>
      </c>
    </row>
    <row r="59">
      <c r="A59" t="inlineStr">
        <is>
          <t>Yamina</t>
        </is>
      </c>
      <c r="B59" t="inlineStr">
        <is>
          <t>Peeters</t>
        </is>
      </c>
      <c r="C59" t="inlineStr">
        <is>
          <t>855.92350-80</t>
        </is>
      </c>
      <c r="D59" t="inlineStr">
        <is>
          <t>16/11/1952</t>
        </is>
      </c>
      <c r="E59" t="inlineStr">
        <is>
          <t>J. Van Crombrugghestraat 28, 3620 Lanaken</t>
        </is>
      </c>
      <c r="F59" t="inlineStr">
        <is>
          <t>Yamina,Nele</t>
        </is>
      </c>
      <c r="G59" t="n">
        <v>47.41</v>
      </c>
      <c r="H59" t="n">
        <v>12</v>
      </c>
      <c r="I59" t="inlineStr">
        <is>
          <t>Bancontact</t>
        </is>
      </c>
      <c r="J59" t="inlineStr">
        <is>
          <t>nee</t>
        </is>
      </c>
      <c r="K59" t="inlineStr">
        <is>
          <t>nee</t>
        </is>
      </c>
      <c r="L59" t="inlineStr">
        <is>
          <t>ja</t>
        </is>
      </c>
      <c r="M59" t="inlineStr">
        <is>
          <t>nee</t>
        </is>
      </c>
      <c r="N59" t="inlineStr">
        <is>
          <t>nee</t>
        </is>
      </c>
      <c r="O59" t="inlineStr">
        <is>
          <t>Vegetarisch</t>
        </is>
      </c>
      <c r="Q59">
        <f>LEN(G59)-LEN(SUBSTITUTE(G59,",",""))+1</f>
        <v/>
      </c>
      <c r="R59">
        <f>SWITCH(I59, "Zelden", 1, "Af en toe", 4, "Regelmatig", 8, "Vaak", 12)</f>
        <v/>
      </c>
      <c r="S59">
        <f>AVERAGE(--(K59="ja"), --(L59="ja"), --(M59="ja"), --(N59="ja"), --(O59="ja"))*10</f>
        <v/>
      </c>
      <c r="T59">
        <f>IF(S59&gt;=7, "Tevreden", "Ontevreden")</f>
        <v/>
      </c>
    </row>
    <row r="60">
      <c r="A60" t="inlineStr">
        <is>
          <t>Wendy</t>
        </is>
      </c>
      <c r="B60" t="inlineStr">
        <is>
          <t>Michiels</t>
        </is>
      </c>
      <c r="C60" t="inlineStr">
        <is>
          <t>177.29282-98</t>
        </is>
      </c>
      <c r="D60" t="inlineStr">
        <is>
          <t>18/09/1954</t>
        </is>
      </c>
      <c r="E60" t="inlineStr">
        <is>
          <t>Ganzendries 39, 3910 Neerpelt</t>
        </is>
      </c>
      <c r="F60" t="inlineStr">
        <is>
          <t>Wendy,Hamid,Dany</t>
        </is>
      </c>
      <c r="G60" t="n">
        <v>67.40000000000001</v>
      </c>
      <c r="H60" t="n">
        <v>18</v>
      </c>
      <c r="I60" t="inlineStr">
        <is>
          <t>Cash</t>
        </is>
      </c>
      <c r="J60" t="inlineStr">
        <is>
          <t>nee</t>
        </is>
      </c>
      <c r="K60" t="inlineStr">
        <is>
          <t>ja</t>
        </is>
      </c>
      <c r="L60" t="inlineStr">
        <is>
          <t>ja</t>
        </is>
      </c>
      <c r="M60" t="inlineStr">
        <is>
          <t>nee</t>
        </is>
      </c>
      <c r="N60" t="inlineStr">
        <is>
          <t>ja</t>
        </is>
      </c>
      <c r="O60" t="inlineStr">
        <is>
          <t>Geen dieet</t>
        </is>
      </c>
      <c r="Q60">
        <f>LEN(G60)-LEN(SUBSTITUTE(G60,",",""))+1</f>
        <v/>
      </c>
      <c r="R60">
        <f>SWITCH(I60, "Zelden", 1, "Af en toe", 4, "Regelmatig", 8, "Vaak", 12)</f>
        <v/>
      </c>
      <c r="S60">
        <f>AVERAGE(--(K60="ja"), --(L60="ja"), --(M60="ja"), --(N60="ja"), --(O60="ja"))*10</f>
        <v/>
      </c>
      <c r="T60">
        <f>IF(S60&gt;=7, "Tevreden", "Ontevreden")</f>
        <v/>
      </c>
    </row>
    <row r="61">
      <c r="A61" t="inlineStr">
        <is>
          <t>Vitali</t>
        </is>
      </c>
      <c r="B61" t="inlineStr">
        <is>
          <t>Michiels</t>
        </is>
      </c>
      <c r="C61" t="inlineStr">
        <is>
          <t>30.84367-57</t>
        </is>
      </c>
      <c r="D61" t="inlineStr">
        <is>
          <t>24/11/1955</t>
        </is>
      </c>
      <c r="E61" t="inlineStr">
        <is>
          <t>Graaf Van Vlaanderenplein 34, 3630 Maasmechelen</t>
        </is>
      </c>
      <c r="F61" t="inlineStr">
        <is>
          <t>Vitali,Mohamed,Stijn</t>
        </is>
      </c>
      <c r="G61" t="n">
        <v>86.65000000000001</v>
      </c>
      <c r="H61" t="n">
        <v>16</v>
      </c>
      <c r="I61" t="inlineStr">
        <is>
          <t>Payconiq</t>
        </is>
      </c>
      <c r="J61" t="inlineStr">
        <is>
          <t>ja</t>
        </is>
      </c>
      <c r="K61" t="inlineStr">
        <is>
          <t>ja</t>
        </is>
      </c>
      <c r="L61" t="inlineStr">
        <is>
          <t>ja</t>
        </is>
      </c>
      <c r="M61" t="inlineStr">
        <is>
          <t>ja</t>
        </is>
      </c>
      <c r="N61" t="inlineStr">
        <is>
          <t>nee</t>
        </is>
      </c>
      <c r="O61" t="inlineStr">
        <is>
          <t>Vegetarisch</t>
        </is>
      </c>
      <c r="Q61">
        <f>LEN(G61)-LEN(SUBSTITUTE(G61,",",""))+1</f>
        <v/>
      </c>
      <c r="R61">
        <f>SWITCH(I61, "Zelden", 1, "Af en toe", 4, "Regelmatig", 8, "Vaak", 12)</f>
        <v/>
      </c>
      <c r="S61">
        <f>AVERAGE(--(K61="ja"), --(L61="ja"), --(M61="ja"), --(N61="ja"), --(O61="ja"))*10</f>
        <v/>
      </c>
      <c r="T61">
        <f>IF(S61&gt;=7, "Tevreden", "Ontevreden")</f>
        <v/>
      </c>
    </row>
    <row r="62">
      <c r="A62" t="inlineStr">
        <is>
          <t>Sandrine</t>
        </is>
      </c>
      <c r="B62" t="inlineStr">
        <is>
          <t>De block</t>
        </is>
      </c>
      <c r="C62" t="inlineStr">
        <is>
          <t>643.85499-60</t>
        </is>
      </c>
      <c r="D62" t="inlineStr">
        <is>
          <t>29/08/1998</t>
        </is>
      </c>
      <c r="E62" t="inlineStr">
        <is>
          <t>Woodrow Wilsonplein 72, 3545 Halen</t>
        </is>
      </c>
      <c r="F62" t="inlineStr">
        <is>
          <t>Sandrine</t>
        </is>
      </c>
      <c r="G62" t="n">
        <v>18.37</v>
      </c>
      <c r="H62" t="n">
        <v>1</v>
      </c>
      <c r="I62" t="inlineStr">
        <is>
          <t>Bancontact</t>
        </is>
      </c>
      <c r="J62" t="inlineStr">
        <is>
          <t>nee</t>
        </is>
      </c>
      <c r="K62" t="inlineStr">
        <is>
          <t>ja</t>
        </is>
      </c>
      <c r="L62" t="inlineStr">
        <is>
          <t>nee</t>
        </is>
      </c>
      <c r="M62" t="inlineStr">
        <is>
          <t>ja</t>
        </is>
      </c>
      <c r="N62" t="inlineStr">
        <is>
          <t>ja</t>
        </is>
      </c>
      <c r="O62" t="inlineStr">
        <is>
          <t>Geen dieet</t>
        </is>
      </c>
      <c r="Q62">
        <f>LEN(G62)-LEN(SUBSTITUTE(G62,",",""))+1</f>
        <v/>
      </c>
      <c r="R62">
        <f>SWITCH(I62, "Zelden", 1, "Af en toe", 4, "Regelmatig", 8, "Vaak", 12)</f>
        <v/>
      </c>
      <c r="S62">
        <f>AVERAGE(--(K62="ja"), --(L62="ja"), --(M62="ja"), --(N62="ja"), --(O62="ja"))*10</f>
        <v/>
      </c>
      <c r="T62">
        <f>IF(S62&gt;=7, "Tevreden", "Ontevreden")</f>
        <v/>
      </c>
    </row>
    <row r="63">
      <c r="A63" t="inlineStr">
        <is>
          <t>Charles</t>
        </is>
      </c>
      <c r="B63" t="inlineStr">
        <is>
          <t>Vercruysse</t>
        </is>
      </c>
      <c r="C63" t="inlineStr">
        <is>
          <t>953.44718-41</t>
        </is>
      </c>
      <c r="D63" t="inlineStr">
        <is>
          <t>21/08/1993</t>
        </is>
      </c>
      <c r="E63" t="inlineStr">
        <is>
          <t>Geldmunt 22, 3890 Vorden</t>
        </is>
      </c>
      <c r="F63" t="inlineStr">
        <is>
          <t>Charles,Miranda,Xavier,José</t>
        </is>
      </c>
      <c r="G63" t="n">
        <v>108.53</v>
      </c>
      <c r="H63" t="n">
        <v>5</v>
      </c>
      <c r="I63" t="inlineStr">
        <is>
          <t>Payconiq</t>
        </is>
      </c>
      <c r="J63" t="inlineStr">
        <is>
          <t>nee</t>
        </is>
      </c>
      <c r="K63" t="inlineStr">
        <is>
          <t>ja</t>
        </is>
      </c>
      <c r="L63" t="inlineStr">
        <is>
          <t>nee</t>
        </is>
      </c>
      <c r="M63" t="inlineStr">
        <is>
          <t>ja</t>
        </is>
      </c>
      <c r="N63" t="inlineStr">
        <is>
          <t>ja</t>
        </is>
      </c>
      <c r="O63" t="inlineStr">
        <is>
          <t>Vegetarisch</t>
        </is>
      </c>
      <c r="Q63">
        <f>LEN(G63)-LEN(SUBSTITUTE(G63,",",""))+1</f>
        <v/>
      </c>
      <c r="R63">
        <f>SWITCH(I63, "Zelden", 1, "Af en toe", 4, "Regelmatig", 8, "Vaak", 12)</f>
        <v/>
      </c>
      <c r="S63">
        <f>AVERAGE(--(K63="ja"), --(L63="ja"), --(M63="ja"), --(N63="ja"), --(O63="ja"))*10</f>
        <v/>
      </c>
      <c r="T63">
        <f>IF(S63&gt;=7, "Tevreden", "Ontevreden")</f>
        <v/>
      </c>
    </row>
    <row r="64">
      <c r="A64" t="inlineStr">
        <is>
          <t>Jennifer</t>
        </is>
      </c>
      <c r="B64" t="inlineStr">
        <is>
          <t>Thijs</t>
        </is>
      </c>
      <c r="C64" t="inlineStr">
        <is>
          <t>212.35436-85</t>
        </is>
      </c>
      <c r="D64" t="inlineStr">
        <is>
          <t>13/08/1955</t>
        </is>
      </c>
      <c r="E64" t="inlineStr">
        <is>
          <t>Kraanlei 23, 3500 Hasselt</t>
        </is>
      </c>
      <c r="F64" t="inlineStr">
        <is>
          <t>Jennifer,Carolien,Niels,Qefser,Dirk</t>
        </is>
      </c>
      <c r="G64" t="n">
        <v>169.41</v>
      </c>
      <c r="H64" t="n">
        <v>12</v>
      </c>
      <c r="I64" t="inlineStr">
        <is>
          <t>Payconiq</t>
        </is>
      </c>
      <c r="J64" t="inlineStr">
        <is>
          <t>ja</t>
        </is>
      </c>
      <c r="K64" t="inlineStr">
        <is>
          <t>ja</t>
        </is>
      </c>
      <c r="L64" t="inlineStr">
        <is>
          <t>ja</t>
        </is>
      </c>
      <c r="M64" t="inlineStr">
        <is>
          <t>ja</t>
        </is>
      </c>
      <c r="N64" t="inlineStr">
        <is>
          <t>ja</t>
        </is>
      </c>
      <c r="O64" t="inlineStr">
        <is>
          <t>Geen dieet</t>
        </is>
      </c>
      <c r="Q64">
        <f>LEN(G64)-LEN(SUBSTITUTE(G64,",",""))+1</f>
        <v/>
      </c>
      <c r="R64">
        <f>SWITCH(I64, "Zelden", 1, "Af en toe", 4, "Regelmatig", 8, "Vaak", 12)</f>
        <v/>
      </c>
      <c r="S64">
        <f>AVERAGE(--(K64="ja"), --(L64="ja"), --(M64="ja"), --(N64="ja"), --(O64="ja"))*10</f>
        <v/>
      </c>
      <c r="T64">
        <f>IF(S64&gt;=7, "Tevreden", "Ontevreden")</f>
        <v/>
      </c>
    </row>
    <row r="65">
      <c r="A65" t="inlineStr">
        <is>
          <t>Christiana</t>
        </is>
      </c>
      <c r="B65" t="inlineStr">
        <is>
          <t>Lejeune</t>
        </is>
      </c>
      <c r="C65" t="inlineStr">
        <is>
          <t>396.64281-32</t>
        </is>
      </c>
      <c r="D65" t="inlineStr">
        <is>
          <t>27/03/1949</t>
        </is>
      </c>
      <c r="E65" t="inlineStr">
        <is>
          <t>Limburgstraat 85, 3700 Tongeren</t>
        </is>
      </c>
      <c r="F65" t="inlineStr">
        <is>
          <t>Christiana,Ignace,Ludo,Nuriye,Marie</t>
        </is>
      </c>
      <c r="G65" t="n">
        <v>200.41</v>
      </c>
      <c r="H65" t="n">
        <v>4</v>
      </c>
      <c r="I65" t="inlineStr">
        <is>
          <t>Cash</t>
        </is>
      </c>
      <c r="J65" t="inlineStr">
        <is>
          <t>nee</t>
        </is>
      </c>
      <c r="K65" t="inlineStr">
        <is>
          <t>ja</t>
        </is>
      </c>
      <c r="L65" t="inlineStr">
        <is>
          <t>ja</t>
        </is>
      </c>
      <c r="M65" t="inlineStr">
        <is>
          <t>ja</t>
        </is>
      </c>
      <c r="N65" t="inlineStr">
        <is>
          <t>ja</t>
        </is>
      </c>
      <c r="O65" t="inlineStr">
        <is>
          <t>Geen dieet</t>
        </is>
      </c>
      <c r="Q65">
        <f>LEN(G65)-LEN(SUBSTITUTE(G65,",",""))+1</f>
        <v/>
      </c>
      <c r="R65">
        <f>SWITCH(I65, "Zelden", 1, "Af en toe", 4, "Regelmatig", 8, "Vaak", 12)</f>
        <v/>
      </c>
      <c r="S65">
        <f>AVERAGE(--(K65="ja"), --(L65="ja"), --(M65="ja"), --(N65="ja"), --(O65="ja"))*10</f>
        <v/>
      </c>
      <c r="T65">
        <f>IF(S65&gt;=7, "Tevreden", "Ontevreden")</f>
        <v/>
      </c>
    </row>
    <row r="66">
      <c r="A66" t="inlineStr">
        <is>
          <t>Jessy</t>
        </is>
      </c>
      <c r="B66" t="inlineStr">
        <is>
          <t>Simons</t>
        </is>
      </c>
      <c r="C66" t="inlineStr">
        <is>
          <t>935.84392-37</t>
        </is>
      </c>
      <c r="D66" t="inlineStr">
        <is>
          <t>15/09/1996</t>
        </is>
      </c>
      <c r="E66" t="inlineStr">
        <is>
          <t>Baarledorpstraat 15, 3530 Houthalen-Helchteren</t>
        </is>
      </c>
      <c r="F66" t="inlineStr">
        <is>
          <t>Jessy,Lea</t>
        </is>
      </c>
      <c r="G66" t="n">
        <v>161.45</v>
      </c>
      <c r="H66" t="n">
        <v>15</v>
      </c>
      <c r="I66" t="inlineStr">
        <is>
          <t>Bancontact</t>
        </is>
      </c>
      <c r="J66" t="inlineStr">
        <is>
          <t>nee</t>
        </is>
      </c>
      <c r="K66" t="inlineStr">
        <is>
          <t>ja</t>
        </is>
      </c>
      <c r="L66" t="inlineStr">
        <is>
          <t>ja</t>
        </is>
      </c>
      <c r="M66" t="inlineStr">
        <is>
          <t>nee</t>
        </is>
      </c>
      <c r="N66" t="inlineStr">
        <is>
          <t>ja</t>
        </is>
      </c>
      <c r="O66" t="inlineStr">
        <is>
          <t>Geen dieet</t>
        </is>
      </c>
      <c r="Q66">
        <f>LEN(G66)-LEN(SUBSTITUTE(G66,",",""))+1</f>
        <v/>
      </c>
      <c r="R66">
        <f>SWITCH(I66, "Zelden", 1, "Af en toe", 4, "Regelmatig", 8, "Vaak", 12)</f>
        <v/>
      </c>
      <c r="S66">
        <f>AVERAGE(--(K66="ja"), --(L66="ja"), --(M66="ja"), --(N66="ja"), --(O66="ja"))*10</f>
        <v/>
      </c>
      <c r="T66">
        <f>IF(S66&gt;=7, "Tevreden", "Ontevreden")</f>
        <v/>
      </c>
    </row>
    <row r="67">
      <c r="A67" t="inlineStr">
        <is>
          <t>Grégoire</t>
        </is>
      </c>
      <c r="B67" t="inlineStr">
        <is>
          <t>Willems</t>
        </is>
      </c>
      <c r="C67" t="inlineStr">
        <is>
          <t>202.86868-73</t>
        </is>
      </c>
      <c r="D67" t="inlineStr">
        <is>
          <t>10/08/1968</t>
        </is>
      </c>
      <c r="E67" t="inlineStr">
        <is>
          <t>Lange Kruisstraat 56, 3630 Maasmechelen</t>
        </is>
      </c>
      <c r="F67" t="inlineStr">
        <is>
          <t>Grégoire,Anca,Marie-Claire</t>
        </is>
      </c>
      <c r="G67" t="n">
        <v>80.13</v>
      </c>
      <c r="H67" t="n">
        <v>4</v>
      </c>
      <c r="I67" t="inlineStr">
        <is>
          <t>Cash</t>
        </is>
      </c>
      <c r="J67" t="inlineStr">
        <is>
          <t>nee</t>
        </is>
      </c>
      <c r="K67" t="inlineStr">
        <is>
          <t>ja</t>
        </is>
      </c>
      <c r="L67" t="inlineStr">
        <is>
          <t>nee</t>
        </is>
      </c>
      <c r="M67" t="inlineStr">
        <is>
          <t>ja</t>
        </is>
      </c>
      <c r="N67" t="inlineStr">
        <is>
          <t>nee</t>
        </is>
      </c>
      <c r="O67" t="inlineStr">
        <is>
          <t>Geen dieet</t>
        </is>
      </c>
      <c r="Q67">
        <f>LEN(G67)-LEN(SUBSTITUTE(G67,",",""))+1</f>
        <v/>
      </c>
      <c r="R67">
        <f>SWITCH(I67, "Zelden", 1, "Af en toe", 4, "Regelmatig", 8, "Vaak", 12)</f>
        <v/>
      </c>
      <c r="S67">
        <f>AVERAGE(--(K67="ja"), --(L67="ja"), --(M67="ja"), --(N67="ja"), --(O67="ja"))*10</f>
        <v/>
      </c>
      <c r="T67">
        <f>IF(S67&gt;=7, "Tevreden", "Ontevreden")</f>
        <v/>
      </c>
    </row>
    <row r="68">
      <c r="A68" t="inlineStr">
        <is>
          <t>Emiel</t>
        </is>
      </c>
      <c r="B68" t="inlineStr">
        <is>
          <t>Hardy</t>
        </is>
      </c>
      <c r="C68" t="inlineStr">
        <is>
          <t>740.71793-74</t>
        </is>
      </c>
      <c r="D68" t="inlineStr">
        <is>
          <t>05/08/1967</t>
        </is>
      </c>
      <c r="E68" t="inlineStr">
        <is>
          <t>Jacob Van Arteveldestraat 86, 3970 Leopoldsburg</t>
        </is>
      </c>
      <c r="F68" t="inlineStr">
        <is>
          <t>Emiel,Léon</t>
        </is>
      </c>
      <c r="G68" t="n">
        <v>92.63</v>
      </c>
      <c r="H68" t="n">
        <v>1</v>
      </c>
      <c r="I68" t="inlineStr">
        <is>
          <t>Cash</t>
        </is>
      </c>
      <c r="J68" t="inlineStr">
        <is>
          <t>nee</t>
        </is>
      </c>
      <c r="K68" t="inlineStr">
        <is>
          <t>nee</t>
        </is>
      </c>
      <c r="L68" t="inlineStr">
        <is>
          <t>nee</t>
        </is>
      </c>
      <c r="M68" t="inlineStr">
        <is>
          <t>nee</t>
        </is>
      </c>
      <c r="N68" t="inlineStr">
        <is>
          <t>nee</t>
        </is>
      </c>
      <c r="O68" t="inlineStr">
        <is>
          <t>Veganistisch</t>
        </is>
      </c>
      <c r="Q68">
        <f>LEN(G68)-LEN(SUBSTITUTE(G68,",",""))+1</f>
        <v/>
      </c>
      <c r="R68">
        <f>SWITCH(I68, "Zelden", 1, "Af en toe", 4, "Regelmatig", 8, "Vaak", 12)</f>
        <v/>
      </c>
      <c r="S68">
        <f>AVERAGE(--(K68="ja"), --(L68="ja"), --(M68="ja"), --(N68="ja"), --(O68="ja"))*10</f>
        <v/>
      </c>
      <c r="T68">
        <f>IF(S68&gt;=7, "Tevreden", "Ontevreden")</f>
        <v/>
      </c>
    </row>
    <row r="69">
      <c r="A69" t="inlineStr">
        <is>
          <t>Letitia</t>
        </is>
      </c>
      <c r="B69" t="inlineStr">
        <is>
          <t>Dujardin</t>
        </is>
      </c>
      <c r="C69" t="inlineStr">
        <is>
          <t>726.96690-15</t>
        </is>
      </c>
      <c r="D69" t="inlineStr">
        <is>
          <t>04/04/1984</t>
        </is>
      </c>
      <c r="E69" t="inlineStr">
        <is>
          <t>Wittemolenstraat 20, 3830 Wellen</t>
        </is>
      </c>
      <c r="F69" t="inlineStr">
        <is>
          <t>Letitia,Marie</t>
        </is>
      </c>
      <c r="G69" t="n">
        <v>122.3</v>
      </c>
      <c r="H69" t="n">
        <v>2</v>
      </c>
      <c r="I69" t="inlineStr">
        <is>
          <t>Cash</t>
        </is>
      </c>
      <c r="J69" t="inlineStr">
        <is>
          <t>ja</t>
        </is>
      </c>
      <c r="K69" t="inlineStr">
        <is>
          <t>ja</t>
        </is>
      </c>
      <c r="L69" t="inlineStr">
        <is>
          <t>ja</t>
        </is>
      </c>
      <c r="M69" t="inlineStr">
        <is>
          <t>ja</t>
        </is>
      </c>
      <c r="N69" t="inlineStr">
        <is>
          <t>ja</t>
        </is>
      </c>
      <c r="O69" t="inlineStr">
        <is>
          <t>Vegetarisch</t>
        </is>
      </c>
      <c r="Q69">
        <f>LEN(G69)-LEN(SUBSTITUTE(G69,",",""))+1</f>
        <v/>
      </c>
      <c r="R69">
        <f>SWITCH(I69, "Zelden", 1, "Af en toe", 4, "Regelmatig", 8, "Vaak", 12)</f>
        <v/>
      </c>
      <c r="S69">
        <f>AVERAGE(--(K69="ja"), --(L69="ja"), --(M69="ja"), --(N69="ja"), --(O69="ja"))*10</f>
        <v/>
      </c>
      <c r="T69">
        <f>IF(S69&gt;=7, "Tevreden", "Ontevreden")</f>
        <v/>
      </c>
    </row>
    <row r="70">
      <c r="A70" t="inlineStr">
        <is>
          <t>Amina</t>
        </is>
      </c>
      <c r="B70" t="inlineStr">
        <is>
          <t>Delfosse</t>
        </is>
      </c>
      <c r="C70" t="inlineStr">
        <is>
          <t>472.54054-68</t>
        </is>
      </c>
      <c r="D70" t="inlineStr">
        <is>
          <t>22/11/2001</t>
        </is>
      </c>
      <c r="E70" t="inlineStr">
        <is>
          <t>Meerhoutstraat 139, 3630 Maasmechelen</t>
        </is>
      </c>
      <c r="F70" t="inlineStr">
        <is>
          <t>Amina</t>
        </is>
      </c>
      <c r="G70" t="n">
        <v>100.34</v>
      </c>
      <c r="H70" t="n">
        <v>5</v>
      </c>
      <c r="I70" t="inlineStr">
        <is>
          <t>Payconiq</t>
        </is>
      </c>
      <c r="J70" t="inlineStr">
        <is>
          <t>nee</t>
        </is>
      </c>
      <c r="K70" t="inlineStr">
        <is>
          <t>ja</t>
        </is>
      </c>
      <c r="L70" t="inlineStr">
        <is>
          <t>ja</t>
        </is>
      </c>
      <c r="M70" t="inlineStr">
        <is>
          <t>ja</t>
        </is>
      </c>
      <c r="N70" t="inlineStr">
        <is>
          <t>ja</t>
        </is>
      </c>
      <c r="O70" t="inlineStr">
        <is>
          <t>Geen dieet</t>
        </is>
      </c>
      <c r="Q70">
        <f>LEN(G70)-LEN(SUBSTITUTE(G70,",",""))+1</f>
        <v/>
      </c>
      <c r="R70">
        <f>SWITCH(I70, "Zelden", 1, "Af en toe", 4, "Regelmatig", 8, "Vaak", 12)</f>
        <v/>
      </c>
      <c r="S70">
        <f>AVERAGE(--(K70="ja"), --(L70="ja"), --(M70="ja"), --(N70="ja"), --(O70="ja"))*10</f>
        <v/>
      </c>
      <c r="T70">
        <f>IF(S70&gt;=7, "Tevreden", "Ontevreden")</f>
        <v/>
      </c>
    </row>
    <row r="71">
      <c r="A71" t="inlineStr">
        <is>
          <t>Jade</t>
        </is>
      </c>
      <c r="B71" t="inlineStr">
        <is>
          <t>Rousseau</t>
        </is>
      </c>
      <c r="C71" t="inlineStr">
        <is>
          <t>221.30753-50</t>
        </is>
      </c>
      <c r="D71" t="inlineStr">
        <is>
          <t>12/12/1975</t>
        </is>
      </c>
      <c r="E71" t="inlineStr">
        <is>
          <t>Antoon Catriestraat 35, 3680 Maaseik</t>
        </is>
      </c>
      <c r="F71" t="inlineStr">
        <is>
          <t>Jade,Cindy,Marie-Rose</t>
        </is>
      </c>
      <c r="G71" t="n">
        <v>163.69</v>
      </c>
      <c r="H71" t="n">
        <v>9</v>
      </c>
      <c r="I71" t="inlineStr">
        <is>
          <t>Payconiq</t>
        </is>
      </c>
      <c r="J71" t="inlineStr">
        <is>
          <t>ja</t>
        </is>
      </c>
      <c r="K71" t="inlineStr">
        <is>
          <t>nee</t>
        </is>
      </c>
      <c r="L71" t="inlineStr">
        <is>
          <t>ja</t>
        </is>
      </c>
      <c r="M71" t="inlineStr">
        <is>
          <t>ja</t>
        </is>
      </c>
      <c r="N71" t="inlineStr">
        <is>
          <t>ja</t>
        </is>
      </c>
      <c r="O71" t="inlineStr">
        <is>
          <t>Geen dieet</t>
        </is>
      </c>
      <c r="Q71">
        <f>LEN(G71)-LEN(SUBSTITUTE(G71,",",""))+1</f>
        <v/>
      </c>
      <c r="R71">
        <f>SWITCH(I71, "Zelden", 1, "Af en toe", 4, "Regelmatig", 8, "Vaak", 12)</f>
        <v/>
      </c>
      <c r="S71">
        <f>AVERAGE(--(K71="ja"), --(L71="ja"), --(M71="ja"), --(N71="ja"), --(O71="ja"))*10</f>
        <v/>
      </c>
      <c r="T71">
        <f>IF(S71&gt;=7, "Tevreden", "Ontevreden")</f>
        <v/>
      </c>
    </row>
    <row r="72">
      <c r="A72" t="inlineStr">
        <is>
          <t>Monica</t>
        </is>
      </c>
      <c r="B72" t="inlineStr">
        <is>
          <t>Verbeke</t>
        </is>
      </c>
      <c r="C72" t="inlineStr">
        <is>
          <t>142.60250-67</t>
        </is>
      </c>
      <c r="D72" t="inlineStr">
        <is>
          <t>15/05/1992</t>
        </is>
      </c>
      <c r="E72" t="inlineStr">
        <is>
          <t>Markt 17, 3680 Maaseik</t>
        </is>
      </c>
      <c r="F72" t="inlineStr">
        <is>
          <t>Monica,Alice,Ofelia,Zoé</t>
        </is>
      </c>
      <c r="G72" t="n">
        <v>175.01</v>
      </c>
      <c r="H72" t="n">
        <v>7</v>
      </c>
      <c r="I72" t="inlineStr">
        <is>
          <t>Bancontact</t>
        </is>
      </c>
      <c r="J72" t="inlineStr">
        <is>
          <t>ja</t>
        </is>
      </c>
      <c r="K72" t="inlineStr">
        <is>
          <t>ja</t>
        </is>
      </c>
      <c r="L72" t="inlineStr">
        <is>
          <t>ja</t>
        </is>
      </c>
      <c r="M72" t="inlineStr">
        <is>
          <t>ja</t>
        </is>
      </c>
      <c r="N72" t="inlineStr">
        <is>
          <t>ja</t>
        </is>
      </c>
      <c r="O72" t="inlineStr">
        <is>
          <t>Vegetarisch</t>
        </is>
      </c>
      <c r="Q72">
        <f>LEN(G72)-LEN(SUBSTITUTE(G72,",",""))+1</f>
        <v/>
      </c>
      <c r="R72">
        <f>SWITCH(I72, "Zelden", 1, "Af en toe", 4, "Regelmatig", 8, "Vaak", 12)</f>
        <v/>
      </c>
      <c r="S72">
        <f>AVERAGE(--(K72="ja"), --(L72="ja"), --(M72="ja"), --(N72="ja"), --(O72="ja"))*10</f>
        <v/>
      </c>
      <c r="T72">
        <f>IF(S72&gt;=7, "Tevreden", "Ontevreden")</f>
        <v/>
      </c>
    </row>
    <row r="73">
      <c r="A73" t="inlineStr">
        <is>
          <t>Clélia</t>
        </is>
      </c>
      <c r="B73" t="inlineStr">
        <is>
          <t>Luyten</t>
        </is>
      </c>
      <c r="C73" t="inlineStr">
        <is>
          <t>868.89167-88</t>
        </is>
      </c>
      <c r="D73" t="inlineStr">
        <is>
          <t>20/04/2001</t>
        </is>
      </c>
      <c r="E73" t="inlineStr">
        <is>
          <t>Sint-elisabethplein 4, 3600 Genk</t>
        </is>
      </c>
      <c r="F73" t="inlineStr">
        <is>
          <t>Clélia,Jeanninne</t>
        </is>
      </c>
      <c r="G73" t="n">
        <v>81.19</v>
      </c>
      <c r="H73" t="n">
        <v>9</v>
      </c>
      <c r="I73" t="inlineStr">
        <is>
          <t>Payconiq</t>
        </is>
      </c>
      <c r="J73" t="inlineStr">
        <is>
          <t>ja</t>
        </is>
      </c>
      <c r="K73" t="inlineStr">
        <is>
          <t>ja</t>
        </is>
      </c>
      <c r="L73" t="inlineStr">
        <is>
          <t>nee</t>
        </is>
      </c>
      <c r="M73" t="inlineStr">
        <is>
          <t>ja</t>
        </is>
      </c>
      <c r="N73" t="inlineStr">
        <is>
          <t>ja</t>
        </is>
      </c>
      <c r="O73" t="inlineStr">
        <is>
          <t>Geen dieet</t>
        </is>
      </c>
      <c r="Q73">
        <f>LEN(G73)-LEN(SUBSTITUTE(G73,",",""))+1</f>
        <v/>
      </c>
      <c r="R73">
        <f>SWITCH(I73, "Zelden", 1, "Af en toe", 4, "Regelmatig", 8, "Vaak", 12)</f>
        <v/>
      </c>
      <c r="S73">
        <f>AVERAGE(--(K73="ja"), --(L73="ja"), --(M73="ja"), --(N73="ja"), --(O73="ja"))*10</f>
        <v/>
      </c>
      <c r="T73">
        <f>IF(S73&gt;=7, "Tevreden", "Ontevreden")</f>
        <v/>
      </c>
    </row>
    <row r="74">
      <c r="A74" t="inlineStr">
        <is>
          <t>Teo</t>
        </is>
      </c>
      <c r="B74" t="inlineStr">
        <is>
          <t>Bertrand</t>
        </is>
      </c>
      <c r="C74" t="inlineStr">
        <is>
          <t>261.34406-85</t>
        </is>
      </c>
      <c r="D74" t="inlineStr">
        <is>
          <t>21/01/1987</t>
        </is>
      </c>
      <c r="E74" t="inlineStr">
        <is>
          <t>Sint-jozefstraat 2, 3831 Herten</t>
        </is>
      </c>
      <c r="F74" t="inlineStr">
        <is>
          <t>Teo,Martine</t>
        </is>
      </c>
      <c r="G74" t="n">
        <v>46.98</v>
      </c>
      <c r="H74" t="n">
        <v>3</v>
      </c>
      <c r="I74" t="inlineStr">
        <is>
          <t>Bancontact</t>
        </is>
      </c>
      <c r="J74" t="inlineStr">
        <is>
          <t>ja</t>
        </is>
      </c>
      <c r="K74" t="inlineStr">
        <is>
          <t>ja</t>
        </is>
      </c>
      <c r="L74" t="inlineStr">
        <is>
          <t>ja</t>
        </is>
      </c>
      <c r="M74" t="inlineStr">
        <is>
          <t>ja</t>
        </is>
      </c>
      <c r="N74" t="inlineStr">
        <is>
          <t>ja</t>
        </is>
      </c>
      <c r="O74" t="inlineStr">
        <is>
          <t>Geen dieet</t>
        </is>
      </c>
      <c r="Q74">
        <f>LEN(G74)-LEN(SUBSTITUTE(G74,",",""))+1</f>
        <v/>
      </c>
      <c r="R74">
        <f>SWITCH(I74, "Zelden", 1, "Af en toe", 4, "Regelmatig", 8, "Vaak", 12)</f>
        <v/>
      </c>
      <c r="S74">
        <f>AVERAGE(--(K74="ja"), --(L74="ja"), --(M74="ja"), --(N74="ja"), --(O74="ja"))*10</f>
        <v/>
      </c>
      <c r="T74">
        <f>IF(S74&gt;=7, "Tevreden", "Ontevreden")</f>
        <v/>
      </c>
    </row>
    <row r="75">
      <c r="A75" t="inlineStr">
        <is>
          <t>Jeannique</t>
        </is>
      </c>
      <c r="B75" t="inlineStr">
        <is>
          <t>Petit</t>
        </is>
      </c>
      <c r="C75" t="inlineStr">
        <is>
          <t>637.88623-84</t>
        </is>
      </c>
      <c r="D75" t="inlineStr">
        <is>
          <t>03/03/1967</t>
        </is>
      </c>
      <c r="E75" t="inlineStr">
        <is>
          <t>Groenstraat 43, 3700 Tongeren</t>
        </is>
      </c>
      <c r="F75" t="inlineStr">
        <is>
          <t>Jeannique,Mathis,Melanie</t>
        </is>
      </c>
      <c r="G75" t="n">
        <v>141.31</v>
      </c>
      <c r="H75" t="n">
        <v>14</v>
      </c>
      <c r="I75" t="inlineStr">
        <is>
          <t>Payconiq</t>
        </is>
      </c>
      <c r="J75" t="inlineStr">
        <is>
          <t>nee</t>
        </is>
      </c>
      <c r="K75" t="inlineStr">
        <is>
          <t>ja</t>
        </is>
      </c>
      <c r="L75" t="inlineStr">
        <is>
          <t>nee</t>
        </is>
      </c>
      <c r="M75" t="inlineStr">
        <is>
          <t>ja</t>
        </is>
      </c>
      <c r="N75" t="inlineStr">
        <is>
          <t>nee</t>
        </is>
      </c>
      <c r="O75" t="inlineStr">
        <is>
          <t>Geen dieet</t>
        </is>
      </c>
      <c r="Q75">
        <f>LEN(G75)-LEN(SUBSTITUTE(G75,",",""))+1</f>
        <v/>
      </c>
      <c r="R75">
        <f>SWITCH(I75, "Zelden", 1, "Af en toe", 4, "Regelmatig", 8, "Vaak", 12)</f>
        <v/>
      </c>
      <c r="S75">
        <f>AVERAGE(--(K75="ja"), --(L75="ja"), --(M75="ja"), --(N75="ja"), --(O75="ja"))*10</f>
        <v/>
      </c>
      <c r="T75">
        <f>IF(S75&gt;=7, "Tevreden", "Ontevreden")</f>
        <v/>
      </c>
    </row>
    <row r="76">
      <c r="A76" t="inlineStr">
        <is>
          <t>Geneviève</t>
        </is>
      </c>
      <c r="B76" t="inlineStr">
        <is>
          <t>De wilde</t>
        </is>
      </c>
      <c r="C76" t="inlineStr">
        <is>
          <t>34.18621-70</t>
        </is>
      </c>
      <c r="D76" t="inlineStr">
        <is>
          <t>20/03/1997</t>
        </is>
      </c>
      <c r="E76" t="inlineStr">
        <is>
          <t>Chartreuzengoed 172, 3500 Hasselt</t>
        </is>
      </c>
      <c r="F76" t="inlineStr">
        <is>
          <t>Geneviève,Brigitte,Claire,Margaux</t>
        </is>
      </c>
      <c r="G76" t="n">
        <v>170.12</v>
      </c>
      <c r="H76" t="n">
        <v>6</v>
      </c>
      <c r="I76" t="inlineStr">
        <is>
          <t>Cash</t>
        </is>
      </c>
      <c r="J76" t="inlineStr">
        <is>
          <t>nee</t>
        </is>
      </c>
      <c r="K76" t="inlineStr">
        <is>
          <t>ja</t>
        </is>
      </c>
      <c r="L76" t="inlineStr">
        <is>
          <t>ja</t>
        </is>
      </c>
      <c r="M76" t="inlineStr">
        <is>
          <t>ja</t>
        </is>
      </c>
      <c r="N76" t="inlineStr">
        <is>
          <t>ja</t>
        </is>
      </c>
      <c r="O76" t="inlineStr">
        <is>
          <t>Geen dieet</t>
        </is>
      </c>
      <c r="Q76">
        <f>LEN(G76)-LEN(SUBSTITUTE(G76,",",""))+1</f>
        <v/>
      </c>
      <c r="R76">
        <f>SWITCH(I76, "Zelden", 1, "Af en toe", 4, "Regelmatig", 8, "Vaak", 12)</f>
        <v/>
      </c>
      <c r="S76">
        <f>AVERAGE(--(K76="ja"), --(L76="ja"), --(M76="ja"), --(N76="ja"), --(O76="ja"))*10</f>
        <v/>
      </c>
      <c r="T76">
        <f>IF(S76&gt;=7, "Tevreden", "Ontevreden")</f>
        <v/>
      </c>
    </row>
    <row r="77">
      <c r="A77" t="inlineStr">
        <is>
          <t>Christiana</t>
        </is>
      </c>
      <c r="B77" t="inlineStr">
        <is>
          <t>De vos</t>
        </is>
      </c>
      <c r="C77" t="inlineStr">
        <is>
          <t>966.25375-17</t>
        </is>
      </c>
      <c r="D77" t="inlineStr">
        <is>
          <t>26/12/2000</t>
        </is>
      </c>
      <c r="E77" t="inlineStr">
        <is>
          <t>Frederik Burvenichstraat 22, 3831 Herten</t>
        </is>
      </c>
      <c r="F77" t="inlineStr">
        <is>
          <t>Christiana,Freddy</t>
        </is>
      </c>
      <c r="G77" t="n">
        <v>68.15000000000001</v>
      </c>
      <c r="H77" t="n">
        <v>4</v>
      </c>
      <c r="I77" t="inlineStr">
        <is>
          <t>Payconiq</t>
        </is>
      </c>
      <c r="J77" t="inlineStr">
        <is>
          <t>ja</t>
        </is>
      </c>
      <c r="K77" t="inlineStr">
        <is>
          <t>ja</t>
        </is>
      </c>
      <c r="L77" t="inlineStr">
        <is>
          <t>ja</t>
        </is>
      </c>
      <c r="M77" t="inlineStr">
        <is>
          <t>ja</t>
        </is>
      </c>
      <c r="N77" t="inlineStr">
        <is>
          <t>ja</t>
        </is>
      </c>
      <c r="O77" t="inlineStr">
        <is>
          <t>Vegetarisch</t>
        </is>
      </c>
      <c r="Q77">
        <f>LEN(G77)-LEN(SUBSTITUTE(G77,",",""))+1</f>
        <v/>
      </c>
      <c r="R77">
        <f>SWITCH(I77, "Zelden", 1, "Af en toe", 4, "Regelmatig", 8, "Vaak", 12)</f>
        <v/>
      </c>
      <c r="S77">
        <f>AVERAGE(--(K77="ja"), --(L77="ja"), --(M77="ja"), --(N77="ja"), --(O77="ja"))*10</f>
        <v/>
      </c>
      <c r="T77">
        <f>IF(S77&gt;=7, "Tevreden", "Ontevreden")</f>
        <v/>
      </c>
    </row>
    <row r="78">
      <c r="A78" t="inlineStr">
        <is>
          <t>Rens</t>
        </is>
      </c>
      <c r="B78" t="inlineStr">
        <is>
          <t>Cuvelier</t>
        </is>
      </c>
      <c r="C78" t="inlineStr">
        <is>
          <t>759.49816-62</t>
        </is>
      </c>
      <c r="D78" t="inlineStr">
        <is>
          <t>29/12/2006</t>
        </is>
      </c>
      <c r="E78" t="inlineStr">
        <is>
          <t>Tussen Heerwegen 95, 3500 Hasselt</t>
        </is>
      </c>
      <c r="F78" t="inlineStr">
        <is>
          <t>Rens,Fien</t>
        </is>
      </c>
      <c r="G78" t="n">
        <v>77.84999999999999</v>
      </c>
      <c r="H78" t="n">
        <v>9</v>
      </c>
      <c r="I78" t="inlineStr">
        <is>
          <t>Cash</t>
        </is>
      </c>
      <c r="J78" t="inlineStr">
        <is>
          <t>ja</t>
        </is>
      </c>
      <c r="K78" t="inlineStr">
        <is>
          <t>ja</t>
        </is>
      </c>
      <c r="L78" t="inlineStr">
        <is>
          <t>nee</t>
        </is>
      </c>
      <c r="M78" t="inlineStr">
        <is>
          <t>nee</t>
        </is>
      </c>
      <c r="N78" t="inlineStr">
        <is>
          <t>ja</t>
        </is>
      </c>
      <c r="O78" t="inlineStr">
        <is>
          <t>Vegetarisch</t>
        </is>
      </c>
      <c r="Q78">
        <f>LEN(G78)-LEN(SUBSTITUTE(G78,",",""))+1</f>
        <v/>
      </c>
      <c r="R78">
        <f>SWITCH(I78, "Zelden", 1, "Af en toe", 4, "Regelmatig", 8, "Vaak", 12)</f>
        <v/>
      </c>
      <c r="S78">
        <f>AVERAGE(--(K78="ja"), --(L78="ja"), --(M78="ja"), --(N78="ja"), --(O78="ja"))*10</f>
        <v/>
      </c>
      <c r="T78">
        <f>IF(S78&gt;=7, "Tevreden", "Ontevreden")</f>
        <v/>
      </c>
    </row>
    <row r="79">
      <c r="A79" t="inlineStr">
        <is>
          <t>Khalifa</t>
        </is>
      </c>
      <c r="B79" t="inlineStr">
        <is>
          <t>Robert</t>
        </is>
      </c>
      <c r="C79" t="inlineStr">
        <is>
          <t>570.20242-90</t>
        </is>
      </c>
      <c r="D79" t="inlineStr">
        <is>
          <t>21/07/1989</t>
        </is>
      </c>
      <c r="E79" t="inlineStr">
        <is>
          <t>Bollewerkstraat 13, 3890 Vorden</t>
        </is>
      </c>
      <c r="F79" t="inlineStr">
        <is>
          <t>Khalifa</t>
        </is>
      </c>
      <c r="G79" t="n">
        <v>94.68000000000001</v>
      </c>
      <c r="H79" t="n">
        <v>3</v>
      </c>
      <c r="I79" t="inlineStr">
        <is>
          <t>Bancontact</t>
        </is>
      </c>
      <c r="J79" t="inlineStr">
        <is>
          <t>ja</t>
        </is>
      </c>
      <c r="K79" t="inlineStr">
        <is>
          <t>ja</t>
        </is>
      </c>
      <c r="L79" t="inlineStr">
        <is>
          <t>ja</t>
        </is>
      </c>
      <c r="M79" t="inlineStr">
        <is>
          <t>nee</t>
        </is>
      </c>
      <c r="N79" t="inlineStr">
        <is>
          <t>ja</t>
        </is>
      </c>
      <c r="O79" t="inlineStr">
        <is>
          <t>Geen dieet</t>
        </is>
      </c>
      <c r="Q79">
        <f>LEN(G79)-LEN(SUBSTITUTE(G79,",",""))+1</f>
        <v/>
      </c>
      <c r="R79">
        <f>SWITCH(I79, "Zelden", 1, "Af en toe", 4, "Regelmatig", 8, "Vaak", 12)</f>
        <v/>
      </c>
      <c r="S79">
        <f>AVERAGE(--(K79="ja"), --(L79="ja"), --(M79="ja"), --(N79="ja"), --(O79="ja"))*10</f>
        <v/>
      </c>
      <c r="T79">
        <f>IF(S79&gt;=7, "Tevreden", "Ontevreden")</f>
        <v/>
      </c>
    </row>
    <row r="80">
      <c r="A80" t="inlineStr">
        <is>
          <t>Christelle</t>
        </is>
      </c>
      <c r="B80" t="inlineStr">
        <is>
          <t>Cuypers</t>
        </is>
      </c>
      <c r="C80" t="inlineStr">
        <is>
          <t>482.42098-58</t>
        </is>
      </c>
      <c r="D80" t="inlineStr">
        <is>
          <t>06/11/2005</t>
        </is>
      </c>
      <c r="E80" t="inlineStr">
        <is>
          <t>Vogelzang 71, 3920 Lommel</t>
        </is>
      </c>
      <c r="F80" t="inlineStr">
        <is>
          <t>Christelle,Salim</t>
        </is>
      </c>
      <c r="G80" t="n">
        <v>88.08</v>
      </c>
      <c r="H80" t="n">
        <v>2</v>
      </c>
      <c r="I80" t="inlineStr">
        <is>
          <t>Bancontact</t>
        </is>
      </c>
      <c r="J80" t="inlineStr">
        <is>
          <t>ja</t>
        </is>
      </c>
      <c r="K80" t="inlineStr">
        <is>
          <t>nee</t>
        </is>
      </c>
      <c r="L80" t="inlineStr">
        <is>
          <t>ja</t>
        </is>
      </c>
      <c r="M80" t="inlineStr">
        <is>
          <t>ja</t>
        </is>
      </c>
      <c r="N80" t="inlineStr">
        <is>
          <t>ja</t>
        </is>
      </c>
      <c r="O80" t="inlineStr">
        <is>
          <t>Geen dieet</t>
        </is>
      </c>
      <c r="Q80">
        <f>LEN(G80)-LEN(SUBSTITUTE(G80,",",""))+1</f>
        <v/>
      </c>
      <c r="R80">
        <f>SWITCH(I80, "Zelden", 1, "Af en toe", 4, "Regelmatig", 8, "Vaak", 12)</f>
        <v/>
      </c>
      <c r="S80">
        <f>AVERAGE(--(K80="ja"), --(L80="ja"), --(M80="ja"), --(N80="ja"), --(O80="ja"))*10</f>
        <v/>
      </c>
      <c r="T80">
        <f>IF(S80&gt;=7, "Tevreden", "Ontevreden")</f>
        <v/>
      </c>
    </row>
    <row r="81">
      <c r="A81" t="inlineStr">
        <is>
          <t>Shanna</t>
        </is>
      </c>
      <c r="B81" t="inlineStr">
        <is>
          <t>Van den brande</t>
        </is>
      </c>
      <c r="C81" t="inlineStr">
        <is>
          <t>734.11382-65</t>
        </is>
      </c>
      <c r="D81" t="inlineStr">
        <is>
          <t>12/05/1971</t>
        </is>
      </c>
      <c r="E81" t="inlineStr">
        <is>
          <t>Vijfwindgatenstraat 4, 3970 Leopoldsburg</t>
        </is>
      </c>
      <c r="F81" t="inlineStr">
        <is>
          <t>Shanna,Roland,Thomas</t>
        </is>
      </c>
      <c r="G81" t="n">
        <v>178.04</v>
      </c>
      <c r="H81" t="n">
        <v>16</v>
      </c>
      <c r="I81" t="inlineStr">
        <is>
          <t>Payconiq</t>
        </is>
      </c>
      <c r="J81" t="inlineStr">
        <is>
          <t>ja</t>
        </is>
      </c>
      <c r="K81" t="inlineStr">
        <is>
          <t>nee</t>
        </is>
      </c>
      <c r="L81" t="inlineStr">
        <is>
          <t>nee</t>
        </is>
      </c>
      <c r="M81" t="inlineStr">
        <is>
          <t>ja</t>
        </is>
      </c>
      <c r="N81" t="inlineStr">
        <is>
          <t>nee</t>
        </is>
      </c>
      <c r="O81" t="inlineStr">
        <is>
          <t>Geen dieet</t>
        </is>
      </c>
      <c r="Q81">
        <f>LEN(G81)-LEN(SUBSTITUTE(G81,",",""))+1</f>
        <v/>
      </c>
      <c r="R81">
        <f>SWITCH(I81, "Zelden", 1, "Af en toe", 4, "Regelmatig", 8, "Vaak", 12)</f>
        <v/>
      </c>
      <c r="S81">
        <f>AVERAGE(--(K81="ja"), --(L81="ja"), --(M81="ja"), --(N81="ja"), --(O81="ja"))*10</f>
        <v/>
      </c>
      <c r="T81">
        <f>IF(S81&gt;=7, "Tevreden", "Ontevreden")</f>
        <v/>
      </c>
    </row>
    <row r="82">
      <c r="A82" t="inlineStr">
        <is>
          <t>Bjarni</t>
        </is>
      </c>
      <c r="B82" t="inlineStr">
        <is>
          <t>Goossens</t>
        </is>
      </c>
      <c r="C82" t="inlineStr">
        <is>
          <t>964.69725-47</t>
        </is>
      </c>
      <c r="D82" t="inlineStr">
        <is>
          <t>08/05/1979</t>
        </is>
      </c>
      <c r="E82" t="inlineStr">
        <is>
          <t>Groentenmarkt 2, 3831 Herten</t>
        </is>
      </c>
      <c r="F82" t="inlineStr">
        <is>
          <t>Bjarni,William</t>
        </is>
      </c>
      <c r="G82" t="n">
        <v>97.84</v>
      </c>
      <c r="H82" t="n">
        <v>18</v>
      </c>
      <c r="I82" t="inlineStr">
        <is>
          <t>Bancontact</t>
        </is>
      </c>
      <c r="J82" t="inlineStr">
        <is>
          <t>ja</t>
        </is>
      </c>
      <c r="K82" t="inlineStr">
        <is>
          <t>ja</t>
        </is>
      </c>
      <c r="L82" t="inlineStr">
        <is>
          <t>ja</t>
        </is>
      </c>
      <c r="M82" t="inlineStr">
        <is>
          <t>nee</t>
        </is>
      </c>
      <c r="N82" t="inlineStr">
        <is>
          <t>ja</t>
        </is>
      </c>
      <c r="O82" t="inlineStr">
        <is>
          <t>Geen dieet</t>
        </is>
      </c>
      <c r="Q82">
        <f>LEN(G82)-LEN(SUBSTITUTE(G82,",",""))+1</f>
        <v/>
      </c>
      <c r="R82">
        <f>SWITCH(I82, "Zelden", 1, "Af en toe", 4, "Regelmatig", 8, "Vaak", 12)</f>
        <v/>
      </c>
      <c r="S82">
        <f>AVERAGE(--(K82="ja"), --(L82="ja"), --(M82="ja"), --(N82="ja"), --(O82="ja"))*10</f>
        <v/>
      </c>
      <c r="T82">
        <f>IF(S82&gt;=7, "Tevreden", "Ontevreden")</f>
        <v/>
      </c>
    </row>
    <row r="83">
      <c r="A83" t="inlineStr">
        <is>
          <t>Maria</t>
        </is>
      </c>
      <c r="B83" t="inlineStr">
        <is>
          <t>Aerts</t>
        </is>
      </c>
      <c r="C83" t="inlineStr">
        <is>
          <t>749.73695-23</t>
        </is>
      </c>
      <c r="D83" t="inlineStr">
        <is>
          <t>20/10/1945</t>
        </is>
      </c>
      <c r="E83" t="inlineStr">
        <is>
          <t>Meerhoutstraat 1, 3840 Borgloon</t>
        </is>
      </c>
      <c r="F83" t="inlineStr">
        <is>
          <t>Maria,Peter,Abdellatif,Justin,Sandra,Febe</t>
        </is>
      </c>
      <c r="G83" t="n">
        <v>201.42</v>
      </c>
      <c r="H83" t="n">
        <v>1</v>
      </c>
      <c r="I83" t="inlineStr">
        <is>
          <t>Payconiq</t>
        </is>
      </c>
      <c r="J83" t="inlineStr">
        <is>
          <t>ja</t>
        </is>
      </c>
      <c r="K83" t="inlineStr">
        <is>
          <t>ja</t>
        </is>
      </c>
      <c r="L83" t="inlineStr">
        <is>
          <t>ja</t>
        </is>
      </c>
      <c r="M83" t="inlineStr">
        <is>
          <t>ja</t>
        </is>
      </c>
      <c r="N83" t="inlineStr">
        <is>
          <t>ja</t>
        </is>
      </c>
      <c r="O83" t="inlineStr">
        <is>
          <t>Geen dieet</t>
        </is>
      </c>
      <c r="Q83">
        <f>LEN(G83)-LEN(SUBSTITUTE(G83,",",""))+1</f>
        <v/>
      </c>
      <c r="R83">
        <f>SWITCH(I83, "Zelden", 1, "Af en toe", 4, "Regelmatig", 8, "Vaak", 12)</f>
        <v/>
      </c>
      <c r="S83">
        <f>AVERAGE(--(K83="ja"), --(L83="ja"), --(M83="ja"), --(N83="ja"), --(O83="ja"))*10</f>
        <v/>
      </c>
      <c r="T83">
        <f>IF(S83&gt;=7, "Tevreden", "Ontevreden")</f>
        <v/>
      </c>
    </row>
    <row r="84">
      <c r="A84" t="inlineStr">
        <is>
          <t>Jacqueline</t>
        </is>
      </c>
      <c r="B84" t="inlineStr">
        <is>
          <t>Garcia</t>
        </is>
      </c>
      <c r="C84" t="inlineStr">
        <is>
          <t>713.19458-64</t>
        </is>
      </c>
      <c r="D84" t="inlineStr">
        <is>
          <t>07/12/1988</t>
        </is>
      </c>
      <c r="E84" t="inlineStr">
        <is>
          <t>Begijnhoflaan 39, 3770 Riemst</t>
        </is>
      </c>
      <c r="F84" t="inlineStr">
        <is>
          <t>Jacqueline,Carolien,Thomas</t>
        </is>
      </c>
      <c r="G84" t="n">
        <v>80.54000000000001</v>
      </c>
      <c r="H84" t="n">
        <v>4</v>
      </c>
      <c r="I84" t="inlineStr">
        <is>
          <t>Payconiq</t>
        </is>
      </c>
      <c r="J84" t="inlineStr">
        <is>
          <t>ja</t>
        </is>
      </c>
      <c r="K84" t="inlineStr">
        <is>
          <t>ja</t>
        </is>
      </c>
      <c r="L84" t="inlineStr">
        <is>
          <t>ja</t>
        </is>
      </c>
      <c r="M84" t="inlineStr">
        <is>
          <t>ja</t>
        </is>
      </c>
      <c r="N84" t="inlineStr">
        <is>
          <t>ja</t>
        </is>
      </c>
      <c r="O84" t="inlineStr">
        <is>
          <t>Geen dieet</t>
        </is>
      </c>
      <c r="Q84">
        <f>LEN(G84)-LEN(SUBSTITUTE(G84,",",""))+1</f>
        <v/>
      </c>
      <c r="R84">
        <f>SWITCH(I84, "Zelden", 1, "Af en toe", 4, "Regelmatig", 8, "Vaak", 12)</f>
        <v/>
      </c>
      <c r="S84">
        <f>AVERAGE(--(K84="ja"), --(L84="ja"), --(M84="ja"), --(N84="ja"), --(O84="ja"))*10</f>
        <v/>
      </c>
      <c r="T84">
        <f>IF(S84&gt;=7, "Tevreden", "Ontevreden")</f>
        <v/>
      </c>
    </row>
    <row r="85">
      <c r="A85" t="inlineStr">
        <is>
          <t>Valerius</t>
        </is>
      </c>
      <c r="B85" t="inlineStr">
        <is>
          <t>Verbruggen</t>
        </is>
      </c>
      <c r="C85" t="inlineStr">
        <is>
          <t>278.23189-90</t>
        </is>
      </c>
      <c r="D85" t="inlineStr">
        <is>
          <t>03/05/1945</t>
        </is>
      </c>
      <c r="E85" t="inlineStr">
        <is>
          <t>Kleindokkaai 26, 3700 Tongeren</t>
        </is>
      </c>
      <c r="F85" t="inlineStr">
        <is>
          <t>Valerius,Baby,Jurgen</t>
        </is>
      </c>
      <c r="G85" t="n">
        <v>163.14</v>
      </c>
      <c r="H85" t="n">
        <v>22</v>
      </c>
      <c r="I85" t="inlineStr">
        <is>
          <t>Payconiq</t>
        </is>
      </c>
      <c r="J85" t="inlineStr">
        <is>
          <t>nee</t>
        </is>
      </c>
      <c r="K85" t="inlineStr">
        <is>
          <t>ja</t>
        </is>
      </c>
      <c r="L85" t="inlineStr">
        <is>
          <t>ja</t>
        </is>
      </c>
      <c r="M85" t="inlineStr">
        <is>
          <t>ja</t>
        </is>
      </c>
      <c r="N85" t="inlineStr">
        <is>
          <t>ja</t>
        </is>
      </c>
      <c r="O85" t="inlineStr">
        <is>
          <t>Vegetarisch</t>
        </is>
      </c>
      <c r="Q85">
        <f>LEN(G85)-LEN(SUBSTITUTE(G85,",",""))+1</f>
        <v/>
      </c>
      <c r="R85">
        <f>SWITCH(I85, "Zelden", 1, "Af en toe", 4, "Regelmatig", 8, "Vaak", 12)</f>
        <v/>
      </c>
      <c r="S85">
        <f>AVERAGE(--(K85="ja"), --(L85="ja"), --(M85="ja"), --(N85="ja"), --(O85="ja"))*10</f>
        <v/>
      </c>
      <c r="T85">
        <f>IF(S85&gt;=7, "Tevreden", "Ontevreden")</f>
        <v/>
      </c>
    </row>
    <row r="86">
      <c r="A86" t="inlineStr">
        <is>
          <t>Nadia</t>
        </is>
      </c>
      <c r="B86" t="inlineStr">
        <is>
          <t>Peeters</t>
        </is>
      </c>
      <c r="C86" t="inlineStr">
        <is>
          <t>378.22342-92</t>
        </is>
      </c>
      <c r="D86" t="inlineStr">
        <is>
          <t>06/04/1948</t>
        </is>
      </c>
      <c r="E86" t="inlineStr">
        <is>
          <t>Bomastraat 52, 3831 Herten</t>
        </is>
      </c>
      <c r="F86" t="inlineStr">
        <is>
          <t>Nadia,Elyas,François</t>
        </is>
      </c>
      <c r="G86" t="n">
        <v>115.12</v>
      </c>
      <c r="H86" t="n">
        <v>13</v>
      </c>
      <c r="I86" t="inlineStr">
        <is>
          <t>Bancontact</t>
        </is>
      </c>
      <c r="J86" t="inlineStr">
        <is>
          <t>nee</t>
        </is>
      </c>
      <c r="K86" t="inlineStr">
        <is>
          <t>ja</t>
        </is>
      </c>
      <c r="L86" t="inlineStr">
        <is>
          <t>ja</t>
        </is>
      </c>
      <c r="M86" t="inlineStr">
        <is>
          <t>ja</t>
        </is>
      </c>
      <c r="N86" t="inlineStr">
        <is>
          <t>ja</t>
        </is>
      </c>
      <c r="O86" t="inlineStr">
        <is>
          <t>Geen dieet</t>
        </is>
      </c>
      <c r="Q86">
        <f>LEN(G86)-LEN(SUBSTITUTE(G86,",",""))+1</f>
        <v/>
      </c>
      <c r="R86">
        <f>SWITCH(I86, "Zelden", 1, "Af en toe", 4, "Regelmatig", 8, "Vaak", 12)</f>
        <v/>
      </c>
      <c r="S86">
        <f>AVERAGE(--(K86="ja"), --(L86="ja"), --(M86="ja"), --(N86="ja"), --(O86="ja"))*10</f>
        <v/>
      </c>
      <c r="T86">
        <f>IF(S86&gt;=7, "Tevreden", "Ontevreden")</f>
        <v/>
      </c>
    </row>
    <row r="87">
      <c r="A87" t="inlineStr">
        <is>
          <t>Lailla</t>
        </is>
      </c>
      <c r="B87" t="inlineStr">
        <is>
          <t>Van den broeck</t>
        </is>
      </c>
      <c r="C87" t="inlineStr">
        <is>
          <t>159.26415-71</t>
        </is>
      </c>
      <c r="D87" t="inlineStr">
        <is>
          <t>16/03/1993</t>
        </is>
      </c>
      <c r="E87" t="inlineStr">
        <is>
          <t>Kamerijkstraat 9, 3980 Tessenderlo</t>
        </is>
      </c>
      <c r="F87" t="inlineStr">
        <is>
          <t>Lailla,Françoise</t>
        </is>
      </c>
      <c r="G87" t="n">
        <v>152.25</v>
      </c>
      <c r="H87" t="n">
        <v>13</v>
      </c>
      <c r="I87" t="inlineStr">
        <is>
          <t>Payconiq</t>
        </is>
      </c>
      <c r="J87" t="inlineStr">
        <is>
          <t>ja</t>
        </is>
      </c>
      <c r="K87" t="inlineStr">
        <is>
          <t>ja</t>
        </is>
      </c>
      <c r="L87" t="inlineStr">
        <is>
          <t>ja</t>
        </is>
      </c>
      <c r="M87" t="inlineStr">
        <is>
          <t>ja</t>
        </is>
      </c>
      <c r="N87" t="inlineStr">
        <is>
          <t>ja</t>
        </is>
      </c>
      <c r="O87" t="inlineStr">
        <is>
          <t>Geen dieet</t>
        </is>
      </c>
      <c r="Q87">
        <f>LEN(G87)-LEN(SUBSTITUTE(G87,",",""))+1</f>
        <v/>
      </c>
      <c r="R87">
        <f>SWITCH(I87, "Zelden", 1, "Af en toe", 4, "Regelmatig", 8, "Vaak", 12)</f>
        <v/>
      </c>
      <c r="S87">
        <f>AVERAGE(--(K87="ja"), --(L87="ja"), --(M87="ja"), --(N87="ja"), --(O87="ja"))*10</f>
        <v/>
      </c>
      <c r="T87">
        <f>IF(S87&gt;=7, "Tevreden", "Ontevreden")</f>
        <v/>
      </c>
    </row>
    <row r="88">
      <c r="A88" t="inlineStr">
        <is>
          <t>Yvette</t>
        </is>
      </c>
      <c r="B88" t="inlineStr">
        <is>
          <t>Marchal</t>
        </is>
      </c>
      <c r="C88" t="inlineStr">
        <is>
          <t>986.86987-57</t>
        </is>
      </c>
      <c r="D88" t="inlineStr">
        <is>
          <t>13/09/1958</t>
        </is>
      </c>
      <c r="E88" t="inlineStr">
        <is>
          <t>Bijlokekaai 51, 3680 Maaseik</t>
        </is>
      </c>
      <c r="F88" t="inlineStr">
        <is>
          <t>Yvette,Jean,Jan,Marie-Hélène</t>
        </is>
      </c>
      <c r="G88" t="n">
        <v>116.06</v>
      </c>
      <c r="H88" t="n">
        <v>12</v>
      </c>
      <c r="I88" t="inlineStr">
        <is>
          <t>Payconiq</t>
        </is>
      </c>
      <c r="J88" t="inlineStr">
        <is>
          <t>ja</t>
        </is>
      </c>
      <c r="K88" t="inlineStr">
        <is>
          <t>ja</t>
        </is>
      </c>
      <c r="L88" t="inlineStr">
        <is>
          <t>ja</t>
        </is>
      </c>
      <c r="M88" t="inlineStr">
        <is>
          <t>ja</t>
        </is>
      </c>
      <c r="N88" t="inlineStr">
        <is>
          <t>nee</t>
        </is>
      </c>
      <c r="O88" t="inlineStr">
        <is>
          <t>Geen dieet</t>
        </is>
      </c>
      <c r="Q88">
        <f>LEN(G88)-LEN(SUBSTITUTE(G88,",",""))+1</f>
        <v/>
      </c>
      <c r="R88">
        <f>SWITCH(I88, "Zelden", 1, "Af en toe", 4, "Regelmatig", 8, "Vaak", 12)</f>
        <v/>
      </c>
      <c r="S88">
        <f>AVERAGE(--(K88="ja"), --(L88="ja"), --(M88="ja"), --(N88="ja"), --(O88="ja"))*10</f>
        <v/>
      </c>
      <c r="T88">
        <f>IF(S88&gt;=7, "Tevreden", "Ontevreden")</f>
        <v/>
      </c>
    </row>
    <row r="89">
      <c r="A89" t="inlineStr">
        <is>
          <t>Nassim</t>
        </is>
      </c>
      <c r="B89" t="inlineStr">
        <is>
          <t>Verhelst</t>
        </is>
      </c>
      <c r="C89" t="inlineStr">
        <is>
          <t>62.50187-25</t>
        </is>
      </c>
      <c r="D89" t="inlineStr">
        <is>
          <t>01/01/1998</t>
        </is>
      </c>
      <c r="E89" t="inlineStr">
        <is>
          <t>Burgstraat 56, 3840 Borgloon</t>
        </is>
      </c>
      <c r="F89" t="inlineStr">
        <is>
          <t>Nassim,Maria,Marcelle,Murielle</t>
        </is>
      </c>
      <c r="G89" t="n">
        <v>140.32</v>
      </c>
      <c r="H89" t="n">
        <v>16</v>
      </c>
      <c r="I89" t="inlineStr">
        <is>
          <t>Payconiq</t>
        </is>
      </c>
      <c r="J89" t="inlineStr">
        <is>
          <t>ja</t>
        </is>
      </c>
      <c r="K89" t="inlineStr">
        <is>
          <t>ja</t>
        </is>
      </c>
      <c r="L89" t="inlineStr">
        <is>
          <t>ja</t>
        </is>
      </c>
      <c r="M89" t="inlineStr">
        <is>
          <t>ja</t>
        </is>
      </c>
      <c r="N89" t="inlineStr">
        <is>
          <t>ja</t>
        </is>
      </c>
      <c r="O89" t="inlineStr">
        <is>
          <t>Geen dieet</t>
        </is>
      </c>
      <c r="Q89">
        <f>LEN(G89)-LEN(SUBSTITUTE(G89,",",""))+1</f>
        <v/>
      </c>
      <c r="R89">
        <f>SWITCH(I89, "Zelden", 1, "Af en toe", 4, "Regelmatig", 8, "Vaak", 12)</f>
        <v/>
      </c>
      <c r="S89">
        <f>AVERAGE(--(K89="ja"), --(L89="ja"), --(M89="ja"), --(N89="ja"), --(O89="ja"))*10</f>
        <v/>
      </c>
      <c r="T89">
        <f>IF(S89&gt;=7, "Tevreden", "Ontevreden")</f>
        <v/>
      </c>
    </row>
    <row r="90">
      <c r="A90" t="inlineStr">
        <is>
          <t>Geoffrey</t>
        </is>
      </c>
      <c r="B90" t="inlineStr">
        <is>
          <t>Merckx</t>
        </is>
      </c>
      <c r="C90" t="inlineStr">
        <is>
          <t>428.68613-82</t>
        </is>
      </c>
      <c r="D90" t="inlineStr">
        <is>
          <t>06/02/1991</t>
        </is>
      </c>
      <c r="E90" t="inlineStr">
        <is>
          <t>Emiel Lossystraat 54, 3700 Tongeren</t>
        </is>
      </c>
      <c r="F90" t="inlineStr">
        <is>
          <t>Geoffrey,Marie-Laure,Rita,Emma,Martine</t>
        </is>
      </c>
      <c r="G90" t="n">
        <v>96.25</v>
      </c>
      <c r="H90" t="n">
        <v>3</v>
      </c>
      <c r="I90" t="inlineStr">
        <is>
          <t>Bancontact</t>
        </is>
      </c>
      <c r="J90" t="inlineStr">
        <is>
          <t>ja</t>
        </is>
      </c>
      <c r="K90" t="inlineStr">
        <is>
          <t>ja</t>
        </is>
      </c>
      <c r="L90" t="inlineStr">
        <is>
          <t>ja</t>
        </is>
      </c>
      <c r="M90" t="inlineStr">
        <is>
          <t>ja</t>
        </is>
      </c>
      <c r="N90" t="inlineStr">
        <is>
          <t>ja</t>
        </is>
      </c>
      <c r="O90" t="inlineStr">
        <is>
          <t>Veganistisch</t>
        </is>
      </c>
      <c r="Q90">
        <f>LEN(G90)-LEN(SUBSTITUTE(G90,",",""))+1</f>
        <v/>
      </c>
      <c r="R90">
        <f>SWITCH(I90, "Zelden", 1, "Af en toe", 4, "Regelmatig", 8, "Vaak", 12)</f>
        <v/>
      </c>
      <c r="S90">
        <f>AVERAGE(--(K90="ja"), --(L90="ja"), --(M90="ja"), --(N90="ja"), --(O90="ja"))*10</f>
        <v/>
      </c>
      <c r="T90">
        <f>IF(S90&gt;=7, "Tevreden", "Ontevreden")</f>
        <v/>
      </c>
    </row>
    <row r="91">
      <c r="A91" t="inlineStr">
        <is>
          <t>Willem</t>
        </is>
      </c>
      <c r="B91" t="inlineStr">
        <is>
          <t>De backer</t>
        </is>
      </c>
      <c r="C91" t="inlineStr">
        <is>
          <t>363.35829-14</t>
        </is>
      </c>
      <c r="D91" t="inlineStr">
        <is>
          <t>21/03/1982</t>
        </is>
      </c>
      <c r="E91" t="inlineStr">
        <is>
          <t>Oudekouter 38, 3730 Hoeselt</t>
        </is>
      </c>
      <c r="F91" t="inlineStr">
        <is>
          <t>Willem</t>
        </is>
      </c>
      <c r="G91" t="n">
        <v>104.7</v>
      </c>
      <c r="H91" t="n">
        <v>16</v>
      </c>
      <c r="I91" t="inlineStr">
        <is>
          <t>Bancontact</t>
        </is>
      </c>
      <c r="J91" t="inlineStr">
        <is>
          <t>ja</t>
        </is>
      </c>
      <c r="K91" t="inlineStr">
        <is>
          <t>ja</t>
        </is>
      </c>
      <c r="L91" t="inlineStr">
        <is>
          <t>ja</t>
        </is>
      </c>
      <c r="M91" t="inlineStr">
        <is>
          <t>nee</t>
        </is>
      </c>
      <c r="N91" t="inlineStr">
        <is>
          <t>nee</t>
        </is>
      </c>
      <c r="O91" t="inlineStr">
        <is>
          <t>Geen dieet</t>
        </is>
      </c>
      <c r="Q91">
        <f>LEN(G91)-LEN(SUBSTITUTE(G91,",",""))+1</f>
        <v/>
      </c>
      <c r="R91">
        <f>SWITCH(I91, "Zelden", 1, "Af en toe", 4, "Regelmatig", 8, "Vaak", 12)</f>
        <v/>
      </c>
      <c r="S91">
        <f>AVERAGE(--(K91="ja"), --(L91="ja"), --(M91="ja"), --(N91="ja"), --(O91="ja"))*10</f>
        <v/>
      </c>
      <c r="T91">
        <f>IF(S91&gt;=7, "Tevreden", "Ontevreden")</f>
        <v/>
      </c>
    </row>
    <row r="92">
      <c r="A92" t="inlineStr">
        <is>
          <t>Carine</t>
        </is>
      </c>
      <c r="B92" t="inlineStr">
        <is>
          <t>Van goethem</t>
        </is>
      </c>
      <c r="C92" t="inlineStr">
        <is>
          <t>233.29890-13</t>
        </is>
      </c>
      <c r="D92" t="inlineStr">
        <is>
          <t>02/12/1953</t>
        </is>
      </c>
      <c r="E92" t="inlineStr">
        <is>
          <t>Frans Uyttenhovestraat 27, 3600 Genk</t>
        </is>
      </c>
      <c r="F92" t="inlineStr">
        <is>
          <t>Carine,Marie-Jeanne,Léa</t>
        </is>
      </c>
      <c r="G92" t="n">
        <v>75.09</v>
      </c>
      <c r="H92" t="n">
        <v>9</v>
      </c>
      <c r="I92" t="inlineStr">
        <is>
          <t>Payconiq</t>
        </is>
      </c>
      <c r="J92" t="inlineStr">
        <is>
          <t>ja</t>
        </is>
      </c>
      <c r="K92" t="inlineStr">
        <is>
          <t>ja</t>
        </is>
      </c>
      <c r="L92" t="inlineStr">
        <is>
          <t>ja</t>
        </is>
      </c>
      <c r="M92" t="inlineStr">
        <is>
          <t>ja</t>
        </is>
      </c>
      <c r="N92" t="inlineStr">
        <is>
          <t>ja</t>
        </is>
      </c>
      <c r="O92" t="inlineStr">
        <is>
          <t>Geen dieet</t>
        </is>
      </c>
      <c r="Q92">
        <f>LEN(G92)-LEN(SUBSTITUTE(G92,",",""))+1</f>
        <v/>
      </c>
      <c r="R92">
        <f>SWITCH(I92, "Zelden", 1, "Af en toe", 4, "Regelmatig", 8, "Vaak", 12)</f>
        <v/>
      </c>
      <c r="S92">
        <f>AVERAGE(--(K92="ja"), --(L92="ja"), --(M92="ja"), --(N92="ja"), --(O92="ja"))*10</f>
        <v/>
      </c>
      <c r="T92">
        <f>IF(S92&gt;=7, "Tevreden", "Ontevreden")</f>
        <v/>
      </c>
    </row>
    <row r="93">
      <c r="A93" t="inlineStr">
        <is>
          <t>Timéo</t>
        </is>
      </c>
      <c r="B93" t="inlineStr">
        <is>
          <t>De smet</t>
        </is>
      </c>
      <c r="C93" t="inlineStr">
        <is>
          <t>498.29266-25</t>
        </is>
      </c>
      <c r="D93" t="inlineStr">
        <is>
          <t>28/11/1953</t>
        </is>
      </c>
      <c r="E93" t="inlineStr">
        <is>
          <t>Opvoedingstraat 27, 3640 Kinrooi</t>
        </is>
      </c>
      <c r="F93" t="inlineStr">
        <is>
          <t>Timéo,Davy,Mauro</t>
        </is>
      </c>
      <c r="G93" t="n">
        <v>131.33</v>
      </c>
      <c r="H93" t="n">
        <v>3</v>
      </c>
      <c r="I93" t="inlineStr">
        <is>
          <t>Bancontact</t>
        </is>
      </c>
      <c r="J93" t="inlineStr">
        <is>
          <t>nee</t>
        </is>
      </c>
      <c r="K93" t="inlineStr">
        <is>
          <t>ja</t>
        </is>
      </c>
      <c r="L93" t="inlineStr">
        <is>
          <t>ja</t>
        </is>
      </c>
      <c r="M93" t="inlineStr">
        <is>
          <t>ja</t>
        </is>
      </c>
      <c r="N93" t="inlineStr">
        <is>
          <t>ja</t>
        </is>
      </c>
      <c r="O93" t="inlineStr">
        <is>
          <t>Geen dieet</t>
        </is>
      </c>
      <c r="Q93">
        <f>LEN(G93)-LEN(SUBSTITUTE(G93,",",""))+1</f>
        <v/>
      </c>
      <c r="R93">
        <f>SWITCH(I93, "Zelden", 1, "Af en toe", 4, "Regelmatig", 8, "Vaak", 12)</f>
        <v/>
      </c>
      <c r="S93">
        <f>AVERAGE(--(K93="ja"), --(L93="ja"), --(M93="ja"), --(N93="ja"), --(O93="ja"))*10</f>
        <v/>
      </c>
      <c r="T93">
        <f>IF(S93&gt;=7, "Tevreden", "Ontevreden")</f>
        <v/>
      </c>
    </row>
    <row r="94">
      <c r="A94" t="inlineStr">
        <is>
          <t>Mégane</t>
        </is>
      </c>
      <c r="B94" t="inlineStr">
        <is>
          <t>Verbruggen</t>
        </is>
      </c>
      <c r="C94" t="inlineStr">
        <is>
          <t>231.61793-14</t>
        </is>
      </c>
      <c r="D94" t="inlineStr">
        <is>
          <t>17/04/1997</t>
        </is>
      </c>
      <c r="E94" t="inlineStr">
        <is>
          <t>Bij Sint-jacobs 38, 3831 Herten</t>
        </is>
      </c>
      <c r="F94" t="inlineStr">
        <is>
          <t>Mégane,Mourad</t>
        </is>
      </c>
      <c r="G94" t="n">
        <v>201.56</v>
      </c>
      <c r="H94" t="n">
        <v>12</v>
      </c>
      <c r="I94" t="inlineStr">
        <is>
          <t>Payconiq</t>
        </is>
      </c>
      <c r="J94" t="inlineStr">
        <is>
          <t>ja</t>
        </is>
      </c>
      <c r="K94" t="inlineStr">
        <is>
          <t>ja</t>
        </is>
      </c>
      <c r="L94" t="inlineStr">
        <is>
          <t>ja</t>
        </is>
      </c>
      <c r="M94" t="inlineStr">
        <is>
          <t>nee</t>
        </is>
      </c>
      <c r="N94" t="inlineStr">
        <is>
          <t>ja</t>
        </is>
      </c>
      <c r="O94" t="inlineStr">
        <is>
          <t>Geen dieet</t>
        </is>
      </c>
      <c r="Q94">
        <f>LEN(G94)-LEN(SUBSTITUTE(G94,",",""))+1</f>
        <v/>
      </c>
      <c r="R94">
        <f>SWITCH(I94, "Zelden", 1, "Af en toe", 4, "Regelmatig", 8, "Vaak", 12)</f>
        <v/>
      </c>
      <c r="S94">
        <f>AVERAGE(--(K94="ja"), --(L94="ja"), --(M94="ja"), --(N94="ja"), --(O94="ja"))*10</f>
        <v/>
      </c>
      <c r="T94">
        <f>IF(S94&gt;=7, "Tevreden", "Ontevreden")</f>
        <v/>
      </c>
    </row>
    <row r="95">
      <c r="A95" t="inlineStr">
        <is>
          <t>Pelle</t>
        </is>
      </c>
      <c r="B95" t="inlineStr">
        <is>
          <t>Moens</t>
        </is>
      </c>
      <c r="C95" t="inlineStr">
        <is>
          <t>758.51571-88</t>
        </is>
      </c>
      <c r="D95" t="inlineStr">
        <is>
          <t>26/03/1992</t>
        </is>
      </c>
      <c r="E95" t="inlineStr">
        <is>
          <t>Frere Orbanlaan 4, 3560 Lummen</t>
        </is>
      </c>
      <c r="F95" t="inlineStr">
        <is>
          <t>Pelle,Shlomo,Mathis</t>
        </is>
      </c>
      <c r="G95" t="n">
        <v>129.97</v>
      </c>
      <c r="H95" t="n">
        <v>12</v>
      </c>
      <c r="I95" t="inlineStr">
        <is>
          <t>Bancontact</t>
        </is>
      </c>
      <c r="J95" t="inlineStr">
        <is>
          <t>ja</t>
        </is>
      </c>
      <c r="K95" t="inlineStr">
        <is>
          <t>ja</t>
        </is>
      </c>
      <c r="L95" t="inlineStr">
        <is>
          <t>ja</t>
        </is>
      </c>
      <c r="M95" t="inlineStr">
        <is>
          <t>nee</t>
        </is>
      </c>
      <c r="N95" t="inlineStr">
        <is>
          <t>ja</t>
        </is>
      </c>
      <c r="O95" t="inlineStr">
        <is>
          <t>Geen dieet</t>
        </is>
      </c>
      <c r="Q95">
        <f>LEN(G95)-LEN(SUBSTITUTE(G95,",",""))+1</f>
        <v/>
      </c>
      <c r="R95">
        <f>SWITCH(I95, "Zelden", 1, "Af en toe", 4, "Regelmatig", 8, "Vaak", 12)</f>
        <v/>
      </c>
      <c r="S95">
        <f>AVERAGE(--(K95="ja"), --(L95="ja"), --(M95="ja"), --(N95="ja"), --(O95="ja"))*10</f>
        <v/>
      </c>
      <c r="T95">
        <f>IF(S95&gt;=7, "Tevreden", "Ontevreden")</f>
        <v/>
      </c>
    </row>
    <row r="96">
      <c r="A96" t="inlineStr">
        <is>
          <t>Gabriela</t>
        </is>
      </c>
      <c r="B96" t="inlineStr">
        <is>
          <t>Jansen</t>
        </is>
      </c>
      <c r="C96" t="inlineStr">
        <is>
          <t>979.81058-76</t>
        </is>
      </c>
      <c r="D96" t="inlineStr">
        <is>
          <t>27/10/1986</t>
        </is>
      </c>
      <c r="E96" t="inlineStr">
        <is>
          <t>Albrecht Rodenbachstraat 5, 3920 Lommel</t>
        </is>
      </c>
      <c r="F96" t="inlineStr">
        <is>
          <t>Gabriela,Béatrice,Melissa</t>
        </is>
      </c>
      <c r="G96" t="n">
        <v>120.91</v>
      </c>
      <c r="H96" t="n">
        <v>12</v>
      </c>
      <c r="I96" t="inlineStr">
        <is>
          <t>Bancontact</t>
        </is>
      </c>
      <c r="J96" t="inlineStr">
        <is>
          <t>ja</t>
        </is>
      </c>
      <c r="K96" t="inlineStr">
        <is>
          <t>ja</t>
        </is>
      </c>
      <c r="L96" t="inlineStr">
        <is>
          <t>ja</t>
        </is>
      </c>
      <c r="M96" t="inlineStr">
        <is>
          <t>nee</t>
        </is>
      </c>
      <c r="N96" t="inlineStr">
        <is>
          <t>ja</t>
        </is>
      </c>
      <c r="O96" t="inlineStr">
        <is>
          <t>Geen dieet</t>
        </is>
      </c>
      <c r="Q96">
        <f>LEN(G96)-LEN(SUBSTITUTE(G96,",",""))+1</f>
        <v/>
      </c>
      <c r="R96">
        <f>SWITCH(I96, "Zelden", 1, "Af en toe", 4, "Regelmatig", 8, "Vaak", 12)</f>
        <v/>
      </c>
      <c r="S96">
        <f>AVERAGE(--(K96="ja"), --(L96="ja"), --(M96="ja"), --(N96="ja"), --(O96="ja"))*10</f>
        <v/>
      </c>
      <c r="T96">
        <f>IF(S96&gt;=7, "Tevreden", "Ontevreden")</f>
        <v/>
      </c>
    </row>
    <row r="97">
      <c r="A97" t="inlineStr">
        <is>
          <t>Gaëlle</t>
        </is>
      </c>
      <c r="B97" t="inlineStr">
        <is>
          <t>Bernard</t>
        </is>
      </c>
      <c r="C97" t="inlineStr">
        <is>
          <t>797.23261-22</t>
        </is>
      </c>
      <c r="D97" t="inlineStr">
        <is>
          <t>28/04/1979</t>
        </is>
      </c>
      <c r="E97" t="inlineStr">
        <is>
          <t>Romain Clausstraat 22, 3740 Bilzen</t>
        </is>
      </c>
      <c r="F97" t="inlineStr">
        <is>
          <t>Gaëlle</t>
        </is>
      </c>
      <c r="G97" t="n">
        <v>61.45</v>
      </c>
      <c r="H97" t="n">
        <v>10</v>
      </c>
      <c r="I97" t="inlineStr">
        <is>
          <t>Payconiq</t>
        </is>
      </c>
      <c r="J97" t="inlineStr">
        <is>
          <t>nee</t>
        </is>
      </c>
      <c r="K97" t="inlineStr">
        <is>
          <t>nee</t>
        </is>
      </c>
      <c r="L97" t="inlineStr">
        <is>
          <t>ja</t>
        </is>
      </c>
      <c r="M97" t="inlineStr">
        <is>
          <t>nee</t>
        </is>
      </c>
      <c r="N97" t="inlineStr">
        <is>
          <t>ja</t>
        </is>
      </c>
      <c r="O97" t="inlineStr">
        <is>
          <t>Geen dieet</t>
        </is>
      </c>
      <c r="Q97">
        <f>LEN(G97)-LEN(SUBSTITUTE(G97,",",""))+1</f>
        <v/>
      </c>
      <c r="R97">
        <f>SWITCH(I97, "Zelden", 1, "Af en toe", 4, "Regelmatig", 8, "Vaak", 12)</f>
        <v/>
      </c>
      <c r="S97">
        <f>AVERAGE(--(K97="ja"), --(L97="ja"), --(M97="ja"), --(N97="ja"), --(O97="ja"))*10</f>
        <v/>
      </c>
      <c r="T97">
        <f>IF(S97&gt;=7, "Tevreden", "Ontevreden")</f>
        <v/>
      </c>
    </row>
    <row r="98">
      <c r="A98" t="inlineStr">
        <is>
          <t>Freddy</t>
        </is>
      </c>
      <c r="B98" t="inlineStr">
        <is>
          <t>Fontaine</t>
        </is>
      </c>
      <c r="C98" t="inlineStr">
        <is>
          <t>876.92185-44</t>
        </is>
      </c>
      <c r="D98" t="inlineStr">
        <is>
          <t>29/07/1960</t>
        </is>
      </c>
      <c r="E98" t="inlineStr">
        <is>
          <t>Frere Orbanlaan 30, 3910 Neerpelt</t>
        </is>
      </c>
      <c r="F98" t="inlineStr">
        <is>
          <t>Freddy,Relinda,Marwa,Juliette</t>
        </is>
      </c>
      <c r="G98" t="n">
        <v>105.64</v>
      </c>
      <c r="H98" t="n">
        <v>11</v>
      </c>
      <c r="I98" t="inlineStr">
        <is>
          <t>Bancontact</t>
        </is>
      </c>
      <c r="J98" t="inlineStr">
        <is>
          <t>ja</t>
        </is>
      </c>
      <c r="K98" t="inlineStr">
        <is>
          <t>ja</t>
        </is>
      </c>
      <c r="L98" t="inlineStr">
        <is>
          <t>ja</t>
        </is>
      </c>
      <c r="M98" t="inlineStr">
        <is>
          <t>nee</t>
        </is>
      </c>
      <c r="N98" t="inlineStr">
        <is>
          <t>ja</t>
        </is>
      </c>
      <c r="O98" t="inlineStr">
        <is>
          <t>Geen dieet</t>
        </is>
      </c>
      <c r="Q98">
        <f>LEN(G98)-LEN(SUBSTITUTE(G98,",",""))+1</f>
        <v/>
      </c>
      <c r="R98">
        <f>SWITCH(I98, "Zelden", 1, "Af en toe", 4, "Regelmatig", 8, "Vaak", 12)</f>
        <v/>
      </c>
      <c r="S98">
        <f>AVERAGE(--(K98="ja"), --(L98="ja"), --(M98="ja"), --(N98="ja"), --(O98="ja"))*10</f>
        <v/>
      </c>
      <c r="T98">
        <f>IF(S98&gt;=7, "Tevreden", "Ontevreden")</f>
        <v/>
      </c>
    </row>
    <row r="99">
      <c r="A99" t="inlineStr">
        <is>
          <t>Anna</t>
        </is>
      </c>
      <c r="B99" t="inlineStr">
        <is>
          <t>Parmentier</t>
        </is>
      </c>
      <c r="C99" t="inlineStr">
        <is>
          <t>466.95408-59</t>
        </is>
      </c>
      <c r="D99" t="inlineStr">
        <is>
          <t>07/04/1983</t>
        </is>
      </c>
      <c r="E99" t="inlineStr">
        <is>
          <t>Tortelduifstraat 106, 3831 Herten</t>
        </is>
      </c>
      <c r="F99" t="inlineStr">
        <is>
          <t>Anna</t>
        </is>
      </c>
      <c r="G99" t="n">
        <v>34.2</v>
      </c>
      <c r="H99" t="n">
        <v>4</v>
      </c>
      <c r="I99" t="inlineStr">
        <is>
          <t>Cash</t>
        </is>
      </c>
      <c r="J99" t="inlineStr">
        <is>
          <t>nee</t>
        </is>
      </c>
      <c r="K99" t="inlineStr">
        <is>
          <t>nee</t>
        </is>
      </c>
      <c r="L99" t="inlineStr">
        <is>
          <t>ja</t>
        </is>
      </c>
      <c r="M99" t="inlineStr">
        <is>
          <t>nee</t>
        </is>
      </c>
      <c r="N99" t="inlineStr">
        <is>
          <t>ja</t>
        </is>
      </c>
      <c r="O99" t="inlineStr">
        <is>
          <t>Geen dieet</t>
        </is>
      </c>
      <c r="Q99">
        <f>LEN(G99)-LEN(SUBSTITUTE(G99,",",""))+1</f>
        <v/>
      </c>
      <c r="R99">
        <f>SWITCH(I99, "Zelden", 1, "Af en toe", 4, "Regelmatig", 8, "Vaak", 12)</f>
        <v/>
      </c>
      <c r="S99">
        <f>AVERAGE(--(K99="ja"), --(L99="ja"), --(M99="ja"), --(N99="ja"), --(O99="ja"))*10</f>
        <v/>
      </c>
      <c r="T99">
        <f>IF(S99&gt;=7, "Tevreden", "Ontevreden")</f>
        <v/>
      </c>
    </row>
    <row r="100">
      <c r="A100" t="inlineStr">
        <is>
          <t>John</t>
        </is>
      </c>
      <c r="B100" t="inlineStr">
        <is>
          <t>De cock</t>
        </is>
      </c>
      <c r="C100" t="inlineStr">
        <is>
          <t>263.86992-78</t>
        </is>
      </c>
      <c r="D100" t="inlineStr">
        <is>
          <t>02/07/1975</t>
        </is>
      </c>
      <c r="E100" t="inlineStr">
        <is>
          <t>Schouwburgstraat 6, 3870 Heers</t>
        </is>
      </c>
      <c r="F100" t="inlineStr">
        <is>
          <t>John</t>
        </is>
      </c>
      <c r="G100" t="n">
        <v>97.47</v>
      </c>
      <c r="H100" t="n">
        <v>9</v>
      </c>
      <c r="I100" t="inlineStr">
        <is>
          <t>Payconiq</t>
        </is>
      </c>
      <c r="J100" t="inlineStr">
        <is>
          <t>ja</t>
        </is>
      </c>
      <c r="K100" t="inlineStr">
        <is>
          <t>ja</t>
        </is>
      </c>
      <c r="L100" t="inlineStr">
        <is>
          <t>nee</t>
        </is>
      </c>
      <c r="M100" t="inlineStr">
        <is>
          <t>ja</t>
        </is>
      </c>
      <c r="N100" t="inlineStr">
        <is>
          <t>ja</t>
        </is>
      </c>
      <c r="O100" t="inlineStr">
        <is>
          <t>Vegetarisch</t>
        </is>
      </c>
      <c r="Q100">
        <f>LEN(G100)-LEN(SUBSTITUTE(G100,",",""))+1</f>
        <v/>
      </c>
      <c r="R100">
        <f>SWITCH(I100, "Zelden", 1, "Af en toe", 4, "Regelmatig", 8, "Vaak", 12)</f>
        <v/>
      </c>
      <c r="S100">
        <f>AVERAGE(--(K100="ja"), --(L100="ja"), --(M100="ja"), --(N100="ja"), --(O100="ja"))*10</f>
        <v/>
      </c>
      <c r="T100">
        <f>IF(S100&gt;=7, "Tevreden", "Ontevreden")</f>
        <v/>
      </c>
    </row>
    <row r="101">
      <c r="A101" t="inlineStr">
        <is>
          <t>Maarten</t>
        </is>
      </c>
      <c r="B101" t="inlineStr">
        <is>
          <t>Vandeputte</t>
        </is>
      </c>
      <c r="C101" t="inlineStr">
        <is>
          <t>80.76937-60</t>
        </is>
      </c>
      <c r="D101" t="inlineStr">
        <is>
          <t>19/05/2004</t>
        </is>
      </c>
      <c r="E101" t="inlineStr">
        <is>
          <t>Brugsesteenweg 21, 3660 Opglabbeek</t>
        </is>
      </c>
      <c r="F101" t="inlineStr">
        <is>
          <t>Maarten</t>
        </is>
      </c>
      <c r="G101" t="n">
        <v>64.78</v>
      </c>
      <c r="H101" t="n">
        <v>5</v>
      </c>
      <c r="I101" t="inlineStr">
        <is>
          <t>Payconiq</t>
        </is>
      </c>
      <c r="J101" t="inlineStr">
        <is>
          <t>nee</t>
        </is>
      </c>
      <c r="K101" t="inlineStr">
        <is>
          <t>ja</t>
        </is>
      </c>
      <c r="L101" t="inlineStr">
        <is>
          <t>ja</t>
        </is>
      </c>
      <c r="M101" t="inlineStr">
        <is>
          <t>ja</t>
        </is>
      </c>
      <c r="N101" t="inlineStr">
        <is>
          <t>ja</t>
        </is>
      </c>
      <c r="O101" t="inlineStr">
        <is>
          <t>Geen dieet</t>
        </is>
      </c>
      <c r="Q101">
        <f>LEN(G101)-LEN(SUBSTITUTE(G101,",",""))+1</f>
        <v/>
      </c>
      <c r="R101">
        <f>SWITCH(I101, "Zelden", 1, "Af en toe", 4, "Regelmatig", 8, "Vaak", 12)</f>
        <v/>
      </c>
      <c r="S101">
        <f>AVERAGE(--(K101="ja"), --(L101="ja"), --(M101="ja"), --(N101="ja"), --(O101="ja"))*10</f>
        <v/>
      </c>
      <c r="T101">
        <f>IF(S101&gt;=7, "Tevreden", "Ontevreden")</f>
        <v/>
      </c>
    </row>
    <row r="102">
      <c r="A102" t="inlineStr">
        <is>
          <t>Farah</t>
        </is>
      </c>
      <c r="B102" t="inlineStr">
        <is>
          <t>Heylen</t>
        </is>
      </c>
      <c r="C102" t="inlineStr">
        <is>
          <t>949.57346-81</t>
        </is>
      </c>
      <c r="D102" t="inlineStr">
        <is>
          <t>19/04/1980</t>
        </is>
      </c>
      <c r="E102" t="inlineStr">
        <is>
          <t>Ooievaarstraat 45, 3910 Neerpelt</t>
        </is>
      </c>
      <c r="F102" t="inlineStr">
        <is>
          <t>Farah,Carolus,Ovidiu,Jade</t>
        </is>
      </c>
      <c r="G102" t="n">
        <v>119.16</v>
      </c>
      <c r="H102" t="n">
        <v>10</v>
      </c>
      <c r="I102" t="inlineStr">
        <is>
          <t>Payconiq</t>
        </is>
      </c>
      <c r="J102" t="inlineStr">
        <is>
          <t>ja</t>
        </is>
      </c>
      <c r="K102" t="inlineStr">
        <is>
          <t>nee</t>
        </is>
      </c>
      <c r="L102" t="inlineStr">
        <is>
          <t>ja</t>
        </is>
      </c>
      <c r="M102" t="inlineStr">
        <is>
          <t>nee</t>
        </is>
      </c>
      <c r="N102" t="inlineStr">
        <is>
          <t>ja</t>
        </is>
      </c>
      <c r="O102" t="inlineStr">
        <is>
          <t>Geen dieet</t>
        </is>
      </c>
      <c r="Q102">
        <f>LEN(G102)-LEN(SUBSTITUTE(G102,",",""))+1</f>
        <v/>
      </c>
      <c r="R102">
        <f>SWITCH(I102, "Zelden", 1, "Af en toe", 4, "Regelmatig", 8, "Vaak", 12)</f>
        <v/>
      </c>
      <c r="S102">
        <f>AVERAGE(--(K102="ja"), --(L102="ja"), --(M102="ja"), --(N102="ja"), --(O102="ja"))*10</f>
        <v/>
      </c>
      <c r="T102">
        <f>IF(S102&gt;=7, "Tevreden", "Ontevreden")</f>
        <v/>
      </c>
    </row>
    <row r="103">
      <c r="A103" t="inlineStr">
        <is>
          <t>Aurore</t>
        </is>
      </c>
      <c r="B103" t="inlineStr">
        <is>
          <t>Verheyen</t>
        </is>
      </c>
      <c r="C103" t="inlineStr">
        <is>
          <t>898.32498-31</t>
        </is>
      </c>
      <c r="D103" t="inlineStr">
        <is>
          <t>24/05/1978</t>
        </is>
      </c>
      <c r="E103" t="inlineStr">
        <is>
          <t>Serpentstraat 21, 3890 Gingelom</t>
        </is>
      </c>
      <c r="F103" t="inlineStr">
        <is>
          <t>Aurore,Bob,Tareq</t>
        </is>
      </c>
      <c r="G103" t="n">
        <v>59.93</v>
      </c>
      <c r="H103" t="n">
        <v>6</v>
      </c>
      <c r="I103" t="inlineStr">
        <is>
          <t>Payconiq</t>
        </is>
      </c>
      <c r="J103" t="inlineStr">
        <is>
          <t>ja</t>
        </is>
      </c>
      <c r="K103" t="inlineStr">
        <is>
          <t>ja</t>
        </is>
      </c>
      <c r="L103" t="inlineStr">
        <is>
          <t>ja</t>
        </is>
      </c>
      <c r="M103" t="inlineStr">
        <is>
          <t>ja</t>
        </is>
      </c>
      <c r="N103" t="inlineStr">
        <is>
          <t>ja</t>
        </is>
      </c>
      <c r="O103" t="inlineStr">
        <is>
          <t>Vegetarisch</t>
        </is>
      </c>
      <c r="Q103">
        <f>LEN(G103)-LEN(SUBSTITUTE(G103,",",""))+1</f>
        <v/>
      </c>
      <c r="R103">
        <f>SWITCH(I103, "Zelden", 1, "Af en toe", 4, "Regelmatig", 8, "Vaak", 12)</f>
        <v/>
      </c>
      <c r="S103">
        <f>AVERAGE(--(K103="ja"), --(L103="ja"), --(M103="ja"), --(N103="ja"), --(O103="ja"))*10</f>
        <v/>
      </c>
      <c r="T103">
        <f>IF(S103&gt;=7, "Tevreden", "Ontevreden")</f>
        <v/>
      </c>
    </row>
    <row r="104">
      <c r="A104" t="inlineStr">
        <is>
          <t>Vincenzo</t>
        </is>
      </c>
      <c r="B104" t="inlineStr">
        <is>
          <t>Marchal</t>
        </is>
      </c>
      <c r="C104" t="inlineStr">
        <is>
          <t>81.40158-84</t>
        </is>
      </c>
      <c r="D104" t="inlineStr">
        <is>
          <t>24/08/2002</t>
        </is>
      </c>
      <c r="E104" t="inlineStr">
        <is>
          <t>Zuiderlaan 22, 3630 Maasmechelen</t>
        </is>
      </c>
      <c r="F104" t="inlineStr">
        <is>
          <t>Vincenzo,Bo,Mélissa</t>
        </is>
      </c>
      <c r="G104" t="n">
        <v>145.79</v>
      </c>
      <c r="H104" t="n">
        <v>17</v>
      </c>
      <c r="I104" t="inlineStr">
        <is>
          <t>Bancontact</t>
        </is>
      </c>
      <c r="J104" t="inlineStr">
        <is>
          <t>ja</t>
        </is>
      </c>
      <c r="K104" t="inlineStr">
        <is>
          <t>ja</t>
        </is>
      </c>
      <c r="L104" t="inlineStr">
        <is>
          <t>ja</t>
        </is>
      </c>
      <c r="M104" t="inlineStr">
        <is>
          <t>nee</t>
        </is>
      </c>
      <c r="N104" t="inlineStr">
        <is>
          <t>ja</t>
        </is>
      </c>
      <c r="O104" t="inlineStr">
        <is>
          <t>Geen dieet</t>
        </is>
      </c>
      <c r="Q104">
        <f>LEN(G104)-LEN(SUBSTITUTE(G104,",",""))+1</f>
        <v/>
      </c>
      <c r="R104">
        <f>SWITCH(I104, "Zelden", 1, "Af en toe", 4, "Regelmatig", 8, "Vaak", 12)</f>
        <v/>
      </c>
      <c r="S104">
        <f>AVERAGE(--(K104="ja"), --(L104="ja"), --(M104="ja"), --(N104="ja"), --(O104="ja"))*10</f>
        <v/>
      </c>
      <c r="T104">
        <f>IF(S104&gt;=7, "Tevreden", "Ontevreden")</f>
        <v/>
      </c>
    </row>
    <row r="105">
      <c r="A105" t="inlineStr">
        <is>
          <t>Free</t>
        </is>
      </c>
      <c r="B105" t="inlineStr">
        <is>
          <t>Stevens</t>
        </is>
      </c>
      <c r="C105" t="inlineStr">
        <is>
          <t>623.38301-68</t>
        </is>
      </c>
      <c r="D105" t="inlineStr">
        <is>
          <t>08/07/1966</t>
        </is>
      </c>
      <c r="E105" t="inlineStr">
        <is>
          <t>Botermarkt 44, 3500 Hasselt</t>
        </is>
      </c>
      <c r="F105" t="inlineStr">
        <is>
          <t>Free,Patrick,Geneviève,Muhammet</t>
        </is>
      </c>
      <c r="G105" t="n">
        <v>122.43</v>
      </c>
      <c r="H105" t="n">
        <v>1</v>
      </c>
      <c r="I105" t="inlineStr">
        <is>
          <t>Bancontact</t>
        </is>
      </c>
      <c r="J105" t="inlineStr">
        <is>
          <t>ja</t>
        </is>
      </c>
      <c r="K105" t="inlineStr">
        <is>
          <t>ja</t>
        </is>
      </c>
      <c r="L105" t="inlineStr">
        <is>
          <t>nee</t>
        </is>
      </c>
      <c r="M105" t="inlineStr">
        <is>
          <t>ja</t>
        </is>
      </c>
      <c r="N105" t="inlineStr">
        <is>
          <t>nee</t>
        </is>
      </c>
      <c r="O105" t="inlineStr">
        <is>
          <t>Geen dieet</t>
        </is>
      </c>
      <c r="Q105">
        <f>LEN(G105)-LEN(SUBSTITUTE(G105,",",""))+1</f>
        <v/>
      </c>
      <c r="R105">
        <f>SWITCH(I105, "Zelden", 1, "Af en toe", 4, "Regelmatig", 8, "Vaak", 12)</f>
        <v/>
      </c>
      <c r="S105">
        <f>AVERAGE(--(K105="ja"), --(L105="ja"), --(M105="ja"), --(N105="ja"), --(O105="ja"))*10</f>
        <v/>
      </c>
      <c r="T105">
        <f>IF(S105&gt;=7, "Tevreden", "Ontevreden")</f>
        <v/>
      </c>
    </row>
    <row r="106">
      <c r="A106" t="inlineStr">
        <is>
          <t>Marie-Lou</t>
        </is>
      </c>
      <c r="B106" t="inlineStr">
        <is>
          <t>De wolf</t>
        </is>
      </c>
      <c r="C106" t="inlineStr">
        <is>
          <t>105.99996-27</t>
        </is>
      </c>
      <c r="D106" t="inlineStr">
        <is>
          <t>20/02/1987</t>
        </is>
      </c>
      <c r="E106" t="inlineStr">
        <is>
          <t>Kleine Gentstraat 36, 3600 Genk</t>
        </is>
      </c>
      <c r="F106" t="inlineStr">
        <is>
          <t>Marie-Lou,Sandra,Xavier</t>
        </is>
      </c>
      <c r="G106" t="n">
        <v>136.28</v>
      </c>
      <c r="H106" t="n">
        <v>2</v>
      </c>
      <c r="I106" t="inlineStr">
        <is>
          <t>Payconiq</t>
        </is>
      </c>
      <c r="J106" t="inlineStr">
        <is>
          <t>ja</t>
        </is>
      </c>
      <c r="K106" t="inlineStr">
        <is>
          <t>nee</t>
        </is>
      </c>
      <c r="L106" t="inlineStr">
        <is>
          <t>ja</t>
        </is>
      </c>
      <c r="M106" t="inlineStr">
        <is>
          <t>ja</t>
        </is>
      </c>
      <c r="N106" t="inlineStr">
        <is>
          <t>ja</t>
        </is>
      </c>
      <c r="O106" t="inlineStr">
        <is>
          <t>Geen dieet</t>
        </is>
      </c>
      <c r="Q106">
        <f>LEN(G106)-LEN(SUBSTITUTE(G106,",",""))+1</f>
        <v/>
      </c>
      <c r="R106">
        <f>SWITCH(I106, "Zelden", 1, "Af en toe", 4, "Regelmatig", 8, "Vaak", 12)</f>
        <v/>
      </c>
      <c r="S106">
        <f>AVERAGE(--(K106="ja"), --(L106="ja"), --(M106="ja"), --(N106="ja"), --(O106="ja"))*10</f>
        <v/>
      </c>
      <c r="T106">
        <f>IF(S106&gt;=7, "Tevreden", "Ontevreden")</f>
        <v/>
      </c>
    </row>
    <row r="107">
      <c r="A107" t="inlineStr">
        <is>
          <t>Luigi</t>
        </is>
      </c>
      <c r="B107" t="inlineStr">
        <is>
          <t>Deprez</t>
        </is>
      </c>
      <c r="C107" t="inlineStr">
        <is>
          <t>810.17721-86</t>
        </is>
      </c>
      <c r="D107" t="inlineStr">
        <is>
          <t>12/09/1987</t>
        </is>
      </c>
      <c r="E107" t="inlineStr">
        <is>
          <t>Walpoortstraat 69, 3831 Herten</t>
        </is>
      </c>
      <c r="F107" t="inlineStr">
        <is>
          <t>Luigi</t>
        </is>
      </c>
      <c r="G107" t="n">
        <v>56.79</v>
      </c>
      <c r="H107" t="n">
        <v>4</v>
      </c>
      <c r="I107" t="inlineStr">
        <is>
          <t>Bancontact</t>
        </is>
      </c>
      <c r="J107" t="inlineStr">
        <is>
          <t>nee</t>
        </is>
      </c>
      <c r="K107" t="inlineStr">
        <is>
          <t>ja</t>
        </is>
      </c>
      <c r="L107" t="inlineStr">
        <is>
          <t>nee</t>
        </is>
      </c>
      <c r="M107" t="inlineStr">
        <is>
          <t>ja</t>
        </is>
      </c>
      <c r="N107" t="inlineStr">
        <is>
          <t>nee</t>
        </is>
      </c>
      <c r="O107" t="inlineStr">
        <is>
          <t>Geen dieet</t>
        </is>
      </c>
      <c r="Q107">
        <f>LEN(G107)-LEN(SUBSTITUTE(G107,",",""))+1</f>
        <v/>
      </c>
      <c r="R107">
        <f>SWITCH(I107, "Zelden", 1, "Af en toe", 4, "Regelmatig", 8, "Vaak", 12)</f>
        <v/>
      </c>
      <c r="S107">
        <f>AVERAGE(--(K107="ja"), --(L107="ja"), --(M107="ja"), --(N107="ja"), --(O107="ja"))*10</f>
        <v/>
      </c>
      <c r="T107">
        <f>IF(S107&gt;=7, "Tevreden", "Ontevreden")</f>
        <v/>
      </c>
    </row>
    <row r="108">
      <c r="A108" t="inlineStr">
        <is>
          <t>Andreas</t>
        </is>
      </c>
      <c r="B108" t="inlineStr">
        <is>
          <t>Meert</t>
        </is>
      </c>
      <c r="C108" t="inlineStr">
        <is>
          <t>699.16583-42</t>
        </is>
      </c>
      <c r="D108" t="inlineStr">
        <is>
          <t>16/03/1994</t>
        </is>
      </c>
      <c r="E108" t="inlineStr">
        <is>
          <t>Francisco Ferrerlaan 10, 3690 Zutendaal</t>
        </is>
      </c>
      <c r="F108" t="inlineStr">
        <is>
          <t>Andreas</t>
        </is>
      </c>
      <c r="G108" t="n">
        <v>78</v>
      </c>
      <c r="H108" t="n">
        <v>17</v>
      </c>
      <c r="I108" t="inlineStr">
        <is>
          <t>Payconiq</t>
        </is>
      </c>
      <c r="J108" t="inlineStr">
        <is>
          <t>nee</t>
        </is>
      </c>
      <c r="K108" t="inlineStr">
        <is>
          <t>ja</t>
        </is>
      </c>
      <c r="L108" t="inlineStr">
        <is>
          <t>nee</t>
        </is>
      </c>
      <c r="M108" t="inlineStr">
        <is>
          <t>ja</t>
        </is>
      </c>
      <c r="N108" t="inlineStr">
        <is>
          <t>nee</t>
        </is>
      </c>
      <c r="O108" t="inlineStr">
        <is>
          <t>Geen dieet</t>
        </is>
      </c>
      <c r="Q108">
        <f>LEN(G108)-LEN(SUBSTITUTE(G108,",",""))+1</f>
        <v/>
      </c>
      <c r="R108">
        <f>SWITCH(I108, "Zelden", 1, "Af en toe", 4, "Regelmatig", 8, "Vaak", 12)</f>
        <v/>
      </c>
      <c r="S108">
        <f>AVERAGE(--(K108="ja"), --(L108="ja"), --(M108="ja"), --(N108="ja"), --(O108="ja"))*10</f>
        <v/>
      </c>
      <c r="T108">
        <f>IF(S108&gt;=7, "Tevreden", "Ontevreden")</f>
        <v/>
      </c>
    </row>
    <row r="109">
      <c r="A109" t="inlineStr">
        <is>
          <t>Bram</t>
        </is>
      </c>
      <c r="B109" t="inlineStr">
        <is>
          <t>Lambert</t>
        </is>
      </c>
      <c r="C109" t="inlineStr">
        <is>
          <t>291.93455-12</t>
        </is>
      </c>
      <c r="D109" t="inlineStr">
        <is>
          <t>10/11/1983</t>
        </is>
      </c>
      <c r="E109" t="inlineStr">
        <is>
          <t>Bertha Boonantsstraat 8, 3940 Hechtel-Eksel</t>
        </is>
      </c>
      <c r="F109" t="inlineStr">
        <is>
          <t>Bram,Anna,Jennifer,Kathleen</t>
        </is>
      </c>
      <c r="G109" t="n">
        <v>84.86</v>
      </c>
      <c r="H109" t="n">
        <v>17</v>
      </c>
      <c r="I109" t="inlineStr">
        <is>
          <t>Cash</t>
        </is>
      </c>
      <c r="J109" t="inlineStr">
        <is>
          <t>ja</t>
        </is>
      </c>
      <c r="K109" t="inlineStr">
        <is>
          <t>nee</t>
        </is>
      </c>
      <c r="L109" t="inlineStr">
        <is>
          <t>ja</t>
        </is>
      </c>
      <c r="M109" t="inlineStr">
        <is>
          <t>ja</t>
        </is>
      </c>
      <c r="N109" t="inlineStr">
        <is>
          <t>ja</t>
        </is>
      </c>
      <c r="O109" t="inlineStr">
        <is>
          <t>Geen dieet</t>
        </is>
      </c>
      <c r="Q109">
        <f>LEN(G109)-LEN(SUBSTITUTE(G109,",",""))+1</f>
        <v/>
      </c>
      <c r="R109">
        <f>SWITCH(I109, "Zelden", 1, "Af en toe", 4, "Regelmatig", 8, "Vaak", 12)</f>
        <v/>
      </c>
      <c r="S109">
        <f>AVERAGE(--(K109="ja"), --(L109="ja"), --(M109="ja"), --(N109="ja"), --(O109="ja"))*10</f>
        <v/>
      </c>
      <c r="T109">
        <f>IF(S109&gt;=7, "Tevreden", "Ontevreden")</f>
        <v/>
      </c>
    </row>
    <row r="110">
      <c r="A110" t="inlineStr">
        <is>
          <t>Safae</t>
        </is>
      </c>
      <c r="B110" t="inlineStr">
        <is>
          <t>Van looy</t>
        </is>
      </c>
      <c r="C110" t="inlineStr">
        <is>
          <t>992.41713-21</t>
        </is>
      </c>
      <c r="D110" t="inlineStr">
        <is>
          <t>26/05/1980</t>
        </is>
      </c>
      <c r="E110" t="inlineStr">
        <is>
          <t>Gaverlandstraat 19, 3980 Tessenderlo</t>
        </is>
      </c>
      <c r="F110" t="inlineStr">
        <is>
          <t>Safae,Sonja,Franck,Josiane,Tom,Susana,Vedat</t>
        </is>
      </c>
      <c r="G110" t="n">
        <v>185.26</v>
      </c>
      <c r="H110" t="n">
        <v>13</v>
      </c>
      <c r="I110" t="inlineStr">
        <is>
          <t>Cash</t>
        </is>
      </c>
      <c r="J110" t="inlineStr">
        <is>
          <t>ja</t>
        </is>
      </c>
      <c r="K110" t="inlineStr">
        <is>
          <t>ja</t>
        </is>
      </c>
      <c r="L110" t="inlineStr">
        <is>
          <t>ja</t>
        </is>
      </c>
      <c r="M110" t="inlineStr">
        <is>
          <t>ja</t>
        </is>
      </c>
      <c r="N110" t="inlineStr">
        <is>
          <t>ja</t>
        </is>
      </c>
      <c r="O110" t="inlineStr">
        <is>
          <t>Vegetarisch</t>
        </is>
      </c>
      <c r="Q110">
        <f>LEN(G110)-LEN(SUBSTITUTE(G110,",",""))+1</f>
        <v/>
      </c>
      <c r="R110">
        <f>SWITCH(I110, "Zelden", 1, "Af en toe", 4, "Regelmatig", 8, "Vaak", 12)</f>
        <v/>
      </c>
      <c r="S110">
        <f>AVERAGE(--(K110="ja"), --(L110="ja"), --(M110="ja"), --(N110="ja"), --(O110="ja"))*10</f>
        <v/>
      </c>
      <c r="T110">
        <f>IF(S110&gt;=7, "Tevreden", "Ontevreden")</f>
        <v/>
      </c>
    </row>
    <row r="111">
      <c r="A111" t="inlineStr">
        <is>
          <t>Victor</t>
        </is>
      </c>
      <c r="B111" t="inlineStr">
        <is>
          <t>Vandenbroucke</t>
        </is>
      </c>
      <c r="C111" t="inlineStr">
        <is>
          <t>946.88638-66</t>
        </is>
      </c>
      <c r="D111" t="inlineStr">
        <is>
          <t>09/04/1966</t>
        </is>
      </c>
      <c r="E111" t="inlineStr">
        <is>
          <t>Papegaaistraat 36, 3560 Lummen</t>
        </is>
      </c>
      <c r="F111" t="inlineStr">
        <is>
          <t>Victor,Gust,Christine,Caroline</t>
        </is>
      </c>
      <c r="G111" t="n">
        <v>186.37</v>
      </c>
      <c r="H111" t="n">
        <v>7</v>
      </c>
      <c r="I111" t="inlineStr">
        <is>
          <t>Bancontact</t>
        </is>
      </c>
      <c r="J111" t="inlineStr">
        <is>
          <t>ja</t>
        </is>
      </c>
      <c r="K111" t="inlineStr">
        <is>
          <t>nee</t>
        </is>
      </c>
      <c r="L111" t="inlineStr">
        <is>
          <t>nee</t>
        </is>
      </c>
      <c r="M111" t="inlineStr">
        <is>
          <t>ja</t>
        </is>
      </c>
      <c r="N111" t="inlineStr">
        <is>
          <t>ja</t>
        </is>
      </c>
      <c r="O111" t="inlineStr">
        <is>
          <t>Veganistisch</t>
        </is>
      </c>
      <c r="Q111">
        <f>LEN(G111)-LEN(SUBSTITUTE(G111,",",""))+1</f>
        <v/>
      </c>
      <c r="R111">
        <f>SWITCH(I111, "Zelden", 1, "Af en toe", 4, "Regelmatig", 8, "Vaak", 12)</f>
        <v/>
      </c>
      <c r="S111">
        <f>AVERAGE(--(K111="ja"), --(L111="ja"), --(M111="ja"), --(N111="ja"), --(O111="ja"))*10</f>
        <v/>
      </c>
      <c r="T111">
        <f>IF(S111&gt;=7, "Tevreden", "Ontevreden")</f>
        <v/>
      </c>
    </row>
    <row r="112">
      <c r="A112" t="inlineStr">
        <is>
          <t>Godelieve</t>
        </is>
      </c>
      <c r="B112" t="inlineStr">
        <is>
          <t>Goossens</t>
        </is>
      </c>
      <c r="C112" t="inlineStr">
        <is>
          <t>216.61878-60</t>
        </is>
      </c>
      <c r="D112" t="inlineStr">
        <is>
          <t>13/06/1953</t>
        </is>
      </c>
      <c r="E112" t="inlineStr">
        <is>
          <t>Rodekoningstraat 37, 3980 Tessenderlo</t>
        </is>
      </c>
      <c r="F112" t="inlineStr">
        <is>
          <t>Godelieve,Lauren,Patrick,Robin,Gabriele</t>
        </is>
      </c>
      <c r="G112" t="n">
        <v>150.2</v>
      </c>
      <c r="H112" t="n">
        <v>13</v>
      </c>
      <c r="I112" t="inlineStr">
        <is>
          <t>Bancontact</t>
        </is>
      </c>
      <c r="J112" t="inlineStr">
        <is>
          <t>nee</t>
        </is>
      </c>
      <c r="K112" t="inlineStr">
        <is>
          <t>ja</t>
        </is>
      </c>
      <c r="L112" t="inlineStr">
        <is>
          <t>ja</t>
        </is>
      </c>
      <c r="M112" t="inlineStr">
        <is>
          <t>ja</t>
        </is>
      </c>
      <c r="N112" t="inlineStr">
        <is>
          <t>nee</t>
        </is>
      </c>
      <c r="O112" t="inlineStr">
        <is>
          <t>Veganistisch</t>
        </is>
      </c>
      <c r="Q112">
        <f>LEN(G112)-LEN(SUBSTITUTE(G112,",",""))+1</f>
        <v/>
      </c>
      <c r="R112">
        <f>SWITCH(I112, "Zelden", 1, "Af en toe", 4, "Regelmatig", 8, "Vaak", 12)</f>
        <v/>
      </c>
      <c r="S112">
        <f>AVERAGE(--(K112="ja"), --(L112="ja"), --(M112="ja"), --(N112="ja"), --(O112="ja"))*10</f>
        <v/>
      </c>
      <c r="T112">
        <f>IF(S112&gt;=7, "Tevreden", "Ontevreden")</f>
        <v/>
      </c>
    </row>
    <row r="113">
      <c r="A113" t="inlineStr">
        <is>
          <t>Guy</t>
        </is>
      </c>
      <c r="B113" t="inlineStr">
        <is>
          <t>Driesen</t>
        </is>
      </c>
      <c r="C113" t="inlineStr">
        <is>
          <t>485.75454-41</t>
        </is>
      </c>
      <c r="D113" t="inlineStr">
        <is>
          <t>03/11/1956</t>
        </is>
      </c>
      <c r="E113" t="inlineStr">
        <is>
          <t>Vrijdagmarkt 44, 3530 Houthalen-Helchteren</t>
        </is>
      </c>
      <c r="F113" t="inlineStr">
        <is>
          <t>Guy,Anaïs,Suzanne</t>
        </is>
      </c>
      <c r="G113" t="n">
        <v>96.06</v>
      </c>
      <c r="H113" t="n">
        <v>1</v>
      </c>
      <c r="I113" t="inlineStr">
        <is>
          <t>Payconiq</t>
        </is>
      </c>
      <c r="J113" t="inlineStr">
        <is>
          <t>nee</t>
        </is>
      </c>
      <c r="K113" t="inlineStr">
        <is>
          <t>nee</t>
        </is>
      </c>
      <c r="L113" t="inlineStr">
        <is>
          <t>nee</t>
        </is>
      </c>
      <c r="M113" t="inlineStr">
        <is>
          <t>ja</t>
        </is>
      </c>
      <c r="N113" t="inlineStr">
        <is>
          <t>nee</t>
        </is>
      </c>
      <c r="O113" t="inlineStr">
        <is>
          <t>Geen dieet</t>
        </is>
      </c>
      <c r="Q113">
        <f>LEN(G113)-LEN(SUBSTITUTE(G113,",",""))+1</f>
        <v/>
      </c>
      <c r="R113">
        <f>SWITCH(I113, "Zelden", 1, "Af en toe", 4, "Regelmatig", 8, "Vaak", 12)</f>
        <v/>
      </c>
      <c r="S113">
        <f>AVERAGE(--(K113="ja"), --(L113="ja"), --(M113="ja"), --(N113="ja"), --(O113="ja"))*10</f>
        <v/>
      </c>
      <c r="T113">
        <f>IF(S113&gt;=7, "Tevreden", "Ontevreden")</f>
        <v/>
      </c>
    </row>
    <row r="114">
      <c r="A114" t="inlineStr">
        <is>
          <t>Ciel</t>
        </is>
      </c>
      <c r="B114" t="inlineStr">
        <is>
          <t>Dubois</t>
        </is>
      </c>
      <c r="C114" t="inlineStr">
        <is>
          <t>354.94952-86</t>
        </is>
      </c>
      <c r="D114" t="inlineStr">
        <is>
          <t>19/08/1977</t>
        </is>
      </c>
      <c r="E114" t="inlineStr">
        <is>
          <t>Evergemsesteenweg 1, 3590 Diepenbeek</t>
        </is>
      </c>
      <c r="F114" t="inlineStr">
        <is>
          <t>Ciel,Juliette,Daniel,Caroline</t>
        </is>
      </c>
      <c r="G114" t="n">
        <v>181.45</v>
      </c>
      <c r="H114" t="n">
        <v>2</v>
      </c>
      <c r="I114" t="inlineStr">
        <is>
          <t>Cash</t>
        </is>
      </c>
      <c r="J114" t="inlineStr">
        <is>
          <t>nee</t>
        </is>
      </c>
      <c r="K114" t="inlineStr">
        <is>
          <t>nee</t>
        </is>
      </c>
      <c r="L114" t="inlineStr">
        <is>
          <t>ja</t>
        </is>
      </c>
      <c r="M114" t="inlineStr">
        <is>
          <t>ja</t>
        </is>
      </c>
      <c r="N114" t="inlineStr">
        <is>
          <t>ja</t>
        </is>
      </c>
      <c r="O114" t="inlineStr">
        <is>
          <t>Geen dieet</t>
        </is>
      </c>
      <c r="Q114">
        <f>LEN(G114)-LEN(SUBSTITUTE(G114,",",""))+1</f>
        <v/>
      </c>
      <c r="R114">
        <f>SWITCH(I114, "Zelden", 1, "Af en toe", 4, "Regelmatig", 8, "Vaak", 12)</f>
        <v/>
      </c>
      <c r="S114">
        <f>AVERAGE(--(K114="ja"), --(L114="ja"), --(M114="ja"), --(N114="ja"), --(O114="ja"))*10</f>
        <v/>
      </c>
      <c r="T114">
        <f>IF(S114&gt;=7, "Tevreden", "Ontevreden")</f>
        <v/>
      </c>
    </row>
    <row r="115">
      <c r="A115" t="inlineStr">
        <is>
          <t>Christelle</t>
        </is>
      </c>
      <c r="B115" t="inlineStr">
        <is>
          <t>Vandenbussche</t>
        </is>
      </c>
      <c r="C115" t="inlineStr">
        <is>
          <t>585.55623-79</t>
        </is>
      </c>
      <c r="D115" t="inlineStr">
        <is>
          <t>22/12/1953</t>
        </is>
      </c>
      <c r="E115" t="inlineStr">
        <is>
          <t>Dendermondsesteenweg 12, 3530 Houthalen-Helchteren</t>
        </is>
      </c>
      <c r="F115" t="inlineStr">
        <is>
          <t>Christelle,Davy,Lutgarde</t>
        </is>
      </c>
      <c r="G115" t="n">
        <v>207.07</v>
      </c>
      <c r="H115" t="n">
        <v>3</v>
      </c>
      <c r="I115" t="inlineStr">
        <is>
          <t>Bancontact</t>
        </is>
      </c>
      <c r="J115" t="inlineStr">
        <is>
          <t>nee</t>
        </is>
      </c>
      <c r="K115" t="inlineStr">
        <is>
          <t>ja</t>
        </is>
      </c>
      <c r="L115" t="inlineStr">
        <is>
          <t>ja</t>
        </is>
      </c>
      <c r="M115" t="inlineStr">
        <is>
          <t>nee</t>
        </is>
      </c>
      <c r="N115" t="inlineStr">
        <is>
          <t>ja</t>
        </is>
      </c>
      <c r="O115" t="inlineStr">
        <is>
          <t>Geen dieet</t>
        </is>
      </c>
      <c r="Q115">
        <f>LEN(G115)-LEN(SUBSTITUTE(G115,",",""))+1</f>
        <v/>
      </c>
      <c r="R115">
        <f>SWITCH(I115, "Zelden", 1, "Af en toe", 4, "Regelmatig", 8, "Vaak", 12)</f>
        <v/>
      </c>
      <c r="S115">
        <f>AVERAGE(--(K115="ja"), --(L115="ja"), --(M115="ja"), --(N115="ja"), --(O115="ja"))*10</f>
        <v/>
      </c>
      <c r="T115">
        <f>IF(S115&gt;=7, "Tevreden", "Ontevreden")</f>
        <v/>
      </c>
    </row>
    <row r="116">
      <c r="A116" t="inlineStr">
        <is>
          <t>Kurt</t>
        </is>
      </c>
      <c r="B116" t="inlineStr">
        <is>
          <t>Vrancken</t>
        </is>
      </c>
      <c r="C116" t="inlineStr">
        <is>
          <t>555.65647-45</t>
        </is>
      </c>
      <c r="D116" t="inlineStr">
        <is>
          <t>20/08/1950</t>
        </is>
      </c>
      <c r="E116" t="inlineStr">
        <is>
          <t>Coomansheide 56, 3650 Dilsen-Stokkem</t>
        </is>
      </c>
      <c r="F116" t="inlineStr">
        <is>
          <t>Kurt,Bertrand</t>
        </is>
      </c>
      <c r="G116" t="n">
        <v>159.5</v>
      </c>
      <c r="H116" t="n">
        <v>6</v>
      </c>
      <c r="I116" t="inlineStr">
        <is>
          <t>Bancontact</t>
        </is>
      </c>
      <c r="J116" t="inlineStr">
        <is>
          <t>ja</t>
        </is>
      </c>
      <c r="K116" t="inlineStr">
        <is>
          <t>nee</t>
        </is>
      </c>
      <c r="L116" t="inlineStr">
        <is>
          <t>ja</t>
        </is>
      </c>
      <c r="M116" t="inlineStr">
        <is>
          <t>ja</t>
        </is>
      </c>
      <c r="N116" t="inlineStr">
        <is>
          <t>ja</t>
        </is>
      </c>
      <c r="O116" t="inlineStr">
        <is>
          <t>Vegetarisch</t>
        </is>
      </c>
      <c r="Q116">
        <f>LEN(G116)-LEN(SUBSTITUTE(G116,",",""))+1</f>
        <v/>
      </c>
      <c r="R116">
        <f>SWITCH(I116, "Zelden", 1, "Af en toe", 4, "Regelmatig", 8, "Vaak", 12)</f>
        <v/>
      </c>
      <c r="S116">
        <f>AVERAGE(--(K116="ja"), --(L116="ja"), --(M116="ja"), --(N116="ja"), --(O116="ja"))*10</f>
        <v/>
      </c>
      <c r="T116">
        <f>IF(S116&gt;=7, "Tevreden", "Ontevreden")</f>
        <v/>
      </c>
    </row>
    <row r="117">
      <c r="A117" t="inlineStr">
        <is>
          <t>Alison</t>
        </is>
      </c>
      <c r="B117" t="inlineStr">
        <is>
          <t>Verhaeghe</t>
        </is>
      </c>
      <c r="C117" t="inlineStr">
        <is>
          <t>562.21205-24</t>
        </is>
      </c>
      <c r="D117" t="inlineStr">
        <is>
          <t>23/04/1996</t>
        </is>
      </c>
      <c r="E117" t="inlineStr">
        <is>
          <t>Ferdinand Lousbergskaai 21, 3600 Genk</t>
        </is>
      </c>
      <c r="F117" t="inlineStr">
        <is>
          <t>Alison,Laura</t>
        </is>
      </c>
      <c r="G117" t="n">
        <v>68.33</v>
      </c>
      <c r="H117" t="n">
        <v>4</v>
      </c>
      <c r="I117" t="inlineStr">
        <is>
          <t>Payconiq</t>
        </is>
      </c>
      <c r="J117" t="inlineStr">
        <is>
          <t>ja</t>
        </is>
      </c>
      <c r="K117" t="inlineStr">
        <is>
          <t>ja</t>
        </is>
      </c>
      <c r="L117" t="inlineStr">
        <is>
          <t>nee</t>
        </is>
      </c>
      <c r="M117" t="inlineStr">
        <is>
          <t>ja</t>
        </is>
      </c>
      <c r="N117" t="inlineStr">
        <is>
          <t>ja</t>
        </is>
      </c>
      <c r="O117" t="inlineStr">
        <is>
          <t>Geen dieet</t>
        </is>
      </c>
      <c r="Q117">
        <f>LEN(G117)-LEN(SUBSTITUTE(G117,",",""))+1</f>
        <v/>
      </c>
      <c r="R117">
        <f>SWITCH(I117, "Zelden", 1, "Af en toe", 4, "Regelmatig", 8, "Vaak", 12)</f>
        <v/>
      </c>
      <c r="S117">
        <f>AVERAGE(--(K117="ja"), --(L117="ja"), --(M117="ja"), --(N117="ja"), --(O117="ja"))*10</f>
        <v/>
      </c>
      <c r="T117">
        <f>IF(S117&gt;=7, "Tevreden", "Ontevreden")</f>
        <v/>
      </c>
    </row>
    <row r="118">
      <c r="A118" t="inlineStr">
        <is>
          <t>Nicolas</t>
        </is>
      </c>
      <c r="B118" t="inlineStr">
        <is>
          <t>Temmerman</t>
        </is>
      </c>
      <c r="C118" t="inlineStr">
        <is>
          <t>88.25533-70</t>
        </is>
      </c>
      <c r="D118" t="inlineStr">
        <is>
          <t>18/08/1992</t>
        </is>
      </c>
      <c r="E118" t="inlineStr">
        <is>
          <t>Smalleheerweg 66, 3831 Herten</t>
        </is>
      </c>
      <c r="F118" t="inlineStr">
        <is>
          <t>Nicolas,Malika</t>
        </is>
      </c>
      <c r="G118" t="n">
        <v>109</v>
      </c>
      <c r="H118" t="n">
        <v>11</v>
      </c>
      <c r="I118" t="inlineStr">
        <is>
          <t>Bancontact</t>
        </is>
      </c>
      <c r="J118" t="inlineStr">
        <is>
          <t>ja</t>
        </is>
      </c>
      <c r="K118" t="inlineStr">
        <is>
          <t>ja</t>
        </is>
      </c>
      <c r="L118" t="inlineStr">
        <is>
          <t>nee</t>
        </is>
      </c>
      <c r="M118" t="inlineStr">
        <is>
          <t>nee</t>
        </is>
      </c>
      <c r="N118" t="inlineStr">
        <is>
          <t>ja</t>
        </is>
      </c>
      <c r="O118" t="inlineStr">
        <is>
          <t>Geen dieet</t>
        </is>
      </c>
      <c r="Q118">
        <f>LEN(G118)-LEN(SUBSTITUTE(G118,",",""))+1</f>
        <v/>
      </c>
      <c r="R118">
        <f>SWITCH(I118, "Zelden", 1, "Af en toe", 4, "Regelmatig", 8, "Vaak", 12)</f>
        <v/>
      </c>
      <c r="S118">
        <f>AVERAGE(--(K118="ja"), --(L118="ja"), --(M118="ja"), --(N118="ja"), --(O118="ja"))*10</f>
        <v/>
      </c>
      <c r="T118">
        <f>IF(S118&gt;=7, "Tevreden", "Ontevreden")</f>
        <v/>
      </c>
    </row>
    <row r="119">
      <c r="A119" t="inlineStr">
        <is>
          <t>Marianne</t>
        </is>
      </c>
      <c r="B119" t="inlineStr">
        <is>
          <t>De coster</t>
        </is>
      </c>
      <c r="C119" t="inlineStr">
        <is>
          <t>182.69860-20</t>
        </is>
      </c>
      <c r="D119" t="inlineStr">
        <is>
          <t>02/05/1963</t>
        </is>
      </c>
      <c r="E119" t="inlineStr">
        <is>
          <t>Hazenlaan 77, 3600 Genk</t>
        </is>
      </c>
      <c r="F119" t="inlineStr">
        <is>
          <t>Marianne</t>
        </is>
      </c>
      <c r="G119" t="n">
        <v>105.93</v>
      </c>
      <c r="H119" t="n">
        <v>18</v>
      </c>
      <c r="I119" t="inlineStr">
        <is>
          <t>Cash</t>
        </is>
      </c>
      <c r="J119" t="inlineStr">
        <is>
          <t>ja</t>
        </is>
      </c>
      <c r="K119" t="inlineStr">
        <is>
          <t>ja</t>
        </is>
      </c>
      <c r="L119" t="inlineStr">
        <is>
          <t>ja</t>
        </is>
      </c>
      <c r="M119" t="inlineStr">
        <is>
          <t>ja</t>
        </is>
      </c>
      <c r="N119" t="inlineStr">
        <is>
          <t>ja</t>
        </is>
      </c>
      <c r="O119" t="inlineStr">
        <is>
          <t>Geen dieet</t>
        </is>
      </c>
      <c r="Q119">
        <f>LEN(G119)-LEN(SUBSTITUTE(G119,",",""))+1</f>
        <v/>
      </c>
      <c r="R119">
        <f>SWITCH(I119, "Zelden", 1, "Af en toe", 4, "Regelmatig", 8, "Vaak", 12)</f>
        <v/>
      </c>
      <c r="S119">
        <f>AVERAGE(--(K119="ja"), --(L119="ja"), --(M119="ja"), --(N119="ja"), --(O119="ja"))*10</f>
        <v/>
      </c>
      <c r="T119">
        <f>IF(S119&gt;=7, "Tevreden", "Ontevreden")</f>
        <v/>
      </c>
    </row>
    <row r="120">
      <c r="A120" t="inlineStr">
        <is>
          <t>Glenn</t>
        </is>
      </c>
      <c r="B120" t="inlineStr">
        <is>
          <t>Dupont</t>
        </is>
      </c>
      <c r="C120" t="inlineStr">
        <is>
          <t>882.95438-82</t>
        </is>
      </c>
      <c r="D120" t="inlineStr">
        <is>
          <t>28/10/1986</t>
        </is>
      </c>
      <c r="E120" t="inlineStr">
        <is>
          <t>Albrecht Rodenbachstraat 38, 3770 Riemst</t>
        </is>
      </c>
      <c r="F120" t="inlineStr">
        <is>
          <t>Glenn,Anne,Wannes,Tom</t>
        </is>
      </c>
      <c r="G120" t="n">
        <v>131.04</v>
      </c>
      <c r="H120" t="n">
        <v>16</v>
      </c>
      <c r="I120" t="inlineStr">
        <is>
          <t>Payconiq</t>
        </is>
      </c>
      <c r="J120" t="inlineStr">
        <is>
          <t>ja</t>
        </is>
      </c>
      <c r="K120" t="inlineStr">
        <is>
          <t>ja</t>
        </is>
      </c>
      <c r="L120" t="inlineStr">
        <is>
          <t>ja</t>
        </is>
      </c>
      <c r="M120" t="inlineStr">
        <is>
          <t>ja</t>
        </is>
      </c>
      <c r="N120" t="inlineStr">
        <is>
          <t>ja</t>
        </is>
      </c>
      <c r="O120" t="inlineStr">
        <is>
          <t>Geen dieet</t>
        </is>
      </c>
      <c r="Q120">
        <f>LEN(G120)-LEN(SUBSTITUTE(G120,",",""))+1</f>
        <v/>
      </c>
      <c r="R120">
        <f>SWITCH(I120, "Zelden", 1, "Af en toe", 4, "Regelmatig", 8, "Vaak", 12)</f>
        <v/>
      </c>
      <c r="S120">
        <f>AVERAGE(--(K120="ja"), --(L120="ja"), --(M120="ja"), --(N120="ja"), --(O120="ja"))*10</f>
        <v/>
      </c>
      <c r="T120">
        <f>IF(S120&gt;=7, "Tevreden", "Ontevreden")</f>
        <v/>
      </c>
    </row>
    <row r="121">
      <c r="A121" t="inlineStr">
        <is>
          <t>Tom</t>
        </is>
      </c>
      <c r="B121" t="inlineStr">
        <is>
          <t>Eeckhout</t>
        </is>
      </c>
      <c r="C121" t="inlineStr">
        <is>
          <t>221.66276-73</t>
        </is>
      </c>
      <c r="D121" t="inlineStr">
        <is>
          <t>01/05/1985</t>
        </is>
      </c>
      <c r="E121" t="inlineStr">
        <is>
          <t>Eddastraat 28, 3630 Maasmechelen</t>
        </is>
      </c>
      <c r="F121" t="inlineStr">
        <is>
          <t>Tom,Moustafa,Ronald,Cédric,Jelle</t>
        </is>
      </c>
      <c r="G121" t="n">
        <v>171.84</v>
      </c>
      <c r="H121" t="n">
        <v>8</v>
      </c>
      <c r="I121" t="inlineStr">
        <is>
          <t>Bancontact</t>
        </is>
      </c>
      <c r="J121" t="inlineStr">
        <is>
          <t>ja</t>
        </is>
      </c>
      <c r="K121" t="inlineStr">
        <is>
          <t>ja</t>
        </is>
      </c>
      <c r="L121" t="inlineStr">
        <is>
          <t>ja</t>
        </is>
      </c>
      <c r="M121" t="inlineStr">
        <is>
          <t>ja</t>
        </is>
      </c>
      <c r="N121" t="inlineStr">
        <is>
          <t>ja</t>
        </is>
      </c>
      <c r="O121" t="inlineStr">
        <is>
          <t>Geen dieet</t>
        </is>
      </c>
      <c r="Q121">
        <f>LEN(G121)-LEN(SUBSTITUTE(G121,",",""))+1</f>
        <v/>
      </c>
      <c r="R121">
        <f>SWITCH(I121, "Zelden", 1, "Af en toe", 4, "Regelmatig", 8, "Vaak", 12)</f>
        <v/>
      </c>
      <c r="S121">
        <f>AVERAGE(--(K121="ja"), --(L121="ja"), --(M121="ja"), --(N121="ja"), --(O121="ja"))*10</f>
        <v/>
      </c>
      <c r="T121">
        <f>IF(S121&gt;=7, "Tevreden", "Ontevreden")</f>
        <v/>
      </c>
    </row>
    <row r="122">
      <c r="A122" t="inlineStr">
        <is>
          <t>Maria</t>
        </is>
      </c>
      <c r="B122" t="inlineStr">
        <is>
          <t>Somers</t>
        </is>
      </c>
      <c r="C122" t="inlineStr">
        <is>
          <t>601.15784-60</t>
        </is>
      </c>
      <c r="D122" t="inlineStr">
        <is>
          <t>07/02/1951</t>
        </is>
      </c>
      <c r="E122" t="inlineStr">
        <is>
          <t>Vliegtuiglaan 59, 3831 Herten</t>
        </is>
      </c>
      <c r="F122" t="inlineStr">
        <is>
          <t>Maria</t>
        </is>
      </c>
      <c r="G122" t="n">
        <v>21.3</v>
      </c>
      <c r="H122" t="n">
        <v>3</v>
      </c>
      <c r="I122" t="inlineStr">
        <is>
          <t>Bancontact</t>
        </is>
      </c>
      <c r="J122" t="inlineStr">
        <is>
          <t>ja</t>
        </is>
      </c>
      <c r="K122" t="inlineStr">
        <is>
          <t>ja</t>
        </is>
      </c>
      <c r="L122" t="inlineStr">
        <is>
          <t>nee</t>
        </is>
      </c>
      <c r="M122" t="inlineStr">
        <is>
          <t>ja</t>
        </is>
      </c>
      <c r="N122" t="inlineStr">
        <is>
          <t>ja</t>
        </is>
      </c>
      <c r="O122" t="inlineStr">
        <is>
          <t>Veganistisch</t>
        </is>
      </c>
      <c r="Q122">
        <f>LEN(G122)-LEN(SUBSTITUTE(G122,",",""))+1</f>
        <v/>
      </c>
      <c r="R122">
        <f>SWITCH(I122, "Zelden", 1, "Af en toe", 4, "Regelmatig", 8, "Vaak", 12)</f>
        <v/>
      </c>
      <c r="S122">
        <f>AVERAGE(--(K122="ja"), --(L122="ja"), --(M122="ja"), --(N122="ja"), --(O122="ja"))*10</f>
        <v/>
      </c>
      <c r="T122">
        <f>IF(S122&gt;=7, "Tevreden", "Ontevreden")</f>
        <v/>
      </c>
    </row>
    <row r="123">
      <c r="A123" t="inlineStr">
        <is>
          <t>Fatima</t>
        </is>
      </c>
      <c r="B123" t="inlineStr">
        <is>
          <t>Thys</t>
        </is>
      </c>
      <c r="C123" t="inlineStr">
        <is>
          <t>27.40711-56</t>
        </is>
      </c>
      <c r="D123" t="inlineStr">
        <is>
          <t>21/06/1963</t>
        </is>
      </c>
      <c r="E123" t="inlineStr">
        <is>
          <t>Rondehuisjesdreef 26, 3770 Riemst</t>
        </is>
      </c>
      <c r="F123" t="inlineStr">
        <is>
          <t>Fatima,Paul,Jacob,Mehdi</t>
        </is>
      </c>
      <c r="G123" t="n">
        <v>121.49</v>
      </c>
      <c r="H123" t="n">
        <v>8</v>
      </c>
      <c r="I123" t="inlineStr">
        <is>
          <t>Creditcard</t>
        </is>
      </c>
      <c r="J123" t="inlineStr">
        <is>
          <t>ja</t>
        </is>
      </c>
      <c r="K123" t="inlineStr">
        <is>
          <t>nee</t>
        </is>
      </c>
      <c r="L123" t="inlineStr">
        <is>
          <t>ja</t>
        </is>
      </c>
      <c r="M123" t="inlineStr">
        <is>
          <t>ja</t>
        </is>
      </c>
      <c r="N123" t="inlineStr">
        <is>
          <t>nee</t>
        </is>
      </c>
      <c r="O123" t="inlineStr">
        <is>
          <t>Geen dieet</t>
        </is>
      </c>
      <c r="Q123">
        <f>LEN(G123)-LEN(SUBSTITUTE(G123,",",""))+1</f>
        <v/>
      </c>
      <c r="R123">
        <f>SWITCH(I123, "Zelden", 1, "Af en toe", 4, "Regelmatig", 8, "Vaak", 12)</f>
        <v/>
      </c>
      <c r="S123">
        <f>AVERAGE(--(K123="ja"), --(L123="ja"), --(M123="ja"), --(N123="ja"), --(O123="ja"))*10</f>
        <v/>
      </c>
      <c r="T123">
        <f>IF(S123&gt;=7, "Tevreden", "Ontevreden")</f>
        <v/>
      </c>
    </row>
    <row r="124">
      <c r="A124" t="inlineStr">
        <is>
          <t>Erik</t>
        </is>
      </c>
      <c r="B124" t="inlineStr">
        <is>
          <t>Vermeiren</t>
        </is>
      </c>
      <c r="C124" t="inlineStr">
        <is>
          <t>867.47041-54</t>
        </is>
      </c>
      <c r="D124" t="inlineStr">
        <is>
          <t>15/06/1947</t>
        </is>
      </c>
      <c r="E124" t="inlineStr">
        <is>
          <t>Dok Zuid 25, 3600 Genk</t>
        </is>
      </c>
      <c r="F124" t="inlineStr">
        <is>
          <t>Erik,Franca</t>
        </is>
      </c>
      <c r="G124" t="n">
        <v>146.73</v>
      </c>
      <c r="H124" t="n">
        <v>4</v>
      </c>
      <c r="I124" t="inlineStr">
        <is>
          <t>Payconiq</t>
        </is>
      </c>
      <c r="J124" t="inlineStr">
        <is>
          <t>ja</t>
        </is>
      </c>
      <c r="K124" t="inlineStr">
        <is>
          <t>ja</t>
        </is>
      </c>
      <c r="L124" t="inlineStr">
        <is>
          <t>ja</t>
        </is>
      </c>
      <c r="M124" t="inlineStr">
        <is>
          <t>ja</t>
        </is>
      </c>
      <c r="N124" t="inlineStr">
        <is>
          <t>ja</t>
        </is>
      </c>
      <c r="O124" t="inlineStr">
        <is>
          <t>Geen dieet</t>
        </is>
      </c>
      <c r="Q124">
        <f>LEN(G124)-LEN(SUBSTITUTE(G124,",",""))+1</f>
        <v/>
      </c>
      <c r="R124">
        <f>SWITCH(I124, "Zelden", 1, "Af en toe", 4, "Regelmatig", 8, "Vaak", 12)</f>
        <v/>
      </c>
      <c r="S124">
        <f>AVERAGE(--(K124="ja"), --(L124="ja"), --(M124="ja"), --(N124="ja"), --(O124="ja"))*10</f>
        <v/>
      </c>
      <c r="T124">
        <f>IF(S124&gt;=7, "Tevreden", "Ontevreden")</f>
        <v/>
      </c>
    </row>
    <row r="125">
      <c r="A125" t="inlineStr">
        <is>
          <t>Samuel</t>
        </is>
      </c>
      <c r="B125" t="inlineStr">
        <is>
          <t>De block</t>
        </is>
      </c>
      <c r="C125" t="inlineStr">
        <is>
          <t>88.46351-71</t>
        </is>
      </c>
      <c r="D125" t="inlineStr">
        <is>
          <t>08/06/1967</t>
        </is>
      </c>
      <c r="E125" t="inlineStr">
        <is>
          <t>Poolse - Winglaan 30, 3800 Sint-Truiden</t>
        </is>
      </c>
      <c r="F125" t="inlineStr">
        <is>
          <t>Samuel</t>
        </is>
      </c>
      <c r="G125" t="n">
        <v>89.81999999999999</v>
      </c>
      <c r="H125" t="n">
        <v>9</v>
      </c>
      <c r="I125" t="inlineStr">
        <is>
          <t>Payconiq</t>
        </is>
      </c>
      <c r="J125" t="inlineStr">
        <is>
          <t>nee</t>
        </is>
      </c>
      <c r="K125" t="inlineStr">
        <is>
          <t>nee</t>
        </is>
      </c>
      <c r="L125" t="inlineStr">
        <is>
          <t>ja</t>
        </is>
      </c>
      <c r="M125" t="inlineStr">
        <is>
          <t>ja</t>
        </is>
      </c>
      <c r="N125" t="inlineStr">
        <is>
          <t>nee</t>
        </is>
      </c>
      <c r="O125" t="inlineStr">
        <is>
          <t>Geen dieet</t>
        </is>
      </c>
      <c r="Q125">
        <f>LEN(G125)-LEN(SUBSTITUTE(G125,",",""))+1</f>
        <v/>
      </c>
      <c r="R125">
        <f>SWITCH(I125, "Zelden", 1, "Af en toe", 4, "Regelmatig", 8, "Vaak", 12)</f>
        <v/>
      </c>
      <c r="S125">
        <f>AVERAGE(--(K125="ja"), --(L125="ja"), --(M125="ja"), --(N125="ja"), --(O125="ja"))*10</f>
        <v/>
      </c>
      <c r="T125">
        <f>IF(S125&gt;=7, "Tevreden", "Ontevreden")</f>
        <v/>
      </c>
    </row>
    <row r="126">
      <c r="A126" t="inlineStr">
        <is>
          <t>Billie</t>
        </is>
      </c>
      <c r="B126" t="inlineStr">
        <is>
          <t>Vermeersch</t>
        </is>
      </c>
      <c r="C126" t="inlineStr">
        <is>
          <t>412.53429-37</t>
        </is>
      </c>
      <c r="D126" t="inlineStr">
        <is>
          <t>02/12/1989</t>
        </is>
      </c>
      <c r="E126" t="inlineStr">
        <is>
          <t>Koopvaardijlaan 8, 3700 Tongeren</t>
        </is>
      </c>
      <c r="F126" t="inlineStr">
        <is>
          <t>Billie,Wouter,Magdalena</t>
        </is>
      </c>
      <c r="G126" t="n">
        <v>158.14</v>
      </c>
      <c r="H126" t="n">
        <v>12</v>
      </c>
      <c r="I126" t="inlineStr">
        <is>
          <t>Bancontact</t>
        </is>
      </c>
      <c r="J126" t="inlineStr">
        <is>
          <t>ja</t>
        </is>
      </c>
      <c r="K126" t="inlineStr">
        <is>
          <t>nee</t>
        </is>
      </c>
      <c r="L126" t="inlineStr">
        <is>
          <t>nee</t>
        </is>
      </c>
      <c r="M126" t="inlineStr">
        <is>
          <t>ja</t>
        </is>
      </c>
      <c r="N126" t="inlineStr">
        <is>
          <t>ja</t>
        </is>
      </c>
      <c r="O126" t="inlineStr">
        <is>
          <t>Geen dieet</t>
        </is>
      </c>
      <c r="Q126">
        <f>LEN(G126)-LEN(SUBSTITUTE(G126,",",""))+1</f>
        <v/>
      </c>
      <c r="R126">
        <f>SWITCH(I126, "Zelden", 1, "Af en toe", 4, "Regelmatig", 8, "Vaak", 12)</f>
        <v/>
      </c>
      <c r="S126">
        <f>AVERAGE(--(K126="ja"), --(L126="ja"), --(M126="ja"), --(N126="ja"), --(O126="ja"))*10</f>
        <v/>
      </c>
      <c r="T126">
        <f>IF(S126&gt;=7, "Tevreden", "Ontevreden")</f>
        <v/>
      </c>
    </row>
    <row r="127">
      <c r="A127" t="inlineStr">
        <is>
          <t>Hermine</t>
        </is>
      </c>
      <c r="B127" t="inlineStr">
        <is>
          <t>Dufour</t>
        </is>
      </c>
      <c r="C127" t="inlineStr">
        <is>
          <t>890.64011-47</t>
        </is>
      </c>
      <c r="D127" t="inlineStr">
        <is>
          <t>05/03/2006</t>
        </is>
      </c>
      <c r="E127" t="inlineStr">
        <is>
          <t>Kluizensesteenweg 38, 3530 Houthalen-Helchteren</t>
        </is>
      </c>
      <c r="F127" t="inlineStr">
        <is>
          <t>Hermine</t>
        </is>
      </c>
      <c r="G127" t="n">
        <v>107.11</v>
      </c>
      <c r="H127" t="n">
        <v>23</v>
      </c>
      <c r="I127" t="inlineStr">
        <is>
          <t>Bancontact</t>
        </is>
      </c>
      <c r="J127" t="inlineStr">
        <is>
          <t>ja</t>
        </is>
      </c>
      <c r="K127" t="inlineStr">
        <is>
          <t>ja</t>
        </is>
      </c>
      <c r="L127" t="inlineStr">
        <is>
          <t>ja</t>
        </is>
      </c>
      <c r="M127" t="inlineStr">
        <is>
          <t>ja</t>
        </is>
      </c>
      <c r="N127" t="inlineStr">
        <is>
          <t>ja</t>
        </is>
      </c>
      <c r="O127" t="inlineStr">
        <is>
          <t>Vegetarisch</t>
        </is>
      </c>
      <c r="Q127">
        <f>LEN(G127)-LEN(SUBSTITUTE(G127,",",""))+1</f>
        <v/>
      </c>
      <c r="R127">
        <f>SWITCH(I127, "Zelden", 1, "Af en toe", 4, "Regelmatig", 8, "Vaak", 12)</f>
        <v/>
      </c>
      <c r="S127">
        <f>AVERAGE(--(K127="ja"), --(L127="ja"), --(M127="ja"), --(N127="ja"), --(O127="ja"))*10</f>
        <v/>
      </c>
      <c r="T127">
        <f>IF(S127&gt;=7, "Tevreden", "Ontevreden")</f>
        <v/>
      </c>
    </row>
    <row r="128">
      <c r="A128" t="inlineStr">
        <is>
          <t>Abdullah</t>
        </is>
      </c>
      <c r="B128" t="inlineStr">
        <is>
          <t>Verschueren</t>
        </is>
      </c>
      <c r="C128" t="inlineStr">
        <is>
          <t>167.55085-26</t>
        </is>
      </c>
      <c r="D128" t="inlineStr">
        <is>
          <t>08/11/1983</t>
        </is>
      </c>
      <c r="E128" t="inlineStr">
        <is>
          <t>Onafhankelijkheidslaan 61, 3831 Herten</t>
        </is>
      </c>
      <c r="F128" t="inlineStr">
        <is>
          <t>Abdullah,Yves</t>
        </is>
      </c>
      <c r="G128" t="n">
        <v>19.28</v>
      </c>
      <c r="H128" t="n">
        <v>2</v>
      </c>
      <c r="I128" t="inlineStr">
        <is>
          <t>Bancontact</t>
        </is>
      </c>
      <c r="J128" t="inlineStr">
        <is>
          <t>nee</t>
        </is>
      </c>
      <c r="K128" t="inlineStr">
        <is>
          <t>ja</t>
        </is>
      </c>
      <c r="L128" t="inlineStr">
        <is>
          <t>ja</t>
        </is>
      </c>
      <c r="M128" t="inlineStr">
        <is>
          <t>ja</t>
        </is>
      </c>
      <c r="N128" t="inlineStr">
        <is>
          <t>nee</t>
        </is>
      </c>
      <c r="O128" t="inlineStr">
        <is>
          <t>Geen dieet</t>
        </is>
      </c>
      <c r="Q128">
        <f>LEN(G128)-LEN(SUBSTITUTE(G128,",",""))+1</f>
        <v/>
      </c>
      <c r="R128">
        <f>SWITCH(I128, "Zelden", 1, "Af en toe", 4, "Regelmatig", 8, "Vaak", 12)</f>
        <v/>
      </c>
      <c r="S128">
        <f>AVERAGE(--(K128="ja"), --(L128="ja"), --(M128="ja"), --(N128="ja"), --(O128="ja"))*10</f>
        <v/>
      </c>
      <c r="T128">
        <f>IF(S128&gt;=7, "Tevreden", "Ontevreden")</f>
        <v/>
      </c>
    </row>
    <row r="129">
      <c r="A129" t="inlineStr">
        <is>
          <t>Joëlle</t>
        </is>
      </c>
      <c r="B129" t="inlineStr">
        <is>
          <t>Michiels</t>
        </is>
      </c>
      <c r="C129" t="inlineStr">
        <is>
          <t>61.24396-47</t>
        </is>
      </c>
      <c r="D129" t="inlineStr">
        <is>
          <t>18/03/1954</t>
        </is>
      </c>
      <c r="E129" t="inlineStr">
        <is>
          <t>Steenakker 17, 3540 Herk-de-Stad</t>
        </is>
      </c>
      <c r="F129" t="inlineStr">
        <is>
          <t>Joëlle,Etiennette,Raphaël,Frédéric</t>
        </is>
      </c>
      <c r="G129" t="n">
        <v>62.12</v>
      </c>
      <c r="H129" t="n">
        <v>21</v>
      </c>
      <c r="I129" t="inlineStr">
        <is>
          <t>Payconiq</t>
        </is>
      </c>
      <c r="J129" t="inlineStr">
        <is>
          <t>ja</t>
        </is>
      </c>
      <c r="K129" t="inlineStr">
        <is>
          <t>ja</t>
        </is>
      </c>
      <c r="L129" t="inlineStr">
        <is>
          <t>ja</t>
        </is>
      </c>
      <c r="M129" t="inlineStr">
        <is>
          <t>nee</t>
        </is>
      </c>
      <c r="N129" t="inlineStr">
        <is>
          <t>ja</t>
        </is>
      </c>
      <c r="O129" t="inlineStr">
        <is>
          <t>Geen dieet</t>
        </is>
      </c>
      <c r="Q129">
        <f>LEN(G129)-LEN(SUBSTITUTE(G129,",",""))+1</f>
        <v/>
      </c>
      <c r="R129">
        <f>SWITCH(I129, "Zelden", 1, "Af en toe", 4, "Regelmatig", 8, "Vaak", 12)</f>
        <v/>
      </c>
      <c r="S129">
        <f>AVERAGE(--(K129="ja"), --(L129="ja"), --(M129="ja"), --(N129="ja"), --(O129="ja"))*10</f>
        <v/>
      </c>
      <c r="T129">
        <f>IF(S129&gt;=7, "Tevreden", "Ontevreden")</f>
        <v/>
      </c>
    </row>
    <row r="130">
      <c r="A130" t="inlineStr">
        <is>
          <t>Marie</t>
        </is>
      </c>
      <c r="B130" t="inlineStr">
        <is>
          <t>Peeters</t>
        </is>
      </c>
      <c r="C130" t="inlineStr">
        <is>
          <t>746.34107-91</t>
        </is>
      </c>
      <c r="D130" t="inlineStr">
        <is>
          <t>12/06/2004</t>
        </is>
      </c>
      <c r="E130" t="inlineStr">
        <is>
          <t>Brabantdam 39, 3830 Wellen</t>
        </is>
      </c>
      <c r="F130" t="inlineStr">
        <is>
          <t>Marie,Godelieve</t>
        </is>
      </c>
      <c r="G130" t="n">
        <v>57.41</v>
      </c>
      <c r="H130" t="n">
        <v>9</v>
      </c>
      <c r="I130" t="inlineStr">
        <is>
          <t>Cash</t>
        </is>
      </c>
      <c r="J130" t="inlineStr">
        <is>
          <t>ja</t>
        </is>
      </c>
      <c r="K130" t="inlineStr">
        <is>
          <t>ja</t>
        </is>
      </c>
      <c r="L130" t="inlineStr">
        <is>
          <t>nee</t>
        </is>
      </c>
      <c r="M130" t="inlineStr">
        <is>
          <t>ja</t>
        </is>
      </c>
      <c r="N130" t="inlineStr">
        <is>
          <t>ja</t>
        </is>
      </c>
      <c r="O130" t="inlineStr">
        <is>
          <t>Geen dieet</t>
        </is>
      </c>
      <c r="Q130">
        <f>LEN(G130)-LEN(SUBSTITUTE(G130,",",""))+1</f>
        <v/>
      </c>
      <c r="R130">
        <f>SWITCH(I130, "Zelden", 1, "Af en toe", 4, "Regelmatig", 8, "Vaak", 12)</f>
        <v/>
      </c>
      <c r="S130">
        <f>AVERAGE(--(K130="ja"), --(L130="ja"), --(M130="ja"), --(N130="ja"), --(O130="ja"))*10</f>
        <v/>
      </c>
      <c r="T130">
        <f>IF(S130&gt;=7, "Tevreden", "Ontevreden")</f>
        <v/>
      </c>
    </row>
    <row r="131">
      <c r="A131" t="inlineStr">
        <is>
          <t>Estelle</t>
        </is>
      </c>
      <c r="B131" t="inlineStr">
        <is>
          <t>Van den bossche</t>
        </is>
      </c>
      <c r="C131" t="inlineStr">
        <is>
          <t>824.83003-30</t>
        </is>
      </c>
      <c r="D131" t="inlineStr">
        <is>
          <t>30/08/1962</t>
        </is>
      </c>
      <c r="E131" t="inlineStr">
        <is>
          <t>Wolfputstraat 12, 3600 Genk</t>
        </is>
      </c>
      <c r="F131" t="inlineStr">
        <is>
          <t>Estelle,Timmy</t>
        </is>
      </c>
      <c r="G131" t="n">
        <v>165.3</v>
      </c>
      <c r="H131" t="n">
        <v>7</v>
      </c>
      <c r="I131" t="inlineStr">
        <is>
          <t>Bancontact</t>
        </is>
      </c>
      <c r="J131" t="inlineStr">
        <is>
          <t>nee</t>
        </is>
      </c>
      <c r="K131" t="inlineStr">
        <is>
          <t>nee</t>
        </is>
      </c>
      <c r="L131" t="inlineStr">
        <is>
          <t>ja</t>
        </is>
      </c>
      <c r="M131" t="inlineStr">
        <is>
          <t>ja</t>
        </is>
      </c>
      <c r="N131" t="inlineStr">
        <is>
          <t>nee</t>
        </is>
      </c>
      <c r="O131" t="inlineStr">
        <is>
          <t>Geen dieet</t>
        </is>
      </c>
      <c r="Q131">
        <f>LEN(G131)-LEN(SUBSTITUTE(G131,",",""))+1</f>
        <v/>
      </c>
      <c r="R131">
        <f>SWITCH(I131, "Zelden", 1, "Af en toe", 4, "Regelmatig", 8, "Vaak", 12)</f>
        <v/>
      </c>
      <c r="S131">
        <f>AVERAGE(--(K131="ja"), --(L131="ja"), --(M131="ja"), --(N131="ja"), --(O131="ja"))*10</f>
        <v/>
      </c>
      <c r="T131">
        <f>IF(S131&gt;=7, "Tevreden", "Ontevreden")</f>
        <v/>
      </c>
    </row>
    <row r="132">
      <c r="A132" t="inlineStr">
        <is>
          <t>Bram</t>
        </is>
      </c>
      <c r="B132" t="inlineStr">
        <is>
          <t>Deprez</t>
        </is>
      </c>
      <c r="C132" t="inlineStr">
        <is>
          <t>972.53035-37</t>
        </is>
      </c>
      <c r="D132" t="inlineStr">
        <is>
          <t>04/09/1966</t>
        </is>
      </c>
      <c r="E132" t="inlineStr">
        <is>
          <t>Zandberg 39, 3800 Sint-Truiden</t>
        </is>
      </c>
      <c r="F132" t="inlineStr">
        <is>
          <t>Bram,Pascale,Anas,Martine</t>
        </is>
      </c>
      <c r="G132" t="n">
        <v>157.28</v>
      </c>
      <c r="H132" t="n">
        <v>6</v>
      </c>
      <c r="I132" t="inlineStr">
        <is>
          <t>Cash</t>
        </is>
      </c>
      <c r="J132" t="inlineStr">
        <is>
          <t>ja</t>
        </is>
      </c>
      <c r="K132" t="inlineStr">
        <is>
          <t>ja</t>
        </is>
      </c>
      <c r="L132" t="inlineStr">
        <is>
          <t>ja</t>
        </is>
      </c>
      <c r="M132" t="inlineStr">
        <is>
          <t>ja</t>
        </is>
      </c>
      <c r="N132" t="inlineStr">
        <is>
          <t>nee</t>
        </is>
      </c>
      <c r="O132" t="inlineStr">
        <is>
          <t>Geen dieet</t>
        </is>
      </c>
      <c r="Q132">
        <f>LEN(G132)-LEN(SUBSTITUTE(G132,",",""))+1</f>
        <v/>
      </c>
      <c r="R132">
        <f>SWITCH(I132, "Zelden", 1, "Af en toe", 4, "Regelmatig", 8, "Vaak", 12)</f>
        <v/>
      </c>
      <c r="S132">
        <f>AVERAGE(--(K132="ja"), --(L132="ja"), --(M132="ja"), --(N132="ja"), --(O132="ja"))*10</f>
        <v/>
      </c>
      <c r="T132">
        <f>IF(S132&gt;=7, "Tevreden", "Ontevreden")</f>
        <v/>
      </c>
    </row>
    <row r="133">
      <c r="A133" t="inlineStr">
        <is>
          <t>Michèle</t>
        </is>
      </c>
      <c r="B133" t="inlineStr">
        <is>
          <t>Leroy</t>
        </is>
      </c>
      <c r="C133" t="inlineStr">
        <is>
          <t>962.67627-24</t>
        </is>
      </c>
      <c r="D133" t="inlineStr">
        <is>
          <t>11/09/2003</t>
        </is>
      </c>
      <c r="E133" t="inlineStr">
        <is>
          <t>Jeroom Dequesnoylaan 49, 3520 Zonhoven</t>
        </is>
      </c>
      <c r="F133" t="inlineStr">
        <is>
          <t>Michèle,Nora,Gauthier,Christiane</t>
        </is>
      </c>
      <c r="G133" t="n">
        <v>168.38</v>
      </c>
      <c r="H133" t="n">
        <v>7</v>
      </c>
      <c r="I133" t="inlineStr">
        <is>
          <t>Bancontact</t>
        </is>
      </c>
      <c r="J133" t="inlineStr">
        <is>
          <t>nee</t>
        </is>
      </c>
      <c r="K133" t="inlineStr">
        <is>
          <t>ja</t>
        </is>
      </c>
      <c r="L133" t="inlineStr">
        <is>
          <t>ja</t>
        </is>
      </c>
      <c r="M133" t="inlineStr">
        <is>
          <t>ja</t>
        </is>
      </c>
      <c r="N133" t="inlineStr">
        <is>
          <t>ja</t>
        </is>
      </c>
      <c r="O133" t="inlineStr">
        <is>
          <t>Geen dieet</t>
        </is>
      </c>
      <c r="Q133">
        <f>LEN(G133)-LEN(SUBSTITUTE(G133,",",""))+1</f>
        <v/>
      </c>
      <c r="R133">
        <f>SWITCH(I133, "Zelden", 1, "Af en toe", 4, "Regelmatig", 8, "Vaak", 12)</f>
        <v/>
      </c>
      <c r="S133">
        <f>AVERAGE(--(K133="ja"), --(L133="ja"), --(M133="ja"), --(N133="ja"), --(O133="ja"))*10</f>
        <v/>
      </c>
      <c r="T133">
        <f>IF(S133&gt;=7, "Tevreden", "Ontevreden")</f>
        <v/>
      </c>
    </row>
    <row r="134">
      <c r="A134" t="inlineStr">
        <is>
          <t>Maria</t>
        </is>
      </c>
      <c r="B134" t="inlineStr">
        <is>
          <t>Verbeeck</t>
        </is>
      </c>
      <c r="C134" t="inlineStr">
        <is>
          <t>217.64243-14</t>
        </is>
      </c>
      <c r="D134" t="inlineStr">
        <is>
          <t>04/06/1956</t>
        </is>
      </c>
      <c r="E134" t="inlineStr">
        <is>
          <t>Hoogpoort 43, 3600 Genk</t>
        </is>
      </c>
      <c r="F134" t="inlineStr">
        <is>
          <t>Maria,Adam</t>
        </is>
      </c>
      <c r="G134" t="n">
        <v>102.48</v>
      </c>
      <c r="H134" t="n">
        <v>12</v>
      </c>
      <c r="I134" t="inlineStr">
        <is>
          <t>Payconiq</t>
        </is>
      </c>
      <c r="J134" t="inlineStr">
        <is>
          <t>ja</t>
        </is>
      </c>
      <c r="K134" t="inlineStr">
        <is>
          <t>nee</t>
        </is>
      </c>
      <c r="L134" t="inlineStr">
        <is>
          <t>ja</t>
        </is>
      </c>
      <c r="M134" t="inlineStr">
        <is>
          <t>ja</t>
        </is>
      </c>
      <c r="N134" t="inlineStr">
        <is>
          <t>nee</t>
        </is>
      </c>
      <c r="O134" t="inlineStr">
        <is>
          <t>Geen dieet</t>
        </is>
      </c>
      <c r="Q134">
        <f>LEN(G134)-LEN(SUBSTITUTE(G134,",",""))+1</f>
        <v/>
      </c>
      <c r="R134">
        <f>SWITCH(I134, "Zelden", 1, "Af en toe", 4, "Regelmatig", 8, "Vaak", 12)</f>
        <v/>
      </c>
      <c r="S134">
        <f>AVERAGE(--(K134="ja"), --(L134="ja"), --(M134="ja"), --(N134="ja"), --(O134="ja"))*10</f>
        <v/>
      </c>
      <c r="T134">
        <f>IF(S134&gt;=7, "Tevreden", "Ontevreden")</f>
        <v/>
      </c>
    </row>
    <row r="135">
      <c r="A135" t="inlineStr">
        <is>
          <t>Roland</t>
        </is>
      </c>
      <c r="B135" t="inlineStr">
        <is>
          <t>Dumont</t>
        </is>
      </c>
      <c r="C135" t="inlineStr">
        <is>
          <t>810.40926-78</t>
        </is>
      </c>
      <c r="D135" t="inlineStr">
        <is>
          <t>02/03/1963</t>
        </is>
      </c>
      <c r="E135" t="inlineStr">
        <is>
          <t>Morekstraat 52, 3920 Lommel</t>
        </is>
      </c>
      <c r="F135" t="inlineStr">
        <is>
          <t>Roland,Oona</t>
        </is>
      </c>
      <c r="G135" t="n">
        <v>100.27</v>
      </c>
      <c r="H135" t="n">
        <v>14</v>
      </c>
      <c r="I135" t="inlineStr">
        <is>
          <t>Cash</t>
        </is>
      </c>
      <c r="J135" t="inlineStr">
        <is>
          <t>ja</t>
        </is>
      </c>
      <c r="K135" t="inlineStr">
        <is>
          <t>nee</t>
        </is>
      </c>
      <c r="L135" t="inlineStr">
        <is>
          <t>nee</t>
        </is>
      </c>
      <c r="M135" t="inlineStr">
        <is>
          <t>ja</t>
        </is>
      </c>
      <c r="N135" t="inlineStr">
        <is>
          <t>nee</t>
        </is>
      </c>
      <c r="O135" t="inlineStr">
        <is>
          <t>Geen dieet</t>
        </is>
      </c>
      <c r="Q135">
        <f>LEN(G135)-LEN(SUBSTITUTE(G135,",",""))+1</f>
        <v/>
      </c>
      <c r="R135">
        <f>SWITCH(I135, "Zelden", 1, "Af en toe", 4, "Regelmatig", 8, "Vaak", 12)</f>
        <v/>
      </c>
      <c r="S135">
        <f>AVERAGE(--(K135="ja"), --(L135="ja"), --(M135="ja"), --(N135="ja"), --(O135="ja"))*10</f>
        <v/>
      </c>
      <c r="T135">
        <f>IF(S135&gt;=7, "Tevreden", "Ontevreden")</f>
        <v/>
      </c>
    </row>
    <row r="136">
      <c r="A136" t="inlineStr">
        <is>
          <t>Alexandra</t>
        </is>
      </c>
      <c r="B136" t="inlineStr">
        <is>
          <t>Carpentier</t>
        </is>
      </c>
      <c r="C136" t="inlineStr">
        <is>
          <t>418.27452-76</t>
        </is>
      </c>
      <c r="D136" t="inlineStr">
        <is>
          <t>18/05/1979</t>
        </is>
      </c>
      <c r="E136" t="inlineStr">
        <is>
          <t>Fortlaan 78, 3500 Hasselt</t>
        </is>
      </c>
      <c r="F136" t="inlineStr">
        <is>
          <t>Alexandra,Frédéric,Amy,Lisette</t>
        </is>
      </c>
      <c r="G136" t="n">
        <v>169.27</v>
      </c>
      <c r="H136" t="n">
        <v>5</v>
      </c>
      <c r="I136" t="inlineStr">
        <is>
          <t>Bancontact</t>
        </is>
      </c>
      <c r="J136" t="inlineStr">
        <is>
          <t>nee</t>
        </is>
      </c>
      <c r="K136" t="inlineStr">
        <is>
          <t>ja</t>
        </is>
      </c>
      <c r="L136" t="inlineStr">
        <is>
          <t>ja</t>
        </is>
      </c>
      <c r="M136" t="inlineStr">
        <is>
          <t>nee</t>
        </is>
      </c>
      <c r="N136" t="inlineStr">
        <is>
          <t>ja</t>
        </is>
      </c>
      <c r="O136" t="inlineStr">
        <is>
          <t>Vegetarisch</t>
        </is>
      </c>
      <c r="Q136">
        <f>LEN(G136)-LEN(SUBSTITUTE(G136,",",""))+1</f>
        <v/>
      </c>
      <c r="R136">
        <f>SWITCH(I136, "Zelden", 1, "Af en toe", 4, "Regelmatig", 8, "Vaak", 12)</f>
        <v/>
      </c>
      <c r="S136">
        <f>AVERAGE(--(K136="ja"), --(L136="ja"), --(M136="ja"), --(N136="ja"), --(O136="ja"))*10</f>
        <v/>
      </c>
      <c r="T136">
        <f>IF(S136&gt;=7, "Tevreden", "Ontevreden")</f>
        <v/>
      </c>
    </row>
    <row r="137">
      <c r="A137" t="inlineStr">
        <is>
          <t>Cornelia</t>
        </is>
      </c>
      <c r="B137" t="inlineStr">
        <is>
          <t>Janssens</t>
        </is>
      </c>
      <c r="C137" t="inlineStr">
        <is>
          <t>224.79153-50</t>
        </is>
      </c>
      <c r="D137" t="inlineStr">
        <is>
          <t>02/12/1981</t>
        </is>
      </c>
      <c r="E137" t="inlineStr">
        <is>
          <t>Kliniekstraat 28, 3620 Lanaken</t>
        </is>
      </c>
      <c r="F137" t="inlineStr">
        <is>
          <t>Cornelia</t>
        </is>
      </c>
      <c r="G137" t="n">
        <v>107.41</v>
      </c>
      <c r="H137" t="n">
        <v>11</v>
      </c>
      <c r="I137" t="inlineStr">
        <is>
          <t>Bancontact</t>
        </is>
      </c>
      <c r="J137" t="inlineStr">
        <is>
          <t>ja</t>
        </is>
      </c>
      <c r="K137" t="inlineStr">
        <is>
          <t>ja</t>
        </is>
      </c>
      <c r="L137" t="inlineStr">
        <is>
          <t>ja</t>
        </is>
      </c>
      <c r="M137" t="inlineStr">
        <is>
          <t>ja</t>
        </is>
      </c>
      <c r="N137" t="inlineStr">
        <is>
          <t>nee</t>
        </is>
      </c>
      <c r="O137" t="inlineStr">
        <is>
          <t>Geen dieet</t>
        </is>
      </c>
      <c r="Q137">
        <f>LEN(G137)-LEN(SUBSTITUTE(G137,",",""))+1</f>
        <v/>
      </c>
      <c r="R137">
        <f>SWITCH(I137, "Zelden", 1, "Af en toe", 4, "Regelmatig", 8, "Vaak", 12)</f>
        <v/>
      </c>
      <c r="S137">
        <f>AVERAGE(--(K137="ja"), --(L137="ja"), --(M137="ja"), --(N137="ja"), --(O137="ja"))*10</f>
        <v/>
      </c>
      <c r="T137">
        <f>IF(S137&gt;=7, "Tevreden", "Ontevreden")</f>
        <v/>
      </c>
    </row>
    <row r="138">
      <c r="A138" t="inlineStr">
        <is>
          <t>Julien</t>
        </is>
      </c>
      <c r="B138" t="inlineStr">
        <is>
          <t>Maes</t>
        </is>
      </c>
      <c r="C138" t="inlineStr">
        <is>
          <t>603.18754-95</t>
        </is>
      </c>
      <c r="D138" t="inlineStr">
        <is>
          <t>26/09/1974</t>
        </is>
      </c>
      <c r="E138" t="inlineStr">
        <is>
          <t>Luchterenkouter 55, 3830 Wellen</t>
        </is>
      </c>
      <c r="F138" t="inlineStr">
        <is>
          <t>Julien,Nele,Jesse,Dominique,Rayane</t>
        </is>
      </c>
      <c r="G138" t="n">
        <v>223.53</v>
      </c>
      <c r="H138" t="n">
        <v>10</v>
      </c>
      <c r="I138" t="inlineStr">
        <is>
          <t>Payconiq</t>
        </is>
      </c>
      <c r="J138" t="inlineStr">
        <is>
          <t>ja</t>
        </is>
      </c>
      <c r="K138" t="inlineStr">
        <is>
          <t>ja</t>
        </is>
      </c>
      <c r="L138" t="inlineStr">
        <is>
          <t>ja</t>
        </is>
      </c>
      <c r="M138" t="inlineStr">
        <is>
          <t>ja</t>
        </is>
      </c>
      <c r="N138" t="inlineStr">
        <is>
          <t>nee</t>
        </is>
      </c>
      <c r="O138" t="inlineStr">
        <is>
          <t>Geen dieet</t>
        </is>
      </c>
      <c r="Q138">
        <f>LEN(G138)-LEN(SUBSTITUTE(G138,",",""))+1</f>
        <v/>
      </c>
      <c r="R138">
        <f>SWITCH(I138, "Zelden", 1, "Af en toe", 4, "Regelmatig", 8, "Vaak", 12)</f>
        <v/>
      </c>
      <c r="S138">
        <f>AVERAGE(--(K138="ja"), --(L138="ja"), --(M138="ja"), --(N138="ja"), --(O138="ja"))*10</f>
        <v/>
      </c>
      <c r="T138">
        <f>IF(S138&gt;=7, "Tevreden", "Ontevreden")</f>
        <v/>
      </c>
    </row>
    <row r="139">
      <c r="A139" t="inlineStr">
        <is>
          <t>Souheil</t>
        </is>
      </c>
      <c r="B139" t="inlineStr">
        <is>
          <t>Martin</t>
        </is>
      </c>
      <c r="C139" t="inlineStr">
        <is>
          <t>126.93767-11</t>
        </is>
      </c>
      <c r="D139" t="inlineStr">
        <is>
          <t>01/10/1970</t>
        </is>
      </c>
      <c r="E139" t="inlineStr">
        <is>
          <t>Hoogstraat 27, 3620 Lanaken</t>
        </is>
      </c>
      <c r="F139" t="inlineStr">
        <is>
          <t>Souheil,Tatjana</t>
        </is>
      </c>
      <c r="G139" t="n">
        <v>41.38</v>
      </c>
      <c r="H139" t="n">
        <v>5</v>
      </c>
      <c r="I139" t="inlineStr">
        <is>
          <t>Bancontact</t>
        </is>
      </c>
      <c r="J139" t="inlineStr">
        <is>
          <t>ja</t>
        </is>
      </c>
      <c r="K139" t="inlineStr">
        <is>
          <t>ja</t>
        </is>
      </c>
      <c r="L139" t="inlineStr">
        <is>
          <t>ja</t>
        </is>
      </c>
      <c r="M139" t="inlineStr">
        <is>
          <t>ja</t>
        </is>
      </c>
      <c r="N139" t="inlineStr">
        <is>
          <t>ja</t>
        </is>
      </c>
      <c r="O139" t="inlineStr">
        <is>
          <t>Geen dieet</t>
        </is>
      </c>
      <c r="Q139">
        <f>LEN(G139)-LEN(SUBSTITUTE(G139,",",""))+1</f>
        <v/>
      </c>
      <c r="R139">
        <f>SWITCH(I139, "Zelden", 1, "Af en toe", 4, "Regelmatig", 8, "Vaak", 12)</f>
        <v/>
      </c>
      <c r="S139">
        <f>AVERAGE(--(K139="ja"), --(L139="ja"), --(M139="ja"), --(N139="ja"), --(O139="ja"))*10</f>
        <v/>
      </c>
      <c r="T139">
        <f>IF(S139&gt;=7, "Tevreden", "Ontevreden")</f>
        <v/>
      </c>
    </row>
    <row r="140">
      <c r="A140" t="inlineStr">
        <is>
          <t>Christophe</t>
        </is>
      </c>
      <c r="B140" t="inlineStr">
        <is>
          <t>De clercq</t>
        </is>
      </c>
      <c r="C140" t="inlineStr">
        <is>
          <t>433.53777-33</t>
        </is>
      </c>
      <c r="D140" t="inlineStr">
        <is>
          <t>02/11/1971</t>
        </is>
      </c>
      <c r="E140" t="inlineStr">
        <is>
          <t>Prinses Clementinalaan 145, 3980 Tessenderlo</t>
        </is>
      </c>
      <c r="F140" t="inlineStr">
        <is>
          <t>Christophe,Nathalie,Logan</t>
        </is>
      </c>
      <c r="G140" t="n">
        <v>146.04</v>
      </c>
      <c r="H140" t="n">
        <v>16</v>
      </c>
      <c r="I140" t="inlineStr">
        <is>
          <t>Bancontact</t>
        </is>
      </c>
      <c r="J140" t="inlineStr">
        <is>
          <t>ja</t>
        </is>
      </c>
      <c r="K140" t="inlineStr">
        <is>
          <t>ja</t>
        </is>
      </c>
      <c r="L140" t="inlineStr">
        <is>
          <t>ja</t>
        </is>
      </c>
      <c r="M140" t="inlineStr">
        <is>
          <t>nee</t>
        </is>
      </c>
      <c r="N140" t="inlineStr">
        <is>
          <t>ja</t>
        </is>
      </c>
      <c r="O140" t="inlineStr">
        <is>
          <t>Geen dieet</t>
        </is>
      </c>
      <c r="Q140">
        <f>LEN(G140)-LEN(SUBSTITUTE(G140,",",""))+1</f>
        <v/>
      </c>
      <c r="R140">
        <f>SWITCH(I140, "Zelden", 1, "Af en toe", 4, "Regelmatig", 8, "Vaak", 12)</f>
        <v/>
      </c>
      <c r="S140">
        <f>AVERAGE(--(K140="ja"), --(L140="ja"), --(M140="ja"), --(N140="ja"), --(O140="ja"))*10</f>
        <v/>
      </c>
      <c r="T140">
        <f>IF(S140&gt;=7, "Tevreden", "Ontevreden")</f>
        <v/>
      </c>
    </row>
    <row r="141">
      <c r="A141" t="inlineStr">
        <is>
          <t>Maurice</t>
        </is>
      </c>
      <c r="B141" t="inlineStr">
        <is>
          <t>Charlier</t>
        </is>
      </c>
      <c r="C141" t="inlineStr">
        <is>
          <t>174.15869-84</t>
        </is>
      </c>
      <c r="D141" t="inlineStr">
        <is>
          <t>06/01/2002</t>
        </is>
      </c>
      <c r="E141" t="inlineStr">
        <is>
          <t>Varendriesstraat 2, 3640 Kinrooi</t>
        </is>
      </c>
      <c r="F141" t="inlineStr">
        <is>
          <t>Maurice,Patrick,Suzanne,Aline,Vinz</t>
        </is>
      </c>
      <c r="G141" t="n">
        <v>103.74</v>
      </c>
      <c r="H141" t="n">
        <v>8</v>
      </c>
      <c r="I141" t="inlineStr">
        <is>
          <t>Payconiq</t>
        </is>
      </c>
      <c r="J141" t="inlineStr">
        <is>
          <t>ja</t>
        </is>
      </c>
      <c r="K141" t="inlineStr">
        <is>
          <t>ja</t>
        </is>
      </c>
      <c r="L141" t="inlineStr">
        <is>
          <t>nee</t>
        </is>
      </c>
      <c r="M141" t="inlineStr">
        <is>
          <t>ja</t>
        </is>
      </c>
      <c r="N141" t="inlineStr">
        <is>
          <t>nee</t>
        </is>
      </c>
      <c r="O141" t="inlineStr">
        <is>
          <t>Vegetarisch</t>
        </is>
      </c>
      <c r="Q141">
        <f>LEN(G141)-LEN(SUBSTITUTE(G141,",",""))+1</f>
        <v/>
      </c>
      <c r="R141">
        <f>SWITCH(I141, "Zelden", 1, "Af en toe", 4, "Regelmatig", 8, "Vaak", 12)</f>
        <v/>
      </c>
      <c r="S141">
        <f>AVERAGE(--(K141="ja"), --(L141="ja"), --(M141="ja"), --(N141="ja"), --(O141="ja"))*10</f>
        <v/>
      </c>
      <c r="T141">
        <f>IF(S141&gt;=7, "Tevreden", "Ontevreden")</f>
        <v/>
      </c>
    </row>
    <row r="142">
      <c r="A142" t="inlineStr">
        <is>
          <t>Dimitri</t>
        </is>
      </c>
      <c r="B142" t="inlineStr">
        <is>
          <t>Verlinden</t>
        </is>
      </c>
      <c r="C142" t="inlineStr">
        <is>
          <t>417.67762-87</t>
        </is>
      </c>
      <c r="D142" t="inlineStr">
        <is>
          <t>02/05/1969</t>
        </is>
      </c>
      <c r="E142" t="inlineStr">
        <is>
          <t>Franklin Rooseveltlaan 79, 3640 Kessenich</t>
        </is>
      </c>
      <c r="F142" t="inlineStr">
        <is>
          <t>Dimitri,Nicolas</t>
        </is>
      </c>
      <c r="G142" t="n">
        <v>195.18</v>
      </c>
      <c r="H142" t="n">
        <v>18</v>
      </c>
      <c r="I142" t="inlineStr">
        <is>
          <t>Cash</t>
        </is>
      </c>
      <c r="J142" t="inlineStr">
        <is>
          <t>ja</t>
        </is>
      </c>
      <c r="K142" t="inlineStr">
        <is>
          <t>ja</t>
        </is>
      </c>
      <c r="L142" t="inlineStr">
        <is>
          <t>ja</t>
        </is>
      </c>
      <c r="M142" t="inlineStr">
        <is>
          <t>ja</t>
        </is>
      </c>
      <c r="N142" t="inlineStr">
        <is>
          <t>nee</t>
        </is>
      </c>
      <c r="O142" t="inlineStr">
        <is>
          <t>Vegetarisch</t>
        </is>
      </c>
      <c r="Q142">
        <f>LEN(G142)-LEN(SUBSTITUTE(G142,",",""))+1</f>
        <v/>
      </c>
      <c r="R142">
        <f>SWITCH(I142, "Zelden", 1, "Af en toe", 4, "Regelmatig", 8, "Vaak", 12)</f>
        <v/>
      </c>
      <c r="S142">
        <f>AVERAGE(--(K142="ja"), --(L142="ja"), --(M142="ja"), --(N142="ja"), --(O142="ja"))*10</f>
        <v/>
      </c>
      <c r="T142">
        <f>IF(S142&gt;=7, "Tevreden", "Ontevreden")</f>
        <v/>
      </c>
    </row>
    <row r="143">
      <c r="A143" t="inlineStr">
        <is>
          <t>Alessia</t>
        </is>
      </c>
      <c r="B143" t="inlineStr">
        <is>
          <t>Smets</t>
        </is>
      </c>
      <c r="C143" t="inlineStr">
        <is>
          <t>184.80040-91</t>
        </is>
      </c>
      <c r="D143" t="inlineStr">
        <is>
          <t>08/06/1985</t>
        </is>
      </c>
      <c r="E143" t="inlineStr">
        <is>
          <t>Sleepstraat 16, 3970 Leopoldsburg</t>
        </is>
      </c>
      <c r="F143" t="inlineStr">
        <is>
          <t>Alessia,Cathy</t>
        </is>
      </c>
      <c r="G143" t="n">
        <v>116.19</v>
      </c>
      <c r="H143" t="n">
        <v>7</v>
      </c>
      <c r="I143" t="inlineStr">
        <is>
          <t>Bancontact</t>
        </is>
      </c>
      <c r="J143" t="inlineStr">
        <is>
          <t>ja</t>
        </is>
      </c>
      <c r="K143" t="inlineStr">
        <is>
          <t>ja</t>
        </is>
      </c>
      <c r="L143" t="inlineStr">
        <is>
          <t>ja</t>
        </is>
      </c>
      <c r="M143" t="inlineStr">
        <is>
          <t>ja</t>
        </is>
      </c>
      <c r="N143" t="inlineStr">
        <is>
          <t>nee</t>
        </is>
      </c>
      <c r="O143" t="inlineStr">
        <is>
          <t>Geen dieet</t>
        </is>
      </c>
      <c r="Q143">
        <f>LEN(G143)-LEN(SUBSTITUTE(G143,",",""))+1</f>
        <v/>
      </c>
      <c r="R143">
        <f>SWITCH(I143, "Zelden", 1, "Af en toe", 4, "Regelmatig", 8, "Vaak", 12)</f>
        <v/>
      </c>
      <c r="S143">
        <f>AVERAGE(--(K143="ja"), --(L143="ja"), --(M143="ja"), --(N143="ja"), --(O143="ja"))*10</f>
        <v/>
      </c>
      <c r="T143">
        <f>IF(S143&gt;=7, "Tevreden", "Ontevreden")</f>
        <v/>
      </c>
    </row>
    <row r="144">
      <c r="A144" t="inlineStr">
        <is>
          <t>Giovanni</t>
        </is>
      </c>
      <c r="B144" t="inlineStr">
        <is>
          <t>Vranken</t>
        </is>
      </c>
      <c r="C144" t="inlineStr">
        <is>
          <t>449.62714-97</t>
        </is>
      </c>
      <c r="D144" t="inlineStr">
        <is>
          <t>06/01/1986</t>
        </is>
      </c>
      <c r="E144" t="inlineStr">
        <is>
          <t>Trekweg 94, 3550 Heusden-Zolder</t>
        </is>
      </c>
      <c r="F144" t="inlineStr">
        <is>
          <t>Giovanni,Büra,Darius,Anne-Françoise</t>
        </is>
      </c>
      <c r="G144" t="n">
        <v>170.98</v>
      </c>
      <c r="H144" t="n">
        <v>11</v>
      </c>
      <c r="I144" t="inlineStr">
        <is>
          <t>Cash</t>
        </is>
      </c>
      <c r="J144" t="inlineStr">
        <is>
          <t>nee</t>
        </is>
      </c>
      <c r="K144" t="inlineStr">
        <is>
          <t>ja</t>
        </is>
      </c>
      <c r="L144" t="inlineStr">
        <is>
          <t>ja</t>
        </is>
      </c>
      <c r="M144" t="inlineStr">
        <is>
          <t>ja</t>
        </is>
      </c>
      <c r="N144" t="inlineStr">
        <is>
          <t>ja</t>
        </is>
      </c>
      <c r="O144" t="inlineStr">
        <is>
          <t>Geen dieet</t>
        </is>
      </c>
      <c r="Q144">
        <f>LEN(G144)-LEN(SUBSTITUTE(G144,",",""))+1</f>
        <v/>
      </c>
      <c r="R144">
        <f>SWITCH(I144, "Zelden", 1, "Af en toe", 4, "Regelmatig", 8, "Vaak", 12)</f>
        <v/>
      </c>
      <c r="S144">
        <f>AVERAGE(--(K144="ja"), --(L144="ja"), --(M144="ja"), --(N144="ja"), --(O144="ja"))*10</f>
        <v/>
      </c>
      <c r="T144">
        <f>IF(S144&gt;=7, "Tevreden", "Ontevreden")</f>
        <v/>
      </c>
    </row>
    <row r="145">
      <c r="A145" t="inlineStr">
        <is>
          <t>Destiny</t>
        </is>
      </c>
      <c r="B145" t="inlineStr">
        <is>
          <t>Mertens</t>
        </is>
      </c>
      <c r="C145" t="inlineStr">
        <is>
          <t>718.64842-73</t>
        </is>
      </c>
      <c r="D145" t="inlineStr">
        <is>
          <t>29/05/1994</t>
        </is>
      </c>
      <c r="E145" t="inlineStr">
        <is>
          <t>St.- Arnoustraat 32, 3500 Hasselt</t>
        </is>
      </c>
      <c r="F145" t="inlineStr">
        <is>
          <t>Destiny,Sahar</t>
        </is>
      </c>
      <c r="G145" t="n">
        <v>88.11</v>
      </c>
      <c r="H145" t="n">
        <v>2</v>
      </c>
      <c r="I145" t="inlineStr">
        <is>
          <t>Payconiq</t>
        </is>
      </c>
      <c r="J145" t="inlineStr">
        <is>
          <t>ja</t>
        </is>
      </c>
      <c r="K145" t="inlineStr">
        <is>
          <t>ja</t>
        </is>
      </c>
      <c r="L145" t="inlineStr">
        <is>
          <t>nee</t>
        </is>
      </c>
      <c r="M145" t="inlineStr">
        <is>
          <t>nee</t>
        </is>
      </c>
      <c r="N145" t="inlineStr">
        <is>
          <t>ja</t>
        </is>
      </c>
      <c r="O145" t="inlineStr">
        <is>
          <t>Geen dieet</t>
        </is>
      </c>
      <c r="Q145">
        <f>LEN(G145)-LEN(SUBSTITUTE(G145,",",""))+1</f>
        <v/>
      </c>
      <c r="R145">
        <f>SWITCH(I145, "Zelden", 1, "Af en toe", 4, "Regelmatig", 8, "Vaak", 12)</f>
        <v/>
      </c>
      <c r="S145">
        <f>AVERAGE(--(K145="ja"), --(L145="ja"), --(M145="ja"), --(N145="ja"), --(O145="ja"))*10</f>
        <v/>
      </c>
      <c r="T145">
        <f>IF(S145&gt;=7, "Tevreden", "Ontevreden")</f>
        <v/>
      </c>
    </row>
    <row r="146">
      <c r="A146" t="inlineStr">
        <is>
          <t>Michaël</t>
        </is>
      </c>
      <c r="B146" t="inlineStr">
        <is>
          <t>Claessens</t>
        </is>
      </c>
      <c r="C146" t="inlineStr">
        <is>
          <t>398.33445-63</t>
        </is>
      </c>
      <c r="D146" t="inlineStr">
        <is>
          <t>16/07/1951</t>
        </is>
      </c>
      <c r="E146" t="inlineStr">
        <is>
          <t>Winkelwarande 23, 3850 Nieuwerkerken</t>
        </is>
      </c>
      <c r="F146" t="inlineStr">
        <is>
          <t>Michaël,Philippe,Jean-Marie</t>
        </is>
      </c>
      <c r="G146" t="n">
        <v>115.22</v>
      </c>
      <c r="H146" t="n">
        <v>7</v>
      </c>
      <c r="I146" t="inlineStr">
        <is>
          <t>Bancontact</t>
        </is>
      </c>
      <c r="J146" t="inlineStr">
        <is>
          <t>ja</t>
        </is>
      </c>
      <c r="K146" t="inlineStr">
        <is>
          <t>nee</t>
        </is>
      </c>
      <c r="L146" t="inlineStr">
        <is>
          <t>ja</t>
        </is>
      </c>
      <c r="M146" t="inlineStr">
        <is>
          <t>ja</t>
        </is>
      </c>
      <c r="N146" t="inlineStr">
        <is>
          <t>ja</t>
        </is>
      </c>
      <c r="O146" t="inlineStr">
        <is>
          <t>Geen dieet</t>
        </is>
      </c>
      <c r="Q146">
        <f>LEN(G146)-LEN(SUBSTITUTE(G146,",",""))+1</f>
        <v/>
      </c>
      <c r="R146">
        <f>SWITCH(I146, "Zelden", 1, "Af en toe", 4, "Regelmatig", 8, "Vaak", 12)</f>
        <v/>
      </c>
      <c r="S146">
        <f>AVERAGE(--(K146="ja"), --(L146="ja"), --(M146="ja"), --(N146="ja"), --(O146="ja"))*10</f>
        <v/>
      </c>
      <c r="T146">
        <f>IF(S146&gt;=7, "Tevreden", "Ontevreden")</f>
        <v/>
      </c>
    </row>
    <row r="147">
      <c r="A147" t="inlineStr">
        <is>
          <t>Carlos</t>
        </is>
      </c>
      <c r="B147" t="inlineStr">
        <is>
          <t>Janssens</t>
        </is>
      </c>
      <c r="C147" t="inlineStr">
        <is>
          <t>707.63457-45</t>
        </is>
      </c>
      <c r="D147" t="inlineStr">
        <is>
          <t>05/02/1992</t>
        </is>
      </c>
      <c r="E147" t="inlineStr">
        <is>
          <t>Tijdelijk Postbus 4, 3500 Hasselt</t>
        </is>
      </c>
      <c r="F147" t="inlineStr">
        <is>
          <t>Carlos,Josette,Romain</t>
        </is>
      </c>
      <c r="G147" t="n">
        <v>39.77</v>
      </c>
      <c r="H147" t="n">
        <v>3</v>
      </c>
      <c r="I147" t="inlineStr">
        <is>
          <t>Bancontact</t>
        </is>
      </c>
      <c r="J147" t="inlineStr">
        <is>
          <t>ja</t>
        </is>
      </c>
      <c r="K147" t="inlineStr">
        <is>
          <t>ja</t>
        </is>
      </c>
      <c r="L147" t="inlineStr">
        <is>
          <t>ja</t>
        </is>
      </c>
      <c r="M147" t="inlineStr">
        <is>
          <t>ja</t>
        </is>
      </c>
      <c r="N147" t="inlineStr">
        <is>
          <t>ja</t>
        </is>
      </c>
      <c r="O147" t="inlineStr">
        <is>
          <t>Geen dieet</t>
        </is>
      </c>
      <c r="Q147">
        <f>LEN(G147)-LEN(SUBSTITUTE(G147,",",""))+1</f>
        <v/>
      </c>
      <c r="R147">
        <f>SWITCH(I147, "Zelden", 1, "Af en toe", 4, "Regelmatig", 8, "Vaak", 12)</f>
        <v/>
      </c>
      <c r="S147">
        <f>AVERAGE(--(K147="ja"), --(L147="ja"), --(M147="ja"), --(N147="ja"), --(O147="ja"))*10</f>
        <v/>
      </c>
      <c r="T147">
        <f>IF(S147&gt;=7, "Tevreden", "Ontevreden")</f>
        <v/>
      </c>
    </row>
    <row r="148">
      <c r="A148" t="inlineStr">
        <is>
          <t>Romain</t>
        </is>
      </c>
      <c r="B148" t="inlineStr">
        <is>
          <t>Lejeune</t>
        </is>
      </c>
      <c r="C148" t="inlineStr">
        <is>
          <t>963.47402-17</t>
        </is>
      </c>
      <c r="D148" t="inlineStr">
        <is>
          <t>25/01/1985</t>
        </is>
      </c>
      <c r="E148" t="inlineStr">
        <is>
          <t>Ganzendries 40, 3831 Herten</t>
        </is>
      </c>
      <c r="F148" t="inlineStr">
        <is>
          <t>Romain,Raphaël,Mélissa,Paul</t>
        </is>
      </c>
      <c r="G148" t="n">
        <v>99.91</v>
      </c>
      <c r="H148" t="n">
        <v>5</v>
      </c>
      <c r="I148" t="inlineStr">
        <is>
          <t>Bancontact</t>
        </is>
      </c>
      <c r="J148" t="inlineStr">
        <is>
          <t>nee</t>
        </is>
      </c>
      <c r="K148" t="inlineStr">
        <is>
          <t>nee</t>
        </is>
      </c>
      <c r="L148" t="inlineStr">
        <is>
          <t>ja</t>
        </is>
      </c>
      <c r="M148" t="inlineStr">
        <is>
          <t>ja</t>
        </is>
      </c>
      <c r="N148" t="inlineStr">
        <is>
          <t>ja</t>
        </is>
      </c>
      <c r="O148" t="inlineStr">
        <is>
          <t>Geen dieet</t>
        </is>
      </c>
      <c r="Q148">
        <f>LEN(G148)-LEN(SUBSTITUTE(G148,",",""))+1</f>
        <v/>
      </c>
      <c r="R148">
        <f>SWITCH(I148, "Zelden", 1, "Af en toe", 4, "Regelmatig", 8, "Vaak", 12)</f>
        <v/>
      </c>
      <c r="S148">
        <f>AVERAGE(--(K148="ja"), --(L148="ja"), --(M148="ja"), --(N148="ja"), --(O148="ja"))*10</f>
        <v/>
      </c>
      <c r="T148">
        <f>IF(S148&gt;=7, "Tevreden", "Ontevreden")</f>
        <v/>
      </c>
    </row>
    <row r="149">
      <c r="A149" t="inlineStr">
        <is>
          <t>Anamaria</t>
        </is>
      </c>
      <c r="B149" t="inlineStr">
        <is>
          <t>Boulanger</t>
        </is>
      </c>
      <c r="C149" t="inlineStr">
        <is>
          <t>579.69352-38</t>
        </is>
      </c>
      <c r="D149" t="inlineStr">
        <is>
          <t>06/09/1958</t>
        </is>
      </c>
      <c r="E149" t="inlineStr">
        <is>
          <t>Korte Kruisstraat 35, 3920 Lommel</t>
        </is>
      </c>
      <c r="F149" t="inlineStr">
        <is>
          <t>Anamaria,Monique,Mamadou</t>
        </is>
      </c>
      <c r="G149" t="n">
        <v>143.52</v>
      </c>
      <c r="H149" t="n">
        <v>18</v>
      </c>
      <c r="I149" t="inlineStr">
        <is>
          <t>Payconiq</t>
        </is>
      </c>
      <c r="J149" t="inlineStr">
        <is>
          <t>nee</t>
        </is>
      </c>
      <c r="K149" t="inlineStr">
        <is>
          <t>ja</t>
        </is>
      </c>
      <c r="L149" t="inlineStr">
        <is>
          <t>ja</t>
        </is>
      </c>
      <c r="M149" t="inlineStr">
        <is>
          <t>ja</t>
        </is>
      </c>
      <c r="N149" t="inlineStr">
        <is>
          <t>ja</t>
        </is>
      </c>
      <c r="O149" t="inlineStr">
        <is>
          <t>Geen dieet</t>
        </is>
      </c>
      <c r="Q149">
        <f>LEN(G149)-LEN(SUBSTITUTE(G149,",",""))+1</f>
        <v/>
      </c>
      <c r="R149">
        <f>SWITCH(I149, "Zelden", 1, "Af en toe", 4, "Regelmatig", 8, "Vaak", 12)</f>
        <v/>
      </c>
      <c r="S149">
        <f>AVERAGE(--(K149="ja"), --(L149="ja"), --(M149="ja"), --(N149="ja"), --(O149="ja"))*10</f>
        <v/>
      </c>
      <c r="T149">
        <f>IF(S149&gt;=7, "Tevreden", "Ontevreden")</f>
        <v/>
      </c>
    </row>
    <row r="150">
      <c r="A150" t="inlineStr">
        <is>
          <t>Simon</t>
        </is>
      </c>
      <c r="B150" t="inlineStr">
        <is>
          <t>Mertens</t>
        </is>
      </c>
      <c r="C150" t="inlineStr">
        <is>
          <t>164.50200-27</t>
        </is>
      </c>
      <c r="D150" t="inlineStr">
        <is>
          <t>09/10/2005</t>
        </is>
      </c>
      <c r="E150" t="inlineStr">
        <is>
          <t>Pijlstraat 1, 3600 Genk</t>
        </is>
      </c>
      <c r="F150" t="inlineStr">
        <is>
          <t>Simon</t>
        </is>
      </c>
      <c r="G150" t="n">
        <v>77.09999999999999</v>
      </c>
      <c r="H150" t="n">
        <v>5</v>
      </c>
      <c r="I150" t="inlineStr">
        <is>
          <t>Bancontact</t>
        </is>
      </c>
      <c r="J150" t="inlineStr">
        <is>
          <t>ja</t>
        </is>
      </c>
      <c r="K150" t="inlineStr">
        <is>
          <t>nee</t>
        </is>
      </c>
      <c r="L150" t="inlineStr">
        <is>
          <t>ja</t>
        </is>
      </c>
      <c r="M150" t="inlineStr">
        <is>
          <t>ja</t>
        </is>
      </c>
      <c r="N150" t="inlineStr">
        <is>
          <t>ja</t>
        </is>
      </c>
      <c r="O150" t="inlineStr">
        <is>
          <t>Geen dieet</t>
        </is>
      </c>
      <c r="Q150">
        <f>LEN(G150)-LEN(SUBSTITUTE(G150,",",""))+1</f>
        <v/>
      </c>
      <c r="R150">
        <f>SWITCH(I150, "Zelden", 1, "Af en toe", 4, "Regelmatig", 8, "Vaak", 12)</f>
        <v/>
      </c>
      <c r="S150">
        <f>AVERAGE(--(K150="ja"), --(L150="ja"), --(M150="ja"), --(N150="ja"), --(O150="ja"))*10</f>
        <v/>
      </c>
      <c r="T150">
        <f>IF(S150&gt;=7, "Tevreden", "Ontevreden")</f>
        <v/>
      </c>
    </row>
    <row r="151">
      <c r="A151" t="inlineStr">
        <is>
          <t>Willy</t>
        </is>
      </c>
      <c r="B151" t="inlineStr">
        <is>
          <t>Charlier</t>
        </is>
      </c>
      <c r="C151" t="inlineStr">
        <is>
          <t>296.10109-35</t>
        </is>
      </c>
      <c r="D151" t="inlineStr">
        <is>
          <t>31/08/1969</t>
        </is>
      </c>
      <c r="E151" t="inlineStr">
        <is>
          <t>Koningin Fabiolalaan 51, 3980 Tessenderlo</t>
        </is>
      </c>
      <c r="F151" t="inlineStr">
        <is>
          <t>Willy,Alain</t>
        </is>
      </c>
      <c r="G151" t="n">
        <v>58.31</v>
      </c>
      <c r="H151" t="n">
        <v>12</v>
      </c>
      <c r="I151" t="inlineStr">
        <is>
          <t>Payconiq</t>
        </is>
      </c>
      <c r="J151" t="inlineStr">
        <is>
          <t>nee</t>
        </is>
      </c>
      <c r="K151" t="inlineStr">
        <is>
          <t>ja</t>
        </is>
      </c>
      <c r="L151" t="inlineStr">
        <is>
          <t>nee</t>
        </is>
      </c>
      <c r="M151" t="inlineStr">
        <is>
          <t>ja</t>
        </is>
      </c>
      <c r="N151" t="inlineStr">
        <is>
          <t>ja</t>
        </is>
      </c>
      <c r="O151" t="inlineStr">
        <is>
          <t>Vegetarisch</t>
        </is>
      </c>
      <c r="Q151">
        <f>LEN(G151)-LEN(SUBSTITUTE(G151,",",""))+1</f>
        <v/>
      </c>
      <c r="R151">
        <f>SWITCH(I151, "Zelden", 1, "Af en toe", 4, "Regelmatig", 8, "Vaak", 12)</f>
        <v/>
      </c>
      <c r="S151">
        <f>AVERAGE(--(K151="ja"), --(L151="ja"), --(M151="ja"), --(N151="ja"), --(O151="ja"))*10</f>
        <v/>
      </c>
      <c r="T151">
        <f>IF(S151&gt;=7, "Tevreden", "Ontevreden")</f>
        <v/>
      </c>
    </row>
    <row r="152">
      <c r="A152" t="inlineStr">
        <is>
          <t>Anthony</t>
        </is>
      </c>
      <c r="B152" t="inlineStr">
        <is>
          <t>De decker</t>
        </is>
      </c>
      <c r="C152" t="inlineStr">
        <is>
          <t>293.62257-51</t>
        </is>
      </c>
      <c r="D152" t="inlineStr">
        <is>
          <t>13/11/1946</t>
        </is>
      </c>
      <c r="E152" t="inlineStr">
        <is>
          <t>Sagastraat 18, 3870 Heers</t>
        </is>
      </c>
      <c r="F152" t="inlineStr">
        <is>
          <t>Anthony,Christian,Luc,Katia</t>
        </is>
      </c>
      <c r="G152" t="n">
        <v>157.82</v>
      </c>
      <c r="H152" t="n">
        <v>8</v>
      </c>
      <c r="I152" t="inlineStr">
        <is>
          <t>Bancontact</t>
        </is>
      </c>
      <c r="J152" t="inlineStr">
        <is>
          <t>nee</t>
        </is>
      </c>
      <c r="K152" t="inlineStr">
        <is>
          <t>ja</t>
        </is>
      </c>
      <c r="L152" t="inlineStr">
        <is>
          <t>ja</t>
        </is>
      </c>
      <c r="M152" t="inlineStr">
        <is>
          <t>ja</t>
        </is>
      </c>
      <c r="N152" t="inlineStr">
        <is>
          <t>ja</t>
        </is>
      </c>
      <c r="O152" t="inlineStr">
        <is>
          <t>Geen dieet</t>
        </is>
      </c>
      <c r="Q152">
        <f>LEN(G152)-LEN(SUBSTITUTE(G152,",",""))+1</f>
        <v/>
      </c>
      <c r="R152">
        <f>SWITCH(I152, "Zelden", 1, "Af en toe", 4, "Regelmatig", 8, "Vaak", 12)</f>
        <v/>
      </c>
      <c r="S152">
        <f>AVERAGE(--(K152="ja"), --(L152="ja"), --(M152="ja"), --(N152="ja"), --(O152="ja"))*10</f>
        <v/>
      </c>
      <c r="T152">
        <f>IF(S152&gt;=7, "Tevreden", "Ontevreden")</f>
        <v/>
      </c>
    </row>
    <row r="153">
      <c r="A153" t="inlineStr">
        <is>
          <t>Anita</t>
        </is>
      </c>
      <c r="B153" t="inlineStr">
        <is>
          <t>Mathieu</t>
        </is>
      </c>
      <c r="C153" t="inlineStr">
        <is>
          <t>512.70819-24</t>
        </is>
      </c>
      <c r="D153" t="inlineStr">
        <is>
          <t>20/06/1978</t>
        </is>
      </c>
      <c r="E153" t="inlineStr">
        <is>
          <t>Keizervest 73, 3970 Leopoldsburg</t>
        </is>
      </c>
      <c r="F153" t="inlineStr">
        <is>
          <t>Anita</t>
        </is>
      </c>
      <c r="G153" t="n">
        <v>20.94</v>
      </c>
      <c r="H153" t="n">
        <v>20</v>
      </c>
      <c r="I153" t="inlineStr">
        <is>
          <t>Cash</t>
        </is>
      </c>
      <c r="J153" t="inlineStr">
        <is>
          <t>nee</t>
        </is>
      </c>
      <c r="K153" t="inlineStr">
        <is>
          <t>nee</t>
        </is>
      </c>
      <c r="L153" t="inlineStr">
        <is>
          <t>nee</t>
        </is>
      </c>
      <c r="M153" t="inlineStr">
        <is>
          <t>ja</t>
        </is>
      </c>
      <c r="N153" t="inlineStr">
        <is>
          <t>ja</t>
        </is>
      </c>
      <c r="O153" t="inlineStr">
        <is>
          <t>Geen dieet</t>
        </is>
      </c>
      <c r="Q153">
        <f>LEN(G153)-LEN(SUBSTITUTE(G153,",",""))+1</f>
        <v/>
      </c>
      <c r="R153">
        <f>SWITCH(I153, "Zelden", 1, "Af en toe", 4, "Regelmatig", 8, "Vaak", 12)</f>
        <v/>
      </c>
      <c r="S153">
        <f>AVERAGE(--(K153="ja"), --(L153="ja"), --(M153="ja"), --(N153="ja"), --(O153="ja"))*10</f>
        <v/>
      </c>
      <c r="T153">
        <f>IF(S153&gt;=7, "Tevreden", "Ontevreden")</f>
        <v/>
      </c>
    </row>
    <row r="154">
      <c r="A154" t="inlineStr">
        <is>
          <t>Nadine</t>
        </is>
      </c>
      <c r="B154" t="inlineStr">
        <is>
          <t>Aerts</t>
        </is>
      </c>
      <c r="C154" t="inlineStr">
        <is>
          <t>431.49612-47</t>
        </is>
      </c>
      <c r="D154" t="inlineStr">
        <is>
          <t>31/10/1954</t>
        </is>
      </c>
      <c r="E154" t="inlineStr">
        <is>
          <t>Gouvernementstraat 24, 3910 Neerpelt</t>
        </is>
      </c>
      <c r="F154" t="inlineStr">
        <is>
          <t>Nadine,Sabrina,Casper</t>
        </is>
      </c>
      <c r="G154" t="n">
        <v>97.89</v>
      </c>
      <c r="H154" t="n">
        <v>14</v>
      </c>
      <c r="I154" t="inlineStr">
        <is>
          <t>Bancontact</t>
        </is>
      </c>
      <c r="J154" t="inlineStr">
        <is>
          <t>ja</t>
        </is>
      </c>
      <c r="K154" t="inlineStr">
        <is>
          <t>nee</t>
        </is>
      </c>
      <c r="L154" t="inlineStr">
        <is>
          <t>ja</t>
        </is>
      </c>
      <c r="M154" t="inlineStr">
        <is>
          <t>ja</t>
        </is>
      </c>
      <c r="N154" t="inlineStr">
        <is>
          <t>ja</t>
        </is>
      </c>
      <c r="O154" t="inlineStr">
        <is>
          <t>Geen dieet</t>
        </is>
      </c>
      <c r="Q154">
        <f>LEN(G154)-LEN(SUBSTITUTE(G154,",",""))+1</f>
        <v/>
      </c>
      <c r="R154">
        <f>SWITCH(I154, "Zelden", 1, "Af en toe", 4, "Regelmatig", 8, "Vaak", 12)</f>
        <v/>
      </c>
      <c r="S154">
        <f>AVERAGE(--(K154="ja"), --(L154="ja"), --(M154="ja"), --(N154="ja"), --(O154="ja"))*10</f>
        <v/>
      </c>
      <c r="T154">
        <f>IF(S154&gt;=7, "Tevreden", "Ontevreden")</f>
        <v/>
      </c>
    </row>
    <row r="155">
      <c r="A155" t="inlineStr">
        <is>
          <t>Arwen</t>
        </is>
      </c>
      <c r="B155" t="inlineStr">
        <is>
          <t>Leonard</t>
        </is>
      </c>
      <c r="C155" t="inlineStr">
        <is>
          <t>900.33940-77</t>
        </is>
      </c>
      <c r="D155" t="inlineStr">
        <is>
          <t>29/09/1971</t>
        </is>
      </c>
      <c r="E155" t="inlineStr">
        <is>
          <t>Fortlaan 42, 3891 Meilen</t>
        </is>
      </c>
      <c r="F155" t="inlineStr">
        <is>
          <t>Arwen,Steven</t>
        </is>
      </c>
      <c r="G155" t="n">
        <v>62.01</v>
      </c>
      <c r="H155" t="n">
        <v>4</v>
      </c>
      <c r="I155" t="inlineStr">
        <is>
          <t>Bancontact</t>
        </is>
      </c>
      <c r="J155" t="inlineStr">
        <is>
          <t>ja</t>
        </is>
      </c>
      <c r="K155" t="inlineStr">
        <is>
          <t>ja</t>
        </is>
      </c>
      <c r="L155" t="inlineStr">
        <is>
          <t>nee</t>
        </is>
      </c>
      <c r="M155" t="inlineStr">
        <is>
          <t>nee</t>
        </is>
      </c>
      <c r="N155" t="inlineStr">
        <is>
          <t>nee</t>
        </is>
      </c>
      <c r="O155" t="inlineStr">
        <is>
          <t>Geen dieet</t>
        </is>
      </c>
      <c r="Q155">
        <f>LEN(G155)-LEN(SUBSTITUTE(G155,",",""))+1</f>
        <v/>
      </c>
      <c r="R155">
        <f>SWITCH(I155, "Zelden", 1, "Af en toe", 4, "Regelmatig", 8, "Vaak", 12)</f>
        <v/>
      </c>
      <c r="S155">
        <f>AVERAGE(--(K155="ja"), --(L155="ja"), --(M155="ja"), --(N155="ja"), --(O155="ja"))*10</f>
        <v/>
      </c>
      <c r="T155">
        <f>IF(S155&gt;=7, "Tevreden", "Ontevreden")</f>
        <v/>
      </c>
    </row>
    <row r="156">
      <c r="A156" t="inlineStr">
        <is>
          <t>Noah</t>
        </is>
      </c>
      <c r="B156" t="inlineStr">
        <is>
          <t>Stevens</t>
        </is>
      </c>
      <c r="C156" t="inlineStr">
        <is>
          <t>956.70386-91</t>
        </is>
      </c>
      <c r="D156" t="inlineStr">
        <is>
          <t>08/09/1964</t>
        </is>
      </c>
      <c r="E156" t="inlineStr">
        <is>
          <t>Coupure Rechts 37, 3600 Genk</t>
        </is>
      </c>
      <c r="F156" t="inlineStr">
        <is>
          <t>Noah</t>
        </is>
      </c>
      <c r="G156" t="n">
        <v>84.01000000000001</v>
      </c>
      <c r="H156" t="n">
        <v>13</v>
      </c>
      <c r="I156" t="inlineStr">
        <is>
          <t>Bancontact</t>
        </is>
      </c>
      <c r="J156" t="inlineStr">
        <is>
          <t>ja</t>
        </is>
      </c>
      <c r="K156" t="inlineStr">
        <is>
          <t>ja</t>
        </is>
      </c>
      <c r="L156" t="inlineStr">
        <is>
          <t>ja</t>
        </is>
      </c>
      <c r="M156" t="inlineStr">
        <is>
          <t>ja</t>
        </is>
      </c>
      <c r="N156" t="inlineStr">
        <is>
          <t>nee</t>
        </is>
      </c>
      <c r="O156" t="inlineStr">
        <is>
          <t>Geen dieet</t>
        </is>
      </c>
      <c r="Q156">
        <f>LEN(G156)-LEN(SUBSTITUTE(G156,",",""))+1</f>
        <v/>
      </c>
      <c r="R156">
        <f>SWITCH(I156, "Zelden", 1, "Af en toe", 4, "Regelmatig", 8, "Vaak", 12)</f>
        <v/>
      </c>
      <c r="S156">
        <f>AVERAGE(--(K156="ja"), --(L156="ja"), --(M156="ja"), --(N156="ja"), --(O156="ja"))*10</f>
        <v/>
      </c>
      <c r="T156">
        <f>IF(S156&gt;=7, "Tevreden", "Ontevreden")</f>
        <v/>
      </c>
    </row>
    <row r="157">
      <c r="A157" t="inlineStr">
        <is>
          <t>Louis</t>
        </is>
      </c>
      <c r="B157" t="inlineStr">
        <is>
          <t>Schepers</t>
        </is>
      </c>
      <c r="C157" t="inlineStr">
        <is>
          <t>941.93272-85</t>
        </is>
      </c>
      <c r="D157" t="inlineStr">
        <is>
          <t>17/08/2000</t>
        </is>
      </c>
      <c r="E157" t="inlineStr">
        <is>
          <t>Driesstraat 11, 3550 Heusden-Zolder</t>
        </is>
      </c>
      <c r="F157" t="inlineStr">
        <is>
          <t>Louis,Geert,Boubacar</t>
        </is>
      </c>
      <c r="G157" t="n">
        <v>160.07</v>
      </c>
      <c r="H157" t="n">
        <v>13</v>
      </c>
      <c r="I157" t="inlineStr">
        <is>
          <t>Bancontact</t>
        </is>
      </c>
      <c r="J157" t="inlineStr">
        <is>
          <t>ja</t>
        </is>
      </c>
      <c r="K157" t="inlineStr">
        <is>
          <t>ja</t>
        </is>
      </c>
      <c r="L157" t="inlineStr">
        <is>
          <t>ja</t>
        </is>
      </c>
      <c r="M157" t="inlineStr">
        <is>
          <t>nee</t>
        </is>
      </c>
      <c r="N157" t="inlineStr">
        <is>
          <t>ja</t>
        </is>
      </c>
      <c r="O157" t="inlineStr">
        <is>
          <t>Geen dieet</t>
        </is>
      </c>
      <c r="Q157">
        <f>LEN(G157)-LEN(SUBSTITUTE(G157,",",""))+1</f>
        <v/>
      </c>
      <c r="R157">
        <f>SWITCH(I157, "Zelden", 1, "Af en toe", 4, "Regelmatig", 8, "Vaak", 12)</f>
        <v/>
      </c>
      <c r="S157">
        <f>AVERAGE(--(K157="ja"), --(L157="ja"), --(M157="ja"), --(N157="ja"), --(O157="ja"))*10</f>
        <v/>
      </c>
      <c r="T157">
        <f>IF(S157&gt;=7, "Tevreden", "Ontevreden")</f>
        <v/>
      </c>
    </row>
    <row r="158">
      <c r="A158" t="inlineStr">
        <is>
          <t>Bertrand</t>
        </is>
      </c>
      <c r="B158" t="inlineStr">
        <is>
          <t>Mortier</t>
        </is>
      </c>
      <c r="C158" t="inlineStr">
        <is>
          <t>886.26715-47</t>
        </is>
      </c>
      <c r="D158" t="inlineStr">
        <is>
          <t>05/07/1971</t>
        </is>
      </c>
      <c r="E158" t="inlineStr">
        <is>
          <t>Desteldonkdorp 44, 3660 Opglabbeek</t>
        </is>
      </c>
      <c r="F158" t="inlineStr">
        <is>
          <t>Bertrand,Sacha,Bernadette,Jasmien,Nicole</t>
        </is>
      </c>
      <c r="G158" t="n">
        <v>217.63</v>
      </c>
      <c r="H158" t="n">
        <v>6</v>
      </c>
      <c r="I158" t="inlineStr">
        <is>
          <t>Bancontact</t>
        </is>
      </c>
      <c r="J158" t="inlineStr">
        <is>
          <t>ja</t>
        </is>
      </c>
      <c r="K158" t="inlineStr">
        <is>
          <t>nee</t>
        </is>
      </c>
      <c r="L158" t="inlineStr">
        <is>
          <t>nee</t>
        </is>
      </c>
      <c r="M158" t="inlineStr">
        <is>
          <t>ja</t>
        </is>
      </c>
      <c r="N158" t="inlineStr">
        <is>
          <t>ja</t>
        </is>
      </c>
      <c r="O158" t="inlineStr">
        <is>
          <t>Geen dieet</t>
        </is>
      </c>
      <c r="Q158">
        <f>LEN(G158)-LEN(SUBSTITUTE(G158,",",""))+1</f>
        <v/>
      </c>
      <c r="R158">
        <f>SWITCH(I158, "Zelden", 1, "Af en toe", 4, "Regelmatig", 8, "Vaak", 12)</f>
        <v/>
      </c>
      <c r="S158">
        <f>AVERAGE(--(K158="ja"), --(L158="ja"), --(M158="ja"), --(N158="ja"), --(O158="ja"))*10</f>
        <v/>
      </c>
      <c r="T158">
        <f>IF(S158&gt;=7, "Tevreden", "Ontevreden")</f>
        <v/>
      </c>
    </row>
    <row r="159">
      <c r="A159" t="inlineStr">
        <is>
          <t>Ineke</t>
        </is>
      </c>
      <c r="B159" t="inlineStr">
        <is>
          <t>Pauwels</t>
        </is>
      </c>
      <c r="C159" t="inlineStr">
        <is>
          <t>307.73309-59</t>
        </is>
      </c>
      <c r="D159" t="inlineStr">
        <is>
          <t>14/05/1988</t>
        </is>
      </c>
      <c r="E159" t="inlineStr">
        <is>
          <t>Wiedauwkaai 29, 3910 Neerpelt</t>
        </is>
      </c>
      <c r="F159" t="inlineStr">
        <is>
          <t>Ineke,Maria,David,Marc,Samia</t>
        </is>
      </c>
      <c r="G159" t="n">
        <v>150.66</v>
      </c>
      <c r="H159" t="n">
        <v>6</v>
      </c>
      <c r="I159" t="inlineStr">
        <is>
          <t>Bancontact</t>
        </is>
      </c>
      <c r="J159" t="inlineStr">
        <is>
          <t>ja</t>
        </is>
      </c>
      <c r="K159" t="inlineStr">
        <is>
          <t>ja</t>
        </is>
      </c>
      <c r="L159" t="inlineStr">
        <is>
          <t>nee</t>
        </is>
      </c>
      <c r="M159" t="inlineStr">
        <is>
          <t>ja</t>
        </is>
      </c>
      <c r="N159" t="inlineStr">
        <is>
          <t>ja</t>
        </is>
      </c>
      <c r="O159" t="inlineStr">
        <is>
          <t>Geen dieet</t>
        </is>
      </c>
      <c r="Q159">
        <f>LEN(G159)-LEN(SUBSTITUTE(G159,",",""))+1</f>
        <v/>
      </c>
      <c r="R159">
        <f>SWITCH(I159, "Zelden", 1, "Af en toe", 4, "Regelmatig", 8, "Vaak", 12)</f>
        <v/>
      </c>
      <c r="S159">
        <f>AVERAGE(--(K159="ja"), --(L159="ja"), --(M159="ja"), --(N159="ja"), --(O159="ja"))*10</f>
        <v/>
      </c>
      <c r="T159">
        <f>IF(S159&gt;=7, "Tevreden", "Ontevreden")</f>
        <v/>
      </c>
    </row>
    <row r="160">
      <c r="A160" t="inlineStr">
        <is>
          <t>Mariette</t>
        </is>
      </c>
      <c r="B160" t="inlineStr">
        <is>
          <t>Dufour</t>
        </is>
      </c>
      <c r="C160" t="inlineStr">
        <is>
          <t>386.29725-90</t>
        </is>
      </c>
      <c r="D160" t="inlineStr">
        <is>
          <t>26/09/1976</t>
        </is>
      </c>
      <c r="E160" t="inlineStr">
        <is>
          <t>Ledebergstraat 61, 3770 Oud-Vroenhoven</t>
        </is>
      </c>
      <c r="F160" t="inlineStr">
        <is>
          <t>Mariette,Alexandra,Tristan,Dirk</t>
        </is>
      </c>
      <c r="G160" t="n">
        <v>69.81999999999999</v>
      </c>
      <c r="H160" t="n">
        <v>16</v>
      </c>
      <c r="I160" t="inlineStr">
        <is>
          <t>Bancontact</t>
        </is>
      </c>
      <c r="J160" t="inlineStr">
        <is>
          <t>nee</t>
        </is>
      </c>
      <c r="K160" t="inlineStr">
        <is>
          <t>ja</t>
        </is>
      </c>
      <c r="L160" t="inlineStr">
        <is>
          <t>nee</t>
        </is>
      </c>
      <c r="M160" t="inlineStr">
        <is>
          <t>ja</t>
        </is>
      </c>
      <c r="N160" t="inlineStr">
        <is>
          <t>ja</t>
        </is>
      </c>
      <c r="O160" t="inlineStr">
        <is>
          <t>Geen dieet</t>
        </is>
      </c>
      <c r="Q160">
        <f>LEN(G160)-LEN(SUBSTITUTE(G160,",",""))+1</f>
        <v/>
      </c>
      <c r="R160">
        <f>SWITCH(I160, "Zelden", 1, "Af en toe", 4, "Regelmatig", 8, "Vaak", 12)</f>
        <v/>
      </c>
      <c r="S160">
        <f>AVERAGE(--(K160="ja"), --(L160="ja"), --(M160="ja"), --(N160="ja"), --(O160="ja"))*10</f>
        <v/>
      </c>
      <c r="T160">
        <f>IF(S160&gt;=7, "Tevreden", "Ontevreden")</f>
        <v/>
      </c>
    </row>
    <row r="161">
      <c r="A161" t="inlineStr">
        <is>
          <t>Mario</t>
        </is>
      </c>
      <c r="B161" t="inlineStr">
        <is>
          <t>Goffin</t>
        </is>
      </c>
      <c r="C161" t="inlineStr">
        <is>
          <t>947.79704-94</t>
        </is>
      </c>
      <c r="D161" t="inlineStr">
        <is>
          <t>17/04/1985</t>
        </is>
      </c>
      <c r="E161" t="inlineStr">
        <is>
          <t>Frederik Burvenichstraat 39, 3910 Neerpelt</t>
        </is>
      </c>
      <c r="F161" t="inlineStr">
        <is>
          <t>Mario,Jennifer,Rosa,Robie</t>
        </is>
      </c>
      <c r="G161" t="n">
        <v>47.02</v>
      </c>
      <c r="H161" t="n">
        <v>17</v>
      </c>
      <c r="I161" t="inlineStr">
        <is>
          <t>Creditcard</t>
        </is>
      </c>
      <c r="J161" t="inlineStr">
        <is>
          <t>ja</t>
        </is>
      </c>
      <c r="K161" t="inlineStr">
        <is>
          <t>ja</t>
        </is>
      </c>
      <c r="L161" t="inlineStr">
        <is>
          <t>ja</t>
        </is>
      </c>
      <c r="M161" t="inlineStr">
        <is>
          <t>ja</t>
        </is>
      </c>
      <c r="N161" t="inlineStr">
        <is>
          <t>ja</t>
        </is>
      </c>
      <c r="O161" t="inlineStr">
        <is>
          <t>Vegetarisch</t>
        </is>
      </c>
      <c r="Q161">
        <f>LEN(G161)-LEN(SUBSTITUTE(G161,",",""))+1</f>
        <v/>
      </c>
      <c r="R161">
        <f>SWITCH(I161, "Zelden", 1, "Af en toe", 4, "Regelmatig", 8, "Vaak", 12)</f>
        <v/>
      </c>
      <c r="S161">
        <f>AVERAGE(--(K161="ja"), --(L161="ja"), --(M161="ja"), --(N161="ja"), --(O161="ja"))*10</f>
        <v/>
      </c>
      <c r="T161">
        <f>IF(S161&gt;=7, "Tevreden", "Ontevreden")</f>
        <v/>
      </c>
    </row>
    <row r="162">
      <c r="A162" t="inlineStr">
        <is>
          <t>Benedict</t>
        </is>
      </c>
      <c r="B162" t="inlineStr">
        <is>
          <t>Delhaye</t>
        </is>
      </c>
      <c r="C162" t="inlineStr">
        <is>
          <t>616.27260-89</t>
        </is>
      </c>
      <c r="D162" t="inlineStr">
        <is>
          <t>21/10/2005</t>
        </is>
      </c>
      <c r="E162" t="inlineStr">
        <is>
          <t>Zieklien 58, 3700 Tongeren</t>
        </is>
      </c>
      <c r="F162" t="inlineStr">
        <is>
          <t>Benedict,Emma,Natali,Quentin</t>
        </is>
      </c>
      <c r="G162" t="n">
        <v>222.53</v>
      </c>
      <c r="H162" t="n">
        <v>8</v>
      </c>
      <c r="I162" t="inlineStr">
        <is>
          <t>Payconiq</t>
        </is>
      </c>
      <c r="J162" t="inlineStr">
        <is>
          <t>ja</t>
        </is>
      </c>
      <c r="K162" t="inlineStr">
        <is>
          <t>ja</t>
        </is>
      </c>
      <c r="L162" t="inlineStr">
        <is>
          <t>nee</t>
        </is>
      </c>
      <c r="M162" t="inlineStr">
        <is>
          <t>ja</t>
        </is>
      </c>
      <c r="N162" t="inlineStr">
        <is>
          <t>ja</t>
        </is>
      </c>
      <c r="O162" t="inlineStr">
        <is>
          <t>Geen dieet</t>
        </is>
      </c>
      <c r="Q162">
        <f>LEN(G162)-LEN(SUBSTITUTE(G162,",",""))+1</f>
        <v/>
      </c>
      <c r="R162">
        <f>SWITCH(I162, "Zelden", 1, "Af en toe", 4, "Regelmatig", 8, "Vaak", 12)</f>
        <v/>
      </c>
      <c r="S162">
        <f>AVERAGE(--(K162="ja"), --(L162="ja"), --(M162="ja"), --(N162="ja"), --(O162="ja"))*10</f>
        <v/>
      </c>
      <c r="T162">
        <f>IF(S162&gt;=7, "Tevreden", "Ontevreden")</f>
        <v/>
      </c>
    </row>
    <row r="163">
      <c r="A163" t="inlineStr">
        <is>
          <t>Salima</t>
        </is>
      </c>
      <c r="B163" t="inlineStr">
        <is>
          <t>Ooms</t>
        </is>
      </c>
      <c r="C163" t="inlineStr">
        <is>
          <t>936.42094-37</t>
        </is>
      </c>
      <c r="D163" t="inlineStr">
        <is>
          <t>29/08/1953</t>
        </is>
      </c>
      <c r="E163" t="inlineStr">
        <is>
          <t>Jozef Kluyskensstraat 14, 3910 Neerpelt</t>
        </is>
      </c>
      <c r="F163" t="inlineStr">
        <is>
          <t>Salima,Inès</t>
        </is>
      </c>
      <c r="G163" t="n">
        <v>65.91</v>
      </c>
      <c r="H163" t="n">
        <v>1</v>
      </c>
      <c r="I163" t="inlineStr">
        <is>
          <t>Creditcard</t>
        </is>
      </c>
      <c r="J163" t="inlineStr">
        <is>
          <t>ja</t>
        </is>
      </c>
      <c r="K163" t="inlineStr">
        <is>
          <t>nee</t>
        </is>
      </c>
      <c r="L163" t="inlineStr">
        <is>
          <t>nee</t>
        </is>
      </c>
      <c r="M163" t="inlineStr">
        <is>
          <t>nee</t>
        </is>
      </c>
      <c r="N163" t="inlineStr">
        <is>
          <t>ja</t>
        </is>
      </c>
      <c r="O163" t="inlineStr">
        <is>
          <t>Geen dieet</t>
        </is>
      </c>
      <c r="Q163">
        <f>LEN(G163)-LEN(SUBSTITUTE(G163,",",""))+1</f>
        <v/>
      </c>
      <c r="R163">
        <f>SWITCH(I163, "Zelden", 1, "Af en toe", 4, "Regelmatig", 8, "Vaak", 12)</f>
        <v/>
      </c>
      <c r="S163">
        <f>AVERAGE(--(K163="ja"), --(L163="ja"), --(M163="ja"), --(N163="ja"), --(O163="ja"))*10</f>
        <v/>
      </c>
      <c r="T163">
        <f>IF(S163&gt;=7, "Tevreden", "Ontevreden")</f>
        <v/>
      </c>
    </row>
    <row r="164">
      <c r="A164" t="inlineStr">
        <is>
          <t>Silvia</t>
        </is>
      </c>
      <c r="B164" t="inlineStr">
        <is>
          <t>De waele</t>
        </is>
      </c>
      <c r="C164" t="inlineStr">
        <is>
          <t>91.43153-46</t>
        </is>
      </c>
      <c r="D164" t="inlineStr">
        <is>
          <t>05/09/1995</t>
        </is>
      </c>
      <c r="E164" t="inlineStr">
        <is>
          <t>Loskaai 1, 3831 Herten</t>
        </is>
      </c>
      <c r="F164" t="inlineStr">
        <is>
          <t>Silvia,Etleva,Assia,Stephane,Jolan</t>
        </is>
      </c>
      <c r="G164" t="n">
        <v>91.12</v>
      </c>
      <c r="H164" t="n">
        <v>3</v>
      </c>
      <c r="I164" t="inlineStr">
        <is>
          <t>Payconiq</t>
        </is>
      </c>
      <c r="J164" t="inlineStr">
        <is>
          <t>ja</t>
        </is>
      </c>
      <c r="K164" t="inlineStr">
        <is>
          <t>ja</t>
        </is>
      </c>
      <c r="L164" t="inlineStr">
        <is>
          <t>nee</t>
        </is>
      </c>
      <c r="M164" t="inlineStr">
        <is>
          <t>nee</t>
        </is>
      </c>
      <c r="N164" t="inlineStr">
        <is>
          <t>ja</t>
        </is>
      </c>
      <c r="O164" t="inlineStr">
        <is>
          <t>Geen dieet</t>
        </is>
      </c>
      <c r="Q164">
        <f>LEN(G164)-LEN(SUBSTITUTE(G164,",",""))+1</f>
        <v/>
      </c>
      <c r="R164">
        <f>SWITCH(I164, "Zelden", 1, "Af en toe", 4, "Regelmatig", 8, "Vaak", 12)</f>
        <v/>
      </c>
      <c r="S164">
        <f>AVERAGE(--(K164="ja"), --(L164="ja"), --(M164="ja"), --(N164="ja"), --(O164="ja"))*10</f>
        <v/>
      </c>
      <c r="T164">
        <f>IF(S164&gt;=7, "Tevreden", "Ontevreden")</f>
        <v/>
      </c>
    </row>
    <row r="165">
      <c r="A165" t="inlineStr">
        <is>
          <t>Ilie</t>
        </is>
      </c>
      <c r="B165" t="inlineStr">
        <is>
          <t>Smets</t>
        </is>
      </c>
      <c r="C165" t="inlineStr">
        <is>
          <t>485.33279-69</t>
        </is>
      </c>
      <c r="D165" t="inlineStr">
        <is>
          <t>10/04/1982</t>
        </is>
      </c>
      <c r="E165" t="inlineStr">
        <is>
          <t>Sint Pietersaalstraat 1, 3545 Halen</t>
        </is>
      </c>
      <c r="F165" t="inlineStr">
        <is>
          <t>Ilie,Mariya,Etienne</t>
        </is>
      </c>
      <c r="G165" t="n">
        <v>145.3</v>
      </c>
      <c r="H165" t="n">
        <v>3</v>
      </c>
      <c r="I165" t="inlineStr">
        <is>
          <t>Payconiq</t>
        </is>
      </c>
      <c r="J165" t="inlineStr">
        <is>
          <t>ja</t>
        </is>
      </c>
      <c r="K165" t="inlineStr">
        <is>
          <t>ja</t>
        </is>
      </c>
      <c r="L165" t="inlineStr">
        <is>
          <t>ja</t>
        </is>
      </c>
      <c r="M165" t="inlineStr">
        <is>
          <t>ja</t>
        </is>
      </c>
      <c r="N165" t="inlineStr">
        <is>
          <t>ja</t>
        </is>
      </c>
      <c r="O165" t="inlineStr">
        <is>
          <t>Veganistisch</t>
        </is>
      </c>
      <c r="Q165">
        <f>LEN(G165)-LEN(SUBSTITUTE(G165,",",""))+1</f>
        <v/>
      </c>
      <c r="R165">
        <f>SWITCH(I165, "Zelden", 1, "Af en toe", 4, "Regelmatig", 8, "Vaak", 12)</f>
        <v/>
      </c>
      <c r="S165">
        <f>AVERAGE(--(K165="ja"), --(L165="ja"), --(M165="ja"), --(N165="ja"), --(O165="ja"))*10</f>
        <v/>
      </c>
      <c r="T165">
        <f>IF(S165&gt;=7, "Tevreden", "Ontevreden")</f>
        <v/>
      </c>
    </row>
    <row r="166">
      <c r="A166" t="inlineStr">
        <is>
          <t>Sophie</t>
        </is>
      </c>
      <c r="B166" t="inlineStr">
        <is>
          <t>Verhelst</t>
        </is>
      </c>
      <c r="C166" t="inlineStr">
        <is>
          <t>947.59443-14</t>
        </is>
      </c>
      <c r="D166" t="inlineStr">
        <is>
          <t>13/11/1957</t>
        </is>
      </c>
      <c r="E166" t="inlineStr">
        <is>
          <t>Jef Crickstraat 38, 3670 Meeuwen-Gruitrode</t>
        </is>
      </c>
      <c r="F166" t="inlineStr">
        <is>
          <t>Sophie,Vasile,Muhammet</t>
        </is>
      </c>
      <c r="G166" t="n">
        <v>217.79</v>
      </c>
      <c r="H166" t="n">
        <v>24</v>
      </c>
      <c r="I166" t="inlineStr">
        <is>
          <t>Bancontact</t>
        </is>
      </c>
      <c r="J166" t="inlineStr">
        <is>
          <t>ja</t>
        </is>
      </c>
      <c r="K166" t="inlineStr">
        <is>
          <t>nee</t>
        </is>
      </c>
      <c r="L166" t="inlineStr">
        <is>
          <t>ja</t>
        </is>
      </c>
      <c r="M166" t="inlineStr">
        <is>
          <t>nee</t>
        </is>
      </c>
      <c r="N166" t="inlineStr">
        <is>
          <t>nee</t>
        </is>
      </c>
      <c r="O166" t="inlineStr">
        <is>
          <t>Geen dieet</t>
        </is>
      </c>
      <c r="Q166">
        <f>LEN(G166)-LEN(SUBSTITUTE(G166,",",""))+1</f>
        <v/>
      </c>
      <c r="R166">
        <f>SWITCH(I166, "Zelden", 1, "Af en toe", 4, "Regelmatig", 8, "Vaak", 12)</f>
        <v/>
      </c>
      <c r="S166">
        <f>AVERAGE(--(K166="ja"), --(L166="ja"), --(M166="ja"), --(N166="ja"), --(O166="ja"))*10</f>
        <v/>
      </c>
      <c r="T166">
        <f>IF(S166&gt;=7, "Tevreden", "Ontevreden")</f>
        <v/>
      </c>
    </row>
    <row r="167">
      <c r="A167" t="inlineStr">
        <is>
          <t>Christiane</t>
        </is>
      </c>
      <c r="B167" t="inlineStr">
        <is>
          <t>Thomas</t>
        </is>
      </c>
      <c r="C167" t="inlineStr">
        <is>
          <t>288.91677-68</t>
        </is>
      </c>
      <c r="D167" t="inlineStr">
        <is>
          <t>28/12/1975</t>
        </is>
      </c>
      <c r="E167" t="inlineStr">
        <is>
          <t>Hogeweg 29, 3920 Lommel</t>
        </is>
      </c>
      <c r="F167" t="inlineStr">
        <is>
          <t>Christiane</t>
        </is>
      </c>
      <c r="G167" t="n">
        <v>111.4</v>
      </c>
      <c r="H167" t="n">
        <v>2</v>
      </c>
      <c r="I167" t="inlineStr">
        <is>
          <t>Bancontact</t>
        </is>
      </c>
      <c r="J167" t="inlineStr">
        <is>
          <t>ja</t>
        </is>
      </c>
      <c r="K167" t="inlineStr">
        <is>
          <t>ja</t>
        </is>
      </c>
      <c r="L167" t="inlineStr">
        <is>
          <t>ja</t>
        </is>
      </c>
      <c r="M167" t="inlineStr">
        <is>
          <t>ja</t>
        </is>
      </c>
      <c r="N167" t="inlineStr">
        <is>
          <t>nee</t>
        </is>
      </c>
      <c r="O167" t="inlineStr">
        <is>
          <t>Geen dieet</t>
        </is>
      </c>
      <c r="Q167">
        <f>LEN(G167)-LEN(SUBSTITUTE(G167,",",""))+1</f>
        <v/>
      </c>
      <c r="R167">
        <f>SWITCH(I167, "Zelden", 1, "Af en toe", 4, "Regelmatig", 8, "Vaak", 12)</f>
        <v/>
      </c>
      <c r="S167">
        <f>AVERAGE(--(K167="ja"), --(L167="ja"), --(M167="ja"), --(N167="ja"), --(O167="ja"))*10</f>
        <v/>
      </c>
      <c r="T167">
        <f>IF(S167&gt;=7, "Tevreden", "Ontevreden")</f>
        <v/>
      </c>
    </row>
    <row r="168">
      <c r="A168" t="inlineStr">
        <is>
          <t>Mercedes</t>
        </is>
      </c>
      <c r="B168" t="inlineStr">
        <is>
          <t>De laet</t>
        </is>
      </c>
      <c r="C168" t="inlineStr">
        <is>
          <t>321.14479-94</t>
        </is>
      </c>
      <c r="D168" t="inlineStr">
        <is>
          <t>04/05/1985</t>
        </is>
      </c>
      <c r="E168" t="inlineStr">
        <is>
          <t>Muizelstraat 30, 3830 Wellen</t>
        </is>
      </c>
      <c r="F168" t="inlineStr">
        <is>
          <t>Mercedes,Serge,Steve,Thomas</t>
        </is>
      </c>
      <c r="G168" t="n">
        <v>157.02</v>
      </c>
      <c r="H168" t="n">
        <v>13</v>
      </c>
      <c r="I168" t="inlineStr">
        <is>
          <t>Payconiq</t>
        </is>
      </c>
      <c r="J168" t="inlineStr">
        <is>
          <t>nee</t>
        </is>
      </c>
      <c r="K168" t="inlineStr">
        <is>
          <t>ja</t>
        </is>
      </c>
      <c r="L168" t="inlineStr">
        <is>
          <t>ja</t>
        </is>
      </c>
      <c r="M168" t="inlineStr">
        <is>
          <t>ja</t>
        </is>
      </c>
      <c r="N168" t="inlineStr">
        <is>
          <t>ja</t>
        </is>
      </c>
      <c r="O168" t="inlineStr">
        <is>
          <t>Geen dieet</t>
        </is>
      </c>
      <c r="Q168">
        <f>LEN(G168)-LEN(SUBSTITUTE(G168,",",""))+1</f>
        <v/>
      </c>
      <c r="R168">
        <f>SWITCH(I168, "Zelden", 1, "Af en toe", 4, "Regelmatig", 8, "Vaak", 12)</f>
        <v/>
      </c>
      <c r="S168">
        <f>AVERAGE(--(K168="ja"), --(L168="ja"), --(M168="ja"), --(N168="ja"), --(O168="ja"))*10</f>
        <v/>
      </c>
      <c r="T168">
        <f>IF(S168&gt;=7, "Tevreden", "Ontevreden")</f>
        <v/>
      </c>
    </row>
    <row r="169">
      <c r="A169" t="inlineStr">
        <is>
          <t>Rita</t>
        </is>
      </c>
      <c r="B169" t="inlineStr">
        <is>
          <t>De moor</t>
        </is>
      </c>
      <c r="C169" t="inlineStr">
        <is>
          <t>974.96506-97</t>
        </is>
      </c>
      <c r="D169" t="inlineStr">
        <is>
          <t>30/12/2003</t>
        </is>
      </c>
      <c r="E169" t="inlineStr">
        <is>
          <t>Gentsesteenweg 1, 3600 Genk</t>
        </is>
      </c>
      <c r="F169" t="inlineStr">
        <is>
          <t>Rita,Hilde</t>
        </is>
      </c>
      <c r="G169" t="n">
        <v>86.7</v>
      </c>
      <c r="H169" t="n">
        <v>9</v>
      </c>
      <c r="I169" t="inlineStr">
        <is>
          <t>Payconiq</t>
        </is>
      </c>
      <c r="J169" t="inlineStr">
        <is>
          <t>ja</t>
        </is>
      </c>
      <c r="K169" t="inlineStr">
        <is>
          <t>ja</t>
        </is>
      </c>
      <c r="L169" t="inlineStr">
        <is>
          <t>ja</t>
        </is>
      </c>
      <c r="M169" t="inlineStr">
        <is>
          <t>nee</t>
        </is>
      </c>
      <c r="N169" t="inlineStr">
        <is>
          <t>ja</t>
        </is>
      </c>
      <c r="O169" t="inlineStr">
        <is>
          <t>Geen dieet</t>
        </is>
      </c>
      <c r="Q169">
        <f>LEN(G169)-LEN(SUBSTITUTE(G169,",",""))+1</f>
        <v/>
      </c>
      <c r="R169">
        <f>SWITCH(I169, "Zelden", 1, "Af en toe", 4, "Regelmatig", 8, "Vaak", 12)</f>
        <v/>
      </c>
      <c r="S169">
        <f>AVERAGE(--(K169="ja"), --(L169="ja"), --(M169="ja"), --(N169="ja"), --(O169="ja"))*10</f>
        <v/>
      </c>
      <c r="T169">
        <f>IF(S169&gt;=7, "Tevreden", "Ontevreden")</f>
        <v/>
      </c>
    </row>
    <row r="170">
      <c r="A170" t="inlineStr">
        <is>
          <t>Eléna</t>
        </is>
      </c>
      <c r="B170" t="inlineStr">
        <is>
          <t>Verschueren</t>
        </is>
      </c>
      <c r="C170" t="inlineStr">
        <is>
          <t>566.90320-33</t>
        </is>
      </c>
      <c r="D170" t="inlineStr">
        <is>
          <t>05/06/1960</t>
        </is>
      </c>
      <c r="E170" t="inlineStr">
        <is>
          <t>Blijde Inkomststraat 26, 3500 Hasselt</t>
        </is>
      </c>
      <c r="F170" t="inlineStr">
        <is>
          <t>Eléna,Karlien,Stéphanie,Amélie,Nick</t>
        </is>
      </c>
      <c r="G170" t="n">
        <v>153.05</v>
      </c>
      <c r="H170" t="n">
        <v>10</v>
      </c>
      <c r="I170" t="inlineStr">
        <is>
          <t>Payconiq</t>
        </is>
      </c>
      <c r="J170" t="inlineStr">
        <is>
          <t>ja</t>
        </is>
      </c>
      <c r="K170" t="inlineStr">
        <is>
          <t>ja</t>
        </is>
      </c>
      <c r="L170" t="inlineStr">
        <is>
          <t>nee</t>
        </is>
      </c>
      <c r="M170" t="inlineStr">
        <is>
          <t>ja</t>
        </is>
      </c>
      <c r="N170" t="inlineStr">
        <is>
          <t>nee</t>
        </is>
      </c>
      <c r="O170" t="inlineStr">
        <is>
          <t>Geen dieet</t>
        </is>
      </c>
      <c r="Q170">
        <f>LEN(G170)-LEN(SUBSTITUTE(G170,",",""))+1</f>
        <v/>
      </c>
      <c r="R170">
        <f>SWITCH(I170, "Zelden", 1, "Af en toe", 4, "Regelmatig", 8, "Vaak", 12)</f>
        <v/>
      </c>
      <c r="S170">
        <f>AVERAGE(--(K170="ja"), --(L170="ja"), --(M170="ja"), --(N170="ja"), --(O170="ja"))*10</f>
        <v/>
      </c>
      <c r="T170">
        <f>IF(S170&gt;=7, "Tevreden", "Ontevreden")</f>
        <v/>
      </c>
    </row>
    <row r="171">
      <c r="A171" t="inlineStr">
        <is>
          <t>Fabio</t>
        </is>
      </c>
      <c r="B171" t="inlineStr">
        <is>
          <t>Bollen</t>
        </is>
      </c>
      <c r="C171" t="inlineStr">
        <is>
          <t>346.84680-49</t>
        </is>
      </c>
      <c r="D171" t="inlineStr">
        <is>
          <t>19/09/2004</t>
        </is>
      </c>
      <c r="E171" t="inlineStr">
        <is>
          <t>Kwartelstraat 84, 3545 Halen</t>
        </is>
      </c>
      <c r="F171" t="inlineStr">
        <is>
          <t>Fabio,Annie,Cathy,Stijn</t>
        </is>
      </c>
      <c r="G171" t="n">
        <v>97.08</v>
      </c>
      <c r="H171" t="n">
        <v>22</v>
      </c>
      <c r="I171" t="inlineStr">
        <is>
          <t>Bancontact</t>
        </is>
      </c>
      <c r="J171" t="inlineStr">
        <is>
          <t>nee</t>
        </is>
      </c>
      <c r="K171" t="inlineStr">
        <is>
          <t>ja</t>
        </is>
      </c>
      <c r="L171" t="inlineStr">
        <is>
          <t>ja</t>
        </is>
      </c>
      <c r="M171" t="inlineStr">
        <is>
          <t>nee</t>
        </is>
      </c>
      <c r="N171" t="inlineStr">
        <is>
          <t>ja</t>
        </is>
      </c>
      <c r="O171" t="inlineStr">
        <is>
          <t>Geen dieet</t>
        </is>
      </c>
      <c r="Q171">
        <f>LEN(G171)-LEN(SUBSTITUTE(G171,",",""))+1</f>
        <v/>
      </c>
      <c r="R171">
        <f>SWITCH(I171, "Zelden", 1, "Af en toe", 4, "Regelmatig", 8, "Vaak", 12)</f>
        <v/>
      </c>
      <c r="S171">
        <f>AVERAGE(--(K171="ja"), --(L171="ja"), --(M171="ja"), --(N171="ja"), --(O171="ja"))*10</f>
        <v/>
      </c>
      <c r="T171">
        <f>IF(S171&gt;=7, "Tevreden", "Ontevreden")</f>
        <v/>
      </c>
    </row>
    <row r="172">
      <c r="A172" t="inlineStr">
        <is>
          <t>Christophe</t>
        </is>
      </c>
      <c r="B172" t="inlineStr">
        <is>
          <t>Lenaerts</t>
        </is>
      </c>
      <c r="C172" t="inlineStr">
        <is>
          <t>255.92406-51</t>
        </is>
      </c>
      <c r="D172" t="inlineStr">
        <is>
          <t>21/10/2002</t>
        </is>
      </c>
      <c r="E172" t="inlineStr">
        <is>
          <t>Papegaaistraat 58, 3530 Houthalen-Helchteren</t>
        </is>
      </c>
      <c r="F172" t="inlineStr">
        <is>
          <t>Christophe,Lisa</t>
        </is>
      </c>
      <c r="G172" t="n">
        <v>74.68000000000001</v>
      </c>
      <c r="H172" t="n">
        <v>6</v>
      </c>
      <c r="I172" t="inlineStr">
        <is>
          <t>Bancontact</t>
        </is>
      </c>
      <c r="J172" t="inlineStr">
        <is>
          <t>ja</t>
        </is>
      </c>
      <c r="K172" t="inlineStr">
        <is>
          <t>ja</t>
        </is>
      </c>
      <c r="L172" t="inlineStr">
        <is>
          <t>ja</t>
        </is>
      </c>
      <c r="M172" t="inlineStr">
        <is>
          <t>ja</t>
        </is>
      </c>
      <c r="N172" t="inlineStr">
        <is>
          <t>ja</t>
        </is>
      </c>
      <c r="O172" t="inlineStr">
        <is>
          <t>Vegetarisch</t>
        </is>
      </c>
      <c r="Q172">
        <f>LEN(G172)-LEN(SUBSTITUTE(G172,",",""))+1</f>
        <v/>
      </c>
      <c r="R172">
        <f>SWITCH(I172, "Zelden", 1, "Af en toe", 4, "Regelmatig", 8, "Vaak", 12)</f>
        <v/>
      </c>
      <c r="S172">
        <f>AVERAGE(--(K172="ja"), --(L172="ja"), --(M172="ja"), --(N172="ja"), --(O172="ja"))*10</f>
        <v/>
      </c>
      <c r="T172">
        <f>IF(S172&gt;=7, "Tevreden", "Ontevreden")</f>
        <v/>
      </c>
    </row>
    <row r="173">
      <c r="A173" t="inlineStr">
        <is>
          <t>Ann</t>
        </is>
      </c>
      <c r="B173" t="inlineStr">
        <is>
          <t>Thys</t>
        </is>
      </c>
      <c r="C173" t="inlineStr">
        <is>
          <t>108.94365-62</t>
        </is>
      </c>
      <c r="D173" t="inlineStr">
        <is>
          <t>13/02/1959</t>
        </is>
      </c>
      <c r="E173" t="inlineStr">
        <is>
          <t>Kantienberg 3, 3640 Kinrooi</t>
        </is>
      </c>
      <c r="F173" t="inlineStr">
        <is>
          <t>Ann,Ludvic</t>
        </is>
      </c>
      <c r="G173" t="n">
        <v>149.62</v>
      </c>
      <c r="H173" t="n">
        <v>2</v>
      </c>
      <c r="I173" t="inlineStr">
        <is>
          <t>Bancontact</t>
        </is>
      </c>
      <c r="J173" t="inlineStr">
        <is>
          <t>ja</t>
        </is>
      </c>
      <c r="K173" t="inlineStr">
        <is>
          <t>ja</t>
        </is>
      </c>
      <c r="L173" t="inlineStr">
        <is>
          <t>ja</t>
        </is>
      </c>
      <c r="M173" t="inlineStr">
        <is>
          <t>ja</t>
        </is>
      </c>
      <c r="N173" t="inlineStr">
        <is>
          <t>ja</t>
        </is>
      </c>
      <c r="O173" t="inlineStr">
        <is>
          <t>Geen dieet</t>
        </is>
      </c>
      <c r="Q173">
        <f>LEN(G173)-LEN(SUBSTITUTE(G173,",",""))+1</f>
        <v/>
      </c>
      <c r="R173">
        <f>SWITCH(I173, "Zelden", 1, "Af en toe", 4, "Regelmatig", 8, "Vaak", 12)</f>
        <v/>
      </c>
      <c r="S173">
        <f>AVERAGE(--(K173="ja"), --(L173="ja"), --(M173="ja"), --(N173="ja"), --(O173="ja"))*10</f>
        <v/>
      </c>
      <c r="T173">
        <f>IF(S173&gt;=7, "Tevreden", "Ontevreden")</f>
        <v/>
      </c>
    </row>
    <row r="174">
      <c r="A174" t="inlineStr">
        <is>
          <t>Georgette</t>
        </is>
      </c>
      <c r="B174" t="inlineStr">
        <is>
          <t>De bruyn</t>
        </is>
      </c>
      <c r="C174" t="inlineStr">
        <is>
          <t>764.21236-39</t>
        </is>
      </c>
      <c r="D174" t="inlineStr">
        <is>
          <t>02/07/1946</t>
        </is>
      </c>
      <c r="E174" t="inlineStr">
        <is>
          <t>Krijgslaan 49, 3540 Herk-de-Stad</t>
        </is>
      </c>
      <c r="F174" t="inlineStr">
        <is>
          <t>Georgette,Kristine,Luc</t>
        </is>
      </c>
      <c r="G174" t="n">
        <v>130.88</v>
      </c>
      <c r="H174" t="n">
        <v>10</v>
      </c>
      <c r="I174" t="inlineStr">
        <is>
          <t>Payconiq</t>
        </is>
      </c>
      <c r="J174" t="inlineStr">
        <is>
          <t>ja</t>
        </is>
      </c>
      <c r="K174" t="inlineStr">
        <is>
          <t>nee</t>
        </is>
      </c>
      <c r="L174" t="inlineStr">
        <is>
          <t>ja</t>
        </is>
      </c>
      <c r="M174" t="inlineStr">
        <is>
          <t>ja</t>
        </is>
      </c>
      <c r="N174" t="inlineStr">
        <is>
          <t>nee</t>
        </is>
      </c>
      <c r="O174" t="inlineStr">
        <is>
          <t>Geen dieet</t>
        </is>
      </c>
      <c r="Q174">
        <f>LEN(G174)-LEN(SUBSTITUTE(G174,",",""))+1</f>
        <v/>
      </c>
      <c r="R174">
        <f>SWITCH(I174, "Zelden", 1, "Af en toe", 4, "Regelmatig", 8, "Vaak", 12)</f>
        <v/>
      </c>
      <c r="S174">
        <f>AVERAGE(--(K174="ja"), --(L174="ja"), --(M174="ja"), --(N174="ja"), --(O174="ja"))*10</f>
        <v/>
      </c>
      <c r="T174">
        <f>IF(S174&gt;=7, "Tevreden", "Ontevreden")</f>
        <v/>
      </c>
    </row>
    <row r="175">
      <c r="A175" t="inlineStr">
        <is>
          <t>Marine</t>
        </is>
      </c>
      <c r="B175" t="inlineStr">
        <is>
          <t>Dierckx</t>
        </is>
      </c>
      <c r="C175" t="inlineStr">
        <is>
          <t>247.80511-17</t>
        </is>
      </c>
      <c r="D175" t="inlineStr">
        <is>
          <t>08/12/1971</t>
        </is>
      </c>
      <c r="E175" t="inlineStr">
        <is>
          <t>J. Van Crombrugghestraat 72, 3680 Maaseik</t>
        </is>
      </c>
      <c r="F175" t="inlineStr">
        <is>
          <t>Marine,Ann</t>
        </is>
      </c>
      <c r="G175" t="n">
        <v>69.26000000000001</v>
      </c>
      <c r="H175" t="n">
        <v>10</v>
      </c>
      <c r="I175" t="inlineStr">
        <is>
          <t>Cash</t>
        </is>
      </c>
      <c r="J175" t="inlineStr">
        <is>
          <t>ja</t>
        </is>
      </c>
      <c r="K175" t="inlineStr">
        <is>
          <t>ja</t>
        </is>
      </c>
      <c r="L175" t="inlineStr">
        <is>
          <t>ja</t>
        </is>
      </c>
      <c r="M175" t="inlineStr">
        <is>
          <t>ja</t>
        </is>
      </c>
      <c r="N175" t="inlineStr">
        <is>
          <t>ja</t>
        </is>
      </c>
      <c r="O175" t="inlineStr">
        <is>
          <t>Geen dieet</t>
        </is>
      </c>
      <c r="Q175">
        <f>LEN(G175)-LEN(SUBSTITUTE(G175,",",""))+1</f>
        <v/>
      </c>
      <c r="R175">
        <f>SWITCH(I175, "Zelden", 1, "Af en toe", 4, "Regelmatig", 8, "Vaak", 12)</f>
        <v/>
      </c>
      <c r="S175">
        <f>AVERAGE(--(K175="ja"), --(L175="ja"), --(M175="ja"), --(N175="ja"), --(O175="ja"))*10</f>
        <v/>
      </c>
      <c r="T175">
        <f>IF(S175&gt;=7, "Tevreden", "Ontevreden")</f>
        <v/>
      </c>
    </row>
    <row r="176">
      <c r="A176" t="inlineStr">
        <is>
          <t>Spencer</t>
        </is>
      </c>
      <c r="B176" t="inlineStr">
        <is>
          <t>Reynders</t>
        </is>
      </c>
      <c r="C176" t="inlineStr">
        <is>
          <t>133.11431-94</t>
        </is>
      </c>
      <c r="D176" t="inlineStr">
        <is>
          <t>29/11/1976</t>
        </is>
      </c>
      <c r="E176" t="inlineStr">
        <is>
          <t>Korte Kruisstraat 1, 3930 Hamont-Achel</t>
        </is>
      </c>
      <c r="F176" t="inlineStr">
        <is>
          <t>Spencer,Krista,Christine,Lindsay,Roger</t>
        </is>
      </c>
      <c r="G176" t="n">
        <v>92.15000000000001</v>
      </c>
      <c r="H176" t="n">
        <v>13</v>
      </c>
      <c r="I176" t="inlineStr">
        <is>
          <t>Bancontact</t>
        </is>
      </c>
      <c r="J176" t="inlineStr">
        <is>
          <t>nee</t>
        </is>
      </c>
      <c r="K176" t="inlineStr">
        <is>
          <t>nee</t>
        </is>
      </c>
      <c r="L176" t="inlineStr">
        <is>
          <t>nee</t>
        </is>
      </c>
      <c r="M176" t="inlineStr">
        <is>
          <t>nee</t>
        </is>
      </c>
      <c r="N176" t="inlineStr">
        <is>
          <t>ja</t>
        </is>
      </c>
      <c r="O176" t="inlineStr">
        <is>
          <t>Veganistisch</t>
        </is>
      </c>
      <c r="Q176">
        <f>LEN(G176)-LEN(SUBSTITUTE(G176,",",""))+1</f>
        <v/>
      </c>
      <c r="R176">
        <f>SWITCH(I176, "Zelden", 1, "Af en toe", 4, "Regelmatig", 8, "Vaak", 12)</f>
        <v/>
      </c>
      <c r="S176">
        <f>AVERAGE(--(K176="ja"), --(L176="ja"), --(M176="ja"), --(N176="ja"), --(O176="ja"))*10</f>
        <v/>
      </c>
      <c r="T176">
        <f>IF(S176&gt;=7, "Tevreden", "Ontevreden")</f>
        <v/>
      </c>
    </row>
    <row r="177">
      <c r="A177" t="inlineStr">
        <is>
          <t>Marie</t>
        </is>
      </c>
      <c r="B177" t="inlineStr">
        <is>
          <t>Wauters</t>
        </is>
      </c>
      <c r="C177" t="inlineStr">
        <is>
          <t>560.70990-97</t>
        </is>
      </c>
      <c r="D177" t="inlineStr">
        <is>
          <t>13/03/1985</t>
        </is>
      </c>
      <c r="E177" t="inlineStr">
        <is>
          <t>Wondelgemstraat 67, 3800 Sint-Truiden</t>
        </is>
      </c>
      <c r="F177" t="inlineStr">
        <is>
          <t>Marie,Jeanine,Evelien</t>
        </is>
      </c>
      <c r="G177" t="n">
        <v>149.35</v>
      </c>
      <c r="H177" t="n">
        <v>8</v>
      </c>
      <c r="I177" t="inlineStr">
        <is>
          <t>Payconiq</t>
        </is>
      </c>
      <c r="J177" t="inlineStr">
        <is>
          <t>ja</t>
        </is>
      </c>
      <c r="K177" t="inlineStr">
        <is>
          <t>ja</t>
        </is>
      </c>
      <c r="L177" t="inlineStr">
        <is>
          <t>ja</t>
        </is>
      </c>
      <c r="M177" t="inlineStr">
        <is>
          <t>ja</t>
        </is>
      </c>
      <c r="N177" t="inlineStr">
        <is>
          <t>nee</t>
        </is>
      </c>
      <c r="O177" t="inlineStr">
        <is>
          <t>Vegetarisch</t>
        </is>
      </c>
      <c r="Q177">
        <f>LEN(G177)-LEN(SUBSTITUTE(G177,",",""))+1</f>
        <v/>
      </c>
      <c r="R177">
        <f>SWITCH(I177, "Zelden", 1, "Af en toe", 4, "Regelmatig", 8, "Vaak", 12)</f>
        <v/>
      </c>
      <c r="S177">
        <f>AVERAGE(--(K177="ja"), --(L177="ja"), --(M177="ja"), --(N177="ja"), --(O177="ja"))*10</f>
        <v/>
      </c>
      <c r="T177">
        <f>IF(S177&gt;=7, "Tevreden", "Ontevreden")</f>
        <v/>
      </c>
    </row>
    <row r="178">
      <c r="A178" t="inlineStr">
        <is>
          <t>Christian</t>
        </is>
      </c>
      <c r="B178" t="inlineStr">
        <is>
          <t>Gerard</t>
        </is>
      </c>
      <c r="C178" t="inlineStr">
        <is>
          <t>942.11117-63</t>
        </is>
      </c>
      <c r="D178" t="inlineStr">
        <is>
          <t>20/06/1964</t>
        </is>
      </c>
      <c r="E178" t="inlineStr">
        <is>
          <t>Godshuizenlaan 58, 3620 Lanaken</t>
        </is>
      </c>
      <c r="F178" t="inlineStr">
        <is>
          <t>Christian,Jana,Britt,Jessy</t>
        </is>
      </c>
      <c r="G178" t="n">
        <v>203.4</v>
      </c>
      <c r="H178" t="n">
        <v>31</v>
      </c>
      <c r="I178" t="inlineStr">
        <is>
          <t>Payconiq</t>
        </is>
      </c>
      <c r="J178" t="inlineStr">
        <is>
          <t>ja</t>
        </is>
      </c>
      <c r="K178" t="inlineStr">
        <is>
          <t>ja</t>
        </is>
      </c>
      <c r="L178" t="inlineStr">
        <is>
          <t>nee</t>
        </is>
      </c>
      <c r="M178" t="inlineStr">
        <is>
          <t>ja</t>
        </is>
      </c>
      <c r="N178" t="inlineStr">
        <is>
          <t>ja</t>
        </is>
      </c>
      <c r="O178" t="inlineStr">
        <is>
          <t>Geen dieet</t>
        </is>
      </c>
      <c r="Q178">
        <f>LEN(G178)-LEN(SUBSTITUTE(G178,",",""))+1</f>
        <v/>
      </c>
      <c r="R178">
        <f>SWITCH(I178, "Zelden", 1, "Af en toe", 4, "Regelmatig", 8, "Vaak", 12)</f>
        <v/>
      </c>
      <c r="S178">
        <f>AVERAGE(--(K178="ja"), --(L178="ja"), --(M178="ja"), --(N178="ja"), --(O178="ja"))*10</f>
        <v/>
      </c>
      <c r="T178">
        <f>IF(S178&gt;=7, "Tevreden", "Ontevreden")</f>
        <v/>
      </c>
    </row>
    <row r="179">
      <c r="A179" t="inlineStr">
        <is>
          <t>Lara</t>
        </is>
      </c>
      <c r="B179" t="inlineStr">
        <is>
          <t>Deprez</t>
        </is>
      </c>
      <c r="C179" t="inlineStr">
        <is>
          <t>762.52168-86</t>
        </is>
      </c>
      <c r="D179" t="inlineStr">
        <is>
          <t>02/09/1955</t>
        </is>
      </c>
      <c r="E179" t="inlineStr">
        <is>
          <t>Oktrooiplein 25, 3850 Nieuwerkerken</t>
        </is>
      </c>
      <c r="F179" t="inlineStr">
        <is>
          <t>Lara,Saidou,Chin</t>
        </is>
      </c>
      <c r="G179" t="n">
        <v>174.84</v>
      </c>
      <c r="H179" t="n">
        <v>20</v>
      </c>
      <c r="I179" t="inlineStr">
        <is>
          <t>Bancontact</t>
        </is>
      </c>
      <c r="J179" t="inlineStr">
        <is>
          <t>ja</t>
        </is>
      </c>
      <c r="K179" t="inlineStr">
        <is>
          <t>nee</t>
        </is>
      </c>
      <c r="L179" t="inlineStr">
        <is>
          <t>ja</t>
        </is>
      </c>
      <c r="M179" t="inlineStr">
        <is>
          <t>ja</t>
        </is>
      </c>
      <c r="N179" t="inlineStr">
        <is>
          <t>nee</t>
        </is>
      </c>
      <c r="O179" t="inlineStr">
        <is>
          <t>Geen dieet</t>
        </is>
      </c>
      <c r="Q179">
        <f>LEN(G179)-LEN(SUBSTITUTE(G179,",",""))+1</f>
        <v/>
      </c>
      <c r="R179">
        <f>SWITCH(I179, "Zelden", 1, "Af en toe", 4, "Regelmatig", 8, "Vaak", 12)</f>
        <v/>
      </c>
      <c r="S179">
        <f>AVERAGE(--(K179="ja"), --(L179="ja"), --(M179="ja"), --(N179="ja"), --(O179="ja"))*10</f>
        <v/>
      </c>
      <c r="T179">
        <f>IF(S179&gt;=7, "Tevreden", "Ontevreden")</f>
        <v/>
      </c>
    </row>
    <row r="180">
      <c r="A180" t="inlineStr">
        <is>
          <t>Liam</t>
        </is>
      </c>
      <c r="B180" t="inlineStr">
        <is>
          <t>Claes</t>
        </is>
      </c>
      <c r="C180" t="inlineStr">
        <is>
          <t>668.76979-36</t>
        </is>
      </c>
      <c r="D180" t="inlineStr">
        <is>
          <t>31/08/1947</t>
        </is>
      </c>
      <c r="E180" t="inlineStr">
        <is>
          <t>Voorhavenlaan 72, 3890 Vorden</t>
        </is>
      </c>
      <c r="F180" t="inlineStr">
        <is>
          <t>Liam,Vincent,Malcolm,Flo,Nathalie</t>
        </is>
      </c>
      <c r="G180" t="n">
        <v>142.11</v>
      </c>
      <c r="H180" t="n">
        <v>18</v>
      </c>
      <c r="I180" t="inlineStr">
        <is>
          <t>Payconiq</t>
        </is>
      </c>
      <c r="J180" t="inlineStr">
        <is>
          <t>ja</t>
        </is>
      </c>
      <c r="K180" t="inlineStr">
        <is>
          <t>nee</t>
        </is>
      </c>
      <c r="L180" t="inlineStr">
        <is>
          <t>nee</t>
        </is>
      </c>
      <c r="M180" t="inlineStr">
        <is>
          <t>ja</t>
        </is>
      </c>
      <c r="N180" t="inlineStr">
        <is>
          <t>nee</t>
        </is>
      </c>
      <c r="O180" t="inlineStr">
        <is>
          <t>Veganistisch</t>
        </is>
      </c>
      <c r="Q180">
        <f>LEN(G180)-LEN(SUBSTITUTE(G180,",",""))+1</f>
        <v/>
      </c>
      <c r="R180">
        <f>SWITCH(I180, "Zelden", 1, "Af en toe", 4, "Regelmatig", 8, "Vaak", 12)</f>
        <v/>
      </c>
      <c r="S180">
        <f>AVERAGE(--(K180="ja"), --(L180="ja"), --(M180="ja"), --(N180="ja"), --(O180="ja"))*10</f>
        <v/>
      </c>
      <c r="T180">
        <f>IF(S180&gt;=7, "Tevreden", "Ontevreden")</f>
        <v/>
      </c>
    </row>
    <row r="181">
      <c r="A181" t="inlineStr">
        <is>
          <t>Jozef</t>
        </is>
      </c>
      <c r="B181" t="inlineStr">
        <is>
          <t>Verbruggen</t>
        </is>
      </c>
      <c r="C181" t="inlineStr">
        <is>
          <t>35.79434-17</t>
        </is>
      </c>
      <c r="D181" t="inlineStr">
        <is>
          <t>28/03/1959</t>
        </is>
      </c>
      <c r="E181" t="inlineStr">
        <is>
          <t>Meersstraat 63, 3740 Bilzen</t>
        </is>
      </c>
      <c r="F181" t="inlineStr">
        <is>
          <t>Jozef,Carine</t>
        </is>
      </c>
      <c r="G181" t="n">
        <v>144.26</v>
      </c>
      <c r="H181" t="n">
        <v>13</v>
      </c>
      <c r="I181" t="inlineStr">
        <is>
          <t>Bancontact</t>
        </is>
      </c>
      <c r="J181" t="inlineStr">
        <is>
          <t>ja</t>
        </is>
      </c>
      <c r="K181" t="inlineStr">
        <is>
          <t>ja</t>
        </is>
      </c>
      <c r="L181" t="inlineStr">
        <is>
          <t>ja</t>
        </is>
      </c>
      <c r="M181" t="inlineStr">
        <is>
          <t>ja</t>
        </is>
      </c>
      <c r="N181" t="inlineStr">
        <is>
          <t>ja</t>
        </is>
      </c>
      <c r="O181" t="inlineStr">
        <is>
          <t>Geen dieet</t>
        </is>
      </c>
      <c r="Q181">
        <f>LEN(G181)-LEN(SUBSTITUTE(G181,",",""))+1</f>
        <v/>
      </c>
      <c r="R181">
        <f>SWITCH(I181, "Zelden", 1, "Af en toe", 4, "Regelmatig", 8, "Vaak", 12)</f>
        <v/>
      </c>
      <c r="S181">
        <f>AVERAGE(--(K181="ja"), --(L181="ja"), --(M181="ja"), --(N181="ja"), --(O181="ja"))*10</f>
        <v/>
      </c>
      <c r="T181">
        <f>IF(S181&gt;=7, "Tevreden", "Ontevreden")</f>
        <v/>
      </c>
    </row>
    <row r="182">
      <c r="A182" t="inlineStr">
        <is>
          <t>Daniela</t>
        </is>
      </c>
      <c r="B182" t="inlineStr">
        <is>
          <t>Francois</t>
        </is>
      </c>
      <c r="C182" t="inlineStr">
        <is>
          <t>17.29114-21</t>
        </is>
      </c>
      <c r="D182" t="inlineStr">
        <is>
          <t>11/12/2003</t>
        </is>
      </c>
      <c r="E182" t="inlineStr">
        <is>
          <t>Zeeschipstraat 14, 3920 Lommel</t>
        </is>
      </c>
      <c r="F182" t="inlineStr">
        <is>
          <t>Daniela,Maria,Kristina,Heidi</t>
        </is>
      </c>
      <c r="G182" t="n">
        <v>167.07</v>
      </c>
      <c r="H182" t="n">
        <v>1</v>
      </c>
      <c r="I182" t="inlineStr">
        <is>
          <t>Bancontact</t>
        </is>
      </c>
      <c r="J182" t="inlineStr">
        <is>
          <t>ja</t>
        </is>
      </c>
      <c r="K182" t="inlineStr">
        <is>
          <t>ja</t>
        </is>
      </c>
      <c r="L182" t="inlineStr">
        <is>
          <t>nee</t>
        </is>
      </c>
      <c r="M182" t="inlineStr">
        <is>
          <t>ja</t>
        </is>
      </c>
      <c r="N182" t="inlineStr">
        <is>
          <t>ja</t>
        </is>
      </c>
      <c r="O182" t="inlineStr">
        <is>
          <t>Vegetarisch</t>
        </is>
      </c>
      <c r="Q182">
        <f>LEN(G182)-LEN(SUBSTITUTE(G182,",",""))+1</f>
        <v/>
      </c>
      <c r="R182">
        <f>SWITCH(I182, "Zelden", 1, "Af en toe", 4, "Regelmatig", 8, "Vaak", 12)</f>
        <v/>
      </c>
      <c r="S182">
        <f>AVERAGE(--(K182="ja"), --(L182="ja"), --(M182="ja"), --(N182="ja"), --(O182="ja"))*10</f>
        <v/>
      </c>
      <c r="T182">
        <f>IF(S182&gt;=7, "Tevreden", "Ontevreden")</f>
        <v/>
      </c>
    </row>
    <row r="183">
      <c r="A183" t="inlineStr">
        <is>
          <t>Hilde</t>
        </is>
      </c>
      <c r="B183" t="inlineStr">
        <is>
          <t>Bernard</t>
        </is>
      </c>
      <c r="C183" t="inlineStr">
        <is>
          <t>516.47925-64</t>
        </is>
      </c>
      <c r="D183" t="inlineStr">
        <is>
          <t>19/02/1982</t>
        </is>
      </c>
      <c r="E183" t="inlineStr">
        <is>
          <t>Meerkoetlaan 17, 3740 Bilzen</t>
        </is>
      </c>
      <c r="F183" t="inlineStr">
        <is>
          <t>Hilde,Fanny,Sonja,Marie-Charlotte</t>
        </is>
      </c>
      <c r="G183" t="n">
        <v>178.7</v>
      </c>
      <c r="H183" t="n">
        <v>14</v>
      </c>
      <c r="I183" t="inlineStr">
        <is>
          <t>Payconiq</t>
        </is>
      </c>
      <c r="J183" t="inlineStr">
        <is>
          <t>ja</t>
        </is>
      </c>
      <c r="K183" t="inlineStr">
        <is>
          <t>nee</t>
        </is>
      </c>
      <c r="L183" t="inlineStr">
        <is>
          <t>nee</t>
        </is>
      </c>
      <c r="M183" t="inlineStr">
        <is>
          <t>ja</t>
        </is>
      </c>
      <c r="N183" t="inlineStr">
        <is>
          <t>ja</t>
        </is>
      </c>
      <c r="O183" t="inlineStr">
        <is>
          <t>Geen dieet</t>
        </is>
      </c>
      <c r="Q183">
        <f>LEN(G183)-LEN(SUBSTITUTE(G183,",",""))+1</f>
        <v/>
      </c>
      <c r="R183">
        <f>SWITCH(I183, "Zelden", 1, "Af en toe", 4, "Regelmatig", 8, "Vaak", 12)</f>
        <v/>
      </c>
      <c r="S183">
        <f>AVERAGE(--(K183="ja"), --(L183="ja"), --(M183="ja"), --(N183="ja"), --(O183="ja"))*10</f>
        <v/>
      </c>
      <c r="T183">
        <f>IF(S183&gt;=7, "Tevreden", "Ontevreden")</f>
        <v/>
      </c>
    </row>
    <row r="184">
      <c r="A184" t="inlineStr">
        <is>
          <t>Elisa</t>
        </is>
      </c>
      <c r="B184" t="inlineStr">
        <is>
          <t>Maertens</t>
        </is>
      </c>
      <c r="C184" t="inlineStr">
        <is>
          <t>221.59057-16</t>
        </is>
      </c>
      <c r="D184" t="inlineStr">
        <is>
          <t>29/05/2001</t>
        </is>
      </c>
      <c r="E184" t="inlineStr">
        <is>
          <t>Elyzeese Velden 36, 3930 Hamont-Achel</t>
        </is>
      </c>
      <c r="F184" t="inlineStr">
        <is>
          <t>Elisa,Isabelle</t>
        </is>
      </c>
      <c r="G184" t="n">
        <v>70.81999999999999</v>
      </c>
      <c r="H184" t="n">
        <v>8</v>
      </c>
      <c r="I184" t="inlineStr">
        <is>
          <t>Bancontact</t>
        </is>
      </c>
      <c r="J184" t="inlineStr">
        <is>
          <t>ja</t>
        </is>
      </c>
      <c r="K184" t="inlineStr">
        <is>
          <t>ja</t>
        </is>
      </c>
      <c r="L184" t="inlineStr">
        <is>
          <t>ja</t>
        </is>
      </c>
      <c r="M184" t="inlineStr">
        <is>
          <t>nee</t>
        </is>
      </c>
      <c r="N184" t="inlineStr">
        <is>
          <t>ja</t>
        </is>
      </c>
      <c r="O184" t="inlineStr">
        <is>
          <t>Vegetarisch</t>
        </is>
      </c>
      <c r="Q184">
        <f>LEN(G184)-LEN(SUBSTITUTE(G184,",",""))+1</f>
        <v/>
      </c>
      <c r="R184">
        <f>SWITCH(I184, "Zelden", 1, "Af en toe", 4, "Regelmatig", 8, "Vaak", 12)</f>
        <v/>
      </c>
      <c r="S184">
        <f>AVERAGE(--(K184="ja"), --(L184="ja"), --(M184="ja"), --(N184="ja"), --(O184="ja"))*10</f>
        <v/>
      </c>
      <c r="T184">
        <f>IF(S184&gt;=7, "Tevreden", "Ontevreden")</f>
        <v/>
      </c>
    </row>
    <row r="185">
      <c r="A185" t="inlineStr">
        <is>
          <t>Els</t>
        </is>
      </c>
      <c r="B185" t="inlineStr">
        <is>
          <t>Verbruggen</t>
        </is>
      </c>
      <c r="C185" t="inlineStr">
        <is>
          <t>363.62767-80</t>
        </is>
      </c>
      <c r="D185" t="inlineStr">
        <is>
          <t>02/01/2001</t>
        </is>
      </c>
      <c r="E185" t="inlineStr">
        <is>
          <t>Oudeheerweg 53, 3700 Tongeren</t>
        </is>
      </c>
      <c r="F185" t="inlineStr">
        <is>
          <t>Els,Ginka</t>
        </is>
      </c>
      <c r="G185" t="n">
        <v>122.99</v>
      </c>
      <c r="H185" t="n">
        <v>14</v>
      </c>
      <c r="I185" t="inlineStr">
        <is>
          <t>Payconiq</t>
        </is>
      </c>
      <c r="J185" t="inlineStr">
        <is>
          <t>ja</t>
        </is>
      </c>
      <c r="K185" t="inlineStr">
        <is>
          <t>ja</t>
        </is>
      </c>
      <c r="L185" t="inlineStr">
        <is>
          <t>ja</t>
        </is>
      </c>
      <c r="M185" t="inlineStr">
        <is>
          <t>ja</t>
        </is>
      </c>
      <c r="N185" t="inlineStr">
        <is>
          <t>ja</t>
        </is>
      </c>
      <c r="O185" t="inlineStr">
        <is>
          <t>Vegetarisch</t>
        </is>
      </c>
      <c r="Q185">
        <f>LEN(G185)-LEN(SUBSTITUTE(G185,",",""))+1</f>
        <v/>
      </c>
      <c r="R185">
        <f>SWITCH(I185, "Zelden", 1, "Af en toe", 4, "Regelmatig", 8, "Vaak", 12)</f>
        <v/>
      </c>
      <c r="S185">
        <f>AVERAGE(--(K185="ja"), --(L185="ja"), --(M185="ja"), --(N185="ja"), --(O185="ja"))*10</f>
        <v/>
      </c>
      <c r="T185">
        <f>IF(S185&gt;=7, "Tevreden", "Ontevreden")</f>
        <v/>
      </c>
    </row>
    <row r="186">
      <c r="A186" t="inlineStr">
        <is>
          <t>Stéphanie</t>
        </is>
      </c>
      <c r="B186" t="inlineStr">
        <is>
          <t>Devos</t>
        </is>
      </c>
      <c r="C186" t="inlineStr">
        <is>
          <t>467.84912-65</t>
        </is>
      </c>
      <c r="D186" t="inlineStr">
        <is>
          <t>09/01/1971</t>
        </is>
      </c>
      <c r="E186" t="inlineStr">
        <is>
          <t>Sint-bernadettestraat 55, 3600 Genk</t>
        </is>
      </c>
      <c r="F186" t="inlineStr">
        <is>
          <t>Stéphanie</t>
        </is>
      </c>
      <c r="G186" t="n">
        <v>70.27</v>
      </c>
      <c r="H186" t="n">
        <v>17</v>
      </c>
      <c r="I186" t="inlineStr">
        <is>
          <t>Cash</t>
        </is>
      </c>
      <c r="J186" t="inlineStr">
        <is>
          <t>nee</t>
        </is>
      </c>
      <c r="K186" t="inlineStr">
        <is>
          <t>nee</t>
        </is>
      </c>
      <c r="L186" t="inlineStr">
        <is>
          <t>nee</t>
        </is>
      </c>
      <c r="M186" t="inlineStr">
        <is>
          <t>ja</t>
        </is>
      </c>
      <c r="N186" t="inlineStr">
        <is>
          <t>ja</t>
        </is>
      </c>
      <c r="O186" t="inlineStr">
        <is>
          <t>Geen dieet</t>
        </is>
      </c>
      <c r="Q186">
        <f>LEN(G186)-LEN(SUBSTITUTE(G186,",",""))+1</f>
        <v/>
      </c>
      <c r="R186">
        <f>SWITCH(I186, "Zelden", 1, "Af en toe", 4, "Regelmatig", 8, "Vaak", 12)</f>
        <v/>
      </c>
      <c r="S186">
        <f>AVERAGE(--(K186="ja"), --(L186="ja"), --(M186="ja"), --(N186="ja"), --(O186="ja"))*10</f>
        <v/>
      </c>
      <c r="T186">
        <f>IF(S186&gt;=7, "Tevreden", "Ontevreden")</f>
        <v/>
      </c>
    </row>
    <row r="187">
      <c r="A187" t="inlineStr">
        <is>
          <t>Kris</t>
        </is>
      </c>
      <c r="B187" t="inlineStr">
        <is>
          <t>De smet</t>
        </is>
      </c>
      <c r="C187" t="inlineStr">
        <is>
          <t>729.58844-21</t>
        </is>
      </c>
      <c r="D187" t="inlineStr">
        <is>
          <t>08/09/1945</t>
        </is>
      </c>
      <c r="E187" t="inlineStr">
        <is>
          <t>Coupure Rechts 13, 3980 Tessenderlo</t>
        </is>
      </c>
      <c r="F187" t="inlineStr">
        <is>
          <t>Kris,Lieve,Hajar,Muhsine,Merlin</t>
        </is>
      </c>
      <c r="G187" t="n">
        <v>210.98</v>
      </c>
      <c r="H187" t="n">
        <v>25</v>
      </c>
      <c r="I187" t="inlineStr">
        <is>
          <t>Payconiq</t>
        </is>
      </c>
      <c r="J187" t="inlineStr">
        <is>
          <t>ja</t>
        </is>
      </c>
      <c r="K187" t="inlineStr">
        <is>
          <t>ja</t>
        </is>
      </c>
      <c r="L187" t="inlineStr">
        <is>
          <t>ja</t>
        </is>
      </c>
      <c r="M187" t="inlineStr">
        <is>
          <t>ja</t>
        </is>
      </c>
      <c r="N187" t="inlineStr">
        <is>
          <t>ja</t>
        </is>
      </c>
      <c r="O187" t="inlineStr">
        <is>
          <t>Vegetarisch</t>
        </is>
      </c>
      <c r="Q187">
        <f>LEN(G187)-LEN(SUBSTITUTE(G187,",",""))+1</f>
        <v/>
      </c>
      <c r="R187">
        <f>SWITCH(I187, "Zelden", 1, "Af en toe", 4, "Regelmatig", 8, "Vaak", 12)</f>
        <v/>
      </c>
      <c r="S187">
        <f>AVERAGE(--(K187="ja"), --(L187="ja"), --(M187="ja"), --(N187="ja"), --(O187="ja"))*10</f>
        <v/>
      </c>
      <c r="T187">
        <f>IF(S187&gt;=7, "Tevreden", "Ontevreden")</f>
        <v/>
      </c>
    </row>
    <row r="188">
      <c r="A188" t="inlineStr">
        <is>
          <t>Evelien</t>
        </is>
      </c>
      <c r="B188" t="inlineStr">
        <is>
          <t>Peeters</t>
        </is>
      </c>
      <c r="C188" t="inlineStr">
        <is>
          <t>770.50069-74</t>
        </is>
      </c>
      <c r="D188" t="inlineStr">
        <is>
          <t>07/06/1989</t>
        </is>
      </c>
      <c r="E188" t="inlineStr">
        <is>
          <t>Sint-jan-baptiststraat 24, 3910 Neerpelt</t>
        </is>
      </c>
      <c r="F188" t="inlineStr">
        <is>
          <t>Evelien,Carine,Mohamed,José,William</t>
        </is>
      </c>
      <c r="G188" t="n">
        <v>195.01</v>
      </c>
      <c r="H188" t="n">
        <v>1</v>
      </c>
      <c r="I188" t="inlineStr">
        <is>
          <t>Payconiq</t>
        </is>
      </c>
      <c r="J188" t="inlineStr">
        <is>
          <t>nee</t>
        </is>
      </c>
      <c r="K188" t="inlineStr">
        <is>
          <t>ja</t>
        </is>
      </c>
      <c r="L188" t="inlineStr">
        <is>
          <t>ja</t>
        </is>
      </c>
      <c r="M188" t="inlineStr">
        <is>
          <t>ja</t>
        </is>
      </c>
      <c r="N188" t="inlineStr">
        <is>
          <t>ja</t>
        </is>
      </c>
      <c r="O188" t="inlineStr">
        <is>
          <t>Geen dieet</t>
        </is>
      </c>
      <c r="Q188">
        <f>LEN(G188)-LEN(SUBSTITUTE(G188,",",""))+1</f>
        <v/>
      </c>
      <c r="R188">
        <f>SWITCH(I188, "Zelden", 1, "Af en toe", 4, "Regelmatig", 8, "Vaak", 12)</f>
        <v/>
      </c>
      <c r="S188">
        <f>AVERAGE(--(K188="ja"), --(L188="ja"), --(M188="ja"), --(N188="ja"), --(O188="ja"))*10</f>
        <v/>
      </c>
      <c r="T188">
        <f>IF(S188&gt;=7, "Tevreden", "Ontevreden")</f>
        <v/>
      </c>
    </row>
    <row r="189">
      <c r="A189" t="inlineStr">
        <is>
          <t>Koen</t>
        </is>
      </c>
      <c r="B189" t="inlineStr">
        <is>
          <t>Fernandez</t>
        </is>
      </c>
      <c r="C189" t="inlineStr">
        <is>
          <t>736.22793-22</t>
        </is>
      </c>
      <c r="D189" t="inlineStr">
        <is>
          <t>25/11/1964</t>
        </is>
      </c>
      <c r="E189" t="inlineStr">
        <is>
          <t>Fritz De Beulestraat 14, 3900 Overpelt</t>
        </is>
      </c>
      <c r="F189" t="inlineStr">
        <is>
          <t>Koen,Ghislaine,Jonny,Karen</t>
        </is>
      </c>
      <c r="G189" t="n">
        <v>257.49</v>
      </c>
      <c r="H189" t="n">
        <v>1</v>
      </c>
      <c r="I189" t="inlineStr">
        <is>
          <t>Payconiq</t>
        </is>
      </c>
      <c r="J189" t="inlineStr">
        <is>
          <t>nee</t>
        </is>
      </c>
      <c r="K189" t="inlineStr">
        <is>
          <t>nee</t>
        </is>
      </c>
      <c r="L189" t="inlineStr">
        <is>
          <t>ja</t>
        </is>
      </c>
      <c r="M189" t="inlineStr">
        <is>
          <t>ja</t>
        </is>
      </c>
      <c r="N189" t="inlineStr">
        <is>
          <t>ja</t>
        </is>
      </c>
      <c r="O189" t="inlineStr">
        <is>
          <t>Vegetarisch</t>
        </is>
      </c>
      <c r="Q189">
        <f>LEN(G189)-LEN(SUBSTITUTE(G189,",",""))+1</f>
        <v/>
      </c>
      <c r="R189">
        <f>SWITCH(I189, "Zelden", 1, "Af en toe", 4, "Regelmatig", 8, "Vaak", 12)</f>
        <v/>
      </c>
      <c r="S189">
        <f>AVERAGE(--(K189="ja"), --(L189="ja"), --(M189="ja"), --(N189="ja"), --(O189="ja"))*10</f>
        <v/>
      </c>
      <c r="T189">
        <f>IF(S189&gt;=7, "Tevreden", "Ontevreden")</f>
        <v/>
      </c>
    </row>
    <row r="190">
      <c r="A190" t="inlineStr">
        <is>
          <t>Kristof</t>
        </is>
      </c>
      <c r="B190" t="inlineStr">
        <is>
          <t>Verbruggen</t>
        </is>
      </c>
      <c r="C190" t="inlineStr">
        <is>
          <t>979.42879-40</t>
        </is>
      </c>
      <c r="D190" t="inlineStr">
        <is>
          <t>01/03/1983</t>
        </is>
      </c>
      <c r="E190" t="inlineStr">
        <is>
          <t>Vrouwebroersstraat 17, 3630 Maasmechelen</t>
        </is>
      </c>
      <c r="F190" t="inlineStr">
        <is>
          <t>Kristof,Nicole,Bart,Célia</t>
        </is>
      </c>
      <c r="G190" t="n">
        <v>109.57</v>
      </c>
      <c r="H190" t="n">
        <v>24</v>
      </c>
      <c r="I190" t="inlineStr">
        <is>
          <t>Payconiq</t>
        </is>
      </c>
      <c r="J190" t="inlineStr">
        <is>
          <t>nee</t>
        </is>
      </c>
      <c r="K190" t="inlineStr">
        <is>
          <t>ja</t>
        </is>
      </c>
      <c r="L190" t="inlineStr">
        <is>
          <t>ja</t>
        </is>
      </c>
      <c r="M190" t="inlineStr">
        <is>
          <t>ja</t>
        </is>
      </c>
      <c r="N190" t="inlineStr">
        <is>
          <t>ja</t>
        </is>
      </c>
      <c r="O190" t="inlineStr">
        <is>
          <t>Geen dieet</t>
        </is>
      </c>
      <c r="Q190">
        <f>LEN(G190)-LEN(SUBSTITUTE(G190,",",""))+1</f>
        <v/>
      </c>
      <c r="R190">
        <f>SWITCH(I190, "Zelden", 1, "Af en toe", 4, "Regelmatig", 8, "Vaak", 12)</f>
        <v/>
      </c>
      <c r="S190">
        <f>AVERAGE(--(K190="ja"), --(L190="ja"), --(M190="ja"), --(N190="ja"), --(O190="ja"))*10</f>
        <v/>
      </c>
      <c r="T190">
        <f>IF(S190&gt;=7, "Tevreden", "Ontevreden")</f>
        <v/>
      </c>
    </row>
    <row r="191">
      <c r="A191" t="inlineStr">
        <is>
          <t>Denise</t>
        </is>
      </c>
      <c r="B191" t="inlineStr">
        <is>
          <t>Merckx</t>
        </is>
      </c>
      <c r="C191" t="inlineStr">
        <is>
          <t>583.61957-35</t>
        </is>
      </c>
      <c r="D191" t="inlineStr">
        <is>
          <t>19/10/1982</t>
        </is>
      </c>
      <c r="E191" t="inlineStr">
        <is>
          <t>Land Van Waaslaan 45, 3870 Heers</t>
        </is>
      </c>
      <c r="F191" t="inlineStr">
        <is>
          <t>Denise,Isaline,Liliane,Luc</t>
        </is>
      </c>
      <c r="G191" t="n">
        <v>76.23999999999999</v>
      </c>
      <c r="H191" t="n">
        <v>7</v>
      </c>
      <c r="I191" t="inlineStr">
        <is>
          <t>Cash</t>
        </is>
      </c>
      <c r="J191" t="inlineStr">
        <is>
          <t>ja</t>
        </is>
      </c>
      <c r="K191" t="inlineStr">
        <is>
          <t>ja</t>
        </is>
      </c>
      <c r="L191" t="inlineStr">
        <is>
          <t>ja</t>
        </is>
      </c>
      <c r="M191" t="inlineStr">
        <is>
          <t>ja</t>
        </is>
      </c>
      <c r="N191" t="inlineStr">
        <is>
          <t>ja</t>
        </is>
      </c>
      <c r="O191" t="inlineStr">
        <is>
          <t>Geen dieet</t>
        </is>
      </c>
      <c r="Q191">
        <f>LEN(G191)-LEN(SUBSTITUTE(G191,",",""))+1</f>
        <v/>
      </c>
      <c r="R191">
        <f>SWITCH(I191, "Zelden", 1, "Af en toe", 4, "Regelmatig", 8, "Vaak", 12)</f>
        <v/>
      </c>
      <c r="S191">
        <f>AVERAGE(--(K191="ja"), --(L191="ja"), --(M191="ja"), --(N191="ja"), --(O191="ja"))*10</f>
        <v/>
      </c>
      <c r="T191">
        <f>IF(S191&gt;=7, "Tevreden", "Ontevreden")</f>
        <v/>
      </c>
    </row>
    <row r="192">
      <c r="A192" t="inlineStr">
        <is>
          <t>Rosalia</t>
        </is>
      </c>
      <c r="B192" t="inlineStr">
        <is>
          <t>Cuypers</t>
        </is>
      </c>
      <c r="C192" t="inlineStr">
        <is>
          <t>560.59156-29</t>
        </is>
      </c>
      <c r="D192" t="inlineStr">
        <is>
          <t>08/02/1970</t>
        </is>
      </c>
      <c r="E192" t="inlineStr">
        <is>
          <t>Langerbruggestraat 36, 3660 Opglabbeek</t>
        </is>
      </c>
      <c r="F192" t="inlineStr">
        <is>
          <t>Rosalia</t>
        </is>
      </c>
      <c r="G192" t="n">
        <v>95.43000000000001</v>
      </c>
      <c r="H192" t="n">
        <v>6</v>
      </c>
      <c r="I192" t="inlineStr">
        <is>
          <t>Payconiq</t>
        </is>
      </c>
      <c r="J192" t="inlineStr">
        <is>
          <t>ja</t>
        </is>
      </c>
      <c r="K192" t="inlineStr">
        <is>
          <t>nee</t>
        </is>
      </c>
      <c r="L192" t="inlineStr">
        <is>
          <t>nee</t>
        </is>
      </c>
      <c r="M192" t="inlineStr">
        <is>
          <t>ja</t>
        </is>
      </c>
      <c r="N192" t="inlineStr">
        <is>
          <t>nee</t>
        </is>
      </c>
      <c r="O192" t="inlineStr">
        <is>
          <t>Vegetarisch</t>
        </is>
      </c>
      <c r="Q192">
        <f>LEN(G192)-LEN(SUBSTITUTE(G192,",",""))+1</f>
        <v/>
      </c>
      <c r="R192">
        <f>SWITCH(I192, "Zelden", 1, "Af en toe", 4, "Regelmatig", 8, "Vaak", 12)</f>
        <v/>
      </c>
      <c r="S192">
        <f>AVERAGE(--(K192="ja"), --(L192="ja"), --(M192="ja"), --(N192="ja"), --(O192="ja"))*10</f>
        <v/>
      </c>
      <c r="T192">
        <f>IF(S192&gt;=7, "Tevreden", "Ontevreden")</f>
        <v/>
      </c>
    </row>
    <row r="193">
      <c r="A193" t="inlineStr">
        <is>
          <t>Jérôme</t>
        </is>
      </c>
      <c r="B193" t="inlineStr">
        <is>
          <t>Lambert</t>
        </is>
      </c>
      <c r="C193" t="inlineStr">
        <is>
          <t>677.46141-23</t>
        </is>
      </c>
      <c r="D193" t="inlineStr">
        <is>
          <t>23/01/1988</t>
        </is>
      </c>
      <c r="E193" t="inlineStr">
        <is>
          <t>Krijgslaan 38, 3800 Sint-Truiden</t>
        </is>
      </c>
      <c r="F193" t="inlineStr">
        <is>
          <t>Jérôme,Cécile,Agathe,Margaretha</t>
        </is>
      </c>
      <c r="G193" t="n">
        <v>87.87</v>
      </c>
      <c r="H193" t="n">
        <v>3</v>
      </c>
      <c r="I193" t="inlineStr">
        <is>
          <t>Bancontact</t>
        </is>
      </c>
      <c r="J193" t="inlineStr">
        <is>
          <t>ja</t>
        </is>
      </c>
      <c r="K193" t="inlineStr">
        <is>
          <t>ja</t>
        </is>
      </c>
      <c r="L193" t="inlineStr">
        <is>
          <t>ja</t>
        </is>
      </c>
      <c r="M193" t="inlineStr">
        <is>
          <t>ja</t>
        </is>
      </c>
      <c r="N193" t="inlineStr">
        <is>
          <t>ja</t>
        </is>
      </c>
      <c r="O193" t="inlineStr">
        <is>
          <t>Vegetarisch</t>
        </is>
      </c>
      <c r="Q193">
        <f>LEN(G193)-LEN(SUBSTITUTE(G193,",",""))+1</f>
        <v/>
      </c>
      <c r="R193">
        <f>SWITCH(I193, "Zelden", 1, "Af en toe", 4, "Regelmatig", 8, "Vaak", 12)</f>
        <v/>
      </c>
      <c r="S193">
        <f>AVERAGE(--(K193="ja"), --(L193="ja"), --(M193="ja"), --(N193="ja"), --(O193="ja"))*10</f>
        <v/>
      </c>
      <c r="T193">
        <f>IF(S193&gt;=7, "Tevreden", "Ontevreden")</f>
        <v/>
      </c>
    </row>
    <row r="194">
      <c r="A194" t="inlineStr">
        <is>
          <t>Dana</t>
        </is>
      </c>
      <c r="B194" t="inlineStr">
        <is>
          <t>De smedt</t>
        </is>
      </c>
      <c r="C194" t="inlineStr">
        <is>
          <t>691.52095-29</t>
        </is>
      </c>
      <c r="D194" t="inlineStr">
        <is>
          <t>16/10/1974</t>
        </is>
      </c>
      <c r="E194" t="inlineStr">
        <is>
          <t>Putkapelstraat 54, 3770 Oud-Vroenhoven</t>
        </is>
      </c>
      <c r="F194" t="inlineStr">
        <is>
          <t>Dana,Rudolf,Stef,Jules</t>
        </is>
      </c>
      <c r="G194" t="n">
        <v>174.99</v>
      </c>
      <c r="H194" t="n">
        <v>12</v>
      </c>
      <c r="I194" t="inlineStr">
        <is>
          <t>Bancontact</t>
        </is>
      </c>
      <c r="J194" t="inlineStr">
        <is>
          <t>ja</t>
        </is>
      </c>
      <c r="K194" t="inlineStr">
        <is>
          <t>ja</t>
        </is>
      </c>
      <c r="L194" t="inlineStr">
        <is>
          <t>ja</t>
        </is>
      </c>
      <c r="M194" t="inlineStr">
        <is>
          <t>nee</t>
        </is>
      </c>
      <c r="N194" t="inlineStr">
        <is>
          <t>ja</t>
        </is>
      </c>
      <c r="O194" t="inlineStr">
        <is>
          <t>Geen dieet</t>
        </is>
      </c>
      <c r="Q194">
        <f>LEN(G194)-LEN(SUBSTITUTE(G194,",",""))+1</f>
        <v/>
      </c>
      <c r="R194">
        <f>SWITCH(I194, "Zelden", 1, "Af en toe", 4, "Regelmatig", 8, "Vaak", 12)</f>
        <v/>
      </c>
      <c r="S194">
        <f>AVERAGE(--(K194="ja"), --(L194="ja"), --(M194="ja"), --(N194="ja"), --(O194="ja"))*10</f>
        <v/>
      </c>
      <c r="T194">
        <f>IF(S194&gt;=7, "Tevreden", "Ontevreden")</f>
        <v/>
      </c>
    </row>
    <row r="195">
      <c r="A195" t="inlineStr">
        <is>
          <t>Yacine</t>
        </is>
      </c>
      <c r="B195" t="inlineStr">
        <is>
          <t>Moens</t>
        </is>
      </c>
      <c r="C195" t="inlineStr">
        <is>
          <t>902.40614-42</t>
        </is>
      </c>
      <c r="D195" t="inlineStr">
        <is>
          <t>27/05/1947</t>
        </is>
      </c>
      <c r="E195" t="inlineStr">
        <is>
          <t>Pilorijnstraat 17, 3831 Herten</t>
        </is>
      </c>
      <c r="F195" t="inlineStr">
        <is>
          <t>Yacine,Nikita,Tom,Luna</t>
        </is>
      </c>
      <c r="G195" t="n">
        <v>86.40000000000001</v>
      </c>
      <c r="H195" t="n">
        <v>13</v>
      </c>
      <c r="I195" t="inlineStr">
        <is>
          <t>Bancontact</t>
        </is>
      </c>
      <c r="J195" t="inlineStr">
        <is>
          <t>ja</t>
        </is>
      </c>
      <c r="K195" t="inlineStr">
        <is>
          <t>ja</t>
        </is>
      </c>
      <c r="L195" t="inlineStr">
        <is>
          <t>ja</t>
        </is>
      </c>
      <c r="M195" t="inlineStr">
        <is>
          <t>ja</t>
        </is>
      </c>
      <c r="N195" t="inlineStr">
        <is>
          <t>ja</t>
        </is>
      </c>
      <c r="O195" t="inlineStr">
        <is>
          <t>Geen dieet</t>
        </is>
      </c>
      <c r="Q195">
        <f>LEN(G195)-LEN(SUBSTITUTE(G195,",",""))+1</f>
        <v/>
      </c>
      <c r="R195">
        <f>SWITCH(I195, "Zelden", 1, "Af en toe", 4, "Regelmatig", 8, "Vaak", 12)</f>
        <v/>
      </c>
      <c r="S195">
        <f>AVERAGE(--(K195="ja"), --(L195="ja"), --(M195="ja"), --(N195="ja"), --(O195="ja"))*10</f>
        <v/>
      </c>
      <c r="T195">
        <f>IF(S195&gt;=7, "Tevreden", "Ontevreden")</f>
        <v/>
      </c>
    </row>
    <row r="196">
      <c r="A196" t="inlineStr">
        <is>
          <t>Carl</t>
        </is>
      </c>
      <c r="B196" t="inlineStr">
        <is>
          <t>Andries</t>
        </is>
      </c>
      <c r="C196" t="inlineStr">
        <is>
          <t>109.81400-84</t>
        </is>
      </c>
      <c r="D196" t="inlineStr">
        <is>
          <t>11/12/1975</t>
        </is>
      </c>
      <c r="E196" t="inlineStr">
        <is>
          <t>Sint-margrietstraat 46, 3620 Lanaken</t>
        </is>
      </c>
      <c r="F196" t="inlineStr">
        <is>
          <t>Carl,Josephus</t>
        </is>
      </c>
      <c r="G196" t="n">
        <v>21.78</v>
      </c>
      <c r="H196" t="n">
        <v>9</v>
      </c>
      <c r="I196" t="inlineStr">
        <is>
          <t>Bancontact</t>
        </is>
      </c>
      <c r="J196" t="inlineStr">
        <is>
          <t>ja</t>
        </is>
      </c>
      <c r="K196" t="inlineStr">
        <is>
          <t>ja</t>
        </is>
      </c>
      <c r="L196" t="inlineStr">
        <is>
          <t>ja</t>
        </is>
      </c>
      <c r="M196" t="inlineStr">
        <is>
          <t>ja</t>
        </is>
      </c>
      <c r="N196" t="inlineStr">
        <is>
          <t>ja</t>
        </is>
      </c>
      <c r="O196" t="inlineStr">
        <is>
          <t>Geen dieet</t>
        </is>
      </c>
      <c r="Q196">
        <f>LEN(G196)-LEN(SUBSTITUTE(G196,",",""))+1</f>
        <v/>
      </c>
      <c r="R196">
        <f>SWITCH(I196, "Zelden", 1, "Af en toe", 4, "Regelmatig", 8, "Vaak", 12)</f>
        <v/>
      </c>
      <c r="S196">
        <f>AVERAGE(--(K196="ja"), --(L196="ja"), --(M196="ja"), --(N196="ja"), --(O196="ja"))*10</f>
        <v/>
      </c>
      <c r="T196">
        <f>IF(S196&gt;=7, "Tevreden", "Ontevreden")</f>
        <v/>
      </c>
    </row>
    <row r="197">
      <c r="A197" t="inlineStr">
        <is>
          <t>Jamila</t>
        </is>
      </c>
      <c r="B197" t="inlineStr">
        <is>
          <t>Van den berghe</t>
        </is>
      </c>
      <c r="C197" t="inlineStr">
        <is>
          <t>734.68086-55</t>
        </is>
      </c>
      <c r="D197" t="inlineStr">
        <is>
          <t>27/04/1975</t>
        </is>
      </c>
      <c r="E197" t="inlineStr">
        <is>
          <t>Dikkelindestraat 96, 3550 Heusden-Zolder</t>
        </is>
      </c>
      <c r="F197" t="inlineStr">
        <is>
          <t>Jamila,Quentin,Alida,Lore</t>
        </is>
      </c>
      <c r="G197" t="n">
        <v>94.36</v>
      </c>
      <c r="H197" t="n">
        <v>7</v>
      </c>
      <c r="I197" t="inlineStr">
        <is>
          <t>Bancontact</t>
        </is>
      </c>
      <c r="J197" t="inlineStr">
        <is>
          <t>ja</t>
        </is>
      </c>
      <c r="K197" t="inlineStr">
        <is>
          <t>nee</t>
        </is>
      </c>
      <c r="L197" t="inlineStr">
        <is>
          <t>ja</t>
        </is>
      </c>
      <c r="M197" t="inlineStr">
        <is>
          <t>ja</t>
        </is>
      </c>
      <c r="N197" t="inlineStr">
        <is>
          <t>nee</t>
        </is>
      </c>
      <c r="O197" t="inlineStr">
        <is>
          <t>Geen dieet</t>
        </is>
      </c>
      <c r="Q197">
        <f>LEN(G197)-LEN(SUBSTITUTE(G197,",",""))+1</f>
        <v/>
      </c>
      <c r="R197">
        <f>SWITCH(I197, "Zelden", 1, "Af en toe", 4, "Regelmatig", 8, "Vaak", 12)</f>
        <v/>
      </c>
      <c r="S197">
        <f>AVERAGE(--(K197="ja"), --(L197="ja"), --(M197="ja"), --(N197="ja"), --(O197="ja"))*10</f>
        <v/>
      </c>
      <c r="T197">
        <f>IF(S197&gt;=7, "Tevreden", "Ontevreden")</f>
        <v/>
      </c>
    </row>
    <row r="198">
      <c r="A198" t="inlineStr">
        <is>
          <t>Floor</t>
        </is>
      </c>
      <c r="B198" t="inlineStr">
        <is>
          <t>Lemmens</t>
        </is>
      </c>
      <c r="C198" t="inlineStr">
        <is>
          <t>238.51852-13</t>
        </is>
      </c>
      <c r="D198" t="inlineStr">
        <is>
          <t>30/11/1986</t>
        </is>
      </c>
      <c r="E198" t="inlineStr">
        <is>
          <t>Sint-pietersaalststraat 35, 3590 Diepenbeek</t>
        </is>
      </c>
      <c r="F198" t="inlineStr">
        <is>
          <t>Floor,Marina,Ben</t>
        </is>
      </c>
      <c r="G198" t="n">
        <v>185.54</v>
      </c>
      <c r="H198" t="n">
        <v>6</v>
      </c>
      <c r="I198" t="inlineStr">
        <is>
          <t>Payconiq</t>
        </is>
      </c>
      <c r="J198" t="inlineStr">
        <is>
          <t>ja</t>
        </is>
      </c>
      <c r="K198" t="inlineStr">
        <is>
          <t>ja</t>
        </is>
      </c>
      <c r="L198" t="inlineStr">
        <is>
          <t>ja</t>
        </is>
      </c>
      <c r="M198" t="inlineStr">
        <is>
          <t>nee</t>
        </is>
      </c>
      <c r="N198" t="inlineStr">
        <is>
          <t>nee</t>
        </is>
      </c>
      <c r="O198" t="inlineStr">
        <is>
          <t>Geen dieet</t>
        </is>
      </c>
      <c r="Q198">
        <f>LEN(G198)-LEN(SUBSTITUTE(G198,",",""))+1</f>
        <v/>
      </c>
      <c r="R198">
        <f>SWITCH(I198, "Zelden", 1, "Af en toe", 4, "Regelmatig", 8, "Vaak", 12)</f>
        <v/>
      </c>
      <c r="S198">
        <f>AVERAGE(--(K198="ja"), --(L198="ja"), --(M198="ja"), --(N198="ja"), --(O198="ja"))*10</f>
        <v/>
      </c>
      <c r="T198">
        <f>IF(S198&gt;=7, "Tevreden", "Ontevreden")</f>
        <v/>
      </c>
    </row>
    <row r="199">
      <c r="A199" t="inlineStr">
        <is>
          <t>Dave</t>
        </is>
      </c>
      <c r="B199" t="inlineStr">
        <is>
          <t>Janssens</t>
        </is>
      </c>
      <c r="C199" t="inlineStr">
        <is>
          <t>519.58119-48</t>
        </is>
      </c>
      <c r="D199" t="inlineStr">
        <is>
          <t>04/06/1959</t>
        </is>
      </c>
      <c r="E199" t="inlineStr">
        <is>
          <t>Sint-jozefstraat 6, 3670 Meeuwen-Gruitrode</t>
        </is>
      </c>
      <c r="F199" t="inlineStr">
        <is>
          <t>Dave,Kimberley,Ingrid,Yasmine,Justine</t>
        </is>
      </c>
      <c r="G199" t="n">
        <v>115.27</v>
      </c>
      <c r="H199" t="n">
        <v>13</v>
      </c>
      <c r="I199" t="inlineStr">
        <is>
          <t>Payconiq</t>
        </is>
      </c>
      <c r="J199" t="inlineStr">
        <is>
          <t>ja</t>
        </is>
      </c>
      <c r="K199" t="inlineStr">
        <is>
          <t>ja</t>
        </is>
      </c>
      <c r="L199" t="inlineStr">
        <is>
          <t>ja</t>
        </is>
      </c>
      <c r="M199" t="inlineStr">
        <is>
          <t>ja</t>
        </is>
      </c>
      <c r="N199" t="inlineStr">
        <is>
          <t>ja</t>
        </is>
      </c>
      <c r="O199" t="inlineStr">
        <is>
          <t>Vegetarisch</t>
        </is>
      </c>
      <c r="Q199">
        <f>LEN(G199)-LEN(SUBSTITUTE(G199,",",""))+1</f>
        <v/>
      </c>
      <c r="R199">
        <f>SWITCH(I199, "Zelden", 1, "Af en toe", 4, "Regelmatig", 8, "Vaak", 12)</f>
        <v/>
      </c>
      <c r="S199">
        <f>AVERAGE(--(K199="ja"), --(L199="ja"), --(M199="ja"), --(N199="ja"), --(O199="ja"))*10</f>
        <v/>
      </c>
      <c r="T199">
        <f>IF(S199&gt;=7, "Tevreden", "Ontevreden")</f>
        <v/>
      </c>
    </row>
    <row r="200">
      <c r="A200" t="inlineStr">
        <is>
          <t>Eduardo</t>
        </is>
      </c>
      <c r="B200" t="inlineStr">
        <is>
          <t>Verstraete</t>
        </is>
      </c>
      <c r="C200" t="inlineStr">
        <is>
          <t>889.87522-53</t>
        </is>
      </c>
      <c r="D200" t="inlineStr">
        <is>
          <t>07/10/1956</t>
        </is>
      </c>
      <c r="E200" t="inlineStr">
        <is>
          <t>Kriekerijstraat 29, 3600 Genk</t>
        </is>
      </c>
      <c r="F200" t="inlineStr">
        <is>
          <t>Eduardo,Marie-Claire,Steve,Matilde</t>
        </is>
      </c>
      <c r="G200" t="n">
        <v>164.84</v>
      </c>
      <c r="H200" t="n">
        <v>7</v>
      </c>
      <c r="I200" t="inlineStr">
        <is>
          <t>Bancontact</t>
        </is>
      </c>
      <c r="J200" t="inlineStr">
        <is>
          <t>ja</t>
        </is>
      </c>
      <c r="K200" t="inlineStr">
        <is>
          <t>ja</t>
        </is>
      </c>
      <c r="L200" t="inlineStr">
        <is>
          <t>nee</t>
        </is>
      </c>
      <c r="M200" t="inlineStr">
        <is>
          <t>ja</t>
        </is>
      </c>
      <c r="N200" t="inlineStr">
        <is>
          <t>ja</t>
        </is>
      </c>
      <c r="O200" t="inlineStr">
        <is>
          <t>Geen dieet</t>
        </is>
      </c>
      <c r="Q200">
        <f>LEN(G200)-LEN(SUBSTITUTE(G200,",",""))+1</f>
        <v/>
      </c>
      <c r="R200">
        <f>SWITCH(I200, "Zelden", 1, "Af en toe", 4, "Regelmatig", 8, "Vaak", 12)</f>
        <v/>
      </c>
      <c r="S200">
        <f>AVERAGE(--(K200="ja"), --(L200="ja"), --(M200="ja"), --(N200="ja"), --(O200="ja"))*10</f>
        <v/>
      </c>
      <c r="T200">
        <f>IF(S200&gt;=7, "Tevreden", "Ontevreden")</f>
        <v/>
      </c>
    </row>
    <row r="201">
      <c r="A201" t="inlineStr">
        <is>
          <t>Louise</t>
        </is>
      </c>
      <c r="B201" t="inlineStr">
        <is>
          <t>Meeus</t>
        </is>
      </c>
      <c r="C201" t="inlineStr">
        <is>
          <t>648.81741-10</t>
        </is>
      </c>
      <c r="D201" t="inlineStr">
        <is>
          <t>31/08/1976</t>
        </is>
      </c>
      <c r="E201" t="inlineStr">
        <is>
          <t>Lostraat 25, 3550 Heusden-Zolder</t>
        </is>
      </c>
      <c r="F201" t="inlineStr">
        <is>
          <t>Louise</t>
        </is>
      </c>
      <c r="G201" t="n">
        <v>72.23</v>
      </c>
      <c r="H201" t="n">
        <v>10</v>
      </c>
      <c r="I201" t="inlineStr">
        <is>
          <t>Bancontact</t>
        </is>
      </c>
      <c r="J201" t="inlineStr">
        <is>
          <t>ja</t>
        </is>
      </c>
      <c r="K201" t="inlineStr">
        <is>
          <t>nee</t>
        </is>
      </c>
      <c r="L201" t="inlineStr">
        <is>
          <t>nee</t>
        </is>
      </c>
      <c r="M201" t="inlineStr">
        <is>
          <t>ja</t>
        </is>
      </c>
      <c r="N201" t="inlineStr">
        <is>
          <t>ja</t>
        </is>
      </c>
      <c r="O201" t="inlineStr">
        <is>
          <t>Geen dieet</t>
        </is>
      </c>
      <c r="Q201">
        <f>LEN(G201)-LEN(SUBSTITUTE(G201,",",""))+1</f>
        <v/>
      </c>
      <c r="R201">
        <f>SWITCH(I201, "Zelden", 1, "Af en toe", 4, "Regelmatig", 8, "Vaak", 12)</f>
        <v/>
      </c>
      <c r="S201">
        <f>AVERAGE(--(K201="ja"), --(L201="ja"), --(M201="ja"), --(N201="ja"), --(O201="ja"))*10</f>
        <v/>
      </c>
      <c r="T201">
        <f>IF(S201&gt;=7, "Tevreden", "Ontevreden")</f>
        <v/>
      </c>
    </row>
    <row r="202">
      <c r="A202" t="inlineStr">
        <is>
          <t>Josiane</t>
        </is>
      </c>
      <c r="B202" t="inlineStr">
        <is>
          <t>Van camp</t>
        </is>
      </c>
      <c r="C202" t="inlineStr">
        <is>
          <t>528.62595-32</t>
        </is>
      </c>
      <c r="D202" t="inlineStr">
        <is>
          <t>13/07/1947</t>
        </is>
      </c>
      <c r="E202" t="inlineStr">
        <is>
          <t>Sint-lievenslaan 4, 3500 Hasselt</t>
        </is>
      </c>
      <c r="F202" t="inlineStr">
        <is>
          <t>Josiane,Liene,Jan,Aslan,Renée</t>
        </is>
      </c>
      <c r="G202" t="n">
        <v>218.86</v>
      </c>
      <c r="H202" t="n">
        <v>1</v>
      </c>
      <c r="I202" t="inlineStr">
        <is>
          <t>Cash</t>
        </is>
      </c>
      <c r="J202" t="inlineStr">
        <is>
          <t>ja</t>
        </is>
      </c>
      <c r="K202" t="inlineStr">
        <is>
          <t>nee</t>
        </is>
      </c>
      <c r="L202" t="inlineStr">
        <is>
          <t>nee</t>
        </is>
      </c>
      <c r="M202" t="inlineStr">
        <is>
          <t>nee</t>
        </is>
      </c>
      <c r="N202" t="inlineStr">
        <is>
          <t>ja</t>
        </is>
      </c>
      <c r="O202" t="inlineStr">
        <is>
          <t>Geen dieet</t>
        </is>
      </c>
      <c r="Q202">
        <f>LEN(G202)-LEN(SUBSTITUTE(G202,",",""))+1</f>
        <v/>
      </c>
      <c r="R202">
        <f>SWITCH(I202, "Zelden", 1, "Af en toe", 4, "Regelmatig", 8, "Vaak", 12)</f>
        <v/>
      </c>
      <c r="S202">
        <f>AVERAGE(--(K202="ja"), --(L202="ja"), --(M202="ja"), --(N202="ja"), --(O202="ja"))*10</f>
        <v/>
      </c>
      <c r="T202">
        <f>IF(S202&gt;=7, "Tevreden", "Ontevreden")</f>
        <v/>
      </c>
    </row>
    <row r="203">
      <c r="A203" t="inlineStr">
        <is>
          <t>François</t>
        </is>
      </c>
      <c r="B203" t="inlineStr">
        <is>
          <t>Michel</t>
        </is>
      </c>
      <c r="C203" t="inlineStr">
        <is>
          <t>933.18405-17</t>
        </is>
      </c>
      <c r="D203" t="inlineStr">
        <is>
          <t>13/09/1983</t>
        </is>
      </c>
      <c r="E203" t="inlineStr">
        <is>
          <t>Groot-brittanniëlaan 74, 3980 Tessenderlo</t>
        </is>
      </c>
      <c r="F203" t="inlineStr">
        <is>
          <t>François,Déborah,Abraham</t>
        </is>
      </c>
      <c r="G203" t="n">
        <v>72.7</v>
      </c>
      <c r="H203" t="n">
        <v>7</v>
      </c>
      <c r="I203" t="inlineStr">
        <is>
          <t>Payconiq</t>
        </is>
      </c>
      <c r="J203" t="inlineStr">
        <is>
          <t>nee</t>
        </is>
      </c>
      <c r="K203" t="inlineStr">
        <is>
          <t>nee</t>
        </is>
      </c>
      <c r="L203" t="inlineStr">
        <is>
          <t>ja</t>
        </is>
      </c>
      <c r="M203" t="inlineStr">
        <is>
          <t>ja</t>
        </is>
      </c>
      <c r="N203" t="inlineStr">
        <is>
          <t>ja</t>
        </is>
      </c>
      <c r="O203" t="inlineStr">
        <is>
          <t>Geen dieet</t>
        </is>
      </c>
      <c r="Q203">
        <f>LEN(G203)-LEN(SUBSTITUTE(G203,",",""))+1</f>
        <v/>
      </c>
      <c r="R203">
        <f>SWITCH(I203, "Zelden", 1, "Af en toe", 4, "Regelmatig", 8, "Vaak", 12)</f>
        <v/>
      </c>
      <c r="S203">
        <f>AVERAGE(--(K203="ja"), --(L203="ja"), --(M203="ja"), --(N203="ja"), --(O203="ja"))*10</f>
        <v/>
      </c>
      <c r="T203">
        <f>IF(S203&gt;=7, "Tevreden", "Ontevreden")</f>
        <v/>
      </c>
    </row>
    <row r="204">
      <c r="A204" t="inlineStr">
        <is>
          <t>Valérie</t>
        </is>
      </c>
      <c r="B204" t="inlineStr">
        <is>
          <t>Raes</t>
        </is>
      </c>
      <c r="C204" t="inlineStr">
        <is>
          <t>202.91444-75</t>
        </is>
      </c>
      <c r="D204" t="inlineStr">
        <is>
          <t>10/12/1999</t>
        </is>
      </c>
      <c r="E204" t="inlineStr">
        <is>
          <t>Koning Albertlaan 5, 3920 Lommel</t>
        </is>
      </c>
      <c r="F204" t="inlineStr">
        <is>
          <t>Valérie,Roger</t>
        </is>
      </c>
      <c r="G204" t="n">
        <v>63.26</v>
      </c>
      <c r="H204" t="n">
        <v>6</v>
      </c>
      <c r="I204" t="inlineStr">
        <is>
          <t>Payconiq</t>
        </is>
      </c>
      <c r="J204" t="inlineStr">
        <is>
          <t>ja</t>
        </is>
      </c>
      <c r="K204" t="inlineStr">
        <is>
          <t>nee</t>
        </is>
      </c>
      <c r="L204" t="inlineStr">
        <is>
          <t>ja</t>
        </is>
      </c>
      <c r="M204" t="inlineStr">
        <is>
          <t>nee</t>
        </is>
      </c>
      <c r="N204" t="inlineStr">
        <is>
          <t>ja</t>
        </is>
      </c>
      <c r="O204" t="inlineStr">
        <is>
          <t>Vegetarisch</t>
        </is>
      </c>
      <c r="Q204">
        <f>LEN(G204)-LEN(SUBSTITUTE(G204,",",""))+1</f>
        <v/>
      </c>
      <c r="R204">
        <f>SWITCH(I204, "Zelden", 1, "Af en toe", 4, "Regelmatig", 8, "Vaak", 12)</f>
        <v/>
      </c>
      <c r="S204">
        <f>AVERAGE(--(K204="ja"), --(L204="ja"), --(M204="ja"), --(N204="ja"), --(O204="ja"))*10</f>
        <v/>
      </c>
      <c r="T204">
        <f>IF(S204&gt;=7, "Tevreden", "Ontevreden")</f>
        <v/>
      </c>
    </row>
    <row r="205">
      <c r="A205" t="inlineStr">
        <is>
          <t>Jef</t>
        </is>
      </c>
      <c r="B205" t="inlineStr">
        <is>
          <t>Van driessche</t>
        </is>
      </c>
      <c r="C205" t="inlineStr">
        <is>
          <t>360.59618-48</t>
        </is>
      </c>
      <c r="D205" t="inlineStr">
        <is>
          <t>11/07/1953</t>
        </is>
      </c>
      <c r="E205" t="inlineStr">
        <is>
          <t>H.drubbelstraat 20, 3650 Dilsen-Stokkem</t>
        </is>
      </c>
      <c r="F205" t="inlineStr">
        <is>
          <t>Jef</t>
        </is>
      </c>
      <c r="G205" t="n">
        <v>70.52</v>
      </c>
      <c r="H205" t="n">
        <v>8</v>
      </c>
      <c r="I205" t="inlineStr">
        <is>
          <t>Bancontact</t>
        </is>
      </c>
      <c r="J205" t="inlineStr">
        <is>
          <t>ja</t>
        </is>
      </c>
      <c r="K205" t="inlineStr">
        <is>
          <t>ja</t>
        </is>
      </c>
      <c r="L205" t="inlineStr">
        <is>
          <t>nee</t>
        </is>
      </c>
      <c r="M205" t="inlineStr">
        <is>
          <t>ja</t>
        </is>
      </c>
      <c r="N205" t="inlineStr">
        <is>
          <t>nee</t>
        </is>
      </c>
      <c r="O205" t="inlineStr">
        <is>
          <t>Vegetarisch</t>
        </is>
      </c>
      <c r="Q205">
        <f>LEN(G205)-LEN(SUBSTITUTE(G205,",",""))+1</f>
        <v/>
      </c>
      <c r="R205">
        <f>SWITCH(I205, "Zelden", 1, "Af en toe", 4, "Regelmatig", 8, "Vaak", 12)</f>
        <v/>
      </c>
      <c r="S205">
        <f>AVERAGE(--(K205="ja"), --(L205="ja"), --(M205="ja"), --(N205="ja"), --(O205="ja"))*10</f>
        <v/>
      </c>
      <c r="T205">
        <f>IF(S205&gt;=7, "Tevreden", "Ontevreden")</f>
        <v/>
      </c>
    </row>
    <row r="206">
      <c r="A206" t="inlineStr">
        <is>
          <t>Selim</t>
        </is>
      </c>
      <c r="B206" t="inlineStr">
        <is>
          <t>Petit</t>
        </is>
      </c>
      <c r="C206" t="inlineStr">
        <is>
          <t>434.97474-47</t>
        </is>
      </c>
      <c r="D206" t="inlineStr">
        <is>
          <t>30/05/1984</t>
        </is>
      </c>
      <c r="E206" t="inlineStr">
        <is>
          <t>Acacialaan 23, 3680 Maaseik</t>
        </is>
      </c>
      <c r="F206" t="inlineStr">
        <is>
          <t>Selim,Patrick</t>
        </is>
      </c>
      <c r="G206" t="n">
        <v>107.98</v>
      </c>
      <c r="H206" t="n">
        <v>5</v>
      </c>
      <c r="I206" t="inlineStr">
        <is>
          <t>Payconiq</t>
        </is>
      </c>
      <c r="J206" t="inlineStr">
        <is>
          <t>ja</t>
        </is>
      </c>
      <c r="K206" t="inlineStr">
        <is>
          <t>ja</t>
        </is>
      </c>
      <c r="L206" t="inlineStr">
        <is>
          <t>ja</t>
        </is>
      </c>
      <c r="M206" t="inlineStr">
        <is>
          <t>ja</t>
        </is>
      </c>
      <c r="N206" t="inlineStr">
        <is>
          <t>ja</t>
        </is>
      </c>
      <c r="O206" t="inlineStr">
        <is>
          <t>Geen dieet</t>
        </is>
      </c>
      <c r="Q206">
        <f>LEN(G206)-LEN(SUBSTITUTE(G206,",",""))+1</f>
        <v/>
      </c>
      <c r="R206">
        <f>SWITCH(I206, "Zelden", 1, "Af en toe", 4, "Regelmatig", 8, "Vaak", 12)</f>
        <v/>
      </c>
      <c r="S206">
        <f>AVERAGE(--(K206="ja"), --(L206="ja"), --(M206="ja"), --(N206="ja"), --(O206="ja"))*10</f>
        <v/>
      </c>
      <c r="T206">
        <f>IF(S206&gt;=7, "Tevreden", "Ontevreden")</f>
        <v/>
      </c>
    </row>
    <row r="207">
      <c r="A207" t="inlineStr">
        <is>
          <t>Méline</t>
        </is>
      </c>
      <c r="B207" t="inlineStr">
        <is>
          <t>Rousseau</t>
        </is>
      </c>
      <c r="C207" t="inlineStr">
        <is>
          <t>654.66965-39</t>
        </is>
      </c>
      <c r="D207" t="inlineStr">
        <is>
          <t>19/12/1952</t>
        </is>
      </c>
      <c r="E207" t="inlineStr">
        <is>
          <t>Vliegtuiglaan 14, 3500 Hasselt</t>
        </is>
      </c>
      <c r="F207" t="inlineStr">
        <is>
          <t>Méline,Yannick,Michel,Daan,Toon</t>
        </is>
      </c>
      <c r="G207" t="n">
        <v>210.52</v>
      </c>
      <c r="H207" t="n">
        <v>9</v>
      </c>
      <c r="I207" t="inlineStr">
        <is>
          <t>Creditcard</t>
        </is>
      </c>
      <c r="J207" t="inlineStr">
        <is>
          <t>ja</t>
        </is>
      </c>
      <c r="K207" t="inlineStr">
        <is>
          <t>nee</t>
        </is>
      </c>
      <c r="L207" t="inlineStr">
        <is>
          <t>ja</t>
        </is>
      </c>
      <c r="M207" t="inlineStr">
        <is>
          <t>ja</t>
        </is>
      </c>
      <c r="N207" t="inlineStr">
        <is>
          <t>ja</t>
        </is>
      </c>
      <c r="O207" t="inlineStr">
        <is>
          <t>Vegetarisch</t>
        </is>
      </c>
      <c r="Q207">
        <f>LEN(G207)-LEN(SUBSTITUTE(G207,",",""))+1</f>
        <v/>
      </c>
      <c r="R207">
        <f>SWITCH(I207, "Zelden", 1, "Af en toe", 4, "Regelmatig", 8, "Vaak", 12)</f>
        <v/>
      </c>
      <c r="S207">
        <f>AVERAGE(--(K207="ja"), --(L207="ja"), --(M207="ja"), --(N207="ja"), --(O207="ja"))*10</f>
        <v/>
      </c>
      <c r="T207">
        <f>IF(S207&gt;=7, "Tevreden", "Ontevreden")</f>
        <v/>
      </c>
    </row>
    <row r="208">
      <c r="A208" t="inlineStr">
        <is>
          <t>Jan</t>
        </is>
      </c>
      <c r="B208" t="inlineStr">
        <is>
          <t>Driesen</t>
        </is>
      </c>
      <c r="C208" t="inlineStr">
        <is>
          <t>313.68196-22</t>
        </is>
      </c>
      <c r="D208" t="inlineStr">
        <is>
          <t>07/01/1949</t>
        </is>
      </c>
      <c r="E208" t="inlineStr">
        <is>
          <t>Loofblommestraat 98, 3630 Maasmechelen</t>
        </is>
      </c>
      <c r="F208" t="inlineStr">
        <is>
          <t>Jan</t>
        </is>
      </c>
      <c r="G208" t="n">
        <v>127.99</v>
      </c>
      <c r="H208" t="n">
        <v>1</v>
      </c>
      <c r="I208" t="inlineStr">
        <is>
          <t>Bancontact</t>
        </is>
      </c>
      <c r="J208" t="inlineStr">
        <is>
          <t>nee</t>
        </is>
      </c>
      <c r="K208" t="inlineStr">
        <is>
          <t>ja</t>
        </is>
      </c>
      <c r="L208" t="inlineStr">
        <is>
          <t>nee</t>
        </is>
      </c>
      <c r="M208" t="inlineStr">
        <is>
          <t>ja</t>
        </is>
      </c>
      <c r="N208" t="inlineStr">
        <is>
          <t>ja</t>
        </is>
      </c>
      <c r="O208" t="inlineStr">
        <is>
          <t>Geen dieet</t>
        </is>
      </c>
      <c r="Q208">
        <f>LEN(G208)-LEN(SUBSTITUTE(G208,",",""))+1</f>
        <v/>
      </c>
      <c r="R208">
        <f>SWITCH(I208, "Zelden", 1, "Af en toe", 4, "Regelmatig", 8, "Vaak", 12)</f>
        <v/>
      </c>
      <c r="S208">
        <f>AVERAGE(--(K208="ja"), --(L208="ja"), --(M208="ja"), --(N208="ja"), --(O208="ja"))*10</f>
        <v/>
      </c>
      <c r="T208">
        <f>IF(S208&gt;=7, "Tevreden", "Ontevreden")</f>
        <v/>
      </c>
    </row>
    <row r="209">
      <c r="A209" t="inlineStr">
        <is>
          <t>Christine</t>
        </is>
      </c>
      <c r="B209" t="inlineStr">
        <is>
          <t>Thys</t>
        </is>
      </c>
      <c r="C209" t="inlineStr">
        <is>
          <t>371.22817-84</t>
        </is>
      </c>
      <c r="D209" t="inlineStr">
        <is>
          <t>30/06/1985</t>
        </is>
      </c>
      <c r="E209" t="inlineStr">
        <is>
          <t>Weefselstraat 108, 3650 Dilsen-Stokkem</t>
        </is>
      </c>
      <c r="F209" t="inlineStr">
        <is>
          <t>Christine,Sara,Micheline,Zeynep</t>
        </is>
      </c>
      <c r="G209" t="n">
        <v>118.63</v>
      </c>
      <c r="H209" t="n">
        <v>5</v>
      </c>
      <c r="I209" t="inlineStr">
        <is>
          <t>Bancontact</t>
        </is>
      </c>
      <c r="J209" t="inlineStr">
        <is>
          <t>ja</t>
        </is>
      </c>
      <c r="K209" t="inlineStr">
        <is>
          <t>ja</t>
        </is>
      </c>
      <c r="L209" t="inlineStr">
        <is>
          <t>ja</t>
        </is>
      </c>
      <c r="M209" t="inlineStr">
        <is>
          <t>ja</t>
        </is>
      </c>
      <c r="N209" t="inlineStr">
        <is>
          <t>ja</t>
        </is>
      </c>
      <c r="O209" t="inlineStr">
        <is>
          <t>Geen dieet</t>
        </is>
      </c>
      <c r="Q209">
        <f>LEN(G209)-LEN(SUBSTITUTE(G209,",",""))+1</f>
        <v/>
      </c>
      <c r="R209">
        <f>SWITCH(I209, "Zelden", 1, "Af en toe", 4, "Regelmatig", 8, "Vaak", 12)</f>
        <v/>
      </c>
      <c r="S209">
        <f>AVERAGE(--(K209="ja"), --(L209="ja"), --(M209="ja"), --(N209="ja"), --(O209="ja"))*10</f>
        <v/>
      </c>
      <c r="T209">
        <f>IF(S209&gt;=7, "Tevreden", "Ontevreden")</f>
        <v/>
      </c>
    </row>
    <row r="210">
      <c r="A210" t="inlineStr">
        <is>
          <t>Franco</t>
        </is>
      </c>
      <c r="B210" t="inlineStr">
        <is>
          <t>De witte</t>
        </is>
      </c>
      <c r="C210" t="inlineStr">
        <is>
          <t>299.53895-87</t>
        </is>
      </c>
      <c r="D210" t="inlineStr">
        <is>
          <t>10/05/1972</t>
        </is>
      </c>
      <c r="E210" t="inlineStr">
        <is>
          <t>Poolse - Winglaan 3, 3520 Zonhoven</t>
        </is>
      </c>
      <c r="F210" t="inlineStr">
        <is>
          <t>Franco,Jonas,Patricia,Melissa</t>
        </is>
      </c>
      <c r="G210" t="n">
        <v>196.22</v>
      </c>
      <c r="H210" t="n">
        <v>12</v>
      </c>
      <c r="I210" t="inlineStr">
        <is>
          <t>Bancontact</t>
        </is>
      </c>
      <c r="J210" t="inlineStr">
        <is>
          <t>ja</t>
        </is>
      </c>
      <c r="K210" t="inlineStr">
        <is>
          <t>ja</t>
        </is>
      </c>
      <c r="L210" t="inlineStr">
        <is>
          <t>ja</t>
        </is>
      </c>
      <c r="M210" t="inlineStr">
        <is>
          <t>nee</t>
        </is>
      </c>
      <c r="N210" t="inlineStr">
        <is>
          <t>ja</t>
        </is>
      </c>
      <c r="O210" t="inlineStr">
        <is>
          <t>Geen dieet</t>
        </is>
      </c>
      <c r="Q210">
        <f>LEN(G210)-LEN(SUBSTITUTE(G210,",",""))+1</f>
        <v/>
      </c>
      <c r="R210">
        <f>SWITCH(I210, "Zelden", 1, "Af en toe", 4, "Regelmatig", 8, "Vaak", 12)</f>
        <v/>
      </c>
      <c r="S210">
        <f>AVERAGE(--(K210="ja"), --(L210="ja"), --(M210="ja"), --(N210="ja"), --(O210="ja"))*10</f>
        <v/>
      </c>
      <c r="T210">
        <f>IF(S210&gt;=7, "Tevreden", "Ontevreden")</f>
        <v/>
      </c>
    </row>
    <row r="211">
      <c r="A211" t="inlineStr">
        <is>
          <t>Pascal</t>
        </is>
      </c>
      <c r="B211" t="inlineStr">
        <is>
          <t>Willems</t>
        </is>
      </c>
      <c r="C211" t="inlineStr">
        <is>
          <t>17.33558-49</t>
        </is>
      </c>
      <c r="D211" t="inlineStr">
        <is>
          <t>11/12/1956</t>
        </is>
      </c>
      <c r="E211" t="inlineStr">
        <is>
          <t>Blekersdijk 24, 3600 Genk</t>
        </is>
      </c>
      <c r="F211" t="inlineStr">
        <is>
          <t>Pascal,Joseph</t>
        </is>
      </c>
      <c r="G211" t="n">
        <v>92.81999999999999</v>
      </c>
      <c r="H211" t="n">
        <v>16</v>
      </c>
      <c r="I211" t="inlineStr">
        <is>
          <t>Payconiq</t>
        </is>
      </c>
      <c r="J211" t="inlineStr">
        <is>
          <t>ja</t>
        </is>
      </c>
      <c r="K211" t="inlineStr">
        <is>
          <t>ja</t>
        </is>
      </c>
      <c r="L211" t="inlineStr">
        <is>
          <t>ja</t>
        </is>
      </c>
      <c r="M211" t="inlineStr">
        <is>
          <t>ja</t>
        </is>
      </c>
      <c r="N211" t="inlineStr">
        <is>
          <t>ja</t>
        </is>
      </c>
      <c r="O211" t="inlineStr">
        <is>
          <t>Geen dieet</t>
        </is>
      </c>
      <c r="Q211">
        <f>LEN(G211)-LEN(SUBSTITUTE(G211,",",""))+1</f>
        <v/>
      </c>
      <c r="R211">
        <f>SWITCH(I211, "Zelden", 1, "Af en toe", 4, "Regelmatig", 8, "Vaak", 12)</f>
        <v/>
      </c>
      <c r="S211">
        <f>AVERAGE(--(K211="ja"), --(L211="ja"), --(M211="ja"), --(N211="ja"), --(O211="ja"))*10</f>
        <v/>
      </c>
      <c r="T211">
        <f>IF(S211&gt;=7, "Tevreden", "Ontevreden")</f>
        <v/>
      </c>
    </row>
    <row r="212">
      <c r="A212" t="inlineStr">
        <is>
          <t>João</t>
        </is>
      </c>
      <c r="B212" t="inlineStr">
        <is>
          <t>Willems</t>
        </is>
      </c>
      <c r="C212" t="inlineStr">
        <is>
          <t>816.39787-70</t>
        </is>
      </c>
      <c r="D212" t="inlineStr">
        <is>
          <t>04/02/1990</t>
        </is>
      </c>
      <c r="E212" t="inlineStr">
        <is>
          <t>Jozef Kluyskensstraat 5, 3600 Genk</t>
        </is>
      </c>
      <c r="F212" t="inlineStr">
        <is>
          <t>João,Pippa,Joachim,Jean-Claude</t>
        </is>
      </c>
      <c r="G212" t="n">
        <v>114.24</v>
      </c>
      <c r="H212" t="n">
        <v>24</v>
      </c>
      <c r="I212" t="inlineStr">
        <is>
          <t>Bancontact</t>
        </is>
      </c>
      <c r="J212" t="inlineStr">
        <is>
          <t>ja</t>
        </is>
      </c>
      <c r="K212" t="inlineStr">
        <is>
          <t>ja</t>
        </is>
      </c>
      <c r="L212" t="inlineStr">
        <is>
          <t>ja</t>
        </is>
      </c>
      <c r="M212" t="inlineStr">
        <is>
          <t>ja</t>
        </is>
      </c>
      <c r="N212" t="inlineStr">
        <is>
          <t>ja</t>
        </is>
      </c>
      <c r="O212" t="inlineStr">
        <is>
          <t>Geen dieet</t>
        </is>
      </c>
      <c r="Q212">
        <f>LEN(G212)-LEN(SUBSTITUTE(G212,",",""))+1</f>
        <v/>
      </c>
      <c r="R212">
        <f>SWITCH(I212, "Zelden", 1, "Af en toe", 4, "Regelmatig", 8, "Vaak", 12)</f>
        <v/>
      </c>
      <c r="S212">
        <f>AVERAGE(--(K212="ja"), --(L212="ja"), --(M212="ja"), --(N212="ja"), --(O212="ja"))*10</f>
        <v/>
      </c>
      <c r="T212">
        <f>IF(S212&gt;=7, "Tevreden", "Ontevreden")</f>
        <v/>
      </c>
    </row>
    <row r="213">
      <c r="A213" t="inlineStr">
        <is>
          <t>Shadi</t>
        </is>
      </c>
      <c r="B213" t="inlineStr">
        <is>
          <t>Van den eynde</t>
        </is>
      </c>
      <c r="C213" t="inlineStr">
        <is>
          <t>401.57219-92</t>
        </is>
      </c>
      <c r="D213" t="inlineStr">
        <is>
          <t>29/05/1952</t>
        </is>
      </c>
      <c r="E213" t="inlineStr">
        <is>
          <t>Elyzeese Velden 6, 3890 Vorden</t>
        </is>
      </c>
      <c r="F213" t="inlineStr">
        <is>
          <t>Shadi</t>
        </is>
      </c>
      <c r="G213" t="n">
        <v>22.11</v>
      </c>
      <c r="H213" t="n">
        <v>5</v>
      </c>
      <c r="I213" t="inlineStr">
        <is>
          <t>Bancontact</t>
        </is>
      </c>
      <c r="J213" t="inlineStr">
        <is>
          <t>ja</t>
        </is>
      </c>
      <c r="K213" t="inlineStr">
        <is>
          <t>ja</t>
        </is>
      </c>
      <c r="L213" t="inlineStr">
        <is>
          <t>nee</t>
        </is>
      </c>
      <c r="M213" t="inlineStr">
        <is>
          <t>ja</t>
        </is>
      </c>
      <c r="N213" t="inlineStr">
        <is>
          <t>ja</t>
        </is>
      </c>
      <c r="O213" t="inlineStr">
        <is>
          <t>Geen dieet</t>
        </is>
      </c>
      <c r="Q213">
        <f>LEN(G213)-LEN(SUBSTITUTE(G213,",",""))+1</f>
        <v/>
      </c>
      <c r="R213">
        <f>SWITCH(I213, "Zelden", 1, "Af en toe", 4, "Regelmatig", 8, "Vaak", 12)</f>
        <v/>
      </c>
      <c r="S213">
        <f>AVERAGE(--(K213="ja"), --(L213="ja"), --(M213="ja"), --(N213="ja"), --(O213="ja"))*10</f>
        <v/>
      </c>
      <c r="T213">
        <f>IF(S213&gt;=7, "Tevreden", "Ontevreden")</f>
        <v/>
      </c>
    </row>
    <row r="214">
      <c r="A214" t="inlineStr">
        <is>
          <t>Tijmen</t>
        </is>
      </c>
      <c r="B214" t="inlineStr">
        <is>
          <t>Cornelis</t>
        </is>
      </c>
      <c r="C214" t="inlineStr">
        <is>
          <t>94.77346-63</t>
        </is>
      </c>
      <c r="D214" t="inlineStr">
        <is>
          <t>31/10/1956</t>
        </is>
      </c>
      <c r="E214" t="inlineStr">
        <is>
          <t>Graslei 24, 3640 Kinrooi</t>
        </is>
      </c>
      <c r="F214" t="inlineStr">
        <is>
          <t>Tijmen,Timothée</t>
        </is>
      </c>
      <c r="G214" t="n">
        <v>88.75</v>
      </c>
      <c r="H214" t="n">
        <v>9</v>
      </c>
      <c r="I214" t="inlineStr">
        <is>
          <t>Payconiq</t>
        </is>
      </c>
      <c r="J214" t="inlineStr">
        <is>
          <t>ja</t>
        </is>
      </c>
      <c r="K214" t="inlineStr">
        <is>
          <t>ja</t>
        </is>
      </c>
      <c r="L214" t="inlineStr">
        <is>
          <t>ja</t>
        </is>
      </c>
      <c r="M214" t="inlineStr">
        <is>
          <t>ja</t>
        </is>
      </c>
      <c r="N214" t="inlineStr">
        <is>
          <t>nee</t>
        </is>
      </c>
      <c r="O214" t="inlineStr">
        <is>
          <t>Geen dieet</t>
        </is>
      </c>
      <c r="Q214">
        <f>LEN(G214)-LEN(SUBSTITUTE(G214,",",""))+1</f>
        <v/>
      </c>
      <c r="R214">
        <f>SWITCH(I214, "Zelden", 1, "Af en toe", 4, "Regelmatig", 8, "Vaak", 12)</f>
        <v/>
      </c>
      <c r="S214">
        <f>AVERAGE(--(K214="ja"), --(L214="ja"), --(M214="ja"), --(N214="ja"), --(O214="ja"))*10</f>
        <v/>
      </c>
      <c r="T214">
        <f>IF(S214&gt;=7, "Tevreden", "Ontevreden")</f>
        <v/>
      </c>
    </row>
    <row r="215">
      <c r="A215" t="inlineStr">
        <is>
          <t>Francis</t>
        </is>
      </c>
      <c r="B215" t="inlineStr">
        <is>
          <t>Vanhoutte</t>
        </is>
      </c>
      <c r="C215" t="inlineStr">
        <is>
          <t>162.38124-64</t>
        </is>
      </c>
      <c r="D215" t="inlineStr">
        <is>
          <t>25/06/1963</t>
        </is>
      </c>
      <c r="E215" t="inlineStr">
        <is>
          <t>Tennisbaanstraat 1, 3640 Kinrooi</t>
        </is>
      </c>
      <c r="F215" t="inlineStr">
        <is>
          <t>Francis,Belgacem,Henk</t>
        </is>
      </c>
      <c r="G215" t="n">
        <v>42.62</v>
      </c>
      <c r="H215" t="n">
        <v>1</v>
      </c>
      <c r="I215" t="inlineStr">
        <is>
          <t>Payconiq</t>
        </is>
      </c>
      <c r="J215" t="inlineStr">
        <is>
          <t>nee</t>
        </is>
      </c>
      <c r="K215" t="inlineStr">
        <is>
          <t>ja</t>
        </is>
      </c>
      <c r="L215" t="inlineStr">
        <is>
          <t>ja</t>
        </is>
      </c>
      <c r="M215" t="inlineStr">
        <is>
          <t>ja</t>
        </is>
      </c>
      <c r="N215" t="inlineStr">
        <is>
          <t>ja</t>
        </is>
      </c>
      <c r="O215" t="inlineStr">
        <is>
          <t>Geen dieet</t>
        </is>
      </c>
      <c r="Q215">
        <f>LEN(G215)-LEN(SUBSTITUTE(G215,",",""))+1</f>
        <v/>
      </c>
      <c r="R215">
        <f>SWITCH(I215, "Zelden", 1, "Af en toe", 4, "Regelmatig", 8, "Vaak", 12)</f>
        <v/>
      </c>
      <c r="S215">
        <f>AVERAGE(--(K215="ja"), --(L215="ja"), --(M215="ja"), --(N215="ja"), --(O215="ja"))*10</f>
        <v/>
      </c>
      <c r="T215">
        <f>IF(S215&gt;=7, "Tevreden", "Ontevreden")</f>
        <v/>
      </c>
    </row>
    <row r="216">
      <c r="A216" t="inlineStr">
        <is>
          <t>Milan</t>
        </is>
      </c>
      <c r="B216" t="inlineStr">
        <is>
          <t>Legrand</t>
        </is>
      </c>
      <c r="C216" t="inlineStr">
        <is>
          <t>169.51206-72</t>
        </is>
      </c>
      <c r="D216" t="inlineStr">
        <is>
          <t>12/12/1996</t>
        </is>
      </c>
      <c r="E216" t="inlineStr">
        <is>
          <t>Gaardeniersweg 66, 3700 Tongeren</t>
        </is>
      </c>
      <c r="F216" t="inlineStr">
        <is>
          <t>Milan,Maria,Logan</t>
        </is>
      </c>
      <c r="G216" t="n">
        <v>124.87</v>
      </c>
      <c r="H216" t="n">
        <v>1</v>
      </c>
      <c r="I216" t="inlineStr">
        <is>
          <t>Payconiq</t>
        </is>
      </c>
      <c r="J216" t="inlineStr">
        <is>
          <t>nee</t>
        </is>
      </c>
      <c r="K216" t="inlineStr">
        <is>
          <t>ja</t>
        </is>
      </c>
      <c r="L216" t="inlineStr">
        <is>
          <t>nee</t>
        </is>
      </c>
      <c r="M216" t="inlineStr">
        <is>
          <t>ja</t>
        </is>
      </c>
      <c r="N216" t="inlineStr">
        <is>
          <t>ja</t>
        </is>
      </c>
      <c r="O216" t="inlineStr">
        <is>
          <t>Geen dieet</t>
        </is>
      </c>
      <c r="Q216">
        <f>LEN(G216)-LEN(SUBSTITUTE(G216,",",""))+1</f>
        <v/>
      </c>
      <c r="R216">
        <f>SWITCH(I216, "Zelden", 1, "Af en toe", 4, "Regelmatig", 8, "Vaak", 12)</f>
        <v/>
      </c>
      <c r="S216">
        <f>AVERAGE(--(K216="ja"), --(L216="ja"), --(M216="ja"), --(N216="ja"), --(O216="ja"))*10</f>
        <v/>
      </c>
      <c r="T216">
        <f>IF(S216&gt;=7, "Tevreden", "Ontevreden")</f>
        <v/>
      </c>
    </row>
    <row r="217">
      <c r="A217" t="inlineStr">
        <is>
          <t>Christa</t>
        </is>
      </c>
      <c r="B217" t="inlineStr">
        <is>
          <t>Vermeulen</t>
        </is>
      </c>
      <c r="C217" t="inlineStr">
        <is>
          <t>959.75876-52</t>
        </is>
      </c>
      <c r="D217" t="inlineStr">
        <is>
          <t>30/10/1948</t>
        </is>
      </c>
      <c r="E217" t="inlineStr">
        <is>
          <t>Industrieweg 19, 3900 Overpelt</t>
        </is>
      </c>
      <c r="F217" t="inlineStr">
        <is>
          <t>Christa,Willy,Thomas</t>
        </is>
      </c>
      <c r="G217" t="n">
        <v>136.07</v>
      </c>
      <c r="H217" t="n">
        <v>11</v>
      </c>
      <c r="I217" t="inlineStr">
        <is>
          <t>Payconiq</t>
        </is>
      </c>
      <c r="J217" t="inlineStr">
        <is>
          <t>ja</t>
        </is>
      </c>
      <c r="K217" t="inlineStr">
        <is>
          <t>ja</t>
        </is>
      </c>
      <c r="L217" t="inlineStr">
        <is>
          <t>ja</t>
        </is>
      </c>
      <c r="M217" t="inlineStr">
        <is>
          <t>nee</t>
        </is>
      </c>
      <c r="N217" t="inlineStr">
        <is>
          <t>ja</t>
        </is>
      </c>
      <c r="O217" t="inlineStr">
        <is>
          <t>Geen dieet</t>
        </is>
      </c>
      <c r="Q217">
        <f>LEN(G217)-LEN(SUBSTITUTE(G217,",",""))+1</f>
        <v/>
      </c>
      <c r="R217">
        <f>SWITCH(I217, "Zelden", 1, "Af en toe", 4, "Regelmatig", 8, "Vaak", 12)</f>
        <v/>
      </c>
      <c r="S217">
        <f>AVERAGE(--(K217="ja"), --(L217="ja"), --(M217="ja"), --(N217="ja"), --(O217="ja"))*10</f>
        <v/>
      </c>
      <c r="T217">
        <f>IF(S217&gt;=7, "Tevreden", "Ontevreden")</f>
        <v/>
      </c>
    </row>
    <row r="218">
      <c r="A218" t="inlineStr">
        <is>
          <t>Alex</t>
        </is>
      </c>
      <c r="B218" t="inlineStr">
        <is>
          <t>Vandewalle</t>
        </is>
      </c>
      <c r="C218" t="inlineStr">
        <is>
          <t>620.74862-57</t>
        </is>
      </c>
      <c r="D218" t="inlineStr">
        <is>
          <t>29/02/1952</t>
        </is>
      </c>
      <c r="E218" t="inlineStr">
        <is>
          <t>Slachthuisstraat 42, 3700 Tongeren</t>
        </is>
      </c>
      <c r="F218" t="inlineStr">
        <is>
          <t>Alex,Laurette,Kenneth,Noëlla</t>
        </is>
      </c>
      <c r="G218" t="n">
        <v>136.58</v>
      </c>
      <c r="H218" t="n">
        <v>3</v>
      </c>
      <c r="I218" t="inlineStr">
        <is>
          <t>Payconiq</t>
        </is>
      </c>
      <c r="J218" t="inlineStr">
        <is>
          <t>ja</t>
        </is>
      </c>
      <c r="K218" t="inlineStr">
        <is>
          <t>ja</t>
        </is>
      </c>
      <c r="L218" t="inlineStr">
        <is>
          <t>ja</t>
        </is>
      </c>
      <c r="M218" t="inlineStr">
        <is>
          <t>ja</t>
        </is>
      </c>
      <c r="N218" t="inlineStr">
        <is>
          <t>ja</t>
        </is>
      </c>
      <c r="O218" t="inlineStr">
        <is>
          <t>Vegetarisch</t>
        </is>
      </c>
      <c r="Q218">
        <f>LEN(G218)-LEN(SUBSTITUTE(G218,",",""))+1</f>
        <v/>
      </c>
      <c r="R218">
        <f>SWITCH(I218, "Zelden", 1, "Af en toe", 4, "Regelmatig", 8, "Vaak", 12)</f>
        <v/>
      </c>
      <c r="S218">
        <f>AVERAGE(--(K218="ja"), --(L218="ja"), --(M218="ja"), --(N218="ja"), --(O218="ja"))*10</f>
        <v/>
      </c>
      <c r="T218">
        <f>IF(S218&gt;=7, "Tevreden", "Ontevreden")</f>
        <v/>
      </c>
    </row>
    <row r="219">
      <c r="A219" t="inlineStr">
        <is>
          <t>Kenny</t>
        </is>
      </c>
      <c r="B219" t="inlineStr">
        <is>
          <t>Vandenbroucke</t>
        </is>
      </c>
      <c r="C219" t="inlineStr">
        <is>
          <t>549.19663-16</t>
        </is>
      </c>
      <c r="D219" t="inlineStr">
        <is>
          <t>10/12/1952</t>
        </is>
      </c>
      <c r="E219" t="inlineStr">
        <is>
          <t>Vierweegsestraat 2, 3700 Tongeren</t>
        </is>
      </c>
      <c r="F219" t="inlineStr">
        <is>
          <t>Kenny,Julienne,Albert,Ruddi,Marie-Anne,Elaine</t>
        </is>
      </c>
      <c r="G219" t="n">
        <v>118.72</v>
      </c>
      <c r="H219" t="n">
        <v>14</v>
      </c>
      <c r="I219" t="inlineStr">
        <is>
          <t>Payconiq</t>
        </is>
      </c>
      <c r="J219" t="inlineStr">
        <is>
          <t>nee</t>
        </is>
      </c>
      <c r="K219" t="inlineStr">
        <is>
          <t>ja</t>
        </is>
      </c>
      <c r="L219" t="inlineStr">
        <is>
          <t>ja</t>
        </is>
      </c>
      <c r="M219" t="inlineStr">
        <is>
          <t>ja</t>
        </is>
      </c>
      <c r="N219" t="inlineStr">
        <is>
          <t>nee</t>
        </is>
      </c>
      <c r="O219" t="inlineStr">
        <is>
          <t>Geen dieet</t>
        </is>
      </c>
      <c r="Q219">
        <f>LEN(G219)-LEN(SUBSTITUTE(G219,",",""))+1</f>
        <v/>
      </c>
      <c r="R219">
        <f>SWITCH(I219, "Zelden", 1, "Af en toe", 4, "Regelmatig", 8, "Vaak", 12)</f>
        <v/>
      </c>
      <c r="S219">
        <f>AVERAGE(--(K219="ja"), --(L219="ja"), --(M219="ja"), --(N219="ja"), --(O219="ja"))*10</f>
        <v/>
      </c>
      <c r="T219">
        <f>IF(S219&gt;=7, "Tevreden", "Ontevreden")</f>
        <v/>
      </c>
    </row>
    <row r="220">
      <c r="A220" t="inlineStr">
        <is>
          <t>Jeanine</t>
        </is>
      </c>
      <c r="B220" t="inlineStr">
        <is>
          <t>Goris</t>
        </is>
      </c>
      <c r="C220" t="inlineStr">
        <is>
          <t>218.67322-22</t>
        </is>
      </c>
      <c r="D220" t="inlineStr">
        <is>
          <t>16/10/1962</t>
        </is>
      </c>
      <c r="E220" t="inlineStr">
        <is>
          <t>Onze-lieve-vrouwdreef 4, 3920 Lommel</t>
        </is>
      </c>
      <c r="F220" t="inlineStr">
        <is>
          <t>Jeanine,Khadija,Marguerite,William</t>
        </is>
      </c>
      <c r="G220" t="n">
        <v>156.19</v>
      </c>
      <c r="H220" t="n">
        <v>6</v>
      </c>
      <c r="I220" t="inlineStr">
        <is>
          <t>Payconiq</t>
        </is>
      </c>
      <c r="J220" t="inlineStr">
        <is>
          <t>nee</t>
        </is>
      </c>
      <c r="K220" t="inlineStr">
        <is>
          <t>ja</t>
        </is>
      </c>
      <c r="L220" t="inlineStr">
        <is>
          <t>nee</t>
        </is>
      </c>
      <c r="M220" t="inlineStr">
        <is>
          <t>ja</t>
        </is>
      </c>
      <c r="N220" t="inlineStr">
        <is>
          <t>nee</t>
        </is>
      </c>
      <c r="O220" t="inlineStr">
        <is>
          <t>Geen dieet</t>
        </is>
      </c>
      <c r="Q220">
        <f>LEN(G220)-LEN(SUBSTITUTE(G220,",",""))+1</f>
        <v/>
      </c>
      <c r="R220">
        <f>SWITCH(I220, "Zelden", 1, "Af en toe", 4, "Regelmatig", 8, "Vaak", 12)</f>
        <v/>
      </c>
      <c r="S220">
        <f>AVERAGE(--(K220="ja"), --(L220="ja"), --(M220="ja"), --(N220="ja"), --(O220="ja"))*10</f>
        <v/>
      </c>
      <c r="T220">
        <f>IF(S220&gt;=7, "Tevreden", "Ontevreden")</f>
        <v/>
      </c>
    </row>
    <row r="221">
      <c r="A221" t="inlineStr">
        <is>
          <t>Filip</t>
        </is>
      </c>
      <c r="B221" t="inlineStr">
        <is>
          <t>Peters</t>
        </is>
      </c>
      <c r="C221" t="inlineStr">
        <is>
          <t>88.89191-75</t>
        </is>
      </c>
      <c r="D221" t="inlineStr">
        <is>
          <t>25/11/1951</t>
        </is>
      </c>
      <c r="E221" t="inlineStr">
        <is>
          <t>Voormuide 8, 3530 Houthalen-Helchteren</t>
        </is>
      </c>
      <c r="F221" t="inlineStr">
        <is>
          <t>Filip,Yolande,Carine</t>
        </is>
      </c>
      <c r="G221" t="n">
        <v>164.22</v>
      </c>
      <c r="H221" t="n">
        <v>6</v>
      </c>
      <c r="I221" t="inlineStr">
        <is>
          <t>Bancontact</t>
        </is>
      </c>
      <c r="J221" t="inlineStr">
        <is>
          <t>ja</t>
        </is>
      </c>
      <c r="K221" t="inlineStr">
        <is>
          <t>ja</t>
        </is>
      </c>
      <c r="L221" t="inlineStr">
        <is>
          <t>nee</t>
        </is>
      </c>
      <c r="M221" t="inlineStr">
        <is>
          <t>ja</t>
        </is>
      </c>
      <c r="N221" t="inlineStr">
        <is>
          <t>ja</t>
        </is>
      </c>
      <c r="O221" t="inlineStr">
        <is>
          <t>Geen dieet</t>
        </is>
      </c>
      <c r="Q221">
        <f>LEN(G221)-LEN(SUBSTITUTE(G221,",",""))+1</f>
        <v/>
      </c>
      <c r="R221">
        <f>SWITCH(I221, "Zelden", 1, "Af en toe", 4, "Regelmatig", 8, "Vaak", 12)</f>
        <v/>
      </c>
      <c r="S221">
        <f>AVERAGE(--(K221="ja"), --(L221="ja"), --(M221="ja"), --(N221="ja"), --(O221="ja"))*10</f>
        <v/>
      </c>
      <c r="T221">
        <f>IF(S221&gt;=7, "Tevreden", "Ontevreden")</f>
        <v/>
      </c>
    </row>
    <row r="222">
      <c r="A222" t="inlineStr">
        <is>
          <t>Gerlinda</t>
        </is>
      </c>
      <c r="B222" t="inlineStr">
        <is>
          <t>Thomas</t>
        </is>
      </c>
      <c r="C222" t="inlineStr">
        <is>
          <t>416.20327-90</t>
        </is>
      </c>
      <c r="D222" t="inlineStr">
        <is>
          <t>26/08/1978</t>
        </is>
      </c>
      <c r="E222" t="inlineStr">
        <is>
          <t>Reep 5, 3600 Genk</t>
        </is>
      </c>
      <c r="F222" t="inlineStr">
        <is>
          <t>Gerlinda,Nel,Eduardo,Kurt</t>
        </is>
      </c>
      <c r="G222" t="n">
        <v>221.25</v>
      </c>
      <c r="H222" t="n">
        <v>3</v>
      </c>
      <c r="I222" t="inlineStr">
        <is>
          <t>Bancontact</t>
        </is>
      </c>
      <c r="J222" t="inlineStr">
        <is>
          <t>ja</t>
        </is>
      </c>
      <c r="K222" t="inlineStr">
        <is>
          <t>nee</t>
        </is>
      </c>
      <c r="L222" t="inlineStr">
        <is>
          <t>ja</t>
        </is>
      </c>
      <c r="M222" t="inlineStr">
        <is>
          <t>nee</t>
        </is>
      </c>
      <c r="N222" t="inlineStr">
        <is>
          <t>ja</t>
        </is>
      </c>
      <c r="O222" t="inlineStr">
        <is>
          <t>Geen dieet</t>
        </is>
      </c>
      <c r="Q222">
        <f>LEN(G222)-LEN(SUBSTITUTE(G222,",",""))+1</f>
        <v/>
      </c>
      <c r="R222">
        <f>SWITCH(I222, "Zelden", 1, "Af en toe", 4, "Regelmatig", 8, "Vaak", 12)</f>
        <v/>
      </c>
      <c r="S222">
        <f>AVERAGE(--(K222="ja"), --(L222="ja"), --(M222="ja"), --(N222="ja"), --(O222="ja"))*10</f>
        <v/>
      </c>
      <c r="T222">
        <f>IF(S222&gt;=7, "Tevreden", "Ontevreden")</f>
        <v/>
      </c>
    </row>
    <row r="223">
      <c r="A223" t="inlineStr">
        <is>
          <t>Simon</t>
        </is>
      </c>
      <c r="B223" t="inlineStr">
        <is>
          <t>Hubert</t>
        </is>
      </c>
      <c r="C223" t="inlineStr">
        <is>
          <t>68.46934-27</t>
        </is>
      </c>
      <c r="D223" t="inlineStr">
        <is>
          <t>24/09/1949</t>
        </is>
      </c>
      <c r="E223" t="inlineStr">
        <is>
          <t>Boeierstraat 99, 3840 Borgloon</t>
        </is>
      </c>
      <c r="F223" t="inlineStr">
        <is>
          <t>Simon,Georgi,Yves,Noortje</t>
        </is>
      </c>
      <c r="G223" t="n">
        <v>101</v>
      </c>
      <c r="H223" t="n">
        <v>16</v>
      </c>
      <c r="I223" t="inlineStr">
        <is>
          <t>Bancontact</t>
        </is>
      </c>
      <c r="J223" t="inlineStr">
        <is>
          <t>ja</t>
        </is>
      </c>
      <c r="K223" t="inlineStr">
        <is>
          <t>ja</t>
        </is>
      </c>
      <c r="L223" t="inlineStr">
        <is>
          <t>nee</t>
        </is>
      </c>
      <c r="M223" t="inlineStr">
        <is>
          <t>ja</t>
        </is>
      </c>
      <c r="N223" t="inlineStr">
        <is>
          <t>ja</t>
        </is>
      </c>
      <c r="O223" t="inlineStr">
        <is>
          <t>Geen dieet</t>
        </is>
      </c>
      <c r="Q223">
        <f>LEN(G223)-LEN(SUBSTITUTE(G223,",",""))+1</f>
        <v/>
      </c>
      <c r="R223">
        <f>SWITCH(I223, "Zelden", 1, "Af en toe", 4, "Regelmatig", 8, "Vaak", 12)</f>
        <v/>
      </c>
      <c r="S223">
        <f>AVERAGE(--(K223="ja"), --(L223="ja"), --(M223="ja"), --(N223="ja"), --(O223="ja"))*10</f>
        <v/>
      </c>
      <c r="T223">
        <f>IF(S223&gt;=7, "Tevreden", "Ontevreden")</f>
        <v/>
      </c>
    </row>
    <row r="224">
      <c r="A224" t="inlineStr">
        <is>
          <t>Yvonna</t>
        </is>
      </c>
      <c r="B224" t="inlineStr">
        <is>
          <t>Lenaerts</t>
        </is>
      </c>
      <c r="C224" t="inlineStr">
        <is>
          <t>928.46395-68</t>
        </is>
      </c>
      <c r="D224" t="inlineStr">
        <is>
          <t>10/11/1981</t>
        </is>
      </c>
      <c r="E224" t="inlineStr">
        <is>
          <t>St.- Arnoustraat 18, 3600 Genk</t>
        </is>
      </c>
      <c r="F224" t="inlineStr">
        <is>
          <t>Yvonna,Josiane,Yi,Boris</t>
        </is>
      </c>
      <c r="G224" t="n">
        <v>159.75</v>
      </c>
      <c r="H224" t="n">
        <v>8</v>
      </c>
      <c r="I224" t="inlineStr">
        <is>
          <t>Bancontact</t>
        </is>
      </c>
      <c r="J224" t="inlineStr">
        <is>
          <t>ja</t>
        </is>
      </c>
      <c r="K224" t="inlineStr">
        <is>
          <t>nee</t>
        </is>
      </c>
      <c r="L224" t="inlineStr">
        <is>
          <t>ja</t>
        </is>
      </c>
      <c r="M224" t="inlineStr">
        <is>
          <t>ja</t>
        </is>
      </c>
      <c r="N224" t="inlineStr">
        <is>
          <t>ja</t>
        </is>
      </c>
      <c r="O224" t="inlineStr">
        <is>
          <t>Geen dieet</t>
        </is>
      </c>
      <c r="Q224">
        <f>LEN(G224)-LEN(SUBSTITUTE(G224,",",""))+1</f>
        <v/>
      </c>
      <c r="R224">
        <f>SWITCH(I224, "Zelden", 1, "Af en toe", 4, "Regelmatig", 8, "Vaak", 12)</f>
        <v/>
      </c>
      <c r="S224">
        <f>AVERAGE(--(K224="ja"), --(L224="ja"), --(M224="ja"), --(N224="ja"), --(O224="ja"))*10</f>
        <v/>
      </c>
      <c r="T224">
        <f>IF(S224&gt;=7, "Tevreden", "Ontevreden")</f>
        <v/>
      </c>
    </row>
    <row r="225">
      <c r="A225" t="inlineStr">
        <is>
          <t>Evgeniy</t>
        </is>
      </c>
      <c r="B225" t="inlineStr">
        <is>
          <t>Goossens</t>
        </is>
      </c>
      <c r="C225" t="inlineStr">
        <is>
          <t>373.99482-76</t>
        </is>
      </c>
      <c r="D225" t="inlineStr">
        <is>
          <t>27/12/1960</t>
        </is>
      </c>
      <c r="E225" t="inlineStr">
        <is>
          <t>Coupure Links 26, 3600 Genk</t>
        </is>
      </c>
      <c r="F225" t="inlineStr">
        <is>
          <t>Evgeniy,Yanko,Moustapha,Inès</t>
        </is>
      </c>
      <c r="G225" t="n">
        <v>147.02</v>
      </c>
      <c r="H225" t="n">
        <v>16</v>
      </c>
      <c r="I225" t="inlineStr">
        <is>
          <t>Bancontact</t>
        </is>
      </c>
      <c r="J225" t="inlineStr">
        <is>
          <t>ja</t>
        </is>
      </c>
      <c r="K225" t="inlineStr">
        <is>
          <t>ja</t>
        </is>
      </c>
      <c r="L225" t="inlineStr">
        <is>
          <t>nee</t>
        </is>
      </c>
      <c r="M225" t="inlineStr">
        <is>
          <t>ja</t>
        </is>
      </c>
      <c r="N225" t="inlineStr">
        <is>
          <t>ja</t>
        </is>
      </c>
      <c r="O225" t="inlineStr">
        <is>
          <t>Geen dieet</t>
        </is>
      </c>
      <c r="Q225">
        <f>LEN(G225)-LEN(SUBSTITUTE(G225,",",""))+1</f>
        <v/>
      </c>
      <c r="R225">
        <f>SWITCH(I225, "Zelden", 1, "Af en toe", 4, "Regelmatig", 8, "Vaak", 12)</f>
        <v/>
      </c>
      <c r="S225">
        <f>AVERAGE(--(K225="ja"), --(L225="ja"), --(M225="ja"), --(N225="ja"), --(O225="ja"))*10</f>
        <v/>
      </c>
      <c r="T225">
        <f>IF(S225&gt;=7, "Tevreden", "Ontevreden")</f>
        <v/>
      </c>
    </row>
    <row r="226">
      <c r="A226" t="inlineStr">
        <is>
          <t>Tim</t>
        </is>
      </c>
      <c r="B226" t="inlineStr">
        <is>
          <t>Reynders</t>
        </is>
      </c>
      <c r="C226" t="inlineStr">
        <is>
          <t>459.84041-20</t>
        </is>
      </c>
      <c r="D226" t="inlineStr">
        <is>
          <t>20/01/1983</t>
        </is>
      </c>
      <c r="E226" t="inlineStr">
        <is>
          <t>Forelstraat 24, 3740 Bilzen</t>
        </is>
      </c>
      <c r="F226" t="inlineStr">
        <is>
          <t>Tim,Hailey</t>
        </is>
      </c>
      <c r="G226" t="n">
        <v>50.89</v>
      </c>
      <c r="H226" t="n">
        <v>22</v>
      </c>
      <c r="I226" t="inlineStr">
        <is>
          <t>Cash</t>
        </is>
      </c>
      <c r="J226" t="inlineStr">
        <is>
          <t>nee</t>
        </is>
      </c>
      <c r="K226" t="inlineStr">
        <is>
          <t>nee</t>
        </is>
      </c>
      <c r="L226" t="inlineStr">
        <is>
          <t>ja</t>
        </is>
      </c>
      <c r="M226" t="inlineStr">
        <is>
          <t>ja</t>
        </is>
      </c>
      <c r="N226" t="inlineStr">
        <is>
          <t>ja</t>
        </is>
      </c>
      <c r="O226" t="inlineStr">
        <is>
          <t>Vegetarisch</t>
        </is>
      </c>
      <c r="Q226">
        <f>LEN(G226)-LEN(SUBSTITUTE(G226,",",""))+1</f>
        <v/>
      </c>
      <c r="R226">
        <f>SWITCH(I226, "Zelden", 1, "Af en toe", 4, "Regelmatig", 8, "Vaak", 12)</f>
        <v/>
      </c>
      <c r="S226">
        <f>AVERAGE(--(K226="ja"), --(L226="ja"), --(M226="ja"), --(N226="ja"), --(O226="ja"))*10</f>
        <v/>
      </c>
      <c r="T226">
        <f>IF(S226&gt;=7, "Tevreden", "Ontevreden")</f>
        <v/>
      </c>
    </row>
    <row r="227">
      <c r="A227" t="inlineStr">
        <is>
          <t>Paula</t>
        </is>
      </c>
      <c r="B227" t="inlineStr">
        <is>
          <t>Christiaens</t>
        </is>
      </c>
      <c r="C227" t="inlineStr">
        <is>
          <t>669.81565-65</t>
        </is>
      </c>
      <c r="D227" t="inlineStr">
        <is>
          <t>12/06/1957</t>
        </is>
      </c>
      <c r="E227" t="inlineStr">
        <is>
          <t>Eekhoutdriesstraat 72, 3640 Kinrooi</t>
        </is>
      </c>
      <c r="F227" t="inlineStr">
        <is>
          <t>Paula,Aurélien,Silvia</t>
        </is>
      </c>
      <c r="G227" t="n">
        <v>97.34</v>
      </c>
      <c r="H227" t="n">
        <v>15</v>
      </c>
      <c r="I227" t="inlineStr">
        <is>
          <t>Payconiq</t>
        </is>
      </c>
      <c r="J227" t="inlineStr">
        <is>
          <t>nee</t>
        </is>
      </c>
      <c r="K227" t="inlineStr">
        <is>
          <t>ja</t>
        </is>
      </c>
      <c r="L227" t="inlineStr">
        <is>
          <t>ja</t>
        </is>
      </c>
      <c r="M227" t="inlineStr">
        <is>
          <t>ja</t>
        </is>
      </c>
      <c r="N227" t="inlineStr">
        <is>
          <t>ja</t>
        </is>
      </c>
      <c r="O227" t="inlineStr">
        <is>
          <t>Geen dieet</t>
        </is>
      </c>
      <c r="Q227">
        <f>LEN(G227)-LEN(SUBSTITUTE(G227,",",""))+1</f>
        <v/>
      </c>
      <c r="R227">
        <f>SWITCH(I227, "Zelden", 1, "Af en toe", 4, "Regelmatig", 8, "Vaak", 12)</f>
        <v/>
      </c>
      <c r="S227">
        <f>AVERAGE(--(K227="ja"), --(L227="ja"), --(M227="ja"), --(N227="ja"), --(O227="ja"))*10</f>
        <v/>
      </c>
      <c r="T227">
        <f>IF(S227&gt;=7, "Tevreden", "Ontevreden")</f>
        <v/>
      </c>
    </row>
    <row r="228">
      <c r="A228" t="inlineStr">
        <is>
          <t>Luc</t>
        </is>
      </c>
      <c r="B228" t="inlineStr">
        <is>
          <t>Bosmans</t>
        </is>
      </c>
      <c r="C228" t="inlineStr">
        <is>
          <t>971.85753-10</t>
        </is>
      </c>
      <c r="D228" t="inlineStr">
        <is>
          <t>30/12/2001</t>
        </is>
      </c>
      <c r="E228" t="inlineStr">
        <is>
          <t>Francisco Ferrerlaan 6, 3530 Houthalen-Helchteren</t>
        </is>
      </c>
      <c r="F228" t="inlineStr">
        <is>
          <t>Luc,Loes,Abdelhadi</t>
        </is>
      </c>
      <c r="G228" t="n">
        <v>152.71</v>
      </c>
      <c r="H228" t="n">
        <v>10</v>
      </c>
      <c r="I228" t="inlineStr">
        <is>
          <t>Bancontact</t>
        </is>
      </c>
      <c r="J228" t="inlineStr">
        <is>
          <t>ja</t>
        </is>
      </c>
      <c r="K228" t="inlineStr">
        <is>
          <t>ja</t>
        </is>
      </c>
      <c r="L228" t="inlineStr">
        <is>
          <t>ja</t>
        </is>
      </c>
      <c r="M228" t="inlineStr">
        <is>
          <t>ja</t>
        </is>
      </c>
      <c r="N228" t="inlineStr">
        <is>
          <t>ja</t>
        </is>
      </c>
      <c r="O228" t="inlineStr">
        <is>
          <t>Geen dieet</t>
        </is>
      </c>
      <c r="Q228">
        <f>LEN(G228)-LEN(SUBSTITUTE(G228,",",""))+1</f>
        <v/>
      </c>
      <c r="R228">
        <f>SWITCH(I228, "Zelden", 1, "Af en toe", 4, "Regelmatig", 8, "Vaak", 12)</f>
        <v/>
      </c>
      <c r="S228">
        <f>AVERAGE(--(K228="ja"), --(L228="ja"), --(M228="ja"), --(N228="ja"), --(O228="ja"))*10</f>
        <v/>
      </c>
      <c r="T228">
        <f>IF(S228&gt;=7, "Tevreden", "Ontevreden")</f>
        <v/>
      </c>
    </row>
    <row r="229">
      <c r="A229" t="inlineStr">
        <is>
          <t>Jorn</t>
        </is>
      </c>
      <c r="B229" t="inlineStr">
        <is>
          <t>De moor</t>
        </is>
      </c>
      <c r="C229" t="inlineStr">
        <is>
          <t>770.27710-36</t>
        </is>
      </c>
      <c r="D229" t="inlineStr">
        <is>
          <t>09/11/2000</t>
        </is>
      </c>
      <c r="E229" t="inlineStr">
        <is>
          <t>Dreef 33, 3520 Zonhoven</t>
        </is>
      </c>
      <c r="F229" t="inlineStr">
        <is>
          <t>Jorn,Rania,Sibylle,Isabella</t>
        </is>
      </c>
      <c r="G229" t="n">
        <v>274.52</v>
      </c>
      <c r="H229" t="n">
        <v>19</v>
      </c>
      <c r="I229" t="inlineStr">
        <is>
          <t>Bancontact</t>
        </is>
      </c>
      <c r="J229" t="inlineStr">
        <is>
          <t>nee</t>
        </is>
      </c>
      <c r="K229" t="inlineStr">
        <is>
          <t>ja</t>
        </is>
      </c>
      <c r="L229" t="inlineStr">
        <is>
          <t>ja</t>
        </is>
      </c>
      <c r="M229" t="inlineStr">
        <is>
          <t>ja</t>
        </is>
      </c>
      <c r="N229" t="inlineStr">
        <is>
          <t>ja</t>
        </is>
      </c>
      <c r="O229" t="inlineStr">
        <is>
          <t>Geen dieet</t>
        </is>
      </c>
      <c r="Q229">
        <f>LEN(G229)-LEN(SUBSTITUTE(G229,",",""))+1</f>
        <v/>
      </c>
      <c r="R229">
        <f>SWITCH(I229, "Zelden", 1, "Af en toe", 4, "Regelmatig", 8, "Vaak", 12)</f>
        <v/>
      </c>
      <c r="S229">
        <f>AVERAGE(--(K229="ja"), --(L229="ja"), --(M229="ja"), --(N229="ja"), --(O229="ja"))*10</f>
        <v/>
      </c>
      <c r="T229">
        <f>IF(S229&gt;=7, "Tevreden", "Ontevreden")</f>
        <v/>
      </c>
    </row>
    <row r="230">
      <c r="A230" t="inlineStr">
        <is>
          <t>Emma</t>
        </is>
      </c>
      <c r="B230" t="inlineStr">
        <is>
          <t>Simons</t>
        </is>
      </c>
      <c r="C230" t="inlineStr">
        <is>
          <t>875.84851-57</t>
        </is>
      </c>
      <c r="D230" t="inlineStr">
        <is>
          <t>01/02/1956</t>
        </is>
      </c>
      <c r="E230" t="inlineStr">
        <is>
          <t>Frere Orbanlaan 41, 3530 Houthalen-Helchteren</t>
        </is>
      </c>
      <c r="F230" t="inlineStr">
        <is>
          <t>Emma,Stan,Nanou,Capucine</t>
        </is>
      </c>
      <c r="G230" t="n">
        <v>86.43000000000001</v>
      </c>
      <c r="H230" t="n">
        <v>27</v>
      </c>
      <c r="I230" t="inlineStr">
        <is>
          <t>Payconiq</t>
        </is>
      </c>
      <c r="J230" t="inlineStr">
        <is>
          <t>nee</t>
        </is>
      </c>
      <c r="K230" t="inlineStr">
        <is>
          <t>ja</t>
        </is>
      </c>
      <c r="L230" t="inlineStr">
        <is>
          <t>nee</t>
        </is>
      </c>
      <c r="M230" t="inlineStr">
        <is>
          <t>nee</t>
        </is>
      </c>
      <c r="N230" t="inlineStr">
        <is>
          <t>ja</t>
        </is>
      </c>
      <c r="O230" t="inlineStr">
        <is>
          <t>Veganistisch</t>
        </is>
      </c>
      <c r="Q230">
        <f>LEN(G230)-LEN(SUBSTITUTE(G230,",",""))+1</f>
        <v/>
      </c>
      <c r="R230">
        <f>SWITCH(I230, "Zelden", 1, "Af en toe", 4, "Regelmatig", 8, "Vaak", 12)</f>
        <v/>
      </c>
      <c r="S230">
        <f>AVERAGE(--(K230="ja"), --(L230="ja"), --(M230="ja"), --(N230="ja"), --(O230="ja"))*10</f>
        <v/>
      </c>
      <c r="T230">
        <f>IF(S230&gt;=7, "Tevreden", "Ontevreden")</f>
        <v/>
      </c>
    </row>
    <row r="231">
      <c r="A231" t="inlineStr">
        <is>
          <t>Jessica</t>
        </is>
      </c>
      <c r="B231" t="inlineStr">
        <is>
          <t>Bauwens</t>
        </is>
      </c>
      <c r="C231" t="inlineStr">
        <is>
          <t>606.14722-45</t>
        </is>
      </c>
      <c r="D231" t="inlineStr">
        <is>
          <t>02/08/1959</t>
        </is>
      </c>
      <c r="E231" t="inlineStr">
        <is>
          <t>Jacob Van Arteveldestraat 16, 3500 Hasselt</t>
        </is>
      </c>
      <c r="F231" t="inlineStr">
        <is>
          <t>Jessica,Alexy</t>
        </is>
      </c>
      <c r="G231" t="n">
        <v>131.67</v>
      </c>
      <c r="H231" t="n">
        <v>4</v>
      </c>
      <c r="I231" t="inlineStr">
        <is>
          <t>Bancontact</t>
        </is>
      </c>
      <c r="J231" t="inlineStr">
        <is>
          <t>ja</t>
        </is>
      </c>
      <c r="K231" t="inlineStr">
        <is>
          <t>nee</t>
        </is>
      </c>
      <c r="L231" t="inlineStr">
        <is>
          <t>ja</t>
        </is>
      </c>
      <c r="M231" t="inlineStr">
        <is>
          <t>ja</t>
        </is>
      </c>
      <c r="N231" t="inlineStr">
        <is>
          <t>ja</t>
        </is>
      </c>
      <c r="O231" t="inlineStr">
        <is>
          <t>Geen dieet</t>
        </is>
      </c>
      <c r="Q231">
        <f>LEN(G231)-LEN(SUBSTITUTE(G231,",",""))+1</f>
        <v/>
      </c>
      <c r="R231">
        <f>SWITCH(I231, "Zelden", 1, "Af en toe", 4, "Regelmatig", 8, "Vaak", 12)</f>
        <v/>
      </c>
      <c r="S231">
        <f>AVERAGE(--(K231="ja"), --(L231="ja"), --(M231="ja"), --(N231="ja"), --(O231="ja"))*10</f>
        <v/>
      </c>
      <c r="T231">
        <f>IF(S231&gt;=7, "Tevreden", "Ontevreden")</f>
        <v/>
      </c>
    </row>
    <row r="232">
      <c r="A232" t="inlineStr">
        <is>
          <t>Patrick</t>
        </is>
      </c>
      <c r="B232" t="inlineStr">
        <is>
          <t>Willems</t>
        </is>
      </c>
      <c r="C232" t="inlineStr">
        <is>
          <t>171.71226-94</t>
        </is>
      </c>
      <c r="D232" t="inlineStr">
        <is>
          <t>20/06/1989</t>
        </is>
      </c>
      <c r="E232" t="inlineStr">
        <is>
          <t>Borkelaarstraat 28, 3500 Hasselt</t>
        </is>
      </c>
      <c r="F232" t="inlineStr">
        <is>
          <t>Patrick,Marcel,Dursun,Adèle,Kris,Kurt,Olivier</t>
        </is>
      </c>
      <c r="G232" t="n">
        <v>180.59</v>
      </c>
      <c r="H232" t="n">
        <v>8</v>
      </c>
      <c r="I232" t="inlineStr">
        <is>
          <t>Payconiq</t>
        </is>
      </c>
      <c r="J232" t="inlineStr">
        <is>
          <t>ja</t>
        </is>
      </c>
      <c r="K232" t="inlineStr">
        <is>
          <t>ja</t>
        </is>
      </c>
      <c r="L232" t="inlineStr">
        <is>
          <t>ja</t>
        </is>
      </c>
      <c r="M232" t="inlineStr">
        <is>
          <t>ja</t>
        </is>
      </c>
      <c r="N232" t="inlineStr">
        <is>
          <t>nee</t>
        </is>
      </c>
      <c r="O232" t="inlineStr">
        <is>
          <t>Vegetarisch</t>
        </is>
      </c>
      <c r="Q232">
        <f>LEN(G232)-LEN(SUBSTITUTE(G232,",",""))+1</f>
        <v/>
      </c>
      <c r="R232">
        <f>SWITCH(I232, "Zelden", 1, "Af en toe", 4, "Regelmatig", 8, "Vaak", 12)</f>
        <v/>
      </c>
      <c r="S232">
        <f>AVERAGE(--(K232="ja"), --(L232="ja"), --(M232="ja"), --(N232="ja"), --(O232="ja"))*10</f>
        <v/>
      </c>
      <c r="T232">
        <f>IF(S232&gt;=7, "Tevreden", "Ontevreden")</f>
        <v/>
      </c>
    </row>
    <row r="233">
      <c r="A233" t="inlineStr">
        <is>
          <t>Danièle</t>
        </is>
      </c>
      <c r="B233" t="inlineStr">
        <is>
          <t>Peeters</t>
        </is>
      </c>
      <c r="C233" t="inlineStr">
        <is>
          <t>430.58143-91</t>
        </is>
      </c>
      <c r="D233" t="inlineStr">
        <is>
          <t>14/09/1985</t>
        </is>
      </c>
      <c r="E233" t="inlineStr">
        <is>
          <t>Oudevest 1, 3740 Bilzen</t>
        </is>
      </c>
      <c r="F233" t="inlineStr">
        <is>
          <t>Danièle,Viviane</t>
        </is>
      </c>
      <c r="G233" t="n">
        <v>134.19</v>
      </c>
      <c r="H233" t="n">
        <v>27</v>
      </c>
      <c r="I233" t="inlineStr">
        <is>
          <t>Bancontact</t>
        </is>
      </c>
      <c r="J233" t="inlineStr">
        <is>
          <t>nee</t>
        </is>
      </c>
      <c r="K233" t="inlineStr">
        <is>
          <t>ja</t>
        </is>
      </c>
      <c r="L233" t="inlineStr">
        <is>
          <t>nee</t>
        </is>
      </c>
      <c r="M233" t="inlineStr">
        <is>
          <t>nee</t>
        </is>
      </c>
      <c r="N233" t="inlineStr">
        <is>
          <t>nee</t>
        </is>
      </c>
      <c r="O233" t="inlineStr">
        <is>
          <t>Veganistisch</t>
        </is>
      </c>
      <c r="Q233">
        <f>LEN(G233)-LEN(SUBSTITUTE(G233,",",""))+1</f>
        <v/>
      </c>
      <c r="R233">
        <f>SWITCH(I233, "Zelden", 1, "Af en toe", 4, "Regelmatig", 8, "Vaak", 12)</f>
        <v/>
      </c>
      <c r="S233">
        <f>AVERAGE(--(K233="ja"), --(L233="ja"), --(M233="ja"), --(N233="ja"), --(O233="ja"))*10</f>
        <v/>
      </c>
      <c r="T233">
        <f>IF(S233&gt;=7, "Tevreden", "Ontevreden")</f>
        <v/>
      </c>
    </row>
    <row r="234">
      <c r="A234" t="inlineStr">
        <is>
          <t>Jérôme</t>
        </is>
      </c>
      <c r="B234" t="inlineStr">
        <is>
          <t>Fontaine</t>
        </is>
      </c>
      <c r="C234" t="inlineStr">
        <is>
          <t>354.47581-51</t>
        </is>
      </c>
      <c r="D234" t="inlineStr">
        <is>
          <t>07/11/1993</t>
        </is>
      </c>
      <c r="E234" t="inlineStr">
        <is>
          <t>Kartuizerlaan 23, 3640 Kinrooi</t>
        </is>
      </c>
      <c r="F234" t="inlineStr">
        <is>
          <t>Jérôme,Rosalyn,Elia,Lune</t>
        </is>
      </c>
      <c r="G234" t="n">
        <v>82.12</v>
      </c>
      <c r="H234" t="n">
        <v>17</v>
      </c>
      <c r="I234" t="inlineStr">
        <is>
          <t>Bancontact</t>
        </is>
      </c>
      <c r="J234" t="inlineStr">
        <is>
          <t>nee</t>
        </is>
      </c>
      <c r="K234" t="inlineStr">
        <is>
          <t>ja</t>
        </is>
      </c>
      <c r="L234" t="inlineStr">
        <is>
          <t>ja</t>
        </is>
      </c>
      <c r="M234" t="inlineStr">
        <is>
          <t>ja</t>
        </is>
      </c>
      <c r="N234" t="inlineStr">
        <is>
          <t>ja</t>
        </is>
      </c>
      <c r="O234" t="inlineStr">
        <is>
          <t>Geen dieet</t>
        </is>
      </c>
      <c r="Q234">
        <f>LEN(G234)-LEN(SUBSTITUTE(G234,",",""))+1</f>
        <v/>
      </c>
      <c r="R234">
        <f>SWITCH(I234, "Zelden", 1, "Af en toe", 4, "Regelmatig", 8, "Vaak", 12)</f>
        <v/>
      </c>
      <c r="S234">
        <f>AVERAGE(--(K234="ja"), --(L234="ja"), --(M234="ja"), --(N234="ja"), --(O234="ja"))*10</f>
        <v/>
      </c>
      <c r="T234">
        <f>IF(S234&gt;=7, "Tevreden", "Ontevreden")</f>
        <v/>
      </c>
    </row>
    <row r="235">
      <c r="A235" t="inlineStr">
        <is>
          <t>Magali</t>
        </is>
      </c>
      <c r="B235" t="inlineStr">
        <is>
          <t>Van daele</t>
        </is>
      </c>
      <c r="C235" t="inlineStr">
        <is>
          <t>601.72241-64</t>
        </is>
      </c>
      <c r="D235" t="inlineStr">
        <is>
          <t>17/09/1996</t>
        </is>
      </c>
      <c r="E235" t="inlineStr">
        <is>
          <t>Speistraat 1, 3560 Lummen</t>
        </is>
      </c>
      <c r="F235" t="inlineStr">
        <is>
          <t>Magali,Alice</t>
        </is>
      </c>
      <c r="G235" t="n">
        <v>87.61</v>
      </c>
      <c r="H235" t="n">
        <v>10</v>
      </c>
      <c r="I235" t="inlineStr">
        <is>
          <t>Cash</t>
        </is>
      </c>
      <c r="J235" t="inlineStr">
        <is>
          <t>nee</t>
        </is>
      </c>
      <c r="K235" t="inlineStr">
        <is>
          <t>nee</t>
        </is>
      </c>
      <c r="L235" t="inlineStr">
        <is>
          <t>ja</t>
        </is>
      </c>
      <c r="M235" t="inlineStr">
        <is>
          <t>ja</t>
        </is>
      </c>
      <c r="N235" t="inlineStr">
        <is>
          <t>nee</t>
        </is>
      </c>
      <c r="O235" t="inlineStr">
        <is>
          <t>Veganistisch</t>
        </is>
      </c>
      <c r="Q235">
        <f>LEN(G235)-LEN(SUBSTITUTE(G235,",",""))+1</f>
        <v/>
      </c>
      <c r="R235">
        <f>SWITCH(I235, "Zelden", 1, "Af en toe", 4, "Regelmatig", 8, "Vaak", 12)</f>
        <v/>
      </c>
      <c r="S235">
        <f>AVERAGE(--(K235="ja"), --(L235="ja"), --(M235="ja"), --(N235="ja"), --(O235="ja"))*10</f>
        <v/>
      </c>
      <c r="T235">
        <f>IF(S235&gt;=7, "Tevreden", "Ontevreden")</f>
        <v/>
      </c>
    </row>
    <row r="236">
      <c r="A236" t="inlineStr">
        <is>
          <t>Amber</t>
        </is>
      </c>
      <c r="B236" t="inlineStr">
        <is>
          <t>Verhoeven</t>
        </is>
      </c>
      <c r="C236" t="inlineStr">
        <is>
          <t>238.38159-27</t>
        </is>
      </c>
      <c r="D236" t="inlineStr">
        <is>
          <t>14/04/1994</t>
        </is>
      </c>
      <c r="E236" t="inlineStr">
        <is>
          <t>Forelstraat 55, 3600 Genk</t>
        </is>
      </c>
      <c r="F236" t="inlineStr">
        <is>
          <t>Amber,Alain,Clara,Bastian</t>
        </is>
      </c>
      <c r="G236" t="n">
        <v>82.3</v>
      </c>
      <c r="H236" t="n">
        <v>10</v>
      </c>
      <c r="I236" t="inlineStr">
        <is>
          <t>Bancontact</t>
        </is>
      </c>
      <c r="J236" t="inlineStr">
        <is>
          <t>ja</t>
        </is>
      </c>
      <c r="K236" t="inlineStr">
        <is>
          <t>nee</t>
        </is>
      </c>
      <c r="L236" t="inlineStr">
        <is>
          <t>nee</t>
        </is>
      </c>
      <c r="M236" t="inlineStr">
        <is>
          <t>ja</t>
        </is>
      </c>
      <c r="N236" t="inlineStr">
        <is>
          <t>ja</t>
        </is>
      </c>
      <c r="O236" t="inlineStr">
        <is>
          <t>Geen dieet</t>
        </is>
      </c>
      <c r="Q236">
        <f>LEN(G236)-LEN(SUBSTITUTE(G236,",",""))+1</f>
        <v/>
      </c>
      <c r="R236">
        <f>SWITCH(I236, "Zelden", 1, "Af en toe", 4, "Regelmatig", 8, "Vaak", 12)</f>
        <v/>
      </c>
      <c r="S236">
        <f>AVERAGE(--(K236="ja"), --(L236="ja"), --(M236="ja"), --(N236="ja"), --(O236="ja"))*10</f>
        <v/>
      </c>
      <c r="T236">
        <f>IF(S236&gt;=7, "Tevreden", "Ontevreden")</f>
        <v/>
      </c>
    </row>
    <row r="237">
      <c r="A237" t="inlineStr">
        <is>
          <t>Bassam</t>
        </is>
      </c>
      <c r="B237" t="inlineStr">
        <is>
          <t>Vranken</t>
        </is>
      </c>
      <c r="C237" t="inlineStr">
        <is>
          <t>883.79693-78</t>
        </is>
      </c>
      <c r="D237" t="inlineStr">
        <is>
          <t>18/06/1953</t>
        </is>
      </c>
      <c r="E237" t="inlineStr">
        <is>
          <t>Gustaaf Callierlaan 27, 3500 Hasselt</t>
        </is>
      </c>
      <c r="F237" t="inlineStr">
        <is>
          <t>Bassam,Laurent,Marleen,Catharina</t>
        </is>
      </c>
      <c r="G237" t="n">
        <v>120.17</v>
      </c>
      <c r="H237" t="n">
        <v>1</v>
      </c>
      <c r="I237" t="inlineStr">
        <is>
          <t>Payconiq</t>
        </is>
      </c>
      <c r="J237" t="inlineStr">
        <is>
          <t>nee</t>
        </is>
      </c>
      <c r="K237" t="inlineStr">
        <is>
          <t>ja</t>
        </is>
      </c>
      <c r="L237" t="inlineStr">
        <is>
          <t>ja</t>
        </is>
      </c>
      <c r="M237" t="inlineStr">
        <is>
          <t>ja</t>
        </is>
      </c>
      <c r="N237" t="inlineStr">
        <is>
          <t>ja</t>
        </is>
      </c>
      <c r="O237" t="inlineStr">
        <is>
          <t>Geen dieet</t>
        </is>
      </c>
      <c r="Q237">
        <f>LEN(G237)-LEN(SUBSTITUTE(G237,",",""))+1</f>
        <v/>
      </c>
      <c r="R237">
        <f>SWITCH(I237, "Zelden", 1, "Af en toe", 4, "Regelmatig", 8, "Vaak", 12)</f>
        <v/>
      </c>
      <c r="S237">
        <f>AVERAGE(--(K237="ja"), --(L237="ja"), --(M237="ja"), --(N237="ja"), --(O237="ja"))*10</f>
        <v/>
      </c>
      <c r="T237">
        <f>IF(S237&gt;=7, "Tevreden", "Ontevreden")</f>
        <v/>
      </c>
    </row>
    <row r="238">
      <c r="A238" t="inlineStr">
        <is>
          <t>Laia</t>
        </is>
      </c>
      <c r="B238" t="inlineStr">
        <is>
          <t>Dubois</t>
        </is>
      </c>
      <c r="C238" t="inlineStr">
        <is>
          <t>959.93380-62</t>
        </is>
      </c>
      <c r="D238" t="inlineStr">
        <is>
          <t>22/05/1982</t>
        </is>
      </c>
      <c r="E238" t="inlineStr">
        <is>
          <t>Contributiestraat 5, 3890 Vorden</t>
        </is>
      </c>
      <c r="F238" t="inlineStr">
        <is>
          <t>Laia,Aurélien,Gaetano,Monique</t>
        </is>
      </c>
      <c r="G238" t="n">
        <v>152.43</v>
      </c>
      <c r="H238" t="n">
        <v>14</v>
      </c>
      <c r="I238" t="inlineStr">
        <is>
          <t>Payconiq</t>
        </is>
      </c>
      <c r="J238" t="inlineStr">
        <is>
          <t>ja</t>
        </is>
      </c>
      <c r="K238" t="inlineStr">
        <is>
          <t>nee</t>
        </is>
      </c>
      <c r="L238" t="inlineStr">
        <is>
          <t>ja</t>
        </is>
      </c>
      <c r="M238" t="inlineStr">
        <is>
          <t>ja</t>
        </is>
      </c>
      <c r="N238" t="inlineStr">
        <is>
          <t>nee</t>
        </is>
      </c>
      <c r="O238" t="inlineStr">
        <is>
          <t>Geen dieet</t>
        </is>
      </c>
      <c r="Q238">
        <f>LEN(G238)-LEN(SUBSTITUTE(G238,",",""))+1</f>
        <v/>
      </c>
      <c r="R238">
        <f>SWITCH(I238, "Zelden", 1, "Af en toe", 4, "Regelmatig", 8, "Vaak", 12)</f>
        <v/>
      </c>
      <c r="S238">
        <f>AVERAGE(--(K238="ja"), --(L238="ja"), --(M238="ja"), --(N238="ja"), --(O238="ja"))*10</f>
        <v/>
      </c>
      <c r="T238">
        <f>IF(S238&gt;=7, "Tevreden", "Ontevreden")</f>
        <v/>
      </c>
    </row>
    <row r="239">
      <c r="A239" t="inlineStr">
        <is>
          <t>Bertha</t>
        </is>
      </c>
      <c r="B239" t="inlineStr">
        <is>
          <t>Aerts</t>
        </is>
      </c>
      <c r="C239" t="inlineStr">
        <is>
          <t>23.20737-84</t>
        </is>
      </c>
      <c r="D239" t="inlineStr">
        <is>
          <t>27/12/1992</t>
        </is>
      </c>
      <c r="E239" t="inlineStr">
        <is>
          <t>Limburgstraat 15, 3500 Hasselt</t>
        </is>
      </c>
      <c r="F239" t="inlineStr">
        <is>
          <t>Bertha,Joseph,Anneleen</t>
        </is>
      </c>
      <c r="G239" t="n">
        <v>173.72</v>
      </c>
      <c r="H239" t="n">
        <v>15</v>
      </c>
      <c r="I239" t="inlineStr">
        <is>
          <t>Payconiq</t>
        </is>
      </c>
      <c r="J239" t="inlineStr">
        <is>
          <t>ja</t>
        </is>
      </c>
      <c r="K239" t="inlineStr">
        <is>
          <t>nee</t>
        </is>
      </c>
      <c r="L239" t="inlineStr">
        <is>
          <t>ja</t>
        </is>
      </c>
      <c r="M239" t="inlineStr">
        <is>
          <t>ja</t>
        </is>
      </c>
      <c r="N239" t="inlineStr">
        <is>
          <t>ja</t>
        </is>
      </c>
      <c r="O239" t="inlineStr">
        <is>
          <t>Geen dieet</t>
        </is>
      </c>
      <c r="Q239">
        <f>LEN(G239)-LEN(SUBSTITUTE(G239,",",""))+1</f>
        <v/>
      </c>
      <c r="R239">
        <f>SWITCH(I239, "Zelden", 1, "Af en toe", 4, "Regelmatig", 8, "Vaak", 12)</f>
        <v/>
      </c>
      <c r="S239">
        <f>AVERAGE(--(K239="ja"), --(L239="ja"), --(M239="ja"), --(N239="ja"), --(O239="ja"))*10</f>
        <v/>
      </c>
      <c r="T239">
        <f>IF(S239&gt;=7, "Tevreden", "Ontevreden")</f>
        <v/>
      </c>
    </row>
    <row r="240">
      <c r="A240" t="inlineStr">
        <is>
          <t>Myriam</t>
        </is>
      </c>
      <c r="B240" t="inlineStr">
        <is>
          <t>Moons</t>
        </is>
      </c>
      <c r="C240" t="inlineStr">
        <is>
          <t>176.24162-66</t>
        </is>
      </c>
      <c r="D240" t="inlineStr">
        <is>
          <t>12/04/1998</t>
        </is>
      </c>
      <c r="E240" t="inlineStr">
        <is>
          <t>Citadellaan 32, 3831 Herten</t>
        </is>
      </c>
      <c r="F240" t="inlineStr">
        <is>
          <t>Myriam</t>
        </is>
      </c>
      <c r="G240" t="n">
        <v>86.44</v>
      </c>
      <c r="H240" t="n">
        <v>16</v>
      </c>
      <c r="I240" t="inlineStr">
        <is>
          <t>Bancontact</t>
        </is>
      </c>
      <c r="J240" t="inlineStr">
        <is>
          <t>ja</t>
        </is>
      </c>
      <c r="K240" t="inlineStr">
        <is>
          <t>nee</t>
        </is>
      </c>
      <c r="L240" t="inlineStr">
        <is>
          <t>ja</t>
        </is>
      </c>
      <c r="M240" t="inlineStr">
        <is>
          <t>ja</t>
        </is>
      </c>
      <c r="N240" t="inlineStr">
        <is>
          <t>ja</t>
        </is>
      </c>
      <c r="O240" t="inlineStr">
        <is>
          <t>Geen dieet</t>
        </is>
      </c>
      <c r="Q240">
        <f>LEN(G240)-LEN(SUBSTITUTE(G240,",",""))+1</f>
        <v/>
      </c>
      <c r="R240">
        <f>SWITCH(I240, "Zelden", 1, "Af en toe", 4, "Regelmatig", 8, "Vaak", 12)</f>
        <v/>
      </c>
      <c r="S240">
        <f>AVERAGE(--(K240="ja"), --(L240="ja"), --(M240="ja"), --(N240="ja"), --(O240="ja"))*10</f>
        <v/>
      </c>
      <c r="T240">
        <f>IF(S240&gt;=7, "Tevreden", "Ontevreden")</f>
        <v/>
      </c>
    </row>
    <row r="241">
      <c r="A241" t="inlineStr">
        <is>
          <t>Aude</t>
        </is>
      </c>
      <c r="B241" t="inlineStr">
        <is>
          <t>Hoste</t>
        </is>
      </c>
      <c r="C241" t="inlineStr">
        <is>
          <t>488.73194-21</t>
        </is>
      </c>
      <c r="D241" t="inlineStr">
        <is>
          <t>09/11/1991</t>
        </is>
      </c>
      <c r="E241" t="inlineStr">
        <is>
          <t>Vierweegsestraat 7, 3740 Bilzen</t>
        </is>
      </c>
      <c r="F241" t="inlineStr">
        <is>
          <t>Aude,Dominique,Hubert,Valentine,Elvira,Raymonda</t>
        </is>
      </c>
      <c r="G241" t="n">
        <v>149.16</v>
      </c>
      <c r="H241" t="n">
        <v>5</v>
      </c>
      <c r="I241" t="inlineStr">
        <is>
          <t>Payconiq</t>
        </is>
      </c>
      <c r="J241" t="inlineStr">
        <is>
          <t>ja</t>
        </is>
      </c>
      <c r="K241" t="inlineStr">
        <is>
          <t>ja</t>
        </is>
      </c>
      <c r="L241" t="inlineStr">
        <is>
          <t>ja</t>
        </is>
      </c>
      <c r="M241" t="inlineStr">
        <is>
          <t>ja</t>
        </is>
      </c>
      <c r="N241" t="inlineStr">
        <is>
          <t>nee</t>
        </is>
      </c>
      <c r="O241" t="inlineStr">
        <is>
          <t>Veganistisch</t>
        </is>
      </c>
      <c r="Q241">
        <f>LEN(G241)-LEN(SUBSTITUTE(G241,",",""))+1</f>
        <v/>
      </c>
      <c r="R241">
        <f>SWITCH(I241, "Zelden", 1, "Af en toe", 4, "Regelmatig", 8, "Vaak", 12)</f>
        <v/>
      </c>
      <c r="S241">
        <f>AVERAGE(--(K241="ja"), --(L241="ja"), --(M241="ja"), --(N241="ja"), --(O241="ja"))*10</f>
        <v/>
      </c>
      <c r="T241">
        <f>IF(S241&gt;=7, "Tevreden", "Ontevreden")</f>
        <v/>
      </c>
    </row>
    <row r="242">
      <c r="A242" t="inlineStr">
        <is>
          <t>Chrystel</t>
        </is>
      </c>
      <c r="B242" t="inlineStr">
        <is>
          <t>Jacobs</t>
        </is>
      </c>
      <c r="C242" t="inlineStr">
        <is>
          <t>841.13155-67</t>
        </is>
      </c>
      <c r="D242" t="inlineStr">
        <is>
          <t>25/05/1965</t>
        </is>
      </c>
      <c r="E242" t="inlineStr">
        <is>
          <t>Schouwingsstraat 12, 3890 Vorden</t>
        </is>
      </c>
      <c r="F242" t="inlineStr">
        <is>
          <t>Chrystel,Chantal,Maely,Ahmed</t>
        </is>
      </c>
      <c r="G242" t="n">
        <v>161.85</v>
      </c>
      <c r="H242" t="n">
        <v>8</v>
      </c>
      <c r="I242" t="inlineStr">
        <is>
          <t>Payconiq</t>
        </is>
      </c>
      <c r="J242" t="inlineStr">
        <is>
          <t>ja</t>
        </is>
      </c>
      <c r="K242" t="inlineStr">
        <is>
          <t>nee</t>
        </is>
      </c>
      <c r="L242" t="inlineStr">
        <is>
          <t>ja</t>
        </is>
      </c>
      <c r="M242" t="inlineStr">
        <is>
          <t>ja</t>
        </is>
      </c>
      <c r="N242" t="inlineStr">
        <is>
          <t>ja</t>
        </is>
      </c>
      <c r="O242" t="inlineStr">
        <is>
          <t>Geen dieet</t>
        </is>
      </c>
      <c r="Q242">
        <f>LEN(G242)-LEN(SUBSTITUTE(G242,",",""))+1</f>
        <v/>
      </c>
      <c r="R242">
        <f>SWITCH(I242, "Zelden", 1, "Af en toe", 4, "Regelmatig", 8, "Vaak", 12)</f>
        <v/>
      </c>
      <c r="S242">
        <f>AVERAGE(--(K242="ja"), --(L242="ja"), --(M242="ja"), --(N242="ja"), --(O242="ja"))*10</f>
        <v/>
      </c>
      <c r="T242">
        <f>IF(S242&gt;=7, "Tevreden", "Ontevreden")</f>
        <v/>
      </c>
    </row>
    <row r="243">
      <c r="A243" t="inlineStr">
        <is>
          <t>Andrée</t>
        </is>
      </c>
      <c r="B243" t="inlineStr">
        <is>
          <t>Petit</t>
        </is>
      </c>
      <c r="C243" t="inlineStr">
        <is>
          <t>523.74384-39</t>
        </is>
      </c>
      <c r="D243" t="inlineStr">
        <is>
          <t>25/04/1967</t>
        </is>
      </c>
      <c r="E243" t="inlineStr">
        <is>
          <t>Jakob Van Caeneghemstraat 38, 3520 Zonhoven</t>
        </is>
      </c>
      <c r="F243" t="inlineStr">
        <is>
          <t>Andrée,Samir,Ghislaine,Nancy</t>
        </is>
      </c>
      <c r="G243" t="n">
        <v>101.89</v>
      </c>
      <c r="H243" t="n">
        <v>5</v>
      </c>
      <c r="I243" t="inlineStr">
        <is>
          <t>Cash</t>
        </is>
      </c>
      <c r="J243" t="inlineStr">
        <is>
          <t>nee</t>
        </is>
      </c>
      <c r="K243" t="inlineStr">
        <is>
          <t>ja</t>
        </is>
      </c>
      <c r="L243" t="inlineStr">
        <is>
          <t>ja</t>
        </is>
      </c>
      <c r="M243" t="inlineStr">
        <is>
          <t>ja</t>
        </is>
      </c>
      <c r="N243" t="inlineStr">
        <is>
          <t>ja</t>
        </is>
      </c>
      <c r="O243" t="inlineStr">
        <is>
          <t>Vegetarisch</t>
        </is>
      </c>
      <c r="Q243">
        <f>LEN(G243)-LEN(SUBSTITUTE(G243,",",""))+1</f>
        <v/>
      </c>
      <c r="R243">
        <f>SWITCH(I243, "Zelden", 1, "Af en toe", 4, "Regelmatig", 8, "Vaak", 12)</f>
        <v/>
      </c>
      <c r="S243">
        <f>AVERAGE(--(K243="ja"), --(L243="ja"), --(M243="ja"), --(N243="ja"), --(O243="ja"))*10</f>
        <v/>
      </c>
      <c r="T243">
        <f>IF(S243&gt;=7, "Tevreden", "Ontevreden")</f>
        <v/>
      </c>
    </row>
    <row r="244">
      <c r="A244" t="inlineStr">
        <is>
          <t>Kathleen</t>
        </is>
      </c>
      <c r="B244" t="inlineStr">
        <is>
          <t>Leonard</t>
        </is>
      </c>
      <c r="C244" t="inlineStr">
        <is>
          <t>492.48619-82</t>
        </is>
      </c>
      <c r="D244" t="inlineStr">
        <is>
          <t>20/01/1993</t>
        </is>
      </c>
      <c r="E244" t="inlineStr">
        <is>
          <t>Alpacastraat 38, 3940 Hechtel-Eksel</t>
        </is>
      </c>
      <c r="F244" t="inlineStr">
        <is>
          <t>Kathleen</t>
        </is>
      </c>
      <c r="G244" t="n">
        <v>35.9</v>
      </c>
      <c r="H244" t="n">
        <v>7</v>
      </c>
      <c r="I244" t="inlineStr">
        <is>
          <t>Payconiq</t>
        </is>
      </c>
      <c r="J244" t="inlineStr">
        <is>
          <t>ja</t>
        </is>
      </c>
      <c r="K244" t="inlineStr">
        <is>
          <t>ja</t>
        </is>
      </c>
      <c r="L244" t="inlineStr">
        <is>
          <t>ja</t>
        </is>
      </c>
      <c r="M244" t="inlineStr">
        <is>
          <t>ja</t>
        </is>
      </c>
      <c r="N244" t="inlineStr">
        <is>
          <t>nee</t>
        </is>
      </c>
      <c r="O244" t="inlineStr">
        <is>
          <t>Geen dieet</t>
        </is>
      </c>
      <c r="Q244">
        <f>LEN(G244)-LEN(SUBSTITUTE(G244,",",""))+1</f>
        <v/>
      </c>
      <c r="R244">
        <f>SWITCH(I244, "Zelden", 1, "Af en toe", 4, "Regelmatig", 8, "Vaak", 12)</f>
        <v/>
      </c>
      <c r="S244">
        <f>AVERAGE(--(K244="ja"), --(L244="ja"), --(M244="ja"), --(N244="ja"), --(O244="ja"))*10</f>
        <v/>
      </c>
      <c r="T244">
        <f>IF(S244&gt;=7, "Tevreden", "Ontevreden")</f>
        <v/>
      </c>
    </row>
    <row r="245">
      <c r="A245" t="inlineStr">
        <is>
          <t>Mamadi</t>
        </is>
      </c>
      <c r="B245" t="inlineStr">
        <is>
          <t>Vercruysse</t>
        </is>
      </c>
      <c r="C245" t="inlineStr">
        <is>
          <t>233.90434-17</t>
        </is>
      </c>
      <c r="D245" t="inlineStr">
        <is>
          <t>21/05/1974</t>
        </is>
      </c>
      <c r="E245" t="inlineStr">
        <is>
          <t>Kortrijksesteenweg 44, 3800 Sint-Truiden</t>
        </is>
      </c>
      <c r="F245" t="inlineStr">
        <is>
          <t>Mamadi,Marijke,Ann,Sandra</t>
        </is>
      </c>
      <c r="G245" t="n">
        <v>144.95</v>
      </c>
      <c r="H245" t="n">
        <v>19</v>
      </c>
      <c r="I245" t="inlineStr">
        <is>
          <t>Creditcard</t>
        </is>
      </c>
      <c r="J245" t="inlineStr">
        <is>
          <t>ja</t>
        </is>
      </c>
      <c r="K245" t="inlineStr">
        <is>
          <t>ja</t>
        </is>
      </c>
      <c r="L245" t="inlineStr">
        <is>
          <t>ja</t>
        </is>
      </c>
      <c r="M245" t="inlineStr">
        <is>
          <t>ja</t>
        </is>
      </c>
      <c r="N245" t="inlineStr">
        <is>
          <t>ja</t>
        </is>
      </c>
      <c r="O245" t="inlineStr">
        <is>
          <t>Geen dieet</t>
        </is>
      </c>
      <c r="Q245">
        <f>LEN(G245)-LEN(SUBSTITUTE(G245,",",""))+1</f>
        <v/>
      </c>
      <c r="R245">
        <f>SWITCH(I245, "Zelden", 1, "Af en toe", 4, "Regelmatig", 8, "Vaak", 12)</f>
        <v/>
      </c>
      <c r="S245">
        <f>AVERAGE(--(K245="ja"), --(L245="ja"), --(M245="ja"), --(N245="ja"), --(O245="ja"))*10</f>
        <v/>
      </c>
      <c r="T245">
        <f>IF(S245&gt;=7, "Tevreden", "Ontevreden")</f>
        <v/>
      </c>
    </row>
    <row r="246">
      <c r="A246" t="inlineStr">
        <is>
          <t>Amrou</t>
        </is>
      </c>
      <c r="B246" t="inlineStr">
        <is>
          <t>Wouters</t>
        </is>
      </c>
      <c r="C246" t="inlineStr">
        <is>
          <t>273.25869-59</t>
        </is>
      </c>
      <c r="D246" t="inlineStr">
        <is>
          <t>20/08/1984</t>
        </is>
      </c>
      <c r="E246" t="inlineStr">
        <is>
          <t>Stropkaai 62, 3540 Herk-de-Stad</t>
        </is>
      </c>
      <c r="F246" t="inlineStr">
        <is>
          <t>Amrou</t>
        </is>
      </c>
      <c r="G246" t="n">
        <v>32.06</v>
      </c>
      <c r="H246" t="n">
        <v>7</v>
      </c>
      <c r="I246" t="inlineStr">
        <is>
          <t>Payconiq</t>
        </is>
      </c>
      <c r="J246" t="inlineStr">
        <is>
          <t>ja</t>
        </is>
      </c>
      <c r="K246" t="inlineStr">
        <is>
          <t>ja</t>
        </is>
      </c>
      <c r="L246" t="inlineStr">
        <is>
          <t>ja</t>
        </is>
      </c>
      <c r="M246" t="inlineStr">
        <is>
          <t>nee</t>
        </is>
      </c>
      <c r="N246" t="inlineStr">
        <is>
          <t>ja</t>
        </is>
      </c>
      <c r="O246" t="inlineStr">
        <is>
          <t>Geen dieet</t>
        </is>
      </c>
      <c r="Q246">
        <f>LEN(G246)-LEN(SUBSTITUTE(G246,",",""))+1</f>
        <v/>
      </c>
      <c r="R246">
        <f>SWITCH(I246, "Zelden", 1, "Af en toe", 4, "Regelmatig", 8, "Vaak", 12)</f>
        <v/>
      </c>
      <c r="S246">
        <f>AVERAGE(--(K246="ja"), --(L246="ja"), --(M246="ja"), --(N246="ja"), --(O246="ja"))*10</f>
        <v/>
      </c>
      <c r="T246">
        <f>IF(S246&gt;=7, "Tevreden", "Ontevreden")</f>
        <v/>
      </c>
    </row>
    <row r="247">
      <c r="A247" t="inlineStr">
        <is>
          <t>Eric</t>
        </is>
      </c>
      <c r="B247" t="inlineStr">
        <is>
          <t>Marchal</t>
        </is>
      </c>
      <c r="C247" t="inlineStr">
        <is>
          <t>197.17155-14</t>
        </is>
      </c>
      <c r="D247" t="inlineStr">
        <is>
          <t>18/10/1950</t>
        </is>
      </c>
      <c r="E247" t="inlineStr">
        <is>
          <t>Wiedauwkaai 47, 3500 Hasselt</t>
        </is>
      </c>
      <c r="F247" t="inlineStr">
        <is>
          <t>Eric,Recep</t>
        </is>
      </c>
      <c r="G247" t="n">
        <v>103.05</v>
      </c>
      <c r="H247" t="n">
        <v>1</v>
      </c>
      <c r="I247" t="inlineStr">
        <is>
          <t>Bancontact</t>
        </is>
      </c>
      <c r="J247" t="inlineStr">
        <is>
          <t>ja</t>
        </is>
      </c>
      <c r="K247" t="inlineStr">
        <is>
          <t>ja</t>
        </is>
      </c>
      <c r="L247" t="inlineStr">
        <is>
          <t>ja</t>
        </is>
      </c>
      <c r="M247" t="inlineStr">
        <is>
          <t>ja</t>
        </is>
      </c>
      <c r="N247" t="inlineStr">
        <is>
          <t>ja</t>
        </is>
      </c>
      <c r="O247" t="inlineStr">
        <is>
          <t>Geen dieet</t>
        </is>
      </c>
      <c r="Q247">
        <f>LEN(G247)-LEN(SUBSTITUTE(G247,",",""))+1</f>
        <v/>
      </c>
      <c r="R247">
        <f>SWITCH(I247, "Zelden", 1, "Af en toe", 4, "Regelmatig", 8, "Vaak", 12)</f>
        <v/>
      </c>
      <c r="S247">
        <f>AVERAGE(--(K247="ja"), --(L247="ja"), --(M247="ja"), --(N247="ja"), --(O247="ja"))*10</f>
        <v/>
      </c>
      <c r="T247">
        <f>IF(S247&gt;=7, "Tevreden", "Ontevreden")</f>
        <v/>
      </c>
    </row>
    <row r="248">
      <c r="A248" t="inlineStr">
        <is>
          <t>Evelyne</t>
        </is>
      </c>
      <c r="B248" t="inlineStr">
        <is>
          <t>Colson</t>
        </is>
      </c>
      <c r="C248" t="inlineStr">
        <is>
          <t>289.60993-70</t>
        </is>
      </c>
      <c r="D248" t="inlineStr">
        <is>
          <t>14/02/1956</t>
        </is>
      </c>
      <c r="E248" t="inlineStr">
        <is>
          <t>Sanderswal 44, 3600 Genk</t>
        </is>
      </c>
      <c r="F248" t="inlineStr">
        <is>
          <t>Evelyne,Dominique</t>
        </is>
      </c>
      <c r="G248" t="n">
        <v>65.44</v>
      </c>
      <c r="H248" t="n">
        <v>1</v>
      </c>
      <c r="I248" t="inlineStr">
        <is>
          <t>Bancontact</t>
        </is>
      </c>
      <c r="J248" t="inlineStr">
        <is>
          <t>ja</t>
        </is>
      </c>
      <c r="K248" t="inlineStr">
        <is>
          <t>nee</t>
        </is>
      </c>
      <c r="L248" t="inlineStr">
        <is>
          <t>ja</t>
        </is>
      </c>
      <c r="M248" t="inlineStr">
        <is>
          <t>ja</t>
        </is>
      </c>
      <c r="N248" t="inlineStr">
        <is>
          <t>ja</t>
        </is>
      </c>
      <c r="O248" t="inlineStr">
        <is>
          <t>Vegetarisch</t>
        </is>
      </c>
      <c r="Q248">
        <f>LEN(G248)-LEN(SUBSTITUTE(G248,",",""))+1</f>
        <v/>
      </c>
      <c r="R248">
        <f>SWITCH(I248, "Zelden", 1, "Af en toe", 4, "Regelmatig", 8, "Vaak", 12)</f>
        <v/>
      </c>
      <c r="S248">
        <f>AVERAGE(--(K248="ja"), --(L248="ja"), --(M248="ja"), --(N248="ja"), --(O248="ja"))*10</f>
        <v/>
      </c>
      <c r="T248">
        <f>IF(S248&gt;=7, "Tevreden", "Ontevreden")</f>
        <v/>
      </c>
    </row>
    <row r="249">
      <c r="A249" t="inlineStr">
        <is>
          <t>Johnny</t>
        </is>
      </c>
      <c r="B249" t="inlineStr">
        <is>
          <t>De meyer</t>
        </is>
      </c>
      <c r="C249" t="inlineStr">
        <is>
          <t>88.64529-39</t>
        </is>
      </c>
      <c r="D249" t="inlineStr">
        <is>
          <t>04/01/1975</t>
        </is>
      </c>
      <c r="E249" t="inlineStr">
        <is>
          <t>Lavendelstraat 20, 3500 Hasselt</t>
        </is>
      </c>
      <c r="F249" t="inlineStr">
        <is>
          <t>Johnny,Violette</t>
        </is>
      </c>
      <c r="G249" t="n">
        <v>71.19</v>
      </c>
      <c r="H249" t="n">
        <v>8</v>
      </c>
      <c r="I249" t="inlineStr">
        <is>
          <t>Payconiq</t>
        </is>
      </c>
      <c r="J249" t="inlineStr">
        <is>
          <t>ja</t>
        </is>
      </c>
      <c r="K249" t="inlineStr">
        <is>
          <t>ja</t>
        </is>
      </c>
      <c r="L249" t="inlineStr">
        <is>
          <t>ja</t>
        </is>
      </c>
      <c r="M249" t="inlineStr">
        <is>
          <t>ja</t>
        </is>
      </c>
      <c r="N249" t="inlineStr">
        <is>
          <t>ja</t>
        </is>
      </c>
      <c r="O249" t="inlineStr">
        <is>
          <t>Geen dieet</t>
        </is>
      </c>
      <c r="Q249">
        <f>LEN(G249)-LEN(SUBSTITUTE(G249,",",""))+1</f>
        <v/>
      </c>
      <c r="R249">
        <f>SWITCH(I249, "Zelden", 1, "Af en toe", 4, "Regelmatig", 8, "Vaak", 12)</f>
        <v/>
      </c>
      <c r="S249">
        <f>AVERAGE(--(K249="ja"), --(L249="ja"), --(M249="ja"), --(N249="ja"), --(O249="ja"))*10</f>
        <v/>
      </c>
      <c r="T249">
        <f>IF(S249&gt;=7, "Tevreden", "Ontevreden")</f>
        <v/>
      </c>
    </row>
    <row r="250">
      <c r="A250" t="inlineStr">
        <is>
          <t>Laurie</t>
        </is>
      </c>
      <c r="B250" t="inlineStr">
        <is>
          <t>Vanneste</t>
        </is>
      </c>
      <c r="C250" t="inlineStr">
        <is>
          <t>657.20096-43</t>
        </is>
      </c>
      <c r="D250" t="inlineStr">
        <is>
          <t>05/01/1981</t>
        </is>
      </c>
      <c r="E250" t="inlineStr">
        <is>
          <t>Singel 45, 3500 Hasselt</t>
        </is>
      </c>
      <c r="F250" t="inlineStr">
        <is>
          <t>Laurie,Beata</t>
        </is>
      </c>
      <c r="G250" t="n">
        <v>95.69</v>
      </c>
      <c r="H250" t="n">
        <v>7</v>
      </c>
      <c r="I250" t="inlineStr">
        <is>
          <t>Payconiq</t>
        </is>
      </c>
      <c r="J250" t="inlineStr">
        <is>
          <t>nee</t>
        </is>
      </c>
      <c r="K250" t="inlineStr">
        <is>
          <t>ja</t>
        </is>
      </c>
      <c r="L250" t="inlineStr">
        <is>
          <t>ja</t>
        </is>
      </c>
      <c r="M250" t="inlineStr">
        <is>
          <t>nee</t>
        </is>
      </c>
      <c r="N250" t="inlineStr">
        <is>
          <t>ja</t>
        </is>
      </c>
      <c r="O250" t="inlineStr">
        <is>
          <t>Veganistisch</t>
        </is>
      </c>
      <c r="Q250">
        <f>LEN(G250)-LEN(SUBSTITUTE(G250,",",""))+1</f>
        <v/>
      </c>
      <c r="R250">
        <f>SWITCH(I250, "Zelden", 1, "Af en toe", 4, "Regelmatig", 8, "Vaak", 12)</f>
        <v/>
      </c>
      <c r="S250">
        <f>AVERAGE(--(K250="ja"), --(L250="ja"), --(M250="ja"), --(N250="ja"), --(O250="ja"))*10</f>
        <v/>
      </c>
      <c r="T250">
        <f>IF(S250&gt;=7, "Tevreden", "Ontevreden")</f>
        <v/>
      </c>
    </row>
    <row r="251">
      <c r="A251" t="inlineStr">
        <is>
          <t>Jin</t>
        </is>
      </c>
      <c r="B251" t="inlineStr">
        <is>
          <t>De coster</t>
        </is>
      </c>
      <c r="C251" t="inlineStr">
        <is>
          <t>801.35692-62</t>
        </is>
      </c>
      <c r="D251" t="inlineStr">
        <is>
          <t>07/03/1958</t>
        </is>
      </c>
      <c r="E251" t="inlineStr">
        <is>
          <t>Bloemistenstraat 1, 3500 Hasselt</t>
        </is>
      </c>
      <c r="F251" t="inlineStr">
        <is>
          <t>Jin,Lucas,Erik</t>
        </is>
      </c>
      <c r="G251" t="n">
        <v>181.08</v>
      </c>
      <c r="H251" t="n">
        <v>23</v>
      </c>
      <c r="I251" t="inlineStr">
        <is>
          <t>Payconiq</t>
        </is>
      </c>
      <c r="J251" t="inlineStr">
        <is>
          <t>ja</t>
        </is>
      </c>
      <c r="K251" t="inlineStr">
        <is>
          <t>nee</t>
        </is>
      </c>
      <c r="L251" t="inlineStr">
        <is>
          <t>nee</t>
        </is>
      </c>
      <c r="M251" t="inlineStr">
        <is>
          <t>nee</t>
        </is>
      </c>
      <c r="N251" t="inlineStr">
        <is>
          <t>ja</t>
        </is>
      </c>
      <c r="O251" t="inlineStr">
        <is>
          <t>Geen dieet</t>
        </is>
      </c>
      <c r="Q251">
        <f>LEN(G251)-LEN(SUBSTITUTE(G251,",",""))+1</f>
        <v/>
      </c>
      <c r="R251">
        <f>SWITCH(I251, "Zelden", 1, "Af en toe", 4, "Regelmatig", 8, "Vaak", 12)</f>
        <v/>
      </c>
      <c r="S251">
        <f>AVERAGE(--(K251="ja"), --(L251="ja"), --(M251="ja"), --(N251="ja"), --(O251="ja"))*10</f>
        <v/>
      </c>
      <c r="T251">
        <f>IF(S251&gt;=7, "Tevreden", "Ontevreden")</f>
        <v/>
      </c>
    </row>
    <row r="252">
      <c r="A252" t="inlineStr">
        <is>
          <t>Mike</t>
        </is>
      </c>
      <c r="B252" t="inlineStr">
        <is>
          <t>Verstraete</t>
        </is>
      </c>
      <c r="C252" t="inlineStr">
        <is>
          <t>950.65444-91</t>
        </is>
      </c>
      <c r="D252" t="inlineStr">
        <is>
          <t>08/12/1985</t>
        </is>
      </c>
      <c r="E252" t="inlineStr">
        <is>
          <t>Heinakker 7, 3720 Kortessem</t>
        </is>
      </c>
      <c r="F252" t="inlineStr">
        <is>
          <t>Mike,Dariusz</t>
        </is>
      </c>
      <c r="G252" t="n">
        <v>139.1</v>
      </c>
      <c r="H252" t="n">
        <v>4</v>
      </c>
      <c r="I252" t="inlineStr">
        <is>
          <t>Payconiq</t>
        </is>
      </c>
      <c r="J252" t="inlineStr">
        <is>
          <t>ja</t>
        </is>
      </c>
      <c r="K252" t="inlineStr">
        <is>
          <t>ja</t>
        </is>
      </c>
      <c r="L252" t="inlineStr">
        <is>
          <t>nee</t>
        </is>
      </c>
      <c r="M252" t="inlineStr">
        <is>
          <t>ja</t>
        </is>
      </c>
      <c r="N252" t="inlineStr">
        <is>
          <t>ja</t>
        </is>
      </c>
      <c r="O252" t="inlineStr">
        <is>
          <t>Vegetarisch</t>
        </is>
      </c>
      <c r="Q252">
        <f>LEN(G252)-LEN(SUBSTITUTE(G252,",",""))+1</f>
        <v/>
      </c>
      <c r="R252">
        <f>SWITCH(I252, "Zelden", 1, "Af en toe", 4, "Regelmatig", 8, "Vaak", 12)</f>
        <v/>
      </c>
      <c r="S252">
        <f>AVERAGE(--(K252="ja"), --(L252="ja"), --(M252="ja"), --(N252="ja"), --(O252="ja"))*10</f>
        <v/>
      </c>
      <c r="T252">
        <f>IF(S252&gt;=7, "Tevreden", "Ontevreden")</f>
        <v/>
      </c>
    </row>
    <row r="253">
      <c r="A253" t="inlineStr">
        <is>
          <t>Tatiana</t>
        </is>
      </c>
      <c r="B253" t="inlineStr">
        <is>
          <t>Vandenbroucke</t>
        </is>
      </c>
      <c r="C253" t="inlineStr">
        <is>
          <t>985.39257-27</t>
        </is>
      </c>
      <c r="D253" t="inlineStr">
        <is>
          <t>06/05/1993</t>
        </is>
      </c>
      <c r="E253" t="inlineStr">
        <is>
          <t>Poortakkerstraat 4, 3520 Zonhoven</t>
        </is>
      </c>
      <c r="F253" t="inlineStr">
        <is>
          <t>Tatiana,Sofia,Jacqueline,Rutger</t>
        </is>
      </c>
      <c r="G253" t="n">
        <v>72.37</v>
      </c>
      <c r="H253" t="n">
        <v>2</v>
      </c>
      <c r="I253" t="inlineStr">
        <is>
          <t>Bancontact</t>
        </is>
      </c>
      <c r="J253" t="inlineStr">
        <is>
          <t>nee</t>
        </is>
      </c>
      <c r="K253" t="inlineStr">
        <is>
          <t>ja</t>
        </is>
      </c>
      <c r="L253" t="inlineStr">
        <is>
          <t>ja</t>
        </is>
      </c>
      <c r="M253" t="inlineStr">
        <is>
          <t>ja</t>
        </is>
      </c>
      <c r="N253" t="inlineStr">
        <is>
          <t>ja</t>
        </is>
      </c>
      <c r="O253" t="inlineStr">
        <is>
          <t>Geen dieet</t>
        </is>
      </c>
      <c r="Q253">
        <f>LEN(G253)-LEN(SUBSTITUTE(G253,",",""))+1</f>
        <v/>
      </c>
      <c r="R253">
        <f>SWITCH(I253, "Zelden", 1, "Af en toe", 4, "Regelmatig", 8, "Vaak", 12)</f>
        <v/>
      </c>
      <c r="S253">
        <f>AVERAGE(--(K253="ja"), --(L253="ja"), --(M253="ja"), --(N253="ja"), --(O253="ja"))*10</f>
        <v/>
      </c>
      <c r="T253">
        <f>IF(S253&gt;=7, "Tevreden", "Ontevreden")</f>
        <v/>
      </c>
    </row>
    <row r="254">
      <c r="A254" t="inlineStr">
        <is>
          <t>Joëy</t>
        </is>
      </c>
      <c r="B254" t="inlineStr">
        <is>
          <t>Lefebvre</t>
        </is>
      </c>
      <c r="C254" t="inlineStr">
        <is>
          <t>502.60471-24</t>
        </is>
      </c>
      <c r="D254" t="inlineStr">
        <is>
          <t>26/02/1958</t>
        </is>
      </c>
      <c r="E254" t="inlineStr">
        <is>
          <t>Korenlei 71, 3831 Herten</t>
        </is>
      </c>
      <c r="F254" t="inlineStr">
        <is>
          <t>Joëy,Jan</t>
        </is>
      </c>
      <c r="G254" t="n">
        <v>97.67</v>
      </c>
      <c r="H254" t="n">
        <v>12</v>
      </c>
      <c r="I254" t="inlineStr">
        <is>
          <t>Bancontact</t>
        </is>
      </c>
      <c r="J254" t="inlineStr">
        <is>
          <t>ja</t>
        </is>
      </c>
      <c r="K254" t="inlineStr">
        <is>
          <t>ja</t>
        </is>
      </c>
      <c r="L254" t="inlineStr">
        <is>
          <t>ja</t>
        </is>
      </c>
      <c r="M254" t="inlineStr">
        <is>
          <t>nee</t>
        </is>
      </c>
      <c r="N254" t="inlineStr">
        <is>
          <t>ja</t>
        </is>
      </c>
      <c r="O254" t="inlineStr">
        <is>
          <t>Vegetarisch</t>
        </is>
      </c>
      <c r="Q254">
        <f>LEN(G254)-LEN(SUBSTITUTE(G254,",",""))+1</f>
        <v/>
      </c>
      <c r="R254">
        <f>SWITCH(I254, "Zelden", 1, "Af en toe", 4, "Regelmatig", 8, "Vaak", 12)</f>
        <v/>
      </c>
      <c r="S254">
        <f>AVERAGE(--(K254="ja"), --(L254="ja"), --(M254="ja"), --(N254="ja"), --(O254="ja"))*10</f>
        <v/>
      </c>
      <c r="T254">
        <f>IF(S254&gt;=7, "Tevreden", "Ontevreden")</f>
        <v/>
      </c>
    </row>
    <row r="255">
      <c r="A255" t="inlineStr">
        <is>
          <t>Michel</t>
        </is>
      </c>
      <c r="B255" t="inlineStr">
        <is>
          <t>Timmermans</t>
        </is>
      </c>
      <c r="C255" t="inlineStr">
        <is>
          <t>242.90124-74</t>
        </is>
      </c>
      <c r="D255" t="inlineStr">
        <is>
          <t>22/07/1949</t>
        </is>
      </c>
      <c r="E255" t="inlineStr">
        <is>
          <t>Oscar De Reusestraat 36, 3770 Riemst</t>
        </is>
      </c>
      <c r="F255" t="inlineStr">
        <is>
          <t>Michel,Ibrahim</t>
        </is>
      </c>
      <c r="G255" t="n">
        <v>31.51</v>
      </c>
      <c r="H255" t="n">
        <v>9</v>
      </c>
      <c r="I255" t="inlineStr">
        <is>
          <t>Bancontact</t>
        </is>
      </c>
      <c r="J255" t="inlineStr">
        <is>
          <t>ja</t>
        </is>
      </c>
      <c r="K255" t="inlineStr">
        <is>
          <t>ja</t>
        </is>
      </c>
      <c r="L255" t="inlineStr">
        <is>
          <t>nee</t>
        </is>
      </c>
      <c r="M255" t="inlineStr">
        <is>
          <t>ja</t>
        </is>
      </c>
      <c r="N255" t="inlineStr">
        <is>
          <t>ja</t>
        </is>
      </c>
      <c r="O255" t="inlineStr">
        <is>
          <t>Geen dieet</t>
        </is>
      </c>
      <c r="Q255">
        <f>LEN(G255)-LEN(SUBSTITUTE(G255,",",""))+1</f>
        <v/>
      </c>
      <c r="R255">
        <f>SWITCH(I255, "Zelden", 1, "Af en toe", 4, "Regelmatig", 8, "Vaak", 12)</f>
        <v/>
      </c>
      <c r="S255">
        <f>AVERAGE(--(K255="ja"), --(L255="ja"), --(M255="ja"), --(N255="ja"), --(O255="ja"))*10</f>
        <v/>
      </c>
      <c r="T255">
        <f>IF(S255&gt;=7, "Tevreden", "Ontevreden")</f>
        <v/>
      </c>
    </row>
    <row r="256">
      <c r="A256" t="inlineStr">
        <is>
          <t>Dalia</t>
        </is>
      </c>
      <c r="B256" t="inlineStr">
        <is>
          <t>Denis</t>
        </is>
      </c>
      <c r="C256" t="inlineStr">
        <is>
          <t>575.88607-28</t>
        </is>
      </c>
      <c r="D256" t="inlineStr">
        <is>
          <t>01/11/1945</t>
        </is>
      </c>
      <c r="E256" t="inlineStr">
        <is>
          <t>Hoogstraat 67, 3600 Genk</t>
        </is>
      </c>
      <c r="F256" t="inlineStr">
        <is>
          <t>Dalia,Danthé</t>
        </is>
      </c>
      <c r="G256" t="n">
        <v>96.09</v>
      </c>
      <c r="H256" t="n">
        <v>9</v>
      </c>
      <c r="I256" t="inlineStr">
        <is>
          <t>Payconiq</t>
        </is>
      </c>
      <c r="J256" t="inlineStr">
        <is>
          <t>ja</t>
        </is>
      </c>
      <c r="K256" t="inlineStr">
        <is>
          <t>ja</t>
        </is>
      </c>
      <c r="L256" t="inlineStr">
        <is>
          <t>ja</t>
        </is>
      </c>
      <c r="M256" t="inlineStr">
        <is>
          <t>ja</t>
        </is>
      </c>
      <c r="N256" t="inlineStr">
        <is>
          <t>ja</t>
        </is>
      </c>
      <c r="O256" t="inlineStr">
        <is>
          <t>Geen dieet</t>
        </is>
      </c>
      <c r="Q256">
        <f>LEN(G256)-LEN(SUBSTITUTE(G256,",",""))+1</f>
        <v/>
      </c>
      <c r="R256">
        <f>SWITCH(I256, "Zelden", 1, "Af en toe", 4, "Regelmatig", 8, "Vaak", 12)</f>
        <v/>
      </c>
      <c r="S256">
        <f>AVERAGE(--(K256="ja"), --(L256="ja"), --(M256="ja"), --(N256="ja"), --(O256="ja"))*10</f>
        <v/>
      </c>
      <c r="T256">
        <f>IF(S256&gt;=7, "Tevreden", "Ontevreden")</f>
        <v/>
      </c>
    </row>
    <row r="257">
      <c r="A257" t="inlineStr">
        <is>
          <t>André</t>
        </is>
      </c>
      <c r="B257" t="inlineStr">
        <is>
          <t>Van camp</t>
        </is>
      </c>
      <c r="C257" t="inlineStr">
        <is>
          <t>604.64882-92</t>
        </is>
      </c>
      <c r="D257" t="inlineStr">
        <is>
          <t>06/09/1947</t>
        </is>
      </c>
      <c r="E257" t="inlineStr">
        <is>
          <t>Korte Meer 5, 3740 Bilzen</t>
        </is>
      </c>
      <c r="F257" t="inlineStr">
        <is>
          <t>André,Véronique</t>
        </is>
      </c>
      <c r="G257" t="n">
        <v>89.56</v>
      </c>
      <c r="H257" t="n">
        <v>4</v>
      </c>
      <c r="I257" t="inlineStr">
        <is>
          <t>Payconiq</t>
        </is>
      </c>
      <c r="J257" t="inlineStr">
        <is>
          <t>ja</t>
        </is>
      </c>
      <c r="K257" t="inlineStr">
        <is>
          <t>ja</t>
        </is>
      </c>
      <c r="L257" t="inlineStr">
        <is>
          <t>ja</t>
        </is>
      </c>
      <c r="M257" t="inlineStr">
        <is>
          <t>ja</t>
        </is>
      </c>
      <c r="N257" t="inlineStr">
        <is>
          <t>ja</t>
        </is>
      </c>
      <c r="O257" t="inlineStr">
        <is>
          <t>Geen dieet</t>
        </is>
      </c>
      <c r="Q257">
        <f>LEN(G257)-LEN(SUBSTITUTE(G257,",",""))+1</f>
        <v/>
      </c>
      <c r="R257">
        <f>SWITCH(I257, "Zelden", 1, "Af en toe", 4, "Regelmatig", 8, "Vaak", 12)</f>
        <v/>
      </c>
      <c r="S257">
        <f>AVERAGE(--(K257="ja"), --(L257="ja"), --(M257="ja"), --(N257="ja"), --(O257="ja"))*10</f>
        <v/>
      </c>
      <c r="T257">
        <f>IF(S257&gt;=7, "Tevreden", "Ontevreden")</f>
        <v/>
      </c>
    </row>
    <row r="258">
      <c r="A258" t="inlineStr">
        <is>
          <t>Reyyan</t>
        </is>
      </c>
      <c r="B258" t="inlineStr">
        <is>
          <t>Claessens</t>
        </is>
      </c>
      <c r="C258" t="inlineStr">
        <is>
          <t>425.60103-62</t>
        </is>
      </c>
      <c r="D258" t="inlineStr">
        <is>
          <t>06/09/1991</t>
        </is>
      </c>
      <c r="E258" t="inlineStr">
        <is>
          <t>Tuinwijk Ter Heide 12, 3620 Lanaken</t>
        </is>
      </c>
      <c r="F258" t="inlineStr">
        <is>
          <t>Reyyan,Petra,Massa,Laurène,Kaat</t>
        </is>
      </c>
      <c r="G258" t="n">
        <v>179.86</v>
      </c>
      <c r="H258" t="n">
        <v>17</v>
      </c>
      <c r="I258" t="inlineStr">
        <is>
          <t>Bancontact</t>
        </is>
      </c>
      <c r="J258" t="inlineStr">
        <is>
          <t>nee</t>
        </is>
      </c>
      <c r="K258" t="inlineStr">
        <is>
          <t>ja</t>
        </is>
      </c>
      <c r="L258" t="inlineStr">
        <is>
          <t>nee</t>
        </is>
      </c>
      <c r="M258" t="inlineStr">
        <is>
          <t>ja</t>
        </is>
      </c>
      <c r="N258" t="inlineStr">
        <is>
          <t>ja</t>
        </is>
      </c>
      <c r="O258" t="inlineStr">
        <is>
          <t>Geen dieet</t>
        </is>
      </c>
      <c r="Q258">
        <f>LEN(G258)-LEN(SUBSTITUTE(G258,",",""))+1</f>
        <v/>
      </c>
      <c r="R258">
        <f>SWITCH(I258, "Zelden", 1, "Af en toe", 4, "Regelmatig", 8, "Vaak", 12)</f>
        <v/>
      </c>
      <c r="S258">
        <f>AVERAGE(--(K258="ja"), --(L258="ja"), --(M258="ja"), --(N258="ja"), --(O258="ja"))*10</f>
        <v/>
      </c>
      <c r="T258">
        <f>IF(S258&gt;=7, "Tevreden", "Ontevreden")</f>
        <v/>
      </c>
    </row>
    <row r="259">
      <c r="A259" t="inlineStr">
        <is>
          <t>Camille</t>
        </is>
      </c>
      <c r="B259" t="inlineStr">
        <is>
          <t>Bogaert</t>
        </is>
      </c>
      <c r="C259" t="inlineStr">
        <is>
          <t>130.76173-22</t>
        </is>
      </c>
      <c r="D259" t="inlineStr">
        <is>
          <t>19/01/1992</t>
        </is>
      </c>
      <c r="E259" t="inlineStr">
        <is>
          <t>Lange Kruisstraat 22, 3500 Hasselt</t>
        </is>
      </c>
      <c r="F259" t="inlineStr">
        <is>
          <t>Camille</t>
        </is>
      </c>
      <c r="G259" t="n">
        <v>39.51</v>
      </c>
      <c r="H259" t="n">
        <v>7</v>
      </c>
      <c r="I259" t="inlineStr">
        <is>
          <t>Payconiq</t>
        </is>
      </c>
      <c r="J259" t="inlineStr">
        <is>
          <t>ja</t>
        </is>
      </c>
      <c r="K259" t="inlineStr">
        <is>
          <t>ja</t>
        </is>
      </c>
      <c r="L259" t="inlineStr">
        <is>
          <t>ja</t>
        </is>
      </c>
      <c r="M259" t="inlineStr">
        <is>
          <t>ja</t>
        </is>
      </c>
      <c r="N259" t="inlineStr">
        <is>
          <t>ja</t>
        </is>
      </c>
      <c r="O259" t="inlineStr">
        <is>
          <t>Vegetarisch</t>
        </is>
      </c>
      <c r="Q259">
        <f>LEN(G259)-LEN(SUBSTITUTE(G259,",",""))+1</f>
        <v/>
      </c>
      <c r="R259">
        <f>SWITCH(I259, "Zelden", 1, "Af en toe", 4, "Regelmatig", 8, "Vaak", 12)</f>
        <v/>
      </c>
      <c r="S259">
        <f>AVERAGE(--(K259="ja"), --(L259="ja"), --(M259="ja"), --(N259="ja"), --(O259="ja"))*10</f>
        <v/>
      </c>
      <c r="T259">
        <f>IF(S259&gt;=7, "Tevreden", "Ontevreden")</f>
        <v/>
      </c>
    </row>
    <row r="260">
      <c r="A260" t="inlineStr">
        <is>
          <t>Guy</t>
        </is>
      </c>
      <c r="B260" t="inlineStr">
        <is>
          <t>De smet</t>
        </is>
      </c>
      <c r="C260" t="inlineStr">
        <is>
          <t>393.18732-89</t>
        </is>
      </c>
      <c r="D260" t="inlineStr">
        <is>
          <t>19/08/1977</t>
        </is>
      </c>
      <c r="E260" t="inlineStr">
        <is>
          <t>New-orleansstraat 53, 3630 Maasmechelen</t>
        </is>
      </c>
      <c r="F260" t="inlineStr">
        <is>
          <t>Guy,Nisa,Flora,Griet</t>
        </is>
      </c>
      <c r="G260" t="n">
        <v>79.93000000000001</v>
      </c>
      <c r="H260" t="n">
        <v>9</v>
      </c>
      <c r="I260" t="inlineStr">
        <is>
          <t>Payconiq</t>
        </is>
      </c>
      <c r="J260" t="inlineStr">
        <is>
          <t>ja</t>
        </is>
      </c>
      <c r="K260" t="inlineStr">
        <is>
          <t>ja</t>
        </is>
      </c>
      <c r="L260" t="inlineStr">
        <is>
          <t>nee</t>
        </is>
      </c>
      <c r="M260" t="inlineStr">
        <is>
          <t>nee</t>
        </is>
      </c>
      <c r="N260" t="inlineStr">
        <is>
          <t>nee</t>
        </is>
      </c>
      <c r="O260" t="inlineStr">
        <is>
          <t>Geen dieet</t>
        </is>
      </c>
      <c r="Q260">
        <f>LEN(G260)-LEN(SUBSTITUTE(G260,",",""))+1</f>
        <v/>
      </c>
      <c r="R260">
        <f>SWITCH(I260, "Zelden", 1, "Af en toe", 4, "Regelmatig", 8, "Vaak", 12)</f>
        <v/>
      </c>
      <c r="S260">
        <f>AVERAGE(--(K260="ja"), --(L260="ja"), --(M260="ja"), --(N260="ja"), --(O260="ja"))*10</f>
        <v/>
      </c>
      <c r="T260">
        <f>IF(S260&gt;=7, "Tevreden", "Ontevreden")</f>
        <v/>
      </c>
    </row>
    <row r="261">
      <c r="A261" t="inlineStr">
        <is>
          <t>Marianne</t>
        </is>
      </c>
      <c r="B261" t="inlineStr">
        <is>
          <t>Michiels</t>
        </is>
      </c>
      <c r="C261" t="inlineStr">
        <is>
          <t>405.61847-47</t>
        </is>
      </c>
      <c r="D261" t="inlineStr">
        <is>
          <t>11/11/1972</t>
        </is>
      </c>
      <c r="E261" t="inlineStr">
        <is>
          <t>Kruisstraat 10, 3660 Opglabbeek</t>
        </is>
      </c>
      <c r="F261" t="inlineStr">
        <is>
          <t>Marianne,Dana,Anneke</t>
        </is>
      </c>
      <c r="G261" t="n">
        <v>118.63</v>
      </c>
      <c r="H261" t="n">
        <v>13</v>
      </c>
      <c r="I261" t="inlineStr">
        <is>
          <t>Payconiq</t>
        </is>
      </c>
      <c r="J261" t="inlineStr">
        <is>
          <t>ja</t>
        </is>
      </c>
      <c r="K261" t="inlineStr">
        <is>
          <t>ja</t>
        </is>
      </c>
      <c r="L261" t="inlineStr">
        <is>
          <t>ja</t>
        </is>
      </c>
      <c r="M261" t="inlineStr">
        <is>
          <t>ja</t>
        </is>
      </c>
      <c r="N261" t="inlineStr">
        <is>
          <t>ja</t>
        </is>
      </c>
      <c r="O261" t="inlineStr">
        <is>
          <t>Vegetarisch</t>
        </is>
      </c>
      <c r="Q261">
        <f>LEN(G261)-LEN(SUBSTITUTE(G261,",",""))+1</f>
        <v/>
      </c>
      <c r="R261">
        <f>SWITCH(I261, "Zelden", 1, "Af en toe", 4, "Regelmatig", 8, "Vaak", 12)</f>
        <v/>
      </c>
      <c r="S261">
        <f>AVERAGE(--(K261="ja"), --(L261="ja"), --(M261="ja"), --(N261="ja"), --(O261="ja"))*10</f>
        <v/>
      </c>
      <c r="T261">
        <f>IF(S261&gt;=7, "Tevreden", "Ontevreden")</f>
        <v/>
      </c>
    </row>
    <row r="262">
      <c r="A262" t="inlineStr">
        <is>
          <t>Margot</t>
        </is>
      </c>
      <c r="B262" t="inlineStr">
        <is>
          <t>Devos</t>
        </is>
      </c>
      <c r="C262" t="inlineStr">
        <is>
          <t>188.40882-67</t>
        </is>
      </c>
      <c r="D262" t="inlineStr">
        <is>
          <t>24/03/1946</t>
        </is>
      </c>
      <c r="E262" t="inlineStr">
        <is>
          <t>Maaltebruggestraat 71, 3831 Herten</t>
        </is>
      </c>
      <c r="F262" t="inlineStr">
        <is>
          <t>Margot,Johanna</t>
        </is>
      </c>
      <c r="G262" t="n">
        <v>137.13</v>
      </c>
      <c r="H262" t="n">
        <v>17</v>
      </c>
      <c r="I262" t="inlineStr">
        <is>
          <t>Bancontact</t>
        </is>
      </c>
      <c r="J262" t="inlineStr">
        <is>
          <t>ja</t>
        </is>
      </c>
      <c r="K262" t="inlineStr">
        <is>
          <t>ja</t>
        </is>
      </c>
      <c r="L262" t="inlineStr">
        <is>
          <t>ja</t>
        </is>
      </c>
      <c r="M262" t="inlineStr">
        <is>
          <t>ja</t>
        </is>
      </c>
      <c r="N262" t="inlineStr">
        <is>
          <t>ja</t>
        </is>
      </c>
      <c r="O262" t="inlineStr">
        <is>
          <t>Vegetarisch</t>
        </is>
      </c>
      <c r="Q262">
        <f>LEN(G262)-LEN(SUBSTITUTE(G262,",",""))+1</f>
        <v/>
      </c>
      <c r="R262">
        <f>SWITCH(I262, "Zelden", 1, "Af en toe", 4, "Regelmatig", 8, "Vaak", 12)</f>
        <v/>
      </c>
      <c r="S262">
        <f>AVERAGE(--(K262="ja"), --(L262="ja"), --(M262="ja"), --(N262="ja"), --(O262="ja"))*10</f>
        <v/>
      </c>
      <c r="T262">
        <f>IF(S262&gt;=7, "Tevreden", "Ontevreden")</f>
        <v/>
      </c>
    </row>
    <row r="263">
      <c r="A263" t="inlineStr">
        <is>
          <t>Toni</t>
        </is>
      </c>
      <c r="B263" t="inlineStr">
        <is>
          <t>Thys</t>
        </is>
      </c>
      <c r="C263" t="inlineStr">
        <is>
          <t>296.40001-14</t>
        </is>
      </c>
      <c r="D263" t="inlineStr">
        <is>
          <t>01/07/1958</t>
        </is>
      </c>
      <c r="E263" t="inlineStr">
        <is>
          <t>Keuze 32, 3740 Rijkhoven</t>
        </is>
      </c>
      <c r="F263" t="inlineStr">
        <is>
          <t>Toni,Arif,Joëlle,Vicky</t>
        </is>
      </c>
      <c r="G263" t="n">
        <v>229.5</v>
      </c>
      <c r="H263" t="n">
        <v>8</v>
      </c>
      <c r="I263" t="inlineStr">
        <is>
          <t>Bancontact</t>
        </is>
      </c>
      <c r="J263" t="inlineStr">
        <is>
          <t>ja</t>
        </is>
      </c>
      <c r="K263" t="inlineStr">
        <is>
          <t>ja</t>
        </is>
      </c>
      <c r="L263" t="inlineStr">
        <is>
          <t>ja</t>
        </is>
      </c>
      <c r="M263" t="inlineStr">
        <is>
          <t>ja</t>
        </is>
      </c>
      <c r="N263" t="inlineStr">
        <is>
          <t>nee</t>
        </is>
      </c>
      <c r="O263" t="inlineStr">
        <is>
          <t>Geen dieet</t>
        </is>
      </c>
      <c r="Q263">
        <f>LEN(G263)-LEN(SUBSTITUTE(G263,",",""))+1</f>
        <v/>
      </c>
      <c r="R263">
        <f>SWITCH(I263, "Zelden", 1, "Af en toe", 4, "Regelmatig", 8, "Vaak", 12)</f>
        <v/>
      </c>
      <c r="S263">
        <f>AVERAGE(--(K263="ja"), --(L263="ja"), --(M263="ja"), --(N263="ja"), --(O263="ja"))*10</f>
        <v/>
      </c>
      <c r="T263">
        <f>IF(S263&gt;=7, "Tevreden", "Ontevreden")</f>
        <v/>
      </c>
    </row>
    <row r="264">
      <c r="A264" t="inlineStr">
        <is>
          <t>Carlos</t>
        </is>
      </c>
      <c r="B264" t="inlineStr">
        <is>
          <t>Martens</t>
        </is>
      </c>
      <c r="C264" t="inlineStr">
        <is>
          <t>222.26454-64</t>
        </is>
      </c>
      <c r="D264" t="inlineStr">
        <is>
          <t>27/02/1957</t>
        </is>
      </c>
      <c r="E264" t="inlineStr">
        <is>
          <t>Vierweegsestraat 27, 3500 Hasselt</t>
        </is>
      </c>
      <c r="F264" t="inlineStr">
        <is>
          <t>Carlos,Jim</t>
        </is>
      </c>
      <c r="G264" t="n">
        <v>183.68</v>
      </c>
      <c r="H264" t="n">
        <v>13</v>
      </c>
      <c r="I264" t="inlineStr">
        <is>
          <t>Cash</t>
        </is>
      </c>
      <c r="J264" t="inlineStr">
        <is>
          <t>ja</t>
        </is>
      </c>
      <c r="K264" t="inlineStr">
        <is>
          <t>ja</t>
        </is>
      </c>
      <c r="L264" t="inlineStr">
        <is>
          <t>nee</t>
        </is>
      </c>
      <c r="M264" t="inlineStr">
        <is>
          <t>ja</t>
        </is>
      </c>
      <c r="N264" t="inlineStr">
        <is>
          <t>nee</t>
        </is>
      </c>
      <c r="O264" t="inlineStr">
        <is>
          <t>Geen dieet</t>
        </is>
      </c>
      <c r="Q264">
        <f>LEN(G264)-LEN(SUBSTITUTE(G264,",",""))+1</f>
        <v/>
      </c>
      <c r="R264">
        <f>SWITCH(I264, "Zelden", 1, "Af en toe", 4, "Regelmatig", 8, "Vaak", 12)</f>
        <v/>
      </c>
      <c r="S264">
        <f>AVERAGE(--(K264="ja"), --(L264="ja"), --(M264="ja"), --(N264="ja"), --(O264="ja"))*10</f>
        <v/>
      </c>
      <c r="T264">
        <f>IF(S264&gt;=7, "Tevreden", "Ontevreden")</f>
        <v/>
      </c>
    </row>
    <row r="265">
      <c r="A265" t="inlineStr">
        <is>
          <t>Bilal</t>
        </is>
      </c>
      <c r="B265" t="inlineStr">
        <is>
          <t>De smet</t>
        </is>
      </c>
      <c r="C265" t="inlineStr">
        <is>
          <t>292.46311-70</t>
        </is>
      </c>
      <c r="D265" t="inlineStr">
        <is>
          <t>26/12/2004</t>
        </is>
      </c>
      <c r="E265" t="inlineStr">
        <is>
          <t>Hogeheerweg 60, 3690 Zutendaal</t>
        </is>
      </c>
      <c r="F265" t="inlineStr">
        <is>
          <t>Bilal,Jeannette,Jeannette,Victor,Sylwia</t>
        </is>
      </c>
      <c r="G265" t="n">
        <v>143.66</v>
      </c>
      <c r="H265" t="n">
        <v>11</v>
      </c>
      <c r="I265" t="inlineStr">
        <is>
          <t>Bancontact</t>
        </is>
      </c>
      <c r="J265" t="inlineStr">
        <is>
          <t>ja</t>
        </is>
      </c>
      <c r="K265" t="inlineStr">
        <is>
          <t>ja</t>
        </is>
      </c>
      <c r="L265" t="inlineStr">
        <is>
          <t>ja</t>
        </is>
      </c>
      <c r="M265" t="inlineStr">
        <is>
          <t>ja</t>
        </is>
      </c>
      <c r="N265" t="inlineStr">
        <is>
          <t>ja</t>
        </is>
      </c>
      <c r="O265" t="inlineStr">
        <is>
          <t>Geen dieet</t>
        </is>
      </c>
      <c r="Q265">
        <f>LEN(G265)-LEN(SUBSTITUTE(G265,",",""))+1</f>
        <v/>
      </c>
      <c r="R265">
        <f>SWITCH(I265, "Zelden", 1, "Af en toe", 4, "Regelmatig", 8, "Vaak", 12)</f>
        <v/>
      </c>
      <c r="S265">
        <f>AVERAGE(--(K265="ja"), --(L265="ja"), --(M265="ja"), --(N265="ja"), --(O265="ja"))*10</f>
        <v/>
      </c>
      <c r="T265">
        <f>IF(S265&gt;=7, "Tevreden", "Ontevreden")</f>
        <v/>
      </c>
    </row>
    <row r="266">
      <c r="A266" t="inlineStr">
        <is>
          <t>Tamara</t>
        </is>
      </c>
      <c r="B266" t="inlineStr">
        <is>
          <t>Sterckx</t>
        </is>
      </c>
      <c r="C266" t="inlineStr">
        <is>
          <t>308.15274-75</t>
        </is>
      </c>
      <c r="D266" t="inlineStr">
        <is>
          <t>29/11/1950</t>
        </is>
      </c>
      <c r="E266" t="inlineStr">
        <is>
          <t>Belgiëlaan 23, 3680 Maaseik</t>
        </is>
      </c>
      <c r="F266" t="inlineStr">
        <is>
          <t>Tamara,Philippe</t>
        </is>
      </c>
      <c r="G266" t="n">
        <v>105.84</v>
      </c>
      <c r="H266" t="n">
        <v>9</v>
      </c>
      <c r="I266" t="inlineStr">
        <is>
          <t>Bancontact</t>
        </is>
      </c>
      <c r="J266" t="inlineStr">
        <is>
          <t>ja</t>
        </is>
      </c>
      <c r="K266" t="inlineStr">
        <is>
          <t>ja</t>
        </is>
      </c>
      <c r="L266" t="inlineStr">
        <is>
          <t>ja</t>
        </is>
      </c>
      <c r="M266" t="inlineStr">
        <is>
          <t>ja</t>
        </is>
      </c>
      <c r="N266" t="inlineStr">
        <is>
          <t>ja</t>
        </is>
      </c>
      <c r="O266" t="inlineStr">
        <is>
          <t>Vegetarisch</t>
        </is>
      </c>
      <c r="Q266">
        <f>LEN(G266)-LEN(SUBSTITUTE(G266,",",""))+1</f>
        <v/>
      </c>
      <c r="R266">
        <f>SWITCH(I266, "Zelden", 1, "Af en toe", 4, "Regelmatig", 8, "Vaak", 12)</f>
        <v/>
      </c>
      <c r="S266">
        <f>AVERAGE(--(K266="ja"), --(L266="ja"), --(M266="ja"), --(N266="ja"), --(O266="ja"))*10</f>
        <v/>
      </c>
      <c r="T266">
        <f>IF(S266&gt;=7, "Tevreden", "Ontevreden")</f>
        <v/>
      </c>
    </row>
    <row r="267">
      <c r="A267" t="inlineStr">
        <is>
          <t>Marie-Christine</t>
        </is>
      </c>
      <c r="B267" t="inlineStr">
        <is>
          <t>De clercq</t>
        </is>
      </c>
      <c r="C267" t="inlineStr">
        <is>
          <t>995.18108-18</t>
        </is>
      </c>
      <c r="D267" t="inlineStr">
        <is>
          <t>13/01/1990</t>
        </is>
      </c>
      <c r="E267" t="inlineStr">
        <is>
          <t>Einde Were 90, 3800 Sint-Truiden</t>
        </is>
      </c>
      <c r="F267" t="inlineStr">
        <is>
          <t>Marie-Christine,Hildegarde,Harry,Jens</t>
        </is>
      </c>
      <c r="G267" t="n">
        <v>135.31</v>
      </c>
      <c r="H267" t="n">
        <v>18</v>
      </c>
      <c r="I267" t="inlineStr">
        <is>
          <t>Bancontact</t>
        </is>
      </c>
      <c r="J267" t="inlineStr">
        <is>
          <t>ja</t>
        </is>
      </c>
      <c r="K267" t="inlineStr">
        <is>
          <t>ja</t>
        </is>
      </c>
      <c r="L267" t="inlineStr">
        <is>
          <t>ja</t>
        </is>
      </c>
      <c r="M267" t="inlineStr">
        <is>
          <t>ja</t>
        </is>
      </c>
      <c r="N267" t="inlineStr">
        <is>
          <t>ja</t>
        </is>
      </c>
      <c r="O267" t="inlineStr">
        <is>
          <t>Geen dieet</t>
        </is>
      </c>
      <c r="Q267">
        <f>LEN(G267)-LEN(SUBSTITUTE(G267,",",""))+1</f>
        <v/>
      </c>
      <c r="R267">
        <f>SWITCH(I267, "Zelden", 1, "Af en toe", 4, "Regelmatig", 8, "Vaak", 12)</f>
        <v/>
      </c>
      <c r="S267">
        <f>AVERAGE(--(K267="ja"), --(L267="ja"), --(M267="ja"), --(N267="ja"), --(O267="ja"))*10</f>
        <v/>
      </c>
      <c r="T267">
        <f>IF(S267&gt;=7, "Tevreden", "Ontevreden")</f>
        <v/>
      </c>
    </row>
    <row r="268">
      <c r="A268" t="inlineStr">
        <is>
          <t>Lotte</t>
        </is>
      </c>
      <c r="B268" t="inlineStr">
        <is>
          <t>De cock</t>
        </is>
      </c>
      <c r="C268" t="inlineStr">
        <is>
          <t>51.40163-16</t>
        </is>
      </c>
      <c r="D268" t="inlineStr">
        <is>
          <t>12/02/1999</t>
        </is>
      </c>
      <c r="E268" t="inlineStr">
        <is>
          <t>Heernislaan 30, 3530 Houthalen-Helchteren</t>
        </is>
      </c>
      <c r="F268" t="inlineStr">
        <is>
          <t>Lotte,Martin,Tania</t>
        </is>
      </c>
      <c r="G268" t="n">
        <v>63.63</v>
      </c>
      <c r="H268" t="n">
        <v>6</v>
      </c>
      <c r="I268" t="inlineStr">
        <is>
          <t>Payconiq</t>
        </is>
      </c>
      <c r="J268" t="inlineStr">
        <is>
          <t>nee</t>
        </is>
      </c>
      <c r="K268" t="inlineStr">
        <is>
          <t>nee</t>
        </is>
      </c>
      <c r="L268" t="inlineStr">
        <is>
          <t>nee</t>
        </is>
      </c>
      <c r="M268" t="inlineStr">
        <is>
          <t>nee</t>
        </is>
      </c>
      <c r="N268" t="inlineStr">
        <is>
          <t>ja</t>
        </is>
      </c>
      <c r="O268" t="inlineStr">
        <is>
          <t>Veganistisch</t>
        </is>
      </c>
      <c r="Q268">
        <f>LEN(G268)-LEN(SUBSTITUTE(G268,",",""))+1</f>
        <v/>
      </c>
      <c r="R268">
        <f>SWITCH(I268, "Zelden", 1, "Af en toe", 4, "Regelmatig", 8, "Vaak", 12)</f>
        <v/>
      </c>
      <c r="S268">
        <f>AVERAGE(--(K268="ja"), --(L268="ja"), --(M268="ja"), --(N268="ja"), --(O268="ja"))*10</f>
        <v/>
      </c>
      <c r="T268">
        <f>IF(S268&gt;=7, "Tevreden", "Ontevreden")</f>
        <v/>
      </c>
    </row>
    <row r="269">
      <c r="A269" t="inlineStr">
        <is>
          <t>Yann</t>
        </is>
      </c>
      <c r="B269" t="inlineStr">
        <is>
          <t>Janssen</t>
        </is>
      </c>
      <c r="C269" t="inlineStr">
        <is>
          <t>692.48286-30</t>
        </is>
      </c>
      <c r="D269" t="inlineStr">
        <is>
          <t>16/08/1960</t>
        </is>
      </c>
      <c r="E269" t="inlineStr">
        <is>
          <t>Coupure 24, 3900 Overpelt</t>
        </is>
      </c>
      <c r="F269" t="inlineStr">
        <is>
          <t>Yann</t>
        </is>
      </c>
      <c r="G269" t="n">
        <v>45.88</v>
      </c>
      <c r="H269" t="n">
        <v>6</v>
      </c>
      <c r="I269" t="inlineStr">
        <is>
          <t>Payconiq</t>
        </is>
      </c>
      <c r="J269" t="inlineStr">
        <is>
          <t>ja</t>
        </is>
      </c>
      <c r="K269" t="inlineStr">
        <is>
          <t>ja</t>
        </is>
      </c>
      <c r="L269" t="inlineStr">
        <is>
          <t>ja</t>
        </is>
      </c>
      <c r="M269" t="inlineStr">
        <is>
          <t>nee</t>
        </is>
      </c>
      <c r="N269" t="inlineStr">
        <is>
          <t>ja</t>
        </is>
      </c>
      <c r="O269" t="inlineStr">
        <is>
          <t>Geen dieet</t>
        </is>
      </c>
      <c r="Q269">
        <f>LEN(G269)-LEN(SUBSTITUTE(G269,",",""))+1</f>
        <v/>
      </c>
      <c r="R269">
        <f>SWITCH(I269, "Zelden", 1, "Af en toe", 4, "Regelmatig", 8, "Vaak", 12)</f>
        <v/>
      </c>
      <c r="S269">
        <f>AVERAGE(--(K269="ja"), --(L269="ja"), --(M269="ja"), --(N269="ja"), --(O269="ja"))*10</f>
        <v/>
      </c>
      <c r="T269">
        <f>IF(S269&gt;=7, "Tevreden", "Ontevreden")</f>
        <v/>
      </c>
    </row>
    <row r="270">
      <c r="A270" t="inlineStr">
        <is>
          <t>Rachel</t>
        </is>
      </c>
      <c r="B270" t="inlineStr">
        <is>
          <t>Desmet</t>
        </is>
      </c>
      <c r="C270" t="inlineStr">
        <is>
          <t>398.64891-76</t>
        </is>
      </c>
      <c r="D270" t="inlineStr">
        <is>
          <t>25/09/1957</t>
        </is>
      </c>
      <c r="E270" t="inlineStr">
        <is>
          <t>Clarissenstraat 19, 3720 Kortessem</t>
        </is>
      </c>
      <c r="F270" t="inlineStr">
        <is>
          <t>Rachel,Zoé</t>
        </is>
      </c>
      <c r="G270" t="n">
        <v>79.61</v>
      </c>
      <c r="H270" t="n">
        <v>10</v>
      </c>
      <c r="I270" t="inlineStr">
        <is>
          <t>Cash</t>
        </is>
      </c>
      <c r="J270" t="inlineStr">
        <is>
          <t>nee</t>
        </is>
      </c>
      <c r="K270" t="inlineStr">
        <is>
          <t>nee</t>
        </is>
      </c>
      <c r="L270" t="inlineStr">
        <is>
          <t>ja</t>
        </is>
      </c>
      <c r="M270" t="inlineStr">
        <is>
          <t>ja</t>
        </is>
      </c>
      <c r="N270" t="inlineStr">
        <is>
          <t>ja</t>
        </is>
      </c>
      <c r="O270" t="inlineStr">
        <is>
          <t>Geen dieet</t>
        </is>
      </c>
      <c r="Q270">
        <f>LEN(G270)-LEN(SUBSTITUTE(G270,",",""))+1</f>
        <v/>
      </c>
      <c r="R270">
        <f>SWITCH(I270, "Zelden", 1, "Af en toe", 4, "Regelmatig", 8, "Vaak", 12)</f>
        <v/>
      </c>
      <c r="S270">
        <f>AVERAGE(--(K270="ja"), --(L270="ja"), --(M270="ja"), --(N270="ja"), --(O270="ja"))*10</f>
        <v/>
      </c>
      <c r="T270">
        <f>IF(S270&gt;=7, "Tevreden", "Ontevreden")</f>
        <v/>
      </c>
    </row>
    <row r="271">
      <c r="A271" t="inlineStr">
        <is>
          <t>Isabelle</t>
        </is>
      </c>
      <c r="B271" t="inlineStr">
        <is>
          <t>Nys</t>
        </is>
      </c>
      <c r="C271" t="inlineStr">
        <is>
          <t>226.87796-89</t>
        </is>
      </c>
      <c r="D271" t="inlineStr">
        <is>
          <t>24/12/1980</t>
        </is>
      </c>
      <c r="E271" t="inlineStr">
        <is>
          <t>Beekstraatkouter 10, 3530 Houthalen-Helchteren</t>
        </is>
      </c>
      <c r="F271" t="inlineStr">
        <is>
          <t>Isabelle,Mario</t>
        </is>
      </c>
      <c r="G271" t="n">
        <v>106.91</v>
      </c>
      <c r="H271" t="n">
        <v>9</v>
      </c>
      <c r="I271" t="inlineStr">
        <is>
          <t>Cash</t>
        </is>
      </c>
      <c r="J271" t="inlineStr">
        <is>
          <t>nee</t>
        </is>
      </c>
      <c r="K271" t="inlineStr">
        <is>
          <t>nee</t>
        </is>
      </c>
      <c r="L271" t="inlineStr">
        <is>
          <t>ja</t>
        </is>
      </c>
      <c r="M271" t="inlineStr">
        <is>
          <t>ja</t>
        </is>
      </c>
      <c r="N271" t="inlineStr">
        <is>
          <t>ja</t>
        </is>
      </c>
      <c r="O271" t="inlineStr">
        <is>
          <t>Geen dieet</t>
        </is>
      </c>
      <c r="Q271">
        <f>LEN(G271)-LEN(SUBSTITUTE(G271,",",""))+1</f>
        <v/>
      </c>
      <c r="R271">
        <f>SWITCH(I271, "Zelden", 1, "Af en toe", 4, "Regelmatig", 8, "Vaak", 12)</f>
        <v/>
      </c>
      <c r="S271">
        <f>AVERAGE(--(K271="ja"), --(L271="ja"), --(M271="ja"), --(N271="ja"), --(O271="ja"))*10</f>
        <v/>
      </c>
      <c r="T271">
        <f>IF(S271&gt;=7, "Tevreden", "Ontevreden")</f>
        <v/>
      </c>
    </row>
    <row r="272">
      <c r="A272" t="inlineStr">
        <is>
          <t>Lore</t>
        </is>
      </c>
      <c r="B272" t="inlineStr">
        <is>
          <t>Verschueren</t>
        </is>
      </c>
      <c r="C272" t="inlineStr">
        <is>
          <t>984.76780-12</t>
        </is>
      </c>
      <c r="D272" t="inlineStr">
        <is>
          <t>26/08/1967</t>
        </is>
      </c>
      <c r="E272" t="inlineStr">
        <is>
          <t>Belgiëlaan 59, 3500 Hasselt</t>
        </is>
      </c>
      <c r="F272" t="inlineStr">
        <is>
          <t>Lore,Iman,Anthony,Fons</t>
        </is>
      </c>
      <c r="G272" t="n">
        <v>94.64</v>
      </c>
      <c r="H272" t="n">
        <v>14</v>
      </c>
      <c r="I272" t="inlineStr">
        <is>
          <t>Payconiq</t>
        </is>
      </c>
      <c r="J272" t="inlineStr">
        <is>
          <t>nee</t>
        </is>
      </c>
      <c r="K272" t="inlineStr">
        <is>
          <t>ja</t>
        </is>
      </c>
      <c r="L272" t="inlineStr">
        <is>
          <t>ja</t>
        </is>
      </c>
      <c r="M272" t="inlineStr">
        <is>
          <t>ja</t>
        </is>
      </c>
      <c r="N272" t="inlineStr">
        <is>
          <t>ja</t>
        </is>
      </c>
      <c r="O272" t="inlineStr">
        <is>
          <t>Geen dieet</t>
        </is>
      </c>
      <c r="Q272">
        <f>LEN(G272)-LEN(SUBSTITUTE(G272,",",""))+1</f>
        <v/>
      </c>
      <c r="R272">
        <f>SWITCH(I272, "Zelden", 1, "Af en toe", 4, "Regelmatig", 8, "Vaak", 12)</f>
        <v/>
      </c>
      <c r="S272">
        <f>AVERAGE(--(K272="ja"), --(L272="ja"), --(M272="ja"), --(N272="ja"), --(O272="ja"))*10</f>
        <v/>
      </c>
      <c r="T272">
        <f>IF(S272&gt;=7, "Tevreden", "Ontevreden")</f>
        <v/>
      </c>
    </row>
    <row r="273">
      <c r="A273" t="inlineStr">
        <is>
          <t>Léo</t>
        </is>
      </c>
      <c r="B273" t="inlineStr">
        <is>
          <t>Roland</t>
        </is>
      </c>
      <c r="C273" t="inlineStr">
        <is>
          <t>14.99371-52</t>
        </is>
      </c>
      <c r="D273" t="inlineStr">
        <is>
          <t>12/09/1991</t>
        </is>
      </c>
      <c r="E273" t="inlineStr">
        <is>
          <t>Mail 10, 3500 Hasselt</t>
        </is>
      </c>
      <c r="F273" t="inlineStr">
        <is>
          <t>Léo</t>
        </is>
      </c>
      <c r="G273" t="n">
        <v>18.66</v>
      </c>
      <c r="H273" t="n">
        <v>19</v>
      </c>
      <c r="I273" t="inlineStr">
        <is>
          <t>Cash</t>
        </is>
      </c>
      <c r="J273" t="inlineStr">
        <is>
          <t>nee</t>
        </is>
      </c>
      <c r="K273" t="inlineStr">
        <is>
          <t>ja</t>
        </is>
      </c>
      <c r="L273" t="inlineStr">
        <is>
          <t>nee</t>
        </is>
      </c>
      <c r="M273" t="inlineStr">
        <is>
          <t>ja</t>
        </is>
      </c>
      <c r="N273" t="inlineStr">
        <is>
          <t>ja</t>
        </is>
      </c>
      <c r="O273" t="inlineStr">
        <is>
          <t>Geen dieet</t>
        </is>
      </c>
      <c r="Q273">
        <f>LEN(G273)-LEN(SUBSTITUTE(G273,",",""))+1</f>
        <v/>
      </c>
      <c r="R273">
        <f>SWITCH(I273, "Zelden", 1, "Af en toe", 4, "Regelmatig", 8, "Vaak", 12)</f>
        <v/>
      </c>
      <c r="S273">
        <f>AVERAGE(--(K273="ja"), --(L273="ja"), --(M273="ja"), --(N273="ja"), --(O273="ja"))*10</f>
        <v/>
      </c>
      <c r="T273">
        <f>IF(S273&gt;=7, "Tevreden", "Ontevreden")</f>
        <v/>
      </c>
    </row>
    <row r="274">
      <c r="A274" t="inlineStr">
        <is>
          <t>Henri</t>
        </is>
      </c>
      <c r="B274" t="inlineStr">
        <is>
          <t>Everaert</t>
        </is>
      </c>
      <c r="C274" t="inlineStr">
        <is>
          <t>194.87698-26</t>
        </is>
      </c>
      <c r="D274" t="inlineStr">
        <is>
          <t>07/09/2003</t>
        </is>
      </c>
      <c r="E274" t="inlineStr">
        <is>
          <t>Visserij 41, 3891 Meilen</t>
        </is>
      </c>
      <c r="F274" t="inlineStr">
        <is>
          <t>Henri,Charlotte,Rosan,Willy</t>
        </is>
      </c>
      <c r="G274" t="n">
        <v>124.24</v>
      </c>
      <c r="H274" t="n">
        <v>8</v>
      </c>
      <c r="I274" t="inlineStr">
        <is>
          <t>Cash</t>
        </is>
      </c>
      <c r="J274" t="inlineStr">
        <is>
          <t>ja</t>
        </is>
      </c>
      <c r="K274" t="inlineStr">
        <is>
          <t>nee</t>
        </is>
      </c>
      <c r="L274" t="inlineStr">
        <is>
          <t>nee</t>
        </is>
      </c>
      <c r="M274" t="inlineStr">
        <is>
          <t>ja</t>
        </is>
      </c>
      <c r="N274" t="inlineStr">
        <is>
          <t>ja</t>
        </is>
      </c>
      <c r="O274" t="inlineStr">
        <is>
          <t>Geen dieet</t>
        </is>
      </c>
      <c r="Q274">
        <f>LEN(G274)-LEN(SUBSTITUTE(G274,",",""))+1</f>
        <v/>
      </c>
      <c r="R274">
        <f>SWITCH(I274, "Zelden", 1, "Af en toe", 4, "Regelmatig", 8, "Vaak", 12)</f>
        <v/>
      </c>
      <c r="S274">
        <f>AVERAGE(--(K274="ja"), --(L274="ja"), --(M274="ja"), --(N274="ja"), --(O274="ja"))*10</f>
        <v/>
      </c>
      <c r="T274">
        <f>IF(S274&gt;=7, "Tevreden", "Ontevreden")</f>
        <v/>
      </c>
    </row>
    <row r="275">
      <c r="A275" t="inlineStr">
        <is>
          <t>Edithe</t>
        </is>
      </c>
      <c r="B275" t="inlineStr">
        <is>
          <t>Bogaert</t>
        </is>
      </c>
      <c r="C275" t="inlineStr">
        <is>
          <t>395.53085-21</t>
        </is>
      </c>
      <c r="D275" t="inlineStr">
        <is>
          <t>24/06/1956</t>
        </is>
      </c>
      <c r="E275" t="inlineStr">
        <is>
          <t>Aaigemstraat 51, 3670 Meeuwen-Gruitrode</t>
        </is>
      </c>
      <c r="F275" t="inlineStr">
        <is>
          <t>Edithe,Anne,René</t>
        </is>
      </c>
      <c r="G275" t="n">
        <v>141.83</v>
      </c>
      <c r="H275" t="n">
        <v>14</v>
      </c>
      <c r="I275" t="inlineStr">
        <is>
          <t>Payconiq</t>
        </is>
      </c>
      <c r="J275" t="inlineStr">
        <is>
          <t>ja</t>
        </is>
      </c>
      <c r="K275" t="inlineStr">
        <is>
          <t>ja</t>
        </is>
      </c>
      <c r="L275" t="inlineStr">
        <is>
          <t>nee</t>
        </is>
      </c>
      <c r="M275" t="inlineStr">
        <is>
          <t>ja</t>
        </is>
      </c>
      <c r="N275" t="inlineStr">
        <is>
          <t>ja</t>
        </is>
      </c>
      <c r="O275" t="inlineStr">
        <is>
          <t>Geen dieet</t>
        </is>
      </c>
      <c r="Q275">
        <f>LEN(G275)-LEN(SUBSTITUTE(G275,",",""))+1</f>
        <v/>
      </c>
      <c r="R275">
        <f>SWITCH(I275, "Zelden", 1, "Af en toe", 4, "Regelmatig", 8, "Vaak", 12)</f>
        <v/>
      </c>
      <c r="S275">
        <f>AVERAGE(--(K275="ja"), --(L275="ja"), --(M275="ja"), --(N275="ja"), --(O275="ja"))*10</f>
        <v/>
      </c>
      <c r="T275">
        <f>IF(S275&gt;=7, "Tevreden", "Ontevreden")</f>
        <v/>
      </c>
    </row>
    <row r="276">
      <c r="A276" t="inlineStr">
        <is>
          <t>Loïc</t>
        </is>
      </c>
      <c r="B276" t="inlineStr">
        <is>
          <t>Van hove</t>
        </is>
      </c>
      <c r="C276" t="inlineStr">
        <is>
          <t>131.12349-79</t>
        </is>
      </c>
      <c r="D276" t="inlineStr">
        <is>
          <t>23/09/2001</t>
        </is>
      </c>
      <c r="E276" t="inlineStr">
        <is>
          <t>Ledergemstraat 59, 3500 Hasselt</t>
        </is>
      </c>
      <c r="F276" t="inlineStr">
        <is>
          <t>Loïc,Marie,Rubina</t>
        </is>
      </c>
      <c r="G276" t="n">
        <v>52.46</v>
      </c>
      <c r="H276" t="n">
        <v>3</v>
      </c>
      <c r="I276" t="inlineStr">
        <is>
          <t>Cash</t>
        </is>
      </c>
      <c r="J276" t="inlineStr">
        <is>
          <t>nee</t>
        </is>
      </c>
      <c r="K276" t="inlineStr">
        <is>
          <t>nee</t>
        </is>
      </c>
      <c r="L276" t="inlineStr">
        <is>
          <t>nee</t>
        </is>
      </c>
      <c r="M276" t="inlineStr">
        <is>
          <t>ja</t>
        </is>
      </c>
      <c r="N276" t="inlineStr">
        <is>
          <t>ja</t>
        </is>
      </c>
      <c r="O276" t="inlineStr">
        <is>
          <t>Geen dieet</t>
        </is>
      </c>
      <c r="Q276">
        <f>LEN(G276)-LEN(SUBSTITUTE(G276,",",""))+1</f>
        <v/>
      </c>
      <c r="R276">
        <f>SWITCH(I276, "Zelden", 1, "Af en toe", 4, "Regelmatig", 8, "Vaak", 12)</f>
        <v/>
      </c>
      <c r="S276">
        <f>AVERAGE(--(K276="ja"), --(L276="ja"), --(M276="ja"), --(N276="ja"), --(O276="ja"))*10</f>
        <v/>
      </c>
      <c r="T276">
        <f>IF(S276&gt;=7, "Tevreden", "Ontevreden")</f>
        <v/>
      </c>
    </row>
    <row r="277">
      <c r="A277" t="inlineStr">
        <is>
          <t>Sascha</t>
        </is>
      </c>
      <c r="B277" t="inlineStr">
        <is>
          <t>Gilson</t>
        </is>
      </c>
      <c r="C277" t="inlineStr">
        <is>
          <t>107.97771-33</t>
        </is>
      </c>
      <c r="D277" t="inlineStr">
        <is>
          <t>23/11/1960</t>
        </is>
      </c>
      <c r="E277" t="inlineStr">
        <is>
          <t>Sint-denijslaan 36, 3840 Borgloon</t>
        </is>
      </c>
      <c r="F277" t="inlineStr">
        <is>
          <t>Sascha,Melissa</t>
        </is>
      </c>
      <c r="G277" t="n">
        <v>50.52</v>
      </c>
      <c r="H277" t="n">
        <v>6</v>
      </c>
      <c r="I277" t="inlineStr">
        <is>
          <t>Cash</t>
        </is>
      </c>
      <c r="J277" t="inlineStr">
        <is>
          <t>ja</t>
        </is>
      </c>
      <c r="K277" t="inlineStr">
        <is>
          <t>nee</t>
        </is>
      </c>
      <c r="L277" t="inlineStr">
        <is>
          <t>ja</t>
        </is>
      </c>
      <c r="M277" t="inlineStr">
        <is>
          <t>ja</t>
        </is>
      </c>
      <c r="N277" t="inlineStr">
        <is>
          <t>ja</t>
        </is>
      </c>
      <c r="O277" t="inlineStr">
        <is>
          <t>Vegetarisch</t>
        </is>
      </c>
      <c r="Q277">
        <f>LEN(G277)-LEN(SUBSTITUTE(G277,",",""))+1</f>
        <v/>
      </c>
      <c r="R277">
        <f>SWITCH(I277, "Zelden", 1, "Af en toe", 4, "Regelmatig", 8, "Vaak", 12)</f>
        <v/>
      </c>
      <c r="S277">
        <f>AVERAGE(--(K277="ja"), --(L277="ja"), --(M277="ja"), --(N277="ja"), --(O277="ja"))*10</f>
        <v/>
      </c>
      <c r="T277">
        <f>IF(S277&gt;=7, "Tevreden", "Ontevreden")</f>
        <v/>
      </c>
    </row>
    <row r="278">
      <c r="A278" t="inlineStr">
        <is>
          <t>Vincent</t>
        </is>
      </c>
      <c r="B278" t="inlineStr">
        <is>
          <t>Wouters</t>
        </is>
      </c>
      <c r="C278" t="inlineStr">
        <is>
          <t>870.88307-28</t>
        </is>
      </c>
      <c r="D278" t="inlineStr">
        <is>
          <t>09/11/1978</t>
        </is>
      </c>
      <c r="E278" t="inlineStr">
        <is>
          <t>Acacialaan 87, 3850 Nieuwerkerken</t>
        </is>
      </c>
      <c r="F278" t="inlineStr">
        <is>
          <t>Vincent</t>
        </is>
      </c>
      <c r="G278" t="n">
        <v>87.83</v>
      </c>
      <c r="H278" t="n">
        <v>4</v>
      </c>
      <c r="I278" t="inlineStr">
        <is>
          <t>Payconiq</t>
        </is>
      </c>
      <c r="J278" t="inlineStr">
        <is>
          <t>ja</t>
        </is>
      </c>
      <c r="K278" t="inlineStr">
        <is>
          <t>nee</t>
        </is>
      </c>
      <c r="L278" t="inlineStr">
        <is>
          <t>ja</t>
        </is>
      </c>
      <c r="M278" t="inlineStr">
        <is>
          <t>ja</t>
        </is>
      </c>
      <c r="N278" t="inlineStr">
        <is>
          <t>nee</t>
        </is>
      </c>
      <c r="O278" t="inlineStr">
        <is>
          <t>Geen dieet</t>
        </is>
      </c>
      <c r="Q278">
        <f>LEN(G278)-LEN(SUBSTITUTE(G278,",",""))+1</f>
        <v/>
      </c>
      <c r="R278">
        <f>SWITCH(I278, "Zelden", 1, "Af en toe", 4, "Regelmatig", 8, "Vaak", 12)</f>
        <v/>
      </c>
      <c r="S278">
        <f>AVERAGE(--(K278="ja"), --(L278="ja"), --(M278="ja"), --(N278="ja"), --(O278="ja"))*10</f>
        <v/>
      </c>
      <c r="T278">
        <f>IF(S278&gt;=7, "Tevreden", "Ontevreden")</f>
        <v/>
      </c>
    </row>
    <row r="279">
      <c r="A279" t="inlineStr">
        <is>
          <t>Jean</t>
        </is>
      </c>
      <c r="B279" t="inlineStr">
        <is>
          <t>Lenaerts</t>
        </is>
      </c>
      <c r="C279" t="inlineStr">
        <is>
          <t>591.66759-34</t>
        </is>
      </c>
      <c r="D279" t="inlineStr">
        <is>
          <t>15/11/1958</t>
        </is>
      </c>
      <c r="E279" t="inlineStr">
        <is>
          <t>Onafhankelijkheidslaan 22, 3890 Gingelom</t>
        </is>
      </c>
      <c r="F279" t="inlineStr">
        <is>
          <t>Jean,Annie,Herman</t>
        </is>
      </c>
      <c r="G279" t="n">
        <v>82.58</v>
      </c>
      <c r="H279" t="n">
        <v>15</v>
      </c>
      <c r="I279" t="inlineStr">
        <is>
          <t>Creditcard</t>
        </is>
      </c>
      <c r="J279" t="inlineStr">
        <is>
          <t>ja</t>
        </is>
      </c>
      <c r="K279" t="inlineStr">
        <is>
          <t>ja</t>
        </is>
      </c>
      <c r="L279" t="inlineStr">
        <is>
          <t>nee</t>
        </is>
      </c>
      <c r="M279" t="inlineStr">
        <is>
          <t>ja</t>
        </is>
      </c>
      <c r="N279" t="inlineStr">
        <is>
          <t>nee</t>
        </is>
      </c>
      <c r="O279" t="inlineStr">
        <is>
          <t>Geen dieet</t>
        </is>
      </c>
      <c r="Q279">
        <f>LEN(G279)-LEN(SUBSTITUTE(G279,",",""))+1</f>
        <v/>
      </c>
      <c r="R279">
        <f>SWITCH(I279, "Zelden", 1, "Af en toe", 4, "Regelmatig", 8, "Vaak", 12)</f>
        <v/>
      </c>
      <c r="S279">
        <f>AVERAGE(--(K279="ja"), --(L279="ja"), --(M279="ja"), --(N279="ja"), --(O279="ja"))*10</f>
        <v/>
      </c>
      <c r="T279">
        <f>IF(S279&gt;=7, "Tevreden", "Ontevreden")</f>
        <v/>
      </c>
    </row>
    <row r="280">
      <c r="A280" t="inlineStr">
        <is>
          <t>Marino</t>
        </is>
      </c>
      <c r="B280" t="inlineStr">
        <is>
          <t>Blomme</t>
        </is>
      </c>
      <c r="C280" t="inlineStr">
        <is>
          <t>972.10185-76</t>
        </is>
      </c>
      <c r="D280" t="inlineStr">
        <is>
          <t>17/11/1947</t>
        </is>
      </c>
      <c r="E280" t="inlineStr">
        <is>
          <t>Marekstraat 11, 3831 Herten</t>
        </is>
      </c>
      <c r="F280" t="inlineStr">
        <is>
          <t>Marino</t>
        </is>
      </c>
      <c r="G280" t="n">
        <v>46.22</v>
      </c>
      <c r="H280" t="n">
        <v>16</v>
      </c>
      <c r="I280" t="inlineStr">
        <is>
          <t>Bancontact</t>
        </is>
      </c>
      <c r="J280" t="inlineStr">
        <is>
          <t>ja</t>
        </is>
      </c>
      <c r="K280" t="inlineStr">
        <is>
          <t>ja</t>
        </is>
      </c>
      <c r="L280" t="inlineStr">
        <is>
          <t>nee</t>
        </is>
      </c>
      <c r="M280" t="inlineStr">
        <is>
          <t>ja</t>
        </is>
      </c>
      <c r="N280" t="inlineStr">
        <is>
          <t>ja</t>
        </is>
      </c>
      <c r="O280" t="inlineStr">
        <is>
          <t>Vegetarisch</t>
        </is>
      </c>
      <c r="Q280">
        <f>LEN(G280)-LEN(SUBSTITUTE(G280,",",""))+1</f>
        <v/>
      </c>
      <c r="R280">
        <f>SWITCH(I280, "Zelden", 1, "Af en toe", 4, "Regelmatig", 8, "Vaak", 12)</f>
        <v/>
      </c>
      <c r="S280">
        <f>AVERAGE(--(K280="ja"), --(L280="ja"), --(M280="ja"), --(N280="ja"), --(O280="ja"))*10</f>
        <v/>
      </c>
      <c r="T280">
        <f>IF(S280&gt;=7, "Tevreden", "Ontevreden")</f>
        <v/>
      </c>
    </row>
    <row r="281">
      <c r="A281" t="inlineStr">
        <is>
          <t>Carine</t>
        </is>
      </c>
      <c r="B281" t="inlineStr">
        <is>
          <t>Leroy</t>
        </is>
      </c>
      <c r="C281" t="inlineStr">
        <is>
          <t>566.81774-72</t>
        </is>
      </c>
      <c r="D281" t="inlineStr">
        <is>
          <t>30/04/1948</t>
        </is>
      </c>
      <c r="E281" t="inlineStr">
        <is>
          <t>Afsneedorp 101, 3890 Vorden</t>
        </is>
      </c>
      <c r="F281" t="inlineStr">
        <is>
          <t>Carine,Sam,François,Juan</t>
        </is>
      </c>
      <c r="G281" t="n">
        <v>185.61</v>
      </c>
      <c r="H281" t="n">
        <v>16</v>
      </c>
      <c r="I281" t="inlineStr">
        <is>
          <t>Cash</t>
        </is>
      </c>
      <c r="J281" t="inlineStr">
        <is>
          <t>ja</t>
        </is>
      </c>
      <c r="K281" t="inlineStr">
        <is>
          <t>ja</t>
        </is>
      </c>
      <c r="L281" t="inlineStr">
        <is>
          <t>ja</t>
        </is>
      </c>
      <c r="M281" t="inlineStr">
        <is>
          <t>nee</t>
        </is>
      </c>
      <c r="N281" t="inlineStr">
        <is>
          <t>ja</t>
        </is>
      </c>
      <c r="O281" t="inlineStr">
        <is>
          <t>Geen dieet</t>
        </is>
      </c>
      <c r="Q281">
        <f>LEN(G281)-LEN(SUBSTITUTE(G281,",",""))+1</f>
        <v/>
      </c>
      <c r="R281">
        <f>SWITCH(I281, "Zelden", 1, "Af en toe", 4, "Regelmatig", 8, "Vaak", 12)</f>
        <v/>
      </c>
      <c r="S281">
        <f>AVERAGE(--(K281="ja"), --(L281="ja"), --(M281="ja"), --(N281="ja"), --(O281="ja"))*10</f>
        <v/>
      </c>
      <c r="T281">
        <f>IF(S281&gt;=7, "Tevreden", "Ontevreden")</f>
        <v/>
      </c>
    </row>
    <row r="282">
      <c r="A282" t="inlineStr">
        <is>
          <t>Francesca</t>
        </is>
      </c>
      <c r="B282" t="inlineStr">
        <is>
          <t>Martens</t>
        </is>
      </c>
      <c r="C282" t="inlineStr">
        <is>
          <t>991.83591-40</t>
        </is>
      </c>
      <c r="D282" t="inlineStr">
        <is>
          <t>17/10/1967</t>
        </is>
      </c>
      <c r="E282" t="inlineStr">
        <is>
          <t>Napoleon Destanbergstraat 34, 3980 Tessenderlo</t>
        </is>
      </c>
      <c r="F282" t="inlineStr">
        <is>
          <t>Francesca,Nadia</t>
        </is>
      </c>
      <c r="G282" t="n">
        <v>168.65</v>
      </c>
      <c r="H282" t="n">
        <v>11</v>
      </c>
      <c r="I282" t="inlineStr">
        <is>
          <t>Bancontact</t>
        </is>
      </c>
      <c r="J282" t="inlineStr">
        <is>
          <t>nee</t>
        </is>
      </c>
      <c r="K282" t="inlineStr">
        <is>
          <t>ja</t>
        </is>
      </c>
      <c r="L282" t="inlineStr">
        <is>
          <t>ja</t>
        </is>
      </c>
      <c r="M282" t="inlineStr">
        <is>
          <t>ja</t>
        </is>
      </c>
      <c r="N282" t="inlineStr">
        <is>
          <t>nee</t>
        </is>
      </c>
      <c r="O282" t="inlineStr">
        <is>
          <t>Geen dieet</t>
        </is>
      </c>
      <c r="Q282">
        <f>LEN(G282)-LEN(SUBSTITUTE(G282,",",""))+1</f>
        <v/>
      </c>
      <c r="R282">
        <f>SWITCH(I282, "Zelden", 1, "Af en toe", 4, "Regelmatig", 8, "Vaak", 12)</f>
        <v/>
      </c>
      <c r="S282">
        <f>AVERAGE(--(K282="ja"), --(L282="ja"), --(M282="ja"), --(N282="ja"), --(O282="ja"))*10</f>
        <v/>
      </c>
      <c r="T282">
        <f>IF(S282&gt;=7, "Tevreden", "Ontevreden")</f>
        <v/>
      </c>
    </row>
    <row r="283">
      <c r="A283" t="inlineStr">
        <is>
          <t>Daphné</t>
        </is>
      </c>
      <c r="B283" t="inlineStr">
        <is>
          <t>Jacobs</t>
        </is>
      </c>
      <c r="C283" t="inlineStr">
        <is>
          <t>772.17088-51</t>
        </is>
      </c>
      <c r="D283" t="inlineStr">
        <is>
          <t>29/08/1972</t>
        </is>
      </c>
      <c r="E283" t="inlineStr">
        <is>
          <t>Baudelokaai 31, 3500 Hasselt</t>
        </is>
      </c>
      <c r="F283" t="inlineStr">
        <is>
          <t>Daphné,Mathilda,Hubert,Irmgard</t>
        </is>
      </c>
      <c r="G283" t="n">
        <v>164.37</v>
      </c>
      <c r="H283" t="n">
        <v>2</v>
      </c>
      <c r="I283" t="inlineStr">
        <is>
          <t>Cash</t>
        </is>
      </c>
      <c r="J283" t="inlineStr">
        <is>
          <t>nee</t>
        </is>
      </c>
      <c r="K283" t="inlineStr">
        <is>
          <t>ja</t>
        </is>
      </c>
      <c r="L283" t="inlineStr">
        <is>
          <t>ja</t>
        </is>
      </c>
      <c r="M283" t="inlineStr">
        <is>
          <t>ja</t>
        </is>
      </c>
      <c r="N283" t="inlineStr">
        <is>
          <t>ja</t>
        </is>
      </c>
      <c r="O283" t="inlineStr">
        <is>
          <t>Geen dieet</t>
        </is>
      </c>
      <c r="Q283">
        <f>LEN(G283)-LEN(SUBSTITUTE(G283,",",""))+1</f>
        <v/>
      </c>
      <c r="R283">
        <f>SWITCH(I283, "Zelden", 1, "Af en toe", 4, "Regelmatig", 8, "Vaak", 12)</f>
        <v/>
      </c>
      <c r="S283">
        <f>AVERAGE(--(K283="ja"), --(L283="ja"), --(M283="ja"), --(N283="ja"), --(O283="ja"))*10</f>
        <v/>
      </c>
      <c r="T283">
        <f>IF(S283&gt;=7, "Tevreden", "Ontevreden")</f>
        <v/>
      </c>
    </row>
    <row r="284">
      <c r="A284" t="inlineStr">
        <is>
          <t>Nancy</t>
        </is>
      </c>
      <c r="B284" t="inlineStr">
        <is>
          <t>Somers</t>
        </is>
      </c>
      <c r="C284" t="inlineStr">
        <is>
          <t>165.60481-55</t>
        </is>
      </c>
      <c r="D284" t="inlineStr">
        <is>
          <t>15/07/1972</t>
        </is>
      </c>
      <c r="E284" t="inlineStr">
        <is>
          <t>Groendreef 48, 3550 Heusden-Zolder</t>
        </is>
      </c>
      <c r="F284" t="inlineStr">
        <is>
          <t>Nancy,Aisha,Emmanuel,Johannes</t>
        </is>
      </c>
      <c r="G284" t="n">
        <v>44.64</v>
      </c>
      <c r="H284" t="n">
        <v>8</v>
      </c>
      <c r="I284" t="inlineStr">
        <is>
          <t>Payconiq</t>
        </is>
      </c>
      <c r="J284" t="inlineStr">
        <is>
          <t>ja</t>
        </is>
      </c>
      <c r="K284" t="inlineStr">
        <is>
          <t>nee</t>
        </is>
      </c>
      <c r="L284" t="inlineStr">
        <is>
          <t>ja</t>
        </is>
      </c>
      <c r="M284" t="inlineStr">
        <is>
          <t>ja</t>
        </is>
      </c>
      <c r="N284" t="inlineStr">
        <is>
          <t>ja</t>
        </is>
      </c>
      <c r="O284" t="inlineStr">
        <is>
          <t>Geen dieet</t>
        </is>
      </c>
      <c r="Q284">
        <f>LEN(G284)-LEN(SUBSTITUTE(G284,",",""))+1</f>
        <v/>
      </c>
      <c r="R284">
        <f>SWITCH(I284, "Zelden", 1, "Af en toe", 4, "Regelmatig", 8, "Vaak", 12)</f>
        <v/>
      </c>
      <c r="S284">
        <f>AVERAGE(--(K284="ja"), --(L284="ja"), --(M284="ja"), --(N284="ja"), --(O284="ja"))*10</f>
        <v/>
      </c>
      <c r="T284">
        <f>IF(S284&gt;=7, "Tevreden", "Ontevreden")</f>
        <v/>
      </c>
    </row>
    <row r="285">
      <c r="A285" t="inlineStr">
        <is>
          <t>Mélanie</t>
        </is>
      </c>
      <c r="B285" t="inlineStr">
        <is>
          <t>Stevens</t>
        </is>
      </c>
      <c r="C285" t="inlineStr">
        <is>
          <t>813.27964-55</t>
        </is>
      </c>
      <c r="D285" t="inlineStr">
        <is>
          <t>06/12/1950</t>
        </is>
      </c>
      <c r="E285" t="inlineStr">
        <is>
          <t>Toemaattragel 58, 3890 Vorden</t>
        </is>
      </c>
      <c r="F285" t="inlineStr">
        <is>
          <t>Mélanie,Alban</t>
        </is>
      </c>
      <c r="G285" t="n">
        <v>21.14</v>
      </c>
      <c r="H285" t="n">
        <v>17</v>
      </c>
      <c r="I285" t="inlineStr">
        <is>
          <t>Creditcard</t>
        </is>
      </c>
      <c r="J285" t="inlineStr">
        <is>
          <t>nee</t>
        </is>
      </c>
      <c r="K285" t="inlineStr">
        <is>
          <t>ja</t>
        </is>
      </c>
      <c r="L285" t="inlineStr">
        <is>
          <t>ja</t>
        </is>
      </c>
      <c r="M285" t="inlineStr">
        <is>
          <t>nee</t>
        </is>
      </c>
      <c r="N285" t="inlineStr">
        <is>
          <t>ja</t>
        </is>
      </c>
      <c r="O285" t="inlineStr">
        <is>
          <t>Geen dieet</t>
        </is>
      </c>
      <c r="Q285">
        <f>LEN(G285)-LEN(SUBSTITUTE(G285,",",""))+1</f>
        <v/>
      </c>
      <c r="R285">
        <f>SWITCH(I285, "Zelden", 1, "Af en toe", 4, "Regelmatig", 8, "Vaak", 12)</f>
        <v/>
      </c>
      <c r="S285">
        <f>AVERAGE(--(K285="ja"), --(L285="ja"), --(M285="ja"), --(N285="ja"), --(O285="ja"))*10</f>
        <v/>
      </c>
      <c r="T285">
        <f>IF(S285&gt;=7, "Tevreden", "Ontevreden")</f>
        <v/>
      </c>
    </row>
    <row r="286">
      <c r="A286" t="inlineStr">
        <is>
          <t>Nancy</t>
        </is>
      </c>
      <c r="B286" t="inlineStr">
        <is>
          <t>Jacobs</t>
        </is>
      </c>
      <c r="C286" t="inlineStr">
        <is>
          <t>494.15134-19</t>
        </is>
      </c>
      <c r="D286" t="inlineStr">
        <is>
          <t>11/07/2003</t>
        </is>
      </c>
      <c r="E286" t="inlineStr">
        <is>
          <t>Frederik Burvenichstraat 43, 3890 Vorden</t>
        </is>
      </c>
      <c r="F286" t="inlineStr">
        <is>
          <t>Nancy,Luc,Cécile</t>
        </is>
      </c>
      <c r="G286" t="n">
        <v>101.8</v>
      </c>
      <c r="H286" t="n">
        <v>22</v>
      </c>
      <c r="I286" t="inlineStr">
        <is>
          <t>Payconiq</t>
        </is>
      </c>
      <c r="J286" t="inlineStr">
        <is>
          <t>nee</t>
        </is>
      </c>
      <c r="K286" t="inlineStr">
        <is>
          <t>ja</t>
        </is>
      </c>
      <c r="L286" t="inlineStr">
        <is>
          <t>ja</t>
        </is>
      </c>
      <c r="M286" t="inlineStr">
        <is>
          <t>ja</t>
        </is>
      </c>
      <c r="N286" t="inlineStr">
        <is>
          <t>ja</t>
        </is>
      </c>
      <c r="O286" t="inlineStr">
        <is>
          <t>Geen dieet</t>
        </is>
      </c>
      <c r="Q286">
        <f>LEN(G286)-LEN(SUBSTITUTE(G286,",",""))+1</f>
        <v/>
      </c>
      <c r="R286">
        <f>SWITCH(I286, "Zelden", 1, "Af en toe", 4, "Regelmatig", 8, "Vaak", 12)</f>
        <v/>
      </c>
      <c r="S286">
        <f>AVERAGE(--(K286="ja"), --(L286="ja"), --(M286="ja"), --(N286="ja"), --(O286="ja"))*10</f>
        <v/>
      </c>
      <c r="T286">
        <f>IF(S286&gt;=7, "Tevreden", "Ontevreden")</f>
        <v/>
      </c>
    </row>
    <row r="287">
      <c r="A287" t="inlineStr">
        <is>
          <t>Eline</t>
        </is>
      </c>
      <c r="B287" t="inlineStr">
        <is>
          <t>Vandenberghe</t>
        </is>
      </c>
      <c r="C287" t="inlineStr">
        <is>
          <t>652.34329-68</t>
        </is>
      </c>
      <c r="D287" t="inlineStr">
        <is>
          <t>12/12/2002</t>
        </is>
      </c>
      <c r="E287" t="inlineStr">
        <is>
          <t>Werkhuizenstraat 3, 3831 Herten</t>
        </is>
      </c>
      <c r="F287" t="inlineStr">
        <is>
          <t>Eline</t>
        </is>
      </c>
      <c r="G287" t="n">
        <v>105.2</v>
      </c>
      <c r="H287" t="n">
        <v>7</v>
      </c>
      <c r="I287" t="inlineStr">
        <is>
          <t>Cash</t>
        </is>
      </c>
      <c r="J287" t="inlineStr">
        <is>
          <t>ja</t>
        </is>
      </c>
      <c r="K287" t="inlineStr">
        <is>
          <t>ja</t>
        </is>
      </c>
      <c r="L287" t="inlineStr">
        <is>
          <t>ja</t>
        </is>
      </c>
      <c r="M287" t="inlineStr">
        <is>
          <t>ja</t>
        </is>
      </c>
      <c r="N287" t="inlineStr">
        <is>
          <t>nee</t>
        </is>
      </c>
      <c r="O287" t="inlineStr">
        <is>
          <t>Geen dieet</t>
        </is>
      </c>
      <c r="Q287">
        <f>LEN(G287)-LEN(SUBSTITUTE(G287,",",""))+1</f>
        <v/>
      </c>
      <c r="R287">
        <f>SWITCH(I287, "Zelden", 1, "Af en toe", 4, "Regelmatig", 8, "Vaak", 12)</f>
        <v/>
      </c>
      <c r="S287">
        <f>AVERAGE(--(K287="ja"), --(L287="ja"), --(M287="ja"), --(N287="ja"), --(O287="ja"))*10</f>
        <v/>
      </c>
      <c r="T287">
        <f>IF(S287&gt;=7, "Tevreden", "Ontevreden")</f>
        <v/>
      </c>
    </row>
    <row r="288">
      <c r="A288" t="inlineStr">
        <is>
          <t>Anna</t>
        </is>
      </c>
      <c r="B288" t="inlineStr">
        <is>
          <t>Mertens</t>
        </is>
      </c>
      <c r="C288" t="inlineStr">
        <is>
          <t>374.91770-44</t>
        </is>
      </c>
      <c r="D288" t="inlineStr">
        <is>
          <t>28/03/1959</t>
        </is>
      </c>
      <c r="E288" t="inlineStr">
        <is>
          <t>Wittemolenstraat 28, 3630 Maasmechelen</t>
        </is>
      </c>
      <c r="F288" t="inlineStr">
        <is>
          <t>Anna,Sanne,René</t>
        </is>
      </c>
      <c r="G288" t="n">
        <v>86.53</v>
      </c>
      <c r="H288" t="n">
        <v>8</v>
      </c>
      <c r="I288" t="inlineStr">
        <is>
          <t>Bancontact</t>
        </is>
      </c>
      <c r="J288" t="inlineStr">
        <is>
          <t>ja</t>
        </is>
      </c>
      <c r="K288" t="inlineStr">
        <is>
          <t>ja</t>
        </is>
      </c>
      <c r="L288" t="inlineStr">
        <is>
          <t>ja</t>
        </is>
      </c>
      <c r="M288" t="inlineStr">
        <is>
          <t>ja</t>
        </is>
      </c>
      <c r="N288" t="inlineStr">
        <is>
          <t>ja</t>
        </is>
      </c>
      <c r="O288" t="inlineStr">
        <is>
          <t>Geen dieet</t>
        </is>
      </c>
      <c r="Q288">
        <f>LEN(G288)-LEN(SUBSTITUTE(G288,",",""))+1</f>
        <v/>
      </c>
      <c r="R288">
        <f>SWITCH(I288, "Zelden", 1, "Af en toe", 4, "Regelmatig", 8, "Vaak", 12)</f>
        <v/>
      </c>
      <c r="S288">
        <f>AVERAGE(--(K288="ja"), --(L288="ja"), --(M288="ja"), --(N288="ja"), --(O288="ja"))*10</f>
        <v/>
      </c>
      <c r="T288">
        <f>IF(S288&gt;=7, "Tevreden", "Ontevreden")</f>
        <v/>
      </c>
    </row>
    <row r="289">
      <c r="A289" t="inlineStr">
        <is>
          <t>Maria</t>
        </is>
      </c>
      <c r="B289" t="inlineStr">
        <is>
          <t>Van de voorde</t>
        </is>
      </c>
      <c r="C289" t="inlineStr">
        <is>
          <t>982.59036-98</t>
        </is>
      </c>
      <c r="D289" t="inlineStr">
        <is>
          <t>28/03/1983</t>
        </is>
      </c>
      <c r="E289" t="inlineStr">
        <is>
          <t>Kalandeberg 8, 3970 Leopoldsburg</t>
        </is>
      </c>
      <c r="F289" t="inlineStr">
        <is>
          <t>Maria,Harold</t>
        </is>
      </c>
      <c r="G289" t="n">
        <v>86.62</v>
      </c>
      <c r="H289" t="n">
        <v>14</v>
      </c>
      <c r="I289" t="inlineStr">
        <is>
          <t>Payconiq</t>
        </is>
      </c>
      <c r="J289" t="inlineStr">
        <is>
          <t>ja</t>
        </is>
      </c>
      <c r="K289" t="inlineStr">
        <is>
          <t>ja</t>
        </is>
      </c>
      <c r="L289" t="inlineStr">
        <is>
          <t>ja</t>
        </is>
      </c>
      <c r="M289" t="inlineStr">
        <is>
          <t>ja</t>
        </is>
      </c>
      <c r="N289" t="inlineStr">
        <is>
          <t>ja</t>
        </is>
      </c>
      <c r="O289" t="inlineStr">
        <is>
          <t>Vegetarisch</t>
        </is>
      </c>
      <c r="Q289">
        <f>LEN(G289)-LEN(SUBSTITUTE(G289,",",""))+1</f>
        <v/>
      </c>
      <c r="R289">
        <f>SWITCH(I289, "Zelden", 1, "Af en toe", 4, "Regelmatig", 8, "Vaak", 12)</f>
        <v/>
      </c>
      <c r="S289">
        <f>AVERAGE(--(K289="ja"), --(L289="ja"), --(M289="ja"), --(N289="ja"), --(O289="ja"))*10</f>
        <v/>
      </c>
      <c r="T289">
        <f>IF(S289&gt;=7, "Tevreden", "Ontevreden")</f>
        <v/>
      </c>
    </row>
    <row r="290">
      <c r="A290" t="inlineStr">
        <is>
          <t>Margot</t>
        </is>
      </c>
      <c r="B290" t="inlineStr">
        <is>
          <t>Vanhoutte</t>
        </is>
      </c>
      <c r="C290" t="inlineStr">
        <is>
          <t>450.68989-72</t>
        </is>
      </c>
      <c r="D290" t="inlineStr">
        <is>
          <t>11/10/2006</t>
        </is>
      </c>
      <c r="E290" t="inlineStr">
        <is>
          <t>Contributiestraat 8, 3920 Lommel</t>
        </is>
      </c>
      <c r="F290" t="inlineStr">
        <is>
          <t>Margot,Stéphane,Marine</t>
        </is>
      </c>
      <c r="G290" t="n">
        <v>100.5</v>
      </c>
      <c r="H290" t="n">
        <v>22</v>
      </c>
      <c r="I290" t="inlineStr">
        <is>
          <t>Bancontact</t>
        </is>
      </c>
      <c r="J290" t="inlineStr">
        <is>
          <t>ja</t>
        </is>
      </c>
      <c r="K290" t="inlineStr">
        <is>
          <t>nee</t>
        </is>
      </c>
      <c r="L290" t="inlineStr">
        <is>
          <t>ja</t>
        </is>
      </c>
      <c r="M290" t="inlineStr">
        <is>
          <t>ja</t>
        </is>
      </c>
      <c r="N290" t="inlineStr">
        <is>
          <t>ja</t>
        </is>
      </c>
      <c r="O290" t="inlineStr">
        <is>
          <t>Geen dieet</t>
        </is>
      </c>
      <c r="Q290">
        <f>LEN(G290)-LEN(SUBSTITUTE(G290,",",""))+1</f>
        <v/>
      </c>
      <c r="R290">
        <f>SWITCH(I290, "Zelden", 1, "Af en toe", 4, "Regelmatig", 8, "Vaak", 12)</f>
        <v/>
      </c>
      <c r="S290">
        <f>AVERAGE(--(K290="ja"), --(L290="ja"), --(M290="ja"), --(N290="ja"), --(O290="ja"))*10</f>
        <v/>
      </c>
      <c r="T290">
        <f>IF(S290&gt;=7, "Tevreden", "Ontevreden")</f>
        <v/>
      </c>
    </row>
    <row r="291">
      <c r="A291" t="inlineStr">
        <is>
          <t>Ludo</t>
        </is>
      </c>
      <c r="B291" t="inlineStr">
        <is>
          <t>Gielen</t>
        </is>
      </c>
      <c r="C291" t="inlineStr">
        <is>
          <t>245.73783-87</t>
        </is>
      </c>
      <c r="D291" t="inlineStr">
        <is>
          <t>13/07/1947</t>
        </is>
      </c>
      <c r="E291" t="inlineStr">
        <is>
          <t>Wielewaalstraat 68, 3831 Herten</t>
        </is>
      </c>
      <c r="F291" t="inlineStr">
        <is>
          <t>Ludo,Michel,Henri</t>
        </is>
      </c>
      <c r="G291" t="n">
        <v>169.34</v>
      </c>
      <c r="H291" t="n">
        <v>16</v>
      </c>
      <c r="I291" t="inlineStr">
        <is>
          <t>Bancontact</t>
        </is>
      </c>
      <c r="J291" t="inlineStr">
        <is>
          <t>ja</t>
        </is>
      </c>
      <c r="K291" t="inlineStr">
        <is>
          <t>ja</t>
        </is>
      </c>
      <c r="L291" t="inlineStr">
        <is>
          <t>ja</t>
        </is>
      </c>
      <c r="M291" t="inlineStr">
        <is>
          <t>ja</t>
        </is>
      </c>
      <c r="N291" t="inlineStr">
        <is>
          <t>ja</t>
        </is>
      </c>
      <c r="O291" t="inlineStr">
        <is>
          <t>Geen dieet</t>
        </is>
      </c>
      <c r="Q291">
        <f>LEN(G291)-LEN(SUBSTITUTE(G291,",",""))+1</f>
        <v/>
      </c>
      <c r="R291">
        <f>SWITCH(I291, "Zelden", 1, "Af en toe", 4, "Regelmatig", 8, "Vaak", 12)</f>
        <v/>
      </c>
      <c r="S291">
        <f>AVERAGE(--(K291="ja"), --(L291="ja"), --(M291="ja"), --(N291="ja"), --(O291="ja"))*10</f>
        <v/>
      </c>
      <c r="T291">
        <f>IF(S291&gt;=7, "Tevreden", "Ontevreden")</f>
        <v/>
      </c>
    </row>
    <row r="292">
      <c r="A292" t="inlineStr">
        <is>
          <t>François</t>
        </is>
      </c>
      <c r="B292" t="inlineStr">
        <is>
          <t>Janssens</t>
        </is>
      </c>
      <c r="C292" t="inlineStr">
        <is>
          <t>450.48590-30</t>
        </is>
      </c>
      <c r="D292" t="inlineStr">
        <is>
          <t>07/04/1973</t>
        </is>
      </c>
      <c r="E292" t="inlineStr">
        <is>
          <t>Chartreuzengoed 88, 3500 Hasselt</t>
        </is>
      </c>
      <c r="F292" t="inlineStr">
        <is>
          <t>François,Claudine</t>
        </is>
      </c>
      <c r="G292" t="n">
        <v>183.62</v>
      </c>
      <c r="H292" t="n">
        <v>14</v>
      </c>
      <c r="I292" t="inlineStr">
        <is>
          <t>Bancontact</t>
        </is>
      </c>
      <c r="J292" t="inlineStr">
        <is>
          <t>nee</t>
        </is>
      </c>
      <c r="K292" t="inlineStr">
        <is>
          <t>ja</t>
        </is>
      </c>
      <c r="L292" t="inlineStr">
        <is>
          <t>ja</t>
        </is>
      </c>
      <c r="M292" t="inlineStr">
        <is>
          <t>nee</t>
        </is>
      </c>
      <c r="N292" t="inlineStr">
        <is>
          <t>ja</t>
        </is>
      </c>
      <c r="O292" t="inlineStr">
        <is>
          <t>Geen dieet</t>
        </is>
      </c>
      <c r="Q292">
        <f>LEN(G292)-LEN(SUBSTITUTE(G292,",",""))+1</f>
        <v/>
      </c>
      <c r="R292">
        <f>SWITCH(I292, "Zelden", 1, "Af en toe", 4, "Regelmatig", 8, "Vaak", 12)</f>
        <v/>
      </c>
      <c r="S292">
        <f>AVERAGE(--(K292="ja"), --(L292="ja"), --(M292="ja"), --(N292="ja"), --(O292="ja"))*10</f>
        <v/>
      </c>
      <c r="T292">
        <f>IF(S292&gt;=7, "Tevreden", "Ontevreden")</f>
        <v/>
      </c>
    </row>
    <row r="293">
      <c r="A293" t="inlineStr">
        <is>
          <t>Ivo</t>
        </is>
      </c>
      <c r="B293" t="inlineStr">
        <is>
          <t>Heylen</t>
        </is>
      </c>
      <c r="C293" t="inlineStr">
        <is>
          <t>850.40770-18</t>
        </is>
      </c>
      <c r="D293" t="inlineStr">
        <is>
          <t>15/10/1979</t>
        </is>
      </c>
      <c r="E293" t="inlineStr">
        <is>
          <t>Eekhoutdriesstraat 6, 3680 Maaseik</t>
        </is>
      </c>
      <c r="F293" t="inlineStr">
        <is>
          <t>Ivo,Jean-Pierre,Douceline</t>
        </is>
      </c>
      <c r="G293" t="n">
        <v>122.49</v>
      </c>
      <c r="H293" t="n">
        <v>9</v>
      </c>
      <c r="I293" t="inlineStr">
        <is>
          <t>Cash</t>
        </is>
      </c>
      <c r="J293" t="inlineStr">
        <is>
          <t>ja</t>
        </is>
      </c>
      <c r="K293" t="inlineStr">
        <is>
          <t>nee</t>
        </is>
      </c>
      <c r="L293" t="inlineStr">
        <is>
          <t>ja</t>
        </is>
      </c>
      <c r="M293" t="inlineStr">
        <is>
          <t>nee</t>
        </is>
      </c>
      <c r="N293" t="inlineStr">
        <is>
          <t>nee</t>
        </is>
      </c>
      <c r="O293" t="inlineStr">
        <is>
          <t>Geen dieet</t>
        </is>
      </c>
      <c r="Q293">
        <f>LEN(G293)-LEN(SUBSTITUTE(G293,",",""))+1</f>
        <v/>
      </c>
      <c r="R293">
        <f>SWITCH(I293, "Zelden", 1, "Af en toe", 4, "Regelmatig", 8, "Vaak", 12)</f>
        <v/>
      </c>
      <c r="S293">
        <f>AVERAGE(--(K293="ja"), --(L293="ja"), --(M293="ja"), --(N293="ja"), --(O293="ja"))*10</f>
        <v/>
      </c>
      <c r="T293">
        <f>IF(S293&gt;=7, "Tevreden", "Ontevreden")</f>
        <v/>
      </c>
    </row>
    <row r="294">
      <c r="A294" t="inlineStr">
        <is>
          <t>Shari</t>
        </is>
      </c>
      <c r="B294" t="inlineStr">
        <is>
          <t>Peeters</t>
        </is>
      </c>
      <c r="C294" t="inlineStr">
        <is>
          <t>630.53937-70</t>
        </is>
      </c>
      <c r="D294" t="inlineStr">
        <is>
          <t>21/08/1984</t>
        </is>
      </c>
      <c r="E294" t="inlineStr">
        <is>
          <t>Oscar De Reusestraat 64, 3640 Kinrooi</t>
        </is>
      </c>
      <c r="F294" t="inlineStr">
        <is>
          <t>Shari,Senne</t>
        </is>
      </c>
      <c r="G294" t="n">
        <v>143.89</v>
      </c>
      <c r="H294" t="n">
        <v>15</v>
      </c>
      <c r="I294" t="inlineStr">
        <is>
          <t>Bancontact</t>
        </is>
      </c>
      <c r="J294" t="inlineStr">
        <is>
          <t>nee</t>
        </is>
      </c>
      <c r="K294" t="inlineStr">
        <is>
          <t>nee</t>
        </is>
      </c>
      <c r="L294" t="inlineStr">
        <is>
          <t>ja</t>
        </is>
      </c>
      <c r="M294" t="inlineStr">
        <is>
          <t>ja</t>
        </is>
      </c>
      <c r="N294" t="inlineStr">
        <is>
          <t>nee</t>
        </is>
      </c>
      <c r="O294" t="inlineStr">
        <is>
          <t>Veganistisch</t>
        </is>
      </c>
      <c r="Q294">
        <f>LEN(G294)-LEN(SUBSTITUTE(G294,",",""))+1</f>
        <v/>
      </c>
      <c r="R294">
        <f>SWITCH(I294, "Zelden", 1, "Af en toe", 4, "Regelmatig", 8, "Vaak", 12)</f>
        <v/>
      </c>
      <c r="S294">
        <f>AVERAGE(--(K294="ja"), --(L294="ja"), --(M294="ja"), --(N294="ja"), --(O294="ja"))*10</f>
        <v/>
      </c>
      <c r="T294">
        <f>IF(S294&gt;=7, "Tevreden", "Ontevreden")</f>
        <v/>
      </c>
    </row>
    <row r="295">
      <c r="A295" t="inlineStr">
        <is>
          <t>Maria</t>
        </is>
      </c>
      <c r="B295" t="inlineStr">
        <is>
          <t>Petit</t>
        </is>
      </c>
      <c r="C295" t="inlineStr">
        <is>
          <t>122.72107-14</t>
        </is>
      </c>
      <c r="D295" t="inlineStr">
        <is>
          <t>13/06/1953</t>
        </is>
      </c>
      <c r="E295" t="inlineStr">
        <is>
          <t>Hogeheerweg 31, 3550 Heusden-Zolder</t>
        </is>
      </c>
      <c r="F295" t="inlineStr">
        <is>
          <t>Maria,Priscilla</t>
        </is>
      </c>
      <c r="G295" t="n">
        <v>88.48</v>
      </c>
      <c r="H295" t="n">
        <v>1</v>
      </c>
      <c r="I295" t="inlineStr">
        <is>
          <t>Payconiq</t>
        </is>
      </c>
      <c r="J295" t="inlineStr">
        <is>
          <t>ja</t>
        </is>
      </c>
      <c r="K295" t="inlineStr">
        <is>
          <t>nee</t>
        </is>
      </c>
      <c r="L295" t="inlineStr">
        <is>
          <t>nee</t>
        </is>
      </c>
      <c r="M295" t="inlineStr">
        <is>
          <t>ja</t>
        </is>
      </c>
      <c r="N295" t="inlineStr">
        <is>
          <t>nee</t>
        </is>
      </c>
      <c r="O295" t="inlineStr">
        <is>
          <t>Geen dieet</t>
        </is>
      </c>
      <c r="Q295">
        <f>LEN(G295)-LEN(SUBSTITUTE(G295,",",""))+1</f>
        <v/>
      </c>
      <c r="R295">
        <f>SWITCH(I295, "Zelden", 1, "Af en toe", 4, "Regelmatig", 8, "Vaak", 12)</f>
        <v/>
      </c>
      <c r="S295">
        <f>AVERAGE(--(K295="ja"), --(L295="ja"), --(M295="ja"), --(N295="ja"), --(O295="ja"))*10</f>
        <v/>
      </c>
      <c r="T295">
        <f>IF(S295&gt;=7, "Tevreden", "Ontevreden")</f>
        <v/>
      </c>
    </row>
    <row r="296">
      <c r="A296" t="inlineStr">
        <is>
          <t>Christiane</t>
        </is>
      </c>
      <c r="B296" t="inlineStr">
        <is>
          <t>Leclercq</t>
        </is>
      </c>
      <c r="C296" t="inlineStr">
        <is>
          <t>122.19902-10</t>
        </is>
      </c>
      <c r="D296" t="inlineStr">
        <is>
          <t>20/02/1952</t>
        </is>
      </c>
      <c r="E296" t="inlineStr">
        <is>
          <t>Sportstraat 77, 3500 Hasselt</t>
        </is>
      </c>
      <c r="F296" t="inlineStr">
        <is>
          <t>Christiane,Meriem,Bastien,Elsje</t>
        </is>
      </c>
      <c r="G296" t="n">
        <v>140.37</v>
      </c>
      <c r="H296" t="n">
        <v>9</v>
      </c>
      <c r="I296" t="inlineStr">
        <is>
          <t>Bancontact</t>
        </is>
      </c>
      <c r="J296" t="inlineStr">
        <is>
          <t>ja</t>
        </is>
      </c>
      <c r="K296" t="inlineStr">
        <is>
          <t>ja</t>
        </is>
      </c>
      <c r="L296" t="inlineStr">
        <is>
          <t>ja</t>
        </is>
      </c>
      <c r="M296" t="inlineStr">
        <is>
          <t>nee</t>
        </is>
      </c>
      <c r="N296" t="inlineStr">
        <is>
          <t>ja</t>
        </is>
      </c>
      <c r="O296" t="inlineStr">
        <is>
          <t>Geen dieet</t>
        </is>
      </c>
      <c r="Q296">
        <f>LEN(G296)-LEN(SUBSTITUTE(G296,",",""))+1</f>
        <v/>
      </c>
      <c r="R296">
        <f>SWITCH(I296, "Zelden", 1, "Af en toe", 4, "Regelmatig", 8, "Vaak", 12)</f>
        <v/>
      </c>
      <c r="S296">
        <f>AVERAGE(--(K296="ja"), --(L296="ja"), --(M296="ja"), --(N296="ja"), --(O296="ja"))*10</f>
        <v/>
      </c>
      <c r="T296">
        <f>IF(S296&gt;=7, "Tevreden", "Ontevreden")</f>
        <v/>
      </c>
    </row>
    <row r="297">
      <c r="A297" t="inlineStr">
        <is>
          <t>Marie-Paule</t>
        </is>
      </c>
      <c r="B297" t="inlineStr">
        <is>
          <t>Van hoof</t>
        </is>
      </c>
      <c r="C297" t="inlineStr">
        <is>
          <t>208.52860-46</t>
        </is>
      </c>
      <c r="D297" t="inlineStr">
        <is>
          <t>06/03/1949</t>
        </is>
      </c>
      <c r="E297" t="inlineStr">
        <is>
          <t>Willem Tellstraat 61, 3690 Zutendaal</t>
        </is>
      </c>
      <c r="F297" t="inlineStr">
        <is>
          <t>Marie-Paule,Felix,Jacquelina</t>
        </is>
      </c>
      <c r="G297" t="n">
        <v>143.09</v>
      </c>
      <c r="H297" t="n">
        <v>21</v>
      </c>
      <c r="I297" t="inlineStr">
        <is>
          <t>Bancontact</t>
        </is>
      </c>
      <c r="J297" t="inlineStr">
        <is>
          <t>nee</t>
        </is>
      </c>
      <c r="K297" t="inlineStr">
        <is>
          <t>nee</t>
        </is>
      </c>
      <c r="L297" t="inlineStr">
        <is>
          <t>ja</t>
        </is>
      </c>
      <c r="M297" t="inlineStr">
        <is>
          <t>ja</t>
        </is>
      </c>
      <c r="N297" t="inlineStr">
        <is>
          <t>ja</t>
        </is>
      </c>
      <c r="O297" t="inlineStr">
        <is>
          <t>Geen dieet</t>
        </is>
      </c>
      <c r="Q297">
        <f>LEN(G297)-LEN(SUBSTITUTE(G297,",",""))+1</f>
        <v/>
      </c>
      <c r="R297">
        <f>SWITCH(I297, "Zelden", 1, "Af en toe", 4, "Regelmatig", 8, "Vaak", 12)</f>
        <v/>
      </c>
      <c r="S297">
        <f>AVERAGE(--(K297="ja"), --(L297="ja"), --(M297="ja"), --(N297="ja"), --(O297="ja"))*10</f>
        <v/>
      </c>
      <c r="T297">
        <f>IF(S297&gt;=7, "Tevreden", "Ontevreden")</f>
        <v/>
      </c>
    </row>
    <row r="298">
      <c r="A298" t="inlineStr">
        <is>
          <t>Sofiane</t>
        </is>
      </c>
      <c r="B298" t="inlineStr">
        <is>
          <t>Lambrechts</t>
        </is>
      </c>
      <c r="C298" t="inlineStr">
        <is>
          <t>54.79621-33</t>
        </is>
      </c>
      <c r="D298" t="inlineStr">
        <is>
          <t>10/01/1953</t>
        </is>
      </c>
      <c r="E298" t="inlineStr">
        <is>
          <t>Kortijksesteenweg 19, 3740 Bilzen</t>
        </is>
      </c>
      <c r="F298" t="inlineStr">
        <is>
          <t>Sofiane,Isaac</t>
        </is>
      </c>
      <c r="G298" t="n">
        <v>17.43</v>
      </c>
      <c r="H298" t="n">
        <v>2</v>
      </c>
      <c r="I298" t="inlineStr">
        <is>
          <t>Payconiq</t>
        </is>
      </c>
      <c r="J298" t="inlineStr">
        <is>
          <t>nee</t>
        </is>
      </c>
      <c r="K298" t="inlineStr">
        <is>
          <t>ja</t>
        </is>
      </c>
      <c r="L298" t="inlineStr">
        <is>
          <t>nee</t>
        </is>
      </c>
      <c r="M298" t="inlineStr">
        <is>
          <t>nee</t>
        </is>
      </c>
      <c r="N298" t="inlineStr">
        <is>
          <t>nee</t>
        </is>
      </c>
      <c r="O298" t="inlineStr">
        <is>
          <t>Geen dieet</t>
        </is>
      </c>
      <c r="Q298">
        <f>LEN(G298)-LEN(SUBSTITUTE(G298,",",""))+1</f>
        <v/>
      </c>
      <c r="R298">
        <f>SWITCH(I298, "Zelden", 1, "Af en toe", 4, "Regelmatig", 8, "Vaak", 12)</f>
        <v/>
      </c>
      <c r="S298">
        <f>AVERAGE(--(K298="ja"), --(L298="ja"), --(M298="ja"), --(N298="ja"), --(O298="ja"))*10</f>
        <v/>
      </c>
      <c r="T298">
        <f>IF(S298&gt;=7, "Tevreden", "Ontevreden")</f>
        <v/>
      </c>
    </row>
    <row r="299">
      <c r="A299" t="inlineStr">
        <is>
          <t>Camille</t>
        </is>
      </c>
      <c r="B299" t="inlineStr">
        <is>
          <t>Mathieu</t>
        </is>
      </c>
      <c r="C299" t="inlineStr">
        <is>
          <t>163.45837-18</t>
        </is>
      </c>
      <c r="D299" t="inlineStr">
        <is>
          <t>19/11/2001</t>
        </is>
      </c>
      <c r="E299" t="inlineStr">
        <is>
          <t>Claeysplein 34, 3500 Hasselt</t>
        </is>
      </c>
      <c r="F299" t="inlineStr">
        <is>
          <t>Camille,Benoit,Albane,Jozef</t>
        </is>
      </c>
      <c r="G299" t="n">
        <v>165.34</v>
      </c>
      <c r="H299" t="n">
        <v>15</v>
      </c>
      <c r="I299" t="inlineStr">
        <is>
          <t>Payconiq</t>
        </is>
      </c>
      <c r="J299" t="inlineStr">
        <is>
          <t>ja</t>
        </is>
      </c>
      <c r="K299" t="inlineStr">
        <is>
          <t>ja</t>
        </is>
      </c>
      <c r="L299" t="inlineStr">
        <is>
          <t>ja</t>
        </is>
      </c>
      <c r="M299" t="inlineStr">
        <is>
          <t>ja</t>
        </is>
      </c>
      <c r="N299" t="inlineStr">
        <is>
          <t>ja</t>
        </is>
      </c>
      <c r="O299" t="inlineStr">
        <is>
          <t>Veganistisch</t>
        </is>
      </c>
      <c r="Q299">
        <f>LEN(G299)-LEN(SUBSTITUTE(G299,",",""))+1</f>
        <v/>
      </c>
      <c r="R299">
        <f>SWITCH(I299, "Zelden", 1, "Af en toe", 4, "Regelmatig", 8, "Vaak", 12)</f>
        <v/>
      </c>
      <c r="S299">
        <f>AVERAGE(--(K299="ja"), --(L299="ja"), --(M299="ja"), --(N299="ja"), --(O299="ja"))*10</f>
        <v/>
      </c>
      <c r="T299">
        <f>IF(S299&gt;=7, "Tevreden", "Ontevreden")</f>
        <v/>
      </c>
    </row>
    <row r="300">
      <c r="A300" t="inlineStr">
        <is>
          <t>Hubert</t>
        </is>
      </c>
      <c r="B300" t="inlineStr">
        <is>
          <t>De smet</t>
        </is>
      </c>
      <c r="C300" t="inlineStr">
        <is>
          <t>31.77665-51</t>
        </is>
      </c>
      <c r="D300" t="inlineStr">
        <is>
          <t>17/08/1980</t>
        </is>
      </c>
      <c r="E300" t="inlineStr">
        <is>
          <t>Rodekoningstraat 70, 3530 Houthalen-Helchteren</t>
        </is>
      </c>
      <c r="F300" t="inlineStr">
        <is>
          <t>Hubert,Luc,Mara</t>
        </is>
      </c>
      <c r="G300" t="n">
        <v>108.59</v>
      </c>
      <c r="H300" t="n">
        <v>4</v>
      </c>
      <c r="I300" t="inlineStr">
        <is>
          <t>Cash</t>
        </is>
      </c>
      <c r="J300" t="inlineStr">
        <is>
          <t>nee</t>
        </is>
      </c>
      <c r="K300" t="inlineStr">
        <is>
          <t>ja</t>
        </is>
      </c>
      <c r="L300" t="inlineStr">
        <is>
          <t>ja</t>
        </is>
      </c>
      <c r="M300" t="inlineStr">
        <is>
          <t>ja</t>
        </is>
      </c>
      <c r="N300" t="inlineStr">
        <is>
          <t>ja</t>
        </is>
      </c>
      <c r="O300" t="inlineStr">
        <is>
          <t>Geen dieet</t>
        </is>
      </c>
      <c r="Q300">
        <f>LEN(G300)-LEN(SUBSTITUTE(G300,",",""))+1</f>
        <v/>
      </c>
      <c r="R300">
        <f>SWITCH(I300, "Zelden", 1, "Af en toe", 4, "Regelmatig", 8, "Vaak", 12)</f>
        <v/>
      </c>
      <c r="S300">
        <f>AVERAGE(--(K300="ja"), --(L300="ja"), --(M300="ja"), --(N300="ja"), --(O300="ja"))*10</f>
        <v/>
      </c>
      <c r="T300">
        <f>IF(S300&gt;=7, "Tevreden", "Ontevreden")</f>
        <v/>
      </c>
    </row>
    <row r="301">
      <c r="A301" t="inlineStr">
        <is>
          <t>Josyane</t>
        </is>
      </c>
      <c r="B301" t="inlineStr">
        <is>
          <t>Martens</t>
        </is>
      </c>
      <c r="C301" t="inlineStr">
        <is>
          <t>87.90672-81</t>
        </is>
      </c>
      <c r="D301" t="inlineStr">
        <is>
          <t>29/03/1955</t>
        </is>
      </c>
      <c r="E301" t="inlineStr">
        <is>
          <t>Fernand Scribedreef 21, 3970 Leopoldsburg</t>
        </is>
      </c>
      <c r="F301" t="inlineStr">
        <is>
          <t>Josyane,Toby,Elien,Pablo</t>
        </is>
      </c>
      <c r="G301" t="n">
        <v>150.33</v>
      </c>
      <c r="H301" t="n">
        <v>8</v>
      </c>
      <c r="I301" t="inlineStr">
        <is>
          <t>Bancontact</t>
        </is>
      </c>
      <c r="J301" t="inlineStr">
        <is>
          <t>nee</t>
        </is>
      </c>
      <c r="K301" t="inlineStr">
        <is>
          <t>ja</t>
        </is>
      </c>
      <c r="L301" t="inlineStr">
        <is>
          <t>nee</t>
        </is>
      </c>
      <c r="M301" t="inlineStr">
        <is>
          <t>ja</t>
        </is>
      </c>
      <c r="N301" t="inlineStr">
        <is>
          <t>nee</t>
        </is>
      </c>
      <c r="O301" t="inlineStr">
        <is>
          <t>Geen dieet</t>
        </is>
      </c>
      <c r="Q301">
        <f>LEN(G301)-LEN(SUBSTITUTE(G301,",",""))+1</f>
        <v/>
      </c>
      <c r="R301">
        <f>SWITCH(I301, "Zelden", 1, "Af en toe", 4, "Regelmatig", 8, "Vaak", 12)</f>
        <v/>
      </c>
      <c r="S301">
        <f>AVERAGE(--(K301="ja"), --(L301="ja"), --(M301="ja"), --(N301="ja"), --(O301="ja"))*10</f>
        <v/>
      </c>
      <c r="T301">
        <f>IF(S301&gt;=7, "Tevreden", "Ontevreden")</f>
        <v/>
      </c>
    </row>
    <row r="302">
      <c r="A302" t="inlineStr">
        <is>
          <t>Tim</t>
        </is>
      </c>
      <c r="B302" t="inlineStr">
        <is>
          <t>De vos</t>
        </is>
      </c>
      <c r="C302" t="inlineStr">
        <is>
          <t>149.50472-76</t>
        </is>
      </c>
      <c r="D302" t="inlineStr">
        <is>
          <t>26/06/1987</t>
        </is>
      </c>
      <c r="E302" t="inlineStr">
        <is>
          <t>Wiedauwkaai 20, 3630 Maasmechelen</t>
        </is>
      </c>
      <c r="F302" t="inlineStr">
        <is>
          <t>Tim,Isabel,Radu,Paul,Chayenne</t>
        </is>
      </c>
      <c r="G302" t="n">
        <v>98.87</v>
      </c>
      <c r="H302" t="n">
        <v>24</v>
      </c>
      <c r="I302" t="inlineStr">
        <is>
          <t>Payconiq</t>
        </is>
      </c>
      <c r="J302" t="inlineStr">
        <is>
          <t>nee</t>
        </is>
      </c>
      <c r="K302" t="inlineStr">
        <is>
          <t>nee</t>
        </is>
      </c>
      <c r="L302" t="inlineStr">
        <is>
          <t>ja</t>
        </is>
      </c>
      <c r="M302" t="inlineStr">
        <is>
          <t>ja</t>
        </is>
      </c>
      <c r="N302" t="inlineStr">
        <is>
          <t>nee</t>
        </is>
      </c>
      <c r="O302" t="inlineStr">
        <is>
          <t>Geen dieet</t>
        </is>
      </c>
      <c r="Q302">
        <f>LEN(G302)-LEN(SUBSTITUTE(G302,",",""))+1</f>
        <v/>
      </c>
      <c r="R302">
        <f>SWITCH(I302, "Zelden", 1, "Af en toe", 4, "Regelmatig", 8, "Vaak", 12)</f>
        <v/>
      </c>
      <c r="S302">
        <f>AVERAGE(--(K302="ja"), --(L302="ja"), --(M302="ja"), --(N302="ja"), --(O302="ja"))*10</f>
        <v/>
      </c>
      <c r="T302">
        <f>IF(S302&gt;=7, "Tevreden", "Ontevreden")</f>
        <v/>
      </c>
    </row>
    <row r="303">
      <c r="A303" t="inlineStr">
        <is>
          <t>Michèle</t>
        </is>
      </c>
      <c r="B303" t="inlineStr">
        <is>
          <t>Bourgeois</t>
        </is>
      </c>
      <c r="C303" t="inlineStr">
        <is>
          <t>711.73298-50</t>
        </is>
      </c>
      <c r="D303" t="inlineStr">
        <is>
          <t>07/12/1948</t>
        </is>
      </c>
      <c r="E303" t="inlineStr">
        <is>
          <t>Hubert Frere-orbanlaan 31, 3530 Houthalen-Helchteren</t>
        </is>
      </c>
      <c r="F303" t="inlineStr">
        <is>
          <t>Michèle,Juliette,Marco,Francina</t>
        </is>
      </c>
      <c r="G303" t="n">
        <v>80.45999999999999</v>
      </c>
      <c r="H303" t="n">
        <v>18</v>
      </c>
      <c r="I303" t="inlineStr">
        <is>
          <t>Cash</t>
        </is>
      </c>
      <c r="J303" t="inlineStr">
        <is>
          <t>ja</t>
        </is>
      </c>
      <c r="K303" t="inlineStr">
        <is>
          <t>ja</t>
        </is>
      </c>
      <c r="L303" t="inlineStr">
        <is>
          <t>ja</t>
        </is>
      </c>
      <c r="M303" t="inlineStr">
        <is>
          <t>nee</t>
        </is>
      </c>
      <c r="N303" t="inlineStr">
        <is>
          <t>ja</t>
        </is>
      </c>
      <c r="O303" t="inlineStr">
        <is>
          <t>Geen dieet</t>
        </is>
      </c>
      <c r="Q303">
        <f>LEN(G303)-LEN(SUBSTITUTE(G303,",",""))+1</f>
        <v/>
      </c>
      <c r="R303">
        <f>SWITCH(I303, "Zelden", 1, "Af en toe", 4, "Regelmatig", 8, "Vaak", 12)</f>
        <v/>
      </c>
      <c r="S303">
        <f>AVERAGE(--(K303="ja"), --(L303="ja"), --(M303="ja"), --(N303="ja"), --(O303="ja"))*10</f>
        <v/>
      </c>
      <c r="T303">
        <f>IF(S303&gt;=7, "Tevreden", "Ontevreden")</f>
        <v/>
      </c>
    </row>
    <row r="304">
      <c r="A304" t="inlineStr">
        <is>
          <t>Johannes</t>
        </is>
      </c>
      <c r="B304" t="inlineStr">
        <is>
          <t>Lauwers</t>
        </is>
      </c>
      <c r="C304" t="inlineStr">
        <is>
          <t>720.28866-13</t>
        </is>
      </c>
      <c r="D304" t="inlineStr">
        <is>
          <t>02/11/1951</t>
        </is>
      </c>
      <c r="E304" t="inlineStr">
        <is>
          <t>Heinakker 32, 3650 Dilsen-Stokkem</t>
        </is>
      </c>
      <c r="F304" t="inlineStr">
        <is>
          <t>Johannes,Yilmaz</t>
        </is>
      </c>
      <c r="G304" t="n">
        <v>92.63</v>
      </c>
      <c r="H304" t="n">
        <v>3</v>
      </c>
      <c r="I304" t="inlineStr">
        <is>
          <t>Payconiq</t>
        </is>
      </c>
      <c r="J304" t="inlineStr">
        <is>
          <t>ja</t>
        </is>
      </c>
      <c r="K304" t="inlineStr">
        <is>
          <t>ja</t>
        </is>
      </c>
      <c r="L304" t="inlineStr">
        <is>
          <t>ja</t>
        </is>
      </c>
      <c r="M304" t="inlineStr">
        <is>
          <t>ja</t>
        </is>
      </c>
      <c r="N304" t="inlineStr">
        <is>
          <t>ja</t>
        </is>
      </c>
      <c r="O304" t="inlineStr">
        <is>
          <t>Geen dieet</t>
        </is>
      </c>
      <c r="Q304">
        <f>LEN(G304)-LEN(SUBSTITUTE(G304,",",""))+1</f>
        <v/>
      </c>
      <c r="R304">
        <f>SWITCH(I304, "Zelden", 1, "Af en toe", 4, "Regelmatig", 8, "Vaak", 12)</f>
        <v/>
      </c>
      <c r="S304">
        <f>AVERAGE(--(K304="ja"), --(L304="ja"), --(M304="ja"), --(N304="ja"), --(O304="ja"))*10</f>
        <v/>
      </c>
      <c r="T304">
        <f>IF(S304&gt;=7, "Tevreden", "Ontevreden")</f>
        <v/>
      </c>
    </row>
    <row r="305">
      <c r="A305" t="inlineStr">
        <is>
          <t>Paul</t>
        </is>
      </c>
      <c r="B305" t="inlineStr">
        <is>
          <t>De wit</t>
        </is>
      </c>
      <c r="C305" t="inlineStr">
        <is>
          <t>753.13946-37</t>
        </is>
      </c>
      <c r="D305" t="inlineStr">
        <is>
          <t>31/03/1955</t>
        </is>
      </c>
      <c r="E305" t="inlineStr">
        <is>
          <t>Luxemburgstraat 19, 3680 Maaseik</t>
        </is>
      </c>
      <c r="F305" t="inlineStr">
        <is>
          <t>Paul,Tilly</t>
        </is>
      </c>
      <c r="G305" t="n">
        <v>108.8</v>
      </c>
      <c r="H305" t="n">
        <v>8</v>
      </c>
      <c r="I305" t="inlineStr">
        <is>
          <t>Payconiq</t>
        </is>
      </c>
      <c r="J305" t="inlineStr">
        <is>
          <t>ja</t>
        </is>
      </c>
      <c r="K305" t="inlineStr">
        <is>
          <t>ja</t>
        </is>
      </c>
      <c r="L305" t="inlineStr">
        <is>
          <t>ja</t>
        </is>
      </c>
      <c r="M305" t="inlineStr">
        <is>
          <t>nee</t>
        </is>
      </c>
      <c r="N305" t="inlineStr">
        <is>
          <t>ja</t>
        </is>
      </c>
      <c r="O305" t="inlineStr">
        <is>
          <t>Geen dieet</t>
        </is>
      </c>
      <c r="Q305">
        <f>LEN(G305)-LEN(SUBSTITUTE(G305,",",""))+1</f>
        <v/>
      </c>
      <c r="R305">
        <f>SWITCH(I305, "Zelden", 1, "Af en toe", 4, "Regelmatig", 8, "Vaak", 12)</f>
        <v/>
      </c>
      <c r="S305">
        <f>AVERAGE(--(K305="ja"), --(L305="ja"), --(M305="ja"), --(N305="ja"), --(O305="ja"))*10</f>
        <v/>
      </c>
      <c r="T305">
        <f>IF(S305&gt;=7, "Tevreden", "Ontevreden")</f>
        <v/>
      </c>
    </row>
    <row r="306">
      <c r="A306" t="inlineStr">
        <is>
          <t>Sven</t>
        </is>
      </c>
      <c r="B306" t="inlineStr">
        <is>
          <t>Collin</t>
        </is>
      </c>
      <c r="C306" t="inlineStr">
        <is>
          <t>260.44089-73</t>
        </is>
      </c>
      <c r="D306" t="inlineStr">
        <is>
          <t>04/04/2001</t>
        </is>
      </c>
      <c r="E306" t="inlineStr">
        <is>
          <t>Schoolstraat 54, 3930 Hamont-Achel</t>
        </is>
      </c>
      <c r="F306" t="inlineStr">
        <is>
          <t>Sven,Lilie,Pedro</t>
        </is>
      </c>
      <c r="G306" t="n">
        <v>129.48</v>
      </c>
      <c r="H306" t="n">
        <v>5</v>
      </c>
      <c r="I306" t="inlineStr">
        <is>
          <t>Bancontact</t>
        </is>
      </c>
      <c r="J306" t="inlineStr">
        <is>
          <t>ja</t>
        </is>
      </c>
      <c r="K306" t="inlineStr">
        <is>
          <t>nee</t>
        </is>
      </c>
      <c r="L306" t="inlineStr">
        <is>
          <t>ja</t>
        </is>
      </c>
      <c r="M306" t="inlineStr">
        <is>
          <t>ja</t>
        </is>
      </c>
      <c r="N306" t="inlineStr">
        <is>
          <t>ja</t>
        </is>
      </c>
      <c r="O306" t="inlineStr">
        <is>
          <t>Geen dieet</t>
        </is>
      </c>
      <c r="Q306">
        <f>LEN(G306)-LEN(SUBSTITUTE(G306,",",""))+1</f>
        <v/>
      </c>
      <c r="R306">
        <f>SWITCH(I306, "Zelden", 1, "Af en toe", 4, "Regelmatig", 8, "Vaak", 12)</f>
        <v/>
      </c>
      <c r="S306">
        <f>AVERAGE(--(K306="ja"), --(L306="ja"), --(M306="ja"), --(N306="ja"), --(O306="ja"))*10</f>
        <v/>
      </c>
      <c r="T306">
        <f>IF(S306&gt;=7, "Tevreden", "Ontevreden")</f>
        <v/>
      </c>
    </row>
    <row r="307">
      <c r="A307" t="inlineStr">
        <is>
          <t>Rachid</t>
        </is>
      </c>
      <c r="B307" t="inlineStr">
        <is>
          <t>Legrand</t>
        </is>
      </c>
      <c r="C307" t="inlineStr">
        <is>
          <t>988.32018-31</t>
        </is>
      </c>
      <c r="D307" t="inlineStr">
        <is>
          <t>02/11/1949</t>
        </is>
      </c>
      <c r="E307" t="inlineStr">
        <is>
          <t>Jan Baptist Davidstraat 9, 3600 Genk</t>
        </is>
      </c>
      <c r="F307" t="inlineStr">
        <is>
          <t>Rachid,Soufia,Féline,Nina</t>
        </is>
      </c>
      <c r="G307" t="n">
        <v>125.47</v>
      </c>
      <c r="H307" t="n">
        <v>14</v>
      </c>
      <c r="I307" t="inlineStr">
        <is>
          <t>Cash</t>
        </is>
      </c>
      <c r="J307" t="inlineStr">
        <is>
          <t>ja</t>
        </is>
      </c>
      <c r="K307" t="inlineStr">
        <is>
          <t>ja</t>
        </is>
      </c>
      <c r="L307" t="inlineStr">
        <is>
          <t>ja</t>
        </is>
      </c>
      <c r="M307" t="inlineStr">
        <is>
          <t>nee</t>
        </is>
      </c>
      <c r="N307" t="inlineStr">
        <is>
          <t>ja</t>
        </is>
      </c>
      <c r="O307" t="inlineStr">
        <is>
          <t>Geen dieet</t>
        </is>
      </c>
      <c r="Q307">
        <f>LEN(G307)-LEN(SUBSTITUTE(G307,",",""))+1</f>
        <v/>
      </c>
      <c r="R307">
        <f>SWITCH(I307, "Zelden", 1, "Af en toe", 4, "Regelmatig", 8, "Vaak", 12)</f>
        <v/>
      </c>
      <c r="S307">
        <f>AVERAGE(--(K307="ja"), --(L307="ja"), --(M307="ja"), --(N307="ja"), --(O307="ja"))*10</f>
        <v/>
      </c>
      <c r="T307">
        <f>IF(S307&gt;=7, "Tevreden", "Ontevreden")</f>
        <v/>
      </c>
    </row>
    <row r="308">
      <c r="A308" t="inlineStr">
        <is>
          <t>Tony</t>
        </is>
      </c>
      <c r="B308" t="inlineStr">
        <is>
          <t>Leysen</t>
        </is>
      </c>
      <c r="C308" t="inlineStr">
        <is>
          <t>394.45337-53</t>
        </is>
      </c>
      <c r="D308" t="inlineStr">
        <is>
          <t>20/04/1945</t>
        </is>
      </c>
      <c r="E308" t="inlineStr">
        <is>
          <t>Prudens Van Duyseplein 30, 3600 Genk</t>
        </is>
      </c>
      <c r="F308" t="inlineStr">
        <is>
          <t>Tony,Thomas,Mykhailo</t>
        </is>
      </c>
      <c r="G308" t="n">
        <v>201.57</v>
      </c>
      <c r="H308" t="n">
        <v>10</v>
      </c>
      <c r="I308" t="inlineStr">
        <is>
          <t>Payconiq</t>
        </is>
      </c>
      <c r="J308" t="inlineStr">
        <is>
          <t>ja</t>
        </is>
      </c>
      <c r="K308" t="inlineStr">
        <is>
          <t>ja</t>
        </is>
      </c>
      <c r="L308" t="inlineStr">
        <is>
          <t>ja</t>
        </is>
      </c>
      <c r="M308" t="inlineStr">
        <is>
          <t>ja</t>
        </is>
      </c>
      <c r="N308" t="inlineStr">
        <is>
          <t>ja</t>
        </is>
      </c>
      <c r="O308" t="inlineStr">
        <is>
          <t>Geen dieet</t>
        </is>
      </c>
      <c r="Q308">
        <f>LEN(G308)-LEN(SUBSTITUTE(G308,",",""))+1</f>
        <v/>
      </c>
      <c r="R308">
        <f>SWITCH(I308, "Zelden", 1, "Af en toe", 4, "Regelmatig", 8, "Vaak", 12)</f>
        <v/>
      </c>
      <c r="S308">
        <f>AVERAGE(--(K308="ja"), --(L308="ja"), --(M308="ja"), --(N308="ja"), --(O308="ja"))*10</f>
        <v/>
      </c>
      <c r="T308">
        <f>IF(S308&gt;=7, "Tevreden", "Ontevreden")</f>
        <v/>
      </c>
    </row>
    <row r="309">
      <c r="A309" t="inlineStr">
        <is>
          <t>Ana</t>
        </is>
      </c>
      <c r="B309" t="inlineStr">
        <is>
          <t>De smet</t>
        </is>
      </c>
      <c r="C309" t="inlineStr">
        <is>
          <t>285.60509-58</t>
        </is>
      </c>
      <c r="D309" t="inlineStr">
        <is>
          <t>17/08/1969</t>
        </is>
      </c>
      <c r="E309" t="inlineStr">
        <is>
          <t>Zeeschipstraat 53, 3620 Lanaken</t>
        </is>
      </c>
      <c r="F309" t="inlineStr">
        <is>
          <t>Ana,June,Taylor,Mohammed,Arna</t>
        </is>
      </c>
      <c r="G309" t="n">
        <v>146.44</v>
      </c>
      <c r="H309" t="n">
        <v>16</v>
      </c>
      <c r="I309" t="inlineStr">
        <is>
          <t>Bancontact</t>
        </is>
      </c>
      <c r="J309" t="inlineStr">
        <is>
          <t>ja</t>
        </is>
      </c>
      <c r="K309" t="inlineStr">
        <is>
          <t>ja</t>
        </is>
      </c>
      <c r="L309" t="inlineStr">
        <is>
          <t>nee</t>
        </is>
      </c>
      <c r="M309" t="inlineStr">
        <is>
          <t>ja</t>
        </is>
      </c>
      <c r="N309" t="inlineStr">
        <is>
          <t>ja</t>
        </is>
      </c>
      <c r="O309" t="inlineStr">
        <is>
          <t>Vegetarisch</t>
        </is>
      </c>
      <c r="Q309">
        <f>LEN(G309)-LEN(SUBSTITUTE(G309,",",""))+1</f>
        <v/>
      </c>
      <c r="R309">
        <f>SWITCH(I309, "Zelden", 1, "Af en toe", 4, "Regelmatig", 8, "Vaak", 12)</f>
        <v/>
      </c>
      <c r="S309">
        <f>AVERAGE(--(K309="ja"), --(L309="ja"), --(M309="ja"), --(N309="ja"), --(O309="ja"))*10</f>
        <v/>
      </c>
      <c r="T309">
        <f>IF(S309&gt;=7, "Tevreden", "Ontevreden")</f>
        <v/>
      </c>
    </row>
    <row r="310">
      <c r="A310" t="inlineStr">
        <is>
          <t>Nora</t>
        </is>
      </c>
      <c r="B310" t="inlineStr">
        <is>
          <t>Thijs</t>
        </is>
      </c>
      <c r="C310" t="inlineStr">
        <is>
          <t>544.89640-88</t>
        </is>
      </c>
      <c r="D310" t="inlineStr">
        <is>
          <t>16/11/1990</t>
        </is>
      </c>
      <c r="E310" t="inlineStr">
        <is>
          <t>Kiekenbosstraat 17, 3970 Leopoldsburg</t>
        </is>
      </c>
      <c r="F310" t="inlineStr">
        <is>
          <t>Nora,Mats,Roxane,Andreea,Bas</t>
        </is>
      </c>
      <c r="G310" t="n">
        <v>193.4</v>
      </c>
      <c r="H310" t="n">
        <v>8</v>
      </c>
      <c r="I310" t="inlineStr">
        <is>
          <t>Bancontact</t>
        </is>
      </c>
      <c r="J310" t="inlineStr">
        <is>
          <t>ja</t>
        </is>
      </c>
      <c r="K310" t="inlineStr">
        <is>
          <t>ja</t>
        </is>
      </c>
      <c r="L310" t="inlineStr">
        <is>
          <t>ja</t>
        </is>
      </c>
      <c r="M310" t="inlineStr">
        <is>
          <t>ja</t>
        </is>
      </c>
      <c r="N310" t="inlineStr">
        <is>
          <t>ja</t>
        </is>
      </c>
      <c r="O310" t="inlineStr">
        <is>
          <t>Geen dieet</t>
        </is>
      </c>
      <c r="Q310">
        <f>LEN(G310)-LEN(SUBSTITUTE(G310,",",""))+1</f>
        <v/>
      </c>
      <c r="R310">
        <f>SWITCH(I310, "Zelden", 1, "Af en toe", 4, "Regelmatig", 8, "Vaak", 12)</f>
        <v/>
      </c>
      <c r="S310">
        <f>AVERAGE(--(K310="ja"), --(L310="ja"), --(M310="ja"), --(N310="ja"), --(O310="ja"))*10</f>
        <v/>
      </c>
      <c r="T310">
        <f>IF(S310&gt;=7, "Tevreden", "Ontevreden")</f>
        <v/>
      </c>
    </row>
    <row r="311">
      <c r="A311" t="inlineStr">
        <is>
          <t>Koen</t>
        </is>
      </c>
      <c r="B311" t="inlineStr">
        <is>
          <t>Goossens</t>
        </is>
      </c>
      <c r="C311" t="inlineStr">
        <is>
          <t>764.72888-62</t>
        </is>
      </c>
      <c r="D311" t="inlineStr">
        <is>
          <t>08/04/1949</t>
        </is>
      </c>
      <c r="E311" t="inlineStr">
        <is>
          <t>Hurstweg 41, 3920 Lommel</t>
        </is>
      </c>
      <c r="F311" t="inlineStr">
        <is>
          <t>Koen,Raphaël</t>
        </is>
      </c>
      <c r="G311" t="n">
        <v>64.5</v>
      </c>
      <c r="H311" t="n">
        <v>8</v>
      </c>
      <c r="I311" t="inlineStr">
        <is>
          <t>Bancontact</t>
        </is>
      </c>
      <c r="J311" t="inlineStr">
        <is>
          <t>ja</t>
        </is>
      </c>
      <c r="K311" t="inlineStr">
        <is>
          <t>ja</t>
        </is>
      </c>
      <c r="L311" t="inlineStr">
        <is>
          <t>ja</t>
        </is>
      </c>
      <c r="M311" t="inlineStr">
        <is>
          <t>ja</t>
        </is>
      </c>
      <c r="N311" t="inlineStr">
        <is>
          <t>ja</t>
        </is>
      </c>
      <c r="O311" t="inlineStr">
        <is>
          <t>Geen dieet</t>
        </is>
      </c>
      <c r="Q311">
        <f>LEN(G311)-LEN(SUBSTITUTE(G311,",",""))+1</f>
        <v/>
      </c>
      <c r="R311">
        <f>SWITCH(I311, "Zelden", 1, "Af en toe", 4, "Regelmatig", 8, "Vaak", 12)</f>
        <v/>
      </c>
      <c r="S311">
        <f>AVERAGE(--(K311="ja"), --(L311="ja"), --(M311="ja"), --(N311="ja"), --(O311="ja"))*10</f>
        <v/>
      </c>
      <c r="T311">
        <f>IF(S311&gt;=7, "Tevreden", "Ontevreden")</f>
        <v/>
      </c>
    </row>
    <row r="312">
      <c r="A312" t="inlineStr">
        <is>
          <t>Hélène</t>
        </is>
      </c>
      <c r="B312" t="inlineStr">
        <is>
          <t>De wit</t>
        </is>
      </c>
      <c r="C312" t="inlineStr">
        <is>
          <t>23.73590-92</t>
        </is>
      </c>
      <c r="D312" t="inlineStr">
        <is>
          <t>25/09/1958</t>
        </is>
      </c>
      <c r="E312" t="inlineStr">
        <is>
          <t>Prinses Clementinalaan 31, 3590 Diepenbeek</t>
        </is>
      </c>
      <c r="F312" t="inlineStr">
        <is>
          <t>Hélène</t>
        </is>
      </c>
      <c r="G312" t="n">
        <v>20.35</v>
      </c>
      <c r="H312" t="n">
        <v>16</v>
      </c>
      <c r="I312" t="inlineStr">
        <is>
          <t>Bancontact</t>
        </is>
      </c>
      <c r="J312" t="inlineStr">
        <is>
          <t>nee</t>
        </is>
      </c>
      <c r="K312" t="inlineStr">
        <is>
          <t>nee</t>
        </is>
      </c>
      <c r="L312" t="inlineStr">
        <is>
          <t>ja</t>
        </is>
      </c>
      <c r="M312" t="inlineStr">
        <is>
          <t>ja</t>
        </is>
      </c>
      <c r="N312" t="inlineStr">
        <is>
          <t>ja</t>
        </is>
      </c>
      <c r="O312" t="inlineStr">
        <is>
          <t>Geen dieet</t>
        </is>
      </c>
      <c r="Q312">
        <f>LEN(G312)-LEN(SUBSTITUTE(G312,",",""))+1</f>
        <v/>
      </c>
      <c r="R312">
        <f>SWITCH(I312, "Zelden", 1, "Af en toe", 4, "Regelmatig", 8, "Vaak", 12)</f>
        <v/>
      </c>
      <c r="S312">
        <f>AVERAGE(--(K312="ja"), --(L312="ja"), --(M312="ja"), --(N312="ja"), --(O312="ja"))*10</f>
        <v/>
      </c>
      <c r="T312">
        <f>IF(S312&gt;=7, "Tevreden", "Ontevreden")</f>
        <v/>
      </c>
    </row>
    <row r="313">
      <c r="A313" t="inlineStr">
        <is>
          <t>Maria</t>
        </is>
      </c>
      <c r="B313" t="inlineStr">
        <is>
          <t>Bogaerts</t>
        </is>
      </c>
      <c r="C313" t="inlineStr">
        <is>
          <t>708.40603-55</t>
        </is>
      </c>
      <c r="D313" t="inlineStr">
        <is>
          <t>15/03/1998</t>
        </is>
      </c>
      <c r="E313" t="inlineStr">
        <is>
          <t>Kantienberg 19, 3831 Herten</t>
        </is>
      </c>
      <c r="F313" t="inlineStr">
        <is>
          <t>Maria,Marie,Carina,Patricia,Maxime</t>
        </is>
      </c>
      <c r="G313" t="n">
        <v>184.26</v>
      </c>
      <c r="H313" t="n">
        <v>1</v>
      </c>
      <c r="I313" t="inlineStr">
        <is>
          <t>Bancontact</t>
        </is>
      </c>
      <c r="J313" t="inlineStr">
        <is>
          <t>ja</t>
        </is>
      </c>
      <c r="K313" t="inlineStr">
        <is>
          <t>ja</t>
        </is>
      </c>
      <c r="L313" t="inlineStr">
        <is>
          <t>nee</t>
        </is>
      </c>
      <c r="M313" t="inlineStr">
        <is>
          <t>nee</t>
        </is>
      </c>
      <c r="N313" t="inlineStr">
        <is>
          <t>ja</t>
        </is>
      </c>
      <c r="O313" t="inlineStr">
        <is>
          <t>Vegetarisch</t>
        </is>
      </c>
      <c r="Q313">
        <f>LEN(G313)-LEN(SUBSTITUTE(G313,",",""))+1</f>
        <v/>
      </c>
      <c r="R313">
        <f>SWITCH(I313, "Zelden", 1, "Af en toe", 4, "Regelmatig", 8, "Vaak", 12)</f>
        <v/>
      </c>
      <c r="S313">
        <f>AVERAGE(--(K313="ja"), --(L313="ja"), --(M313="ja"), --(N313="ja"), --(O313="ja"))*10</f>
        <v/>
      </c>
      <c r="T313">
        <f>IF(S313&gt;=7, "Tevreden", "Ontevreden")</f>
        <v/>
      </c>
    </row>
    <row r="314">
      <c r="A314" t="inlineStr">
        <is>
          <t>Fabritio</t>
        </is>
      </c>
      <c r="B314" t="inlineStr">
        <is>
          <t>Hoste</t>
        </is>
      </c>
      <c r="C314" t="inlineStr">
        <is>
          <t>269.87357-33</t>
        </is>
      </c>
      <c r="D314" t="inlineStr">
        <is>
          <t>17/09/1987</t>
        </is>
      </c>
      <c r="E314" t="inlineStr">
        <is>
          <t>Brugsesteenweg 21, 3831 Herten</t>
        </is>
      </c>
      <c r="F314" t="inlineStr">
        <is>
          <t>Fabritio,Orlanne,Sonja</t>
        </is>
      </c>
      <c r="G314" t="n">
        <v>114.6</v>
      </c>
      <c r="H314" t="n">
        <v>6</v>
      </c>
      <c r="I314" t="inlineStr">
        <is>
          <t>Cash</t>
        </is>
      </c>
      <c r="J314" t="inlineStr">
        <is>
          <t>nee</t>
        </is>
      </c>
      <c r="K314" t="inlineStr">
        <is>
          <t>ja</t>
        </is>
      </c>
      <c r="L314" t="inlineStr">
        <is>
          <t>ja</t>
        </is>
      </c>
      <c r="M314" t="inlineStr">
        <is>
          <t>nee</t>
        </is>
      </c>
      <c r="N314" t="inlineStr">
        <is>
          <t>ja</t>
        </is>
      </c>
      <c r="O314" t="inlineStr">
        <is>
          <t>Geen dieet</t>
        </is>
      </c>
      <c r="Q314">
        <f>LEN(G314)-LEN(SUBSTITUTE(G314,",",""))+1</f>
        <v/>
      </c>
      <c r="R314">
        <f>SWITCH(I314, "Zelden", 1, "Af en toe", 4, "Regelmatig", 8, "Vaak", 12)</f>
        <v/>
      </c>
      <c r="S314">
        <f>AVERAGE(--(K314="ja"), --(L314="ja"), --(M314="ja"), --(N314="ja"), --(O314="ja"))*10</f>
        <v/>
      </c>
      <c r="T314">
        <f>IF(S314&gt;=7, "Tevreden", "Ontevreden")</f>
        <v/>
      </c>
    </row>
    <row r="315">
      <c r="A315" t="inlineStr">
        <is>
          <t>Fatima</t>
        </is>
      </c>
      <c r="B315" t="inlineStr">
        <is>
          <t>Vrancken</t>
        </is>
      </c>
      <c r="C315" t="inlineStr">
        <is>
          <t>44.41710-97</t>
        </is>
      </c>
      <c r="D315" t="inlineStr">
        <is>
          <t>01/06/1973</t>
        </is>
      </c>
      <c r="E315" t="inlineStr">
        <is>
          <t>Leieriggestraat 10, 3770 Riemst</t>
        </is>
      </c>
      <c r="F315" t="inlineStr">
        <is>
          <t>Fatima,Elien,Maria,El,Jeroen</t>
        </is>
      </c>
      <c r="G315" t="n">
        <v>154.32</v>
      </c>
      <c r="H315" t="n">
        <v>11</v>
      </c>
      <c r="I315" t="inlineStr">
        <is>
          <t>Bancontact</t>
        </is>
      </c>
      <c r="J315" t="inlineStr">
        <is>
          <t>ja</t>
        </is>
      </c>
      <c r="K315" t="inlineStr">
        <is>
          <t>ja</t>
        </is>
      </c>
      <c r="L315" t="inlineStr">
        <is>
          <t>ja</t>
        </is>
      </c>
      <c r="M315" t="inlineStr">
        <is>
          <t>nee</t>
        </is>
      </c>
      <c r="N315" t="inlineStr">
        <is>
          <t>ja</t>
        </is>
      </c>
      <c r="O315" t="inlineStr">
        <is>
          <t>Geen dieet</t>
        </is>
      </c>
      <c r="Q315">
        <f>LEN(G315)-LEN(SUBSTITUTE(G315,",",""))+1</f>
        <v/>
      </c>
      <c r="R315">
        <f>SWITCH(I315, "Zelden", 1, "Af en toe", 4, "Regelmatig", 8, "Vaak", 12)</f>
        <v/>
      </c>
      <c r="S315">
        <f>AVERAGE(--(K315="ja"), --(L315="ja"), --(M315="ja"), --(N315="ja"), --(O315="ja"))*10</f>
        <v/>
      </c>
      <c r="T315">
        <f>IF(S315&gt;=7, "Tevreden", "Ontevreden")</f>
        <v/>
      </c>
    </row>
    <row r="316">
      <c r="A316" t="inlineStr">
        <is>
          <t>Dardan</t>
        </is>
      </c>
      <c r="B316" t="inlineStr">
        <is>
          <t>Moerman</t>
        </is>
      </c>
      <c r="C316" t="inlineStr">
        <is>
          <t>732.90270-74</t>
        </is>
      </c>
      <c r="D316" t="inlineStr">
        <is>
          <t>20/04/1948</t>
        </is>
      </c>
      <c r="E316" t="inlineStr">
        <is>
          <t>Snepkaai 59, 3920 Lommel</t>
        </is>
      </c>
      <c r="F316" t="inlineStr">
        <is>
          <t>Dardan,Marieanne</t>
        </is>
      </c>
      <c r="G316" t="n">
        <v>118.88</v>
      </c>
      <c r="H316" t="n">
        <v>12</v>
      </c>
      <c r="I316" t="inlineStr">
        <is>
          <t>Payconiq</t>
        </is>
      </c>
      <c r="J316" t="inlineStr">
        <is>
          <t>ja</t>
        </is>
      </c>
      <c r="K316" t="inlineStr">
        <is>
          <t>nee</t>
        </is>
      </c>
      <c r="L316" t="inlineStr">
        <is>
          <t>nee</t>
        </is>
      </c>
      <c r="M316" t="inlineStr">
        <is>
          <t>ja</t>
        </is>
      </c>
      <c r="N316" t="inlineStr">
        <is>
          <t>nee</t>
        </is>
      </c>
      <c r="O316" t="inlineStr">
        <is>
          <t>Geen dieet</t>
        </is>
      </c>
      <c r="Q316">
        <f>LEN(G316)-LEN(SUBSTITUTE(G316,",",""))+1</f>
        <v/>
      </c>
      <c r="R316">
        <f>SWITCH(I316, "Zelden", 1, "Af en toe", 4, "Regelmatig", 8, "Vaak", 12)</f>
        <v/>
      </c>
      <c r="S316">
        <f>AVERAGE(--(K316="ja"), --(L316="ja"), --(M316="ja"), --(N316="ja"), --(O316="ja"))*10</f>
        <v/>
      </c>
      <c r="T316">
        <f>IF(S316&gt;=7, "Tevreden", "Ontevreden")</f>
        <v/>
      </c>
    </row>
    <row r="317">
      <c r="A317" t="inlineStr">
        <is>
          <t>Josée</t>
        </is>
      </c>
      <c r="B317" t="inlineStr">
        <is>
          <t>Van den bergh</t>
        </is>
      </c>
      <c r="C317" t="inlineStr">
        <is>
          <t>587.45897-16</t>
        </is>
      </c>
      <c r="D317" t="inlineStr">
        <is>
          <t>27/12/1965</t>
        </is>
      </c>
      <c r="E317" t="inlineStr">
        <is>
          <t>Bollewerkstraat 54, 3700 Tongeren</t>
        </is>
      </c>
      <c r="F317" t="inlineStr">
        <is>
          <t>Josée,David,Théo,Carmela,Frédérique</t>
        </is>
      </c>
      <c r="G317" t="n">
        <v>145.79</v>
      </c>
      <c r="H317" t="n">
        <v>14</v>
      </c>
      <c r="I317" t="inlineStr">
        <is>
          <t>Bancontact</t>
        </is>
      </c>
      <c r="J317" t="inlineStr">
        <is>
          <t>ja</t>
        </is>
      </c>
      <c r="K317" t="inlineStr">
        <is>
          <t>ja</t>
        </is>
      </c>
      <c r="L317" t="inlineStr">
        <is>
          <t>nee</t>
        </is>
      </c>
      <c r="M317" t="inlineStr">
        <is>
          <t>ja</t>
        </is>
      </c>
      <c r="N317" t="inlineStr">
        <is>
          <t>nee</t>
        </is>
      </c>
      <c r="O317" t="inlineStr">
        <is>
          <t>Vegetarisch</t>
        </is>
      </c>
      <c r="Q317">
        <f>LEN(G317)-LEN(SUBSTITUTE(G317,",",""))+1</f>
        <v/>
      </c>
      <c r="R317">
        <f>SWITCH(I317, "Zelden", 1, "Af en toe", 4, "Regelmatig", 8, "Vaak", 12)</f>
        <v/>
      </c>
      <c r="S317">
        <f>AVERAGE(--(K317="ja"), --(L317="ja"), --(M317="ja"), --(N317="ja"), --(O317="ja"))*10</f>
        <v/>
      </c>
      <c r="T317">
        <f>IF(S317&gt;=7, "Tevreden", "Ontevreden")</f>
        <v/>
      </c>
    </row>
    <row r="318">
      <c r="A318" t="inlineStr">
        <is>
          <t>Tenzin</t>
        </is>
      </c>
      <c r="B318" t="inlineStr">
        <is>
          <t>Janssens</t>
        </is>
      </c>
      <c r="C318" t="inlineStr">
        <is>
          <t>439.11167-98</t>
        </is>
      </c>
      <c r="D318" t="inlineStr">
        <is>
          <t>30/08/1974</t>
        </is>
      </c>
      <c r="E318" t="inlineStr">
        <is>
          <t>Romain Clausstraat 115, 3680 Maaseik</t>
        </is>
      </c>
      <c r="F318" t="inlineStr">
        <is>
          <t>Tenzin,Dirk,Saar,Jean</t>
        </is>
      </c>
      <c r="G318" t="n">
        <v>195.52</v>
      </c>
      <c r="H318" t="n">
        <v>12</v>
      </c>
      <c r="I318" t="inlineStr">
        <is>
          <t>Bancontact</t>
        </is>
      </c>
      <c r="J318" t="inlineStr">
        <is>
          <t>ja</t>
        </is>
      </c>
      <c r="K318" t="inlineStr">
        <is>
          <t>ja</t>
        </is>
      </c>
      <c r="L318" t="inlineStr">
        <is>
          <t>ja</t>
        </is>
      </c>
      <c r="M318" t="inlineStr">
        <is>
          <t>ja</t>
        </is>
      </c>
      <c r="N318" t="inlineStr">
        <is>
          <t>ja</t>
        </is>
      </c>
      <c r="O318" t="inlineStr">
        <is>
          <t>Geen dieet</t>
        </is>
      </c>
      <c r="Q318">
        <f>LEN(G318)-LEN(SUBSTITUTE(G318,",",""))+1</f>
        <v/>
      </c>
      <c r="R318">
        <f>SWITCH(I318, "Zelden", 1, "Af en toe", 4, "Regelmatig", 8, "Vaak", 12)</f>
        <v/>
      </c>
      <c r="S318">
        <f>AVERAGE(--(K318="ja"), --(L318="ja"), --(M318="ja"), --(N318="ja"), --(O318="ja"))*10</f>
        <v/>
      </c>
      <c r="T318">
        <f>IF(S318&gt;=7, "Tevreden", "Ontevreden")</f>
        <v/>
      </c>
    </row>
    <row r="319">
      <c r="A319" t="inlineStr">
        <is>
          <t>Jeannine</t>
        </is>
      </c>
      <c r="B319" t="inlineStr">
        <is>
          <t>Cornelis</t>
        </is>
      </c>
      <c r="C319" t="inlineStr">
        <is>
          <t>451.50089-68</t>
        </is>
      </c>
      <c r="D319" t="inlineStr">
        <is>
          <t>01/10/1977</t>
        </is>
      </c>
      <c r="E319" t="inlineStr">
        <is>
          <t>Oscar Colbrandtstraat 45, 3930 Hamont-Achel</t>
        </is>
      </c>
      <c r="F319" t="inlineStr">
        <is>
          <t>Jeannine,Tom,Henricus,Julien</t>
        </is>
      </c>
      <c r="G319" t="n">
        <v>126.77</v>
      </c>
      <c r="H319" t="n">
        <v>5</v>
      </c>
      <c r="I319" t="inlineStr">
        <is>
          <t>Cash</t>
        </is>
      </c>
      <c r="J319" t="inlineStr">
        <is>
          <t>nee</t>
        </is>
      </c>
      <c r="K319" t="inlineStr">
        <is>
          <t>nee</t>
        </is>
      </c>
      <c r="L319" t="inlineStr">
        <is>
          <t>ja</t>
        </is>
      </c>
      <c r="M319" t="inlineStr">
        <is>
          <t>ja</t>
        </is>
      </c>
      <c r="N319" t="inlineStr">
        <is>
          <t>nee</t>
        </is>
      </c>
      <c r="O319" t="inlineStr">
        <is>
          <t>Geen dieet</t>
        </is>
      </c>
      <c r="Q319">
        <f>LEN(G319)-LEN(SUBSTITUTE(G319,",",""))+1</f>
        <v/>
      </c>
      <c r="R319">
        <f>SWITCH(I319, "Zelden", 1, "Af en toe", 4, "Regelmatig", 8, "Vaak", 12)</f>
        <v/>
      </c>
      <c r="S319">
        <f>AVERAGE(--(K319="ja"), --(L319="ja"), --(M319="ja"), --(N319="ja"), --(O319="ja"))*10</f>
        <v/>
      </c>
      <c r="T319">
        <f>IF(S319&gt;=7, "Tevreden", "Ontevreden")</f>
        <v/>
      </c>
    </row>
    <row r="320">
      <c r="A320" t="inlineStr">
        <is>
          <t>Émilie</t>
        </is>
      </c>
      <c r="B320" t="inlineStr">
        <is>
          <t>Guillaume</t>
        </is>
      </c>
      <c r="C320" t="inlineStr">
        <is>
          <t>40.73817-17</t>
        </is>
      </c>
      <c r="D320" t="inlineStr">
        <is>
          <t>13/11/1990</t>
        </is>
      </c>
      <c r="E320" t="inlineStr">
        <is>
          <t>Congreslaan 24, 3500 Hasselt</t>
        </is>
      </c>
      <c r="F320" t="inlineStr">
        <is>
          <t>Émilie,Cynthia,Maxime,Wim,Benjamin</t>
        </is>
      </c>
      <c r="G320" t="n">
        <v>23.13</v>
      </c>
      <c r="H320" t="n">
        <v>5</v>
      </c>
      <c r="I320" t="inlineStr">
        <is>
          <t>Creditcard</t>
        </is>
      </c>
      <c r="J320" t="inlineStr">
        <is>
          <t>ja</t>
        </is>
      </c>
      <c r="K320" t="inlineStr">
        <is>
          <t>ja</t>
        </is>
      </c>
      <c r="L320" t="inlineStr">
        <is>
          <t>ja</t>
        </is>
      </c>
      <c r="M320" t="inlineStr">
        <is>
          <t>ja</t>
        </is>
      </c>
      <c r="N320" t="inlineStr">
        <is>
          <t>ja</t>
        </is>
      </c>
      <c r="O320" t="inlineStr">
        <is>
          <t>Geen dieet</t>
        </is>
      </c>
      <c r="Q320">
        <f>LEN(G320)-LEN(SUBSTITUTE(G320,",",""))+1</f>
        <v/>
      </c>
      <c r="R320">
        <f>SWITCH(I320, "Zelden", 1, "Af en toe", 4, "Regelmatig", 8, "Vaak", 12)</f>
        <v/>
      </c>
      <c r="S320">
        <f>AVERAGE(--(K320="ja"), --(L320="ja"), --(M320="ja"), --(N320="ja"), --(O320="ja"))*10</f>
        <v/>
      </c>
      <c r="T320">
        <f>IF(S320&gt;=7, "Tevreden", "Ontevreden")</f>
        <v/>
      </c>
    </row>
    <row r="321">
      <c r="A321" t="inlineStr">
        <is>
          <t>Margaretha</t>
        </is>
      </c>
      <c r="B321" t="inlineStr">
        <is>
          <t>Dierckx</t>
        </is>
      </c>
      <c r="C321" t="inlineStr">
        <is>
          <t>612.75661-11</t>
        </is>
      </c>
      <c r="D321" t="inlineStr">
        <is>
          <t>17/12/1960</t>
        </is>
      </c>
      <c r="E321" t="inlineStr">
        <is>
          <t>Oude-abdijstraat 86, 3680 Maaseik</t>
        </is>
      </c>
      <c r="F321" t="inlineStr">
        <is>
          <t>Margaretha</t>
        </is>
      </c>
      <c r="G321" t="n">
        <v>174.91</v>
      </c>
      <c r="H321" t="n">
        <v>12</v>
      </c>
      <c r="I321" t="inlineStr">
        <is>
          <t>Bancontact</t>
        </is>
      </c>
      <c r="J321" t="inlineStr">
        <is>
          <t>ja</t>
        </is>
      </c>
      <c r="K321" t="inlineStr">
        <is>
          <t>nee</t>
        </is>
      </c>
      <c r="L321" t="inlineStr">
        <is>
          <t>nee</t>
        </is>
      </c>
      <c r="M321" t="inlineStr">
        <is>
          <t>ja</t>
        </is>
      </c>
      <c r="N321" t="inlineStr">
        <is>
          <t>ja</t>
        </is>
      </c>
      <c r="O321" t="inlineStr">
        <is>
          <t>Geen dieet</t>
        </is>
      </c>
      <c r="Q321">
        <f>LEN(G321)-LEN(SUBSTITUTE(G321,",",""))+1</f>
        <v/>
      </c>
      <c r="R321">
        <f>SWITCH(I321, "Zelden", 1, "Af en toe", 4, "Regelmatig", 8, "Vaak", 12)</f>
        <v/>
      </c>
      <c r="S321">
        <f>AVERAGE(--(K321="ja"), --(L321="ja"), --(M321="ja"), --(N321="ja"), --(O321="ja"))*10</f>
        <v/>
      </c>
      <c r="T321">
        <f>IF(S321&gt;=7, "Tevreden", "Ontevreden")</f>
        <v/>
      </c>
    </row>
    <row r="322">
      <c r="A322" t="inlineStr">
        <is>
          <t>Elien</t>
        </is>
      </c>
      <c r="B322" t="inlineStr">
        <is>
          <t>Dewaele</t>
        </is>
      </c>
      <c r="C322" t="inlineStr">
        <is>
          <t>315.77582-45</t>
        </is>
      </c>
      <c r="D322" t="inlineStr">
        <is>
          <t>11/06/1996</t>
        </is>
      </c>
      <c r="E322" t="inlineStr">
        <is>
          <t>Europalaan 34, 3770 Riemst</t>
        </is>
      </c>
      <c r="F322" t="inlineStr">
        <is>
          <t>Elien,Els,Jeannine</t>
        </is>
      </c>
      <c r="G322" t="n">
        <v>129.92</v>
      </c>
      <c r="H322" t="n">
        <v>6</v>
      </c>
      <c r="I322" t="inlineStr">
        <is>
          <t>Bancontact</t>
        </is>
      </c>
      <c r="J322" t="inlineStr">
        <is>
          <t>ja</t>
        </is>
      </c>
      <c r="K322" t="inlineStr">
        <is>
          <t>nee</t>
        </is>
      </c>
      <c r="L322" t="inlineStr">
        <is>
          <t>ja</t>
        </is>
      </c>
      <c r="M322" t="inlineStr">
        <is>
          <t>nee</t>
        </is>
      </c>
      <c r="N322" t="inlineStr">
        <is>
          <t>ja</t>
        </is>
      </c>
      <c r="O322" t="inlineStr">
        <is>
          <t>Veganistisch</t>
        </is>
      </c>
      <c r="Q322">
        <f>LEN(G322)-LEN(SUBSTITUTE(G322,",",""))+1</f>
        <v/>
      </c>
      <c r="R322">
        <f>SWITCH(I322, "Zelden", 1, "Af en toe", 4, "Regelmatig", 8, "Vaak", 12)</f>
        <v/>
      </c>
      <c r="S322">
        <f>AVERAGE(--(K322="ja"), --(L322="ja"), --(M322="ja"), --(N322="ja"), --(O322="ja"))*10</f>
        <v/>
      </c>
      <c r="T322">
        <f>IF(S322&gt;=7, "Tevreden", "Ontevreden")</f>
        <v/>
      </c>
    </row>
    <row r="323">
      <c r="A323" t="inlineStr">
        <is>
          <t>Iara</t>
        </is>
      </c>
      <c r="B323" t="inlineStr">
        <is>
          <t>Engelen</t>
        </is>
      </c>
      <c r="C323" t="inlineStr">
        <is>
          <t>618.72408-81</t>
        </is>
      </c>
      <c r="D323" t="inlineStr">
        <is>
          <t>16/04/1951</t>
        </is>
      </c>
      <c r="E323" t="inlineStr">
        <is>
          <t>Verlorensteenstraat 10, 3600 Genk</t>
        </is>
      </c>
      <c r="F323" t="inlineStr">
        <is>
          <t>Iara,Willy</t>
        </is>
      </c>
      <c r="G323" t="n">
        <v>71.48</v>
      </c>
      <c r="H323" t="n">
        <v>11</v>
      </c>
      <c r="I323" t="inlineStr">
        <is>
          <t>Bancontact</t>
        </is>
      </c>
      <c r="J323" t="inlineStr">
        <is>
          <t>nee</t>
        </is>
      </c>
      <c r="K323" t="inlineStr">
        <is>
          <t>ja</t>
        </is>
      </c>
      <c r="L323" t="inlineStr">
        <is>
          <t>ja</t>
        </is>
      </c>
      <c r="M323" t="inlineStr">
        <is>
          <t>ja</t>
        </is>
      </c>
      <c r="N323" t="inlineStr">
        <is>
          <t>ja</t>
        </is>
      </c>
      <c r="O323" t="inlineStr">
        <is>
          <t>Vegetarisch</t>
        </is>
      </c>
      <c r="Q323">
        <f>LEN(G323)-LEN(SUBSTITUTE(G323,",",""))+1</f>
        <v/>
      </c>
      <c r="R323">
        <f>SWITCH(I323, "Zelden", 1, "Af en toe", 4, "Regelmatig", 8, "Vaak", 12)</f>
        <v/>
      </c>
      <c r="S323">
        <f>AVERAGE(--(K323="ja"), --(L323="ja"), --(M323="ja"), --(N323="ja"), --(O323="ja"))*10</f>
        <v/>
      </c>
      <c r="T323">
        <f>IF(S323&gt;=7, "Tevreden", "Ontevreden")</f>
        <v/>
      </c>
    </row>
    <row r="324">
      <c r="A324" t="inlineStr">
        <is>
          <t>Maria</t>
        </is>
      </c>
      <c r="B324" t="inlineStr">
        <is>
          <t>Etienne</t>
        </is>
      </c>
      <c r="C324" t="inlineStr">
        <is>
          <t>119.39189-50</t>
        </is>
      </c>
      <c r="D324" t="inlineStr">
        <is>
          <t>15/05/1966</t>
        </is>
      </c>
      <c r="E324" t="inlineStr">
        <is>
          <t>Zeeschipstraat 27, 3910 Neerpelt</t>
        </is>
      </c>
      <c r="F324" t="inlineStr">
        <is>
          <t>Maria,Sarah</t>
        </is>
      </c>
      <c r="G324" t="n">
        <v>119.58</v>
      </c>
      <c r="H324" t="n">
        <v>7</v>
      </c>
      <c r="I324" t="inlineStr">
        <is>
          <t>Bancontact</t>
        </is>
      </c>
      <c r="J324" t="inlineStr">
        <is>
          <t>ja</t>
        </is>
      </c>
      <c r="K324" t="inlineStr">
        <is>
          <t>nee</t>
        </is>
      </c>
      <c r="L324" t="inlineStr">
        <is>
          <t>nee</t>
        </is>
      </c>
      <c r="M324" t="inlineStr">
        <is>
          <t>ja</t>
        </is>
      </c>
      <c r="N324" t="inlineStr">
        <is>
          <t>ja</t>
        </is>
      </c>
      <c r="O324" t="inlineStr">
        <is>
          <t>Geen dieet</t>
        </is>
      </c>
      <c r="Q324">
        <f>LEN(G324)-LEN(SUBSTITUTE(G324,",",""))+1</f>
        <v/>
      </c>
      <c r="R324">
        <f>SWITCH(I324, "Zelden", 1, "Af en toe", 4, "Regelmatig", 8, "Vaak", 12)</f>
        <v/>
      </c>
      <c r="S324">
        <f>AVERAGE(--(K324="ja"), --(L324="ja"), --(M324="ja"), --(N324="ja"), --(O324="ja"))*10</f>
        <v/>
      </c>
      <c r="T324">
        <f>IF(S324&gt;=7, "Tevreden", "Ontevreden")</f>
        <v/>
      </c>
    </row>
    <row r="325">
      <c r="A325" t="inlineStr">
        <is>
          <t>Francine</t>
        </is>
      </c>
      <c r="B325" t="inlineStr">
        <is>
          <t>Bogaerts</t>
        </is>
      </c>
      <c r="C325" t="inlineStr">
        <is>
          <t>806.61211-22</t>
        </is>
      </c>
      <c r="D325" t="inlineStr">
        <is>
          <t>15/08/1958</t>
        </is>
      </c>
      <c r="E325" t="inlineStr">
        <is>
          <t>Nieuwevaart 11, 3560 Lummen</t>
        </is>
      </c>
      <c r="F325" t="inlineStr">
        <is>
          <t>Francine,Christine,Sven,Ahmed</t>
        </is>
      </c>
      <c r="G325" t="n">
        <v>74</v>
      </c>
      <c r="H325" t="n">
        <v>12</v>
      </c>
      <c r="I325" t="inlineStr">
        <is>
          <t>Bancontact</t>
        </is>
      </c>
      <c r="J325" t="inlineStr">
        <is>
          <t>ja</t>
        </is>
      </c>
      <c r="K325" t="inlineStr">
        <is>
          <t>ja</t>
        </is>
      </c>
      <c r="L325" t="inlineStr">
        <is>
          <t>nee</t>
        </is>
      </c>
      <c r="M325" t="inlineStr">
        <is>
          <t>ja</t>
        </is>
      </c>
      <c r="N325" t="inlineStr">
        <is>
          <t>ja</t>
        </is>
      </c>
      <c r="O325" t="inlineStr">
        <is>
          <t>Geen dieet</t>
        </is>
      </c>
      <c r="Q325">
        <f>LEN(G325)-LEN(SUBSTITUTE(G325,",",""))+1</f>
        <v/>
      </c>
      <c r="R325">
        <f>SWITCH(I325, "Zelden", 1, "Af en toe", 4, "Regelmatig", 8, "Vaak", 12)</f>
        <v/>
      </c>
      <c r="S325">
        <f>AVERAGE(--(K325="ja"), --(L325="ja"), --(M325="ja"), --(N325="ja"), --(O325="ja"))*10</f>
        <v/>
      </c>
      <c r="T325">
        <f>IF(S325&gt;=7, "Tevreden", "Ontevreden")</f>
        <v/>
      </c>
    </row>
    <row r="326">
      <c r="A326" t="inlineStr">
        <is>
          <t>Fabienne</t>
        </is>
      </c>
      <c r="B326" t="inlineStr">
        <is>
          <t>Dupont</t>
        </is>
      </c>
      <c r="C326" t="inlineStr">
        <is>
          <t>835.74523-36</t>
        </is>
      </c>
      <c r="D326" t="inlineStr">
        <is>
          <t>10/07/1994</t>
        </is>
      </c>
      <c r="E326" t="inlineStr">
        <is>
          <t>Leiekaai 4, 3680 Maaseik</t>
        </is>
      </c>
      <c r="F326" t="inlineStr">
        <is>
          <t>Fabienne</t>
        </is>
      </c>
      <c r="G326" t="n">
        <v>76.26000000000001</v>
      </c>
      <c r="H326" t="n">
        <v>15</v>
      </c>
      <c r="I326" t="inlineStr">
        <is>
          <t>Bancontact</t>
        </is>
      </c>
      <c r="J326" t="inlineStr">
        <is>
          <t>ja</t>
        </is>
      </c>
      <c r="K326" t="inlineStr">
        <is>
          <t>ja</t>
        </is>
      </c>
      <c r="L326" t="inlineStr">
        <is>
          <t>nee</t>
        </is>
      </c>
      <c r="M326" t="inlineStr">
        <is>
          <t>ja</t>
        </is>
      </c>
      <c r="N326" t="inlineStr">
        <is>
          <t>ja</t>
        </is>
      </c>
      <c r="O326" t="inlineStr">
        <is>
          <t>Geen dieet</t>
        </is>
      </c>
      <c r="Q326">
        <f>LEN(G326)-LEN(SUBSTITUTE(G326,",",""))+1</f>
        <v/>
      </c>
      <c r="R326">
        <f>SWITCH(I326, "Zelden", 1, "Af en toe", 4, "Regelmatig", 8, "Vaak", 12)</f>
        <v/>
      </c>
      <c r="S326">
        <f>AVERAGE(--(K326="ja"), --(L326="ja"), --(M326="ja"), --(N326="ja"), --(O326="ja"))*10</f>
        <v/>
      </c>
      <c r="T326">
        <f>IF(S326&gt;=7, "Tevreden", "Ontevreden")</f>
        <v/>
      </c>
    </row>
    <row r="327">
      <c r="A327" t="inlineStr">
        <is>
          <t>Lot</t>
        </is>
      </c>
      <c r="B327" t="inlineStr">
        <is>
          <t>Coppens</t>
        </is>
      </c>
      <c r="C327" t="inlineStr">
        <is>
          <t>489.25373-13</t>
        </is>
      </c>
      <c r="D327" t="inlineStr">
        <is>
          <t>09/12/1966</t>
        </is>
      </c>
      <c r="E327" t="inlineStr">
        <is>
          <t>Frans Van Ryhovelaan 64, 3500 Hasselt</t>
        </is>
      </c>
      <c r="F327" t="inlineStr">
        <is>
          <t>Lot</t>
        </is>
      </c>
      <c r="G327" t="n">
        <v>19.54</v>
      </c>
      <c r="H327" t="n">
        <v>19</v>
      </c>
      <c r="I327" t="inlineStr">
        <is>
          <t>Cash</t>
        </is>
      </c>
      <c r="J327" t="inlineStr">
        <is>
          <t>ja</t>
        </is>
      </c>
      <c r="K327" t="inlineStr">
        <is>
          <t>ja</t>
        </is>
      </c>
      <c r="L327" t="inlineStr">
        <is>
          <t>ja</t>
        </is>
      </c>
      <c r="M327" t="inlineStr">
        <is>
          <t>nee</t>
        </is>
      </c>
      <c r="N327" t="inlineStr">
        <is>
          <t>ja</t>
        </is>
      </c>
      <c r="O327" t="inlineStr">
        <is>
          <t>Geen dieet</t>
        </is>
      </c>
      <c r="Q327">
        <f>LEN(G327)-LEN(SUBSTITUTE(G327,",",""))+1</f>
        <v/>
      </c>
      <c r="R327">
        <f>SWITCH(I327, "Zelden", 1, "Af en toe", 4, "Regelmatig", 8, "Vaak", 12)</f>
        <v/>
      </c>
      <c r="S327">
        <f>AVERAGE(--(K327="ja"), --(L327="ja"), --(M327="ja"), --(N327="ja"), --(O327="ja"))*10</f>
        <v/>
      </c>
      <c r="T327">
        <f>IF(S327&gt;=7, "Tevreden", "Ontevreden")</f>
        <v/>
      </c>
    </row>
    <row r="328">
      <c r="A328" t="inlineStr">
        <is>
          <t>Thomas</t>
        </is>
      </c>
      <c r="B328" t="inlineStr">
        <is>
          <t>Cuvelier</t>
        </is>
      </c>
      <c r="C328" t="inlineStr">
        <is>
          <t>343.16989-77</t>
        </is>
      </c>
      <c r="D328" t="inlineStr">
        <is>
          <t>12/02/1964</t>
        </is>
      </c>
      <c r="E328" t="inlineStr">
        <is>
          <t>Ivonna Nevejanstraat 28, 3920 Lommel</t>
        </is>
      </c>
      <c r="F328" t="inlineStr">
        <is>
          <t>Thomas,Thomas,Nassim,Laurens</t>
        </is>
      </c>
      <c r="G328" t="n">
        <v>237.9</v>
      </c>
      <c r="H328" t="n">
        <v>5</v>
      </c>
      <c r="I328" t="inlineStr">
        <is>
          <t>Payconiq</t>
        </is>
      </c>
      <c r="J328" t="inlineStr">
        <is>
          <t>ja</t>
        </is>
      </c>
      <c r="K328" t="inlineStr">
        <is>
          <t>ja</t>
        </is>
      </c>
      <c r="L328" t="inlineStr">
        <is>
          <t>ja</t>
        </is>
      </c>
      <c r="M328" t="inlineStr">
        <is>
          <t>ja</t>
        </is>
      </c>
      <c r="N328" t="inlineStr">
        <is>
          <t>ja</t>
        </is>
      </c>
      <c r="O328" t="inlineStr">
        <is>
          <t>Geen dieet</t>
        </is>
      </c>
      <c r="Q328">
        <f>LEN(G328)-LEN(SUBSTITUTE(G328,",",""))+1</f>
        <v/>
      </c>
      <c r="R328">
        <f>SWITCH(I328, "Zelden", 1, "Af en toe", 4, "Regelmatig", 8, "Vaak", 12)</f>
        <v/>
      </c>
      <c r="S328">
        <f>AVERAGE(--(K328="ja"), --(L328="ja"), --(M328="ja"), --(N328="ja"), --(O328="ja"))*10</f>
        <v/>
      </c>
      <c r="T328">
        <f>IF(S328&gt;=7, "Tevreden", "Ontevreden")</f>
        <v/>
      </c>
    </row>
    <row r="329">
      <c r="A329" t="inlineStr">
        <is>
          <t>Arno</t>
        </is>
      </c>
      <c r="B329" t="inlineStr">
        <is>
          <t>Hermans</t>
        </is>
      </c>
      <c r="C329" t="inlineStr">
        <is>
          <t>395.37538-28</t>
        </is>
      </c>
      <c r="D329" t="inlineStr">
        <is>
          <t>11/01/1947</t>
        </is>
      </c>
      <c r="E329" t="inlineStr">
        <is>
          <t>Doornzelestraat 16, 3920 Lommel</t>
        </is>
      </c>
      <c r="F329" t="inlineStr">
        <is>
          <t>Arno,Yvonne</t>
        </is>
      </c>
      <c r="G329" t="n">
        <v>145.45</v>
      </c>
      <c r="H329" t="n">
        <v>16</v>
      </c>
      <c r="I329" t="inlineStr">
        <is>
          <t>Payconiq</t>
        </is>
      </c>
      <c r="J329" t="inlineStr">
        <is>
          <t>nee</t>
        </is>
      </c>
      <c r="K329" t="inlineStr">
        <is>
          <t>nee</t>
        </is>
      </c>
      <c r="L329" t="inlineStr">
        <is>
          <t>ja</t>
        </is>
      </c>
      <c r="M329" t="inlineStr">
        <is>
          <t>nee</t>
        </is>
      </c>
      <c r="N329" t="inlineStr">
        <is>
          <t>nee</t>
        </is>
      </c>
      <c r="O329" t="inlineStr">
        <is>
          <t>Geen dieet</t>
        </is>
      </c>
      <c r="Q329">
        <f>LEN(G329)-LEN(SUBSTITUTE(G329,",",""))+1</f>
        <v/>
      </c>
      <c r="R329">
        <f>SWITCH(I329, "Zelden", 1, "Af en toe", 4, "Regelmatig", 8, "Vaak", 12)</f>
        <v/>
      </c>
      <c r="S329">
        <f>AVERAGE(--(K329="ja"), --(L329="ja"), --(M329="ja"), --(N329="ja"), --(O329="ja"))*10</f>
        <v/>
      </c>
      <c r="T329">
        <f>IF(S329&gt;=7, "Tevreden", "Ontevreden")</f>
        <v/>
      </c>
    </row>
    <row r="330">
      <c r="A330" t="inlineStr">
        <is>
          <t>An</t>
        </is>
      </c>
      <c r="B330" t="inlineStr">
        <is>
          <t>Joris</t>
        </is>
      </c>
      <c r="C330" t="inlineStr">
        <is>
          <t>447.52934-94</t>
        </is>
      </c>
      <c r="D330" t="inlineStr">
        <is>
          <t>28/09/1971</t>
        </is>
      </c>
      <c r="E330" t="inlineStr">
        <is>
          <t>Zuiddokweg 36, 3500 Hasselt</t>
        </is>
      </c>
      <c r="F330" t="inlineStr">
        <is>
          <t>An,Léana,Najat,Georges,Jule</t>
        </is>
      </c>
      <c r="G330" t="n">
        <v>114.95</v>
      </c>
      <c r="H330" t="n">
        <v>7</v>
      </c>
      <c r="I330" t="inlineStr">
        <is>
          <t>Bancontact</t>
        </is>
      </c>
      <c r="J330" t="inlineStr">
        <is>
          <t>ja</t>
        </is>
      </c>
      <c r="K330" t="inlineStr">
        <is>
          <t>nee</t>
        </is>
      </c>
      <c r="L330" t="inlineStr">
        <is>
          <t>nee</t>
        </is>
      </c>
      <c r="M330" t="inlineStr">
        <is>
          <t>nee</t>
        </is>
      </c>
      <c r="N330" t="inlineStr">
        <is>
          <t>nee</t>
        </is>
      </c>
      <c r="O330" t="inlineStr">
        <is>
          <t>Veganistisch</t>
        </is>
      </c>
      <c r="Q330">
        <f>LEN(G330)-LEN(SUBSTITUTE(G330,",",""))+1</f>
        <v/>
      </c>
      <c r="R330">
        <f>SWITCH(I330, "Zelden", 1, "Af en toe", 4, "Regelmatig", 8, "Vaak", 12)</f>
        <v/>
      </c>
      <c r="S330">
        <f>AVERAGE(--(K330="ja"), --(L330="ja"), --(M330="ja"), --(N330="ja"), --(O330="ja"))*10</f>
        <v/>
      </c>
      <c r="T330">
        <f>IF(S330&gt;=7, "Tevreden", "Ontevreden")</f>
        <v/>
      </c>
    </row>
    <row r="331">
      <c r="A331" t="inlineStr">
        <is>
          <t>Nassira</t>
        </is>
      </c>
      <c r="B331" t="inlineStr">
        <is>
          <t>Michel</t>
        </is>
      </c>
      <c r="C331" t="inlineStr">
        <is>
          <t>536.94978-17</t>
        </is>
      </c>
      <c r="D331" t="inlineStr">
        <is>
          <t>25/05/1961</t>
        </is>
      </c>
      <c r="E331" t="inlineStr">
        <is>
          <t>St-baafsplein 49, 3970 Leopoldsburg</t>
        </is>
      </c>
      <c r="F331" t="inlineStr">
        <is>
          <t>Nassira,Vladimir,Sarah</t>
        </is>
      </c>
      <c r="G331" t="n">
        <v>118.67</v>
      </c>
      <c r="H331" t="n">
        <v>7</v>
      </c>
      <c r="I331" t="inlineStr">
        <is>
          <t>Payconiq</t>
        </is>
      </c>
      <c r="J331" t="inlineStr">
        <is>
          <t>ja</t>
        </is>
      </c>
      <c r="K331" t="inlineStr">
        <is>
          <t>ja</t>
        </is>
      </c>
      <c r="L331" t="inlineStr">
        <is>
          <t>ja</t>
        </is>
      </c>
      <c r="M331" t="inlineStr">
        <is>
          <t>nee</t>
        </is>
      </c>
      <c r="N331" t="inlineStr">
        <is>
          <t>nee</t>
        </is>
      </c>
      <c r="O331" t="inlineStr">
        <is>
          <t>Geen dieet</t>
        </is>
      </c>
      <c r="Q331">
        <f>LEN(G331)-LEN(SUBSTITUTE(G331,",",""))+1</f>
        <v/>
      </c>
      <c r="R331">
        <f>SWITCH(I331, "Zelden", 1, "Af en toe", 4, "Regelmatig", 8, "Vaak", 12)</f>
        <v/>
      </c>
      <c r="S331">
        <f>AVERAGE(--(K331="ja"), --(L331="ja"), --(M331="ja"), --(N331="ja"), --(O331="ja"))*10</f>
        <v/>
      </c>
      <c r="T331">
        <f>IF(S331&gt;=7, "Tevreden", "Ontevreden")</f>
        <v/>
      </c>
    </row>
    <row r="332">
      <c r="A332" t="inlineStr">
        <is>
          <t>Patrick</t>
        </is>
      </c>
      <c r="B332" t="inlineStr">
        <is>
          <t>Janssens</t>
        </is>
      </c>
      <c r="C332" t="inlineStr">
        <is>
          <t>915.20949-69</t>
        </is>
      </c>
      <c r="D332" t="inlineStr">
        <is>
          <t>09/07/1989</t>
        </is>
      </c>
      <c r="E332" t="inlineStr">
        <is>
          <t>Ketelvest 75, 3920 Lommel</t>
        </is>
      </c>
      <c r="F332" t="inlineStr">
        <is>
          <t>Patrick,Serife,Elano</t>
        </is>
      </c>
      <c r="G332" t="n">
        <v>129.79</v>
      </c>
      <c r="H332" t="n">
        <v>4</v>
      </c>
      <c r="I332" t="inlineStr">
        <is>
          <t>Bancontact</t>
        </is>
      </c>
      <c r="J332" t="inlineStr">
        <is>
          <t>ja</t>
        </is>
      </c>
      <c r="K332" t="inlineStr">
        <is>
          <t>nee</t>
        </is>
      </c>
      <c r="L332" t="inlineStr">
        <is>
          <t>ja</t>
        </is>
      </c>
      <c r="M332" t="inlineStr">
        <is>
          <t>ja</t>
        </is>
      </c>
      <c r="N332" t="inlineStr">
        <is>
          <t>ja</t>
        </is>
      </c>
      <c r="O332" t="inlineStr">
        <is>
          <t>Geen dieet</t>
        </is>
      </c>
      <c r="Q332">
        <f>LEN(G332)-LEN(SUBSTITUTE(G332,",",""))+1</f>
        <v/>
      </c>
      <c r="R332">
        <f>SWITCH(I332, "Zelden", 1, "Af en toe", 4, "Regelmatig", 8, "Vaak", 12)</f>
        <v/>
      </c>
      <c r="S332">
        <f>AVERAGE(--(K332="ja"), --(L332="ja"), --(M332="ja"), --(N332="ja"), --(O332="ja"))*10</f>
        <v/>
      </c>
      <c r="T332">
        <f>IF(S332&gt;=7, "Tevreden", "Ontevreden")</f>
        <v/>
      </c>
    </row>
    <row r="333">
      <c r="A333" t="inlineStr">
        <is>
          <t>Benoît</t>
        </is>
      </c>
      <c r="B333" t="inlineStr">
        <is>
          <t>Van hoof</t>
        </is>
      </c>
      <c r="C333" t="inlineStr">
        <is>
          <t>979.50141-25</t>
        </is>
      </c>
      <c r="D333" t="inlineStr">
        <is>
          <t>14/08/1981</t>
        </is>
      </c>
      <c r="E333" t="inlineStr">
        <is>
          <t>Eendrachtstraat 40, 3600 Genk</t>
        </is>
      </c>
      <c r="F333" t="inlineStr">
        <is>
          <t>Benoît,Ilian</t>
        </is>
      </c>
      <c r="G333" t="n">
        <v>77.38</v>
      </c>
      <c r="H333" t="n">
        <v>1</v>
      </c>
      <c r="I333" t="inlineStr">
        <is>
          <t>Bancontact</t>
        </is>
      </c>
      <c r="J333" t="inlineStr">
        <is>
          <t>ja</t>
        </is>
      </c>
      <c r="K333" t="inlineStr">
        <is>
          <t>nee</t>
        </is>
      </c>
      <c r="L333" t="inlineStr">
        <is>
          <t>ja</t>
        </is>
      </c>
      <c r="M333" t="inlineStr">
        <is>
          <t>nee</t>
        </is>
      </c>
      <c r="N333" t="inlineStr">
        <is>
          <t>ja</t>
        </is>
      </c>
      <c r="O333" t="inlineStr">
        <is>
          <t>Geen dieet</t>
        </is>
      </c>
      <c r="Q333">
        <f>LEN(G333)-LEN(SUBSTITUTE(G333,",",""))+1</f>
        <v/>
      </c>
      <c r="R333">
        <f>SWITCH(I333, "Zelden", 1, "Af en toe", 4, "Regelmatig", 8, "Vaak", 12)</f>
        <v/>
      </c>
      <c r="S333">
        <f>AVERAGE(--(K333="ja"), --(L333="ja"), --(M333="ja"), --(N333="ja"), --(O333="ja"))*10</f>
        <v/>
      </c>
      <c r="T333">
        <f>IF(S333&gt;=7, "Tevreden", "Ontevreden")</f>
        <v/>
      </c>
    </row>
    <row r="334">
      <c r="A334" t="inlineStr">
        <is>
          <t>Anouar</t>
        </is>
      </c>
      <c r="B334" t="inlineStr">
        <is>
          <t>Daems</t>
        </is>
      </c>
      <c r="C334" t="inlineStr">
        <is>
          <t>747.48521-43</t>
        </is>
      </c>
      <c r="D334" t="inlineStr">
        <is>
          <t>26/07/1955</t>
        </is>
      </c>
      <c r="E334" t="inlineStr">
        <is>
          <t>Voldersstraat 73, 3600 Genk</t>
        </is>
      </c>
      <c r="F334" t="inlineStr">
        <is>
          <t>Anouar,Frederik</t>
        </is>
      </c>
      <c r="G334" t="n">
        <v>119.21</v>
      </c>
      <c r="H334" t="n">
        <v>10</v>
      </c>
      <c r="I334" t="inlineStr">
        <is>
          <t>Bancontact</t>
        </is>
      </c>
      <c r="J334" t="inlineStr">
        <is>
          <t>nee</t>
        </is>
      </c>
      <c r="K334" t="inlineStr">
        <is>
          <t>nee</t>
        </is>
      </c>
      <c r="L334" t="inlineStr">
        <is>
          <t>ja</t>
        </is>
      </c>
      <c r="M334" t="inlineStr">
        <is>
          <t>nee</t>
        </is>
      </c>
      <c r="N334" t="inlineStr">
        <is>
          <t>ja</t>
        </is>
      </c>
      <c r="O334" t="inlineStr">
        <is>
          <t>Geen dieet</t>
        </is>
      </c>
      <c r="Q334">
        <f>LEN(G334)-LEN(SUBSTITUTE(G334,",",""))+1</f>
        <v/>
      </c>
      <c r="R334">
        <f>SWITCH(I334, "Zelden", 1, "Af en toe", 4, "Regelmatig", 8, "Vaak", 12)</f>
        <v/>
      </c>
      <c r="S334">
        <f>AVERAGE(--(K334="ja"), --(L334="ja"), --(M334="ja"), --(N334="ja"), --(O334="ja"))*10</f>
        <v/>
      </c>
      <c r="T334">
        <f>IF(S334&gt;=7, "Tevreden", "Ontevreden")</f>
        <v/>
      </c>
    </row>
    <row r="335">
      <c r="A335" t="inlineStr">
        <is>
          <t>Ewout</t>
        </is>
      </c>
      <c r="B335" t="inlineStr">
        <is>
          <t>Leclercq</t>
        </is>
      </c>
      <c r="C335" t="inlineStr">
        <is>
          <t>788.78544-89</t>
        </is>
      </c>
      <c r="D335" t="inlineStr">
        <is>
          <t>08/08/1954</t>
        </is>
      </c>
      <c r="E335" t="inlineStr">
        <is>
          <t>Pilorijnstraat 25, 3550 Heusden-Zolder</t>
        </is>
      </c>
      <c r="F335" t="inlineStr">
        <is>
          <t>Ewout,Tomas,Anaïs,Flor,Olga</t>
        </is>
      </c>
      <c r="G335" t="n">
        <v>159.85</v>
      </c>
      <c r="H335" t="n">
        <v>1</v>
      </c>
      <c r="I335" t="inlineStr">
        <is>
          <t>Bancontact</t>
        </is>
      </c>
      <c r="J335" t="inlineStr">
        <is>
          <t>nee</t>
        </is>
      </c>
      <c r="K335" t="inlineStr">
        <is>
          <t>ja</t>
        </is>
      </c>
      <c r="L335" t="inlineStr">
        <is>
          <t>ja</t>
        </is>
      </c>
      <c r="M335" t="inlineStr">
        <is>
          <t>ja</t>
        </is>
      </c>
      <c r="N335" t="inlineStr">
        <is>
          <t>nee</t>
        </is>
      </c>
      <c r="O335" t="inlineStr">
        <is>
          <t>Geen dieet</t>
        </is>
      </c>
      <c r="Q335">
        <f>LEN(G335)-LEN(SUBSTITUTE(G335,",",""))+1</f>
        <v/>
      </c>
      <c r="R335">
        <f>SWITCH(I335, "Zelden", 1, "Af en toe", 4, "Regelmatig", 8, "Vaak", 12)</f>
        <v/>
      </c>
      <c r="S335">
        <f>AVERAGE(--(K335="ja"), --(L335="ja"), --(M335="ja"), --(N335="ja"), --(O335="ja"))*10</f>
        <v/>
      </c>
      <c r="T335">
        <f>IF(S335&gt;=7, "Tevreden", "Ontevreden")</f>
        <v/>
      </c>
    </row>
    <row r="336">
      <c r="A336" t="inlineStr">
        <is>
          <t>Özer</t>
        </is>
      </c>
      <c r="B336" t="inlineStr">
        <is>
          <t>Huysmans</t>
        </is>
      </c>
      <c r="C336" t="inlineStr">
        <is>
          <t>699.91455-62</t>
        </is>
      </c>
      <c r="D336" t="inlineStr">
        <is>
          <t>20/11/2002</t>
        </is>
      </c>
      <c r="E336" t="inlineStr">
        <is>
          <t>Morekstraat 1, 3600 Genk</t>
        </is>
      </c>
      <c r="F336" t="inlineStr">
        <is>
          <t>Özer</t>
        </is>
      </c>
      <c r="G336" t="n">
        <v>18.95</v>
      </c>
      <c r="H336" t="n">
        <v>5</v>
      </c>
      <c r="I336" t="inlineStr">
        <is>
          <t>Payconiq</t>
        </is>
      </c>
      <c r="J336" t="inlineStr">
        <is>
          <t>nee</t>
        </is>
      </c>
      <c r="K336" t="inlineStr">
        <is>
          <t>ja</t>
        </is>
      </c>
      <c r="L336" t="inlineStr">
        <is>
          <t>nee</t>
        </is>
      </c>
      <c r="M336" t="inlineStr">
        <is>
          <t>nee</t>
        </is>
      </c>
      <c r="N336" t="inlineStr">
        <is>
          <t>nee</t>
        </is>
      </c>
      <c r="O336" t="inlineStr">
        <is>
          <t>Geen dieet</t>
        </is>
      </c>
      <c r="Q336">
        <f>LEN(G336)-LEN(SUBSTITUTE(G336,",",""))+1</f>
        <v/>
      </c>
      <c r="R336">
        <f>SWITCH(I336, "Zelden", 1, "Af en toe", 4, "Regelmatig", 8, "Vaak", 12)</f>
        <v/>
      </c>
      <c r="S336">
        <f>AVERAGE(--(K336="ja"), --(L336="ja"), --(M336="ja"), --(N336="ja"), --(O336="ja"))*10</f>
        <v/>
      </c>
      <c r="T336">
        <f>IF(S336&gt;=7, "Tevreden", "Ontevreden")</f>
        <v/>
      </c>
    </row>
    <row r="337">
      <c r="A337" t="inlineStr">
        <is>
          <t>José</t>
        </is>
      </c>
      <c r="B337" t="inlineStr">
        <is>
          <t>De backer</t>
        </is>
      </c>
      <c r="C337" t="inlineStr">
        <is>
          <t>554.22458-58</t>
        </is>
      </c>
      <c r="D337" t="inlineStr">
        <is>
          <t>07/02/1988</t>
        </is>
      </c>
      <c r="E337" t="inlineStr">
        <is>
          <t>Smalleheerweg 49, 3840 Borgloon</t>
        </is>
      </c>
      <c r="F337" t="inlineStr">
        <is>
          <t>José,Noah</t>
        </is>
      </c>
      <c r="G337" t="n">
        <v>62.53</v>
      </c>
      <c r="H337" t="n">
        <v>16</v>
      </c>
      <c r="I337" t="inlineStr">
        <is>
          <t>Bancontact</t>
        </is>
      </c>
      <c r="J337" t="inlineStr">
        <is>
          <t>ja</t>
        </is>
      </c>
      <c r="K337" t="inlineStr">
        <is>
          <t>ja</t>
        </is>
      </c>
      <c r="L337" t="inlineStr">
        <is>
          <t>ja</t>
        </is>
      </c>
      <c r="M337" t="inlineStr">
        <is>
          <t>ja</t>
        </is>
      </c>
      <c r="N337" t="inlineStr">
        <is>
          <t>ja</t>
        </is>
      </c>
      <c r="O337" t="inlineStr">
        <is>
          <t>Vegetarisch</t>
        </is>
      </c>
      <c r="Q337">
        <f>LEN(G337)-LEN(SUBSTITUTE(G337,",",""))+1</f>
        <v/>
      </c>
      <c r="R337">
        <f>SWITCH(I337, "Zelden", 1, "Af en toe", 4, "Regelmatig", 8, "Vaak", 12)</f>
        <v/>
      </c>
      <c r="S337">
        <f>AVERAGE(--(K337="ja"), --(L337="ja"), --(M337="ja"), --(N337="ja"), --(O337="ja"))*10</f>
        <v/>
      </c>
      <c r="T337">
        <f>IF(S337&gt;=7, "Tevreden", "Ontevreden")</f>
        <v/>
      </c>
    </row>
    <row r="338">
      <c r="A338" t="inlineStr">
        <is>
          <t>Louis</t>
        </is>
      </c>
      <c r="B338" t="inlineStr">
        <is>
          <t>Goffin</t>
        </is>
      </c>
      <c r="C338" t="inlineStr">
        <is>
          <t>513.33341-11</t>
        </is>
      </c>
      <c r="D338" t="inlineStr">
        <is>
          <t>14/11/1946</t>
        </is>
      </c>
      <c r="E338" t="inlineStr">
        <is>
          <t>Oktrooiplein 35, 3600 Genk</t>
        </is>
      </c>
      <c r="F338" t="inlineStr">
        <is>
          <t>Louis,Michel,Dany,Constantinus</t>
        </is>
      </c>
      <c r="G338" t="n">
        <v>174.22</v>
      </c>
      <c r="H338" t="n">
        <v>19</v>
      </c>
      <c r="I338" t="inlineStr">
        <is>
          <t>Payconiq</t>
        </is>
      </c>
      <c r="J338" t="inlineStr">
        <is>
          <t>ja</t>
        </is>
      </c>
      <c r="K338" t="inlineStr">
        <is>
          <t>ja</t>
        </is>
      </c>
      <c r="L338" t="inlineStr">
        <is>
          <t>ja</t>
        </is>
      </c>
      <c r="M338" t="inlineStr">
        <is>
          <t>nee</t>
        </is>
      </c>
      <c r="N338" t="inlineStr">
        <is>
          <t>ja</t>
        </is>
      </c>
      <c r="O338" t="inlineStr">
        <is>
          <t>Geen dieet</t>
        </is>
      </c>
      <c r="Q338">
        <f>LEN(G338)-LEN(SUBSTITUTE(G338,",",""))+1</f>
        <v/>
      </c>
      <c r="R338">
        <f>SWITCH(I338, "Zelden", 1, "Af en toe", 4, "Regelmatig", 8, "Vaak", 12)</f>
        <v/>
      </c>
      <c r="S338">
        <f>AVERAGE(--(K338="ja"), --(L338="ja"), --(M338="ja"), --(N338="ja"), --(O338="ja"))*10</f>
        <v/>
      </c>
      <c r="T338">
        <f>IF(S338&gt;=7, "Tevreden", "Ontevreden")</f>
        <v/>
      </c>
    </row>
    <row r="339">
      <c r="A339" t="inlineStr">
        <is>
          <t>Pauline</t>
        </is>
      </c>
      <c r="B339" t="inlineStr">
        <is>
          <t>Vanneste</t>
        </is>
      </c>
      <c r="C339" t="inlineStr">
        <is>
          <t>190.24753-18</t>
        </is>
      </c>
      <c r="D339" t="inlineStr">
        <is>
          <t>20/06/1953</t>
        </is>
      </c>
      <c r="E339" t="inlineStr">
        <is>
          <t>Hofstraat 1, 3590 Diepenbeek</t>
        </is>
      </c>
      <c r="F339" t="inlineStr">
        <is>
          <t>Pauline,Wafaa,Yentl,Juliette</t>
        </is>
      </c>
      <c r="G339" t="n">
        <v>77.53</v>
      </c>
      <c r="H339" t="n">
        <v>2</v>
      </c>
      <c r="I339" t="inlineStr">
        <is>
          <t>Payconiq</t>
        </is>
      </c>
      <c r="J339" t="inlineStr">
        <is>
          <t>ja</t>
        </is>
      </c>
      <c r="K339" t="inlineStr">
        <is>
          <t>ja</t>
        </is>
      </c>
      <c r="L339" t="inlineStr">
        <is>
          <t>ja</t>
        </is>
      </c>
      <c r="M339" t="inlineStr">
        <is>
          <t>ja</t>
        </is>
      </c>
      <c r="N339" t="inlineStr">
        <is>
          <t>ja</t>
        </is>
      </c>
      <c r="O339" t="inlineStr">
        <is>
          <t>Geen dieet</t>
        </is>
      </c>
      <c r="Q339">
        <f>LEN(G339)-LEN(SUBSTITUTE(G339,",",""))+1</f>
        <v/>
      </c>
      <c r="R339">
        <f>SWITCH(I339, "Zelden", 1, "Af en toe", 4, "Regelmatig", 8, "Vaak", 12)</f>
        <v/>
      </c>
      <c r="S339">
        <f>AVERAGE(--(K339="ja"), --(L339="ja"), --(M339="ja"), --(N339="ja"), --(O339="ja"))*10</f>
        <v/>
      </c>
      <c r="T339">
        <f>IF(S339&gt;=7, "Tevreden", "Ontevreden")</f>
        <v/>
      </c>
    </row>
    <row r="340">
      <c r="A340" t="inlineStr">
        <is>
          <t>Rachel</t>
        </is>
      </c>
      <c r="B340" t="inlineStr">
        <is>
          <t>Dewulf</t>
        </is>
      </c>
      <c r="C340" t="inlineStr">
        <is>
          <t>689.49015-25</t>
        </is>
      </c>
      <c r="D340" t="inlineStr">
        <is>
          <t>28/12/1967</t>
        </is>
      </c>
      <c r="E340" t="inlineStr">
        <is>
          <t>Oktrooiplein 69, 3910 Neerpelt</t>
        </is>
      </c>
      <c r="F340" t="inlineStr">
        <is>
          <t>Rachel,Dries</t>
        </is>
      </c>
      <c r="G340" t="n">
        <v>170.39</v>
      </c>
      <c r="H340" t="n">
        <v>4</v>
      </c>
      <c r="I340" t="inlineStr">
        <is>
          <t>Cash</t>
        </is>
      </c>
      <c r="J340" t="inlineStr">
        <is>
          <t>ja</t>
        </is>
      </c>
      <c r="K340" t="inlineStr">
        <is>
          <t>ja</t>
        </is>
      </c>
      <c r="L340" t="inlineStr">
        <is>
          <t>nee</t>
        </is>
      </c>
      <c r="M340" t="inlineStr">
        <is>
          <t>ja</t>
        </is>
      </c>
      <c r="N340" t="inlineStr">
        <is>
          <t>nee</t>
        </is>
      </c>
      <c r="O340" t="inlineStr">
        <is>
          <t>Geen dieet</t>
        </is>
      </c>
      <c r="Q340">
        <f>LEN(G340)-LEN(SUBSTITUTE(G340,",",""))+1</f>
        <v/>
      </c>
      <c r="R340">
        <f>SWITCH(I340, "Zelden", 1, "Af en toe", 4, "Regelmatig", 8, "Vaak", 12)</f>
        <v/>
      </c>
      <c r="S340">
        <f>AVERAGE(--(K340="ja"), --(L340="ja"), --(M340="ja"), --(N340="ja"), --(O340="ja"))*10</f>
        <v/>
      </c>
      <c r="T340">
        <f>IF(S340&gt;=7, "Tevreden", "Ontevreden")</f>
        <v/>
      </c>
    </row>
    <row r="341">
      <c r="A341" t="inlineStr">
        <is>
          <t>René</t>
        </is>
      </c>
      <c r="B341" t="inlineStr">
        <is>
          <t>Stevens</t>
        </is>
      </c>
      <c r="C341" t="inlineStr">
        <is>
          <t>182.78470-58</t>
        </is>
      </c>
      <c r="D341" t="inlineStr">
        <is>
          <t>12/04/1957</t>
        </is>
      </c>
      <c r="E341" t="inlineStr">
        <is>
          <t>Kraanlei 28, 3831 Herten</t>
        </is>
      </c>
      <c r="F341" t="inlineStr">
        <is>
          <t>René,Aurélien</t>
        </is>
      </c>
      <c r="G341" t="n">
        <v>124.5</v>
      </c>
      <c r="H341" t="n">
        <v>14</v>
      </c>
      <c r="I341" t="inlineStr">
        <is>
          <t>Payconiq</t>
        </is>
      </c>
      <c r="J341" t="inlineStr">
        <is>
          <t>ja</t>
        </is>
      </c>
      <c r="K341" t="inlineStr">
        <is>
          <t>ja</t>
        </is>
      </c>
      <c r="L341" t="inlineStr">
        <is>
          <t>ja</t>
        </is>
      </c>
      <c r="M341" t="inlineStr">
        <is>
          <t>nee</t>
        </is>
      </c>
      <c r="N341" t="inlineStr">
        <is>
          <t>nee</t>
        </is>
      </c>
      <c r="O341" t="inlineStr">
        <is>
          <t>Geen dieet</t>
        </is>
      </c>
      <c r="Q341">
        <f>LEN(G341)-LEN(SUBSTITUTE(G341,",",""))+1</f>
        <v/>
      </c>
      <c r="R341">
        <f>SWITCH(I341, "Zelden", 1, "Af en toe", 4, "Regelmatig", 8, "Vaak", 12)</f>
        <v/>
      </c>
      <c r="S341">
        <f>AVERAGE(--(K341="ja"), --(L341="ja"), --(M341="ja"), --(N341="ja"), --(O341="ja"))*10</f>
        <v/>
      </c>
      <c r="T341">
        <f>IF(S341&gt;=7, "Tevreden", "Ontevreden")</f>
        <v/>
      </c>
    </row>
    <row r="342">
      <c r="A342" t="inlineStr">
        <is>
          <t>Leon</t>
        </is>
      </c>
      <c r="B342" t="inlineStr">
        <is>
          <t>De wilde</t>
        </is>
      </c>
      <c r="C342" t="inlineStr">
        <is>
          <t>256.46218-75</t>
        </is>
      </c>
      <c r="D342" t="inlineStr">
        <is>
          <t>03/10/1987</t>
        </is>
      </c>
      <c r="E342" t="inlineStr">
        <is>
          <t>Koestraat 89, 3590 Diepenbeek</t>
        </is>
      </c>
      <c r="F342" t="inlineStr">
        <is>
          <t>Leon,Felix,André,Wael</t>
        </is>
      </c>
      <c r="G342" t="n">
        <v>247.01</v>
      </c>
      <c r="H342" t="n">
        <v>6</v>
      </c>
      <c r="I342" t="inlineStr">
        <is>
          <t>Cash</t>
        </is>
      </c>
      <c r="J342" t="inlineStr">
        <is>
          <t>ja</t>
        </is>
      </c>
      <c r="K342" t="inlineStr">
        <is>
          <t>ja</t>
        </is>
      </c>
      <c r="L342" t="inlineStr">
        <is>
          <t>ja</t>
        </is>
      </c>
      <c r="M342" t="inlineStr">
        <is>
          <t>ja</t>
        </is>
      </c>
      <c r="N342" t="inlineStr">
        <is>
          <t>ja</t>
        </is>
      </c>
      <c r="O342" t="inlineStr">
        <is>
          <t>Geen dieet</t>
        </is>
      </c>
      <c r="Q342">
        <f>LEN(G342)-LEN(SUBSTITUTE(G342,",",""))+1</f>
        <v/>
      </c>
      <c r="R342">
        <f>SWITCH(I342, "Zelden", 1, "Af en toe", 4, "Regelmatig", 8, "Vaak", 12)</f>
        <v/>
      </c>
      <c r="S342">
        <f>AVERAGE(--(K342="ja"), --(L342="ja"), --(M342="ja"), --(N342="ja"), --(O342="ja"))*10</f>
        <v/>
      </c>
      <c r="T342">
        <f>IF(S342&gt;=7, "Tevreden", "Ontevreden")</f>
        <v/>
      </c>
    </row>
    <row r="343">
      <c r="A343" t="inlineStr">
        <is>
          <t>Piet</t>
        </is>
      </c>
      <c r="B343" t="inlineStr">
        <is>
          <t>Martens</t>
        </is>
      </c>
      <c r="C343" t="inlineStr">
        <is>
          <t>758.13471-98</t>
        </is>
      </c>
      <c r="D343" t="inlineStr">
        <is>
          <t>22/04/1999</t>
        </is>
      </c>
      <c r="E343" t="inlineStr">
        <is>
          <t>E3-plein 21, 3600 Genk</t>
        </is>
      </c>
      <c r="F343" t="inlineStr">
        <is>
          <t>Piet,Margit,Dany</t>
        </is>
      </c>
      <c r="G343" t="n">
        <v>128.83</v>
      </c>
      <c r="H343" t="n">
        <v>1</v>
      </c>
      <c r="I343" t="inlineStr">
        <is>
          <t>Bancontact</t>
        </is>
      </c>
      <c r="J343" t="inlineStr">
        <is>
          <t>ja</t>
        </is>
      </c>
      <c r="K343" t="inlineStr">
        <is>
          <t>ja</t>
        </is>
      </c>
      <c r="L343" t="inlineStr">
        <is>
          <t>ja</t>
        </is>
      </c>
      <c r="M343" t="inlineStr">
        <is>
          <t>ja</t>
        </is>
      </c>
      <c r="N343" t="inlineStr">
        <is>
          <t>nee</t>
        </is>
      </c>
      <c r="O343" t="inlineStr">
        <is>
          <t>Geen dieet</t>
        </is>
      </c>
      <c r="Q343">
        <f>LEN(G343)-LEN(SUBSTITUTE(G343,",",""))+1</f>
        <v/>
      </c>
      <c r="R343">
        <f>SWITCH(I343, "Zelden", 1, "Af en toe", 4, "Regelmatig", 8, "Vaak", 12)</f>
        <v/>
      </c>
      <c r="S343">
        <f>AVERAGE(--(K343="ja"), --(L343="ja"), --(M343="ja"), --(N343="ja"), --(O343="ja"))*10</f>
        <v/>
      </c>
      <c r="T343">
        <f>IF(S343&gt;=7, "Tevreden", "Ontevreden")</f>
        <v/>
      </c>
    </row>
    <row r="344">
      <c r="A344" t="inlineStr">
        <is>
          <t>Fabio</t>
        </is>
      </c>
      <c r="B344" t="inlineStr">
        <is>
          <t>Smits</t>
        </is>
      </c>
      <c r="C344" t="inlineStr">
        <is>
          <t>469.10312-69</t>
        </is>
      </c>
      <c r="D344" t="inlineStr">
        <is>
          <t>05/10/1985</t>
        </is>
      </c>
      <c r="E344" t="inlineStr">
        <is>
          <t>Dok Zuid 60, 3720 Kortessem</t>
        </is>
      </c>
      <c r="F344" t="inlineStr">
        <is>
          <t>Fabio,Abdul,Richard</t>
        </is>
      </c>
      <c r="G344" t="n">
        <v>121.07</v>
      </c>
      <c r="H344" t="n">
        <v>11</v>
      </c>
      <c r="I344" t="inlineStr">
        <is>
          <t>Bancontact</t>
        </is>
      </c>
      <c r="J344" t="inlineStr">
        <is>
          <t>nee</t>
        </is>
      </c>
      <c r="K344" t="inlineStr">
        <is>
          <t>ja</t>
        </is>
      </c>
      <c r="L344" t="inlineStr">
        <is>
          <t>ja</t>
        </is>
      </c>
      <c r="M344" t="inlineStr">
        <is>
          <t>ja</t>
        </is>
      </c>
      <c r="N344" t="inlineStr">
        <is>
          <t>ja</t>
        </is>
      </c>
      <c r="O344" t="inlineStr">
        <is>
          <t>Geen dieet</t>
        </is>
      </c>
      <c r="Q344">
        <f>LEN(G344)-LEN(SUBSTITUTE(G344,",",""))+1</f>
        <v/>
      </c>
      <c r="R344">
        <f>SWITCH(I344, "Zelden", 1, "Af en toe", 4, "Regelmatig", 8, "Vaak", 12)</f>
        <v/>
      </c>
      <c r="S344">
        <f>AVERAGE(--(K344="ja"), --(L344="ja"), --(M344="ja"), --(N344="ja"), --(O344="ja"))*10</f>
        <v/>
      </c>
      <c r="T344">
        <f>IF(S344&gt;=7, "Tevreden", "Ontevreden")</f>
        <v/>
      </c>
    </row>
    <row r="345">
      <c r="A345" t="inlineStr">
        <is>
          <t>Gilberte</t>
        </is>
      </c>
      <c r="B345" t="inlineStr">
        <is>
          <t>De paepe</t>
        </is>
      </c>
      <c r="C345" t="inlineStr">
        <is>
          <t>361.54259-21</t>
        </is>
      </c>
      <c r="D345" t="inlineStr">
        <is>
          <t>18/11/1961</t>
        </is>
      </c>
      <c r="E345" t="inlineStr">
        <is>
          <t>Mariakerksesteenweg 8, 3600 Genk</t>
        </is>
      </c>
      <c r="F345" t="inlineStr">
        <is>
          <t>Gilberte,Miel</t>
        </is>
      </c>
      <c r="G345" t="n">
        <v>22.6</v>
      </c>
      <c r="H345" t="n">
        <v>12</v>
      </c>
      <c r="I345" t="inlineStr">
        <is>
          <t>Bancontact</t>
        </is>
      </c>
      <c r="J345" t="inlineStr">
        <is>
          <t>ja</t>
        </is>
      </c>
      <c r="K345" t="inlineStr">
        <is>
          <t>ja</t>
        </is>
      </c>
      <c r="L345" t="inlineStr">
        <is>
          <t>ja</t>
        </is>
      </c>
      <c r="M345" t="inlineStr">
        <is>
          <t>ja</t>
        </is>
      </c>
      <c r="N345" t="inlineStr">
        <is>
          <t>ja</t>
        </is>
      </c>
      <c r="O345" t="inlineStr">
        <is>
          <t>Vegetarisch</t>
        </is>
      </c>
      <c r="Q345">
        <f>LEN(G345)-LEN(SUBSTITUTE(G345,",",""))+1</f>
        <v/>
      </c>
      <c r="R345">
        <f>SWITCH(I345, "Zelden", 1, "Af en toe", 4, "Regelmatig", 8, "Vaak", 12)</f>
        <v/>
      </c>
      <c r="S345">
        <f>AVERAGE(--(K345="ja"), --(L345="ja"), --(M345="ja"), --(N345="ja"), --(O345="ja"))*10</f>
        <v/>
      </c>
      <c r="T345">
        <f>IF(S345&gt;=7, "Tevreden", "Ontevreden")</f>
        <v/>
      </c>
    </row>
    <row r="346">
      <c r="A346" t="inlineStr">
        <is>
          <t>Rosa</t>
        </is>
      </c>
      <c r="B346" t="inlineStr">
        <is>
          <t>Vercammen</t>
        </is>
      </c>
      <c r="C346" t="inlineStr">
        <is>
          <t>84.68280-52</t>
        </is>
      </c>
      <c r="D346" t="inlineStr">
        <is>
          <t>16/01/1977</t>
        </is>
      </c>
      <c r="E346" t="inlineStr">
        <is>
          <t>Waalbrugstraat 22, 3550 Heusden-Zolder</t>
        </is>
      </c>
      <c r="F346" t="inlineStr">
        <is>
          <t>Rosa,Patricia</t>
        </is>
      </c>
      <c r="G346" t="n">
        <v>134.35</v>
      </c>
      <c r="H346" t="n">
        <v>13</v>
      </c>
      <c r="I346" t="inlineStr">
        <is>
          <t>Bancontact</t>
        </is>
      </c>
      <c r="J346" t="inlineStr">
        <is>
          <t>nee</t>
        </is>
      </c>
      <c r="K346" t="inlineStr">
        <is>
          <t>ja</t>
        </is>
      </c>
      <c r="L346" t="inlineStr">
        <is>
          <t>ja</t>
        </is>
      </c>
      <c r="M346" t="inlineStr">
        <is>
          <t>nee</t>
        </is>
      </c>
      <c r="N346" t="inlineStr">
        <is>
          <t>ja</t>
        </is>
      </c>
      <c r="O346" t="inlineStr">
        <is>
          <t>Geen dieet</t>
        </is>
      </c>
      <c r="Q346">
        <f>LEN(G346)-LEN(SUBSTITUTE(G346,",",""))+1</f>
        <v/>
      </c>
      <c r="R346">
        <f>SWITCH(I346, "Zelden", 1, "Af en toe", 4, "Regelmatig", 8, "Vaak", 12)</f>
        <v/>
      </c>
      <c r="S346">
        <f>AVERAGE(--(K346="ja"), --(L346="ja"), --(M346="ja"), --(N346="ja"), --(O346="ja"))*10</f>
        <v/>
      </c>
      <c r="T346">
        <f>IF(S346&gt;=7, "Tevreden", "Ontevreden")</f>
        <v/>
      </c>
    </row>
    <row r="347">
      <c r="A347" t="inlineStr">
        <is>
          <t>Juan</t>
        </is>
      </c>
      <c r="B347" t="inlineStr">
        <is>
          <t>Cornet</t>
        </is>
      </c>
      <c r="C347" t="inlineStr">
        <is>
          <t>120.71201-46</t>
        </is>
      </c>
      <c r="D347" t="inlineStr">
        <is>
          <t>25/09/1980</t>
        </is>
      </c>
      <c r="E347" t="inlineStr">
        <is>
          <t>Drieselstraat 55, 3890 Vorden</t>
        </is>
      </c>
      <c r="F347" t="inlineStr">
        <is>
          <t>Juan,Yavin,Jean-Paul</t>
        </is>
      </c>
      <c r="G347" t="n">
        <v>132.43</v>
      </c>
      <c r="H347" t="n">
        <v>16</v>
      </c>
      <c r="I347" t="inlineStr">
        <is>
          <t>Bancontact</t>
        </is>
      </c>
      <c r="J347" t="inlineStr">
        <is>
          <t>nee</t>
        </is>
      </c>
      <c r="K347" t="inlineStr">
        <is>
          <t>ja</t>
        </is>
      </c>
      <c r="L347" t="inlineStr">
        <is>
          <t>nee</t>
        </is>
      </c>
      <c r="M347" t="inlineStr">
        <is>
          <t>ja</t>
        </is>
      </c>
      <c r="N347" t="inlineStr">
        <is>
          <t>nee</t>
        </is>
      </c>
      <c r="O347" t="inlineStr">
        <is>
          <t>Geen dieet</t>
        </is>
      </c>
      <c r="Q347">
        <f>LEN(G347)-LEN(SUBSTITUTE(G347,",",""))+1</f>
        <v/>
      </c>
      <c r="R347">
        <f>SWITCH(I347, "Zelden", 1, "Af en toe", 4, "Regelmatig", 8, "Vaak", 12)</f>
        <v/>
      </c>
      <c r="S347">
        <f>AVERAGE(--(K347="ja"), --(L347="ja"), --(M347="ja"), --(N347="ja"), --(O347="ja"))*10</f>
        <v/>
      </c>
      <c r="T347">
        <f>IF(S347&gt;=7, "Tevreden", "Ontevreden")</f>
        <v/>
      </c>
    </row>
    <row r="348">
      <c r="A348" t="inlineStr">
        <is>
          <t>Vicky</t>
        </is>
      </c>
      <c r="B348" t="inlineStr">
        <is>
          <t>Peeters</t>
        </is>
      </c>
      <c r="C348" t="inlineStr">
        <is>
          <t>417.28979-19</t>
        </is>
      </c>
      <c r="D348" t="inlineStr">
        <is>
          <t>19/01/2004</t>
        </is>
      </c>
      <c r="E348" t="inlineStr">
        <is>
          <t>Bomastraat 72, 3900 Overpelt</t>
        </is>
      </c>
      <c r="F348" t="inlineStr">
        <is>
          <t>Vicky,Adeline</t>
        </is>
      </c>
      <c r="G348" t="n">
        <v>128.69</v>
      </c>
      <c r="H348" t="n">
        <v>7</v>
      </c>
      <c r="I348" t="inlineStr">
        <is>
          <t>Cash</t>
        </is>
      </c>
      <c r="J348" t="inlineStr">
        <is>
          <t>ja</t>
        </is>
      </c>
      <c r="K348" t="inlineStr">
        <is>
          <t>nee</t>
        </is>
      </c>
      <c r="L348" t="inlineStr">
        <is>
          <t>ja</t>
        </is>
      </c>
      <c r="M348" t="inlineStr">
        <is>
          <t>nee</t>
        </is>
      </c>
      <c r="N348" t="inlineStr">
        <is>
          <t>nee</t>
        </is>
      </c>
      <c r="O348" t="inlineStr">
        <is>
          <t>Geen dieet</t>
        </is>
      </c>
      <c r="Q348">
        <f>LEN(G348)-LEN(SUBSTITUTE(G348,",",""))+1</f>
        <v/>
      </c>
      <c r="R348">
        <f>SWITCH(I348, "Zelden", 1, "Af en toe", 4, "Regelmatig", 8, "Vaak", 12)</f>
        <v/>
      </c>
      <c r="S348">
        <f>AVERAGE(--(K348="ja"), --(L348="ja"), --(M348="ja"), --(N348="ja"), --(O348="ja"))*10</f>
        <v/>
      </c>
      <c r="T348">
        <f>IF(S348&gt;=7, "Tevreden", "Ontevreden")</f>
        <v/>
      </c>
    </row>
    <row r="349">
      <c r="A349" t="inlineStr">
        <is>
          <t>Jack</t>
        </is>
      </c>
      <c r="B349" t="inlineStr">
        <is>
          <t>Hubert</t>
        </is>
      </c>
      <c r="C349" t="inlineStr">
        <is>
          <t>877.77552-37</t>
        </is>
      </c>
      <c r="D349" t="inlineStr">
        <is>
          <t>06/10/1973</t>
        </is>
      </c>
      <c r="E349" t="inlineStr">
        <is>
          <t>Destelbergenstraat 26, 3770 Oud-Vroenhoven</t>
        </is>
      </c>
      <c r="F349" t="inlineStr">
        <is>
          <t>Jack,Benjamin</t>
        </is>
      </c>
      <c r="G349" t="n">
        <v>161.5</v>
      </c>
      <c r="H349" t="n">
        <v>1</v>
      </c>
      <c r="I349" t="inlineStr">
        <is>
          <t>Payconiq</t>
        </is>
      </c>
      <c r="J349" t="inlineStr">
        <is>
          <t>ja</t>
        </is>
      </c>
      <c r="K349" t="inlineStr">
        <is>
          <t>ja</t>
        </is>
      </c>
      <c r="L349" t="inlineStr">
        <is>
          <t>ja</t>
        </is>
      </c>
      <c r="M349" t="inlineStr">
        <is>
          <t>ja</t>
        </is>
      </c>
      <c r="N349" t="inlineStr">
        <is>
          <t>ja</t>
        </is>
      </c>
      <c r="O349" t="inlineStr">
        <is>
          <t>Vegetarisch</t>
        </is>
      </c>
      <c r="Q349">
        <f>LEN(G349)-LEN(SUBSTITUTE(G349,",",""))+1</f>
        <v/>
      </c>
      <c r="R349">
        <f>SWITCH(I349, "Zelden", 1, "Af en toe", 4, "Regelmatig", 8, "Vaak", 12)</f>
        <v/>
      </c>
      <c r="S349">
        <f>AVERAGE(--(K349="ja"), --(L349="ja"), --(M349="ja"), --(N349="ja"), --(O349="ja"))*10</f>
        <v/>
      </c>
      <c r="T349">
        <f>IF(S349&gt;=7, "Tevreden", "Ontevreden")</f>
        <v/>
      </c>
    </row>
    <row r="350">
      <c r="A350" t="inlineStr">
        <is>
          <t>Mariet</t>
        </is>
      </c>
      <c r="B350" t="inlineStr">
        <is>
          <t>Coppens</t>
        </is>
      </c>
      <c r="C350" t="inlineStr">
        <is>
          <t>826.98390-13</t>
        </is>
      </c>
      <c r="D350" t="inlineStr">
        <is>
          <t>13/03/1979</t>
        </is>
      </c>
      <c r="E350" t="inlineStr">
        <is>
          <t>Kikvortstraat 8, 3560 Lummen</t>
        </is>
      </c>
      <c r="F350" t="inlineStr">
        <is>
          <t>Mariet,Shihab</t>
        </is>
      </c>
      <c r="G350" t="n">
        <v>98.11</v>
      </c>
      <c r="H350" t="n">
        <v>21</v>
      </c>
      <c r="I350" t="inlineStr">
        <is>
          <t>Payconiq</t>
        </is>
      </c>
      <c r="J350" t="inlineStr">
        <is>
          <t>ja</t>
        </is>
      </c>
      <c r="K350" t="inlineStr">
        <is>
          <t>ja</t>
        </is>
      </c>
      <c r="L350" t="inlineStr">
        <is>
          <t>ja</t>
        </is>
      </c>
      <c r="M350" t="inlineStr">
        <is>
          <t>ja</t>
        </is>
      </c>
      <c r="N350" t="inlineStr">
        <is>
          <t>nee</t>
        </is>
      </c>
      <c r="O350" t="inlineStr">
        <is>
          <t>Geen dieet</t>
        </is>
      </c>
      <c r="Q350">
        <f>LEN(G350)-LEN(SUBSTITUTE(G350,",",""))+1</f>
        <v/>
      </c>
      <c r="R350">
        <f>SWITCH(I350, "Zelden", 1, "Af en toe", 4, "Regelmatig", 8, "Vaak", 12)</f>
        <v/>
      </c>
      <c r="S350">
        <f>AVERAGE(--(K350="ja"), --(L350="ja"), --(M350="ja"), --(N350="ja"), --(O350="ja"))*10</f>
        <v/>
      </c>
      <c r="T350">
        <f>IF(S350&gt;=7, "Tevreden", "Ontevreden")</f>
        <v/>
      </c>
    </row>
    <row r="351">
      <c r="A351" t="inlineStr">
        <is>
          <t>Freddy</t>
        </is>
      </c>
      <c r="B351" t="inlineStr">
        <is>
          <t>Maes</t>
        </is>
      </c>
      <c r="C351" t="inlineStr">
        <is>
          <t>210.90862-26</t>
        </is>
      </c>
      <c r="D351" t="inlineStr">
        <is>
          <t>10/07/1978</t>
        </is>
      </c>
      <c r="E351" t="inlineStr">
        <is>
          <t>Mail 140, 3890 Gingelom</t>
        </is>
      </c>
      <c r="F351" t="inlineStr">
        <is>
          <t>Freddy,Sulayman</t>
        </is>
      </c>
      <c r="G351" t="n">
        <v>54.08</v>
      </c>
      <c r="H351" t="n">
        <v>13</v>
      </c>
      <c r="I351" t="inlineStr">
        <is>
          <t>Bancontact</t>
        </is>
      </c>
      <c r="J351" t="inlineStr">
        <is>
          <t>ja</t>
        </is>
      </c>
      <c r="K351" t="inlineStr">
        <is>
          <t>ja</t>
        </is>
      </c>
      <c r="L351" t="inlineStr">
        <is>
          <t>nee</t>
        </is>
      </c>
      <c r="M351" t="inlineStr">
        <is>
          <t>nee</t>
        </is>
      </c>
      <c r="N351" t="inlineStr">
        <is>
          <t>nee</t>
        </is>
      </c>
      <c r="O351" t="inlineStr">
        <is>
          <t>Geen dieet</t>
        </is>
      </c>
      <c r="Q351">
        <f>LEN(G351)-LEN(SUBSTITUTE(G351,",",""))+1</f>
        <v/>
      </c>
      <c r="R351">
        <f>SWITCH(I351, "Zelden", 1, "Af en toe", 4, "Regelmatig", 8, "Vaak", 12)</f>
        <v/>
      </c>
      <c r="S351">
        <f>AVERAGE(--(K351="ja"), --(L351="ja"), --(M351="ja"), --(N351="ja"), --(O351="ja"))*10</f>
        <v/>
      </c>
      <c r="T351">
        <f>IF(S351&gt;=7, "Tevreden", "Ontevreden")</f>
        <v/>
      </c>
    </row>
    <row r="352">
      <c r="A352" t="inlineStr">
        <is>
          <t>Willy</t>
        </is>
      </c>
      <c r="B352" t="inlineStr">
        <is>
          <t>Verhulst</t>
        </is>
      </c>
      <c r="C352" t="inlineStr">
        <is>
          <t>770.46425-67</t>
        </is>
      </c>
      <c r="D352" t="inlineStr">
        <is>
          <t>26/10/1945</t>
        </is>
      </c>
      <c r="E352" t="inlineStr">
        <is>
          <t>Lourdestraat 47, 3500 Hasselt</t>
        </is>
      </c>
      <c r="F352" t="inlineStr">
        <is>
          <t>Willy,Zoë</t>
        </is>
      </c>
      <c r="G352" t="n">
        <v>78.23999999999999</v>
      </c>
      <c r="H352" t="n">
        <v>3</v>
      </c>
      <c r="I352" t="inlineStr">
        <is>
          <t>Bancontact</t>
        </is>
      </c>
      <c r="J352" t="inlineStr">
        <is>
          <t>ja</t>
        </is>
      </c>
      <c r="K352" t="inlineStr">
        <is>
          <t>ja</t>
        </is>
      </c>
      <c r="L352" t="inlineStr">
        <is>
          <t>ja</t>
        </is>
      </c>
      <c r="M352" t="inlineStr">
        <is>
          <t>ja</t>
        </is>
      </c>
      <c r="N352" t="inlineStr">
        <is>
          <t>ja</t>
        </is>
      </c>
      <c r="O352" t="inlineStr">
        <is>
          <t>Geen dieet</t>
        </is>
      </c>
      <c r="Q352">
        <f>LEN(G352)-LEN(SUBSTITUTE(G352,",",""))+1</f>
        <v/>
      </c>
      <c r="R352">
        <f>SWITCH(I352, "Zelden", 1, "Af en toe", 4, "Regelmatig", 8, "Vaak", 12)</f>
        <v/>
      </c>
      <c r="S352">
        <f>AVERAGE(--(K352="ja"), --(L352="ja"), --(M352="ja"), --(N352="ja"), --(O352="ja"))*10</f>
        <v/>
      </c>
      <c r="T352">
        <f>IF(S352&gt;=7, "Tevreden", "Ontevreden")</f>
        <v/>
      </c>
    </row>
    <row r="353">
      <c r="A353" t="inlineStr">
        <is>
          <t>Robbe</t>
        </is>
      </c>
      <c r="B353" t="inlineStr">
        <is>
          <t>De bruyn</t>
        </is>
      </c>
      <c r="C353" t="inlineStr">
        <is>
          <t>372.27939-78</t>
        </is>
      </c>
      <c r="D353" t="inlineStr">
        <is>
          <t>23/02/1992</t>
        </is>
      </c>
      <c r="E353" t="inlineStr">
        <is>
          <t>Gebroeders De Cockstraat 128, 3550 Heusden-Zolder</t>
        </is>
      </c>
      <c r="F353" t="inlineStr">
        <is>
          <t>Robbe,Nathan,Louise,Kevin</t>
        </is>
      </c>
      <c r="G353" t="n">
        <v>63.35</v>
      </c>
      <c r="H353" t="n">
        <v>6</v>
      </c>
      <c r="I353" t="inlineStr">
        <is>
          <t>Bancontact</t>
        </is>
      </c>
      <c r="J353" t="inlineStr">
        <is>
          <t>ja</t>
        </is>
      </c>
      <c r="K353" t="inlineStr">
        <is>
          <t>ja</t>
        </is>
      </c>
      <c r="L353" t="inlineStr">
        <is>
          <t>nee</t>
        </is>
      </c>
      <c r="M353" t="inlineStr">
        <is>
          <t>nee</t>
        </is>
      </c>
      <c r="N353" t="inlineStr">
        <is>
          <t>ja</t>
        </is>
      </c>
      <c r="O353" t="inlineStr">
        <is>
          <t>Geen dieet</t>
        </is>
      </c>
      <c r="Q353">
        <f>LEN(G353)-LEN(SUBSTITUTE(G353,",",""))+1</f>
        <v/>
      </c>
      <c r="R353">
        <f>SWITCH(I353, "Zelden", 1, "Af en toe", 4, "Regelmatig", 8, "Vaak", 12)</f>
        <v/>
      </c>
      <c r="S353">
        <f>AVERAGE(--(K353="ja"), --(L353="ja"), --(M353="ja"), --(N353="ja"), --(O353="ja"))*10</f>
        <v/>
      </c>
      <c r="T353">
        <f>IF(S353&gt;=7, "Tevreden", "Ontevreden")</f>
        <v/>
      </c>
    </row>
    <row r="354">
      <c r="A354" t="inlineStr">
        <is>
          <t>Mathieu</t>
        </is>
      </c>
      <c r="B354" t="inlineStr">
        <is>
          <t>De roeck</t>
        </is>
      </c>
      <c r="C354" t="inlineStr">
        <is>
          <t>934.31864-53</t>
        </is>
      </c>
      <c r="D354" t="inlineStr">
        <is>
          <t>05/03/1978</t>
        </is>
      </c>
      <c r="E354" t="inlineStr">
        <is>
          <t>Paul De Smet De Naeyerpl 1, 3550 Heusden-Zolder</t>
        </is>
      </c>
      <c r="F354" t="inlineStr">
        <is>
          <t>Mathieu,Alain,Florian</t>
        </is>
      </c>
      <c r="G354" t="n">
        <v>114.58</v>
      </c>
      <c r="H354" t="n">
        <v>11</v>
      </c>
      <c r="I354" t="inlineStr">
        <is>
          <t>Bancontact</t>
        </is>
      </c>
      <c r="J354" t="inlineStr">
        <is>
          <t>nee</t>
        </is>
      </c>
      <c r="K354" t="inlineStr">
        <is>
          <t>nee</t>
        </is>
      </c>
      <c r="L354" t="inlineStr">
        <is>
          <t>nee</t>
        </is>
      </c>
      <c r="M354" t="inlineStr">
        <is>
          <t>ja</t>
        </is>
      </c>
      <c r="N354" t="inlineStr">
        <is>
          <t>ja</t>
        </is>
      </c>
      <c r="O354" t="inlineStr">
        <is>
          <t>Geen dieet</t>
        </is>
      </c>
      <c r="Q354">
        <f>LEN(G354)-LEN(SUBSTITUTE(G354,",",""))+1</f>
        <v/>
      </c>
      <c r="R354">
        <f>SWITCH(I354, "Zelden", 1, "Af en toe", 4, "Regelmatig", 8, "Vaak", 12)</f>
        <v/>
      </c>
      <c r="S354">
        <f>AVERAGE(--(K354="ja"), --(L354="ja"), --(M354="ja"), --(N354="ja"), --(O354="ja"))*10</f>
        <v/>
      </c>
      <c r="T354">
        <f>IF(S354&gt;=7, "Tevreden", "Ontevreden")</f>
        <v/>
      </c>
    </row>
    <row r="355">
      <c r="A355" t="inlineStr">
        <is>
          <t>Muriel</t>
        </is>
      </c>
      <c r="B355" t="inlineStr">
        <is>
          <t>Charlier</t>
        </is>
      </c>
      <c r="C355" t="inlineStr">
        <is>
          <t>464.70434-29</t>
        </is>
      </c>
      <c r="D355" t="inlineStr">
        <is>
          <t>24/07/1997</t>
        </is>
      </c>
      <c r="E355" t="inlineStr">
        <is>
          <t>Noordveenakkerstraat 49, 3630 Maasmechelen</t>
        </is>
      </c>
      <c r="F355" t="inlineStr">
        <is>
          <t>Muriel,Hanna,Dominique,Eric,Lucas,Sayfdine,Simonne</t>
        </is>
      </c>
      <c r="G355" t="n">
        <v>269.66</v>
      </c>
      <c r="H355" t="n">
        <v>9</v>
      </c>
      <c r="I355" t="inlineStr">
        <is>
          <t>Bancontact</t>
        </is>
      </c>
      <c r="J355" t="inlineStr">
        <is>
          <t>ja</t>
        </is>
      </c>
      <c r="K355" t="inlineStr">
        <is>
          <t>ja</t>
        </is>
      </c>
      <c r="L355" t="inlineStr">
        <is>
          <t>ja</t>
        </is>
      </c>
      <c r="M355" t="inlineStr">
        <is>
          <t>ja</t>
        </is>
      </c>
      <c r="N355" t="inlineStr">
        <is>
          <t>nee</t>
        </is>
      </c>
      <c r="O355" t="inlineStr">
        <is>
          <t>Vegetarisch</t>
        </is>
      </c>
      <c r="Q355">
        <f>LEN(G355)-LEN(SUBSTITUTE(G355,",",""))+1</f>
        <v/>
      </c>
      <c r="R355">
        <f>SWITCH(I355, "Zelden", 1, "Af en toe", 4, "Regelmatig", 8, "Vaak", 12)</f>
        <v/>
      </c>
      <c r="S355">
        <f>AVERAGE(--(K355="ja"), --(L355="ja"), --(M355="ja"), --(N355="ja"), --(O355="ja"))*10</f>
        <v/>
      </c>
      <c r="T355">
        <f>IF(S355&gt;=7, "Tevreden", "Ontevreden")</f>
        <v/>
      </c>
    </row>
    <row r="356">
      <c r="A356" t="inlineStr">
        <is>
          <t>Théa</t>
        </is>
      </c>
      <c r="B356" t="inlineStr">
        <is>
          <t>Gilson</t>
        </is>
      </c>
      <c r="C356" t="inlineStr">
        <is>
          <t>563.60501-57</t>
        </is>
      </c>
      <c r="D356" t="inlineStr">
        <is>
          <t>30/10/1991</t>
        </is>
      </c>
      <c r="E356" t="inlineStr">
        <is>
          <t>Hoornstraat 2, 3600 Genk</t>
        </is>
      </c>
      <c r="F356" t="inlineStr">
        <is>
          <t>Théa,Laïla</t>
        </is>
      </c>
      <c r="G356" t="n">
        <v>104.44</v>
      </c>
      <c r="H356" t="n">
        <v>18</v>
      </c>
      <c r="I356" t="inlineStr">
        <is>
          <t>Bancontact</t>
        </is>
      </c>
      <c r="J356" t="inlineStr">
        <is>
          <t>ja</t>
        </is>
      </c>
      <c r="K356" t="inlineStr">
        <is>
          <t>ja</t>
        </is>
      </c>
      <c r="L356" t="inlineStr">
        <is>
          <t>ja</t>
        </is>
      </c>
      <c r="M356" t="inlineStr">
        <is>
          <t>ja</t>
        </is>
      </c>
      <c r="N356" t="inlineStr">
        <is>
          <t>ja</t>
        </is>
      </c>
      <c r="O356" t="inlineStr">
        <is>
          <t>Geen dieet</t>
        </is>
      </c>
      <c r="Q356">
        <f>LEN(G356)-LEN(SUBSTITUTE(G356,",",""))+1</f>
        <v/>
      </c>
      <c r="R356">
        <f>SWITCH(I356, "Zelden", 1, "Af en toe", 4, "Regelmatig", 8, "Vaak", 12)</f>
        <v/>
      </c>
      <c r="S356">
        <f>AVERAGE(--(K356="ja"), --(L356="ja"), --(M356="ja"), --(N356="ja"), --(O356="ja"))*10</f>
        <v/>
      </c>
      <c r="T356">
        <f>IF(S356&gt;=7, "Tevreden", "Ontevreden")</f>
        <v/>
      </c>
    </row>
    <row r="357">
      <c r="A357" t="inlineStr">
        <is>
          <t>Jean</t>
        </is>
      </c>
      <c r="B357" t="inlineStr">
        <is>
          <t>Lievens</t>
        </is>
      </c>
      <c r="C357" t="inlineStr">
        <is>
          <t>247.78000-66</t>
        </is>
      </c>
      <c r="D357" t="inlineStr">
        <is>
          <t>27/03/1947</t>
        </is>
      </c>
      <c r="E357" t="inlineStr">
        <is>
          <t>Dok Zuid 55, 3970 Leopoldsburg</t>
        </is>
      </c>
      <c r="F357" t="inlineStr">
        <is>
          <t>Jean,Idalie,Susana,Guy</t>
        </is>
      </c>
      <c r="G357" t="n">
        <v>116.94</v>
      </c>
      <c r="H357" t="n">
        <v>3</v>
      </c>
      <c r="I357" t="inlineStr">
        <is>
          <t>Cash</t>
        </is>
      </c>
      <c r="J357" t="inlineStr">
        <is>
          <t>nee</t>
        </is>
      </c>
      <c r="K357" t="inlineStr">
        <is>
          <t>ja</t>
        </is>
      </c>
      <c r="L357" t="inlineStr">
        <is>
          <t>nee</t>
        </is>
      </c>
      <c r="M357" t="inlineStr">
        <is>
          <t>nee</t>
        </is>
      </c>
      <c r="N357" t="inlineStr">
        <is>
          <t>ja</t>
        </is>
      </c>
      <c r="O357" t="inlineStr">
        <is>
          <t>Geen dieet</t>
        </is>
      </c>
      <c r="Q357">
        <f>LEN(G357)-LEN(SUBSTITUTE(G357,",",""))+1</f>
        <v/>
      </c>
      <c r="R357">
        <f>SWITCH(I357, "Zelden", 1, "Af en toe", 4, "Regelmatig", 8, "Vaak", 12)</f>
        <v/>
      </c>
      <c r="S357">
        <f>AVERAGE(--(K357="ja"), --(L357="ja"), --(M357="ja"), --(N357="ja"), --(O357="ja"))*10</f>
        <v/>
      </c>
      <c r="T357">
        <f>IF(S357&gt;=7, "Tevreden", "Ontevreden")</f>
        <v/>
      </c>
    </row>
    <row r="358">
      <c r="A358" t="inlineStr">
        <is>
          <t>Daniel</t>
        </is>
      </c>
      <c r="B358" t="inlineStr">
        <is>
          <t>Peeters</t>
        </is>
      </c>
      <c r="C358" t="inlineStr">
        <is>
          <t>530.76491-55</t>
        </is>
      </c>
      <c r="D358" t="inlineStr">
        <is>
          <t>05/05/1992</t>
        </is>
      </c>
      <c r="E358" t="inlineStr">
        <is>
          <t>Asselsstraat 21, 3640 Kinrooi</t>
        </is>
      </c>
      <c r="F358" t="inlineStr">
        <is>
          <t>Daniel,Carina</t>
        </is>
      </c>
      <c r="G358" t="n">
        <v>125.34</v>
      </c>
      <c r="H358" t="n">
        <v>1</v>
      </c>
      <c r="I358" t="inlineStr">
        <is>
          <t>Payconiq</t>
        </is>
      </c>
      <c r="J358" t="inlineStr">
        <is>
          <t>nee</t>
        </is>
      </c>
      <c r="K358" t="inlineStr">
        <is>
          <t>ja</t>
        </is>
      </c>
      <c r="L358" t="inlineStr">
        <is>
          <t>ja</t>
        </is>
      </c>
      <c r="M358" t="inlineStr">
        <is>
          <t>nee</t>
        </is>
      </c>
      <c r="N358" t="inlineStr">
        <is>
          <t>nee</t>
        </is>
      </c>
      <c r="O358" t="inlineStr">
        <is>
          <t>Geen dieet</t>
        </is>
      </c>
      <c r="Q358">
        <f>LEN(G358)-LEN(SUBSTITUTE(G358,",",""))+1</f>
        <v/>
      </c>
      <c r="R358">
        <f>SWITCH(I358, "Zelden", 1, "Af en toe", 4, "Regelmatig", 8, "Vaak", 12)</f>
        <v/>
      </c>
      <c r="S358">
        <f>AVERAGE(--(K358="ja"), --(L358="ja"), --(M358="ja"), --(N358="ja"), --(O358="ja"))*10</f>
        <v/>
      </c>
      <c r="T358">
        <f>IF(S358&gt;=7, "Tevreden", "Ontevreden")</f>
        <v/>
      </c>
    </row>
    <row r="359">
      <c r="A359" t="inlineStr">
        <is>
          <t>Catharina</t>
        </is>
      </c>
      <c r="B359" t="inlineStr">
        <is>
          <t>Leroy</t>
        </is>
      </c>
      <c r="C359" t="inlineStr">
        <is>
          <t>382.63957-86</t>
        </is>
      </c>
      <c r="D359" t="inlineStr">
        <is>
          <t>08/10/2006</t>
        </is>
      </c>
      <c r="E359" t="inlineStr">
        <is>
          <t>Ottergemsesteenweg 78, 3550 Heusden-Zolder</t>
        </is>
      </c>
      <c r="F359" t="inlineStr">
        <is>
          <t>Catharina</t>
        </is>
      </c>
      <c r="G359" t="n">
        <v>89.81</v>
      </c>
      <c r="H359" t="n">
        <v>9</v>
      </c>
      <c r="I359" t="inlineStr">
        <is>
          <t>Cash</t>
        </is>
      </c>
      <c r="J359" t="inlineStr">
        <is>
          <t>ja</t>
        </is>
      </c>
      <c r="K359" t="inlineStr">
        <is>
          <t>nee</t>
        </is>
      </c>
      <c r="L359" t="inlineStr">
        <is>
          <t>ja</t>
        </is>
      </c>
      <c r="M359" t="inlineStr">
        <is>
          <t>ja</t>
        </is>
      </c>
      <c r="N359" t="inlineStr">
        <is>
          <t>ja</t>
        </is>
      </c>
      <c r="O359" t="inlineStr">
        <is>
          <t>Veganistisch</t>
        </is>
      </c>
      <c r="Q359">
        <f>LEN(G359)-LEN(SUBSTITUTE(G359,",",""))+1</f>
        <v/>
      </c>
      <c r="R359">
        <f>SWITCH(I359, "Zelden", 1, "Af en toe", 4, "Regelmatig", 8, "Vaak", 12)</f>
        <v/>
      </c>
      <c r="S359">
        <f>AVERAGE(--(K359="ja"), --(L359="ja"), --(M359="ja"), --(N359="ja"), --(O359="ja"))*10</f>
        <v/>
      </c>
      <c r="T359">
        <f>IF(S359&gt;=7, "Tevreden", "Ontevreden")</f>
        <v/>
      </c>
    </row>
    <row r="360">
      <c r="A360" t="inlineStr">
        <is>
          <t>Tony</t>
        </is>
      </c>
      <c r="B360" t="inlineStr">
        <is>
          <t>Jacobs</t>
        </is>
      </c>
      <c r="C360" t="inlineStr">
        <is>
          <t>473.73300-35</t>
        </is>
      </c>
      <c r="D360" t="inlineStr">
        <is>
          <t>28/01/1955</t>
        </is>
      </c>
      <c r="E360" t="inlineStr">
        <is>
          <t>Boeierstraat 51, 3730 Hoeselt</t>
        </is>
      </c>
      <c r="F360" t="inlineStr">
        <is>
          <t>Tony,Denise,Anthony</t>
        </is>
      </c>
      <c r="G360" t="n">
        <v>80.36</v>
      </c>
      <c r="H360" t="n">
        <v>2</v>
      </c>
      <c r="I360" t="inlineStr">
        <is>
          <t>Payconiq</t>
        </is>
      </c>
      <c r="J360" t="inlineStr">
        <is>
          <t>nee</t>
        </is>
      </c>
      <c r="K360" t="inlineStr">
        <is>
          <t>ja</t>
        </is>
      </c>
      <c r="L360" t="inlineStr">
        <is>
          <t>ja</t>
        </is>
      </c>
      <c r="M360" t="inlineStr">
        <is>
          <t>nee</t>
        </is>
      </c>
      <c r="N360" t="inlineStr">
        <is>
          <t>ja</t>
        </is>
      </c>
      <c r="O360" t="inlineStr">
        <is>
          <t>Geen dieet</t>
        </is>
      </c>
      <c r="Q360">
        <f>LEN(G360)-LEN(SUBSTITUTE(G360,",",""))+1</f>
        <v/>
      </c>
      <c r="R360">
        <f>SWITCH(I360, "Zelden", 1, "Af en toe", 4, "Regelmatig", 8, "Vaak", 12)</f>
        <v/>
      </c>
      <c r="S360">
        <f>AVERAGE(--(K360="ja"), --(L360="ja"), --(M360="ja"), --(N360="ja"), --(O360="ja"))*10</f>
        <v/>
      </c>
      <c r="T360">
        <f>IF(S360&gt;=7, "Tevreden", "Ontevreden")</f>
        <v/>
      </c>
    </row>
    <row r="361">
      <c r="A361" t="inlineStr">
        <is>
          <t>Emi</t>
        </is>
      </c>
      <c r="B361" t="inlineStr">
        <is>
          <t>Vanhoutte</t>
        </is>
      </c>
      <c r="C361" t="inlineStr">
        <is>
          <t>845.83380-16</t>
        </is>
      </c>
      <c r="D361" t="inlineStr">
        <is>
          <t>02/02/1981</t>
        </is>
      </c>
      <c r="E361" t="inlineStr">
        <is>
          <t>Driepikkelstraat 55, 3550 Heusden-Zolder</t>
        </is>
      </c>
      <c r="F361" t="inlineStr">
        <is>
          <t>Emi,Léa,Kevin,Halil</t>
        </is>
      </c>
      <c r="G361" t="n">
        <v>190.14</v>
      </c>
      <c r="H361" t="n">
        <v>5</v>
      </c>
      <c r="I361" t="inlineStr">
        <is>
          <t>Bancontact</t>
        </is>
      </c>
      <c r="J361" t="inlineStr">
        <is>
          <t>ja</t>
        </is>
      </c>
      <c r="K361" t="inlineStr">
        <is>
          <t>ja</t>
        </is>
      </c>
      <c r="L361" t="inlineStr">
        <is>
          <t>ja</t>
        </is>
      </c>
      <c r="M361" t="inlineStr">
        <is>
          <t>ja</t>
        </is>
      </c>
      <c r="N361" t="inlineStr">
        <is>
          <t>ja</t>
        </is>
      </c>
      <c r="O361" t="inlineStr">
        <is>
          <t>Vegetarisch</t>
        </is>
      </c>
      <c r="Q361">
        <f>LEN(G361)-LEN(SUBSTITUTE(G361,",",""))+1</f>
        <v/>
      </c>
      <c r="R361">
        <f>SWITCH(I361, "Zelden", 1, "Af en toe", 4, "Regelmatig", 8, "Vaak", 12)</f>
        <v/>
      </c>
      <c r="S361">
        <f>AVERAGE(--(K361="ja"), --(L361="ja"), --(M361="ja"), --(N361="ja"), --(O361="ja"))*10</f>
        <v/>
      </c>
      <c r="T361">
        <f>IF(S361&gt;=7, "Tevreden", "Ontevreden")</f>
        <v/>
      </c>
    </row>
    <row r="362">
      <c r="A362" t="inlineStr">
        <is>
          <t>Julie</t>
        </is>
      </c>
      <c r="B362" t="inlineStr">
        <is>
          <t>Robert</t>
        </is>
      </c>
      <c r="C362" t="inlineStr">
        <is>
          <t>404.93360-17</t>
        </is>
      </c>
      <c r="D362" t="inlineStr">
        <is>
          <t>28/07/1987</t>
        </is>
      </c>
      <c r="E362" t="inlineStr">
        <is>
          <t>Eksaardserijweg 78, 3670 Meeuwen-Gruitrode</t>
        </is>
      </c>
      <c r="F362" t="inlineStr">
        <is>
          <t>Julie,Anne,Lisa</t>
        </is>
      </c>
      <c r="G362" t="n">
        <v>116.07</v>
      </c>
      <c r="H362" t="n">
        <v>3</v>
      </c>
      <c r="I362" t="inlineStr">
        <is>
          <t>Cash</t>
        </is>
      </c>
      <c r="J362" t="inlineStr">
        <is>
          <t>ja</t>
        </is>
      </c>
      <c r="K362" t="inlineStr">
        <is>
          <t>ja</t>
        </is>
      </c>
      <c r="L362" t="inlineStr">
        <is>
          <t>ja</t>
        </is>
      </c>
      <c r="M362" t="inlineStr">
        <is>
          <t>ja</t>
        </is>
      </c>
      <c r="N362" t="inlineStr">
        <is>
          <t>nee</t>
        </is>
      </c>
      <c r="O362" t="inlineStr">
        <is>
          <t>Vegetarisch</t>
        </is>
      </c>
      <c r="Q362">
        <f>LEN(G362)-LEN(SUBSTITUTE(G362,",",""))+1</f>
        <v/>
      </c>
      <c r="R362">
        <f>SWITCH(I362, "Zelden", 1, "Af en toe", 4, "Regelmatig", 8, "Vaak", 12)</f>
        <v/>
      </c>
      <c r="S362">
        <f>AVERAGE(--(K362="ja"), --(L362="ja"), --(M362="ja"), --(N362="ja"), --(O362="ja"))*10</f>
        <v/>
      </c>
      <c r="T362">
        <f>IF(S362&gt;=7, "Tevreden", "Ontevreden")</f>
        <v/>
      </c>
    </row>
    <row r="363">
      <c r="A363" t="inlineStr">
        <is>
          <t>Mustapha</t>
        </is>
      </c>
      <c r="B363" t="inlineStr">
        <is>
          <t>Peeters</t>
        </is>
      </c>
      <c r="C363" t="inlineStr">
        <is>
          <t>903.57134-47</t>
        </is>
      </c>
      <c r="D363" t="inlineStr">
        <is>
          <t>10/01/1963</t>
        </is>
      </c>
      <c r="E363" t="inlineStr">
        <is>
          <t>Hieveldstraat 1, 3920 Lommel</t>
        </is>
      </c>
      <c r="F363" t="inlineStr">
        <is>
          <t>Mustapha,Benjamin</t>
        </is>
      </c>
      <c r="G363" t="n">
        <v>241.86</v>
      </c>
      <c r="H363" t="n">
        <v>10</v>
      </c>
      <c r="I363" t="inlineStr">
        <is>
          <t>Bancontact</t>
        </is>
      </c>
      <c r="J363" t="inlineStr">
        <is>
          <t>ja</t>
        </is>
      </c>
      <c r="K363" t="inlineStr">
        <is>
          <t>ja</t>
        </is>
      </c>
      <c r="L363" t="inlineStr">
        <is>
          <t>ja</t>
        </is>
      </c>
      <c r="M363" t="inlineStr">
        <is>
          <t>nee</t>
        </is>
      </c>
      <c r="N363" t="inlineStr">
        <is>
          <t>ja</t>
        </is>
      </c>
      <c r="O363" t="inlineStr">
        <is>
          <t>Geen dieet</t>
        </is>
      </c>
      <c r="Q363">
        <f>LEN(G363)-LEN(SUBSTITUTE(G363,",",""))+1</f>
        <v/>
      </c>
      <c r="R363">
        <f>SWITCH(I363, "Zelden", 1, "Af en toe", 4, "Regelmatig", 8, "Vaak", 12)</f>
        <v/>
      </c>
      <c r="S363">
        <f>AVERAGE(--(K363="ja"), --(L363="ja"), --(M363="ja"), --(N363="ja"), --(O363="ja"))*10</f>
        <v/>
      </c>
      <c r="T363">
        <f>IF(S363&gt;=7, "Tevreden", "Ontevreden")</f>
        <v/>
      </c>
    </row>
    <row r="364">
      <c r="A364" t="inlineStr">
        <is>
          <t>Thomas</t>
        </is>
      </c>
      <c r="B364" t="inlineStr">
        <is>
          <t>Nijs</t>
        </is>
      </c>
      <c r="C364" t="inlineStr">
        <is>
          <t>910.73437-23</t>
        </is>
      </c>
      <c r="D364" t="inlineStr">
        <is>
          <t>23/12/1977</t>
        </is>
      </c>
      <c r="E364" t="inlineStr">
        <is>
          <t>Achilles Musschestraat 36, 3550 Heusden-Zolder</t>
        </is>
      </c>
      <c r="F364" t="inlineStr">
        <is>
          <t>Thomas,Romaysaa,Louise,Anca</t>
        </is>
      </c>
      <c r="G364" t="n">
        <v>160.54</v>
      </c>
      <c r="H364" t="n">
        <v>6</v>
      </c>
      <c r="I364" t="inlineStr">
        <is>
          <t>Payconiq</t>
        </is>
      </c>
      <c r="J364" t="inlineStr">
        <is>
          <t>ja</t>
        </is>
      </c>
      <c r="K364" t="inlineStr">
        <is>
          <t>nee</t>
        </is>
      </c>
      <c r="L364" t="inlineStr">
        <is>
          <t>ja</t>
        </is>
      </c>
      <c r="M364" t="inlineStr">
        <is>
          <t>nee</t>
        </is>
      </c>
      <c r="N364" t="inlineStr">
        <is>
          <t>ja</t>
        </is>
      </c>
      <c r="O364" t="inlineStr">
        <is>
          <t>Geen dieet</t>
        </is>
      </c>
      <c r="Q364">
        <f>LEN(G364)-LEN(SUBSTITUTE(G364,",",""))+1</f>
        <v/>
      </c>
      <c r="R364">
        <f>SWITCH(I364, "Zelden", 1, "Af en toe", 4, "Regelmatig", 8, "Vaak", 12)</f>
        <v/>
      </c>
      <c r="S364">
        <f>AVERAGE(--(K364="ja"), --(L364="ja"), --(M364="ja"), --(N364="ja"), --(O364="ja"))*10</f>
        <v/>
      </c>
      <c r="T364">
        <f>IF(S364&gt;=7, "Tevreden", "Ontevreden")</f>
        <v/>
      </c>
    </row>
    <row r="365">
      <c r="A365" t="inlineStr">
        <is>
          <t>Mohamed</t>
        </is>
      </c>
      <c r="B365" t="inlineStr">
        <is>
          <t>Nijs</t>
        </is>
      </c>
      <c r="C365" t="inlineStr">
        <is>
          <t>666.17641-50</t>
        </is>
      </c>
      <c r="D365" t="inlineStr">
        <is>
          <t>04/01/1950</t>
        </is>
      </c>
      <c r="E365" t="inlineStr">
        <is>
          <t>Notarisstraat 42, 3770 Riemst</t>
        </is>
      </c>
      <c r="F365" t="inlineStr">
        <is>
          <t>Mohamed,Lucas</t>
        </is>
      </c>
      <c r="G365" t="n">
        <v>20.24</v>
      </c>
      <c r="H365" t="n">
        <v>13</v>
      </c>
      <c r="I365" t="inlineStr">
        <is>
          <t>Cash</t>
        </is>
      </c>
      <c r="J365" t="inlineStr">
        <is>
          <t>nee</t>
        </is>
      </c>
      <c r="K365" t="inlineStr">
        <is>
          <t>nee</t>
        </is>
      </c>
      <c r="L365" t="inlineStr">
        <is>
          <t>ja</t>
        </is>
      </c>
      <c r="M365" t="inlineStr">
        <is>
          <t>nee</t>
        </is>
      </c>
      <c r="N365" t="inlineStr">
        <is>
          <t>ja</t>
        </is>
      </c>
      <c r="O365" t="inlineStr">
        <is>
          <t>Geen dieet</t>
        </is>
      </c>
      <c r="Q365">
        <f>LEN(G365)-LEN(SUBSTITUTE(G365,",",""))+1</f>
        <v/>
      </c>
      <c r="R365">
        <f>SWITCH(I365, "Zelden", 1, "Af en toe", 4, "Regelmatig", 8, "Vaak", 12)</f>
        <v/>
      </c>
      <c r="S365">
        <f>AVERAGE(--(K365="ja"), --(L365="ja"), --(M365="ja"), --(N365="ja"), --(O365="ja"))*10</f>
        <v/>
      </c>
      <c r="T365">
        <f>IF(S365&gt;=7, "Tevreden", "Ontevreden")</f>
        <v/>
      </c>
    </row>
    <row r="366">
      <c r="A366" t="inlineStr">
        <is>
          <t>Yahya</t>
        </is>
      </c>
      <c r="B366" t="inlineStr">
        <is>
          <t>Reynders</t>
        </is>
      </c>
      <c r="C366" t="inlineStr">
        <is>
          <t>727.50657-81</t>
        </is>
      </c>
      <c r="D366" t="inlineStr">
        <is>
          <t>07/08/1975</t>
        </is>
      </c>
      <c r="E366" t="inlineStr">
        <is>
          <t>Afsneedorp 52, 3620 Lanaken</t>
        </is>
      </c>
      <c r="F366" t="inlineStr">
        <is>
          <t>Yahya</t>
        </is>
      </c>
      <c r="G366" t="n">
        <v>50.46</v>
      </c>
      <c r="H366" t="n">
        <v>17</v>
      </c>
      <c r="I366" t="inlineStr">
        <is>
          <t>Bancontact</t>
        </is>
      </c>
      <c r="J366" t="inlineStr">
        <is>
          <t>nee</t>
        </is>
      </c>
      <c r="K366" t="inlineStr">
        <is>
          <t>ja</t>
        </is>
      </c>
      <c r="L366" t="inlineStr">
        <is>
          <t>nee</t>
        </is>
      </c>
      <c r="M366" t="inlineStr">
        <is>
          <t>ja</t>
        </is>
      </c>
      <c r="N366" t="inlineStr">
        <is>
          <t>ja</t>
        </is>
      </c>
      <c r="O366" t="inlineStr">
        <is>
          <t>Geen dieet</t>
        </is>
      </c>
      <c r="Q366">
        <f>LEN(G366)-LEN(SUBSTITUTE(G366,",",""))+1</f>
        <v/>
      </c>
      <c r="R366">
        <f>SWITCH(I366, "Zelden", 1, "Af en toe", 4, "Regelmatig", 8, "Vaak", 12)</f>
        <v/>
      </c>
      <c r="S366">
        <f>AVERAGE(--(K366="ja"), --(L366="ja"), --(M366="ja"), --(N366="ja"), --(O366="ja"))*10</f>
        <v/>
      </c>
      <c r="T366">
        <f>IF(S366&gt;=7, "Tevreden", "Ontevreden")</f>
        <v/>
      </c>
    </row>
    <row r="367">
      <c r="A367" t="inlineStr">
        <is>
          <t>Ludivine</t>
        </is>
      </c>
      <c r="B367" t="inlineStr">
        <is>
          <t>Delvaux</t>
        </is>
      </c>
      <c r="C367" t="inlineStr">
        <is>
          <t>648.99783-44</t>
        </is>
      </c>
      <c r="D367" t="inlineStr">
        <is>
          <t>13/10/1988</t>
        </is>
      </c>
      <c r="E367" t="inlineStr">
        <is>
          <t>Martelaarslaan 14, 3831 Herten</t>
        </is>
      </c>
      <c r="F367" t="inlineStr">
        <is>
          <t>Ludivine,Madeleine</t>
        </is>
      </c>
      <c r="G367" t="n">
        <v>77.23999999999999</v>
      </c>
      <c r="H367" t="n">
        <v>17</v>
      </c>
      <c r="I367" t="inlineStr">
        <is>
          <t>Bancontact</t>
        </is>
      </c>
      <c r="J367" t="inlineStr">
        <is>
          <t>ja</t>
        </is>
      </c>
      <c r="K367" t="inlineStr">
        <is>
          <t>nee</t>
        </is>
      </c>
      <c r="L367" t="inlineStr">
        <is>
          <t>ja</t>
        </is>
      </c>
      <c r="M367" t="inlineStr">
        <is>
          <t>nee</t>
        </is>
      </c>
      <c r="N367" t="inlineStr">
        <is>
          <t>ja</t>
        </is>
      </c>
      <c r="O367" t="inlineStr">
        <is>
          <t>Geen dieet</t>
        </is>
      </c>
      <c r="Q367">
        <f>LEN(G367)-LEN(SUBSTITUTE(G367,",",""))+1</f>
        <v/>
      </c>
      <c r="R367">
        <f>SWITCH(I367, "Zelden", 1, "Af en toe", 4, "Regelmatig", 8, "Vaak", 12)</f>
        <v/>
      </c>
      <c r="S367">
        <f>AVERAGE(--(K367="ja"), --(L367="ja"), --(M367="ja"), --(N367="ja"), --(O367="ja"))*10</f>
        <v/>
      </c>
      <c r="T367">
        <f>IF(S367&gt;=7, "Tevreden", "Ontevreden")</f>
        <v/>
      </c>
    </row>
    <row r="368">
      <c r="A368" t="inlineStr">
        <is>
          <t>Chloë</t>
        </is>
      </c>
      <c r="B368" t="inlineStr">
        <is>
          <t>Moons</t>
        </is>
      </c>
      <c r="C368" t="inlineStr">
        <is>
          <t>27.13590-65</t>
        </is>
      </c>
      <c r="D368" t="inlineStr">
        <is>
          <t>01/05/1976</t>
        </is>
      </c>
      <c r="E368" t="inlineStr">
        <is>
          <t>Dampoortstraat 92, 3800 Zepperen</t>
        </is>
      </c>
      <c r="F368" t="inlineStr">
        <is>
          <t>Chloë,Ilse,Marianne,Muhammad</t>
        </is>
      </c>
      <c r="G368" t="n">
        <v>151.66</v>
      </c>
      <c r="H368" t="n">
        <v>13</v>
      </c>
      <c r="I368" t="inlineStr">
        <is>
          <t>Cash</t>
        </is>
      </c>
      <c r="J368" t="inlineStr">
        <is>
          <t>ja</t>
        </is>
      </c>
      <c r="K368" t="inlineStr">
        <is>
          <t>ja</t>
        </is>
      </c>
      <c r="L368" t="inlineStr">
        <is>
          <t>ja</t>
        </is>
      </c>
      <c r="M368" t="inlineStr">
        <is>
          <t>ja</t>
        </is>
      </c>
      <c r="N368" t="inlineStr">
        <is>
          <t>ja</t>
        </is>
      </c>
      <c r="O368" t="inlineStr">
        <is>
          <t>Vegetarisch</t>
        </is>
      </c>
      <c r="Q368">
        <f>LEN(G368)-LEN(SUBSTITUTE(G368,",",""))+1</f>
        <v/>
      </c>
      <c r="R368">
        <f>SWITCH(I368, "Zelden", 1, "Af en toe", 4, "Regelmatig", 8, "Vaak", 12)</f>
        <v/>
      </c>
      <c r="S368">
        <f>AVERAGE(--(K368="ja"), --(L368="ja"), --(M368="ja"), --(N368="ja"), --(O368="ja"))*10</f>
        <v/>
      </c>
      <c r="T368">
        <f>IF(S368&gt;=7, "Tevreden", "Ontevreden")</f>
        <v/>
      </c>
    </row>
    <row r="369">
      <c r="A369" t="inlineStr">
        <is>
          <t>Vèronique</t>
        </is>
      </c>
      <c r="B369" t="inlineStr">
        <is>
          <t>Baeyens</t>
        </is>
      </c>
      <c r="C369" t="inlineStr">
        <is>
          <t>18.32140-59</t>
        </is>
      </c>
      <c r="D369" t="inlineStr">
        <is>
          <t>17/04/1969</t>
        </is>
      </c>
      <c r="E369" t="inlineStr">
        <is>
          <t>Oudewee 32, 3740 Bilzen</t>
        </is>
      </c>
      <c r="F369" t="inlineStr">
        <is>
          <t>Vèronique,Robertus</t>
        </is>
      </c>
      <c r="G369" t="n">
        <v>109.24</v>
      </c>
      <c r="H369" t="n">
        <v>9</v>
      </c>
      <c r="I369" t="inlineStr">
        <is>
          <t>Payconiq</t>
        </is>
      </c>
      <c r="J369" t="inlineStr">
        <is>
          <t>ja</t>
        </is>
      </c>
      <c r="K369" t="inlineStr">
        <is>
          <t>ja</t>
        </is>
      </c>
      <c r="L369" t="inlineStr">
        <is>
          <t>nee</t>
        </is>
      </c>
      <c r="M369" t="inlineStr">
        <is>
          <t>ja</t>
        </is>
      </c>
      <c r="N369" t="inlineStr">
        <is>
          <t>ja</t>
        </is>
      </c>
      <c r="O369" t="inlineStr">
        <is>
          <t>Geen dieet</t>
        </is>
      </c>
      <c r="Q369">
        <f>LEN(G369)-LEN(SUBSTITUTE(G369,",",""))+1</f>
        <v/>
      </c>
      <c r="R369">
        <f>SWITCH(I369, "Zelden", 1, "Af en toe", 4, "Regelmatig", 8, "Vaak", 12)</f>
        <v/>
      </c>
      <c r="S369">
        <f>AVERAGE(--(K369="ja"), --(L369="ja"), --(M369="ja"), --(N369="ja"), --(O369="ja"))*10</f>
        <v/>
      </c>
      <c r="T369">
        <f>IF(S369&gt;=7, "Tevreden", "Ontevreden")</f>
        <v/>
      </c>
    </row>
    <row r="370">
      <c r="A370" t="inlineStr">
        <is>
          <t>Marina</t>
        </is>
      </c>
      <c r="B370" t="inlineStr">
        <is>
          <t>Vermeire</t>
        </is>
      </c>
      <c r="C370" t="inlineStr">
        <is>
          <t>54.18335-74</t>
        </is>
      </c>
      <c r="D370" t="inlineStr">
        <is>
          <t>08/04/1979</t>
        </is>
      </c>
      <c r="E370" t="inlineStr">
        <is>
          <t>Francisco Ferrerlaan 27, 3600 Genk</t>
        </is>
      </c>
      <c r="F370" t="inlineStr">
        <is>
          <t>Marina,Marlena,Rani</t>
        </is>
      </c>
      <c r="G370" t="n">
        <v>96.17</v>
      </c>
      <c r="H370" t="n">
        <v>5</v>
      </c>
      <c r="I370" t="inlineStr">
        <is>
          <t>Cash</t>
        </is>
      </c>
      <c r="J370" t="inlineStr">
        <is>
          <t>ja</t>
        </is>
      </c>
      <c r="K370" t="inlineStr">
        <is>
          <t>ja</t>
        </is>
      </c>
      <c r="L370" t="inlineStr">
        <is>
          <t>ja</t>
        </is>
      </c>
      <c r="M370" t="inlineStr">
        <is>
          <t>nee</t>
        </is>
      </c>
      <c r="N370" t="inlineStr">
        <is>
          <t>ja</t>
        </is>
      </c>
      <c r="O370" t="inlineStr">
        <is>
          <t>Vegetarisch</t>
        </is>
      </c>
      <c r="Q370">
        <f>LEN(G370)-LEN(SUBSTITUTE(G370,",",""))+1</f>
        <v/>
      </c>
      <c r="R370">
        <f>SWITCH(I370, "Zelden", 1, "Af en toe", 4, "Regelmatig", 8, "Vaak", 12)</f>
        <v/>
      </c>
      <c r="S370">
        <f>AVERAGE(--(K370="ja"), --(L370="ja"), --(M370="ja"), --(N370="ja"), --(O370="ja"))*10</f>
        <v/>
      </c>
      <c r="T370">
        <f>IF(S370&gt;=7, "Tevreden", "Ontevreden")</f>
        <v/>
      </c>
    </row>
    <row r="371">
      <c r="A371" t="inlineStr">
        <is>
          <t>Ana</t>
        </is>
      </c>
      <c r="B371" t="inlineStr">
        <is>
          <t>Schepers</t>
        </is>
      </c>
      <c r="C371" t="inlineStr">
        <is>
          <t>511.87752-27</t>
        </is>
      </c>
      <c r="D371" t="inlineStr">
        <is>
          <t>13/12/1960</t>
        </is>
      </c>
      <c r="E371" t="inlineStr">
        <is>
          <t>Ferdinand Lousbergskaai 47, 3520 Zonhoven</t>
        </is>
      </c>
      <c r="F371" t="inlineStr">
        <is>
          <t>Ana,Fabienne,Nout</t>
        </is>
      </c>
      <c r="G371" t="n">
        <v>156.91</v>
      </c>
      <c r="H371" t="n">
        <v>2</v>
      </c>
      <c r="I371" t="inlineStr">
        <is>
          <t>Cash</t>
        </is>
      </c>
      <c r="J371" t="inlineStr">
        <is>
          <t>ja</t>
        </is>
      </c>
      <c r="K371" t="inlineStr">
        <is>
          <t>nee</t>
        </is>
      </c>
      <c r="L371" t="inlineStr">
        <is>
          <t>ja</t>
        </is>
      </c>
      <c r="M371" t="inlineStr">
        <is>
          <t>ja</t>
        </is>
      </c>
      <c r="N371" t="inlineStr">
        <is>
          <t>nee</t>
        </is>
      </c>
      <c r="O371" t="inlineStr">
        <is>
          <t>Geen dieet</t>
        </is>
      </c>
      <c r="Q371">
        <f>LEN(G371)-LEN(SUBSTITUTE(G371,",",""))+1</f>
        <v/>
      </c>
      <c r="R371">
        <f>SWITCH(I371, "Zelden", 1, "Af en toe", 4, "Regelmatig", 8, "Vaak", 12)</f>
        <v/>
      </c>
      <c r="S371">
        <f>AVERAGE(--(K371="ja"), --(L371="ja"), --(M371="ja"), --(N371="ja"), --(O371="ja"))*10</f>
        <v/>
      </c>
      <c r="T371">
        <f>IF(S371&gt;=7, "Tevreden", "Ontevreden")</f>
        <v/>
      </c>
    </row>
    <row r="372">
      <c r="A372" t="inlineStr">
        <is>
          <t>Lola</t>
        </is>
      </c>
      <c r="B372" t="inlineStr">
        <is>
          <t>Gilson</t>
        </is>
      </c>
      <c r="C372" t="inlineStr">
        <is>
          <t>184.25931-75</t>
        </is>
      </c>
      <c r="D372" t="inlineStr">
        <is>
          <t>28/09/1955</t>
        </is>
      </c>
      <c r="E372" t="inlineStr">
        <is>
          <t>Markt 91, 3530 Houthalen-Helchteren</t>
        </is>
      </c>
      <c r="F372" t="inlineStr">
        <is>
          <t>Lola,Cristina</t>
        </is>
      </c>
      <c r="G372" t="n">
        <v>118.98</v>
      </c>
      <c r="H372" t="n">
        <v>22</v>
      </c>
      <c r="I372" t="inlineStr">
        <is>
          <t>Payconiq</t>
        </is>
      </c>
      <c r="J372" t="inlineStr">
        <is>
          <t>nee</t>
        </is>
      </c>
      <c r="K372" t="inlineStr">
        <is>
          <t>nee</t>
        </is>
      </c>
      <c r="L372" t="inlineStr">
        <is>
          <t>ja</t>
        </is>
      </c>
      <c r="M372" t="inlineStr">
        <is>
          <t>ja</t>
        </is>
      </c>
      <c r="N372" t="inlineStr">
        <is>
          <t>ja</t>
        </is>
      </c>
      <c r="O372" t="inlineStr">
        <is>
          <t>Geen dieet</t>
        </is>
      </c>
      <c r="Q372">
        <f>LEN(G372)-LEN(SUBSTITUTE(G372,",",""))+1</f>
        <v/>
      </c>
      <c r="R372">
        <f>SWITCH(I372, "Zelden", 1, "Af en toe", 4, "Regelmatig", 8, "Vaak", 12)</f>
        <v/>
      </c>
      <c r="S372">
        <f>AVERAGE(--(K372="ja"), --(L372="ja"), --(M372="ja"), --(N372="ja"), --(O372="ja"))*10</f>
        <v/>
      </c>
      <c r="T372">
        <f>IF(S372&gt;=7, "Tevreden", "Ontevreden")</f>
        <v/>
      </c>
    </row>
    <row r="373">
      <c r="A373" t="inlineStr">
        <is>
          <t>Shawn</t>
        </is>
      </c>
      <c r="B373" t="inlineStr">
        <is>
          <t>Wuyts</t>
        </is>
      </c>
      <c r="C373" t="inlineStr">
        <is>
          <t>79.98195-43</t>
        </is>
      </c>
      <c r="D373" t="inlineStr">
        <is>
          <t>07/05/1982</t>
        </is>
      </c>
      <c r="E373" t="inlineStr">
        <is>
          <t>Schoolstraat 28, 3520 Zonhoven</t>
        </is>
      </c>
      <c r="F373" t="inlineStr">
        <is>
          <t>Shawn,Sebastiaan</t>
        </is>
      </c>
      <c r="G373" t="n">
        <v>65.23999999999999</v>
      </c>
      <c r="H373" t="n">
        <v>15</v>
      </c>
      <c r="I373" t="inlineStr">
        <is>
          <t>Bancontact</t>
        </is>
      </c>
      <c r="J373" t="inlineStr">
        <is>
          <t>ja</t>
        </is>
      </c>
      <c r="K373" t="inlineStr">
        <is>
          <t>ja</t>
        </is>
      </c>
      <c r="L373" t="inlineStr">
        <is>
          <t>ja</t>
        </is>
      </c>
      <c r="M373" t="inlineStr">
        <is>
          <t>ja</t>
        </is>
      </c>
      <c r="N373" t="inlineStr">
        <is>
          <t>ja</t>
        </is>
      </c>
      <c r="O373" t="inlineStr">
        <is>
          <t>Geen dieet</t>
        </is>
      </c>
      <c r="Q373">
        <f>LEN(G373)-LEN(SUBSTITUTE(G373,",",""))+1</f>
        <v/>
      </c>
      <c r="R373">
        <f>SWITCH(I373, "Zelden", 1, "Af en toe", 4, "Regelmatig", 8, "Vaak", 12)</f>
        <v/>
      </c>
      <c r="S373">
        <f>AVERAGE(--(K373="ja"), --(L373="ja"), --(M373="ja"), --(N373="ja"), --(O373="ja"))*10</f>
        <v/>
      </c>
      <c r="T373">
        <f>IF(S373&gt;=7, "Tevreden", "Ontevreden")</f>
        <v/>
      </c>
    </row>
    <row r="374">
      <c r="A374" t="inlineStr">
        <is>
          <t>Serge</t>
        </is>
      </c>
      <c r="B374" t="inlineStr">
        <is>
          <t>Declerck</t>
        </is>
      </c>
      <c r="C374" t="inlineStr">
        <is>
          <t>933.81520-35</t>
        </is>
      </c>
      <c r="D374" t="inlineStr">
        <is>
          <t>02/03/1948</t>
        </is>
      </c>
      <c r="E374" t="inlineStr">
        <is>
          <t>New-yorkstraat 60, 3800 Sint-Truiden</t>
        </is>
      </c>
      <c r="F374" t="inlineStr">
        <is>
          <t>Serge,Antoine,Marie-Hélène,Karen</t>
        </is>
      </c>
      <c r="G374" t="n">
        <v>151.21</v>
      </c>
      <c r="H374" t="n">
        <v>6</v>
      </c>
      <c r="I374" t="inlineStr">
        <is>
          <t>Cash</t>
        </is>
      </c>
      <c r="J374" t="inlineStr">
        <is>
          <t>nee</t>
        </is>
      </c>
      <c r="K374" t="inlineStr">
        <is>
          <t>ja</t>
        </is>
      </c>
      <c r="L374" t="inlineStr">
        <is>
          <t>ja</t>
        </is>
      </c>
      <c r="M374" t="inlineStr">
        <is>
          <t>ja</t>
        </is>
      </c>
      <c r="N374" t="inlineStr">
        <is>
          <t>nee</t>
        </is>
      </c>
      <c r="O374" t="inlineStr">
        <is>
          <t>Vegetarisch</t>
        </is>
      </c>
      <c r="Q374">
        <f>LEN(G374)-LEN(SUBSTITUTE(G374,",",""))+1</f>
        <v/>
      </c>
      <c r="R374">
        <f>SWITCH(I374, "Zelden", 1, "Af en toe", 4, "Regelmatig", 8, "Vaak", 12)</f>
        <v/>
      </c>
      <c r="S374">
        <f>AVERAGE(--(K374="ja"), --(L374="ja"), --(M374="ja"), --(N374="ja"), --(O374="ja"))*10</f>
        <v/>
      </c>
      <c r="T374">
        <f>IF(S374&gt;=7, "Tevreden", "Ontevreden")</f>
        <v/>
      </c>
    </row>
    <row r="375">
      <c r="A375" t="inlineStr">
        <is>
          <t>Filip</t>
        </is>
      </c>
      <c r="B375" t="inlineStr">
        <is>
          <t>Engels</t>
        </is>
      </c>
      <c r="C375" t="inlineStr">
        <is>
          <t>341.83245-67</t>
        </is>
      </c>
      <c r="D375" t="inlineStr">
        <is>
          <t>03/10/1997</t>
        </is>
      </c>
      <c r="E375" t="inlineStr">
        <is>
          <t>Breestraat 27, 3600 Genk</t>
        </is>
      </c>
      <c r="F375" t="inlineStr">
        <is>
          <t>Filip,Marie</t>
        </is>
      </c>
      <c r="G375" t="n">
        <v>73.83</v>
      </c>
      <c r="H375" t="n">
        <v>11</v>
      </c>
      <c r="I375" t="inlineStr">
        <is>
          <t>Bancontact</t>
        </is>
      </c>
      <c r="J375" t="inlineStr">
        <is>
          <t>ja</t>
        </is>
      </c>
      <c r="K375" t="inlineStr">
        <is>
          <t>ja</t>
        </is>
      </c>
      <c r="L375" t="inlineStr">
        <is>
          <t>ja</t>
        </is>
      </c>
      <c r="M375" t="inlineStr">
        <is>
          <t>nee</t>
        </is>
      </c>
      <c r="N375" t="inlineStr">
        <is>
          <t>nee</t>
        </is>
      </c>
      <c r="O375" t="inlineStr">
        <is>
          <t>Geen dieet</t>
        </is>
      </c>
      <c r="Q375">
        <f>LEN(G375)-LEN(SUBSTITUTE(G375,",",""))+1</f>
        <v/>
      </c>
      <c r="R375">
        <f>SWITCH(I375, "Zelden", 1, "Af en toe", 4, "Regelmatig", 8, "Vaak", 12)</f>
        <v/>
      </c>
      <c r="S375">
        <f>AVERAGE(--(K375="ja"), --(L375="ja"), --(M375="ja"), --(N375="ja"), --(O375="ja"))*10</f>
        <v/>
      </c>
      <c r="T375">
        <f>IF(S375&gt;=7, "Tevreden", "Ontevreden")</f>
        <v/>
      </c>
    </row>
    <row r="376">
      <c r="A376" t="inlineStr">
        <is>
          <t>Jean</t>
        </is>
      </c>
      <c r="B376" t="inlineStr">
        <is>
          <t>Van looy</t>
        </is>
      </c>
      <c r="C376" t="inlineStr">
        <is>
          <t>513.22092-27</t>
        </is>
      </c>
      <c r="D376" t="inlineStr">
        <is>
          <t>26/03/1963</t>
        </is>
      </c>
      <c r="E376" t="inlineStr">
        <is>
          <t>Fortlaan 49, 3910 Neerpelt</t>
        </is>
      </c>
      <c r="F376" t="inlineStr">
        <is>
          <t>Jean,Léah</t>
        </is>
      </c>
      <c r="G376" t="n">
        <v>99.06</v>
      </c>
      <c r="H376" t="n">
        <v>16</v>
      </c>
      <c r="I376" t="inlineStr">
        <is>
          <t>Payconiq</t>
        </is>
      </c>
      <c r="J376" t="inlineStr">
        <is>
          <t>nee</t>
        </is>
      </c>
      <c r="K376" t="inlineStr">
        <is>
          <t>ja</t>
        </is>
      </c>
      <c r="L376" t="inlineStr">
        <is>
          <t>ja</t>
        </is>
      </c>
      <c r="M376" t="inlineStr">
        <is>
          <t>ja</t>
        </is>
      </c>
      <c r="N376" t="inlineStr">
        <is>
          <t>ja</t>
        </is>
      </c>
      <c r="O376" t="inlineStr">
        <is>
          <t>Vegetarisch</t>
        </is>
      </c>
      <c r="Q376">
        <f>LEN(G376)-LEN(SUBSTITUTE(G376,",",""))+1</f>
        <v/>
      </c>
      <c r="R376">
        <f>SWITCH(I376, "Zelden", 1, "Af en toe", 4, "Regelmatig", 8, "Vaak", 12)</f>
        <v/>
      </c>
      <c r="S376">
        <f>AVERAGE(--(K376="ja"), --(L376="ja"), --(M376="ja"), --(N376="ja"), --(O376="ja"))*10</f>
        <v/>
      </c>
      <c r="T376">
        <f>IF(S376&gt;=7, "Tevreden", "Ontevreden")</f>
        <v/>
      </c>
    </row>
    <row r="377">
      <c r="A377" t="inlineStr">
        <is>
          <t>Sonia</t>
        </is>
      </c>
      <c r="B377" t="inlineStr">
        <is>
          <t>Denis</t>
        </is>
      </c>
      <c r="C377" t="inlineStr">
        <is>
          <t>922.22266-38</t>
        </is>
      </c>
      <c r="D377" t="inlineStr">
        <is>
          <t>17/08/1999</t>
        </is>
      </c>
      <c r="E377" t="inlineStr">
        <is>
          <t>Singel 143, 3670 Meeuwen-Gruitrode</t>
        </is>
      </c>
      <c r="F377" t="inlineStr">
        <is>
          <t>Sonia,Ann,Bastien</t>
        </is>
      </c>
      <c r="G377" t="n">
        <v>77.13</v>
      </c>
      <c r="H377" t="n">
        <v>11</v>
      </c>
      <c r="I377" t="inlineStr">
        <is>
          <t>Payconiq</t>
        </is>
      </c>
      <c r="J377" t="inlineStr">
        <is>
          <t>ja</t>
        </is>
      </c>
      <c r="K377" t="inlineStr">
        <is>
          <t>nee</t>
        </is>
      </c>
      <c r="L377" t="inlineStr">
        <is>
          <t>nee</t>
        </is>
      </c>
      <c r="M377" t="inlineStr">
        <is>
          <t>ja</t>
        </is>
      </c>
      <c r="N377" t="inlineStr">
        <is>
          <t>nee</t>
        </is>
      </c>
      <c r="O377" t="inlineStr">
        <is>
          <t>Geen dieet</t>
        </is>
      </c>
      <c r="Q377">
        <f>LEN(G377)-LEN(SUBSTITUTE(G377,",",""))+1</f>
        <v/>
      </c>
      <c r="R377">
        <f>SWITCH(I377, "Zelden", 1, "Af en toe", 4, "Regelmatig", 8, "Vaak", 12)</f>
        <v/>
      </c>
      <c r="S377">
        <f>AVERAGE(--(K377="ja"), --(L377="ja"), --(M377="ja"), --(N377="ja"), --(O377="ja"))*10</f>
        <v/>
      </c>
      <c r="T377">
        <f>IF(S377&gt;=7, "Tevreden", "Ontevreden")</f>
        <v/>
      </c>
    </row>
    <row r="378">
      <c r="A378" t="inlineStr">
        <is>
          <t>Julie</t>
        </is>
      </c>
      <c r="B378" t="inlineStr">
        <is>
          <t>Vanhoutte</t>
        </is>
      </c>
      <c r="C378" t="inlineStr">
        <is>
          <t>934.38792-41</t>
        </is>
      </c>
      <c r="D378" t="inlineStr">
        <is>
          <t>24/08/1982</t>
        </is>
      </c>
      <c r="E378" t="inlineStr">
        <is>
          <t>Bertha Boonantsstraat 51, 3530 Houthalen-Helchteren</t>
        </is>
      </c>
      <c r="F378" t="inlineStr">
        <is>
          <t>Julie</t>
        </is>
      </c>
      <c r="G378" t="n">
        <v>105.07</v>
      </c>
      <c r="H378" t="n">
        <v>8</v>
      </c>
      <c r="I378" t="inlineStr">
        <is>
          <t>Bancontact</t>
        </is>
      </c>
      <c r="J378" t="inlineStr">
        <is>
          <t>ja</t>
        </is>
      </c>
      <c r="K378" t="inlineStr">
        <is>
          <t>ja</t>
        </is>
      </c>
      <c r="L378" t="inlineStr">
        <is>
          <t>nee</t>
        </is>
      </c>
      <c r="M378" t="inlineStr">
        <is>
          <t>ja</t>
        </is>
      </c>
      <c r="N378" t="inlineStr">
        <is>
          <t>nee</t>
        </is>
      </c>
      <c r="O378" t="inlineStr">
        <is>
          <t>Geen dieet</t>
        </is>
      </c>
      <c r="Q378">
        <f>LEN(G378)-LEN(SUBSTITUTE(G378,",",""))+1</f>
        <v/>
      </c>
      <c r="R378">
        <f>SWITCH(I378, "Zelden", 1, "Af en toe", 4, "Regelmatig", 8, "Vaak", 12)</f>
        <v/>
      </c>
      <c r="S378">
        <f>AVERAGE(--(K378="ja"), --(L378="ja"), --(M378="ja"), --(N378="ja"), --(O378="ja"))*10</f>
        <v/>
      </c>
      <c r="T378">
        <f>IF(S378&gt;=7, "Tevreden", "Ontevreden")</f>
        <v/>
      </c>
    </row>
    <row r="379">
      <c r="A379" t="inlineStr">
        <is>
          <t>Dylan</t>
        </is>
      </c>
      <c r="B379" t="inlineStr">
        <is>
          <t>Janssen</t>
        </is>
      </c>
      <c r="C379" t="inlineStr">
        <is>
          <t>402.18620-61</t>
        </is>
      </c>
      <c r="D379" t="inlineStr">
        <is>
          <t>18/09/1968</t>
        </is>
      </c>
      <c r="E379" t="inlineStr">
        <is>
          <t>Gasmeterlaan 23, 3530 Houthalen-Helchteren</t>
        </is>
      </c>
      <c r="F379" t="inlineStr">
        <is>
          <t>Dylan,Benny,Emma,Achille</t>
        </is>
      </c>
      <c r="G379" t="n">
        <v>222.86</v>
      </c>
      <c r="H379" t="n">
        <v>28</v>
      </c>
      <c r="I379" t="inlineStr">
        <is>
          <t>Bancontact</t>
        </is>
      </c>
      <c r="J379" t="inlineStr">
        <is>
          <t>ja</t>
        </is>
      </c>
      <c r="K379" t="inlineStr">
        <is>
          <t>ja</t>
        </is>
      </c>
      <c r="L379" t="inlineStr">
        <is>
          <t>nee</t>
        </is>
      </c>
      <c r="M379" t="inlineStr">
        <is>
          <t>ja</t>
        </is>
      </c>
      <c r="N379" t="inlineStr">
        <is>
          <t>ja</t>
        </is>
      </c>
      <c r="O379" t="inlineStr">
        <is>
          <t>Vegetarisch</t>
        </is>
      </c>
      <c r="Q379">
        <f>LEN(G379)-LEN(SUBSTITUTE(G379,",",""))+1</f>
        <v/>
      </c>
      <c r="R379">
        <f>SWITCH(I379, "Zelden", 1, "Af en toe", 4, "Regelmatig", 8, "Vaak", 12)</f>
        <v/>
      </c>
      <c r="S379">
        <f>AVERAGE(--(K379="ja"), --(L379="ja"), --(M379="ja"), --(N379="ja"), --(O379="ja"))*10</f>
        <v/>
      </c>
      <c r="T379">
        <f>IF(S379&gt;=7, "Tevreden", "Ontevreden")</f>
        <v/>
      </c>
    </row>
    <row r="380">
      <c r="A380" t="inlineStr">
        <is>
          <t>Vincent</t>
        </is>
      </c>
      <c r="B380" t="inlineStr">
        <is>
          <t>Denis</t>
        </is>
      </c>
      <c r="C380" t="inlineStr">
        <is>
          <t>901.60513-98</t>
        </is>
      </c>
      <c r="D380" t="inlineStr">
        <is>
          <t>06/06/1994</t>
        </is>
      </c>
      <c r="E380" t="inlineStr">
        <is>
          <t>Claeysplein 34, 3790 Voeren</t>
        </is>
      </c>
      <c r="F380" t="inlineStr">
        <is>
          <t>Vincent,David,Yassin,Eric</t>
        </is>
      </c>
      <c r="G380" t="n">
        <v>193.86</v>
      </c>
      <c r="H380" t="n">
        <v>4</v>
      </c>
      <c r="I380" t="inlineStr">
        <is>
          <t>Payconiq</t>
        </is>
      </c>
      <c r="J380" t="inlineStr">
        <is>
          <t>ja</t>
        </is>
      </c>
      <c r="K380" t="inlineStr">
        <is>
          <t>ja</t>
        </is>
      </c>
      <c r="L380" t="inlineStr">
        <is>
          <t>ja</t>
        </is>
      </c>
      <c r="M380" t="inlineStr">
        <is>
          <t>nee</t>
        </is>
      </c>
      <c r="N380" t="inlineStr">
        <is>
          <t>nee</t>
        </is>
      </c>
      <c r="O380" t="inlineStr">
        <is>
          <t>Vegetarisch</t>
        </is>
      </c>
      <c r="Q380">
        <f>LEN(G380)-LEN(SUBSTITUTE(G380,",",""))+1</f>
        <v/>
      </c>
      <c r="R380">
        <f>SWITCH(I380, "Zelden", 1, "Af en toe", 4, "Regelmatig", 8, "Vaak", 12)</f>
        <v/>
      </c>
      <c r="S380">
        <f>AVERAGE(--(K380="ja"), --(L380="ja"), --(M380="ja"), --(N380="ja"), --(O380="ja"))*10</f>
        <v/>
      </c>
      <c r="T380">
        <f>IF(S380&gt;=7, "Tevreden", "Ontevreden")</f>
        <v/>
      </c>
    </row>
    <row r="381">
      <c r="A381" t="inlineStr">
        <is>
          <t>Edwin</t>
        </is>
      </c>
      <c r="B381" t="inlineStr">
        <is>
          <t>Simon</t>
        </is>
      </c>
      <c r="C381" t="inlineStr">
        <is>
          <t>118.62140-40</t>
        </is>
      </c>
      <c r="D381" t="inlineStr">
        <is>
          <t>31/01/1956</t>
        </is>
      </c>
      <c r="E381" t="inlineStr">
        <is>
          <t>Buffelstraat 9, 3980 Tessenderlo</t>
        </is>
      </c>
      <c r="F381" t="inlineStr">
        <is>
          <t>Edwin</t>
        </is>
      </c>
      <c r="G381" t="n">
        <v>61.75</v>
      </c>
      <c r="H381" t="n">
        <v>24</v>
      </c>
      <c r="I381" t="inlineStr">
        <is>
          <t>Bancontact</t>
        </is>
      </c>
      <c r="J381" t="inlineStr">
        <is>
          <t>ja</t>
        </is>
      </c>
      <c r="K381" t="inlineStr">
        <is>
          <t>ja</t>
        </is>
      </c>
      <c r="L381" t="inlineStr">
        <is>
          <t>nee</t>
        </is>
      </c>
      <c r="M381" t="inlineStr">
        <is>
          <t>ja</t>
        </is>
      </c>
      <c r="N381" t="inlineStr">
        <is>
          <t>ja</t>
        </is>
      </c>
      <c r="O381" t="inlineStr">
        <is>
          <t>Geen dieet</t>
        </is>
      </c>
      <c r="Q381">
        <f>LEN(G381)-LEN(SUBSTITUTE(G381,",",""))+1</f>
        <v/>
      </c>
      <c r="R381">
        <f>SWITCH(I381, "Zelden", 1, "Af en toe", 4, "Regelmatig", 8, "Vaak", 12)</f>
        <v/>
      </c>
      <c r="S381">
        <f>AVERAGE(--(K381="ja"), --(L381="ja"), --(M381="ja"), --(N381="ja"), --(O381="ja"))*10</f>
        <v/>
      </c>
      <c r="T381">
        <f>IF(S381&gt;=7, "Tevreden", "Ontevreden")</f>
        <v/>
      </c>
    </row>
    <row r="382">
      <c r="A382" t="inlineStr">
        <is>
          <t>Michel</t>
        </is>
      </c>
      <c r="B382" t="inlineStr">
        <is>
          <t>Stas</t>
        </is>
      </c>
      <c r="C382" t="inlineStr">
        <is>
          <t>397.34845-81</t>
        </is>
      </c>
      <c r="D382" t="inlineStr">
        <is>
          <t>24/01/1978</t>
        </is>
      </c>
      <c r="E382" t="inlineStr">
        <is>
          <t>Maisstraat 14, 3630 Maasmechelen</t>
        </is>
      </c>
      <c r="F382" t="inlineStr">
        <is>
          <t>Michel,David</t>
        </is>
      </c>
      <c r="G382" t="n">
        <v>214.47</v>
      </c>
      <c r="H382" t="n">
        <v>8</v>
      </c>
      <c r="I382" t="inlineStr">
        <is>
          <t>Bancontact</t>
        </is>
      </c>
      <c r="J382" t="inlineStr">
        <is>
          <t>ja</t>
        </is>
      </c>
      <c r="K382" t="inlineStr">
        <is>
          <t>nee</t>
        </is>
      </c>
      <c r="L382" t="inlineStr">
        <is>
          <t>nee</t>
        </is>
      </c>
      <c r="M382" t="inlineStr">
        <is>
          <t>ja</t>
        </is>
      </c>
      <c r="N382" t="inlineStr">
        <is>
          <t>ja</t>
        </is>
      </c>
      <c r="O382" t="inlineStr">
        <is>
          <t>Geen dieet</t>
        </is>
      </c>
      <c r="Q382">
        <f>LEN(G382)-LEN(SUBSTITUTE(G382,",",""))+1</f>
        <v/>
      </c>
      <c r="R382">
        <f>SWITCH(I382, "Zelden", 1, "Af en toe", 4, "Regelmatig", 8, "Vaak", 12)</f>
        <v/>
      </c>
      <c r="S382">
        <f>AVERAGE(--(K382="ja"), --(L382="ja"), --(M382="ja"), --(N382="ja"), --(O382="ja"))*10</f>
        <v/>
      </c>
      <c r="T382">
        <f>IF(S382&gt;=7, "Tevreden", "Ontevreden")</f>
        <v/>
      </c>
    </row>
    <row r="383">
      <c r="A383" t="inlineStr">
        <is>
          <t>Mia</t>
        </is>
      </c>
      <c r="B383" t="inlineStr">
        <is>
          <t>Verhaeghe</t>
        </is>
      </c>
      <c r="C383" t="inlineStr">
        <is>
          <t>460.80553-10</t>
        </is>
      </c>
      <c r="D383" t="inlineStr">
        <is>
          <t>03/04/1979</t>
        </is>
      </c>
      <c r="E383" t="inlineStr">
        <is>
          <t>Raas Van Gaverestraat 61, 3800 Sint-Truiden</t>
        </is>
      </c>
      <c r="F383" t="inlineStr">
        <is>
          <t>Mia,Erna</t>
        </is>
      </c>
      <c r="G383" t="n">
        <v>119.53</v>
      </c>
      <c r="H383" t="n">
        <v>9</v>
      </c>
      <c r="I383" t="inlineStr">
        <is>
          <t>Bancontact</t>
        </is>
      </c>
      <c r="J383" t="inlineStr">
        <is>
          <t>ja</t>
        </is>
      </c>
      <c r="K383" t="inlineStr">
        <is>
          <t>ja</t>
        </is>
      </c>
      <c r="L383" t="inlineStr">
        <is>
          <t>ja</t>
        </is>
      </c>
      <c r="M383" t="inlineStr">
        <is>
          <t>ja</t>
        </is>
      </c>
      <c r="N383" t="inlineStr">
        <is>
          <t>nee</t>
        </is>
      </c>
      <c r="O383" t="inlineStr">
        <is>
          <t>Vegetarisch</t>
        </is>
      </c>
      <c r="Q383">
        <f>LEN(G383)-LEN(SUBSTITUTE(G383,",",""))+1</f>
        <v/>
      </c>
      <c r="R383">
        <f>SWITCH(I383, "Zelden", 1, "Af en toe", 4, "Regelmatig", 8, "Vaak", 12)</f>
        <v/>
      </c>
      <c r="S383">
        <f>AVERAGE(--(K383="ja"), --(L383="ja"), --(M383="ja"), --(N383="ja"), --(O383="ja"))*10</f>
        <v/>
      </c>
      <c r="T383">
        <f>IF(S383&gt;=7, "Tevreden", "Ontevreden")</f>
        <v/>
      </c>
    </row>
    <row r="384">
      <c r="A384" t="inlineStr">
        <is>
          <t>Said</t>
        </is>
      </c>
      <c r="B384" t="inlineStr">
        <is>
          <t>Claes</t>
        </is>
      </c>
      <c r="C384" t="inlineStr">
        <is>
          <t>959.89202-49</t>
        </is>
      </c>
      <c r="D384" t="inlineStr">
        <is>
          <t>14/06/1997</t>
        </is>
      </c>
      <c r="E384" t="inlineStr">
        <is>
          <t>Bouwmeestersstraat 14, 3891 Meilen</t>
        </is>
      </c>
      <c r="F384" t="inlineStr">
        <is>
          <t>Said,Kim,Patrick,Marc,Danny</t>
        </is>
      </c>
      <c r="G384" t="n">
        <v>107.19</v>
      </c>
      <c r="H384" t="n">
        <v>7</v>
      </c>
      <c r="I384" t="inlineStr">
        <is>
          <t>Bancontact</t>
        </is>
      </c>
      <c r="J384" t="inlineStr">
        <is>
          <t>ja</t>
        </is>
      </c>
      <c r="K384" t="inlineStr">
        <is>
          <t>ja</t>
        </is>
      </c>
      <c r="L384" t="inlineStr">
        <is>
          <t>ja</t>
        </is>
      </c>
      <c r="M384" t="inlineStr">
        <is>
          <t>ja</t>
        </is>
      </c>
      <c r="N384" t="inlineStr">
        <is>
          <t>nee</t>
        </is>
      </c>
      <c r="O384" t="inlineStr">
        <is>
          <t>Geen dieet</t>
        </is>
      </c>
      <c r="Q384">
        <f>LEN(G384)-LEN(SUBSTITUTE(G384,",",""))+1</f>
        <v/>
      </c>
      <c r="R384">
        <f>SWITCH(I384, "Zelden", 1, "Af en toe", 4, "Regelmatig", 8, "Vaak", 12)</f>
        <v/>
      </c>
      <c r="S384">
        <f>AVERAGE(--(K384="ja"), --(L384="ja"), --(M384="ja"), --(N384="ja"), --(O384="ja"))*10</f>
        <v/>
      </c>
      <c r="T384">
        <f>IF(S384&gt;=7, "Tevreden", "Ontevreden")</f>
        <v/>
      </c>
    </row>
    <row r="385">
      <c r="A385" t="inlineStr">
        <is>
          <t>Ludmila</t>
        </is>
      </c>
      <c r="B385" t="inlineStr">
        <is>
          <t>Heylen</t>
        </is>
      </c>
      <c r="C385" t="inlineStr">
        <is>
          <t>745.70448-26</t>
        </is>
      </c>
      <c r="D385" t="inlineStr">
        <is>
          <t>24/04/1975</t>
        </is>
      </c>
      <c r="E385" t="inlineStr">
        <is>
          <t>Koninging Elisabethlaan 38, 3500 Hasselt</t>
        </is>
      </c>
      <c r="F385" t="inlineStr">
        <is>
          <t>Ludmila,Claudia,Thibaut,Mounir,Anne-Marie</t>
        </is>
      </c>
      <c r="G385" t="n">
        <v>174.68</v>
      </c>
      <c r="H385" t="n">
        <v>18</v>
      </c>
      <c r="I385" t="inlineStr">
        <is>
          <t>Bancontact</t>
        </is>
      </c>
      <c r="J385" t="inlineStr">
        <is>
          <t>ja</t>
        </is>
      </c>
      <c r="K385" t="inlineStr">
        <is>
          <t>nee</t>
        </is>
      </c>
      <c r="L385" t="inlineStr">
        <is>
          <t>ja</t>
        </is>
      </c>
      <c r="M385" t="inlineStr">
        <is>
          <t>nee</t>
        </is>
      </c>
      <c r="N385" t="inlineStr">
        <is>
          <t>ja</t>
        </is>
      </c>
      <c r="O385" t="inlineStr">
        <is>
          <t>Geen dieet</t>
        </is>
      </c>
      <c r="Q385">
        <f>LEN(G385)-LEN(SUBSTITUTE(G385,",",""))+1</f>
        <v/>
      </c>
      <c r="R385">
        <f>SWITCH(I385, "Zelden", 1, "Af en toe", 4, "Regelmatig", 8, "Vaak", 12)</f>
        <v/>
      </c>
      <c r="S385">
        <f>AVERAGE(--(K385="ja"), --(L385="ja"), --(M385="ja"), --(N385="ja"), --(O385="ja"))*10</f>
        <v/>
      </c>
      <c r="T385">
        <f>IF(S385&gt;=7, "Tevreden", "Ontevreden")</f>
        <v/>
      </c>
    </row>
    <row r="386">
      <c r="A386" t="inlineStr">
        <is>
          <t>Mindy</t>
        </is>
      </c>
      <c r="B386" t="inlineStr">
        <is>
          <t>Thijs</t>
        </is>
      </c>
      <c r="C386" t="inlineStr">
        <is>
          <t>176.73186-12</t>
        </is>
      </c>
      <c r="D386" t="inlineStr">
        <is>
          <t>29/01/1961</t>
        </is>
      </c>
      <c r="E386" t="inlineStr">
        <is>
          <t>Keizervest 98, 3940 Hechtel-Eksel</t>
        </is>
      </c>
      <c r="F386" t="inlineStr">
        <is>
          <t>Mindy,Noam,Ali,Dennis,Jozef,Annelies</t>
        </is>
      </c>
      <c r="G386" t="n">
        <v>223.1</v>
      </c>
      <c r="H386" t="n">
        <v>10</v>
      </c>
      <c r="I386" t="inlineStr">
        <is>
          <t>Bancontact</t>
        </is>
      </c>
      <c r="J386" t="inlineStr">
        <is>
          <t>ja</t>
        </is>
      </c>
      <c r="K386" t="inlineStr">
        <is>
          <t>ja</t>
        </is>
      </c>
      <c r="L386" t="inlineStr">
        <is>
          <t>ja</t>
        </is>
      </c>
      <c r="M386" t="inlineStr">
        <is>
          <t>ja</t>
        </is>
      </c>
      <c r="N386" t="inlineStr">
        <is>
          <t>ja</t>
        </is>
      </c>
      <c r="O386" t="inlineStr">
        <is>
          <t>Vegetarisch</t>
        </is>
      </c>
      <c r="Q386">
        <f>LEN(G386)-LEN(SUBSTITUTE(G386,",",""))+1</f>
        <v/>
      </c>
      <c r="R386">
        <f>SWITCH(I386, "Zelden", 1, "Af en toe", 4, "Regelmatig", 8, "Vaak", 12)</f>
        <v/>
      </c>
      <c r="S386">
        <f>AVERAGE(--(K386="ja"), --(L386="ja"), --(M386="ja"), --(N386="ja"), --(O386="ja"))*10</f>
        <v/>
      </c>
      <c r="T386">
        <f>IF(S386&gt;=7, "Tevreden", "Ontevreden")</f>
        <v/>
      </c>
    </row>
    <row r="387">
      <c r="A387" t="inlineStr">
        <is>
          <t>Obaida</t>
        </is>
      </c>
      <c r="B387" t="inlineStr">
        <is>
          <t>Verstraeten</t>
        </is>
      </c>
      <c r="C387" t="inlineStr">
        <is>
          <t>935.68525-48</t>
        </is>
      </c>
      <c r="D387" t="inlineStr">
        <is>
          <t>07/12/1988</t>
        </is>
      </c>
      <c r="E387" t="inlineStr">
        <is>
          <t>Borkelaarstraat 63, 3840 Borgloon</t>
        </is>
      </c>
      <c r="F387" t="inlineStr">
        <is>
          <t>Obaida,Andre</t>
        </is>
      </c>
      <c r="G387" t="n">
        <v>163.58</v>
      </c>
      <c r="H387" t="n">
        <v>17</v>
      </c>
      <c r="I387" t="inlineStr">
        <is>
          <t>Payconiq</t>
        </is>
      </c>
      <c r="J387" t="inlineStr">
        <is>
          <t>ja</t>
        </is>
      </c>
      <c r="K387" t="inlineStr">
        <is>
          <t>ja</t>
        </is>
      </c>
      <c r="L387" t="inlineStr">
        <is>
          <t>ja</t>
        </is>
      </c>
      <c r="M387" t="inlineStr">
        <is>
          <t>ja</t>
        </is>
      </c>
      <c r="N387" t="inlineStr">
        <is>
          <t>ja</t>
        </is>
      </c>
      <c r="O387" t="inlineStr">
        <is>
          <t>Geen dieet</t>
        </is>
      </c>
      <c r="Q387">
        <f>LEN(G387)-LEN(SUBSTITUTE(G387,",",""))+1</f>
        <v/>
      </c>
      <c r="R387">
        <f>SWITCH(I387, "Zelden", 1, "Af en toe", 4, "Regelmatig", 8, "Vaak", 12)</f>
        <v/>
      </c>
      <c r="S387">
        <f>AVERAGE(--(K387="ja"), --(L387="ja"), --(M387="ja"), --(N387="ja"), --(O387="ja"))*10</f>
        <v/>
      </c>
      <c r="T387">
        <f>IF(S387&gt;=7, "Tevreden", "Ontevreden")</f>
        <v/>
      </c>
    </row>
    <row r="388">
      <c r="A388" t="inlineStr">
        <is>
          <t>Lisa</t>
        </is>
      </c>
      <c r="B388" t="inlineStr">
        <is>
          <t>Dethier</t>
        </is>
      </c>
      <c r="C388" t="inlineStr">
        <is>
          <t>986.47157-52</t>
        </is>
      </c>
      <c r="D388" t="inlineStr">
        <is>
          <t>17/02/1952</t>
        </is>
      </c>
      <c r="E388" t="inlineStr">
        <is>
          <t>Belgiëlaan 40, 3980 Tessenderlo</t>
        </is>
      </c>
      <c r="F388" t="inlineStr">
        <is>
          <t>Lisa,Valérie</t>
        </is>
      </c>
      <c r="G388" t="n">
        <v>25.25</v>
      </c>
      <c r="H388" t="n">
        <v>1</v>
      </c>
      <c r="I388" t="inlineStr">
        <is>
          <t>Bancontact</t>
        </is>
      </c>
      <c r="J388" t="inlineStr">
        <is>
          <t>ja</t>
        </is>
      </c>
      <c r="K388" t="inlineStr">
        <is>
          <t>ja</t>
        </is>
      </c>
      <c r="L388" t="inlineStr">
        <is>
          <t>ja</t>
        </is>
      </c>
      <c r="M388" t="inlineStr">
        <is>
          <t>ja</t>
        </is>
      </c>
      <c r="N388" t="inlineStr">
        <is>
          <t>ja</t>
        </is>
      </c>
      <c r="O388" t="inlineStr">
        <is>
          <t>Vegetarisch</t>
        </is>
      </c>
      <c r="Q388">
        <f>LEN(G388)-LEN(SUBSTITUTE(G388,",",""))+1</f>
        <v/>
      </c>
      <c r="R388">
        <f>SWITCH(I388, "Zelden", 1, "Af en toe", 4, "Regelmatig", 8, "Vaak", 12)</f>
        <v/>
      </c>
      <c r="S388">
        <f>AVERAGE(--(K388="ja"), --(L388="ja"), --(M388="ja"), --(N388="ja"), --(O388="ja"))*10</f>
        <v/>
      </c>
      <c r="T388">
        <f>IF(S388&gt;=7, "Tevreden", "Ontevreden")</f>
        <v/>
      </c>
    </row>
    <row r="389">
      <c r="A389" t="inlineStr">
        <is>
          <t>Christian</t>
        </is>
      </c>
      <c r="B389" t="inlineStr">
        <is>
          <t>Willems</t>
        </is>
      </c>
      <c r="C389" t="inlineStr">
        <is>
          <t>394.42151-38</t>
        </is>
      </c>
      <c r="D389" t="inlineStr">
        <is>
          <t>24/01/1983</t>
        </is>
      </c>
      <c r="E389" t="inlineStr">
        <is>
          <t>Kortijksesteenweg 20, 3500 Hasselt</t>
        </is>
      </c>
      <c r="F389" t="inlineStr">
        <is>
          <t>Christian,Paolo,Mathieu,Catherine</t>
        </is>
      </c>
      <c r="G389" t="n">
        <v>178.07</v>
      </c>
      <c r="H389" t="n">
        <v>17</v>
      </c>
      <c r="I389" t="inlineStr">
        <is>
          <t>Bancontact</t>
        </is>
      </c>
      <c r="J389" t="inlineStr">
        <is>
          <t>ja</t>
        </is>
      </c>
      <c r="K389" t="inlineStr">
        <is>
          <t>ja</t>
        </is>
      </c>
      <c r="L389" t="inlineStr">
        <is>
          <t>ja</t>
        </is>
      </c>
      <c r="M389" t="inlineStr">
        <is>
          <t>nee</t>
        </is>
      </c>
      <c r="N389" t="inlineStr">
        <is>
          <t>nee</t>
        </is>
      </c>
      <c r="O389" t="inlineStr">
        <is>
          <t>Geen dieet</t>
        </is>
      </c>
      <c r="Q389">
        <f>LEN(G389)-LEN(SUBSTITUTE(G389,",",""))+1</f>
        <v/>
      </c>
      <c r="R389">
        <f>SWITCH(I389, "Zelden", 1, "Af en toe", 4, "Regelmatig", 8, "Vaak", 12)</f>
        <v/>
      </c>
      <c r="S389">
        <f>AVERAGE(--(K389="ja"), --(L389="ja"), --(M389="ja"), --(N389="ja"), --(O389="ja"))*10</f>
        <v/>
      </c>
      <c r="T389">
        <f>IF(S389&gt;=7, "Tevreden", "Ontevreden")</f>
        <v/>
      </c>
    </row>
    <row r="390">
      <c r="A390" t="inlineStr">
        <is>
          <t>José</t>
        </is>
      </c>
      <c r="B390" t="inlineStr">
        <is>
          <t>Vrancken</t>
        </is>
      </c>
      <c r="C390" t="inlineStr">
        <is>
          <t>462.21779-59</t>
        </is>
      </c>
      <c r="D390" t="inlineStr">
        <is>
          <t>17/05/1962</t>
        </is>
      </c>
      <c r="E390" t="inlineStr">
        <is>
          <t>Jan Van Stopenberghestraat 35, 3630 Maasmechelen</t>
        </is>
      </c>
      <c r="F390" t="inlineStr">
        <is>
          <t>José</t>
        </is>
      </c>
      <c r="G390" t="n">
        <v>97.06999999999999</v>
      </c>
      <c r="H390" t="n">
        <v>6</v>
      </c>
      <c r="I390" t="inlineStr">
        <is>
          <t>Cash</t>
        </is>
      </c>
      <c r="J390" t="inlineStr">
        <is>
          <t>ja</t>
        </is>
      </c>
      <c r="K390" t="inlineStr">
        <is>
          <t>ja</t>
        </is>
      </c>
      <c r="L390" t="inlineStr">
        <is>
          <t>ja</t>
        </is>
      </c>
      <c r="M390" t="inlineStr">
        <is>
          <t>ja</t>
        </is>
      </c>
      <c r="N390" t="inlineStr">
        <is>
          <t>ja</t>
        </is>
      </c>
      <c r="O390" t="inlineStr">
        <is>
          <t>Geen dieet</t>
        </is>
      </c>
      <c r="Q390">
        <f>LEN(G390)-LEN(SUBSTITUTE(G390,",",""))+1</f>
        <v/>
      </c>
      <c r="R390">
        <f>SWITCH(I390, "Zelden", 1, "Af en toe", 4, "Regelmatig", 8, "Vaak", 12)</f>
        <v/>
      </c>
      <c r="S390">
        <f>AVERAGE(--(K390="ja"), --(L390="ja"), --(M390="ja"), --(N390="ja"), --(O390="ja"))*10</f>
        <v/>
      </c>
      <c r="T390">
        <f>IF(S390&gt;=7, "Tevreden", "Ontevreden")</f>
        <v/>
      </c>
    </row>
    <row r="391">
      <c r="A391" t="inlineStr">
        <is>
          <t>Steve</t>
        </is>
      </c>
      <c r="B391" t="inlineStr">
        <is>
          <t>Lemmens</t>
        </is>
      </c>
      <c r="C391" t="inlineStr">
        <is>
          <t>679.74762-65</t>
        </is>
      </c>
      <c r="D391" t="inlineStr">
        <is>
          <t>05/02/1991</t>
        </is>
      </c>
      <c r="E391" t="inlineStr">
        <is>
          <t>Driepikkelstraat 4, 3970 Leopoldsburg</t>
        </is>
      </c>
      <c r="F391" t="inlineStr">
        <is>
          <t>Steve,Sonia,Efkan,Catharine</t>
        </is>
      </c>
      <c r="G391" t="n">
        <v>203.28</v>
      </c>
      <c r="H391" t="n">
        <v>8</v>
      </c>
      <c r="I391" t="inlineStr">
        <is>
          <t>Bancontact</t>
        </is>
      </c>
      <c r="J391" t="inlineStr">
        <is>
          <t>nee</t>
        </is>
      </c>
      <c r="K391" t="inlineStr">
        <is>
          <t>nee</t>
        </is>
      </c>
      <c r="L391" t="inlineStr">
        <is>
          <t>ja</t>
        </is>
      </c>
      <c r="M391" t="inlineStr">
        <is>
          <t>ja</t>
        </is>
      </c>
      <c r="N391" t="inlineStr">
        <is>
          <t>ja</t>
        </is>
      </c>
      <c r="O391" t="inlineStr">
        <is>
          <t>Geen dieet</t>
        </is>
      </c>
      <c r="Q391">
        <f>LEN(G391)-LEN(SUBSTITUTE(G391,",",""))+1</f>
        <v/>
      </c>
      <c r="R391">
        <f>SWITCH(I391, "Zelden", 1, "Af en toe", 4, "Regelmatig", 8, "Vaak", 12)</f>
        <v/>
      </c>
      <c r="S391">
        <f>AVERAGE(--(K391="ja"), --(L391="ja"), --(M391="ja"), --(N391="ja"), --(O391="ja"))*10</f>
        <v/>
      </c>
      <c r="T391">
        <f>IF(S391&gt;=7, "Tevreden", "Ontevreden")</f>
        <v/>
      </c>
    </row>
    <row r="392">
      <c r="A392" t="inlineStr">
        <is>
          <t>Nathalie</t>
        </is>
      </c>
      <c r="B392" t="inlineStr">
        <is>
          <t>Jacobs</t>
        </is>
      </c>
      <c r="C392" t="inlineStr">
        <is>
          <t>595.40025-39</t>
        </is>
      </c>
      <c r="D392" t="inlineStr">
        <is>
          <t>15/06/1994</t>
        </is>
      </c>
      <c r="E392" t="inlineStr">
        <is>
          <t>Ledebergstraat 36, 3550 Heusden-Zolder</t>
        </is>
      </c>
      <c r="F392" t="inlineStr">
        <is>
          <t>Nathalie,Dominique</t>
        </is>
      </c>
      <c r="G392" t="n">
        <v>89.56</v>
      </c>
      <c r="H392" t="n">
        <v>6</v>
      </c>
      <c r="I392" t="inlineStr">
        <is>
          <t>Payconiq</t>
        </is>
      </c>
      <c r="J392" t="inlineStr">
        <is>
          <t>nee</t>
        </is>
      </c>
      <c r="K392" t="inlineStr">
        <is>
          <t>ja</t>
        </is>
      </c>
      <c r="L392" t="inlineStr">
        <is>
          <t>nee</t>
        </is>
      </c>
      <c r="M392" t="inlineStr">
        <is>
          <t>ja</t>
        </is>
      </c>
      <c r="N392" t="inlineStr">
        <is>
          <t>nee</t>
        </is>
      </c>
      <c r="O392" t="inlineStr">
        <is>
          <t>Geen dieet</t>
        </is>
      </c>
      <c r="Q392">
        <f>LEN(G392)-LEN(SUBSTITUTE(G392,",",""))+1</f>
        <v/>
      </c>
      <c r="R392">
        <f>SWITCH(I392, "Zelden", 1, "Af en toe", 4, "Regelmatig", 8, "Vaak", 12)</f>
        <v/>
      </c>
      <c r="S392">
        <f>AVERAGE(--(K392="ja"), --(L392="ja"), --(M392="ja"), --(N392="ja"), --(O392="ja"))*10</f>
        <v/>
      </c>
      <c r="T392">
        <f>IF(S392&gt;=7, "Tevreden", "Ontevreden")</f>
        <v/>
      </c>
    </row>
    <row r="393">
      <c r="A393" t="inlineStr">
        <is>
          <t>Gilberte</t>
        </is>
      </c>
      <c r="B393" t="inlineStr">
        <is>
          <t>Carlier</t>
        </is>
      </c>
      <c r="C393" t="inlineStr">
        <is>
          <t>871.37647-33</t>
        </is>
      </c>
      <c r="D393" t="inlineStr">
        <is>
          <t>20/03/1948</t>
        </is>
      </c>
      <c r="E393" t="inlineStr">
        <is>
          <t>Koopvaardijlaan 76, 3670 Meeuwen-Gruitrode</t>
        </is>
      </c>
      <c r="F393" t="inlineStr">
        <is>
          <t>Gilberte,Rosette,Anna,Ellen</t>
        </is>
      </c>
      <c r="G393" t="n">
        <v>196.31</v>
      </c>
      <c r="H393" t="n">
        <v>2</v>
      </c>
      <c r="I393" t="inlineStr">
        <is>
          <t>Bancontact</t>
        </is>
      </c>
      <c r="J393" t="inlineStr">
        <is>
          <t>ja</t>
        </is>
      </c>
      <c r="K393" t="inlineStr">
        <is>
          <t>ja</t>
        </is>
      </c>
      <c r="L393" t="inlineStr">
        <is>
          <t>nee</t>
        </is>
      </c>
      <c r="M393" t="inlineStr">
        <is>
          <t>ja</t>
        </is>
      </c>
      <c r="N393" t="inlineStr">
        <is>
          <t>ja</t>
        </is>
      </c>
      <c r="O393" t="inlineStr">
        <is>
          <t>Geen dieet</t>
        </is>
      </c>
      <c r="Q393">
        <f>LEN(G393)-LEN(SUBSTITUTE(G393,",",""))+1</f>
        <v/>
      </c>
      <c r="R393">
        <f>SWITCH(I393, "Zelden", 1, "Af en toe", 4, "Regelmatig", 8, "Vaak", 12)</f>
        <v/>
      </c>
      <c r="S393">
        <f>AVERAGE(--(K393="ja"), --(L393="ja"), --(M393="ja"), --(N393="ja"), --(O393="ja"))*10</f>
        <v/>
      </c>
      <c r="T393">
        <f>IF(S393&gt;=7, "Tevreden", "Ontevreden")</f>
        <v/>
      </c>
    </row>
    <row r="394">
      <c r="A394" t="inlineStr">
        <is>
          <t>Mya</t>
        </is>
      </c>
      <c r="B394" t="inlineStr">
        <is>
          <t>Bernard</t>
        </is>
      </c>
      <c r="C394" t="inlineStr">
        <is>
          <t>364.88861-91</t>
        </is>
      </c>
      <c r="D394" t="inlineStr">
        <is>
          <t>08/08/1947</t>
        </is>
      </c>
      <c r="E394" t="inlineStr">
        <is>
          <t>Lavendelstraat 22, 3870 Heers</t>
        </is>
      </c>
      <c r="F394" t="inlineStr">
        <is>
          <t>Mya,Ben,Chantal,Yoann</t>
        </is>
      </c>
      <c r="G394" t="n">
        <v>195.06</v>
      </c>
      <c r="H394" t="n">
        <v>4</v>
      </c>
      <c r="I394" t="inlineStr">
        <is>
          <t>Payconiq</t>
        </is>
      </c>
      <c r="J394" t="inlineStr">
        <is>
          <t>ja</t>
        </is>
      </c>
      <c r="K394" t="inlineStr">
        <is>
          <t>ja</t>
        </is>
      </c>
      <c r="L394" t="inlineStr">
        <is>
          <t>ja</t>
        </is>
      </c>
      <c r="M394" t="inlineStr">
        <is>
          <t>nee</t>
        </is>
      </c>
      <c r="N394" t="inlineStr">
        <is>
          <t>ja</t>
        </is>
      </c>
      <c r="O394" t="inlineStr">
        <is>
          <t>Geen dieet</t>
        </is>
      </c>
      <c r="Q394">
        <f>LEN(G394)-LEN(SUBSTITUTE(G394,",",""))+1</f>
        <v/>
      </c>
      <c r="R394">
        <f>SWITCH(I394, "Zelden", 1, "Af en toe", 4, "Regelmatig", 8, "Vaak", 12)</f>
        <v/>
      </c>
      <c r="S394">
        <f>AVERAGE(--(K394="ja"), --(L394="ja"), --(M394="ja"), --(N394="ja"), --(O394="ja"))*10</f>
        <v/>
      </c>
      <c r="T394">
        <f>IF(S394&gt;=7, "Tevreden", "Ontevreden")</f>
        <v/>
      </c>
    </row>
    <row r="395">
      <c r="A395" t="inlineStr">
        <is>
          <t>Dalila</t>
        </is>
      </c>
      <c r="B395" t="inlineStr">
        <is>
          <t>Vandevelde</t>
        </is>
      </c>
      <c r="C395" t="inlineStr">
        <is>
          <t>775.94673-81</t>
        </is>
      </c>
      <c r="D395" t="inlineStr">
        <is>
          <t>13/12/1964</t>
        </is>
      </c>
      <c r="E395" t="inlineStr">
        <is>
          <t>François Benardstraat 62, 3600 Genk</t>
        </is>
      </c>
      <c r="F395" t="inlineStr">
        <is>
          <t>Dalila,Maria,Mathieu</t>
        </is>
      </c>
      <c r="G395" t="n">
        <v>27.03</v>
      </c>
      <c r="H395" t="n">
        <v>16</v>
      </c>
      <c r="I395" t="inlineStr">
        <is>
          <t>Payconiq</t>
        </is>
      </c>
      <c r="J395" t="inlineStr">
        <is>
          <t>ja</t>
        </is>
      </c>
      <c r="K395" t="inlineStr">
        <is>
          <t>ja</t>
        </is>
      </c>
      <c r="L395" t="inlineStr">
        <is>
          <t>ja</t>
        </is>
      </c>
      <c r="M395" t="inlineStr">
        <is>
          <t>ja</t>
        </is>
      </c>
      <c r="N395" t="inlineStr">
        <is>
          <t>ja</t>
        </is>
      </c>
      <c r="O395" t="inlineStr">
        <is>
          <t>Geen dieet</t>
        </is>
      </c>
      <c r="Q395">
        <f>LEN(G395)-LEN(SUBSTITUTE(G395,",",""))+1</f>
        <v/>
      </c>
      <c r="R395">
        <f>SWITCH(I395, "Zelden", 1, "Af en toe", 4, "Regelmatig", 8, "Vaak", 12)</f>
        <v/>
      </c>
      <c r="S395">
        <f>AVERAGE(--(K395="ja"), --(L395="ja"), --(M395="ja"), --(N395="ja"), --(O395="ja"))*10</f>
        <v/>
      </c>
      <c r="T395">
        <f>IF(S395&gt;=7, "Tevreden", "Ontevreden")</f>
        <v/>
      </c>
    </row>
    <row r="396">
      <c r="A396" t="inlineStr">
        <is>
          <t>Antoine</t>
        </is>
      </c>
      <c r="B396" t="inlineStr">
        <is>
          <t>Robert</t>
        </is>
      </c>
      <c r="C396" t="inlineStr">
        <is>
          <t>795.57226-20</t>
        </is>
      </c>
      <c r="D396" t="inlineStr">
        <is>
          <t>01/01/1976</t>
        </is>
      </c>
      <c r="E396" t="inlineStr">
        <is>
          <t>Abdisstraat 25, 3700 Tongeren</t>
        </is>
      </c>
      <c r="F396" t="inlineStr">
        <is>
          <t>Antoine</t>
        </is>
      </c>
      <c r="G396" t="n">
        <v>18.98</v>
      </c>
      <c r="H396" t="n">
        <v>16</v>
      </c>
      <c r="I396" t="inlineStr">
        <is>
          <t>Bancontact</t>
        </is>
      </c>
      <c r="J396" t="inlineStr">
        <is>
          <t>ja</t>
        </is>
      </c>
      <c r="K396" t="inlineStr">
        <is>
          <t>ja</t>
        </is>
      </c>
      <c r="L396" t="inlineStr">
        <is>
          <t>nee</t>
        </is>
      </c>
      <c r="M396" t="inlineStr">
        <is>
          <t>ja</t>
        </is>
      </c>
      <c r="N396" t="inlineStr">
        <is>
          <t>ja</t>
        </is>
      </c>
      <c r="O396" t="inlineStr">
        <is>
          <t>Geen dieet</t>
        </is>
      </c>
      <c r="Q396">
        <f>LEN(G396)-LEN(SUBSTITUTE(G396,",",""))+1</f>
        <v/>
      </c>
      <c r="R396">
        <f>SWITCH(I396, "Zelden", 1, "Af en toe", 4, "Regelmatig", 8, "Vaak", 12)</f>
        <v/>
      </c>
      <c r="S396">
        <f>AVERAGE(--(K396="ja"), --(L396="ja"), --(M396="ja"), --(N396="ja"), --(O396="ja"))*10</f>
        <v/>
      </c>
      <c r="T396">
        <f>IF(S396&gt;=7, "Tevreden", "Ontevreden")</f>
        <v/>
      </c>
    </row>
    <row r="397">
      <c r="A397" t="inlineStr">
        <is>
          <t>Monique</t>
        </is>
      </c>
      <c r="B397" t="inlineStr">
        <is>
          <t>Deckers</t>
        </is>
      </c>
      <c r="C397" t="inlineStr">
        <is>
          <t>533.28779-62</t>
        </is>
      </c>
      <c r="D397" t="inlineStr">
        <is>
          <t>21/06/1980</t>
        </is>
      </c>
      <c r="E397" t="inlineStr">
        <is>
          <t>Vogelzang 12, 3680 Maaseik</t>
        </is>
      </c>
      <c r="F397" t="inlineStr">
        <is>
          <t>Monique,Nikolai,Fares,Alia</t>
        </is>
      </c>
      <c r="G397" t="n">
        <v>135.13</v>
      </c>
      <c r="H397" t="n">
        <v>15</v>
      </c>
      <c r="I397" t="inlineStr">
        <is>
          <t>Bancontact</t>
        </is>
      </c>
      <c r="J397" t="inlineStr">
        <is>
          <t>ja</t>
        </is>
      </c>
      <c r="K397" t="inlineStr">
        <is>
          <t>ja</t>
        </is>
      </c>
      <c r="L397" t="inlineStr">
        <is>
          <t>ja</t>
        </is>
      </c>
      <c r="M397" t="inlineStr">
        <is>
          <t>nee</t>
        </is>
      </c>
      <c r="N397" t="inlineStr">
        <is>
          <t>ja</t>
        </is>
      </c>
      <c r="O397" t="inlineStr">
        <is>
          <t>Geen dieet</t>
        </is>
      </c>
      <c r="Q397">
        <f>LEN(G397)-LEN(SUBSTITUTE(G397,",",""))+1</f>
        <v/>
      </c>
      <c r="R397">
        <f>SWITCH(I397, "Zelden", 1, "Af en toe", 4, "Regelmatig", 8, "Vaak", 12)</f>
        <v/>
      </c>
      <c r="S397">
        <f>AVERAGE(--(K397="ja"), --(L397="ja"), --(M397="ja"), --(N397="ja"), --(O397="ja"))*10</f>
        <v/>
      </c>
      <c r="T397">
        <f>IF(S397&gt;=7, "Tevreden", "Ontevreden")</f>
        <v/>
      </c>
    </row>
    <row r="398">
      <c r="A398" t="inlineStr">
        <is>
          <t>Femke</t>
        </is>
      </c>
      <c r="B398" t="inlineStr">
        <is>
          <t>Parmentier</t>
        </is>
      </c>
      <c r="C398" t="inlineStr">
        <is>
          <t>426.92600-40</t>
        </is>
      </c>
      <c r="D398" t="inlineStr">
        <is>
          <t>05/06/1997</t>
        </is>
      </c>
      <c r="E398" t="inlineStr">
        <is>
          <t>Bevrijdingslaan 17, 3600 Genk</t>
        </is>
      </c>
      <c r="F398" t="inlineStr">
        <is>
          <t>Femke,Jasmien</t>
        </is>
      </c>
      <c r="G398" t="n">
        <v>103.78</v>
      </c>
      <c r="H398" t="n">
        <v>1</v>
      </c>
      <c r="I398" t="inlineStr">
        <is>
          <t>Payconiq</t>
        </is>
      </c>
      <c r="J398" t="inlineStr">
        <is>
          <t>ja</t>
        </is>
      </c>
      <c r="K398" t="inlineStr">
        <is>
          <t>ja</t>
        </is>
      </c>
      <c r="L398" t="inlineStr">
        <is>
          <t>ja</t>
        </is>
      </c>
      <c r="M398" t="inlineStr">
        <is>
          <t>nee</t>
        </is>
      </c>
      <c r="N398" t="inlineStr">
        <is>
          <t>nee</t>
        </is>
      </c>
      <c r="O398" t="inlineStr">
        <is>
          <t>Geen dieet</t>
        </is>
      </c>
      <c r="Q398">
        <f>LEN(G398)-LEN(SUBSTITUTE(G398,",",""))+1</f>
        <v/>
      </c>
      <c r="R398">
        <f>SWITCH(I398, "Zelden", 1, "Af en toe", 4, "Regelmatig", 8, "Vaak", 12)</f>
        <v/>
      </c>
      <c r="S398">
        <f>AVERAGE(--(K398="ja"), --(L398="ja"), --(M398="ja"), --(N398="ja"), --(O398="ja"))*10</f>
        <v/>
      </c>
      <c r="T398">
        <f>IF(S398&gt;=7, "Tevreden", "Ontevreden")</f>
        <v/>
      </c>
    </row>
    <row r="399">
      <c r="A399" t="inlineStr">
        <is>
          <t>Stijn</t>
        </is>
      </c>
      <c r="B399" t="inlineStr">
        <is>
          <t>Vaes</t>
        </is>
      </c>
      <c r="C399" t="inlineStr">
        <is>
          <t>222.27295-62</t>
        </is>
      </c>
      <c r="D399" t="inlineStr">
        <is>
          <t>03/01/1966</t>
        </is>
      </c>
      <c r="E399" t="inlineStr">
        <is>
          <t>Jef Crickstraat 6, 3600 Genk</t>
        </is>
      </c>
      <c r="F399" t="inlineStr">
        <is>
          <t>Stijn,Jordan</t>
        </is>
      </c>
      <c r="G399" t="n">
        <v>75.76000000000001</v>
      </c>
      <c r="H399" t="n">
        <v>9</v>
      </c>
      <c r="I399" t="inlineStr">
        <is>
          <t>Cash</t>
        </is>
      </c>
      <c r="J399" t="inlineStr">
        <is>
          <t>ja</t>
        </is>
      </c>
      <c r="K399" t="inlineStr">
        <is>
          <t>ja</t>
        </is>
      </c>
      <c r="L399" t="inlineStr">
        <is>
          <t>nee</t>
        </is>
      </c>
      <c r="M399" t="inlineStr">
        <is>
          <t>nee</t>
        </is>
      </c>
      <c r="N399" t="inlineStr">
        <is>
          <t>nee</t>
        </is>
      </c>
      <c r="O399" t="inlineStr">
        <is>
          <t>Geen dieet</t>
        </is>
      </c>
      <c r="Q399">
        <f>LEN(G399)-LEN(SUBSTITUTE(G399,",",""))+1</f>
        <v/>
      </c>
      <c r="R399">
        <f>SWITCH(I399, "Zelden", 1, "Af en toe", 4, "Regelmatig", 8, "Vaak", 12)</f>
        <v/>
      </c>
      <c r="S399">
        <f>AVERAGE(--(K399="ja"), --(L399="ja"), --(M399="ja"), --(N399="ja"), --(O399="ja"))*10</f>
        <v/>
      </c>
      <c r="T399">
        <f>IF(S399&gt;=7, "Tevreden", "Ontevreden")</f>
        <v/>
      </c>
    </row>
    <row r="400">
      <c r="A400" t="inlineStr">
        <is>
          <t>Kim</t>
        </is>
      </c>
      <c r="B400" t="inlineStr">
        <is>
          <t>Willems</t>
        </is>
      </c>
      <c r="C400" t="inlineStr">
        <is>
          <t>533.23524-79</t>
        </is>
      </c>
      <c r="D400" t="inlineStr">
        <is>
          <t>05/09/1949</t>
        </is>
      </c>
      <c r="E400" t="inlineStr">
        <is>
          <t>Frans Louwersstraat 70, 3910 Neerpelt</t>
        </is>
      </c>
      <c r="F400" t="inlineStr">
        <is>
          <t>Kim,Chantal,Cassandra,Salmane,Uzma</t>
        </is>
      </c>
      <c r="G400" t="n">
        <v>160.6</v>
      </c>
      <c r="H400" t="n">
        <v>13</v>
      </c>
      <c r="I400" t="inlineStr">
        <is>
          <t>Payconiq</t>
        </is>
      </c>
      <c r="J400" t="inlineStr">
        <is>
          <t>nee</t>
        </is>
      </c>
      <c r="K400" t="inlineStr">
        <is>
          <t>ja</t>
        </is>
      </c>
      <c r="L400" t="inlineStr">
        <is>
          <t>nee</t>
        </is>
      </c>
      <c r="M400" t="inlineStr">
        <is>
          <t>ja</t>
        </is>
      </c>
      <c r="N400" t="inlineStr">
        <is>
          <t>nee</t>
        </is>
      </c>
      <c r="O400" t="inlineStr">
        <is>
          <t>Veganistisch</t>
        </is>
      </c>
      <c r="Q400">
        <f>LEN(G400)-LEN(SUBSTITUTE(G400,",",""))+1</f>
        <v/>
      </c>
      <c r="R400">
        <f>SWITCH(I400, "Zelden", 1, "Af en toe", 4, "Regelmatig", 8, "Vaak", 12)</f>
        <v/>
      </c>
      <c r="S400">
        <f>AVERAGE(--(K400="ja"), --(L400="ja"), --(M400="ja"), --(N400="ja"), --(O400="ja"))*10</f>
        <v/>
      </c>
      <c r="T400">
        <f>IF(S400&gt;=7, "Tevreden", "Ontevreden")</f>
        <v/>
      </c>
    </row>
    <row r="401">
      <c r="A401" t="inlineStr">
        <is>
          <t>François</t>
        </is>
      </c>
      <c r="B401" t="inlineStr">
        <is>
          <t>Verheyen</t>
        </is>
      </c>
      <c r="C401" t="inlineStr">
        <is>
          <t>28.46052-45</t>
        </is>
      </c>
      <c r="D401" t="inlineStr">
        <is>
          <t>13/12/1985</t>
        </is>
      </c>
      <c r="E401" t="inlineStr">
        <is>
          <t>Keuze 62, 3530 Houthalen-Helchteren</t>
        </is>
      </c>
      <c r="F401" t="inlineStr">
        <is>
          <t>François,Jean-Charles</t>
        </is>
      </c>
      <c r="G401" t="n">
        <v>60.41</v>
      </c>
      <c r="H401" t="n">
        <v>4</v>
      </c>
      <c r="I401" t="inlineStr">
        <is>
          <t>Payconiq</t>
        </is>
      </c>
      <c r="J401" t="inlineStr">
        <is>
          <t>nee</t>
        </is>
      </c>
      <c r="K401" t="inlineStr">
        <is>
          <t>nee</t>
        </is>
      </c>
      <c r="L401" t="inlineStr">
        <is>
          <t>ja</t>
        </is>
      </c>
      <c r="M401" t="inlineStr">
        <is>
          <t>ja</t>
        </is>
      </c>
      <c r="N401" t="inlineStr">
        <is>
          <t>ja</t>
        </is>
      </c>
      <c r="O401" t="inlineStr">
        <is>
          <t>Veganistisch</t>
        </is>
      </c>
      <c r="Q401">
        <f>LEN(G401)-LEN(SUBSTITUTE(G401,",",""))+1</f>
        <v/>
      </c>
      <c r="R401">
        <f>SWITCH(I401, "Zelden", 1, "Af en toe", 4, "Regelmatig", 8, "Vaak", 12)</f>
        <v/>
      </c>
      <c r="S401">
        <f>AVERAGE(--(K401="ja"), --(L401="ja"), --(M401="ja"), --(N401="ja"), --(O401="ja"))*10</f>
        <v/>
      </c>
      <c r="T401">
        <f>IF(S401&gt;=7, "Tevreden", "Ontevreden")</f>
        <v/>
      </c>
    </row>
    <row r="402">
      <c r="A402" t="inlineStr">
        <is>
          <t>Elyana</t>
        </is>
      </c>
      <c r="B402" t="inlineStr">
        <is>
          <t>Bodart</t>
        </is>
      </c>
      <c r="C402" t="inlineStr">
        <is>
          <t>845.73989-81</t>
        </is>
      </c>
      <c r="D402" t="inlineStr">
        <is>
          <t>01/08/1992</t>
        </is>
      </c>
      <c r="E402" t="inlineStr">
        <is>
          <t>Kortemunt 44, 3660 Opglabbeek</t>
        </is>
      </c>
      <c r="F402" t="inlineStr">
        <is>
          <t>Elyana</t>
        </is>
      </c>
      <c r="G402" t="n">
        <v>19.92</v>
      </c>
      <c r="H402" t="n">
        <v>16</v>
      </c>
      <c r="I402" t="inlineStr">
        <is>
          <t>Payconiq</t>
        </is>
      </c>
      <c r="J402" t="inlineStr">
        <is>
          <t>ja</t>
        </is>
      </c>
      <c r="K402" t="inlineStr">
        <is>
          <t>ja</t>
        </is>
      </c>
      <c r="L402" t="inlineStr">
        <is>
          <t>ja</t>
        </is>
      </c>
      <c r="M402" t="inlineStr">
        <is>
          <t>nee</t>
        </is>
      </c>
      <c r="N402" t="inlineStr">
        <is>
          <t>ja</t>
        </is>
      </c>
      <c r="O402" t="inlineStr">
        <is>
          <t>Geen dieet</t>
        </is>
      </c>
      <c r="Q402">
        <f>LEN(G402)-LEN(SUBSTITUTE(G402,",",""))+1</f>
        <v/>
      </c>
      <c r="R402">
        <f>SWITCH(I402, "Zelden", 1, "Af en toe", 4, "Regelmatig", 8, "Vaak", 12)</f>
        <v/>
      </c>
      <c r="S402">
        <f>AVERAGE(--(K402="ja"), --(L402="ja"), --(M402="ja"), --(N402="ja"), --(O402="ja"))*10</f>
        <v/>
      </c>
      <c r="T402">
        <f>IF(S402&gt;=7, "Tevreden", "Ontevreden")</f>
        <v/>
      </c>
    </row>
    <row r="403">
      <c r="A403" t="inlineStr">
        <is>
          <t>Taher</t>
        </is>
      </c>
      <c r="B403" t="inlineStr">
        <is>
          <t>Lambert</t>
        </is>
      </c>
      <c r="C403" t="inlineStr">
        <is>
          <t>916.27578-71</t>
        </is>
      </c>
      <c r="D403" t="inlineStr">
        <is>
          <t>07/11/1945</t>
        </is>
      </c>
      <c r="E403" t="inlineStr">
        <is>
          <t>Forelstraat 33, 3550 Heusden-Zolder</t>
        </is>
      </c>
      <c r="F403" t="inlineStr">
        <is>
          <t>Taher,Ziggy</t>
        </is>
      </c>
      <c r="G403" t="n">
        <v>76.12</v>
      </c>
      <c r="H403" t="n">
        <v>1</v>
      </c>
      <c r="I403" t="inlineStr">
        <is>
          <t>Cash</t>
        </is>
      </c>
      <c r="J403" t="inlineStr">
        <is>
          <t>nee</t>
        </is>
      </c>
      <c r="K403" t="inlineStr">
        <is>
          <t>ja</t>
        </is>
      </c>
      <c r="L403" t="inlineStr">
        <is>
          <t>ja</t>
        </is>
      </c>
      <c r="M403" t="inlineStr">
        <is>
          <t>nee</t>
        </is>
      </c>
      <c r="N403" t="inlineStr">
        <is>
          <t>ja</t>
        </is>
      </c>
      <c r="O403" t="inlineStr">
        <is>
          <t>Vegetarisch</t>
        </is>
      </c>
      <c r="Q403">
        <f>LEN(G403)-LEN(SUBSTITUTE(G403,",",""))+1</f>
        <v/>
      </c>
      <c r="R403">
        <f>SWITCH(I403, "Zelden", 1, "Af en toe", 4, "Regelmatig", 8, "Vaak", 12)</f>
        <v/>
      </c>
      <c r="S403">
        <f>AVERAGE(--(K403="ja"), --(L403="ja"), --(M403="ja"), --(N403="ja"), --(O403="ja"))*10</f>
        <v/>
      </c>
      <c r="T403">
        <f>IF(S403&gt;=7, "Tevreden", "Ontevreden")</f>
        <v/>
      </c>
    </row>
    <row r="404">
      <c r="A404" t="inlineStr">
        <is>
          <t>Tony</t>
        </is>
      </c>
      <c r="B404" t="inlineStr">
        <is>
          <t>Vandenbussche</t>
        </is>
      </c>
      <c r="C404" t="inlineStr">
        <is>
          <t>150.48480-43</t>
        </is>
      </c>
      <c r="D404" t="inlineStr">
        <is>
          <t>18/01/1972</t>
        </is>
      </c>
      <c r="E404" t="inlineStr">
        <is>
          <t>Sint-baafsplein 77, 3831 Herten</t>
        </is>
      </c>
      <c r="F404" t="inlineStr">
        <is>
          <t>Tony,Albert,Marinette,Sonja</t>
        </is>
      </c>
      <c r="G404" t="n">
        <v>94.54000000000001</v>
      </c>
      <c r="H404" t="n">
        <v>5</v>
      </c>
      <c r="I404" t="inlineStr">
        <is>
          <t>Cash</t>
        </is>
      </c>
      <c r="J404" t="inlineStr">
        <is>
          <t>ja</t>
        </is>
      </c>
      <c r="K404" t="inlineStr">
        <is>
          <t>ja</t>
        </is>
      </c>
      <c r="L404" t="inlineStr">
        <is>
          <t>nee</t>
        </is>
      </c>
      <c r="M404" t="inlineStr">
        <is>
          <t>ja</t>
        </is>
      </c>
      <c r="N404" t="inlineStr">
        <is>
          <t>nee</t>
        </is>
      </c>
      <c r="O404" t="inlineStr">
        <is>
          <t>Geen dieet</t>
        </is>
      </c>
      <c r="Q404">
        <f>LEN(G404)-LEN(SUBSTITUTE(G404,",",""))+1</f>
        <v/>
      </c>
      <c r="R404">
        <f>SWITCH(I404, "Zelden", 1, "Af en toe", 4, "Regelmatig", 8, "Vaak", 12)</f>
        <v/>
      </c>
      <c r="S404">
        <f>AVERAGE(--(K404="ja"), --(L404="ja"), --(M404="ja"), --(N404="ja"), --(O404="ja"))*10</f>
        <v/>
      </c>
      <c r="T404">
        <f>IF(S404&gt;=7, "Tevreden", "Ontevreden")</f>
        <v/>
      </c>
    </row>
    <row r="405">
      <c r="A405" t="inlineStr">
        <is>
          <t>Ingrid</t>
        </is>
      </c>
      <c r="B405" t="inlineStr">
        <is>
          <t>Smets</t>
        </is>
      </c>
      <c r="C405" t="inlineStr">
        <is>
          <t>533.18190-71</t>
        </is>
      </c>
      <c r="D405" t="inlineStr">
        <is>
          <t>24/06/1960</t>
        </is>
      </c>
      <c r="E405" t="inlineStr">
        <is>
          <t>Onafhankelijkheidslaan 20, 3500 Hasselt</t>
        </is>
      </c>
      <c r="F405" t="inlineStr">
        <is>
          <t>Ingrid,Sophie</t>
        </is>
      </c>
      <c r="G405" t="n">
        <v>171.11</v>
      </c>
      <c r="H405" t="n">
        <v>9</v>
      </c>
      <c r="I405" t="inlineStr">
        <is>
          <t>Bancontact</t>
        </is>
      </c>
      <c r="J405" t="inlineStr">
        <is>
          <t>ja</t>
        </is>
      </c>
      <c r="K405" t="inlineStr">
        <is>
          <t>nee</t>
        </is>
      </c>
      <c r="L405" t="inlineStr">
        <is>
          <t>nee</t>
        </is>
      </c>
      <c r="M405" t="inlineStr">
        <is>
          <t>ja</t>
        </is>
      </c>
      <c r="N405" t="inlineStr">
        <is>
          <t>ja</t>
        </is>
      </c>
      <c r="O405" t="inlineStr">
        <is>
          <t>Vegetarisch</t>
        </is>
      </c>
      <c r="Q405">
        <f>LEN(G405)-LEN(SUBSTITUTE(G405,",",""))+1</f>
        <v/>
      </c>
      <c r="R405">
        <f>SWITCH(I405, "Zelden", 1, "Af en toe", 4, "Regelmatig", 8, "Vaak", 12)</f>
        <v/>
      </c>
      <c r="S405">
        <f>AVERAGE(--(K405="ja"), --(L405="ja"), --(M405="ja"), --(N405="ja"), --(O405="ja"))*10</f>
        <v/>
      </c>
      <c r="T405">
        <f>IF(S405&gt;=7, "Tevreden", "Ontevreden")</f>
        <v/>
      </c>
    </row>
    <row r="406">
      <c r="A406" t="inlineStr">
        <is>
          <t>Martine</t>
        </is>
      </c>
      <c r="B406" t="inlineStr">
        <is>
          <t>Wouters</t>
        </is>
      </c>
      <c r="C406" t="inlineStr">
        <is>
          <t>603.29496-57</t>
        </is>
      </c>
      <c r="D406" t="inlineStr">
        <is>
          <t>23/04/1950</t>
        </is>
      </c>
      <c r="E406" t="inlineStr">
        <is>
          <t>Pijphoekstraat 46, 3831 Herten</t>
        </is>
      </c>
      <c r="F406" t="inlineStr">
        <is>
          <t>Martine,Jeanine</t>
        </is>
      </c>
      <c r="G406" t="n">
        <v>133.17</v>
      </c>
      <c r="H406" t="n">
        <v>5</v>
      </c>
      <c r="I406" t="inlineStr">
        <is>
          <t>Cash</t>
        </is>
      </c>
      <c r="J406" t="inlineStr">
        <is>
          <t>ja</t>
        </is>
      </c>
      <c r="K406" t="inlineStr">
        <is>
          <t>ja</t>
        </is>
      </c>
      <c r="L406" t="inlineStr">
        <is>
          <t>nee</t>
        </is>
      </c>
      <c r="M406" t="inlineStr">
        <is>
          <t>ja</t>
        </is>
      </c>
      <c r="N406" t="inlineStr">
        <is>
          <t>ja</t>
        </is>
      </c>
      <c r="O406" t="inlineStr">
        <is>
          <t>Vegetarisch</t>
        </is>
      </c>
      <c r="Q406">
        <f>LEN(G406)-LEN(SUBSTITUTE(G406,",",""))+1</f>
        <v/>
      </c>
      <c r="R406">
        <f>SWITCH(I406, "Zelden", 1, "Af en toe", 4, "Regelmatig", 8, "Vaak", 12)</f>
        <v/>
      </c>
      <c r="S406">
        <f>AVERAGE(--(K406="ja"), --(L406="ja"), --(M406="ja"), --(N406="ja"), --(O406="ja"))*10</f>
        <v/>
      </c>
      <c r="T406">
        <f>IF(S406&gt;=7, "Tevreden", "Ontevreden")</f>
        <v/>
      </c>
    </row>
    <row r="407">
      <c r="A407" t="inlineStr">
        <is>
          <t>Emma</t>
        </is>
      </c>
      <c r="B407" t="inlineStr">
        <is>
          <t>Van de velde</t>
        </is>
      </c>
      <c r="C407" t="inlineStr">
        <is>
          <t>300.87798-98</t>
        </is>
      </c>
      <c r="D407" t="inlineStr">
        <is>
          <t>22/07/1972</t>
        </is>
      </c>
      <c r="E407" t="inlineStr">
        <is>
          <t>Oudebareelstraat 21, 3890 Vorden</t>
        </is>
      </c>
      <c r="F407" t="inlineStr">
        <is>
          <t>Emma,Murielle,Rafaela</t>
        </is>
      </c>
      <c r="G407" t="n">
        <v>99.73</v>
      </c>
      <c r="H407" t="n">
        <v>16</v>
      </c>
      <c r="I407" t="inlineStr">
        <is>
          <t>Bancontact</t>
        </is>
      </c>
      <c r="J407" t="inlineStr">
        <is>
          <t>ja</t>
        </is>
      </c>
      <c r="K407" t="inlineStr">
        <is>
          <t>ja</t>
        </is>
      </c>
      <c r="L407" t="inlineStr">
        <is>
          <t>nee</t>
        </is>
      </c>
      <c r="M407" t="inlineStr">
        <is>
          <t>ja</t>
        </is>
      </c>
      <c r="N407" t="inlineStr">
        <is>
          <t>ja</t>
        </is>
      </c>
      <c r="O407" t="inlineStr">
        <is>
          <t>Geen dieet</t>
        </is>
      </c>
      <c r="Q407">
        <f>LEN(G407)-LEN(SUBSTITUTE(G407,",",""))+1</f>
        <v/>
      </c>
      <c r="R407">
        <f>SWITCH(I407, "Zelden", 1, "Af en toe", 4, "Regelmatig", 8, "Vaak", 12)</f>
        <v/>
      </c>
      <c r="S407">
        <f>AVERAGE(--(K407="ja"), --(L407="ja"), --(M407="ja"), --(N407="ja"), --(O407="ja"))*10</f>
        <v/>
      </c>
      <c r="T407">
        <f>IF(S407&gt;=7, "Tevreden", "Ontevreden")</f>
        <v/>
      </c>
    </row>
    <row r="408">
      <c r="A408" t="inlineStr">
        <is>
          <t>Alain</t>
        </is>
      </c>
      <c r="B408" t="inlineStr">
        <is>
          <t>Verheyen</t>
        </is>
      </c>
      <c r="C408" t="inlineStr">
        <is>
          <t>159.20027-66</t>
        </is>
      </c>
      <c r="D408" t="inlineStr">
        <is>
          <t>26/06/1956</t>
        </is>
      </c>
      <c r="E408" t="inlineStr">
        <is>
          <t>Twaalfapostelenstraat 13, 3910 Neerpelt</t>
        </is>
      </c>
      <c r="F408" t="inlineStr">
        <is>
          <t>Alain,Juliette</t>
        </is>
      </c>
      <c r="G408" t="n">
        <v>134.58</v>
      </c>
      <c r="H408" t="n">
        <v>9</v>
      </c>
      <c r="I408" t="inlineStr">
        <is>
          <t>Cash</t>
        </is>
      </c>
      <c r="J408" t="inlineStr">
        <is>
          <t>ja</t>
        </is>
      </c>
      <c r="K408" t="inlineStr">
        <is>
          <t>ja</t>
        </is>
      </c>
      <c r="L408" t="inlineStr">
        <is>
          <t>ja</t>
        </is>
      </c>
      <c r="M408" t="inlineStr">
        <is>
          <t>ja</t>
        </is>
      </c>
      <c r="N408" t="inlineStr">
        <is>
          <t>ja</t>
        </is>
      </c>
      <c r="O408" t="inlineStr">
        <is>
          <t>Vegetarisch</t>
        </is>
      </c>
      <c r="Q408">
        <f>LEN(G408)-LEN(SUBSTITUTE(G408,",",""))+1</f>
        <v/>
      </c>
      <c r="R408">
        <f>SWITCH(I408, "Zelden", 1, "Af en toe", 4, "Regelmatig", 8, "Vaak", 12)</f>
        <v/>
      </c>
      <c r="S408">
        <f>AVERAGE(--(K408="ja"), --(L408="ja"), --(M408="ja"), --(N408="ja"), --(O408="ja"))*10</f>
        <v/>
      </c>
      <c r="T408">
        <f>IF(S408&gt;=7, "Tevreden", "Ontevreden")</f>
        <v/>
      </c>
    </row>
    <row r="409">
      <c r="A409" t="inlineStr">
        <is>
          <t>Sami</t>
        </is>
      </c>
      <c r="B409" t="inlineStr">
        <is>
          <t>Decock</t>
        </is>
      </c>
      <c r="C409" t="inlineStr">
        <is>
          <t>286.37364-16</t>
        </is>
      </c>
      <c r="D409" t="inlineStr">
        <is>
          <t>17/05/1997</t>
        </is>
      </c>
      <c r="E409" t="inlineStr">
        <is>
          <t>Tennisbaanstraat 69, 3670 Meeuwen-Gruitrode</t>
        </is>
      </c>
      <c r="F409" t="inlineStr">
        <is>
          <t>Sami,Marianne,Musa,Vanessa,Nina</t>
        </is>
      </c>
      <c r="G409" t="n">
        <v>138.38</v>
      </c>
      <c r="H409" t="n">
        <v>20</v>
      </c>
      <c r="I409" t="inlineStr">
        <is>
          <t>Payconiq</t>
        </is>
      </c>
      <c r="J409" t="inlineStr">
        <is>
          <t>ja</t>
        </is>
      </c>
      <c r="K409" t="inlineStr">
        <is>
          <t>nee</t>
        </is>
      </c>
      <c r="L409" t="inlineStr">
        <is>
          <t>nee</t>
        </is>
      </c>
      <c r="M409" t="inlineStr">
        <is>
          <t>ja</t>
        </is>
      </c>
      <c r="N409" t="inlineStr">
        <is>
          <t>ja</t>
        </is>
      </c>
      <c r="O409" t="inlineStr">
        <is>
          <t>Geen dieet</t>
        </is>
      </c>
      <c r="Q409">
        <f>LEN(G409)-LEN(SUBSTITUTE(G409,",",""))+1</f>
        <v/>
      </c>
      <c r="R409">
        <f>SWITCH(I409, "Zelden", 1, "Af en toe", 4, "Regelmatig", 8, "Vaak", 12)</f>
        <v/>
      </c>
      <c r="S409">
        <f>AVERAGE(--(K409="ja"), --(L409="ja"), --(M409="ja"), --(N409="ja"), --(O409="ja"))*10</f>
        <v/>
      </c>
      <c r="T409">
        <f>IF(S409&gt;=7, "Tevreden", "Ontevreden")</f>
        <v/>
      </c>
    </row>
    <row r="410">
      <c r="A410" t="inlineStr">
        <is>
          <t>Hilde</t>
        </is>
      </c>
      <c r="B410" t="inlineStr">
        <is>
          <t>Smets</t>
        </is>
      </c>
      <c r="C410" t="inlineStr">
        <is>
          <t>68.17203-43</t>
        </is>
      </c>
      <c r="D410" t="inlineStr">
        <is>
          <t>10/02/1981</t>
        </is>
      </c>
      <c r="E410" t="inlineStr">
        <is>
          <t>Elyzeese Velden 36, 3650 Dilsen-Stokkem</t>
        </is>
      </c>
      <c r="F410" t="inlineStr">
        <is>
          <t>Hilde,Pascal,Nathan,Bram,Louis</t>
        </is>
      </c>
      <c r="G410" t="n">
        <v>181.4</v>
      </c>
      <c r="H410" t="n">
        <v>26</v>
      </c>
      <c r="I410" t="inlineStr">
        <is>
          <t>Bancontact</t>
        </is>
      </c>
      <c r="J410" t="inlineStr">
        <is>
          <t>ja</t>
        </is>
      </c>
      <c r="K410" t="inlineStr">
        <is>
          <t>ja</t>
        </is>
      </c>
      <c r="L410" t="inlineStr">
        <is>
          <t>ja</t>
        </is>
      </c>
      <c r="M410" t="inlineStr">
        <is>
          <t>ja</t>
        </is>
      </c>
      <c r="N410" t="inlineStr">
        <is>
          <t>ja</t>
        </is>
      </c>
      <c r="O410" t="inlineStr">
        <is>
          <t>Geen dieet</t>
        </is>
      </c>
      <c r="Q410">
        <f>LEN(G410)-LEN(SUBSTITUTE(G410,",",""))+1</f>
        <v/>
      </c>
      <c r="R410">
        <f>SWITCH(I410, "Zelden", 1, "Af en toe", 4, "Regelmatig", 8, "Vaak", 12)</f>
        <v/>
      </c>
      <c r="S410">
        <f>AVERAGE(--(K410="ja"), --(L410="ja"), --(M410="ja"), --(N410="ja"), --(O410="ja"))*10</f>
        <v/>
      </c>
      <c r="T410">
        <f>IF(S410&gt;=7, "Tevreden", "Ontevreden")</f>
        <v/>
      </c>
    </row>
    <row r="411">
      <c r="A411" t="inlineStr">
        <is>
          <t>Vanessa</t>
        </is>
      </c>
      <c r="B411" t="inlineStr">
        <is>
          <t>Goossens</t>
        </is>
      </c>
      <c r="C411" t="inlineStr">
        <is>
          <t>793.56765-31</t>
        </is>
      </c>
      <c r="D411" t="inlineStr">
        <is>
          <t>29/01/2001</t>
        </is>
      </c>
      <c r="E411" t="inlineStr">
        <is>
          <t>Marekstraat 31, 3900 Overpelt</t>
        </is>
      </c>
      <c r="F411" t="inlineStr">
        <is>
          <t>Vanessa,Viviane</t>
        </is>
      </c>
      <c r="G411" t="n">
        <v>190.76</v>
      </c>
      <c r="H411" t="n">
        <v>8</v>
      </c>
      <c r="I411" t="inlineStr">
        <is>
          <t>Bancontact</t>
        </is>
      </c>
      <c r="J411" t="inlineStr">
        <is>
          <t>nee</t>
        </is>
      </c>
      <c r="K411" t="inlineStr">
        <is>
          <t>ja</t>
        </is>
      </c>
      <c r="L411" t="inlineStr">
        <is>
          <t>ja</t>
        </is>
      </c>
      <c r="M411" t="inlineStr">
        <is>
          <t>nee</t>
        </is>
      </c>
      <c r="N411" t="inlineStr">
        <is>
          <t>ja</t>
        </is>
      </c>
      <c r="O411" t="inlineStr">
        <is>
          <t>Geen dieet</t>
        </is>
      </c>
      <c r="Q411">
        <f>LEN(G411)-LEN(SUBSTITUTE(G411,",",""))+1</f>
        <v/>
      </c>
      <c r="R411">
        <f>SWITCH(I411, "Zelden", 1, "Af en toe", 4, "Regelmatig", 8, "Vaak", 12)</f>
        <v/>
      </c>
      <c r="S411">
        <f>AVERAGE(--(K411="ja"), --(L411="ja"), --(M411="ja"), --(N411="ja"), --(O411="ja"))*10</f>
        <v/>
      </c>
      <c r="T411">
        <f>IF(S411&gt;=7, "Tevreden", "Ontevreden")</f>
        <v/>
      </c>
    </row>
    <row r="412">
      <c r="A412" t="inlineStr">
        <is>
          <t>Steven</t>
        </is>
      </c>
      <c r="B412" t="inlineStr">
        <is>
          <t>Van hoof</t>
        </is>
      </c>
      <c r="C412" t="inlineStr">
        <is>
          <t>744.49581-58</t>
        </is>
      </c>
      <c r="D412" t="inlineStr">
        <is>
          <t>10/12/1992</t>
        </is>
      </c>
      <c r="E412" t="inlineStr">
        <is>
          <t>Jacob Van Arteveldestraat 72, 3530 Houthalen-Helchteren</t>
        </is>
      </c>
      <c r="F412" t="inlineStr">
        <is>
          <t>Steven,Constant,Henri,Kevin</t>
        </is>
      </c>
      <c r="G412" t="n">
        <v>210.89</v>
      </c>
      <c r="H412" t="n">
        <v>1</v>
      </c>
      <c r="I412" t="inlineStr">
        <is>
          <t>Payconiq</t>
        </is>
      </c>
      <c r="J412" t="inlineStr">
        <is>
          <t>nee</t>
        </is>
      </c>
      <c r="K412" t="inlineStr">
        <is>
          <t>ja</t>
        </is>
      </c>
      <c r="L412" t="inlineStr">
        <is>
          <t>ja</t>
        </is>
      </c>
      <c r="M412" t="inlineStr">
        <is>
          <t>ja</t>
        </is>
      </c>
      <c r="N412" t="inlineStr">
        <is>
          <t>ja</t>
        </is>
      </c>
      <c r="O412" t="inlineStr">
        <is>
          <t>Geen dieet</t>
        </is>
      </c>
      <c r="Q412">
        <f>LEN(G412)-LEN(SUBSTITUTE(G412,",",""))+1</f>
        <v/>
      </c>
      <c r="R412">
        <f>SWITCH(I412, "Zelden", 1, "Af en toe", 4, "Regelmatig", 8, "Vaak", 12)</f>
        <v/>
      </c>
      <c r="S412">
        <f>AVERAGE(--(K412="ja"), --(L412="ja"), --(M412="ja"), --(N412="ja"), --(O412="ja"))*10</f>
        <v/>
      </c>
      <c r="T412">
        <f>IF(S412&gt;=7, "Tevreden", "Ontevreden")</f>
        <v/>
      </c>
    </row>
    <row r="413">
      <c r="A413" t="inlineStr">
        <is>
          <t>Peggy</t>
        </is>
      </c>
      <c r="B413" t="inlineStr">
        <is>
          <t>Smits</t>
        </is>
      </c>
      <c r="C413" t="inlineStr">
        <is>
          <t>66.93744-68</t>
        </is>
      </c>
      <c r="D413" t="inlineStr">
        <is>
          <t>08/09/1991</t>
        </is>
      </c>
      <c r="E413" t="inlineStr">
        <is>
          <t>Ferdinand Lousbergskaai 1, 3920 Lommel</t>
        </is>
      </c>
      <c r="F413" t="inlineStr">
        <is>
          <t>Peggy,Bouchra,Jules,Sumitra,Delphine</t>
        </is>
      </c>
      <c r="G413" t="n">
        <v>122.41</v>
      </c>
      <c r="H413" t="n">
        <v>21</v>
      </c>
      <c r="I413" t="inlineStr">
        <is>
          <t>Bancontact</t>
        </is>
      </c>
      <c r="J413" t="inlineStr">
        <is>
          <t>ja</t>
        </is>
      </c>
      <c r="K413" t="inlineStr">
        <is>
          <t>ja</t>
        </is>
      </c>
      <c r="L413" t="inlineStr">
        <is>
          <t>ja</t>
        </is>
      </c>
      <c r="M413" t="inlineStr">
        <is>
          <t>ja</t>
        </is>
      </c>
      <c r="N413" t="inlineStr">
        <is>
          <t>ja</t>
        </is>
      </c>
      <c r="O413" t="inlineStr">
        <is>
          <t>Vegetarisch</t>
        </is>
      </c>
      <c r="Q413">
        <f>LEN(G413)-LEN(SUBSTITUTE(G413,",",""))+1</f>
        <v/>
      </c>
      <c r="R413">
        <f>SWITCH(I413, "Zelden", 1, "Af en toe", 4, "Regelmatig", 8, "Vaak", 12)</f>
        <v/>
      </c>
      <c r="S413">
        <f>AVERAGE(--(K413="ja"), --(L413="ja"), --(M413="ja"), --(N413="ja"), --(O413="ja"))*10</f>
        <v/>
      </c>
      <c r="T413">
        <f>IF(S413&gt;=7, "Tevreden", "Ontevreden")</f>
        <v/>
      </c>
    </row>
    <row r="414">
      <c r="A414" t="inlineStr">
        <is>
          <t>Rosa</t>
        </is>
      </c>
      <c r="B414" t="inlineStr">
        <is>
          <t>De smet</t>
        </is>
      </c>
      <c r="C414" t="inlineStr">
        <is>
          <t>785.55992-19</t>
        </is>
      </c>
      <c r="D414" t="inlineStr">
        <is>
          <t>14/01/1970</t>
        </is>
      </c>
      <c r="E414" t="inlineStr">
        <is>
          <t>Onze-lieve-vrouwdreef 58, 3550 Heusden-Zolder</t>
        </is>
      </c>
      <c r="F414" t="inlineStr">
        <is>
          <t>Rosa</t>
        </is>
      </c>
      <c r="G414" t="n">
        <v>96.98999999999999</v>
      </c>
      <c r="H414" t="n">
        <v>7</v>
      </c>
      <c r="I414" t="inlineStr">
        <is>
          <t>Bancontact</t>
        </is>
      </c>
      <c r="J414" t="inlineStr">
        <is>
          <t>ja</t>
        </is>
      </c>
      <c r="K414" t="inlineStr">
        <is>
          <t>ja</t>
        </is>
      </c>
      <c r="L414" t="inlineStr">
        <is>
          <t>nee</t>
        </is>
      </c>
      <c r="M414" t="inlineStr">
        <is>
          <t>ja</t>
        </is>
      </c>
      <c r="N414" t="inlineStr">
        <is>
          <t>nee</t>
        </is>
      </c>
      <c r="O414" t="inlineStr">
        <is>
          <t>Geen dieet</t>
        </is>
      </c>
      <c r="Q414">
        <f>LEN(G414)-LEN(SUBSTITUTE(G414,",",""))+1</f>
        <v/>
      </c>
      <c r="R414">
        <f>SWITCH(I414, "Zelden", 1, "Af en toe", 4, "Regelmatig", 8, "Vaak", 12)</f>
        <v/>
      </c>
      <c r="S414">
        <f>AVERAGE(--(K414="ja"), --(L414="ja"), --(M414="ja"), --(N414="ja"), --(O414="ja"))*10</f>
        <v/>
      </c>
      <c r="T414">
        <f>IF(S414&gt;=7, "Tevreden", "Ontevreden")</f>
        <v/>
      </c>
    </row>
    <row r="415">
      <c r="A415" t="inlineStr">
        <is>
          <t>Amira</t>
        </is>
      </c>
      <c r="B415" t="inlineStr">
        <is>
          <t>Goffin</t>
        </is>
      </c>
      <c r="C415" t="inlineStr">
        <is>
          <t>419.25199-36</t>
        </is>
      </c>
      <c r="D415" t="inlineStr">
        <is>
          <t>17/11/1986</t>
        </is>
      </c>
      <c r="E415" t="inlineStr">
        <is>
          <t>Proeftuinstraat 4, 3600 Genk</t>
        </is>
      </c>
      <c r="F415" t="inlineStr">
        <is>
          <t>Amira,Didier,Peter</t>
        </is>
      </c>
      <c r="G415" t="n">
        <v>186.24</v>
      </c>
      <c r="H415" t="n">
        <v>13</v>
      </c>
      <c r="I415" t="inlineStr">
        <is>
          <t>Bancontact</t>
        </is>
      </c>
      <c r="J415" t="inlineStr">
        <is>
          <t>ja</t>
        </is>
      </c>
      <c r="K415" t="inlineStr">
        <is>
          <t>ja</t>
        </is>
      </c>
      <c r="L415" t="inlineStr">
        <is>
          <t>nee</t>
        </is>
      </c>
      <c r="M415" t="inlineStr">
        <is>
          <t>ja</t>
        </is>
      </c>
      <c r="N415" t="inlineStr">
        <is>
          <t>ja</t>
        </is>
      </c>
      <c r="O415" t="inlineStr">
        <is>
          <t>Veganistisch</t>
        </is>
      </c>
      <c r="Q415">
        <f>LEN(G415)-LEN(SUBSTITUTE(G415,",",""))+1</f>
        <v/>
      </c>
      <c r="R415">
        <f>SWITCH(I415, "Zelden", 1, "Af en toe", 4, "Regelmatig", 8, "Vaak", 12)</f>
        <v/>
      </c>
      <c r="S415">
        <f>AVERAGE(--(K415="ja"), --(L415="ja"), --(M415="ja"), --(N415="ja"), --(O415="ja"))*10</f>
        <v/>
      </c>
      <c r="T415">
        <f>IF(S415&gt;=7, "Tevreden", "Ontevreden")</f>
        <v/>
      </c>
    </row>
    <row r="416">
      <c r="A416" t="inlineStr">
        <is>
          <t>Julie</t>
        </is>
      </c>
      <c r="B416" t="inlineStr">
        <is>
          <t>Vanhove</t>
        </is>
      </c>
      <c r="C416" t="inlineStr">
        <is>
          <t>431.62661-66</t>
        </is>
      </c>
      <c r="D416" t="inlineStr">
        <is>
          <t>02/09/1957</t>
        </is>
      </c>
      <c r="E416" t="inlineStr">
        <is>
          <t>Motorstraat 28, 3831 Herten</t>
        </is>
      </c>
      <c r="F416" t="inlineStr">
        <is>
          <t>Julie,Lenka</t>
        </is>
      </c>
      <c r="G416" t="n">
        <v>37.49</v>
      </c>
      <c r="H416" t="n">
        <v>10</v>
      </c>
      <c r="I416" t="inlineStr">
        <is>
          <t>Bancontact</t>
        </is>
      </c>
      <c r="J416" t="inlineStr">
        <is>
          <t>ja</t>
        </is>
      </c>
      <c r="K416" t="inlineStr">
        <is>
          <t>ja</t>
        </is>
      </c>
      <c r="L416" t="inlineStr">
        <is>
          <t>nee</t>
        </is>
      </c>
      <c r="M416" t="inlineStr">
        <is>
          <t>ja</t>
        </is>
      </c>
      <c r="N416" t="inlineStr">
        <is>
          <t>ja</t>
        </is>
      </c>
      <c r="O416" t="inlineStr">
        <is>
          <t>Geen dieet</t>
        </is>
      </c>
      <c r="Q416">
        <f>LEN(G416)-LEN(SUBSTITUTE(G416,",",""))+1</f>
        <v/>
      </c>
      <c r="R416">
        <f>SWITCH(I416, "Zelden", 1, "Af en toe", 4, "Regelmatig", 8, "Vaak", 12)</f>
        <v/>
      </c>
      <c r="S416">
        <f>AVERAGE(--(K416="ja"), --(L416="ja"), --(M416="ja"), --(N416="ja"), --(O416="ja"))*10</f>
        <v/>
      </c>
      <c r="T416">
        <f>IF(S416&gt;=7, "Tevreden", "Ontevreden")</f>
        <v/>
      </c>
    </row>
    <row r="417">
      <c r="A417" t="inlineStr">
        <is>
          <t>Billie</t>
        </is>
      </c>
      <c r="B417" t="inlineStr">
        <is>
          <t>Dewaele</t>
        </is>
      </c>
      <c r="C417" t="inlineStr">
        <is>
          <t>686.33127-63</t>
        </is>
      </c>
      <c r="D417" t="inlineStr">
        <is>
          <t>21/10/1957</t>
        </is>
      </c>
      <c r="E417" t="inlineStr">
        <is>
          <t>Schepenhuisstraat 17, 3500 Hasselt</t>
        </is>
      </c>
      <c r="F417" t="inlineStr">
        <is>
          <t>Billie,Juliana,Stef,Christine</t>
        </is>
      </c>
      <c r="G417" t="n">
        <v>122.9</v>
      </c>
      <c r="H417" t="n">
        <v>5</v>
      </c>
      <c r="I417" t="inlineStr">
        <is>
          <t>Payconiq</t>
        </is>
      </c>
      <c r="J417" t="inlineStr">
        <is>
          <t>ja</t>
        </is>
      </c>
      <c r="K417" t="inlineStr">
        <is>
          <t>nee</t>
        </is>
      </c>
      <c r="L417" t="inlineStr">
        <is>
          <t>ja</t>
        </is>
      </c>
      <c r="M417" t="inlineStr">
        <is>
          <t>ja</t>
        </is>
      </c>
      <c r="N417" t="inlineStr">
        <is>
          <t>ja</t>
        </is>
      </c>
      <c r="O417" t="inlineStr">
        <is>
          <t>Geen dieet</t>
        </is>
      </c>
      <c r="Q417">
        <f>LEN(G417)-LEN(SUBSTITUTE(G417,",",""))+1</f>
        <v/>
      </c>
      <c r="R417">
        <f>SWITCH(I417, "Zelden", 1, "Af en toe", 4, "Regelmatig", 8, "Vaak", 12)</f>
        <v/>
      </c>
      <c r="S417">
        <f>AVERAGE(--(K417="ja"), --(L417="ja"), --(M417="ja"), --(N417="ja"), --(O417="ja"))*10</f>
        <v/>
      </c>
      <c r="T417">
        <f>IF(S417&gt;=7, "Tevreden", "Ontevreden")</f>
        <v/>
      </c>
    </row>
    <row r="418">
      <c r="A418" t="inlineStr">
        <is>
          <t>Justine</t>
        </is>
      </c>
      <c r="B418" t="inlineStr">
        <is>
          <t>Maes</t>
        </is>
      </c>
      <c r="C418" t="inlineStr">
        <is>
          <t>242.10037-18</t>
        </is>
      </c>
      <c r="D418" t="inlineStr">
        <is>
          <t>10/12/1958</t>
        </is>
      </c>
      <c r="E418" t="inlineStr">
        <is>
          <t>Steenakker 45, 3630 Maasmechelen</t>
        </is>
      </c>
      <c r="F418" t="inlineStr">
        <is>
          <t>Justine,Lutgarde</t>
        </is>
      </c>
      <c r="G418" t="n">
        <v>65.84</v>
      </c>
      <c r="H418" t="n">
        <v>9</v>
      </c>
      <c r="I418" t="inlineStr">
        <is>
          <t>Payconiq</t>
        </is>
      </c>
      <c r="J418" t="inlineStr">
        <is>
          <t>ja</t>
        </is>
      </c>
      <c r="K418" t="inlineStr">
        <is>
          <t>ja</t>
        </is>
      </c>
      <c r="L418" t="inlineStr">
        <is>
          <t>ja</t>
        </is>
      </c>
      <c r="M418" t="inlineStr">
        <is>
          <t>ja</t>
        </is>
      </c>
      <c r="N418" t="inlineStr">
        <is>
          <t>ja</t>
        </is>
      </c>
      <c r="O418" t="inlineStr">
        <is>
          <t>Vegetarisch</t>
        </is>
      </c>
      <c r="Q418">
        <f>LEN(G418)-LEN(SUBSTITUTE(G418,",",""))+1</f>
        <v/>
      </c>
      <c r="R418">
        <f>SWITCH(I418, "Zelden", 1, "Af en toe", 4, "Regelmatig", 8, "Vaak", 12)</f>
        <v/>
      </c>
      <c r="S418">
        <f>AVERAGE(--(K418="ja"), --(L418="ja"), --(M418="ja"), --(N418="ja"), --(O418="ja"))*10</f>
        <v/>
      </c>
      <c r="T418">
        <f>IF(S418&gt;=7, "Tevreden", "Ontevreden")</f>
        <v/>
      </c>
    </row>
    <row r="419">
      <c r="A419" t="inlineStr">
        <is>
          <t>Virginie</t>
        </is>
      </c>
      <c r="B419" t="inlineStr">
        <is>
          <t>Robert</t>
        </is>
      </c>
      <c r="C419" t="inlineStr">
        <is>
          <t>190.87417-66</t>
        </is>
      </c>
      <c r="D419" t="inlineStr">
        <is>
          <t>21/08/1961</t>
        </is>
      </c>
      <c r="E419" t="inlineStr">
        <is>
          <t>Klimoplaan 50, 3700 Tongeren</t>
        </is>
      </c>
      <c r="F419" t="inlineStr">
        <is>
          <t>Virginie,Lode,Isabel,Alicia</t>
        </is>
      </c>
      <c r="G419" t="n">
        <v>89.02</v>
      </c>
      <c r="H419" t="n">
        <v>12</v>
      </c>
      <c r="I419" t="inlineStr">
        <is>
          <t>Bancontact</t>
        </is>
      </c>
      <c r="J419" t="inlineStr">
        <is>
          <t>ja</t>
        </is>
      </c>
      <c r="K419" t="inlineStr">
        <is>
          <t>ja</t>
        </is>
      </c>
      <c r="L419" t="inlineStr">
        <is>
          <t>ja</t>
        </is>
      </c>
      <c r="M419" t="inlineStr">
        <is>
          <t>nee</t>
        </is>
      </c>
      <c r="N419" t="inlineStr">
        <is>
          <t>ja</t>
        </is>
      </c>
      <c r="O419" t="inlineStr">
        <is>
          <t>Geen dieet</t>
        </is>
      </c>
      <c r="Q419">
        <f>LEN(G419)-LEN(SUBSTITUTE(G419,",",""))+1</f>
        <v/>
      </c>
      <c r="R419">
        <f>SWITCH(I419, "Zelden", 1, "Af en toe", 4, "Regelmatig", 8, "Vaak", 12)</f>
        <v/>
      </c>
      <c r="S419">
        <f>AVERAGE(--(K419="ja"), --(L419="ja"), --(M419="ja"), --(N419="ja"), --(O419="ja"))*10</f>
        <v/>
      </c>
      <c r="T419">
        <f>IF(S419&gt;=7, "Tevreden", "Ontevreden")</f>
        <v/>
      </c>
    </row>
    <row r="420">
      <c r="A420" t="inlineStr">
        <is>
          <t>Adele</t>
        </is>
      </c>
      <c r="B420" t="inlineStr">
        <is>
          <t>Smeets</t>
        </is>
      </c>
      <c r="C420" t="inlineStr">
        <is>
          <t>972.89367-57</t>
        </is>
      </c>
      <c r="D420" t="inlineStr">
        <is>
          <t>02/06/1949</t>
        </is>
      </c>
      <c r="E420" t="inlineStr">
        <is>
          <t>Keizer Karelstraat 10, 3590 Diepenbeek</t>
        </is>
      </c>
      <c r="F420" t="inlineStr">
        <is>
          <t>Adele,Valeria,Wim</t>
        </is>
      </c>
      <c r="G420" t="n">
        <v>101.86</v>
      </c>
      <c r="H420" t="n">
        <v>2</v>
      </c>
      <c r="I420" t="inlineStr">
        <is>
          <t>Payconiq</t>
        </is>
      </c>
      <c r="J420" t="inlineStr">
        <is>
          <t>nee</t>
        </is>
      </c>
      <c r="K420" t="inlineStr">
        <is>
          <t>ja</t>
        </is>
      </c>
      <c r="L420" t="inlineStr">
        <is>
          <t>nee</t>
        </is>
      </c>
      <c r="M420" t="inlineStr">
        <is>
          <t>ja</t>
        </is>
      </c>
      <c r="N420" t="inlineStr">
        <is>
          <t>ja</t>
        </is>
      </c>
      <c r="O420" t="inlineStr">
        <is>
          <t>Geen dieet</t>
        </is>
      </c>
      <c r="Q420">
        <f>LEN(G420)-LEN(SUBSTITUTE(G420,",",""))+1</f>
        <v/>
      </c>
      <c r="R420">
        <f>SWITCH(I420, "Zelden", 1, "Af en toe", 4, "Regelmatig", 8, "Vaak", 12)</f>
        <v/>
      </c>
      <c r="S420">
        <f>AVERAGE(--(K420="ja"), --(L420="ja"), --(M420="ja"), --(N420="ja"), --(O420="ja"))*10</f>
        <v/>
      </c>
      <c r="T420">
        <f>IF(S420&gt;=7, "Tevreden", "Ontevreden")</f>
        <v/>
      </c>
    </row>
    <row r="421">
      <c r="A421" t="inlineStr">
        <is>
          <t>Mohamed</t>
        </is>
      </c>
      <c r="B421" t="inlineStr">
        <is>
          <t>Remy</t>
        </is>
      </c>
      <c r="C421" t="inlineStr">
        <is>
          <t>202.99674-39</t>
        </is>
      </c>
      <c r="D421" t="inlineStr">
        <is>
          <t>20/11/1982</t>
        </is>
      </c>
      <c r="E421" t="inlineStr">
        <is>
          <t>Ter Platen 93, 3630 Maasmechelen</t>
        </is>
      </c>
      <c r="F421" t="inlineStr">
        <is>
          <t>Mohamed,Giuseppe,Justine</t>
        </is>
      </c>
      <c r="G421" t="n">
        <v>83</v>
      </c>
      <c r="H421" t="n">
        <v>14</v>
      </c>
      <c r="I421" t="inlineStr">
        <is>
          <t>Cash</t>
        </is>
      </c>
      <c r="J421" t="inlineStr">
        <is>
          <t>ja</t>
        </is>
      </c>
      <c r="K421" t="inlineStr">
        <is>
          <t>ja</t>
        </is>
      </c>
      <c r="L421" t="inlineStr">
        <is>
          <t>nee</t>
        </is>
      </c>
      <c r="M421" t="inlineStr">
        <is>
          <t>ja</t>
        </is>
      </c>
      <c r="N421" t="inlineStr">
        <is>
          <t>ja</t>
        </is>
      </c>
      <c r="O421" t="inlineStr">
        <is>
          <t>Geen dieet</t>
        </is>
      </c>
      <c r="Q421">
        <f>LEN(G421)-LEN(SUBSTITUTE(G421,",",""))+1</f>
        <v/>
      </c>
      <c r="R421">
        <f>SWITCH(I421, "Zelden", 1, "Af en toe", 4, "Regelmatig", 8, "Vaak", 12)</f>
        <v/>
      </c>
      <c r="S421">
        <f>AVERAGE(--(K421="ja"), --(L421="ja"), --(M421="ja"), --(N421="ja"), --(O421="ja"))*10</f>
        <v/>
      </c>
      <c r="T421">
        <f>IF(S421&gt;=7, "Tevreden", "Ontevreden")</f>
        <v/>
      </c>
    </row>
    <row r="422">
      <c r="A422" t="inlineStr">
        <is>
          <t>Linda</t>
        </is>
      </c>
      <c r="B422" t="inlineStr">
        <is>
          <t>Callewaert</t>
        </is>
      </c>
      <c r="C422" t="inlineStr">
        <is>
          <t>132.99072-38</t>
        </is>
      </c>
      <c r="D422" t="inlineStr">
        <is>
          <t>18/01/1946</t>
        </is>
      </c>
      <c r="E422" t="inlineStr">
        <is>
          <t>Mimosastraat 102, 3630 Maasmechelen</t>
        </is>
      </c>
      <c r="F422" t="inlineStr">
        <is>
          <t>Linda,Yano,Igor,Dominique,Ayoub</t>
        </is>
      </c>
      <c r="G422" t="n">
        <v>224.86</v>
      </c>
      <c r="H422" t="n">
        <v>1</v>
      </c>
      <c r="I422" t="inlineStr">
        <is>
          <t>Bancontact</t>
        </is>
      </c>
      <c r="J422" t="inlineStr">
        <is>
          <t>ja</t>
        </is>
      </c>
      <c r="K422" t="inlineStr">
        <is>
          <t>ja</t>
        </is>
      </c>
      <c r="L422" t="inlineStr">
        <is>
          <t>ja</t>
        </is>
      </c>
      <c r="M422" t="inlineStr">
        <is>
          <t>ja</t>
        </is>
      </c>
      <c r="N422" t="inlineStr">
        <is>
          <t>nee</t>
        </is>
      </c>
      <c r="O422" t="inlineStr">
        <is>
          <t>Geen dieet</t>
        </is>
      </c>
      <c r="Q422">
        <f>LEN(G422)-LEN(SUBSTITUTE(G422,",",""))+1</f>
        <v/>
      </c>
      <c r="R422">
        <f>SWITCH(I422, "Zelden", 1, "Af en toe", 4, "Regelmatig", 8, "Vaak", 12)</f>
        <v/>
      </c>
      <c r="S422">
        <f>AVERAGE(--(K422="ja"), --(L422="ja"), --(M422="ja"), --(N422="ja"), --(O422="ja"))*10</f>
        <v/>
      </c>
      <c r="T422">
        <f>IF(S422&gt;=7, "Tevreden", "Ontevreden")</f>
        <v/>
      </c>
    </row>
    <row r="423">
      <c r="A423" t="inlineStr">
        <is>
          <t>Annie</t>
        </is>
      </c>
      <c r="B423" t="inlineStr">
        <is>
          <t>Goossens</t>
        </is>
      </c>
      <c r="C423" t="inlineStr">
        <is>
          <t>701.60741-85</t>
        </is>
      </c>
      <c r="D423" t="inlineStr">
        <is>
          <t>02/10/1974</t>
        </is>
      </c>
      <c r="E423" t="inlineStr">
        <is>
          <t>Ridderstraat 32, 3630 Maasmechelen</t>
        </is>
      </c>
      <c r="F423" t="inlineStr">
        <is>
          <t>Annie</t>
        </is>
      </c>
      <c r="G423" t="n">
        <v>44.28</v>
      </c>
      <c r="H423" t="n">
        <v>6</v>
      </c>
      <c r="I423" t="inlineStr">
        <is>
          <t>Creditcard</t>
        </is>
      </c>
      <c r="J423" t="inlineStr">
        <is>
          <t>ja</t>
        </is>
      </c>
      <c r="K423" t="inlineStr">
        <is>
          <t>nee</t>
        </is>
      </c>
      <c r="L423" t="inlineStr">
        <is>
          <t>ja</t>
        </is>
      </c>
      <c r="M423" t="inlineStr">
        <is>
          <t>nee</t>
        </is>
      </c>
      <c r="N423" t="inlineStr">
        <is>
          <t>ja</t>
        </is>
      </c>
      <c r="O423" t="inlineStr">
        <is>
          <t>Veganistisch</t>
        </is>
      </c>
      <c r="Q423">
        <f>LEN(G423)-LEN(SUBSTITUTE(G423,",",""))+1</f>
        <v/>
      </c>
      <c r="R423">
        <f>SWITCH(I423, "Zelden", 1, "Af en toe", 4, "Regelmatig", 8, "Vaak", 12)</f>
        <v/>
      </c>
      <c r="S423">
        <f>AVERAGE(--(K423="ja"), --(L423="ja"), --(M423="ja"), --(N423="ja"), --(O423="ja"))*10</f>
        <v/>
      </c>
      <c r="T423">
        <f>IF(S423&gt;=7, "Tevreden", "Ontevreden")</f>
        <v/>
      </c>
    </row>
    <row r="424">
      <c r="A424" t="inlineStr">
        <is>
          <t>Narong</t>
        </is>
      </c>
      <c r="B424" t="inlineStr">
        <is>
          <t>Heylen</t>
        </is>
      </c>
      <c r="C424" t="inlineStr">
        <is>
          <t>919.95319-45</t>
        </is>
      </c>
      <c r="D424" t="inlineStr">
        <is>
          <t>14/10/1961</t>
        </is>
      </c>
      <c r="E424" t="inlineStr">
        <is>
          <t>Destelbergenstraat 2, 3890 Gingelom</t>
        </is>
      </c>
      <c r="F424" t="inlineStr">
        <is>
          <t>Narong,Adnan,Sébastien</t>
        </is>
      </c>
      <c r="G424" t="n">
        <v>115.26</v>
      </c>
      <c r="H424" t="n">
        <v>17</v>
      </c>
      <c r="I424" t="inlineStr">
        <is>
          <t>Bancontact</t>
        </is>
      </c>
      <c r="J424" t="inlineStr">
        <is>
          <t>nee</t>
        </is>
      </c>
      <c r="K424" t="inlineStr">
        <is>
          <t>ja</t>
        </is>
      </c>
      <c r="L424" t="inlineStr">
        <is>
          <t>ja</t>
        </is>
      </c>
      <c r="M424" t="inlineStr">
        <is>
          <t>ja</t>
        </is>
      </c>
      <c r="N424" t="inlineStr">
        <is>
          <t>ja</t>
        </is>
      </c>
      <c r="O424" t="inlineStr">
        <is>
          <t>Geen dieet</t>
        </is>
      </c>
      <c r="Q424">
        <f>LEN(G424)-LEN(SUBSTITUTE(G424,",",""))+1</f>
        <v/>
      </c>
      <c r="R424">
        <f>SWITCH(I424, "Zelden", 1, "Af en toe", 4, "Regelmatig", 8, "Vaak", 12)</f>
        <v/>
      </c>
      <c r="S424">
        <f>AVERAGE(--(K424="ja"), --(L424="ja"), --(M424="ja"), --(N424="ja"), --(O424="ja"))*10</f>
        <v/>
      </c>
      <c r="T424">
        <f>IF(S424&gt;=7, "Tevreden", "Ontevreden")</f>
        <v/>
      </c>
    </row>
    <row r="425">
      <c r="A425" t="inlineStr">
        <is>
          <t>Tifanny</t>
        </is>
      </c>
      <c r="B425" t="inlineStr">
        <is>
          <t>De paepe</t>
        </is>
      </c>
      <c r="C425" t="inlineStr">
        <is>
          <t>429.90639-81</t>
        </is>
      </c>
      <c r="D425" t="inlineStr">
        <is>
          <t>26/01/1986</t>
        </is>
      </c>
      <c r="E425" t="inlineStr">
        <is>
          <t>Gaston Crommenlaan 1, 3660 Opglabbeek</t>
        </is>
      </c>
      <c r="F425" t="inlineStr">
        <is>
          <t>Tifanny,Johan</t>
        </is>
      </c>
      <c r="G425" t="n">
        <v>154.71</v>
      </c>
      <c r="H425" t="n">
        <v>15</v>
      </c>
      <c r="I425" t="inlineStr">
        <is>
          <t>Payconiq</t>
        </is>
      </c>
      <c r="J425" t="inlineStr">
        <is>
          <t>ja</t>
        </is>
      </c>
      <c r="K425" t="inlineStr">
        <is>
          <t>ja</t>
        </is>
      </c>
      <c r="L425" t="inlineStr">
        <is>
          <t>ja</t>
        </is>
      </c>
      <c r="M425" t="inlineStr">
        <is>
          <t>nee</t>
        </is>
      </c>
      <c r="N425" t="inlineStr">
        <is>
          <t>ja</t>
        </is>
      </c>
      <c r="O425" t="inlineStr">
        <is>
          <t>Geen dieet</t>
        </is>
      </c>
      <c r="Q425">
        <f>LEN(G425)-LEN(SUBSTITUTE(G425,",",""))+1</f>
        <v/>
      </c>
      <c r="R425">
        <f>SWITCH(I425, "Zelden", 1, "Af en toe", 4, "Regelmatig", 8, "Vaak", 12)</f>
        <v/>
      </c>
      <c r="S425">
        <f>AVERAGE(--(K425="ja"), --(L425="ja"), --(M425="ja"), --(N425="ja"), --(O425="ja"))*10</f>
        <v/>
      </c>
      <c r="T425">
        <f>IF(S425&gt;=7, "Tevreden", "Ontevreden")</f>
        <v/>
      </c>
    </row>
    <row r="426">
      <c r="A426" t="inlineStr">
        <is>
          <t>Eléonore</t>
        </is>
      </c>
      <c r="B426" t="inlineStr">
        <is>
          <t>Descamps</t>
        </is>
      </c>
      <c r="C426" t="inlineStr">
        <is>
          <t>875.86037-30</t>
        </is>
      </c>
      <c r="D426" t="inlineStr">
        <is>
          <t>31/05/1983</t>
        </is>
      </c>
      <c r="E426" t="inlineStr">
        <is>
          <t>Jan Delvinlaan 19, 3840 Borgloon</t>
        </is>
      </c>
      <c r="F426" t="inlineStr">
        <is>
          <t>Eléonore,Judith,Delphine</t>
        </is>
      </c>
      <c r="G426" t="n">
        <v>163.36</v>
      </c>
      <c r="H426" t="n">
        <v>16</v>
      </c>
      <c r="I426" t="inlineStr">
        <is>
          <t>Bancontact</t>
        </is>
      </c>
      <c r="J426" t="inlineStr">
        <is>
          <t>ja</t>
        </is>
      </c>
      <c r="K426" t="inlineStr">
        <is>
          <t>ja</t>
        </is>
      </c>
      <c r="L426" t="inlineStr">
        <is>
          <t>ja</t>
        </is>
      </c>
      <c r="M426" t="inlineStr">
        <is>
          <t>nee</t>
        </is>
      </c>
      <c r="N426" t="inlineStr">
        <is>
          <t>ja</t>
        </is>
      </c>
      <c r="O426" t="inlineStr">
        <is>
          <t>Geen dieet</t>
        </is>
      </c>
      <c r="Q426">
        <f>LEN(G426)-LEN(SUBSTITUTE(G426,",",""))+1</f>
        <v/>
      </c>
      <c r="R426">
        <f>SWITCH(I426, "Zelden", 1, "Af en toe", 4, "Regelmatig", 8, "Vaak", 12)</f>
        <v/>
      </c>
      <c r="S426">
        <f>AVERAGE(--(K426="ja"), --(L426="ja"), --(M426="ja"), --(N426="ja"), --(O426="ja"))*10</f>
        <v/>
      </c>
      <c r="T426">
        <f>IF(S426&gt;=7, "Tevreden", "Ontevreden")</f>
        <v/>
      </c>
    </row>
    <row r="427">
      <c r="A427" t="inlineStr">
        <is>
          <t>Marc</t>
        </is>
      </c>
      <c r="B427" t="inlineStr">
        <is>
          <t>Colson</t>
        </is>
      </c>
      <c r="C427" t="inlineStr">
        <is>
          <t>199.78443-10</t>
        </is>
      </c>
      <c r="D427" t="inlineStr">
        <is>
          <t>18/01/1996</t>
        </is>
      </c>
      <c r="E427" t="inlineStr">
        <is>
          <t>Poolse - Winglaan 36, 3770 Riemst</t>
        </is>
      </c>
      <c r="F427" t="inlineStr">
        <is>
          <t>Marc,Carina,Marije,Thalya</t>
        </is>
      </c>
      <c r="G427" t="n">
        <v>174.33</v>
      </c>
      <c r="H427" t="n">
        <v>1</v>
      </c>
      <c r="I427" t="inlineStr">
        <is>
          <t>Cash</t>
        </is>
      </c>
      <c r="J427" t="inlineStr">
        <is>
          <t>ja</t>
        </is>
      </c>
      <c r="K427" t="inlineStr">
        <is>
          <t>ja</t>
        </is>
      </c>
      <c r="L427" t="inlineStr">
        <is>
          <t>nee</t>
        </is>
      </c>
      <c r="M427" t="inlineStr">
        <is>
          <t>ja</t>
        </is>
      </c>
      <c r="N427" t="inlineStr">
        <is>
          <t>ja</t>
        </is>
      </c>
      <c r="O427" t="inlineStr">
        <is>
          <t>Geen dieet</t>
        </is>
      </c>
      <c r="Q427">
        <f>LEN(G427)-LEN(SUBSTITUTE(G427,",",""))+1</f>
        <v/>
      </c>
      <c r="R427">
        <f>SWITCH(I427, "Zelden", 1, "Af en toe", 4, "Regelmatig", 8, "Vaak", 12)</f>
        <v/>
      </c>
      <c r="S427">
        <f>AVERAGE(--(K427="ja"), --(L427="ja"), --(M427="ja"), --(N427="ja"), --(O427="ja"))*10</f>
        <v/>
      </c>
      <c r="T427">
        <f>IF(S427&gt;=7, "Tevreden", "Ontevreden")</f>
        <v/>
      </c>
    </row>
    <row r="428">
      <c r="A428" t="inlineStr">
        <is>
          <t>Zakaria</t>
        </is>
      </c>
      <c r="B428" t="inlineStr">
        <is>
          <t>Smets</t>
        </is>
      </c>
      <c r="C428" t="inlineStr">
        <is>
          <t>853.69758-32</t>
        </is>
      </c>
      <c r="D428" t="inlineStr">
        <is>
          <t>22/03/1997</t>
        </is>
      </c>
      <c r="E428" t="inlineStr">
        <is>
          <t>Harlekijnstraat 35, 3590 Diepenbeek</t>
        </is>
      </c>
      <c r="F428" t="inlineStr">
        <is>
          <t>Zakaria,Anas</t>
        </is>
      </c>
      <c r="G428" t="n">
        <v>20.04</v>
      </c>
      <c r="H428" t="n">
        <v>2</v>
      </c>
      <c r="I428" t="inlineStr">
        <is>
          <t>Bancontact</t>
        </is>
      </c>
      <c r="J428" t="inlineStr">
        <is>
          <t>ja</t>
        </is>
      </c>
      <c r="K428" t="inlineStr">
        <is>
          <t>ja</t>
        </is>
      </c>
      <c r="L428" t="inlineStr">
        <is>
          <t>ja</t>
        </is>
      </c>
      <c r="M428" t="inlineStr">
        <is>
          <t>nee</t>
        </is>
      </c>
      <c r="N428" t="inlineStr">
        <is>
          <t>nee</t>
        </is>
      </c>
      <c r="O428" t="inlineStr">
        <is>
          <t>Geen dieet</t>
        </is>
      </c>
      <c r="Q428">
        <f>LEN(G428)-LEN(SUBSTITUTE(G428,",",""))+1</f>
        <v/>
      </c>
      <c r="R428">
        <f>SWITCH(I428, "Zelden", 1, "Af en toe", 4, "Regelmatig", 8, "Vaak", 12)</f>
        <v/>
      </c>
      <c r="S428">
        <f>AVERAGE(--(K428="ja"), --(L428="ja"), --(M428="ja"), --(N428="ja"), --(O428="ja"))*10</f>
        <v/>
      </c>
      <c r="T428">
        <f>IF(S428&gt;=7, "Tevreden", "Ontevreden")</f>
        <v/>
      </c>
    </row>
    <row r="429">
      <c r="A429" t="inlineStr">
        <is>
          <t>Anny</t>
        </is>
      </c>
      <c r="B429" t="inlineStr">
        <is>
          <t>Collignon</t>
        </is>
      </c>
      <c r="C429" t="inlineStr">
        <is>
          <t>135.19763-63</t>
        </is>
      </c>
      <c r="D429" t="inlineStr">
        <is>
          <t>05/08/1992</t>
        </is>
      </c>
      <c r="E429" t="inlineStr">
        <is>
          <t>H. Frère Orbanlaan 8, 3800 Sint-Truiden</t>
        </is>
      </c>
      <c r="F429" t="inlineStr">
        <is>
          <t>Anny,Sarah,Beatrix,Jean-Pierre</t>
        </is>
      </c>
      <c r="G429" t="n">
        <v>177.39</v>
      </c>
      <c r="H429" t="n">
        <v>22</v>
      </c>
      <c r="I429" t="inlineStr">
        <is>
          <t>Bancontact</t>
        </is>
      </c>
      <c r="J429" t="inlineStr">
        <is>
          <t>ja</t>
        </is>
      </c>
      <c r="K429" t="inlineStr">
        <is>
          <t>ja</t>
        </is>
      </c>
      <c r="L429" t="inlineStr">
        <is>
          <t>ja</t>
        </is>
      </c>
      <c r="M429" t="inlineStr">
        <is>
          <t>nee</t>
        </is>
      </c>
      <c r="N429" t="inlineStr">
        <is>
          <t>nee</t>
        </is>
      </c>
      <c r="O429" t="inlineStr">
        <is>
          <t>Geen dieet</t>
        </is>
      </c>
      <c r="Q429">
        <f>LEN(G429)-LEN(SUBSTITUTE(G429,",",""))+1</f>
        <v/>
      </c>
      <c r="R429">
        <f>SWITCH(I429, "Zelden", 1, "Af en toe", 4, "Regelmatig", 8, "Vaak", 12)</f>
        <v/>
      </c>
      <c r="S429">
        <f>AVERAGE(--(K429="ja"), --(L429="ja"), --(M429="ja"), --(N429="ja"), --(O429="ja"))*10</f>
        <v/>
      </c>
      <c r="T429">
        <f>IF(S429&gt;=7, "Tevreden", "Ontevreden")</f>
        <v/>
      </c>
    </row>
    <row r="430">
      <c r="A430" t="inlineStr">
        <is>
          <t>Dirk</t>
        </is>
      </c>
      <c r="B430" t="inlineStr">
        <is>
          <t>Verhelst</t>
        </is>
      </c>
      <c r="C430" t="inlineStr">
        <is>
          <t>878.90839-21</t>
        </is>
      </c>
      <c r="D430" t="inlineStr">
        <is>
          <t>05/02/1987</t>
        </is>
      </c>
      <c r="E430" t="inlineStr">
        <is>
          <t>Ferdinand Lousbergskaai 49, 3831 Herten</t>
        </is>
      </c>
      <c r="F430" t="inlineStr">
        <is>
          <t>Dirk,Bénédicte</t>
        </is>
      </c>
      <c r="G430" t="n">
        <v>96.06</v>
      </c>
      <c r="H430" t="n">
        <v>10</v>
      </c>
      <c r="I430" t="inlineStr">
        <is>
          <t>Cash</t>
        </is>
      </c>
      <c r="J430" t="inlineStr">
        <is>
          <t>ja</t>
        </is>
      </c>
      <c r="K430" t="inlineStr">
        <is>
          <t>ja</t>
        </is>
      </c>
      <c r="L430" t="inlineStr">
        <is>
          <t>ja</t>
        </is>
      </c>
      <c r="M430" t="inlineStr">
        <is>
          <t>ja</t>
        </is>
      </c>
      <c r="N430" t="inlineStr">
        <is>
          <t>ja</t>
        </is>
      </c>
      <c r="O430" t="inlineStr">
        <is>
          <t>Geen dieet</t>
        </is>
      </c>
      <c r="Q430">
        <f>LEN(G430)-LEN(SUBSTITUTE(G430,",",""))+1</f>
        <v/>
      </c>
      <c r="R430">
        <f>SWITCH(I430, "Zelden", 1, "Af en toe", 4, "Regelmatig", 8, "Vaak", 12)</f>
        <v/>
      </c>
      <c r="S430">
        <f>AVERAGE(--(K430="ja"), --(L430="ja"), --(M430="ja"), --(N430="ja"), --(O430="ja"))*10</f>
        <v/>
      </c>
      <c r="T430">
        <f>IF(S430&gt;=7, "Tevreden", "Ontevreden")</f>
        <v/>
      </c>
    </row>
    <row r="431">
      <c r="A431" t="inlineStr">
        <is>
          <t>Benny</t>
        </is>
      </c>
      <c r="B431" t="inlineStr">
        <is>
          <t>Brasseur</t>
        </is>
      </c>
      <c r="C431" t="inlineStr">
        <is>
          <t>332.77075-47</t>
        </is>
      </c>
      <c r="D431" t="inlineStr">
        <is>
          <t>14/04/1963</t>
        </is>
      </c>
      <c r="E431" t="inlineStr">
        <is>
          <t>Sint-michielsplein 22, 3650 Dilsen-Stokkem</t>
        </is>
      </c>
      <c r="F431" t="inlineStr">
        <is>
          <t>Benny,Manon,Harold</t>
        </is>
      </c>
      <c r="G431" t="n">
        <v>35.6</v>
      </c>
      <c r="H431" t="n">
        <v>2</v>
      </c>
      <c r="I431" t="inlineStr">
        <is>
          <t>Payconiq</t>
        </is>
      </c>
      <c r="J431" t="inlineStr">
        <is>
          <t>ja</t>
        </is>
      </c>
      <c r="K431" t="inlineStr">
        <is>
          <t>ja</t>
        </is>
      </c>
      <c r="L431" t="inlineStr">
        <is>
          <t>ja</t>
        </is>
      </c>
      <c r="M431" t="inlineStr">
        <is>
          <t>ja</t>
        </is>
      </c>
      <c r="N431" t="inlineStr">
        <is>
          <t>ja</t>
        </is>
      </c>
      <c r="O431" t="inlineStr">
        <is>
          <t>Geen dieet</t>
        </is>
      </c>
      <c r="Q431">
        <f>LEN(G431)-LEN(SUBSTITUTE(G431,",",""))+1</f>
        <v/>
      </c>
      <c r="R431">
        <f>SWITCH(I431, "Zelden", 1, "Af en toe", 4, "Regelmatig", 8, "Vaak", 12)</f>
        <v/>
      </c>
      <c r="S431">
        <f>AVERAGE(--(K431="ja"), --(L431="ja"), --(M431="ja"), --(N431="ja"), --(O431="ja"))*10</f>
        <v/>
      </c>
      <c r="T431">
        <f>IF(S431&gt;=7, "Tevreden", "Ontevreden")</f>
        <v/>
      </c>
    </row>
    <row r="432">
      <c r="A432" t="inlineStr">
        <is>
          <t>Wim</t>
        </is>
      </c>
      <c r="B432" t="inlineStr">
        <is>
          <t>Poncelet</t>
        </is>
      </c>
      <c r="C432" t="inlineStr">
        <is>
          <t>468.88499-82</t>
        </is>
      </c>
      <c r="D432" t="inlineStr">
        <is>
          <t>30/06/1961</t>
        </is>
      </c>
      <c r="E432" t="inlineStr">
        <is>
          <t>Morelstraat 73, 3590 Diepenbeek</t>
        </is>
      </c>
      <c r="F432" t="inlineStr">
        <is>
          <t>Wim,Ria,Ayfer</t>
        </is>
      </c>
      <c r="G432" t="n">
        <v>170.46</v>
      </c>
      <c r="H432" t="n">
        <v>4</v>
      </c>
      <c r="I432" t="inlineStr">
        <is>
          <t>Cash</t>
        </is>
      </c>
      <c r="J432" t="inlineStr">
        <is>
          <t>ja</t>
        </is>
      </c>
      <c r="K432" t="inlineStr">
        <is>
          <t>nee</t>
        </is>
      </c>
      <c r="L432" t="inlineStr">
        <is>
          <t>ja</t>
        </is>
      </c>
      <c r="M432" t="inlineStr">
        <is>
          <t>ja</t>
        </is>
      </c>
      <c r="N432" t="inlineStr">
        <is>
          <t>ja</t>
        </is>
      </c>
      <c r="O432" t="inlineStr">
        <is>
          <t>Vegetarisch</t>
        </is>
      </c>
      <c r="Q432">
        <f>LEN(G432)-LEN(SUBSTITUTE(G432,",",""))+1</f>
        <v/>
      </c>
      <c r="R432">
        <f>SWITCH(I432, "Zelden", 1, "Af en toe", 4, "Regelmatig", 8, "Vaak", 12)</f>
        <v/>
      </c>
      <c r="S432">
        <f>AVERAGE(--(K432="ja"), --(L432="ja"), --(M432="ja"), --(N432="ja"), --(O432="ja"))*10</f>
        <v/>
      </c>
      <c r="T432">
        <f>IF(S432&gt;=7, "Tevreden", "Ontevreden")</f>
        <v/>
      </c>
    </row>
    <row r="433">
      <c r="A433" t="inlineStr">
        <is>
          <t>Carole</t>
        </is>
      </c>
      <c r="B433" t="inlineStr">
        <is>
          <t>Thys</t>
        </is>
      </c>
      <c r="C433" t="inlineStr">
        <is>
          <t>584.45912-53</t>
        </is>
      </c>
      <c r="D433" t="inlineStr">
        <is>
          <t>17/02/2005</t>
        </is>
      </c>
      <c r="E433" t="inlineStr">
        <is>
          <t>Kortijksesteenweg 7, 3500 Hasselt</t>
        </is>
      </c>
      <c r="F433" t="inlineStr">
        <is>
          <t>Carole,Lars,Amany</t>
        </is>
      </c>
      <c r="G433" t="n">
        <v>78.34999999999999</v>
      </c>
      <c r="H433" t="n">
        <v>11</v>
      </c>
      <c r="I433" t="inlineStr">
        <is>
          <t>Payconiq</t>
        </is>
      </c>
      <c r="J433" t="inlineStr">
        <is>
          <t>ja</t>
        </is>
      </c>
      <c r="K433" t="inlineStr">
        <is>
          <t>nee</t>
        </is>
      </c>
      <c r="L433" t="inlineStr">
        <is>
          <t>ja</t>
        </is>
      </c>
      <c r="M433" t="inlineStr">
        <is>
          <t>ja</t>
        </is>
      </c>
      <c r="N433" t="inlineStr">
        <is>
          <t>ja</t>
        </is>
      </c>
      <c r="O433" t="inlineStr">
        <is>
          <t>Geen dieet</t>
        </is>
      </c>
      <c r="Q433">
        <f>LEN(G433)-LEN(SUBSTITUTE(G433,",",""))+1</f>
        <v/>
      </c>
      <c r="R433">
        <f>SWITCH(I433, "Zelden", 1, "Af en toe", 4, "Regelmatig", 8, "Vaak", 12)</f>
        <v/>
      </c>
      <c r="S433">
        <f>AVERAGE(--(K433="ja"), --(L433="ja"), --(M433="ja"), --(N433="ja"), --(O433="ja"))*10</f>
        <v/>
      </c>
      <c r="T433">
        <f>IF(S433&gt;=7, "Tevreden", "Ontevreden")</f>
        <v/>
      </c>
    </row>
    <row r="434">
      <c r="A434" t="inlineStr">
        <is>
          <t>Liesbet</t>
        </is>
      </c>
      <c r="B434" t="inlineStr">
        <is>
          <t>Lejeune</t>
        </is>
      </c>
      <c r="C434" t="inlineStr">
        <is>
          <t>368.52633-10</t>
        </is>
      </c>
      <c r="D434" t="inlineStr">
        <is>
          <t>03/05/1946</t>
        </is>
      </c>
      <c r="E434" t="inlineStr">
        <is>
          <t>Ramen 51, 3831 Herten</t>
        </is>
      </c>
      <c r="F434" t="inlineStr">
        <is>
          <t>Liesbet,Lea</t>
        </is>
      </c>
      <c r="G434" t="n">
        <v>20.57</v>
      </c>
      <c r="H434" t="n">
        <v>17</v>
      </c>
      <c r="I434" t="inlineStr">
        <is>
          <t>Bancontact</t>
        </is>
      </c>
      <c r="J434" t="inlineStr">
        <is>
          <t>ja</t>
        </is>
      </c>
      <c r="K434" t="inlineStr">
        <is>
          <t>ja</t>
        </is>
      </c>
      <c r="L434" t="inlineStr">
        <is>
          <t>ja</t>
        </is>
      </c>
      <c r="M434" t="inlineStr">
        <is>
          <t>ja</t>
        </is>
      </c>
      <c r="N434" t="inlineStr">
        <is>
          <t>nee</t>
        </is>
      </c>
      <c r="O434" t="inlineStr">
        <is>
          <t>Geen dieet</t>
        </is>
      </c>
      <c r="Q434">
        <f>LEN(G434)-LEN(SUBSTITUTE(G434,",",""))+1</f>
        <v/>
      </c>
      <c r="R434">
        <f>SWITCH(I434, "Zelden", 1, "Af en toe", 4, "Regelmatig", 8, "Vaak", 12)</f>
        <v/>
      </c>
      <c r="S434">
        <f>AVERAGE(--(K434="ja"), --(L434="ja"), --(M434="ja"), --(N434="ja"), --(O434="ja"))*10</f>
        <v/>
      </c>
      <c r="T434">
        <f>IF(S434&gt;=7, "Tevreden", "Ontevreden")</f>
        <v/>
      </c>
    </row>
    <row r="435">
      <c r="A435" t="inlineStr">
        <is>
          <t>Karl</t>
        </is>
      </c>
      <c r="B435" t="inlineStr">
        <is>
          <t>Desmet</t>
        </is>
      </c>
      <c r="C435" t="inlineStr">
        <is>
          <t>681.11028-36</t>
        </is>
      </c>
      <c r="D435" t="inlineStr">
        <is>
          <t>13/03/1984</t>
        </is>
      </c>
      <c r="E435" t="inlineStr">
        <is>
          <t>Emilius Seghersplein 9, 3630 Maasmechelen</t>
        </is>
      </c>
      <c r="F435" t="inlineStr">
        <is>
          <t>Karl,Lies</t>
        </is>
      </c>
      <c r="G435" t="n">
        <v>122.65</v>
      </c>
      <c r="H435" t="n">
        <v>4</v>
      </c>
      <c r="I435" t="inlineStr">
        <is>
          <t>Bancontact</t>
        </is>
      </c>
      <c r="J435" t="inlineStr">
        <is>
          <t>ja</t>
        </is>
      </c>
      <c r="K435" t="inlineStr">
        <is>
          <t>nee</t>
        </is>
      </c>
      <c r="L435" t="inlineStr">
        <is>
          <t>nee</t>
        </is>
      </c>
      <c r="M435" t="inlineStr">
        <is>
          <t>nee</t>
        </is>
      </c>
      <c r="N435" t="inlineStr">
        <is>
          <t>nee</t>
        </is>
      </c>
      <c r="O435" t="inlineStr">
        <is>
          <t>Geen dieet</t>
        </is>
      </c>
      <c r="Q435">
        <f>LEN(G435)-LEN(SUBSTITUTE(G435,",",""))+1</f>
        <v/>
      </c>
      <c r="R435">
        <f>SWITCH(I435, "Zelden", 1, "Af en toe", 4, "Regelmatig", 8, "Vaak", 12)</f>
        <v/>
      </c>
      <c r="S435">
        <f>AVERAGE(--(K435="ja"), --(L435="ja"), --(M435="ja"), --(N435="ja"), --(O435="ja"))*10</f>
        <v/>
      </c>
      <c r="T435">
        <f>IF(S435&gt;=7, "Tevreden", "Ontevreden")</f>
        <v/>
      </c>
    </row>
    <row r="436">
      <c r="A436" t="inlineStr">
        <is>
          <t>Evelien</t>
        </is>
      </c>
      <c r="B436" t="inlineStr">
        <is>
          <t>Piron</t>
        </is>
      </c>
      <c r="C436" t="inlineStr">
        <is>
          <t>659.26425-92</t>
        </is>
      </c>
      <c r="D436" t="inlineStr">
        <is>
          <t>19/11/1973</t>
        </is>
      </c>
      <c r="E436" t="inlineStr">
        <is>
          <t>Hofstraat 15, 3650 Dilsen-Stokkem</t>
        </is>
      </c>
      <c r="F436" t="inlineStr">
        <is>
          <t>Evelien,Tinne,Esteban,Aurelia,Michel</t>
        </is>
      </c>
      <c r="G436" t="n">
        <v>193.81</v>
      </c>
      <c r="H436" t="n">
        <v>17</v>
      </c>
      <c r="I436" t="inlineStr">
        <is>
          <t>Cash</t>
        </is>
      </c>
      <c r="J436" t="inlineStr">
        <is>
          <t>ja</t>
        </is>
      </c>
      <c r="K436" t="inlineStr">
        <is>
          <t>ja</t>
        </is>
      </c>
      <c r="L436" t="inlineStr">
        <is>
          <t>ja</t>
        </is>
      </c>
      <c r="M436" t="inlineStr">
        <is>
          <t>ja</t>
        </is>
      </c>
      <c r="N436" t="inlineStr">
        <is>
          <t>ja</t>
        </is>
      </c>
      <c r="O436" t="inlineStr">
        <is>
          <t>Vegetarisch</t>
        </is>
      </c>
      <c r="Q436">
        <f>LEN(G436)-LEN(SUBSTITUTE(G436,",",""))+1</f>
        <v/>
      </c>
      <c r="R436">
        <f>SWITCH(I436, "Zelden", 1, "Af en toe", 4, "Regelmatig", 8, "Vaak", 12)</f>
        <v/>
      </c>
      <c r="S436">
        <f>AVERAGE(--(K436="ja"), --(L436="ja"), --(M436="ja"), --(N436="ja"), --(O436="ja"))*10</f>
        <v/>
      </c>
      <c r="T436">
        <f>IF(S436&gt;=7, "Tevreden", "Ontevreden")</f>
        <v/>
      </c>
    </row>
    <row r="437">
      <c r="A437" t="inlineStr">
        <is>
          <t>Rachel</t>
        </is>
      </c>
      <c r="B437" t="inlineStr">
        <is>
          <t>Leroy</t>
        </is>
      </c>
      <c r="C437" t="inlineStr">
        <is>
          <t>43.42406-78</t>
        </is>
      </c>
      <c r="D437" t="inlineStr">
        <is>
          <t>30/05/1966</t>
        </is>
      </c>
      <c r="E437" t="inlineStr">
        <is>
          <t>Acacialaan 109, 3980 Tessenderlo</t>
        </is>
      </c>
      <c r="F437" t="inlineStr">
        <is>
          <t>Rachel,Ionela,Chloé,Dorian</t>
        </is>
      </c>
      <c r="G437" t="n">
        <v>195.87</v>
      </c>
      <c r="H437" t="n">
        <v>2</v>
      </c>
      <c r="I437" t="inlineStr">
        <is>
          <t>Payconiq</t>
        </is>
      </c>
      <c r="J437" t="inlineStr">
        <is>
          <t>nee</t>
        </is>
      </c>
      <c r="K437" t="inlineStr">
        <is>
          <t>ja</t>
        </is>
      </c>
      <c r="L437" t="inlineStr">
        <is>
          <t>nee</t>
        </is>
      </c>
      <c r="M437" t="inlineStr">
        <is>
          <t>ja</t>
        </is>
      </c>
      <c r="N437" t="inlineStr">
        <is>
          <t>ja</t>
        </is>
      </c>
      <c r="O437" t="inlineStr">
        <is>
          <t>Vegetarisch</t>
        </is>
      </c>
      <c r="Q437">
        <f>LEN(G437)-LEN(SUBSTITUTE(G437,",",""))+1</f>
        <v/>
      </c>
      <c r="R437">
        <f>SWITCH(I437, "Zelden", 1, "Af en toe", 4, "Regelmatig", 8, "Vaak", 12)</f>
        <v/>
      </c>
      <c r="S437">
        <f>AVERAGE(--(K437="ja"), --(L437="ja"), --(M437="ja"), --(N437="ja"), --(O437="ja"))*10</f>
        <v/>
      </c>
      <c r="T437">
        <f>IF(S437&gt;=7, "Tevreden", "Ontevreden")</f>
        <v/>
      </c>
    </row>
    <row r="438">
      <c r="A438" t="inlineStr">
        <is>
          <t>Rami</t>
        </is>
      </c>
      <c r="B438" t="inlineStr">
        <is>
          <t>Dewulf</t>
        </is>
      </c>
      <c r="C438" t="inlineStr">
        <is>
          <t>193.90926-31</t>
        </is>
      </c>
      <c r="D438" t="inlineStr">
        <is>
          <t>25/03/1947</t>
        </is>
      </c>
      <c r="E438" t="inlineStr">
        <is>
          <t>Willem Tellstraat 15, 3831 Herten</t>
        </is>
      </c>
      <c r="F438" t="inlineStr">
        <is>
          <t>Rami,Jean-Marie,Annie,Ivo</t>
        </is>
      </c>
      <c r="G438" t="n">
        <v>156.47</v>
      </c>
      <c r="H438" t="n">
        <v>5</v>
      </c>
      <c r="I438" t="inlineStr">
        <is>
          <t>Payconiq</t>
        </is>
      </c>
      <c r="J438" t="inlineStr">
        <is>
          <t>ja</t>
        </is>
      </c>
      <c r="K438" t="inlineStr">
        <is>
          <t>nee</t>
        </is>
      </c>
      <c r="L438" t="inlineStr">
        <is>
          <t>ja</t>
        </is>
      </c>
      <c r="M438" t="inlineStr">
        <is>
          <t>ja</t>
        </is>
      </c>
      <c r="N438" t="inlineStr">
        <is>
          <t>ja</t>
        </is>
      </c>
      <c r="O438" t="inlineStr">
        <is>
          <t>Geen dieet</t>
        </is>
      </c>
      <c r="Q438">
        <f>LEN(G438)-LEN(SUBSTITUTE(G438,",",""))+1</f>
        <v/>
      </c>
      <c r="R438">
        <f>SWITCH(I438, "Zelden", 1, "Af en toe", 4, "Regelmatig", 8, "Vaak", 12)</f>
        <v/>
      </c>
      <c r="S438">
        <f>AVERAGE(--(K438="ja"), --(L438="ja"), --(M438="ja"), --(N438="ja"), --(O438="ja"))*10</f>
        <v/>
      </c>
      <c r="T438">
        <f>IF(S438&gt;=7, "Tevreden", "Ontevreden")</f>
        <v/>
      </c>
    </row>
    <row r="439">
      <c r="A439" t="inlineStr">
        <is>
          <t>Ali</t>
        </is>
      </c>
      <c r="B439" t="inlineStr">
        <is>
          <t>Cornelis</t>
        </is>
      </c>
      <c r="C439" t="inlineStr">
        <is>
          <t>443.56871-62</t>
        </is>
      </c>
      <c r="D439" t="inlineStr">
        <is>
          <t>05/06/1964</t>
        </is>
      </c>
      <c r="E439" t="inlineStr">
        <is>
          <t>Zeeschipstraat 60, 3800 Sint-Truiden</t>
        </is>
      </c>
      <c r="F439" t="inlineStr">
        <is>
          <t>Ali,Jean-Pierre,Claire</t>
        </is>
      </c>
      <c r="G439" t="n">
        <v>103.56</v>
      </c>
      <c r="H439" t="n">
        <v>8</v>
      </c>
      <c r="I439" t="inlineStr">
        <is>
          <t>Cash</t>
        </is>
      </c>
      <c r="J439" t="inlineStr">
        <is>
          <t>ja</t>
        </is>
      </c>
      <c r="K439" t="inlineStr">
        <is>
          <t>ja</t>
        </is>
      </c>
      <c r="L439" t="inlineStr">
        <is>
          <t>ja</t>
        </is>
      </c>
      <c r="M439" t="inlineStr">
        <is>
          <t>ja</t>
        </is>
      </c>
      <c r="N439" t="inlineStr">
        <is>
          <t>ja</t>
        </is>
      </c>
      <c r="O439" t="inlineStr">
        <is>
          <t>Geen dieet</t>
        </is>
      </c>
      <c r="Q439">
        <f>LEN(G439)-LEN(SUBSTITUTE(G439,",",""))+1</f>
        <v/>
      </c>
      <c r="R439">
        <f>SWITCH(I439, "Zelden", 1, "Af en toe", 4, "Regelmatig", 8, "Vaak", 12)</f>
        <v/>
      </c>
      <c r="S439">
        <f>AVERAGE(--(K439="ja"), --(L439="ja"), --(M439="ja"), --(N439="ja"), --(O439="ja"))*10</f>
        <v/>
      </c>
      <c r="T439">
        <f>IF(S439&gt;=7, "Tevreden", "Ontevreden")</f>
        <v/>
      </c>
    </row>
    <row r="440">
      <c r="A440" t="inlineStr">
        <is>
          <t>Petra</t>
        </is>
      </c>
      <c r="B440" t="inlineStr">
        <is>
          <t>Vermeiren</t>
        </is>
      </c>
      <c r="C440" t="inlineStr">
        <is>
          <t>965.71674-70</t>
        </is>
      </c>
      <c r="D440" t="inlineStr">
        <is>
          <t>09/05/1954</t>
        </is>
      </c>
      <c r="E440" t="inlineStr">
        <is>
          <t>Coupure Rechts 48, 3980 Tessenderlo</t>
        </is>
      </c>
      <c r="F440" t="inlineStr">
        <is>
          <t>Petra</t>
        </is>
      </c>
      <c r="G440" t="n">
        <v>157.62</v>
      </c>
      <c r="H440" t="n">
        <v>10</v>
      </c>
      <c r="I440" t="inlineStr">
        <is>
          <t>Bancontact</t>
        </is>
      </c>
      <c r="J440" t="inlineStr">
        <is>
          <t>ja</t>
        </is>
      </c>
      <c r="K440" t="inlineStr">
        <is>
          <t>nee</t>
        </is>
      </c>
      <c r="L440" t="inlineStr">
        <is>
          <t>ja</t>
        </is>
      </c>
      <c r="M440" t="inlineStr">
        <is>
          <t>ja</t>
        </is>
      </c>
      <c r="N440" t="inlineStr">
        <is>
          <t>ja</t>
        </is>
      </c>
      <c r="O440" t="inlineStr">
        <is>
          <t>Geen dieet</t>
        </is>
      </c>
      <c r="Q440">
        <f>LEN(G440)-LEN(SUBSTITUTE(G440,",",""))+1</f>
        <v/>
      </c>
      <c r="R440">
        <f>SWITCH(I440, "Zelden", 1, "Af en toe", 4, "Regelmatig", 8, "Vaak", 12)</f>
        <v/>
      </c>
      <c r="S440">
        <f>AVERAGE(--(K440="ja"), --(L440="ja"), --(M440="ja"), --(N440="ja"), --(O440="ja"))*10</f>
        <v/>
      </c>
      <c r="T440">
        <f>IF(S440&gt;=7, "Tevreden", "Ontevreden")</f>
        <v/>
      </c>
    </row>
    <row r="441">
      <c r="A441" t="inlineStr">
        <is>
          <t>Kevin</t>
        </is>
      </c>
      <c r="B441" t="inlineStr">
        <is>
          <t>De vos</t>
        </is>
      </c>
      <c r="C441" t="inlineStr">
        <is>
          <t>145.18532-86</t>
        </is>
      </c>
      <c r="D441" t="inlineStr">
        <is>
          <t>18/09/1993</t>
        </is>
      </c>
      <c r="E441" t="inlineStr">
        <is>
          <t>Duivelstraat 13, 3620 Lanaken</t>
        </is>
      </c>
      <c r="F441" t="inlineStr">
        <is>
          <t>Kevin,Roland,Irfan</t>
        </is>
      </c>
      <c r="G441" t="n">
        <v>210.61</v>
      </c>
      <c r="H441" t="n">
        <v>4</v>
      </c>
      <c r="I441" t="inlineStr">
        <is>
          <t>Bancontact</t>
        </is>
      </c>
      <c r="J441" t="inlineStr">
        <is>
          <t>ja</t>
        </is>
      </c>
      <c r="K441" t="inlineStr">
        <is>
          <t>ja</t>
        </is>
      </c>
      <c r="L441" t="inlineStr">
        <is>
          <t>ja</t>
        </is>
      </c>
      <c r="M441" t="inlineStr">
        <is>
          <t>ja</t>
        </is>
      </c>
      <c r="N441" t="inlineStr">
        <is>
          <t>ja</t>
        </is>
      </c>
      <c r="O441" t="inlineStr">
        <is>
          <t>Geen dieet</t>
        </is>
      </c>
      <c r="Q441">
        <f>LEN(G441)-LEN(SUBSTITUTE(G441,",",""))+1</f>
        <v/>
      </c>
      <c r="R441">
        <f>SWITCH(I441, "Zelden", 1, "Af en toe", 4, "Regelmatig", 8, "Vaak", 12)</f>
        <v/>
      </c>
      <c r="S441">
        <f>AVERAGE(--(K441="ja"), --(L441="ja"), --(M441="ja"), --(N441="ja"), --(O441="ja"))*10</f>
        <v/>
      </c>
      <c r="T441">
        <f>IF(S441&gt;=7, "Tevreden", "Ontevreden")</f>
        <v/>
      </c>
    </row>
    <row r="442">
      <c r="A442" t="inlineStr">
        <is>
          <t>Irina</t>
        </is>
      </c>
      <c r="B442" t="inlineStr">
        <is>
          <t>Christiaens</t>
        </is>
      </c>
      <c r="C442" t="inlineStr">
        <is>
          <t>798.80928-84</t>
        </is>
      </c>
      <c r="D442" t="inlineStr">
        <is>
          <t>20/07/1956</t>
        </is>
      </c>
      <c r="E442" t="inlineStr">
        <is>
          <t>Maaltemeers 32, 3640 Kinrooi</t>
        </is>
      </c>
      <c r="F442" t="inlineStr">
        <is>
          <t>Irina,Yevgeniya</t>
        </is>
      </c>
      <c r="G442" t="n">
        <v>172.94</v>
      </c>
      <c r="H442" t="n">
        <v>1</v>
      </c>
      <c r="I442" t="inlineStr">
        <is>
          <t>Cash</t>
        </is>
      </c>
      <c r="J442" t="inlineStr">
        <is>
          <t>nee</t>
        </is>
      </c>
      <c r="K442" t="inlineStr">
        <is>
          <t>nee</t>
        </is>
      </c>
      <c r="L442" t="inlineStr">
        <is>
          <t>ja</t>
        </is>
      </c>
      <c r="M442" t="inlineStr">
        <is>
          <t>nee</t>
        </is>
      </c>
      <c r="N442" t="inlineStr">
        <is>
          <t>ja</t>
        </is>
      </c>
      <c r="O442" t="inlineStr">
        <is>
          <t>Geen dieet</t>
        </is>
      </c>
      <c r="Q442">
        <f>LEN(G442)-LEN(SUBSTITUTE(G442,",",""))+1</f>
        <v/>
      </c>
      <c r="R442">
        <f>SWITCH(I442, "Zelden", 1, "Af en toe", 4, "Regelmatig", 8, "Vaak", 12)</f>
        <v/>
      </c>
      <c r="S442">
        <f>AVERAGE(--(K442="ja"), --(L442="ja"), --(M442="ja"), --(N442="ja"), --(O442="ja"))*10</f>
        <v/>
      </c>
      <c r="T442">
        <f>IF(S442&gt;=7, "Tevreden", "Ontevreden")</f>
        <v/>
      </c>
    </row>
    <row r="443">
      <c r="A443" t="inlineStr">
        <is>
          <t>Efe</t>
        </is>
      </c>
      <c r="B443" t="inlineStr">
        <is>
          <t>De laet</t>
        </is>
      </c>
      <c r="C443" t="inlineStr">
        <is>
          <t>563.65045-11</t>
        </is>
      </c>
      <c r="D443" t="inlineStr">
        <is>
          <t>03/11/1996</t>
        </is>
      </c>
      <c r="E443" t="inlineStr">
        <is>
          <t>St.- Arnoustraat 28, 3831 Herten</t>
        </is>
      </c>
      <c r="F443" t="inlineStr">
        <is>
          <t>Efe,Giuseppe,Maria</t>
        </is>
      </c>
      <c r="G443" t="n">
        <v>126.09</v>
      </c>
      <c r="H443" t="n">
        <v>9</v>
      </c>
      <c r="I443" t="inlineStr">
        <is>
          <t>Payconiq</t>
        </is>
      </c>
      <c r="J443" t="inlineStr">
        <is>
          <t>ja</t>
        </is>
      </c>
      <c r="K443" t="inlineStr">
        <is>
          <t>ja</t>
        </is>
      </c>
      <c r="L443" t="inlineStr">
        <is>
          <t>nee</t>
        </is>
      </c>
      <c r="M443" t="inlineStr">
        <is>
          <t>nee</t>
        </is>
      </c>
      <c r="N443" t="inlineStr">
        <is>
          <t>ja</t>
        </is>
      </c>
      <c r="O443" t="inlineStr">
        <is>
          <t>Geen dieet</t>
        </is>
      </c>
      <c r="Q443">
        <f>LEN(G443)-LEN(SUBSTITUTE(G443,",",""))+1</f>
        <v/>
      </c>
      <c r="R443">
        <f>SWITCH(I443, "Zelden", 1, "Af en toe", 4, "Regelmatig", 8, "Vaak", 12)</f>
        <v/>
      </c>
      <c r="S443">
        <f>AVERAGE(--(K443="ja"), --(L443="ja"), --(M443="ja"), --(N443="ja"), --(O443="ja"))*10</f>
        <v/>
      </c>
      <c r="T443">
        <f>IF(S443&gt;=7, "Tevreden", "Ontevreden")</f>
        <v/>
      </c>
    </row>
    <row r="444">
      <c r="A444" t="inlineStr">
        <is>
          <t>Selma</t>
        </is>
      </c>
      <c r="B444" t="inlineStr">
        <is>
          <t>Smets</t>
        </is>
      </c>
      <c r="C444" t="inlineStr">
        <is>
          <t>766.42478-67</t>
        </is>
      </c>
      <c r="D444" t="inlineStr">
        <is>
          <t>12/06/1990</t>
        </is>
      </c>
      <c r="E444" t="inlineStr">
        <is>
          <t>Onderbergen 18, 3945 Kwaadmechelen</t>
        </is>
      </c>
      <c r="F444" t="inlineStr">
        <is>
          <t>Selma,Peggy,Annie,Mike</t>
        </is>
      </c>
      <c r="G444" t="n">
        <v>214.08</v>
      </c>
      <c r="H444" t="n">
        <v>2</v>
      </c>
      <c r="I444" t="inlineStr">
        <is>
          <t>Payconiq</t>
        </is>
      </c>
      <c r="J444" t="inlineStr">
        <is>
          <t>nee</t>
        </is>
      </c>
      <c r="K444" t="inlineStr">
        <is>
          <t>nee</t>
        </is>
      </c>
      <c r="L444" t="inlineStr">
        <is>
          <t>ja</t>
        </is>
      </c>
      <c r="M444" t="inlineStr">
        <is>
          <t>ja</t>
        </is>
      </c>
      <c r="N444" t="inlineStr">
        <is>
          <t>ja</t>
        </is>
      </c>
      <c r="O444" t="inlineStr">
        <is>
          <t>Vegetarisch</t>
        </is>
      </c>
      <c r="Q444">
        <f>LEN(G444)-LEN(SUBSTITUTE(G444,",",""))+1</f>
        <v/>
      </c>
      <c r="R444">
        <f>SWITCH(I444, "Zelden", 1, "Af en toe", 4, "Regelmatig", 8, "Vaak", 12)</f>
        <v/>
      </c>
      <c r="S444">
        <f>AVERAGE(--(K444="ja"), --(L444="ja"), --(M444="ja"), --(N444="ja"), --(O444="ja"))*10</f>
        <v/>
      </c>
      <c r="T444">
        <f>IF(S444&gt;=7, "Tevreden", "Ontevreden")</f>
        <v/>
      </c>
    </row>
    <row r="445">
      <c r="A445" t="inlineStr">
        <is>
          <t>Geert</t>
        </is>
      </c>
      <c r="B445" t="inlineStr">
        <is>
          <t>Dujardin</t>
        </is>
      </c>
      <c r="C445" t="inlineStr">
        <is>
          <t>659.52853-44</t>
        </is>
      </c>
      <c r="D445" t="inlineStr">
        <is>
          <t>11/11/1954</t>
        </is>
      </c>
      <c r="E445" t="inlineStr">
        <is>
          <t>Florbertusstraat 5, 3910 Neerpelt</t>
        </is>
      </c>
      <c r="F445" t="inlineStr">
        <is>
          <t>Geert,Nilda</t>
        </is>
      </c>
      <c r="G445" t="n">
        <v>127.11</v>
      </c>
      <c r="H445" t="n">
        <v>19</v>
      </c>
      <c r="I445" t="inlineStr">
        <is>
          <t>Cash</t>
        </is>
      </c>
      <c r="J445" t="inlineStr">
        <is>
          <t>nee</t>
        </is>
      </c>
      <c r="K445" t="inlineStr">
        <is>
          <t>ja</t>
        </is>
      </c>
      <c r="L445" t="inlineStr">
        <is>
          <t>nee</t>
        </is>
      </c>
      <c r="M445" t="inlineStr">
        <is>
          <t>ja</t>
        </is>
      </c>
      <c r="N445" t="inlineStr">
        <is>
          <t>nee</t>
        </is>
      </c>
      <c r="O445" t="inlineStr">
        <is>
          <t>Vegetarisch</t>
        </is>
      </c>
      <c r="Q445">
        <f>LEN(G445)-LEN(SUBSTITUTE(G445,",",""))+1</f>
        <v/>
      </c>
      <c r="R445">
        <f>SWITCH(I445, "Zelden", 1, "Af en toe", 4, "Regelmatig", 8, "Vaak", 12)</f>
        <v/>
      </c>
      <c r="S445">
        <f>AVERAGE(--(K445="ja"), --(L445="ja"), --(M445="ja"), --(N445="ja"), --(O445="ja"))*10</f>
        <v/>
      </c>
      <c r="T445">
        <f>IF(S445&gt;=7, "Tevreden", "Ontevreden")</f>
        <v/>
      </c>
    </row>
    <row r="446">
      <c r="A446" t="inlineStr">
        <is>
          <t>Manel</t>
        </is>
      </c>
      <c r="B446" t="inlineStr">
        <is>
          <t>Pauwels</t>
        </is>
      </c>
      <c r="C446" t="inlineStr">
        <is>
          <t>621.18396-35</t>
        </is>
      </c>
      <c r="D446" t="inlineStr">
        <is>
          <t>24/10/1956</t>
        </is>
      </c>
      <c r="E446" t="inlineStr">
        <is>
          <t>Deinse Horsweg 35, 3740 Bilzen</t>
        </is>
      </c>
      <c r="F446" t="inlineStr">
        <is>
          <t>Manel,Adam,Timon,Deborah,Natalie</t>
        </is>
      </c>
      <c r="G446" t="n">
        <v>226.16</v>
      </c>
      <c r="H446" t="n">
        <v>14</v>
      </c>
      <c r="I446" t="inlineStr">
        <is>
          <t>Bancontact</t>
        </is>
      </c>
      <c r="J446" t="inlineStr">
        <is>
          <t>nee</t>
        </is>
      </c>
      <c r="K446" t="inlineStr">
        <is>
          <t>ja</t>
        </is>
      </c>
      <c r="L446" t="inlineStr">
        <is>
          <t>ja</t>
        </is>
      </c>
      <c r="M446" t="inlineStr">
        <is>
          <t>ja</t>
        </is>
      </c>
      <c r="N446" t="inlineStr">
        <is>
          <t>ja</t>
        </is>
      </c>
      <c r="O446" t="inlineStr">
        <is>
          <t>Geen dieet</t>
        </is>
      </c>
      <c r="Q446">
        <f>LEN(G446)-LEN(SUBSTITUTE(G446,",",""))+1</f>
        <v/>
      </c>
      <c r="R446">
        <f>SWITCH(I446, "Zelden", 1, "Af en toe", 4, "Regelmatig", 8, "Vaak", 12)</f>
        <v/>
      </c>
      <c r="S446">
        <f>AVERAGE(--(K446="ja"), --(L446="ja"), --(M446="ja"), --(N446="ja"), --(O446="ja"))*10</f>
        <v/>
      </c>
      <c r="T446">
        <f>IF(S446&gt;=7, "Tevreden", "Ontevreden")</f>
        <v/>
      </c>
    </row>
    <row r="447">
      <c r="A447" t="inlineStr">
        <is>
          <t>Liam</t>
        </is>
      </c>
      <c r="B447" t="inlineStr">
        <is>
          <t>De meyer</t>
        </is>
      </c>
      <c r="C447" t="inlineStr">
        <is>
          <t>468.41219-46</t>
        </is>
      </c>
      <c r="D447" t="inlineStr">
        <is>
          <t>28/03/1997</t>
        </is>
      </c>
      <c r="E447" t="inlineStr">
        <is>
          <t>Peerstraat 94, 3680 Maaseik</t>
        </is>
      </c>
      <c r="F447" t="inlineStr">
        <is>
          <t>Liam,Nabila,Flavie,Ange,Sacha</t>
        </is>
      </c>
      <c r="G447" t="n">
        <v>93.41</v>
      </c>
      <c r="H447" t="n">
        <v>18</v>
      </c>
      <c r="I447" t="inlineStr">
        <is>
          <t>Bancontact</t>
        </is>
      </c>
      <c r="J447" t="inlineStr">
        <is>
          <t>nee</t>
        </is>
      </c>
      <c r="K447" t="inlineStr">
        <is>
          <t>ja</t>
        </is>
      </c>
      <c r="L447" t="inlineStr">
        <is>
          <t>ja</t>
        </is>
      </c>
      <c r="M447" t="inlineStr">
        <is>
          <t>ja</t>
        </is>
      </c>
      <c r="N447" t="inlineStr">
        <is>
          <t>ja</t>
        </is>
      </c>
      <c r="O447" t="inlineStr">
        <is>
          <t>Vegetarisch</t>
        </is>
      </c>
      <c r="Q447">
        <f>LEN(G447)-LEN(SUBSTITUTE(G447,",",""))+1</f>
        <v/>
      </c>
      <c r="R447">
        <f>SWITCH(I447, "Zelden", 1, "Af en toe", 4, "Regelmatig", 8, "Vaak", 12)</f>
        <v/>
      </c>
      <c r="S447">
        <f>AVERAGE(--(K447="ja"), --(L447="ja"), --(M447="ja"), --(N447="ja"), --(O447="ja"))*10</f>
        <v/>
      </c>
      <c r="T447">
        <f>IF(S447&gt;=7, "Tevreden", "Ontevreden")</f>
        <v/>
      </c>
    </row>
    <row r="448">
      <c r="A448" t="inlineStr">
        <is>
          <t>Fidan</t>
        </is>
      </c>
      <c r="B448" t="inlineStr">
        <is>
          <t>Nys</t>
        </is>
      </c>
      <c r="C448" t="inlineStr">
        <is>
          <t>948.71495-71</t>
        </is>
      </c>
      <c r="D448" t="inlineStr">
        <is>
          <t>29/05/1945</t>
        </is>
      </c>
      <c r="E448" t="inlineStr">
        <is>
          <t>Burggravenlaan 41, 3770 Riemst</t>
        </is>
      </c>
      <c r="F448" t="inlineStr">
        <is>
          <t>Fidan,Diego,Andy</t>
        </is>
      </c>
      <c r="G448" t="n">
        <v>134.59</v>
      </c>
      <c r="H448" t="n">
        <v>4</v>
      </c>
      <c r="I448" t="inlineStr">
        <is>
          <t>Bancontact</t>
        </is>
      </c>
      <c r="J448" t="inlineStr">
        <is>
          <t>nee</t>
        </is>
      </c>
      <c r="K448" t="inlineStr">
        <is>
          <t>ja</t>
        </is>
      </c>
      <c r="L448" t="inlineStr">
        <is>
          <t>ja</t>
        </is>
      </c>
      <c r="M448" t="inlineStr">
        <is>
          <t>ja</t>
        </is>
      </c>
      <c r="N448" t="inlineStr">
        <is>
          <t>ja</t>
        </is>
      </c>
      <c r="O448" t="inlineStr">
        <is>
          <t>Vegetarisch</t>
        </is>
      </c>
      <c r="Q448">
        <f>LEN(G448)-LEN(SUBSTITUTE(G448,",",""))+1</f>
        <v/>
      </c>
      <c r="R448">
        <f>SWITCH(I448, "Zelden", 1, "Af en toe", 4, "Regelmatig", 8, "Vaak", 12)</f>
        <v/>
      </c>
      <c r="S448">
        <f>AVERAGE(--(K448="ja"), --(L448="ja"), --(M448="ja"), --(N448="ja"), --(O448="ja"))*10</f>
        <v/>
      </c>
      <c r="T448">
        <f>IF(S448&gt;=7, "Tevreden", "Ontevreden")</f>
        <v/>
      </c>
    </row>
    <row r="449">
      <c r="A449" t="inlineStr">
        <is>
          <t>Isabella</t>
        </is>
      </c>
      <c r="B449" t="inlineStr">
        <is>
          <t>Jonckheere</t>
        </is>
      </c>
      <c r="C449" t="inlineStr">
        <is>
          <t>390.39537-33</t>
        </is>
      </c>
      <c r="D449" t="inlineStr">
        <is>
          <t>13/12/1951</t>
        </is>
      </c>
      <c r="E449" t="inlineStr">
        <is>
          <t>Pleitstraat 20, 3500 Hasselt</t>
        </is>
      </c>
      <c r="F449" t="inlineStr">
        <is>
          <t>Isabella,Christine,Sevrine</t>
        </is>
      </c>
      <c r="G449" t="n">
        <v>99.31</v>
      </c>
      <c r="H449" t="n">
        <v>11</v>
      </c>
      <c r="I449" t="inlineStr">
        <is>
          <t>Payconiq</t>
        </is>
      </c>
      <c r="J449" t="inlineStr">
        <is>
          <t>ja</t>
        </is>
      </c>
      <c r="K449" t="inlineStr">
        <is>
          <t>nee</t>
        </is>
      </c>
      <c r="L449" t="inlineStr">
        <is>
          <t>ja</t>
        </is>
      </c>
      <c r="M449" t="inlineStr">
        <is>
          <t>ja</t>
        </is>
      </c>
      <c r="N449" t="inlineStr">
        <is>
          <t>ja</t>
        </is>
      </c>
      <c r="O449" t="inlineStr">
        <is>
          <t>Geen dieet</t>
        </is>
      </c>
      <c r="Q449">
        <f>LEN(G449)-LEN(SUBSTITUTE(G449,",",""))+1</f>
        <v/>
      </c>
      <c r="R449">
        <f>SWITCH(I449, "Zelden", 1, "Af en toe", 4, "Regelmatig", 8, "Vaak", 12)</f>
        <v/>
      </c>
      <c r="S449">
        <f>AVERAGE(--(K449="ja"), --(L449="ja"), --(M449="ja"), --(N449="ja"), --(O449="ja"))*10</f>
        <v/>
      </c>
      <c r="T449">
        <f>IF(S449&gt;=7, "Tevreden", "Ontevreden")</f>
        <v/>
      </c>
    </row>
    <row r="450">
      <c r="A450" t="inlineStr">
        <is>
          <t>Kleber</t>
        </is>
      </c>
      <c r="B450" t="inlineStr">
        <is>
          <t>Smeets</t>
        </is>
      </c>
      <c r="C450" t="inlineStr">
        <is>
          <t>798.12405-83</t>
        </is>
      </c>
      <c r="D450" t="inlineStr">
        <is>
          <t>31/12/1972</t>
        </is>
      </c>
      <c r="E450" t="inlineStr">
        <is>
          <t>Veldstraat 24, 3700 Tongeren</t>
        </is>
      </c>
      <c r="F450" t="inlineStr">
        <is>
          <t>Kleber</t>
        </is>
      </c>
      <c r="G450" t="n">
        <v>78.97</v>
      </c>
      <c r="H450" t="n">
        <v>2</v>
      </c>
      <c r="I450" t="inlineStr">
        <is>
          <t>Payconiq</t>
        </is>
      </c>
      <c r="J450" t="inlineStr">
        <is>
          <t>nee</t>
        </is>
      </c>
      <c r="K450" t="inlineStr">
        <is>
          <t>ja</t>
        </is>
      </c>
      <c r="L450" t="inlineStr">
        <is>
          <t>ja</t>
        </is>
      </c>
      <c r="M450" t="inlineStr">
        <is>
          <t>ja</t>
        </is>
      </c>
      <c r="N450" t="inlineStr">
        <is>
          <t>ja</t>
        </is>
      </c>
      <c r="O450" t="inlineStr">
        <is>
          <t>Geen dieet</t>
        </is>
      </c>
      <c r="Q450">
        <f>LEN(G450)-LEN(SUBSTITUTE(G450,",",""))+1</f>
        <v/>
      </c>
      <c r="R450">
        <f>SWITCH(I450, "Zelden", 1, "Af en toe", 4, "Regelmatig", 8, "Vaak", 12)</f>
        <v/>
      </c>
      <c r="S450">
        <f>AVERAGE(--(K450="ja"), --(L450="ja"), --(M450="ja"), --(N450="ja"), --(O450="ja"))*10</f>
        <v/>
      </c>
      <c r="T450">
        <f>IF(S450&gt;=7, "Tevreden", "Ontevreden")</f>
        <v/>
      </c>
    </row>
    <row r="451">
      <c r="A451" t="inlineStr">
        <is>
          <t>Kaat</t>
        </is>
      </c>
      <c r="B451" t="inlineStr">
        <is>
          <t>Swinnen</t>
        </is>
      </c>
      <c r="C451" t="inlineStr">
        <is>
          <t>383.30494-15</t>
        </is>
      </c>
      <c r="D451" t="inlineStr">
        <is>
          <t>04/02/1984</t>
        </is>
      </c>
      <c r="E451" t="inlineStr">
        <is>
          <t>Koophandelsplein 63, 3600 Genk</t>
        </is>
      </c>
      <c r="F451" t="inlineStr">
        <is>
          <t>Kaat</t>
        </is>
      </c>
      <c r="G451" t="n">
        <v>22.47</v>
      </c>
      <c r="H451" t="n">
        <v>15</v>
      </c>
      <c r="I451" t="inlineStr">
        <is>
          <t>Creditcard</t>
        </is>
      </c>
      <c r="J451" t="inlineStr">
        <is>
          <t>nee</t>
        </is>
      </c>
      <c r="K451" t="inlineStr">
        <is>
          <t>ja</t>
        </is>
      </c>
      <c r="L451" t="inlineStr">
        <is>
          <t>ja</t>
        </is>
      </c>
      <c r="M451" t="inlineStr">
        <is>
          <t>ja</t>
        </is>
      </c>
      <c r="N451" t="inlineStr">
        <is>
          <t>ja</t>
        </is>
      </c>
      <c r="O451" t="inlineStr">
        <is>
          <t>Geen dieet</t>
        </is>
      </c>
      <c r="Q451">
        <f>LEN(G451)-LEN(SUBSTITUTE(G451,",",""))+1</f>
        <v/>
      </c>
      <c r="R451">
        <f>SWITCH(I451, "Zelden", 1, "Af en toe", 4, "Regelmatig", 8, "Vaak", 12)</f>
        <v/>
      </c>
      <c r="S451">
        <f>AVERAGE(--(K451="ja"), --(L451="ja"), --(M451="ja"), --(N451="ja"), --(O451="ja"))*10</f>
        <v/>
      </c>
      <c r="T451">
        <f>IF(S451&gt;=7, "Tevreden", "Ontevreden")</f>
        <v/>
      </c>
    </row>
    <row r="452">
      <c r="A452" t="inlineStr">
        <is>
          <t>Lowie</t>
        </is>
      </c>
      <c r="B452" t="inlineStr">
        <is>
          <t>De meyer</t>
        </is>
      </c>
      <c r="C452" t="inlineStr">
        <is>
          <t>964.23634-78</t>
        </is>
      </c>
      <c r="D452" t="inlineStr">
        <is>
          <t>22/03/1950</t>
        </is>
      </c>
      <c r="E452" t="inlineStr">
        <is>
          <t>Phoenixstraat 22, 3620 Lanaken</t>
        </is>
      </c>
      <c r="F452" t="inlineStr">
        <is>
          <t>Lowie,Quinten,Adam,Anne</t>
        </is>
      </c>
      <c r="G452" t="n">
        <v>100.03</v>
      </c>
      <c r="H452" t="n">
        <v>11</v>
      </c>
      <c r="I452" t="inlineStr">
        <is>
          <t>Bancontact</t>
        </is>
      </c>
      <c r="J452" t="inlineStr">
        <is>
          <t>ja</t>
        </is>
      </c>
      <c r="K452" t="inlineStr">
        <is>
          <t>ja</t>
        </is>
      </c>
      <c r="L452" t="inlineStr">
        <is>
          <t>ja</t>
        </is>
      </c>
      <c r="M452" t="inlineStr">
        <is>
          <t>nee</t>
        </is>
      </c>
      <c r="N452" t="inlineStr">
        <is>
          <t>ja</t>
        </is>
      </c>
      <c r="O452" t="inlineStr">
        <is>
          <t>Geen dieet</t>
        </is>
      </c>
      <c r="Q452">
        <f>LEN(G452)-LEN(SUBSTITUTE(G452,",",""))+1</f>
        <v/>
      </c>
      <c r="R452">
        <f>SWITCH(I452, "Zelden", 1, "Af en toe", 4, "Regelmatig", 8, "Vaak", 12)</f>
        <v/>
      </c>
      <c r="S452">
        <f>AVERAGE(--(K452="ja"), --(L452="ja"), --(M452="ja"), --(N452="ja"), --(O452="ja"))*10</f>
        <v/>
      </c>
      <c r="T452">
        <f>IF(S452&gt;=7, "Tevreden", "Ontevreden")</f>
        <v/>
      </c>
    </row>
    <row r="453">
      <c r="A453" t="inlineStr">
        <is>
          <t>Cécile</t>
        </is>
      </c>
      <c r="B453" t="inlineStr">
        <is>
          <t>Coppens</t>
        </is>
      </c>
      <c r="C453" t="inlineStr">
        <is>
          <t>781.97671-62</t>
        </is>
      </c>
      <c r="D453" t="inlineStr">
        <is>
          <t>05/11/1946</t>
        </is>
      </c>
      <c r="E453" t="inlineStr">
        <is>
          <t>Bennesteeg 118, 3680 Maaseik</t>
        </is>
      </c>
      <c r="F453" t="inlineStr">
        <is>
          <t>Cécile,Regina,Djalila,Mihai</t>
        </is>
      </c>
      <c r="G453" t="n">
        <v>184.67</v>
      </c>
      <c r="H453" t="n">
        <v>10</v>
      </c>
      <c r="I453" t="inlineStr">
        <is>
          <t>Bancontact</t>
        </is>
      </c>
      <c r="J453" t="inlineStr">
        <is>
          <t>ja</t>
        </is>
      </c>
      <c r="K453" t="inlineStr">
        <is>
          <t>ja</t>
        </is>
      </c>
      <c r="L453" t="inlineStr">
        <is>
          <t>ja</t>
        </is>
      </c>
      <c r="M453" t="inlineStr">
        <is>
          <t>ja</t>
        </is>
      </c>
      <c r="N453" t="inlineStr">
        <is>
          <t>ja</t>
        </is>
      </c>
      <c r="O453" t="inlineStr">
        <is>
          <t>Geen dieet</t>
        </is>
      </c>
      <c r="Q453">
        <f>LEN(G453)-LEN(SUBSTITUTE(G453,",",""))+1</f>
        <v/>
      </c>
      <c r="R453">
        <f>SWITCH(I453, "Zelden", 1, "Af en toe", 4, "Regelmatig", 8, "Vaak", 12)</f>
        <v/>
      </c>
      <c r="S453">
        <f>AVERAGE(--(K453="ja"), --(L453="ja"), --(M453="ja"), --(N453="ja"), --(O453="ja"))*10</f>
        <v/>
      </c>
      <c r="T453">
        <f>IF(S453&gt;=7, "Tevreden", "Ontevreden")</f>
        <v/>
      </c>
    </row>
    <row r="454">
      <c r="A454" t="inlineStr">
        <is>
          <t>Adam</t>
        </is>
      </c>
      <c r="B454" t="inlineStr">
        <is>
          <t>Pauwels</t>
        </is>
      </c>
      <c r="C454" t="inlineStr">
        <is>
          <t>61.84907-93</t>
        </is>
      </c>
      <c r="D454" t="inlineStr">
        <is>
          <t>02/06/1995</t>
        </is>
      </c>
      <c r="E454" t="inlineStr">
        <is>
          <t>Kortijksesteenweg 61, 3800 Sint-Truiden</t>
        </is>
      </c>
      <c r="F454" t="inlineStr">
        <is>
          <t>Adam,Geneviève</t>
        </is>
      </c>
      <c r="G454" t="n">
        <v>169.03</v>
      </c>
      <c r="H454" t="n">
        <v>16</v>
      </c>
      <c r="I454" t="inlineStr">
        <is>
          <t>Payconiq</t>
        </is>
      </c>
      <c r="J454" t="inlineStr">
        <is>
          <t>ja</t>
        </is>
      </c>
      <c r="K454" t="inlineStr">
        <is>
          <t>nee</t>
        </is>
      </c>
      <c r="L454" t="inlineStr">
        <is>
          <t>ja</t>
        </is>
      </c>
      <c r="M454" t="inlineStr">
        <is>
          <t>nee</t>
        </is>
      </c>
      <c r="N454" t="inlineStr">
        <is>
          <t>ja</t>
        </is>
      </c>
      <c r="O454" t="inlineStr">
        <is>
          <t>Geen dieet</t>
        </is>
      </c>
      <c r="Q454">
        <f>LEN(G454)-LEN(SUBSTITUTE(G454,",",""))+1</f>
        <v/>
      </c>
      <c r="R454">
        <f>SWITCH(I454, "Zelden", 1, "Af en toe", 4, "Regelmatig", 8, "Vaak", 12)</f>
        <v/>
      </c>
      <c r="S454">
        <f>AVERAGE(--(K454="ja"), --(L454="ja"), --(M454="ja"), --(N454="ja"), --(O454="ja"))*10</f>
        <v/>
      </c>
      <c r="T454">
        <f>IF(S454&gt;=7, "Tevreden", "Ontevreden")</f>
        <v/>
      </c>
    </row>
    <row r="455">
      <c r="A455" t="inlineStr">
        <is>
          <t>Yanis</t>
        </is>
      </c>
      <c r="B455" t="inlineStr">
        <is>
          <t>Luyten</t>
        </is>
      </c>
      <c r="C455" t="inlineStr">
        <is>
          <t>342.15284-93</t>
        </is>
      </c>
      <c r="D455" t="inlineStr">
        <is>
          <t>13/12/1961</t>
        </is>
      </c>
      <c r="E455" t="inlineStr">
        <is>
          <t>St.- Arnoustraat 38, 3500 Hasselt</t>
        </is>
      </c>
      <c r="F455" t="inlineStr">
        <is>
          <t>Yanis,Jeanne,Didier,Tibo</t>
        </is>
      </c>
      <c r="G455" t="n">
        <v>184.32</v>
      </c>
      <c r="H455" t="n">
        <v>22</v>
      </c>
      <c r="I455" t="inlineStr">
        <is>
          <t>Payconiq</t>
        </is>
      </c>
      <c r="J455" t="inlineStr">
        <is>
          <t>ja</t>
        </is>
      </c>
      <c r="K455" t="inlineStr">
        <is>
          <t>nee</t>
        </is>
      </c>
      <c r="L455" t="inlineStr">
        <is>
          <t>ja</t>
        </is>
      </c>
      <c r="M455" t="inlineStr">
        <is>
          <t>ja</t>
        </is>
      </c>
      <c r="N455" t="inlineStr">
        <is>
          <t>nee</t>
        </is>
      </c>
      <c r="O455" t="inlineStr">
        <is>
          <t>Geen dieet</t>
        </is>
      </c>
      <c r="Q455">
        <f>LEN(G455)-LEN(SUBSTITUTE(G455,",",""))+1</f>
        <v/>
      </c>
      <c r="R455">
        <f>SWITCH(I455, "Zelden", 1, "Af en toe", 4, "Regelmatig", 8, "Vaak", 12)</f>
        <v/>
      </c>
      <c r="S455">
        <f>AVERAGE(--(K455="ja"), --(L455="ja"), --(M455="ja"), --(N455="ja"), --(O455="ja"))*10</f>
        <v/>
      </c>
      <c r="T455">
        <f>IF(S455&gt;=7, "Tevreden", "Ontevreden")</f>
        <v/>
      </c>
    </row>
    <row r="456">
      <c r="A456" t="inlineStr">
        <is>
          <t>Steffan</t>
        </is>
      </c>
      <c r="B456" t="inlineStr">
        <is>
          <t>De clerck</t>
        </is>
      </c>
      <c r="C456" t="inlineStr">
        <is>
          <t>392.74970-76</t>
        </is>
      </c>
      <c r="D456" t="inlineStr">
        <is>
          <t>11/12/1964</t>
        </is>
      </c>
      <c r="E456" t="inlineStr">
        <is>
          <t>Pekelharing 96, 3600 Genk</t>
        </is>
      </c>
      <c r="F456" t="inlineStr">
        <is>
          <t>Steffan,Alice,Gina</t>
        </is>
      </c>
      <c r="G456" t="n">
        <v>44.55</v>
      </c>
      <c r="H456" t="n">
        <v>7</v>
      </c>
      <c r="I456" t="inlineStr">
        <is>
          <t>Payconiq</t>
        </is>
      </c>
      <c r="J456" t="inlineStr">
        <is>
          <t>ja</t>
        </is>
      </c>
      <c r="K456" t="inlineStr">
        <is>
          <t>ja</t>
        </is>
      </c>
      <c r="L456" t="inlineStr">
        <is>
          <t>ja</t>
        </is>
      </c>
      <c r="M456" t="inlineStr">
        <is>
          <t>ja</t>
        </is>
      </c>
      <c r="N456" t="inlineStr">
        <is>
          <t>ja</t>
        </is>
      </c>
      <c r="O456" t="inlineStr">
        <is>
          <t>Vegetarisch</t>
        </is>
      </c>
      <c r="Q456">
        <f>LEN(G456)-LEN(SUBSTITUTE(G456,",",""))+1</f>
        <v/>
      </c>
      <c r="R456">
        <f>SWITCH(I456, "Zelden", 1, "Af en toe", 4, "Regelmatig", 8, "Vaak", 12)</f>
        <v/>
      </c>
      <c r="S456">
        <f>AVERAGE(--(K456="ja"), --(L456="ja"), --(M456="ja"), --(N456="ja"), --(O456="ja"))*10</f>
        <v/>
      </c>
      <c r="T456">
        <f>IF(S456&gt;=7, "Tevreden", "Ontevreden")</f>
        <v/>
      </c>
    </row>
    <row r="457">
      <c r="A457" t="inlineStr">
        <is>
          <t>Jacek</t>
        </is>
      </c>
      <c r="B457" t="inlineStr">
        <is>
          <t>Janssens</t>
        </is>
      </c>
      <c r="C457" t="inlineStr">
        <is>
          <t>647.62296-44</t>
        </is>
      </c>
      <c r="D457" t="inlineStr">
        <is>
          <t>16/03/1950</t>
        </is>
      </c>
      <c r="E457" t="inlineStr">
        <is>
          <t>Antwerpsesteenweg 37, 3920 Lommel</t>
        </is>
      </c>
      <c r="F457" t="inlineStr">
        <is>
          <t>Jacek,Alyssia,Kimberly,Alain</t>
        </is>
      </c>
      <c r="G457" t="n">
        <v>117.5</v>
      </c>
      <c r="H457" t="n">
        <v>7</v>
      </c>
      <c r="I457" t="inlineStr">
        <is>
          <t>Bancontact</t>
        </is>
      </c>
      <c r="J457" t="inlineStr">
        <is>
          <t>ja</t>
        </is>
      </c>
      <c r="K457" t="inlineStr">
        <is>
          <t>ja</t>
        </is>
      </c>
      <c r="L457" t="inlineStr">
        <is>
          <t>ja</t>
        </is>
      </c>
      <c r="M457" t="inlineStr">
        <is>
          <t>ja</t>
        </is>
      </c>
      <c r="N457" t="inlineStr">
        <is>
          <t>ja</t>
        </is>
      </c>
      <c r="O457" t="inlineStr">
        <is>
          <t>Vegetarisch</t>
        </is>
      </c>
      <c r="Q457">
        <f>LEN(G457)-LEN(SUBSTITUTE(G457,",",""))+1</f>
        <v/>
      </c>
      <c r="R457">
        <f>SWITCH(I457, "Zelden", 1, "Af en toe", 4, "Regelmatig", 8, "Vaak", 12)</f>
        <v/>
      </c>
      <c r="S457">
        <f>AVERAGE(--(K457="ja"), --(L457="ja"), --(M457="ja"), --(N457="ja"), --(O457="ja"))*10</f>
        <v/>
      </c>
      <c r="T457">
        <f>IF(S457&gt;=7, "Tevreden", "Ontevreden")</f>
        <v/>
      </c>
    </row>
    <row r="458">
      <c r="A458" t="inlineStr">
        <is>
          <t>Kristel</t>
        </is>
      </c>
      <c r="B458" t="inlineStr">
        <is>
          <t>Dumont</t>
        </is>
      </c>
      <c r="C458" t="inlineStr">
        <is>
          <t>362.30641-86</t>
        </is>
      </c>
      <c r="D458" t="inlineStr">
        <is>
          <t>07/03/1958</t>
        </is>
      </c>
      <c r="E458" t="inlineStr">
        <is>
          <t>Afsneedorp 58, 3870 Heers</t>
        </is>
      </c>
      <c r="F458" t="inlineStr">
        <is>
          <t>Kristel,Andrzej</t>
        </is>
      </c>
      <c r="G458" t="n">
        <v>124.66</v>
      </c>
      <c r="H458" t="n">
        <v>8</v>
      </c>
      <c r="I458" t="inlineStr">
        <is>
          <t>Payconiq</t>
        </is>
      </c>
      <c r="J458" t="inlineStr">
        <is>
          <t>ja</t>
        </is>
      </c>
      <c r="K458" t="inlineStr">
        <is>
          <t>ja</t>
        </is>
      </c>
      <c r="L458" t="inlineStr">
        <is>
          <t>ja</t>
        </is>
      </c>
      <c r="M458" t="inlineStr">
        <is>
          <t>ja</t>
        </is>
      </c>
      <c r="N458" t="inlineStr">
        <is>
          <t>ja</t>
        </is>
      </c>
      <c r="O458" t="inlineStr">
        <is>
          <t>Geen dieet</t>
        </is>
      </c>
      <c r="Q458">
        <f>LEN(G458)-LEN(SUBSTITUTE(G458,",",""))+1</f>
        <v/>
      </c>
      <c r="R458">
        <f>SWITCH(I458, "Zelden", 1, "Af en toe", 4, "Regelmatig", 8, "Vaak", 12)</f>
        <v/>
      </c>
      <c r="S458">
        <f>AVERAGE(--(K458="ja"), --(L458="ja"), --(M458="ja"), --(N458="ja"), --(O458="ja"))*10</f>
        <v/>
      </c>
      <c r="T458">
        <f>IF(S458&gt;=7, "Tevreden", "Ontevreden")</f>
        <v/>
      </c>
    </row>
    <row r="459">
      <c r="A459" t="inlineStr">
        <is>
          <t>Mireille</t>
        </is>
      </c>
      <c r="B459" t="inlineStr">
        <is>
          <t>Verhoeven</t>
        </is>
      </c>
      <c r="C459" t="inlineStr">
        <is>
          <t>345.28886-70</t>
        </is>
      </c>
      <c r="D459" t="inlineStr">
        <is>
          <t>12/05/2005</t>
        </is>
      </c>
      <c r="E459" t="inlineStr">
        <is>
          <t>Heemstraat 60, 3590 Diepenbeek</t>
        </is>
      </c>
      <c r="F459" t="inlineStr">
        <is>
          <t>Mireille,Ruslan</t>
        </is>
      </c>
      <c r="G459" t="n">
        <v>71.84999999999999</v>
      </c>
      <c r="H459" t="n">
        <v>11</v>
      </c>
      <c r="I459" t="inlineStr">
        <is>
          <t>Bancontact</t>
        </is>
      </c>
      <c r="J459" t="inlineStr">
        <is>
          <t>ja</t>
        </is>
      </c>
      <c r="K459" t="inlineStr">
        <is>
          <t>ja</t>
        </is>
      </c>
      <c r="L459" t="inlineStr">
        <is>
          <t>nee</t>
        </is>
      </c>
      <c r="M459" t="inlineStr">
        <is>
          <t>ja</t>
        </is>
      </c>
      <c r="N459" t="inlineStr">
        <is>
          <t>nee</t>
        </is>
      </c>
      <c r="O459" t="inlineStr">
        <is>
          <t>Geen dieet</t>
        </is>
      </c>
      <c r="Q459">
        <f>LEN(G459)-LEN(SUBSTITUTE(G459,",",""))+1</f>
        <v/>
      </c>
      <c r="R459">
        <f>SWITCH(I459, "Zelden", 1, "Af en toe", 4, "Regelmatig", 8, "Vaak", 12)</f>
        <v/>
      </c>
      <c r="S459">
        <f>AVERAGE(--(K459="ja"), --(L459="ja"), --(M459="ja"), --(N459="ja"), --(O459="ja"))*10</f>
        <v/>
      </c>
      <c r="T459">
        <f>IF(S459&gt;=7, "Tevreden", "Ontevreden")</f>
        <v/>
      </c>
    </row>
    <row r="460">
      <c r="A460" t="inlineStr">
        <is>
          <t>Farida</t>
        </is>
      </c>
      <c r="B460" t="inlineStr">
        <is>
          <t>Peters</t>
        </is>
      </c>
      <c r="C460" t="inlineStr">
        <is>
          <t>827.70588-27</t>
        </is>
      </c>
      <c r="D460" t="inlineStr">
        <is>
          <t>19/02/1980</t>
        </is>
      </c>
      <c r="E460" t="inlineStr">
        <is>
          <t>Dok Zuid 58, 3800 Sint-Truiden</t>
        </is>
      </c>
      <c r="F460" t="inlineStr">
        <is>
          <t>Farida,Amélia,Bérénice</t>
        </is>
      </c>
      <c r="G460" t="n">
        <v>63.68</v>
      </c>
      <c r="H460" t="n">
        <v>3</v>
      </c>
      <c r="I460" t="inlineStr">
        <is>
          <t>Cash</t>
        </is>
      </c>
      <c r="J460" t="inlineStr">
        <is>
          <t>nee</t>
        </is>
      </c>
      <c r="K460" t="inlineStr">
        <is>
          <t>ja</t>
        </is>
      </c>
      <c r="L460" t="inlineStr">
        <is>
          <t>nee</t>
        </is>
      </c>
      <c r="M460" t="inlineStr">
        <is>
          <t>ja</t>
        </is>
      </c>
      <c r="N460" t="inlineStr">
        <is>
          <t>ja</t>
        </is>
      </c>
      <c r="O460" t="inlineStr">
        <is>
          <t>Veganistisch</t>
        </is>
      </c>
      <c r="Q460">
        <f>LEN(G460)-LEN(SUBSTITUTE(G460,",",""))+1</f>
        <v/>
      </c>
      <c r="R460">
        <f>SWITCH(I460, "Zelden", 1, "Af en toe", 4, "Regelmatig", 8, "Vaak", 12)</f>
        <v/>
      </c>
      <c r="S460">
        <f>AVERAGE(--(K460="ja"), --(L460="ja"), --(M460="ja"), --(N460="ja"), --(O460="ja"))*10</f>
        <v/>
      </c>
      <c r="T460">
        <f>IF(S460&gt;=7, "Tevreden", "Ontevreden")</f>
        <v/>
      </c>
    </row>
    <row r="461">
      <c r="A461" t="inlineStr">
        <is>
          <t>Dimitri</t>
        </is>
      </c>
      <c r="B461" t="inlineStr">
        <is>
          <t>Hermans</t>
        </is>
      </c>
      <c r="C461" t="inlineStr">
        <is>
          <t>174.69315-25</t>
        </is>
      </c>
      <c r="D461" t="inlineStr">
        <is>
          <t>10/02/1987</t>
        </is>
      </c>
      <c r="E461" t="inlineStr">
        <is>
          <t>Wilgetronkstraat 68, 3900 Overpelt</t>
        </is>
      </c>
      <c r="F461" t="inlineStr">
        <is>
          <t>Dimitri,Didier,Bertha,Metin</t>
        </is>
      </c>
      <c r="G461" t="n">
        <v>140.51</v>
      </c>
      <c r="H461" t="n">
        <v>18</v>
      </c>
      <c r="I461" t="inlineStr">
        <is>
          <t>Payconiq</t>
        </is>
      </c>
      <c r="J461" t="inlineStr">
        <is>
          <t>ja</t>
        </is>
      </c>
      <c r="K461" t="inlineStr">
        <is>
          <t>nee</t>
        </is>
      </c>
      <c r="L461" t="inlineStr">
        <is>
          <t>ja</t>
        </is>
      </c>
      <c r="M461" t="inlineStr">
        <is>
          <t>nee</t>
        </is>
      </c>
      <c r="N461" t="inlineStr">
        <is>
          <t>ja</t>
        </is>
      </c>
      <c r="O461" t="inlineStr">
        <is>
          <t>Geen dieet</t>
        </is>
      </c>
      <c r="Q461">
        <f>LEN(G461)-LEN(SUBSTITUTE(G461,",",""))+1</f>
        <v/>
      </c>
      <c r="R461">
        <f>SWITCH(I461, "Zelden", 1, "Af en toe", 4, "Regelmatig", 8, "Vaak", 12)</f>
        <v/>
      </c>
      <c r="S461">
        <f>AVERAGE(--(K461="ja"), --(L461="ja"), --(M461="ja"), --(N461="ja"), --(O461="ja"))*10</f>
        <v/>
      </c>
      <c r="T461">
        <f>IF(S461&gt;=7, "Tevreden", "Ontevreden")</f>
        <v/>
      </c>
    </row>
    <row r="462">
      <c r="A462" t="inlineStr">
        <is>
          <t>Firmin</t>
        </is>
      </c>
      <c r="B462" t="inlineStr">
        <is>
          <t>Pauwels</t>
        </is>
      </c>
      <c r="C462" t="inlineStr">
        <is>
          <t>92.27255-78</t>
        </is>
      </c>
      <c r="D462" t="inlineStr">
        <is>
          <t>08/05/2004</t>
        </is>
      </c>
      <c r="E462" t="inlineStr">
        <is>
          <t>Romain Clausstraat 2, 3530 Houthalen-Helchteren</t>
        </is>
      </c>
      <c r="F462" t="inlineStr">
        <is>
          <t>Firmin,Rakhim,Ilaria,Maria,Tim</t>
        </is>
      </c>
      <c r="G462" t="n">
        <v>186.48</v>
      </c>
      <c r="H462" t="n">
        <v>5</v>
      </c>
      <c r="I462" t="inlineStr">
        <is>
          <t>Payconiq</t>
        </is>
      </c>
      <c r="J462" t="inlineStr">
        <is>
          <t>ja</t>
        </is>
      </c>
      <c r="K462" t="inlineStr">
        <is>
          <t>ja</t>
        </is>
      </c>
      <c r="L462" t="inlineStr">
        <is>
          <t>ja</t>
        </is>
      </c>
      <c r="M462" t="inlineStr">
        <is>
          <t>ja</t>
        </is>
      </c>
      <c r="N462" t="inlineStr">
        <is>
          <t>ja</t>
        </is>
      </c>
      <c r="O462" t="inlineStr">
        <is>
          <t>Geen dieet</t>
        </is>
      </c>
      <c r="Q462">
        <f>LEN(G462)-LEN(SUBSTITUTE(G462,",",""))+1</f>
        <v/>
      </c>
      <c r="R462">
        <f>SWITCH(I462, "Zelden", 1, "Af en toe", 4, "Regelmatig", 8, "Vaak", 12)</f>
        <v/>
      </c>
      <c r="S462">
        <f>AVERAGE(--(K462="ja"), --(L462="ja"), --(M462="ja"), --(N462="ja"), --(O462="ja"))*10</f>
        <v/>
      </c>
      <c r="T462">
        <f>IF(S462&gt;=7, "Tevreden", "Ontevreden")</f>
        <v/>
      </c>
    </row>
    <row r="463">
      <c r="A463" t="inlineStr">
        <is>
          <t>Magda</t>
        </is>
      </c>
      <c r="B463" t="inlineStr">
        <is>
          <t>Jansen</t>
        </is>
      </c>
      <c r="C463" t="inlineStr">
        <is>
          <t>986.31707-70</t>
        </is>
      </c>
      <c r="D463" t="inlineStr">
        <is>
          <t>25/02/1977</t>
        </is>
      </c>
      <c r="E463" t="inlineStr">
        <is>
          <t>Skaldenstraat 1, 3630 Maasmechelen</t>
        </is>
      </c>
      <c r="F463" t="inlineStr">
        <is>
          <t>Magda,Jutta,Yvette</t>
        </is>
      </c>
      <c r="G463" t="n">
        <v>147.27</v>
      </c>
      <c r="H463" t="n">
        <v>12</v>
      </c>
      <c r="I463" t="inlineStr">
        <is>
          <t>Payconiq</t>
        </is>
      </c>
      <c r="J463" t="inlineStr">
        <is>
          <t>nee</t>
        </is>
      </c>
      <c r="K463" t="inlineStr">
        <is>
          <t>nee</t>
        </is>
      </c>
      <c r="L463" t="inlineStr">
        <is>
          <t>ja</t>
        </is>
      </c>
      <c r="M463" t="inlineStr">
        <is>
          <t>ja</t>
        </is>
      </c>
      <c r="N463" t="inlineStr">
        <is>
          <t>ja</t>
        </is>
      </c>
      <c r="O463" t="inlineStr">
        <is>
          <t>Geen dieet</t>
        </is>
      </c>
      <c r="Q463">
        <f>LEN(G463)-LEN(SUBSTITUTE(G463,",",""))+1</f>
        <v/>
      </c>
      <c r="R463">
        <f>SWITCH(I463, "Zelden", 1, "Af en toe", 4, "Regelmatig", 8, "Vaak", 12)</f>
        <v/>
      </c>
      <c r="S463">
        <f>AVERAGE(--(K463="ja"), --(L463="ja"), --(M463="ja"), --(N463="ja"), --(O463="ja"))*10</f>
        <v/>
      </c>
      <c r="T463">
        <f>IF(S463&gt;=7, "Tevreden", "Ontevreden")</f>
        <v/>
      </c>
    </row>
    <row r="464">
      <c r="A464" t="inlineStr">
        <is>
          <t>Mads</t>
        </is>
      </c>
      <c r="B464" t="inlineStr">
        <is>
          <t>De decker</t>
        </is>
      </c>
      <c r="C464" t="inlineStr">
        <is>
          <t>399.39701-97</t>
        </is>
      </c>
      <c r="D464" t="inlineStr">
        <is>
          <t>22/01/1953</t>
        </is>
      </c>
      <c r="E464" t="inlineStr">
        <is>
          <t>Peerstraat 23, 3850 Nieuwerkerken</t>
        </is>
      </c>
      <c r="F464" t="inlineStr">
        <is>
          <t>Mads,Erik,Dorine</t>
        </is>
      </c>
      <c r="G464" t="n">
        <v>143.07</v>
      </c>
      <c r="H464" t="n">
        <v>4</v>
      </c>
      <c r="I464" t="inlineStr">
        <is>
          <t>Payconiq</t>
        </is>
      </c>
      <c r="J464" t="inlineStr">
        <is>
          <t>ja</t>
        </is>
      </c>
      <c r="K464" t="inlineStr">
        <is>
          <t>ja</t>
        </is>
      </c>
      <c r="L464" t="inlineStr">
        <is>
          <t>nee</t>
        </is>
      </c>
      <c r="M464" t="inlineStr">
        <is>
          <t>nee</t>
        </is>
      </c>
      <c r="N464" t="inlineStr">
        <is>
          <t>ja</t>
        </is>
      </c>
      <c r="O464" t="inlineStr">
        <is>
          <t>Geen dieet</t>
        </is>
      </c>
      <c r="Q464">
        <f>LEN(G464)-LEN(SUBSTITUTE(G464,",",""))+1</f>
        <v/>
      </c>
      <c r="R464">
        <f>SWITCH(I464, "Zelden", 1, "Af en toe", 4, "Regelmatig", 8, "Vaak", 12)</f>
        <v/>
      </c>
      <c r="S464">
        <f>AVERAGE(--(K464="ja"), --(L464="ja"), --(M464="ja"), --(N464="ja"), --(O464="ja"))*10</f>
        <v/>
      </c>
      <c r="T464">
        <f>IF(S464&gt;=7, "Tevreden", "Ontevreden")</f>
        <v/>
      </c>
    </row>
    <row r="465">
      <c r="A465" t="inlineStr">
        <is>
          <t>Gio</t>
        </is>
      </c>
      <c r="B465" t="inlineStr">
        <is>
          <t>De coster</t>
        </is>
      </c>
      <c r="C465" t="inlineStr">
        <is>
          <t>802.14219-83</t>
        </is>
      </c>
      <c r="D465" t="inlineStr">
        <is>
          <t>24/04/1965</t>
        </is>
      </c>
      <c r="E465" t="inlineStr">
        <is>
          <t>Boeierstraat 5, 3831 Herten</t>
        </is>
      </c>
      <c r="F465" t="inlineStr">
        <is>
          <t>Gio,Siegrid,Gianfranco</t>
        </is>
      </c>
      <c r="G465" t="n">
        <v>165</v>
      </c>
      <c r="H465" t="n">
        <v>10</v>
      </c>
      <c r="I465" t="inlineStr">
        <is>
          <t>Bancontact</t>
        </is>
      </c>
      <c r="J465" t="inlineStr">
        <is>
          <t>nee</t>
        </is>
      </c>
      <c r="K465" t="inlineStr">
        <is>
          <t>nee</t>
        </is>
      </c>
      <c r="L465" t="inlineStr">
        <is>
          <t>ja</t>
        </is>
      </c>
      <c r="M465" t="inlineStr">
        <is>
          <t>ja</t>
        </is>
      </c>
      <c r="N465" t="inlineStr">
        <is>
          <t>ja</t>
        </is>
      </c>
      <c r="O465" t="inlineStr">
        <is>
          <t>Geen dieet</t>
        </is>
      </c>
      <c r="Q465">
        <f>LEN(G465)-LEN(SUBSTITUTE(G465,",",""))+1</f>
        <v/>
      </c>
      <c r="R465">
        <f>SWITCH(I465, "Zelden", 1, "Af en toe", 4, "Regelmatig", 8, "Vaak", 12)</f>
        <v/>
      </c>
      <c r="S465">
        <f>AVERAGE(--(K465="ja"), --(L465="ja"), --(M465="ja"), --(N465="ja"), --(O465="ja"))*10</f>
        <v/>
      </c>
      <c r="T465">
        <f>IF(S465&gt;=7, "Tevreden", "Ontevreden")</f>
        <v/>
      </c>
    </row>
    <row r="466">
      <c r="A466" t="inlineStr">
        <is>
          <t>Thérèse</t>
        </is>
      </c>
      <c r="B466" t="inlineStr">
        <is>
          <t>Vanderheyden</t>
        </is>
      </c>
      <c r="C466" t="inlineStr">
        <is>
          <t>592.11044-29</t>
        </is>
      </c>
      <c r="D466" t="inlineStr">
        <is>
          <t>09/10/1974</t>
        </is>
      </c>
      <c r="E466" t="inlineStr">
        <is>
          <t>Varenstraat 8, 3600 Genk</t>
        </is>
      </c>
      <c r="F466" t="inlineStr">
        <is>
          <t>Thérèse,Dylan,Mario,Jeremy</t>
        </is>
      </c>
      <c r="G466" t="n">
        <v>178.31</v>
      </c>
      <c r="H466" t="n">
        <v>10</v>
      </c>
      <c r="I466" t="inlineStr">
        <is>
          <t>Payconiq</t>
        </is>
      </c>
      <c r="J466" t="inlineStr">
        <is>
          <t>ja</t>
        </is>
      </c>
      <c r="K466" t="inlineStr">
        <is>
          <t>ja</t>
        </is>
      </c>
      <c r="L466" t="inlineStr">
        <is>
          <t>ja</t>
        </is>
      </c>
      <c r="M466" t="inlineStr">
        <is>
          <t>ja</t>
        </is>
      </c>
      <c r="N466" t="inlineStr">
        <is>
          <t>ja</t>
        </is>
      </c>
      <c r="O466" t="inlineStr">
        <is>
          <t>Geen dieet</t>
        </is>
      </c>
      <c r="Q466">
        <f>LEN(G466)-LEN(SUBSTITUTE(G466,",",""))+1</f>
        <v/>
      </c>
      <c r="R466">
        <f>SWITCH(I466, "Zelden", 1, "Af en toe", 4, "Regelmatig", 8, "Vaak", 12)</f>
        <v/>
      </c>
      <c r="S466">
        <f>AVERAGE(--(K466="ja"), --(L466="ja"), --(M466="ja"), --(N466="ja"), --(O466="ja"))*10</f>
        <v/>
      </c>
      <c r="T466">
        <f>IF(S466&gt;=7, "Tevreden", "Ontevreden")</f>
        <v/>
      </c>
    </row>
    <row r="467">
      <c r="A467" t="inlineStr">
        <is>
          <t>Mario</t>
        </is>
      </c>
      <c r="B467" t="inlineStr">
        <is>
          <t>Dubois</t>
        </is>
      </c>
      <c r="C467" t="inlineStr">
        <is>
          <t>283.15627-93</t>
        </is>
      </c>
      <c r="D467" t="inlineStr">
        <is>
          <t>20/09/1979</t>
        </is>
      </c>
      <c r="E467" t="inlineStr">
        <is>
          <t>Eddastraat 47, 3530 Houthalen-Helchteren</t>
        </is>
      </c>
      <c r="F467" t="inlineStr">
        <is>
          <t>Mario,Nicole,Olivier,Sarah</t>
        </is>
      </c>
      <c r="G467" t="n">
        <v>173.5</v>
      </c>
      <c r="H467" t="n">
        <v>6</v>
      </c>
      <c r="I467" t="inlineStr">
        <is>
          <t>Payconiq</t>
        </is>
      </c>
      <c r="J467" t="inlineStr">
        <is>
          <t>ja</t>
        </is>
      </c>
      <c r="K467" t="inlineStr">
        <is>
          <t>nee</t>
        </is>
      </c>
      <c r="L467" t="inlineStr">
        <is>
          <t>ja</t>
        </is>
      </c>
      <c r="M467" t="inlineStr">
        <is>
          <t>ja</t>
        </is>
      </c>
      <c r="N467" t="inlineStr">
        <is>
          <t>ja</t>
        </is>
      </c>
      <c r="O467" t="inlineStr">
        <is>
          <t>Geen dieet</t>
        </is>
      </c>
      <c r="Q467">
        <f>LEN(G467)-LEN(SUBSTITUTE(G467,",",""))+1</f>
        <v/>
      </c>
      <c r="R467">
        <f>SWITCH(I467, "Zelden", 1, "Af en toe", 4, "Regelmatig", 8, "Vaak", 12)</f>
        <v/>
      </c>
      <c r="S467">
        <f>AVERAGE(--(K467="ja"), --(L467="ja"), --(M467="ja"), --(N467="ja"), --(O467="ja"))*10</f>
        <v/>
      </c>
      <c r="T467">
        <f>IF(S467&gt;=7, "Tevreden", "Ontevreden")</f>
        <v/>
      </c>
    </row>
    <row r="468">
      <c r="A468" t="inlineStr">
        <is>
          <t>Joni</t>
        </is>
      </c>
      <c r="B468" t="inlineStr">
        <is>
          <t>Swinnen</t>
        </is>
      </c>
      <c r="C468" t="inlineStr">
        <is>
          <t>915.95954-25</t>
        </is>
      </c>
      <c r="D468" t="inlineStr">
        <is>
          <t>25/08/1989</t>
        </is>
      </c>
      <c r="E468" t="inlineStr">
        <is>
          <t>Muilaardstraat 63, 3630 Maasmechelen</t>
        </is>
      </c>
      <c r="F468" t="inlineStr">
        <is>
          <t>Joni,Hakim,Franky,Jordi,Lissandro</t>
        </is>
      </c>
      <c r="G468" t="n">
        <v>211.24</v>
      </c>
      <c r="H468" t="n">
        <v>5</v>
      </c>
      <c r="I468" t="inlineStr">
        <is>
          <t>Payconiq</t>
        </is>
      </c>
      <c r="J468" t="inlineStr">
        <is>
          <t>ja</t>
        </is>
      </c>
      <c r="K468" t="inlineStr">
        <is>
          <t>ja</t>
        </is>
      </c>
      <c r="L468" t="inlineStr">
        <is>
          <t>ja</t>
        </is>
      </c>
      <c r="M468" t="inlineStr">
        <is>
          <t>nee</t>
        </is>
      </c>
      <c r="N468" t="inlineStr">
        <is>
          <t>ja</t>
        </is>
      </c>
      <c r="O468" t="inlineStr">
        <is>
          <t>Geen dieet</t>
        </is>
      </c>
      <c r="Q468">
        <f>LEN(G468)-LEN(SUBSTITUTE(G468,",",""))+1</f>
        <v/>
      </c>
      <c r="R468">
        <f>SWITCH(I468, "Zelden", 1, "Af en toe", 4, "Regelmatig", 8, "Vaak", 12)</f>
        <v/>
      </c>
      <c r="S468">
        <f>AVERAGE(--(K468="ja"), --(L468="ja"), --(M468="ja"), --(N468="ja"), --(O468="ja"))*10</f>
        <v/>
      </c>
      <c r="T468">
        <f>IF(S468&gt;=7, "Tevreden", "Ontevreden")</f>
        <v/>
      </c>
    </row>
    <row r="469">
      <c r="A469" t="inlineStr">
        <is>
          <t>Patrick</t>
        </is>
      </c>
      <c r="B469" t="inlineStr">
        <is>
          <t>Leclercq</t>
        </is>
      </c>
      <c r="C469" t="inlineStr">
        <is>
          <t>718.60408-92</t>
        </is>
      </c>
      <c r="D469" t="inlineStr">
        <is>
          <t>30/09/1992</t>
        </is>
      </c>
      <c r="E469" t="inlineStr">
        <is>
          <t>Sint-lievenslaan 63, 3650 Dilsen-Stokkem</t>
        </is>
      </c>
      <c r="F469" t="inlineStr">
        <is>
          <t>Patrick,Marc,Luc</t>
        </is>
      </c>
      <c r="G469" t="n">
        <v>33.29</v>
      </c>
      <c r="H469" t="n">
        <v>9</v>
      </c>
      <c r="I469" t="inlineStr">
        <is>
          <t>Bancontact</t>
        </is>
      </c>
      <c r="J469" t="inlineStr">
        <is>
          <t>ja</t>
        </is>
      </c>
      <c r="K469" t="inlineStr">
        <is>
          <t>nee</t>
        </is>
      </c>
      <c r="L469" t="inlineStr">
        <is>
          <t>ja</t>
        </is>
      </c>
      <c r="M469" t="inlineStr">
        <is>
          <t>ja</t>
        </is>
      </c>
      <c r="N469" t="inlineStr">
        <is>
          <t>ja</t>
        </is>
      </c>
      <c r="O469" t="inlineStr">
        <is>
          <t>Geen dieet</t>
        </is>
      </c>
      <c r="Q469">
        <f>LEN(G469)-LEN(SUBSTITUTE(G469,",",""))+1</f>
        <v/>
      </c>
      <c r="R469">
        <f>SWITCH(I469, "Zelden", 1, "Af en toe", 4, "Regelmatig", 8, "Vaak", 12)</f>
        <v/>
      </c>
      <c r="S469">
        <f>AVERAGE(--(K469="ja"), --(L469="ja"), --(M469="ja"), --(N469="ja"), --(O469="ja"))*10</f>
        <v/>
      </c>
      <c r="T469">
        <f>IF(S469&gt;=7, "Tevreden", "Ontevreden")</f>
        <v/>
      </c>
    </row>
    <row r="470">
      <c r="A470" t="inlineStr">
        <is>
          <t>Natasja</t>
        </is>
      </c>
      <c r="B470" t="inlineStr">
        <is>
          <t>Verdonck</t>
        </is>
      </c>
      <c r="C470" t="inlineStr">
        <is>
          <t>751.96073-97</t>
        </is>
      </c>
      <c r="D470" t="inlineStr">
        <is>
          <t>07/07/1997</t>
        </is>
      </c>
      <c r="E470" t="inlineStr">
        <is>
          <t>Kiekenbosstraat 88, 3560 Lummen</t>
        </is>
      </c>
      <c r="F470" t="inlineStr">
        <is>
          <t>Natasja</t>
        </is>
      </c>
      <c r="G470" t="n">
        <v>63.79</v>
      </c>
      <c r="H470" t="n">
        <v>7</v>
      </c>
      <c r="I470" t="inlineStr">
        <is>
          <t>Payconiq</t>
        </is>
      </c>
      <c r="J470" t="inlineStr">
        <is>
          <t>nee</t>
        </is>
      </c>
      <c r="K470" t="inlineStr">
        <is>
          <t>nee</t>
        </is>
      </c>
      <c r="L470" t="inlineStr">
        <is>
          <t>ja</t>
        </is>
      </c>
      <c r="M470" t="inlineStr">
        <is>
          <t>nee</t>
        </is>
      </c>
      <c r="N470" t="inlineStr">
        <is>
          <t>ja</t>
        </is>
      </c>
      <c r="O470" t="inlineStr">
        <is>
          <t>Geen dieet</t>
        </is>
      </c>
      <c r="Q470">
        <f>LEN(G470)-LEN(SUBSTITUTE(G470,",",""))+1</f>
        <v/>
      </c>
      <c r="R470">
        <f>SWITCH(I470, "Zelden", 1, "Af en toe", 4, "Regelmatig", 8, "Vaak", 12)</f>
        <v/>
      </c>
      <c r="S470">
        <f>AVERAGE(--(K470="ja"), --(L470="ja"), --(M470="ja"), --(N470="ja"), --(O470="ja"))*10</f>
        <v/>
      </c>
      <c r="T470">
        <f>IF(S470&gt;=7, "Tevreden", "Ontevreden")</f>
        <v/>
      </c>
    </row>
    <row r="471">
      <c r="A471" t="inlineStr">
        <is>
          <t>Marie</t>
        </is>
      </c>
      <c r="B471" t="inlineStr">
        <is>
          <t>Jonckheere</t>
        </is>
      </c>
      <c r="C471" t="inlineStr">
        <is>
          <t>434.98438-72</t>
        </is>
      </c>
      <c r="D471" t="inlineStr">
        <is>
          <t>29/05/1956</t>
        </is>
      </c>
      <c r="E471" t="inlineStr">
        <is>
          <t>Sint Pietersaalstraat 9, 3500 Hasselt</t>
        </is>
      </c>
      <c r="F471" t="inlineStr">
        <is>
          <t>Marie,Erik,Ann</t>
        </is>
      </c>
      <c r="G471" t="n">
        <v>132.92</v>
      </c>
      <c r="H471" t="n">
        <v>1</v>
      </c>
      <c r="I471" t="inlineStr">
        <is>
          <t>Bancontact</t>
        </is>
      </c>
      <c r="J471" t="inlineStr">
        <is>
          <t>ja</t>
        </is>
      </c>
      <c r="K471" t="inlineStr">
        <is>
          <t>nee</t>
        </is>
      </c>
      <c r="L471" t="inlineStr">
        <is>
          <t>ja</t>
        </is>
      </c>
      <c r="M471" t="inlineStr">
        <is>
          <t>ja</t>
        </is>
      </c>
      <c r="N471" t="inlineStr">
        <is>
          <t>ja</t>
        </is>
      </c>
      <c r="O471" t="inlineStr">
        <is>
          <t>Geen dieet</t>
        </is>
      </c>
      <c r="Q471">
        <f>LEN(G471)-LEN(SUBSTITUTE(G471,",",""))+1</f>
        <v/>
      </c>
      <c r="R471">
        <f>SWITCH(I471, "Zelden", 1, "Af en toe", 4, "Regelmatig", 8, "Vaak", 12)</f>
        <v/>
      </c>
      <c r="S471">
        <f>AVERAGE(--(K471="ja"), --(L471="ja"), --(M471="ja"), --(N471="ja"), --(O471="ja"))*10</f>
        <v/>
      </c>
      <c r="T471">
        <f>IF(S471&gt;=7, "Tevreden", "Ontevreden")</f>
        <v/>
      </c>
    </row>
    <row r="472">
      <c r="A472" t="inlineStr">
        <is>
          <t>Muriel</t>
        </is>
      </c>
      <c r="B472" t="inlineStr">
        <is>
          <t>Renard</t>
        </is>
      </c>
      <c r="C472" t="inlineStr">
        <is>
          <t>338.85651-38</t>
        </is>
      </c>
      <c r="D472" t="inlineStr">
        <is>
          <t>31/05/2000</t>
        </is>
      </c>
      <c r="E472" t="inlineStr">
        <is>
          <t>Trekweg 11, 3910 Neerpelt</t>
        </is>
      </c>
      <c r="F472" t="inlineStr">
        <is>
          <t>Muriel,Maureen,Maria,Fenna,Maija</t>
        </is>
      </c>
      <c r="G472" t="n">
        <v>204.54</v>
      </c>
      <c r="H472" t="n">
        <v>11</v>
      </c>
      <c r="I472" t="inlineStr">
        <is>
          <t>Bancontact</t>
        </is>
      </c>
      <c r="J472" t="inlineStr">
        <is>
          <t>nee</t>
        </is>
      </c>
      <c r="K472" t="inlineStr">
        <is>
          <t>ja</t>
        </is>
      </c>
      <c r="L472" t="inlineStr">
        <is>
          <t>nee</t>
        </is>
      </c>
      <c r="M472" t="inlineStr">
        <is>
          <t>ja</t>
        </is>
      </c>
      <c r="N472" t="inlineStr">
        <is>
          <t>ja</t>
        </is>
      </c>
      <c r="O472" t="inlineStr">
        <is>
          <t>Geen dieet</t>
        </is>
      </c>
      <c r="Q472">
        <f>LEN(G472)-LEN(SUBSTITUTE(G472,",",""))+1</f>
        <v/>
      </c>
      <c r="R472">
        <f>SWITCH(I472, "Zelden", 1, "Af en toe", 4, "Regelmatig", 8, "Vaak", 12)</f>
        <v/>
      </c>
      <c r="S472">
        <f>AVERAGE(--(K472="ja"), --(L472="ja"), --(M472="ja"), --(N472="ja"), --(O472="ja"))*10</f>
        <v/>
      </c>
      <c r="T472">
        <f>IF(S472&gt;=7, "Tevreden", "Ontevreden")</f>
        <v/>
      </c>
    </row>
    <row r="473">
      <c r="A473" t="inlineStr">
        <is>
          <t>Patrice</t>
        </is>
      </c>
      <c r="B473" t="inlineStr">
        <is>
          <t>Pierre</t>
        </is>
      </c>
      <c r="C473" t="inlineStr">
        <is>
          <t>190.35432-42</t>
        </is>
      </c>
      <c r="D473" t="inlineStr">
        <is>
          <t>04/11/1981</t>
        </is>
      </c>
      <c r="E473" t="inlineStr">
        <is>
          <t>Kriekerijstraat 27, 3920 Lommel</t>
        </is>
      </c>
      <c r="F473" t="inlineStr">
        <is>
          <t>Patrice,Rolando,Rita</t>
        </is>
      </c>
      <c r="G473" t="n">
        <v>111.76</v>
      </c>
      <c r="H473" t="n">
        <v>1</v>
      </c>
      <c r="I473" t="inlineStr">
        <is>
          <t>Bancontact</t>
        </is>
      </c>
      <c r="J473" t="inlineStr">
        <is>
          <t>nee</t>
        </is>
      </c>
      <c r="K473" t="inlineStr">
        <is>
          <t>ja</t>
        </is>
      </c>
      <c r="L473" t="inlineStr">
        <is>
          <t>ja</t>
        </is>
      </c>
      <c r="M473" t="inlineStr">
        <is>
          <t>nee</t>
        </is>
      </c>
      <c r="N473" t="inlineStr">
        <is>
          <t>nee</t>
        </is>
      </c>
      <c r="O473" t="inlineStr">
        <is>
          <t>Geen dieet</t>
        </is>
      </c>
      <c r="Q473">
        <f>LEN(G473)-LEN(SUBSTITUTE(G473,",",""))+1</f>
        <v/>
      </c>
      <c r="R473">
        <f>SWITCH(I473, "Zelden", 1, "Af en toe", 4, "Regelmatig", 8, "Vaak", 12)</f>
        <v/>
      </c>
      <c r="S473">
        <f>AVERAGE(--(K473="ja"), --(L473="ja"), --(M473="ja"), --(N473="ja"), --(O473="ja"))*10</f>
        <v/>
      </c>
      <c r="T473">
        <f>IF(S473&gt;=7, "Tevreden", "Ontevreden")</f>
        <v/>
      </c>
    </row>
    <row r="474">
      <c r="A474" t="inlineStr">
        <is>
          <t>Olivier</t>
        </is>
      </c>
      <c r="B474" t="inlineStr">
        <is>
          <t>Maes</t>
        </is>
      </c>
      <c r="C474" t="inlineStr">
        <is>
          <t>894.30037-36</t>
        </is>
      </c>
      <c r="D474" t="inlineStr">
        <is>
          <t>30/06/1981</t>
        </is>
      </c>
      <c r="E474" t="inlineStr">
        <is>
          <t>Vossenbergstraat 82, 3500 Hasselt</t>
        </is>
      </c>
      <c r="F474" t="inlineStr">
        <is>
          <t>Olivier</t>
        </is>
      </c>
      <c r="G474" t="n">
        <v>68.16</v>
      </c>
      <c r="H474" t="n">
        <v>2</v>
      </c>
      <c r="I474" t="inlineStr">
        <is>
          <t>Cash</t>
        </is>
      </c>
      <c r="J474" t="inlineStr">
        <is>
          <t>ja</t>
        </is>
      </c>
      <c r="K474" t="inlineStr">
        <is>
          <t>ja</t>
        </is>
      </c>
      <c r="L474" t="inlineStr">
        <is>
          <t>ja</t>
        </is>
      </c>
      <c r="M474" t="inlineStr">
        <is>
          <t>ja</t>
        </is>
      </c>
      <c r="N474" t="inlineStr">
        <is>
          <t>ja</t>
        </is>
      </c>
      <c r="O474" t="inlineStr">
        <is>
          <t>Veganistisch</t>
        </is>
      </c>
      <c r="Q474">
        <f>LEN(G474)-LEN(SUBSTITUTE(G474,",",""))+1</f>
        <v/>
      </c>
      <c r="R474">
        <f>SWITCH(I474, "Zelden", 1, "Af en toe", 4, "Regelmatig", 8, "Vaak", 12)</f>
        <v/>
      </c>
      <c r="S474">
        <f>AVERAGE(--(K474="ja"), --(L474="ja"), --(M474="ja"), --(N474="ja"), --(O474="ja"))*10</f>
        <v/>
      </c>
      <c r="T474">
        <f>IF(S474&gt;=7, "Tevreden", "Ontevreden")</f>
        <v/>
      </c>
    </row>
    <row r="475">
      <c r="A475" t="inlineStr">
        <is>
          <t>Norah</t>
        </is>
      </c>
      <c r="B475" t="inlineStr">
        <is>
          <t>Stevens</t>
        </is>
      </c>
      <c r="C475" t="inlineStr">
        <is>
          <t>479.51000-85</t>
        </is>
      </c>
      <c r="D475" t="inlineStr">
        <is>
          <t>16/10/1960</t>
        </is>
      </c>
      <c r="E475" t="inlineStr">
        <is>
          <t>Nieuwewandeling 87, 3600 Genk</t>
        </is>
      </c>
      <c r="F475" t="inlineStr">
        <is>
          <t>Norah</t>
        </is>
      </c>
      <c r="G475" t="n">
        <v>118.07</v>
      </c>
      <c r="H475" t="n">
        <v>13</v>
      </c>
      <c r="I475" t="inlineStr">
        <is>
          <t>Payconiq</t>
        </is>
      </c>
      <c r="J475" t="inlineStr">
        <is>
          <t>ja</t>
        </is>
      </c>
      <c r="K475" t="inlineStr">
        <is>
          <t>ja</t>
        </is>
      </c>
      <c r="L475" t="inlineStr">
        <is>
          <t>ja</t>
        </is>
      </c>
      <c r="M475" t="inlineStr">
        <is>
          <t>ja</t>
        </is>
      </c>
      <c r="N475" t="inlineStr">
        <is>
          <t>ja</t>
        </is>
      </c>
      <c r="O475" t="inlineStr">
        <is>
          <t>Geen dieet</t>
        </is>
      </c>
      <c r="Q475">
        <f>LEN(G475)-LEN(SUBSTITUTE(G475,",",""))+1</f>
        <v/>
      </c>
      <c r="R475">
        <f>SWITCH(I475, "Zelden", 1, "Af en toe", 4, "Regelmatig", 8, "Vaak", 12)</f>
        <v/>
      </c>
      <c r="S475">
        <f>AVERAGE(--(K475="ja"), --(L475="ja"), --(M475="ja"), --(N475="ja"), --(O475="ja"))*10</f>
        <v/>
      </c>
      <c r="T475">
        <f>IF(S475&gt;=7, "Tevreden", "Ontevreden")</f>
        <v/>
      </c>
    </row>
    <row r="476">
      <c r="A476" t="inlineStr">
        <is>
          <t>Tony</t>
        </is>
      </c>
      <c r="B476" t="inlineStr">
        <is>
          <t>Verbruggen</t>
        </is>
      </c>
      <c r="C476" t="inlineStr">
        <is>
          <t>95.94494-40</t>
        </is>
      </c>
      <c r="D476" t="inlineStr">
        <is>
          <t>16/01/1969</t>
        </is>
      </c>
      <c r="E476" t="inlineStr">
        <is>
          <t>Bijlokekaai 24, 3920 Lommel</t>
        </is>
      </c>
      <c r="F476" t="inlineStr">
        <is>
          <t>Tony,Jolien,Nathalie</t>
        </is>
      </c>
      <c r="G476" t="n">
        <v>105</v>
      </c>
      <c r="H476" t="n">
        <v>7</v>
      </c>
      <c r="I476" t="inlineStr">
        <is>
          <t>Cash</t>
        </is>
      </c>
      <c r="J476" t="inlineStr">
        <is>
          <t>ja</t>
        </is>
      </c>
      <c r="K476" t="inlineStr">
        <is>
          <t>ja</t>
        </is>
      </c>
      <c r="L476" t="inlineStr">
        <is>
          <t>nee</t>
        </is>
      </c>
      <c r="M476" t="inlineStr">
        <is>
          <t>ja</t>
        </is>
      </c>
      <c r="N476" t="inlineStr">
        <is>
          <t>ja</t>
        </is>
      </c>
      <c r="O476" t="inlineStr">
        <is>
          <t>Geen dieet</t>
        </is>
      </c>
      <c r="Q476">
        <f>LEN(G476)-LEN(SUBSTITUTE(G476,",",""))+1</f>
        <v/>
      </c>
      <c r="R476">
        <f>SWITCH(I476, "Zelden", 1, "Af en toe", 4, "Regelmatig", 8, "Vaak", 12)</f>
        <v/>
      </c>
      <c r="S476">
        <f>AVERAGE(--(K476="ja"), --(L476="ja"), --(M476="ja"), --(N476="ja"), --(O476="ja"))*10</f>
        <v/>
      </c>
      <c r="T476">
        <f>IF(S476&gt;=7, "Tevreden", "Ontevreden")</f>
        <v/>
      </c>
    </row>
    <row r="477">
      <c r="A477" t="inlineStr">
        <is>
          <t>Louise</t>
        </is>
      </c>
      <c r="B477" t="inlineStr">
        <is>
          <t>Desmet</t>
        </is>
      </c>
      <c r="C477" t="inlineStr">
        <is>
          <t>568.55507-31</t>
        </is>
      </c>
      <c r="D477" t="inlineStr">
        <is>
          <t>08/11/1966</t>
        </is>
      </c>
      <c r="E477" t="inlineStr">
        <is>
          <t>Keizervest 21, 3730 Hoeselt</t>
        </is>
      </c>
      <c r="F477" t="inlineStr">
        <is>
          <t>Louise,Steven</t>
        </is>
      </c>
      <c r="G477" t="n">
        <v>102.71</v>
      </c>
      <c r="H477" t="n">
        <v>12</v>
      </c>
      <c r="I477" t="inlineStr">
        <is>
          <t>Payconiq</t>
        </is>
      </c>
      <c r="J477" t="inlineStr">
        <is>
          <t>ja</t>
        </is>
      </c>
      <c r="K477" t="inlineStr">
        <is>
          <t>nee</t>
        </is>
      </c>
      <c r="L477" t="inlineStr">
        <is>
          <t>ja</t>
        </is>
      </c>
      <c r="M477" t="inlineStr">
        <is>
          <t>ja</t>
        </is>
      </c>
      <c r="N477" t="inlineStr">
        <is>
          <t>ja</t>
        </is>
      </c>
      <c r="O477" t="inlineStr">
        <is>
          <t>Geen dieet</t>
        </is>
      </c>
      <c r="Q477">
        <f>LEN(G477)-LEN(SUBSTITUTE(G477,",",""))+1</f>
        <v/>
      </c>
      <c r="R477">
        <f>SWITCH(I477, "Zelden", 1, "Af en toe", 4, "Regelmatig", 8, "Vaak", 12)</f>
        <v/>
      </c>
      <c r="S477">
        <f>AVERAGE(--(K477="ja"), --(L477="ja"), --(M477="ja"), --(N477="ja"), --(O477="ja"))*10</f>
        <v/>
      </c>
      <c r="T477">
        <f>IF(S477&gt;=7, "Tevreden", "Ontevreden")</f>
        <v/>
      </c>
    </row>
    <row r="478">
      <c r="A478" t="inlineStr">
        <is>
          <t>Laurent</t>
        </is>
      </c>
      <c r="B478" t="inlineStr">
        <is>
          <t>Gielen</t>
        </is>
      </c>
      <c r="C478" t="inlineStr">
        <is>
          <t>764.31293-60</t>
        </is>
      </c>
      <c r="D478" t="inlineStr">
        <is>
          <t>27/10/1976</t>
        </is>
      </c>
      <c r="E478" t="inlineStr">
        <is>
          <t>Voorhoutkaai 32, 3530 Houthalen-Helchteren</t>
        </is>
      </c>
      <c r="F478" t="inlineStr">
        <is>
          <t>Laurent,Gerben,Rasha,Thomas,Valerica</t>
        </is>
      </c>
      <c r="G478" t="n">
        <v>142.39</v>
      </c>
      <c r="H478" t="n">
        <v>10</v>
      </c>
      <c r="I478" t="inlineStr">
        <is>
          <t>Payconiq</t>
        </is>
      </c>
      <c r="J478" t="inlineStr">
        <is>
          <t>ja</t>
        </is>
      </c>
      <c r="K478" t="inlineStr">
        <is>
          <t>nee</t>
        </is>
      </c>
      <c r="L478" t="inlineStr">
        <is>
          <t>nee</t>
        </is>
      </c>
      <c r="M478" t="inlineStr">
        <is>
          <t>ja</t>
        </is>
      </c>
      <c r="N478" t="inlineStr">
        <is>
          <t>ja</t>
        </is>
      </c>
      <c r="O478" t="inlineStr">
        <is>
          <t>Geen dieet</t>
        </is>
      </c>
      <c r="Q478">
        <f>LEN(G478)-LEN(SUBSTITUTE(G478,",",""))+1</f>
        <v/>
      </c>
      <c r="R478">
        <f>SWITCH(I478, "Zelden", 1, "Af en toe", 4, "Regelmatig", 8, "Vaak", 12)</f>
        <v/>
      </c>
      <c r="S478">
        <f>AVERAGE(--(K478="ja"), --(L478="ja"), --(M478="ja"), --(N478="ja"), --(O478="ja"))*10</f>
        <v/>
      </c>
      <c r="T478">
        <f>IF(S478&gt;=7, "Tevreden", "Ontevreden")</f>
        <v/>
      </c>
    </row>
    <row r="479">
      <c r="A479" t="inlineStr">
        <is>
          <t>Elien</t>
        </is>
      </c>
      <c r="B479" t="inlineStr">
        <is>
          <t>Goethals</t>
        </is>
      </c>
      <c r="C479" t="inlineStr">
        <is>
          <t>100.77523-85</t>
        </is>
      </c>
      <c r="D479" t="inlineStr">
        <is>
          <t>13/11/1986</t>
        </is>
      </c>
      <c r="E479" t="inlineStr">
        <is>
          <t>Grauwpoort 48, 3640 Kessenich</t>
        </is>
      </c>
      <c r="F479" t="inlineStr">
        <is>
          <t>Elien,Greta</t>
        </is>
      </c>
      <c r="G479" t="n">
        <v>93.58</v>
      </c>
      <c r="H479" t="n">
        <v>16</v>
      </c>
      <c r="I479" t="inlineStr">
        <is>
          <t>Bancontact</t>
        </is>
      </c>
      <c r="J479" t="inlineStr">
        <is>
          <t>ja</t>
        </is>
      </c>
      <c r="K479" t="inlineStr">
        <is>
          <t>ja</t>
        </is>
      </c>
      <c r="L479" t="inlineStr">
        <is>
          <t>ja</t>
        </is>
      </c>
      <c r="M479" t="inlineStr">
        <is>
          <t>ja</t>
        </is>
      </c>
      <c r="N479" t="inlineStr">
        <is>
          <t>ja</t>
        </is>
      </c>
      <c r="O479" t="inlineStr">
        <is>
          <t>Vegetarisch</t>
        </is>
      </c>
      <c r="Q479">
        <f>LEN(G479)-LEN(SUBSTITUTE(G479,",",""))+1</f>
        <v/>
      </c>
      <c r="R479">
        <f>SWITCH(I479, "Zelden", 1, "Af en toe", 4, "Regelmatig", 8, "Vaak", 12)</f>
        <v/>
      </c>
      <c r="S479">
        <f>AVERAGE(--(K479="ja"), --(L479="ja"), --(M479="ja"), --(N479="ja"), --(O479="ja"))*10</f>
        <v/>
      </c>
      <c r="T479">
        <f>IF(S479&gt;=7, "Tevreden", "Ontevreden")</f>
        <v/>
      </c>
    </row>
    <row r="480">
      <c r="A480" t="inlineStr">
        <is>
          <t>Mamadou</t>
        </is>
      </c>
      <c r="B480" t="inlineStr">
        <is>
          <t>Hermans</t>
        </is>
      </c>
      <c r="C480" t="inlineStr">
        <is>
          <t>127.78716-61</t>
        </is>
      </c>
      <c r="D480" t="inlineStr">
        <is>
          <t>12/02/1990</t>
        </is>
      </c>
      <c r="E480" t="inlineStr">
        <is>
          <t>Hogeheerweg 8, 3600 Genk</t>
        </is>
      </c>
      <c r="F480" t="inlineStr">
        <is>
          <t>Mamadou,Sigrid,Helen</t>
        </is>
      </c>
      <c r="G480" t="n">
        <v>135.04</v>
      </c>
      <c r="H480" t="n">
        <v>12</v>
      </c>
      <c r="I480" t="inlineStr">
        <is>
          <t>Bancontact</t>
        </is>
      </c>
      <c r="J480" t="inlineStr">
        <is>
          <t>ja</t>
        </is>
      </c>
      <c r="K480" t="inlineStr">
        <is>
          <t>nee</t>
        </is>
      </c>
      <c r="L480" t="inlineStr">
        <is>
          <t>nee</t>
        </is>
      </c>
      <c r="M480" t="inlineStr">
        <is>
          <t>ja</t>
        </is>
      </c>
      <c r="N480" t="inlineStr">
        <is>
          <t>ja</t>
        </is>
      </c>
      <c r="O480" t="inlineStr">
        <is>
          <t>Geen dieet</t>
        </is>
      </c>
      <c r="Q480">
        <f>LEN(G480)-LEN(SUBSTITUTE(G480,",",""))+1</f>
        <v/>
      </c>
      <c r="R480">
        <f>SWITCH(I480, "Zelden", 1, "Af en toe", 4, "Regelmatig", 8, "Vaak", 12)</f>
        <v/>
      </c>
      <c r="S480">
        <f>AVERAGE(--(K480="ja"), --(L480="ja"), --(M480="ja"), --(N480="ja"), --(O480="ja"))*10</f>
        <v/>
      </c>
      <c r="T480">
        <f>IF(S480&gt;=7, "Tevreden", "Ontevreden")</f>
        <v/>
      </c>
    </row>
    <row r="481">
      <c r="A481" t="inlineStr">
        <is>
          <t>Hermann</t>
        </is>
      </c>
      <c r="B481" t="inlineStr">
        <is>
          <t>De groote</t>
        </is>
      </c>
      <c r="C481" t="inlineStr">
        <is>
          <t>429.21760-20</t>
        </is>
      </c>
      <c r="D481" t="inlineStr">
        <is>
          <t>30/11/1954</t>
        </is>
      </c>
      <c r="E481" t="inlineStr">
        <is>
          <t>Bevrijdingslaan 63, 3900 Overpelt</t>
        </is>
      </c>
      <c r="F481" t="inlineStr">
        <is>
          <t>Hermann,Eléonore</t>
        </is>
      </c>
      <c r="G481" t="n">
        <v>59.51</v>
      </c>
      <c r="H481" t="n">
        <v>17</v>
      </c>
      <c r="I481" t="inlineStr">
        <is>
          <t>Payconiq</t>
        </is>
      </c>
      <c r="J481" t="inlineStr">
        <is>
          <t>nee</t>
        </is>
      </c>
      <c r="K481" t="inlineStr">
        <is>
          <t>ja</t>
        </is>
      </c>
      <c r="L481" t="inlineStr">
        <is>
          <t>ja</t>
        </is>
      </c>
      <c r="M481" t="inlineStr">
        <is>
          <t>ja</t>
        </is>
      </c>
      <c r="N481" t="inlineStr">
        <is>
          <t>ja</t>
        </is>
      </c>
      <c r="O481" t="inlineStr">
        <is>
          <t>Geen dieet</t>
        </is>
      </c>
      <c r="Q481">
        <f>LEN(G481)-LEN(SUBSTITUTE(G481,",",""))+1</f>
        <v/>
      </c>
      <c r="R481">
        <f>SWITCH(I481, "Zelden", 1, "Af en toe", 4, "Regelmatig", 8, "Vaak", 12)</f>
        <v/>
      </c>
      <c r="S481">
        <f>AVERAGE(--(K481="ja"), --(L481="ja"), --(M481="ja"), --(N481="ja"), --(O481="ja"))*10</f>
        <v/>
      </c>
      <c r="T481">
        <f>IF(S481&gt;=7, "Tevreden", "Ontevreden")</f>
        <v/>
      </c>
    </row>
    <row r="482">
      <c r="A482" t="inlineStr">
        <is>
          <t>Camille</t>
        </is>
      </c>
      <c r="B482" t="inlineStr">
        <is>
          <t>Henry</t>
        </is>
      </c>
      <c r="C482" t="inlineStr">
        <is>
          <t>49.17915-50</t>
        </is>
      </c>
      <c r="D482" t="inlineStr">
        <is>
          <t>26/05/1983</t>
        </is>
      </c>
      <c r="E482" t="inlineStr">
        <is>
          <t>Voldersstraat 1, 3730 Hoeselt</t>
        </is>
      </c>
      <c r="F482" t="inlineStr">
        <is>
          <t>Camille,Nour,Josette,Sarah,Liesl</t>
        </is>
      </c>
      <c r="G482" t="n">
        <v>178.61</v>
      </c>
      <c r="H482" t="n">
        <v>12</v>
      </c>
      <c r="I482" t="inlineStr">
        <is>
          <t>Payconiq</t>
        </is>
      </c>
      <c r="J482" t="inlineStr">
        <is>
          <t>ja</t>
        </is>
      </c>
      <c r="K482" t="inlineStr">
        <is>
          <t>ja</t>
        </is>
      </c>
      <c r="L482" t="inlineStr">
        <is>
          <t>nee</t>
        </is>
      </c>
      <c r="M482" t="inlineStr">
        <is>
          <t>ja</t>
        </is>
      </c>
      <c r="N482" t="inlineStr">
        <is>
          <t>ja</t>
        </is>
      </c>
      <c r="O482" t="inlineStr">
        <is>
          <t>Geen dieet</t>
        </is>
      </c>
      <c r="Q482">
        <f>LEN(G482)-LEN(SUBSTITUTE(G482,",",""))+1</f>
        <v/>
      </c>
      <c r="R482">
        <f>SWITCH(I482, "Zelden", 1, "Af en toe", 4, "Regelmatig", 8, "Vaak", 12)</f>
        <v/>
      </c>
      <c r="S482">
        <f>AVERAGE(--(K482="ja"), --(L482="ja"), --(M482="ja"), --(N482="ja"), --(O482="ja"))*10</f>
        <v/>
      </c>
      <c r="T482">
        <f>IF(S482&gt;=7, "Tevreden", "Ontevreden")</f>
        <v/>
      </c>
    </row>
    <row r="483">
      <c r="A483" t="inlineStr">
        <is>
          <t>Therese</t>
        </is>
      </c>
      <c r="B483" t="inlineStr">
        <is>
          <t>Mertens</t>
        </is>
      </c>
      <c r="C483" t="inlineStr">
        <is>
          <t>735.38414-33</t>
        </is>
      </c>
      <c r="D483" t="inlineStr">
        <is>
          <t>08/12/1945</t>
        </is>
      </c>
      <c r="E483" t="inlineStr">
        <is>
          <t>K.m.hendrikaplein 109, 3690 Zutendaal</t>
        </is>
      </c>
      <c r="F483" t="inlineStr">
        <is>
          <t>Therese,Nadine,Roland,Herman,Myriam</t>
        </is>
      </c>
      <c r="G483" t="n">
        <v>165.43</v>
      </c>
      <c r="H483" t="n">
        <v>8</v>
      </c>
      <c r="I483" t="inlineStr">
        <is>
          <t>Bancontact</t>
        </is>
      </c>
      <c r="J483" t="inlineStr">
        <is>
          <t>nee</t>
        </is>
      </c>
      <c r="K483" t="inlineStr">
        <is>
          <t>ja</t>
        </is>
      </c>
      <c r="L483" t="inlineStr">
        <is>
          <t>ja</t>
        </is>
      </c>
      <c r="M483" t="inlineStr">
        <is>
          <t>nee</t>
        </is>
      </c>
      <c r="N483" t="inlineStr">
        <is>
          <t>ja</t>
        </is>
      </c>
      <c r="O483" t="inlineStr">
        <is>
          <t>Geen dieet</t>
        </is>
      </c>
      <c r="Q483">
        <f>LEN(G483)-LEN(SUBSTITUTE(G483,",",""))+1</f>
        <v/>
      </c>
      <c r="R483">
        <f>SWITCH(I483, "Zelden", 1, "Af en toe", 4, "Regelmatig", 8, "Vaak", 12)</f>
        <v/>
      </c>
      <c r="S483">
        <f>AVERAGE(--(K483="ja"), --(L483="ja"), --(M483="ja"), --(N483="ja"), --(O483="ja"))*10</f>
        <v/>
      </c>
      <c r="T483">
        <f>IF(S483&gt;=7, "Tevreden", "Ontevreden")</f>
        <v/>
      </c>
    </row>
    <row r="484">
      <c r="A484" t="inlineStr">
        <is>
          <t>Bernard</t>
        </is>
      </c>
      <c r="B484" t="inlineStr">
        <is>
          <t>Lebrun</t>
        </is>
      </c>
      <c r="C484" t="inlineStr">
        <is>
          <t>584.10757-94</t>
        </is>
      </c>
      <c r="D484" t="inlineStr">
        <is>
          <t>17/03/1956</t>
        </is>
      </c>
      <c r="E484" t="inlineStr">
        <is>
          <t>Buffelstraat 23, 3530 Houthalen-Helchteren</t>
        </is>
      </c>
      <c r="F484" t="inlineStr">
        <is>
          <t>Bernard,Kobe</t>
        </is>
      </c>
      <c r="G484" t="n">
        <v>20.08</v>
      </c>
      <c r="H484" t="n">
        <v>7</v>
      </c>
      <c r="I484" t="inlineStr">
        <is>
          <t>Payconiq</t>
        </is>
      </c>
      <c r="J484" t="inlineStr">
        <is>
          <t>nee</t>
        </is>
      </c>
      <c r="K484" t="inlineStr">
        <is>
          <t>ja</t>
        </is>
      </c>
      <c r="L484" t="inlineStr">
        <is>
          <t>nee</t>
        </is>
      </c>
      <c r="M484" t="inlineStr">
        <is>
          <t>ja</t>
        </is>
      </c>
      <c r="N484" t="inlineStr">
        <is>
          <t>nee</t>
        </is>
      </c>
      <c r="O484" t="inlineStr">
        <is>
          <t>Geen dieet</t>
        </is>
      </c>
      <c r="Q484">
        <f>LEN(G484)-LEN(SUBSTITUTE(G484,",",""))+1</f>
        <v/>
      </c>
      <c r="R484">
        <f>SWITCH(I484, "Zelden", 1, "Af en toe", 4, "Regelmatig", 8, "Vaak", 12)</f>
        <v/>
      </c>
      <c r="S484">
        <f>AVERAGE(--(K484="ja"), --(L484="ja"), --(M484="ja"), --(N484="ja"), --(O484="ja"))*10</f>
        <v/>
      </c>
      <c r="T484">
        <f>IF(S484&gt;=7, "Tevreden", "Ontevreden")</f>
        <v/>
      </c>
    </row>
    <row r="485">
      <c r="A485" t="inlineStr">
        <is>
          <t>Liya</t>
        </is>
      </c>
      <c r="B485" t="inlineStr">
        <is>
          <t>Vermeersch</t>
        </is>
      </c>
      <c r="C485" t="inlineStr">
        <is>
          <t>839.34380-83</t>
        </is>
      </c>
      <c r="D485" t="inlineStr">
        <is>
          <t>17/02/1945</t>
        </is>
      </c>
      <c r="E485" t="inlineStr">
        <is>
          <t>Korte Kruisstraat 32, 3891 Meilen</t>
        </is>
      </c>
      <c r="F485" t="inlineStr">
        <is>
          <t>Liya,Looka,Ria,Dani</t>
        </is>
      </c>
      <c r="G485" t="n">
        <v>130.55</v>
      </c>
      <c r="H485" t="n">
        <v>32</v>
      </c>
      <c r="I485" t="inlineStr">
        <is>
          <t>Cash</t>
        </is>
      </c>
      <c r="J485" t="inlineStr">
        <is>
          <t>nee</t>
        </is>
      </c>
      <c r="K485" t="inlineStr">
        <is>
          <t>ja</t>
        </is>
      </c>
      <c r="L485" t="inlineStr">
        <is>
          <t>ja</t>
        </is>
      </c>
      <c r="M485" t="inlineStr">
        <is>
          <t>nee</t>
        </is>
      </c>
      <c r="N485" t="inlineStr">
        <is>
          <t>nee</t>
        </is>
      </c>
      <c r="O485" t="inlineStr">
        <is>
          <t>Geen dieet</t>
        </is>
      </c>
      <c r="Q485">
        <f>LEN(G485)-LEN(SUBSTITUTE(G485,",",""))+1</f>
        <v/>
      </c>
      <c r="R485">
        <f>SWITCH(I485, "Zelden", 1, "Af en toe", 4, "Regelmatig", 8, "Vaak", 12)</f>
        <v/>
      </c>
      <c r="S485">
        <f>AVERAGE(--(K485="ja"), --(L485="ja"), --(M485="ja"), --(N485="ja"), --(O485="ja"))*10</f>
        <v/>
      </c>
      <c r="T485">
        <f>IF(S485&gt;=7, "Tevreden", "Ontevreden")</f>
        <v/>
      </c>
    </row>
    <row r="486">
      <c r="A486" t="inlineStr">
        <is>
          <t>Parveen</t>
        </is>
      </c>
      <c r="B486" t="inlineStr">
        <is>
          <t>Wouters</t>
        </is>
      </c>
      <c r="C486" t="inlineStr">
        <is>
          <t>450.16561-83</t>
        </is>
      </c>
      <c r="D486" t="inlineStr">
        <is>
          <t>19/12/1957</t>
        </is>
      </c>
      <c r="E486" t="inlineStr">
        <is>
          <t>Lijnwaadstraat 21, 3600 Genk</t>
        </is>
      </c>
      <c r="F486" t="inlineStr">
        <is>
          <t>Parveen,Jacques,Salaheddine,Renelde,Louis</t>
        </is>
      </c>
      <c r="G486" t="n">
        <v>150.09</v>
      </c>
      <c r="H486" t="n">
        <v>14</v>
      </c>
      <c r="I486" t="inlineStr">
        <is>
          <t>Cash</t>
        </is>
      </c>
      <c r="J486" t="inlineStr">
        <is>
          <t>nee</t>
        </is>
      </c>
      <c r="K486" t="inlineStr">
        <is>
          <t>nee</t>
        </is>
      </c>
      <c r="L486" t="inlineStr">
        <is>
          <t>nee</t>
        </is>
      </c>
      <c r="M486" t="inlineStr">
        <is>
          <t>ja</t>
        </is>
      </c>
      <c r="N486" t="inlineStr">
        <is>
          <t>ja</t>
        </is>
      </c>
      <c r="O486" t="inlineStr">
        <is>
          <t>Geen dieet</t>
        </is>
      </c>
      <c r="Q486">
        <f>LEN(G486)-LEN(SUBSTITUTE(G486,",",""))+1</f>
        <v/>
      </c>
      <c r="R486">
        <f>SWITCH(I486, "Zelden", 1, "Af en toe", 4, "Regelmatig", 8, "Vaak", 12)</f>
        <v/>
      </c>
      <c r="S486">
        <f>AVERAGE(--(K486="ja"), --(L486="ja"), --(M486="ja"), --(N486="ja"), --(O486="ja"))*10</f>
        <v/>
      </c>
      <c r="T486">
        <f>IF(S486&gt;=7, "Tevreden", "Ontevreden")</f>
        <v/>
      </c>
    </row>
    <row r="487">
      <c r="A487" t="inlineStr">
        <is>
          <t>Hilda</t>
        </is>
      </c>
      <c r="B487" t="inlineStr">
        <is>
          <t>Leonard</t>
        </is>
      </c>
      <c r="C487" t="inlineStr">
        <is>
          <t>362.66387-97</t>
        </is>
      </c>
      <c r="D487" t="inlineStr">
        <is>
          <t>28/11/1995</t>
        </is>
      </c>
      <c r="E487" t="inlineStr">
        <is>
          <t>Donkersteeg 4, 3840 Borgloon</t>
        </is>
      </c>
      <c r="F487" t="inlineStr">
        <is>
          <t>Hilda,Eden,Georges</t>
        </is>
      </c>
      <c r="G487" t="n">
        <v>114.28</v>
      </c>
      <c r="H487" t="n">
        <v>11</v>
      </c>
      <c r="I487" t="inlineStr">
        <is>
          <t>Payconiq</t>
        </is>
      </c>
      <c r="J487" t="inlineStr">
        <is>
          <t>nee</t>
        </is>
      </c>
      <c r="K487" t="inlineStr">
        <is>
          <t>nee</t>
        </is>
      </c>
      <c r="L487" t="inlineStr">
        <is>
          <t>ja</t>
        </is>
      </c>
      <c r="M487" t="inlineStr">
        <is>
          <t>nee</t>
        </is>
      </c>
      <c r="N487" t="inlineStr">
        <is>
          <t>nee</t>
        </is>
      </c>
      <c r="O487" t="inlineStr">
        <is>
          <t>Geen dieet</t>
        </is>
      </c>
      <c r="Q487">
        <f>LEN(G487)-LEN(SUBSTITUTE(G487,",",""))+1</f>
        <v/>
      </c>
      <c r="R487">
        <f>SWITCH(I487, "Zelden", 1, "Af en toe", 4, "Regelmatig", 8, "Vaak", 12)</f>
        <v/>
      </c>
      <c r="S487">
        <f>AVERAGE(--(K487="ja"), --(L487="ja"), --(M487="ja"), --(N487="ja"), --(O487="ja"))*10</f>
        <v/>
      </c>
      <c r="T487">
        <f>IF(S487&gt;=7, "Tevreden", "Ontevreden")</f>
        <v/>
      </c>
    </row>
    <row r="488">
      <c r="A488" t="inlineStr">
        <is>
          <t>Jonathan</t>
        </is>
      </c>
      <c r="B488" t="inlineStr">
        <is>
          <t>Merckx</t>
        </is>
      </c>
      <c r="C488" t="inlineStr">
        <is>
          <t>956.17304-34</t>
        </is>
      </c>
      <c r="D488" t="inlineStr">
        <is>
          <t>31/05/1950</t>
        </is>
      </c>
      <c r="E488" t="inlineStr">
        <is>
          <t>Mail 34, 3640 Kinrooi</t>
        </is>
      </c>
      <c r="F488" t="inlineStr">
        <is>
          <t>Jonathan,Jeremy,Patricia,Amber</t>
        </is>
      </c>
      <c r="G488" t="n">
        <v>159.79</v>
      </c>
      <c r="H488" t="n">
        <v>4</v>
      </c>
      <c r="I488" t="inlineStr">
        <is>
          <t>Payconiq</t>
        </is>
      </c>
      <c r="J488" t="inlineStr">
        <is>
          <t>nee</t>
        </is>
      </c>
      <c r="K488" t="inlineStr">
        <is>
          <t>nee</t>
        </is>
      </c>
      <c r="L488" t="inlineStr">
        <is>
          <t>ja</t>
        </is>
      </c>
      <c r="M488" t="inlineStr">
        <is>
          <t>nee</t>
        </is>
      </c>
      <c r="N488" t="inlineStr">
        <is>
          <t>nee</t>
        </is>
      </c>
      <c r="O488" t="inlineStr">
        <is>
          <t>Geen dieet</t>
        </is>
      </c>
      <c r="Q488">
        <f>LEN(G488)-LEN(SUBSTITUTE(G488,",",""))+1</f>
        <v/>
      </c>
      <c r="R488">
        <f>SWITCH(I488, "Zelden", 1, "Af en toe", 4, "Regelmatig", 8, "Vaak", 12)</f>
        <v/>
      </c>
      <c r="S488">
        <f>AVERAGE(--(K488="ja"), --(L488="ja"), --(M488="ja"), --(N488="ja"), --(O488="ja"))*10</f>
        <v/>
      </c>
      <c r="T488">
        <f>IF(S488&gt;=7, "Tevreden", "Ontevreden")</f>
        <v/>
      </c>
    </row>
    <row r="489">
      <c r="A489" t="inlineStr">
        <is>
          <t>Marco</t>
        </is>
      </c>
      <c r="B489" t="inlineStr">
        <is>
          <t>Thys</t>
        </is>
      </c>
      <c r="C489" t="inlineStr">
        <is>
          <t>23.81331-73</t>
        </is>
      </c>
      <c r="D489" t="inlineStr">
        <is>
          <t>09/08/1954</t>
        </is>
      </c>
      <c r="E489" t="inlineStr">
        <is>
          <t>Wittemolenstraat 39, 3700 Tongeren</t>
        </is>
      </c>
      <c r="F489" t="inlineStr">
        <is>
          <t>Marco,Marc</t>
        </is>
      </c>
      <c r="G489" t="n">
        <v>54.25</v>
      </c>
      <c r="H489" t="n">
        <v>13</v>
      </c>
      <c r="I489" t="inlineStr">
        <is>
          <t>Payconiq</t>
        </is>
      </c>
      <c r="J489" t="inlineStr">
        <is>
          <t>ja</t>
        </is>
      </c>
      <c r="K489" t="inlineStr">
        <is>
          <t>nee</t>
        </is>
      </c>
      <c r="L489" t="inlineStr">
        <is>
          <t>ja</t>
        </is>
      </c>
      <c r="M489" t="inlineStr">
        <is>
          <t>ja</t>
        </is>
      </c>
      <c r="N489" t="inlineStr">
        <is>
          <t>ja</t>
        </is>
      </c>
      <c r="O489" t="inlineStr">
        <is>
          <t>Veganistisch</t>
        </is>
      </c>
      <c r="Q489">
        <f>LEN(G489)-LEN(SUBSTITUTE(G489,",",""))+1</f>
        <v/>
      </c>
      <c r="R489">
        <f>SWITCH(I489, "Zelden", 1, "Af en toe", 4, "Regelmatig", 8, "Vaak", 12)</f>
        <v/>
      </c>
      <c r="S489">
        <f>AVERAGE(--(K489="ja"), --(L489="ja"), --(M489="ja"), --(N489="ja"), --(O489="ja"))*10</f>
        <v/>
      </c>
      <c r="T489">
        <f>IF(S489&gt;=7, "Tevreden", "Ontevreden")</f>
        <v/>
      </c>
    </row>
    <row r="490">
      <c r="A490" t="inlineStr">
        <is>
          <t>Annie</t>
        </is>
      </c>
      <c r="B490" t="inlineStr">
        <is>
          <t>Smets</t>
        </is>
      </c>
      <c r="C490" t="inlineStr">
        <is>
          <t>353.98673-13</t>
        </is>
      </c>
      <c r="D490" t="inlineStr">
        <is>
          <t>04/09/1953</t>
        </is>
      </c>
      <c r="E490" t="inlineStr">
        <is>
          <t>Goedlevenstraat 16, 3680 Maaseik</t>
        </is>
      </c>
      <c r="F490" t="inlineStr">
        <is>
          <t>Annie,Gilbert,Guy,Lewis</t>
        </is>
      </c>
      <c r="G490" t="n">
        <v>121.55</v>
      </c>
      <c r="H490" t="n">
        <v>10</v>
      </c>
      <c r="I490" t="inlineStr">
        <is>
          <t>Payconiq</t>
        </is>
      </c>
      <c r="J490" t="inlineStr">
        <is>
          <t>ja</t>
        </is>
      </c>
      <c r="K490" t="inlineStr">
        <is>
          <t>ja</t>
        </is>
      </c>
      <c r="L490" t="inlineStr">
        <is>
          <t>ja</t>
        </is>
      </c>
      <c r="M490" t="inlineStr">
        <is>
          <t>ja</t>
        </is>
      </c>
      <c r="N490" t="inlineStr">
        <is>
          <t>ja</t>
        </is>
      </c>
      <c r="O490" t="inlineStr">
        <is>
          <t>Geen dieet</t>
        </is>
      </c>
      <c r="Q490">
        <f>LEN(G490)-LEN(SUBSTITUTE(G490,",",""))+1</f>
        <v/>
      </c>
      <c r="R490">
        <f>SWITCH(I490, "Zelden", 1, "Af en toe", 4, "Regelmatig", 8, "Vaak", 12)</f>
        <v/>
      </c>
      <c r="S490">
        <f>AVERAGE(--(K490="ja"), --(L490="ja"), --(M490="ja"), --(N490="ja"), --(O490="ja"))*10</f>
        <v/>
      </c>
      <c r="T490">
        <f>IF(S490&gt;=7, "Tevreden", "Ontevreden")</f>
        <v/>
      </c>
    </row>
    <row r="491">
      <c r="A491" t="inlineStr">
        <is>
          <t>Tommy</t>
        </is>
      </c>
      <c r="B491" t="inlineStr">
        <is>
          <t>Callens</t>
        </is>
      </c>
      <c r="C491" t="inlineStr">
        <is>
          <t>325.95559-32</t>
        </is>
      </c>
      <c r="D491" t="inlineStr">
        <is>
          <t>30/10/1987</t>
        </is>
      </c>
      <c r="E491" t="inlineStr">
        <is>
          <t>Kortedagsteeg 44, 3831 Herten</t>
        </is>
      </c>
      <c r="F491" t="inlineStr">
        <is>
          <t>Tommy,Geoffrey,Meryem,Joachim</t>
        </is>
      </c>
      <c r="G491" t="n">
        <v>115.83</v>
      </c>
      <c r="H491" t="n">
        <v>3</v>
      </c>
      <c r="I491" t="inlineStr">
        <is>
          <t>Payconiq</t>
        </is>
      </c>
      <c r="J491" t="inlineStr">
        <is>
          <t>nee</t>
        </is>
      </c>
      <c r="K491" t="inlineStr">
        <is>
          <t>ja</t>
        </is>
      </c>
      <c r="L491" t="inlineStr">
        <is>
          <t>ja</t>
        </is>
      </c>
      <c r="M491" t="inlineStr">
        <is>
          <t>ja</t>
        </is>
      </c>
      <c r="N491" t="inlineStr">
        <is>
          <t>ja</t>
        </is>
      </c>
      <c r="O491" t="inlineStr">
        <is>
          <t>Geen dieet</t>
        </is>
      </c>
      <c r="Q491">
        <f>LEN(G491)-LEN(SUBSTITUTE(G491,",",""))+1</f>
        <v/>
      </c>
      <c r="R491">
        <f>SWITCH(I491, "Zelden", 1, "Af en toe", 4, "Regelmatig", 8, "Vaak", 12)</f>
        <v/>
      </c>
      <c r="S491">
        <f>AVERAGE(--(K491="ja"), --(L491="ja"), --(M491="ja"), --(N491="ja"), --(O491="ja"))*10</f>
        <v/>
      </c>
      <c r="T491">
        <f>IF(S491&gt;=7, "Tevreden", "Ontevreden")</f>
        <v/>
      </c>
    </row>
    <row r="492">
      <c r="A492" t="inlineStr">
        <is>
          <t>Rania</t>
        </is>
      </c>
      <c r="B492" t="inlineStr">
        <is>
          <t>Gilles</t>
        </is>
      </c>
      <c r="C492" t="inlineStr">
        <is>
          <t>214.12060-74</t>
        </is>
      </c>
      <c r="D492" t="inlineStr">
        <is>
          <t>01/09/2002</t>
        </is>
      </c>
      <c r="E492" t="inlineStr">
        <is>
          <t>Mimosastraat 10, 3630 Maasmechelen</t>
        </is>
      </c>
      <c r="F492" t="inlineStr">
        <is>
          <t>Rania,Diana</t>
        </is>
      </c>
      <c r="G492" t="n">
        <v>102.25</v>
      </c>
      <c r="H492" t="n">
        <v>19</v>
      </c>
      <c r="I492" t="inlineStr">
        <is>
          <t>Bancontact</t>
        </is>
      </c>
      <c r="J492" t="inlineStr">
        <is>
          <t>nee</t>
        </is>
      </c>
      <c r="K492" t="inlineStr">
        <is>
          <t>ja</t>
        </is>
      </c>
      <c r="L492" t="inlineStr">
        <is>
          <t>ja</t>
        </is>
      </c>
      <c r="M492" t="inlineStr">
        <is>
          <t>ja</t>
        </is>
      </c>
      <c r="N492" t="inlineStr">
        <is>
          <t>nee</t>
        </is>
      </c>
      <c r="O492" t="inlineStr">
        <is>
          <t>Geen dieet</t>
        </is>
      </c>
      <c r="Q492">
        <f>LEN(G492)-LEN(SUBSTITUTE(G492,",",""))+1</f>
        <v/>
      </c>
      <c r="R492">
        <f>SWITCH(I492, "Zelden", 1, "Af en toe", 4, "Regelmatig", 8, "Vaak", 12)</f>
        <v/>
      </c>
      <c r="S492">
        <f>AVERAGE(--(K492="ja"), --(L492="ja"), --(M492="ja"), --(N492="ja"), --(O492="ja"))*10</f>
        <v/>
      </c>
      <c r="T492">
        <f>IF(S492&gt;=7, "Tevreden", "Ontevreden")</f>
        <v/>
      </c>
    </row>
    <row r="493">
      <c r="A493" t="inlineStr">
        <is>
          <t>Anny</t>
        </is>
      </c>
      <c r="B493" t="inlineStr">
        <is>
          <t>Nijs</t>
        </is>
      </c>
      <c r="C493" t="inlineStr">
        <is>
          <t>414.68232-76</t>
        </is>
      </c>
      <c r="D493" t="inlineStr">
        <is>
          <t>08/09/1946</t>
        </is>
      </c>
      <c r="E493" t="inlineStr">
        <is>
          <t>Sleepstraat 6, 3620 Lanaken</t>
        </is>
      </c>
      <c r="F493" t="inlineStr">
        <is>
          <t>Anny,Lotte,Lea,Lisette</t>
        </is>
      </c>
      <c r="G493" t="n">
        <v>97.29000000000001</v>
      </c>
      <c r="H493" t="n">
        <v>4</v>
      </c>
      <c r="I493" t="inlineStr">
        <is>
          <t>Bancontact</t>
        </is>
      </c>
      <c r="J493" t="inlineStr">
        <is>
          <t>ja</t>
        </is>
      </c>
      <c r="K493" t="inlineStr">
        <is>
          <t>nee</t>
        </is>
      </c>
      <c r="L493" t="inlineStr">
        <is>
          <t>nee</t>
        </is>
      </c>
      <c r="M493" t="inlineStr">
        <is>
          <t>ja</t>
        </is>
      </c>
      <c r="N493" t="inlineStr">
        <is>
          <t>nee</t>
        </is>
      </c>
      <c r="O493" t="inlineStr">
        <is>
          <t>Vegetarisch</t>
        </is>
      </c>
      <c r="Q493">
        <f>LEN(G493)-LEN(SUBSTITUTE(G493,",",""))+1</f>
        <v/>
      </c>
      <c r="R493">
        <f>SWITCH(I493, "Zelden", 1, "Af en toe", 4, "Regelmatig", 8, "Vaak", 12)</f>
        <v/>
      </c>
      <c r="S493">
        <f>AVERAGE(--(K493="ja"), --(L493="ja"), --(M493="ja"), --(N493="ja"), --(O493="ja"))*10</f>
        <v/>
      </c>
      <c r="T493">
        <f>IF(S493&gt;=7, "Tevreden", "Ontevreden")</f>
        <v/>
      </c>
    </row>
    <row r="494">
      <c r="A494" t="inlineStr">
        <is>
          <t>Brigitte</t>
        </is>
      </c>
      <c r="B494" t="inlineStr">
        <is>
          <t>Borremans</t>
        </is>
      </c>
      <c r="C494" t="inlineStr">
        <is>
          <t>211.28311-19</t>
        </is>
      </c>
      <c r="D494" t="inlineStr">
        <is>
          <t>10/09/1990</t>
        </is>
      </c>
      <c r="E494" t="inlineStr">
        <is>
          <t>H. Frère Orbanlaan 53, 3630 Maasmechelen</t>
        </is>
      </c>
      <c r="F494" t="inlineStr">
        <is>
          <t>Brigitte,Belle,Estée</t>
        </is>
      </c>
      <c r="G494" t="n">
        <v>99.68000000000001</v>
      </c>
      <c r="H494" t="n">
        <v>13</v>
      </c>
      <c r="I494" t="inlineStr">
        <is>
          <t>Bancontact</t>
        </is>
      </c>
      <c r="J494" t="inlineStr">
        <is>
          <t>ja</t>
        </is>
      </c>
      <c r="K494" t="inlineStr">
        <is>
          <t>ja</t>
        </is>
      </c>
      <c r="L494" t="inlineStr">
        <is>
          <t>ja</t>
        </is>
      </c>
      <c r="M494" t="inlineStr">
        <is>
          <t>nee</t>
        </is>
      </c>
      <c r="N494" t="inlineStr">
        <is>
          <t>ja</t>
        </is>
      </c>
      <c r="O494" t="inlineStr">
        <is>
          <t>Geen dieet</t>
        </is>
      </c>
      <c r="Q494">
        <f>LEN(G494)-LEN(SUBSTITUTE(G494,",",""))+1</f>
        <v/>
      </c>
      <c r="R494">
        <f>SWITCH(I494, "Zelden", 1, "Af en toe", 4, "Regelmatig", 8, "Vaak", 12)</f>
        <v/>
      </c>
      <c r="S494">
        <f>AVERAGE(--(K494="ja"), --(L494="ja"), --(M494="ja"), --(N494="ja"), --(O494="ja"))*10</f>
        <v/>
      </c>
      <c r="T494">
        <f>IF(S494&gt;=7, "Tevreden", "Ontevreden")</f>
        <v/>
      </c>
    </row>
    <row r="495">
      <c r="A495" t="inlineStr">
        <is>
          <t>Jacques</t>
        </is>
      </c>
      <c r="B495" t="inlineStr">
        <is>
          <t>Vanderstraeten</t>
        </is>
      </c>
      <c r="C495" t="inlineStr">
        <is>
          <t>394.15254-17</t>
        </is>
      </c>
      <c r="D495" t="inlineStr">
        <is>
          <t>14/12/1972</t>
        </is>
      </c>
      <c r="E495" t="inlineStr">
        <is>
          <t>Muidepoort 12, 3530 Houthalen-Helchteren</t>
        </is>
      </c>
      <c r="F495" t="inlineStr">
        <is>
          <t>Jacques,Cindy,Tatiana</t>
        </is>
      </c>
      <c r="G495" t="n">
        <v>123.4</v>
      </c>
      <c r="H495" t="n">
        <v>11</v>
      </c>
      <c r="I495" t="inlineStr">
        <is>
          <t>Cash</t>
        </is>
      </c>
      <c r="J495" t="inlineStr">
        <is>
          <t>ja</t>
        </is>
      </c>
      <c r="K495" t="inlineStr">
        <is>
          <t>nee</t>
        </is>
      </c>
      <c r="L495" t="inlineStr">
        <is>
          <t>ja</t>
        </is>
      </c>
      <c r="M495" t="inlineStr">
        <is>
          <t>ja</t>
        </is>
      </c>
      <c r="N495" t="inlineStr">
        <is>
          <t>ja</t>
        </is>
      </c>
      <c r="O495" t="inlineStr">
        <is>
          <t>Geen dieet</t>
        </is>
      </c>
      <c r="Q495">
        <f>LEN(G495)-LEN(SUBSTITUTE(G495,",",""))+1</f>
        <v/>
      </c>
      <c r="R495">
        <f>SWITCH(I495, "Zelden", 1, "Af en toe", 4, "Regelmatig", 8, "Vaak", 12)</f>
        <v/>
      </c>
      <c r="S495">
        <f>AVERAGE(--(K495="ja"), --(L495="ja"), --(M495="ja"), --(N495="ja"), --(O495="ja"))*10</f>
        <v/>
      </c>
      <c r="T495">
        <f>IF(S495&gt;=7, "Tevreden", "Ontevreden")</f>
        <v/>
      </c>
    </row>
    <row r="496">
      <c r="A496" t="inlineStr">
        <is>
          <t>Karlijn</t>
        </is>
      </c>
      <c r="B496" t="inlineStr">
        <is>
          <t>De boeck</t>
        </is>
      </c>
      <c r="C496" t="inlineStr">
        <is>
          <t>892.62792-82</t>
        </is>
      </c>
      <c r="D496" t="inlineStr">
        <is>
          <t>05/09/1974</t>
        </is>
      </c>
      <c r="E496" t="inlineStr">
        <is>
          <t>Derbystraat 30, 3520 Zonhoven</t>
        </is>
      </c>
      <c r="F496" t="inlineStr">
        <is>
          <t>Karlijn,Samet,Viggo</t>
        </is>
      </c>
      <c r="G496" t="n">
        <v>126.38</v>
      </c>
      <c r="H496" t="n">
        <v>7</v>
      </c>
      <c r="I496" t="inlineStr">
        <is>
          <t>Bancontact</t>
        </is>
      </c>
      <c r="J496" t="inlineStr">
        <is>
          <t>nee</t>
        </is>
      </c>
      <c r="K496" t="inlineStr">
        <is>
          <t>nee</t>
        </is>
      </c>
      <c r="L496" t="inlineStr">
        <is>
          <t>ja</t>
        </is>
      </c>
      <c r="M496" t="inlineStr">
        <is>
          <t>ja</t>
        </is>
      </c>
      <c r="N496" t="inlineStr">
        <is>
          <t>ja</t>
        </is>
      </c>
      <c r="O496" t="inlineStr">
        <is>
          <t>Geen dieet</t>
        </is>
      </c>
      <c r="Q496">
        <f>LEN(G496)-LEN(SUBSTITUTE(G496,",",""))+1</f>
        <v/>
      </c>
      <c r="R496">
        <f>SWITCH(I496, "Zelden", 1, "Af en toe", 4, "Regelmatig", 8, "Vaak", 12)</f>
        <v/>
      </c>
      <c r="S496">
        <f>AVERAGE(--(K496="ja"), --(L496="ja"), --(M496="ja"), --(N496="ja"), --(O496="ja"))*10</f>
        <v/>
      </c>
      <c r="T496">
        <f>IF(S496&gt;=7, "Tevreden", "Ontevreden")</f>
        <v/>
      </c>
    </row>
    <row r="497">
      <c r="A497" t="inlineStr">
        <is>
          <t>Ibe</t>
        </is>
      </c>
      <c r="B497" t="inlineStr">
        <is>
          <t>Mertens</t>
        </is>
      </c>
      <c r="C497" t="inlineStr">
        <is>
          <t>870.33475-20</t>
        </is>
      </c>
      <c r="D497" t="inlineStr">
        <is>
          <t>20/06/1946</t>
        </is>
      </c>
      <c r="E497" t="inlineStr">
        <is>
          <t>Voskenslaan 98, 3910 Neerpelt</t>
        </is>
      </c>
      <c r="F497" t="inlineStr">
        <is>
          <t>Ibe,Mirjam,Katrin</t>
        </is>
      </c>
      <c r="G497" t="n">
        <v>134.74</v>
      </c>
      <c r="H497" t="n">
        <v>3</v>
      </c>
      <c r="I497" t="inlineStr">
        <is>
          <t>Payconiq</t>
        </is>
      </c>
      <c r="J497" t="inlineStr">
        <is>
          <t>ja</t>
        </is>
      </c>
      <c r="K497" t="inlineStr">
        <is>
          <t>nee</t>
        </is>
      </c>
      <c r="L497" t="inlineStr">
        <is>
          <t>ja</t>
        </is>
      </c>
      <c r="M497" t="inlineStr">
        <is>
          <t>nee</t>
        </is>
      </c>
      <c r="N497" t="inlineStr">
        <is>
          <t>nee</t>
        </is>
      </c>
      <c r="O497" t="inlineStr">
        <is>
          <t>Geen dieet</t>
        </is>
      </c>
      <c r="Q497">
        <f>LEN(G497)-LEN(SUBSTITUTE(G497,",",""))+1</f>
        <v/>
      </c>
      <c r="R497">
        <f>SWITCH(I497, "Zelden", 1, "Af en toe", 4, "Regelmatig", 8, "Vaak", 12)</f>
        <v/>
      </c>
      <c r="S497">
        <f>AVERAGE(--(K497="ja"), --(L497="ja"), --(M497="ja"), --(N497="ja"), --(O497="ja"))*10</f>
        <v/>
      </c>
      <c r="T497">
        <f>IF(S497&gt;=7, "Tevreden", "Ontevreden")</f>
        <v/>
      </c>
    </row>
    <row r="498">
      <c r="A498" t="inlineStr">
        <is>
          <t>Wesley</t>
        </is>
      </c>
      <c r="B498" t="inlineStr">
        <is>
          <t>De bruyn</t>
        </is>
      </c>
      <c r="C498" t="inlineStr">
        <is>
          <t>440.57599-21</t>
        </is>
      </c>
      <c r="D498" t="inlineStr">
        <is>
          <t>17/05/1997</t>
        </is>
      </c>
      <c r="E498" t="inlineStr">
        <is>
          <t>Destelbergenstraat 25, 3740 Bilzen</t>
        </is>
      </c>
      <c r="F498" t="inlineStr">
        <is>
          <t>Wesley,Nel,Elisabeth,Martine</t>
        </is>
      </c>
      <c r="G498" t="n">
        <v>157.23</v>
      </c>
      <c r="H498" t="n">
        <v>3</v>
      </c>
      <c r="I498" t="inlineStr">
        <is>
          <t>Bancontact</t>
        </is>
      </c>
      <c r="J498" t="inlineStr">
        <is>
          <t>ja</t>
        </is>
      </c>
      <c r="K498" t="inlineStr">
        <is>
          <t>ja</t>
        </is>
      </c>
      <c r="L498" t="inlineStr">
        <is>
          <t>ja</t>
        </is>
      </c>
      <c r="M498" t="inlineStr">
        <is>
          <t>ja</t>
        </is>
      </c>
      <c r="N498" t="inlineStr">
        <is>
          <t>ja</t>
        </is>
      </c>
      <c r="O498" t="inlineStr">
        <is>
          <t>Geen dieet</t>
        </is>
      </c>
      <c r="Q498">
        <f>LEN(G498)-LEN(SUBSTITUTE(G498,",",""))+1</f>
        <v/>
      </c>
      <c r="R498">
        <f>SWITCH(I498, "Zelden", 1, "Af en toe", 4, "Regelmatig", 8, "Vaak", 12)</f>
        <v/>
      </c>
      <c r="S498">
        <f>AVERAGE(--(K498="ja"), --(L498="ja"), --(M498="ja"), --(N498="ja"), --(O498="ja"))*10</f>
        <v/>
      </c>
      <c r="T498">
        <f>IF(S498&gt;=7, "Tevreden", "Ontevreden")</f>
        <v/>
      </c>
    </row>
    <row r="499">
      <c r="A499" t="inlineStr">
        <is>
          <t>Helene</t>
        </is>
      </c>
      <c r="B499" t="inlineStr">
        <is>
          <t>Hermans</t>
        </is>
      </c>
      <c r="C499" t="inlineStr">
        <is>
          <t>285.84881-83</t>
        </is>
      </c>
      <c r="D499" t="inlineStr">
        <is>
          <t>21/07/2001</t>
        </is>
      </c>
      <c r="E499" t="inlineStr">
        <is>
          <t>Langerbruggekaai 36, 3500 Hasselt</t>
        </is>
      </c>
      <c r="F499" t="inlineStr">
        <is>
          <t>Helene,Claude,Marie-Hélène,Wesley</t>
        </is>
      </c>
      <c r="G499" t="n">
        <v>161.25</v>
      </c>
      <c r="H499" t="n">
        <v>3</v>
      </c>
      <c r="I499" t="inlineStr">
        <is>
          <t>Bancontact</t>
        </is>
      </c>
      <c r="J499" t="inlineStr">
        <is>
          <t>nee</t>
        </is>
      </c>
      <c r="K499" t="inlineStr">
        <is>
          <t>ja</t>
        </is>
      </c>
      <c r="L499" t="inlineStr">
        <is>
          <t>ja</t>
        </is>
      </c>
      <c r="M499" t="inlineStr">
        <is>
          <t>ja</t>
        </is>
      </c>
      <c r="N499" t="inlineStr">
        <is>
          <t>ja</t>
        </is>
      </c>
      <c r="O499" t="inlineStr">
        <is>
          <t>Geen dieet</t>
        </is>
      </c>
      <c r="Q499">
        <f>LEN(G499)-LEN(SUBSTITUTE(G499,",",""))+1</f>
        <v/>
      </c>
      <c r="R499">
        <f>SWITCH(I499, "Zelden", 1, "Af en toe", 4, "Regelmatig", 8, "Vaak", 12)</f>
        <v/>
      </c>
      <c r="S499">
        <f>AVERAGE(--(K499="ja"), --(L499="ja"), --(M499="ja"), --(N499="ja"), --(O499="ja"))*10</f>
        <v/>
      </c>
      <c r="T499">
        <f>IF(S499&gt;=7, "Tevreden", "Ontevreden")</f>
        <v/>
      </c>
    </row>
    <row r="500">
      <c r="A500" t="inlineStr">
        <is>
          <t>Lowie</t>
        </is>
      </c>
      <c r="B500" t="inlineStr">
        <is>
          <t>Fontaine</t>
        </is>
      </c>
      <c r="C500" t="inlineStr">
        <is>
          <t>167.42028-46</t>
        </is>
      </c>
      <c r="D500" t="inlineStr">
        <is>
          <t>30/05/1951</t>
        </is>
      </c>
      <c r="E500" t="inlineStr">
        <is>
          <t>Tortelduifstraat 64, 3660 Opglabbeek</t>
        </is>
      </c>
      <c r="F500" t="inlineStr">
        <is>
          <t>Lowie,Gisela,Leentje</t>
        </is>
      </c>
      <c r="G500" t="n">
        <v>186.51</v>
      </c>
      <c r="H500" t="n">
        <v>9</v>
      </c>
      <c r="I500" t="inlineStr">
        <is>
          <t>Bancontact</t>
        </is>
      </c>
      <c r="J500" t="inlineStr">
        <is>
          <t>ja</t>
        </is>
      </c>
      <c r="K500" t="inlineStr">
        <is>
          <t>ja</t>
        </is>
      </c>
      <c r="L500" t="inlineStr">
        <is>
          <t>ja</t>
        </is>
      </c>
      <c r="M500" t="inlineStr">
        <is>
          <t>ja</t>
        </is>
      </c>
      <c r="N500" t="inlineStr">
        <is>
          <t>nee</t>
        </is>
      </c>
      <c r="O500" t="inlineStr">
        <is>
          <t>Geen dieet</t>
        </is>
      </c>
      <c r="Q500">
        <f>LEN(G500)-LEN(SUBSTITUTE(G500,",",""))+1</f>
        <v/>
      </c>
      <c r="R500">
        <f>SWITCH(I500, "Zelden", 1, "Af en toe", 4, "Regelmatig", 8, "Vaak", 12)</f>
        <v/>
      </c>
      <c r="S500">
        <f>AVERAGE(--(K500="ja"), --(L500="ja"), --(M500="ja"), --(N500="ja"), --(O500="ja"))*10</f>
        <v/>
      </c>
      <c r="T500">
        <f>IF(S500&gt;=7, "Tevreden", "Ontevreden")</f>
        <v/>
      </c>
    </row>
    <row r="501">
      <c r="A501" t="inlineStr">
        <is>
          <t>David</t>
        </is>
      </c>
      <c r="B501" t="inlineStr">
        <is>
          <t>Vandendriessche</t>
        </is>
      </c>
      <c r="C501" t="inlineStr">
        <is>
          <t>555.64800-11</t>
        </is>
      </c>
      <c r="D501" t="inlineStr">
        <is>
          <t>17/04/1997</t>
        </is>
      </c>
      <c r="E501" t="inlineStr">
        <is>
          <t>Marekstraat 9, 3831 Herten</t>
        </is>
      </c>
      <c r="F501" t="inlineStr">
        <is>
          <t>David,Zoé,Miguel</t>
        </is>
      </c>
      <c r="G501" t="n">
        <v>82.66</v>
      </c>
      <c r="H501" t="n">
        <v>13</v>
      </c>
      <c r="I501" t="inlineStr">
        <is>
          <t>Bancontact</t>
        </is>
      </c>
      <c r="J501" t="inlineStr">
        <is>
          <t>ja</t>
        </is>
      </c>
      <c r="K501" t="inlineStr">
        <is>
          <t>nee</t>
        </is>
      </c>
      <c r="L501" t="inlineStr">
        <is>
          <t>nee</t>
        </is>
      </c>
      <c r="M501" t="inlineStr">
        <is>
          <t>ja</t>
        </is>
      </c>
      <c r="N501" t="inlineStr">
        <is>
          <t>ja</t>
        </is>
      </c>
      <c r="O501" t="inlineStr">
        <is>
          <t>Geen dieet</t>
        </is>
      </c>
      <c r="Q501">
        <f>LEN(G501)-LEN(SUBSTITUTE(G501,",",""))+1</f>
        <v/>
      </c>
      <c r="R501">
        <f>SWITCH(I501, "Zelden", 1, "Af en toe", 4, "Regelmatig", 8, "Vaak", 12)</f>
        <v/>
      </c>
      <c r="S501">
        <f>AVERAGE(--(K501="ja"), --(L501="ja"), --(M501="ja"), --(N501="ja"), --(O501="ja"))*10</f>
        <v/>
      </c>
      <c r="T501">
        <f>IF(S501&gt;=7, "Tevreden", "Ontevreden")</f>
        <v/>
      </c>
    </row>
    <row r="502">
      <c r="A502" t="inlineStr">
        <is>
          <t>Lander</t>
        </is>
      </c>
      <c r="B502" t="inlineStr">
        <is>
          <t>Vandenbroucke</t>
        </is>
      </c>
      <c r="C502" t="inlineStr">
        <is>
          <t>142.71605-41</t>
        </is>
      </c>
      <c r="D502" t="inlineStr">
        <is>
          <t>12/10/1996</t>
        </is>
      </c>
      <c r="E502" t="inlineStr">
        <is>
          <t>Predikherenlei 91, 3550 Heusden-Zolder</t>
        </is>
      </c>
      <c r="F502" t="inlineStr">
        <is>
          <t>Lander,Lina,Jean</t>
        </is>
      </c>
      <c r="G502" t="n">
        <v>208.51</v>
      </c>
      <c r="H502" t="n">
        <v>16</v>
      </c>
      <c r="I502" t="inlineStr">
        <is>
          <t>Bancontact</t>
        </is>
      </c>
      <c r="J502" t="inlineStr">
        <is>
          <t>nee</t>
        </is>
      </c>
      <c r="K502" t="inlineStr">
        <is>
          <t>nee</t>
        </is>
      </c>
      <c r="L502" t="inlineStr">
        <is>
          <t>ja</t>
        </is>
      </c>
      <c r="M502" t="inlineStr">
        <is>
          <t>ja</t>
        </is>
      </c>
      <c r="N502" t="inlineStr">
        <is>
          <t>ja</t>
        </is>
      </c>
      <c r="O502" t="inlineStr">
        <is>
          <t>Geen dieet</t>
        </is>
      </c>
      <c r="Q502">
        <f>LEN(G502)-LEN(SUBSTITUTE(G502,",",""))+1</f>
        <v/>
      </c>
      <c r="R502">
        <f>SWITCH(I502, "Zelden", 1, "Af en toe", 4, "Regelmatig", 8, "Vaak", 12)</f>
        <v/>
      </c>
      <c r="S502">
        <f>AVERAGE(--(K502="ja"), --(L502="ja"), --(M502="ja"), --(N502="ja"), --(O502="ja"))*10</f>
        <v/>
      </c>
      <c r="T502">
        <f>IF(S502&gt;=7, "Tevreden", "Ontevreden")</f>
        <v/>
      </c>
    </row>
    <row r="503">
      <c r="A503" t="inlineStr">
        <is>
          <t>Koen</t>
        </is>
      </c>
      <c r="B503" t="inlineStr">
        <is>
          <t>Vandenbroucke</t>
        </is>
      </c>
      <c r="C503" t="inlineStr">
        <is>
          <t>251.67995-97</t>
        </is>
      </c>
      <c r="D503" t="inlineStr">
        <is>
          <t>23/02/1989</t>
        </is>
      </c>
      <c r="E503" t="inlineStr">
        <is>
          <t>Tijdelijk Postbus 37, 3890 Vorden</t>
        </is>
      </c>
      <c r="F503" t="inlineStr">
        <is>
          <t>Koen,Michael,Rudy,Roland</t>
        </is>
      </c>
      <c r="G503" t="n">
        <v>99.79000000000001</v>
      </c>
      <c r="H503" t="n">
        <v>20</v>
      </c>
      <c r="I503" t="inlineStr">
        <is>
          <t>Cash</t>
        </is>
      </c>
      <c r="J503" t="inlineStr">
        <is>
          <t>ja</t>
        </is>
      </c>
      <c r="K503" t="inlineStr">
        <is>
          <t>ja</t>
        </is>
      </c>
      <c r="L503" t="inlineStr">
        <is>
          <t>ja</t>
        </is>
      </c>
      <c r="M503" t="inlineStr">
        <is>
          <t>ja</t>
        </is>
      </c>
      <c r="N503" t="inlineStr">
        <is>
          <t>ja</t>
        </is>
      </c>
      <c r="O503" t="inlineStr">
        <is>
          <t>Geen dieet</t>
        </is>
      </c>
      <c r="Q503">
        <f>LEN(G503)-LEN(SUBSTITUTE(G503,",",""))+1</f>
        <v/>
      </c>
      <c r="R503">
        <f>SWITCH(I503, "Zelden", 1, "Af en toe", 4, "Regelmatig", 8, "Vaak", 12)</f>
        <v/>
      </c>
      <c r="S503">
        <f>AVERAGE(--(K503="ja"), --(L503="ja"), --(M503="ja"), --(N503="ja"), --(O503="ja"))*10</f>
        <v/>
      </c>
      <c r="T503">
        <f>IF(S503&gt;=7, "Tevreden", "Ontevreden")</f>
        <v/>
      </c>
    </row>
    <row r="504">
      <c r="A504" t="inlineStr">
        <is>
          <t>Aurore</t>
        </is>
      </c>
      <c r="B504" t="inlineStr">
        <is>
          <t>De wit</t>
        </is>
      </c>
      <c r="C504" t="inlineStr">
        <is>
          <t>832.90688-43</t>
        </is>
      </c>
      <c r="D504" t="inlineStr">
        <is>
          <t>29/03/1992</t>
        </is>
      </c>
      <c r="E504" t="inlineStr">
        <is>
          <t>Mendonkdorp 12, 3831 Herten</t>
        </is>
      </c>
      <c r="F504" t="inlineStr">
        <is>
          <t>Aurore,Jean-Bernard</t>
        </is>
      </c>
      <c r="G504" t="n">
        <v>34.71</v>
      </c>
      <c r="H504" t="n">
        <v>5</v>
      </c>
      <c r="I504" t="inlineStr">
        <is>
          <t>Payconiq</t>
        </is>
      </c>
      <c r="J504" t="inlineStr">
        <is>
          <t>ja</t>
        </is>
      </c>
      <c r="K504" t="inlineStr">
        <is>
          <t>ja</t>
        </is>
      </c>
      <c r="L504" t="inlineStr">
        <is>
          <t>ja</t>
        </is>
      </c>
      <c r="M504" t="inlineStr">
        <is>
          <t>ja</t>
        </is>
      </c>
      <c r="N504" t="inlineStr">
        <is>
          <t>ja</t>
        </is>
      </c>
      <c r="O504" t="inlineStr">
        <is>
          <t>Geen dieet</t>
        </is>
      </c>
      <c r="Q504">
        <f>LEN(G504)-LEN(SUBSTITUTE(G504,",",""))+1</f>
        <v/>
      </c>
      <c r="R504">
        <f>SWITCH(I504, "Zelden", 1, "Af en toe", 4, "Regelmatig", 8, "Vaak", 12)</f>
        <v/>
      </c>
      <c r="S504">
        <f>AVERAGE(--(K504="ja"), --(L504="ja"), --(M504="ja"), --(N504="ja"), --(O504="ja"))*10</f>
        <v/>
      </c>
      <c r="T504">
        <f>IF(S504&gt;=7, "Tevreden", "Ontevreden")</f>
        <v/>
      </c>
    </row>
    <row r="505">
      <c r="A505" t="inlineStr">
        <is>
          <t>Esther</t>
        </is>
      </c>
      <c r="B505" t="inlineStr">
        <is>
          <t>Schmitz</t>
        </is>
      </c>
      <c r="C505" t="inlineStr">
        <is>
          <t>230.89605-58</t>
        </is>
      </c>
      <c r="D505" t="inlineStr">
        <is>
          <t>11/05/1969</t>
        </is>
      </c>
      <c r="E505" t="inlineStr">
        <is>
          <t>Ooievaarstraat 7, 3500 Hasselt</t>
        </is>
      </c>
      <c r="F505" t="inlineStr">
        <is>
          <t>Esther,Thierry,Bart,Mathias,Fatima</t>
        </is>
      </c>
      <c r="G505" t="n">
        <v>122.65</v>
      </c>
      <c r="H505" t="n">
        <v>7</v>
      </c>
      <c r="I505" t="inlineStr">
        <is>
          <t>Bancontact</t>
        </is>
      </c>
      <c r="J505" t="inlineStr">
        <is>
          <t>nee</t>
        </is>
      </c>
      <c r="K505" t="inlineStr">
        <is>
          <t>nee</t>
        </is>
      </c>
      <c r="L505" t="inlineStr">
        <is>
          <t>ja</t>
        </is>
      </c>
      <c r="M505" t="inlineStr">
        <is>
          <t>nee</t>
        </is>
      </c>
      <c r="N505" t="inlineStr">
        <is>
          <t>nee</t>
        </is>
      </c>
      <c r="O505" t="inlineStr">
        <is>
          <t>Geen dieet</t>
        </is>
      </c>
      <c r="Q505">
        <f>LEN(G505)-LEN(SUBSTITUTE(G505,",",""))+1</f>
        <v/>
      </c>
      <c r="R505">
        <f>SWITCH(I505, "Zelden", 1, "Af en toe", 4, "Regelmatig", 8, "Vaak", 12)</f>
        <v/>
      </c>
      <c r="S505">
        <f>AVERAGE(--(K505="ja"), --(L505="ja"), --(M505="ja"), --(N505="ja"), --(O505="ja"))*10</f>
        <v/>
      </c>
      <c r="T505">
        <f>IF(S505&gt;=7, "Tevreden", "Ontevreden")</f>
        <v/>
      </c>
    </row>
    <row r="506">
      <c r="A506" t="inlineStr">
        <is>
          <t>Mirthe</t>
        </is>
      </c>
      <c r="B506" t="inlineStr">
        <is>
          <t>Vanderheyden</t>
        </is>
      </c>
      <c r="C506" t="inlineStr">
        <is>
          <t>480.42627-39</t>
        </is>
      </c>
      <c r="D506" t="inlineStr">
        <is>
          <t>01/09/1954</t>
        </is>
      </c>
      <c r="E506" t="inlineStr">
        <is>
          <t>Burgstraat 5, 3600 Genk</t>
        </is>
      </c>
      <c r="F506" t="inlineStr">
        <is>
          <t>Mirthe,Bertrand</t>
        </is>
      </c>
      <c r="G506" t="n">
        <v>122.41</v>
      </c>
      <c r="H506" t="n">
        <v>1</v>
      </c>
      <c r="I506" t="inlineStr">
        <is>
          <t>Bancontact</t>
        </is>
      </c>
      <c r="J506" t="inlineStr">
        <is>
          <t>ja</t>
        </is>
      </c>
      <c r="K506" t="inlineStr">
        <is>
          <t>ja</t>
        </is>
      </c>
      <c r="L506" t="inlineStr">
        <is>
          <t>ja</t>
        </is>
      </c>
      <c r="M506" t="inlineStr">
        <is>
          <t>ja</t>
        </is>
      </c>
      <c r="N506" t="inlineStr">
        <is>
          <t>ja</t>
        </is>
      </c>
      <c r="O506" t="inlineStr">
        <is>
          <t>Vegetarisch</t>
        </is>
      </c>
      <c r="Q506">
        <f>LEN(G506)-LEN(SUBSTITUTE(G506,",",""))+1</f>
        <v/>
      </c>
      <c r="R506">
        <f>SWITCH(I506, "Zelden", 1, "Af en toe", 4, "Regelmatig", 8, "Vaak", 12)</f>
        <v/>
      </c>
      <c r="S506">
        <f>AVERAGE(--(K506="ja"), --(L506="ja"), --(M506="ja"), --(N506="ja"), --(O506="ja"))*10</f>
        <v/>
      </c>
      <c r="T506">
        <f>IF(S506&gt;=7, "Tevreden", "Ontevreden")</f>
        <v/>
      </c>
    </row>
    <row r="507">
      <c r="A507" t="inlineStr">
        <is>
          <t>Guido</t>
        </is>
      </c>
      <c r="B507" t="inlineStr">
        <is>
          <t>Michaux</t>
        </is>
      </c>
      <c r="C507" t="inlineStr">
        <is>
          <t>479.71417-21</t>
        </is>
      </c>
      <c r="D507" t="inlineStr">
        <is>
          <t>21/07/1948</t>
        </is>
      </c>
      <c r="E507" t="inlineStr">
        <is>
          <t>Werkhuizenstraat 69, 3600 Genk</t>
        </is>
      </c>
      <c r="F507" t="inlineStr">
        <is>
          <t>Guido</t>
        </is>
      </c>
      <c r="G507" t="n">
        <v>77.90000000000001</v>
      </c>
      <c r="H507" t="n">
        <v>14</v>
      </c>
      <c r="I507" t="inlineStr">
        <is>
          <t>Payconiq</t>
        </is>
      </c>
      <c r="J507" t="inlineStr">
        <is>
          <t>nee</t>
        </is>
      </c>
      <c r="K507" t="inlineStr">
        <is>
          <t>nee</t>
        </is>
      </c>
      <c r="L507" t="inlineStr">
        <is>
          <t>nee</t>
        </is>
      </c>
      <c r="M507" t="inlineStr">
        <is>
          <t>ja</t>
        </is>
      </c>
      <c r="N507" t="inlineStr">
        <is>
          <t>ja</t>
        </is>
      </c>
      <c r="O507" t="inlineStr">
        <is>
          <t>Veganistisch</t>
        </is>
      </c>
      <c r="Q507">
        <f>LEN(G507)-LEN(SUBSTITUTE(G507,",",""))+1</f>
        <v/>
      </c>
      <c r="R507">
        <f>SWITCH(I507, "Zelden", 1, "Af en toe", 4, "Regelmatig", 8, "Vaak", 12)</f>
        <v/>
      </c>
      <c r="S507">
        <f>AVERAGE(--(K507="ja"), --(L507="ja"), --(M507="ja"), --(N507="ja"), --(O507="ja"))*10</f>
        <v/>
      </c>
      <c r="T507">
        <f>IF(S507&gt;=7, "Tevreden", "Ontevreden")</f>
        <v/>
      </c>
    </row>
    <row r="508">
      <c r="A508" t="inlineStr">
        <is>
          <t>Guglielmo</t>
        </is>
      </c>
      <c r="B508" t="inlineStr">
        <is>
          <t>Dewulf</t>
        </is>
      </c>
      <c r="C508" t="inlineStr">
        <is>
          <t>858.19762-41</t>
        </is>
      </c>
      <c r="D508" t="inlineStr">
        <is>
          <t>01/05/1947</t>
        </is>
      </c>
      <c r="E508" t="inlineStr">
        <is>
          <t>Bijlokekaai 57, 3740 Bilzen</t>
        </is>
      </c>
      <c r="F508" t="inlineStr">
        <is>
          <t>Guglielmo,Wout,Filip,Stefan,Inge</t>
        </is>
      </c>
      <c r="G508" t="n">
        <v>157.07</v>
      </c>
      <c r="H508" t="n">
        <v>4</v>
      </c>
      <c r="I508" t="inlineStr">
        <is>
          <t>Payconiq</t>
        </is>
      </c>
      <c r="J508" t="inlineStr">
        <is>
          <t>ja</t>
        </is>
      </c>
      <c r="K508" t="inlineStr">
        <is>
          <t>ja</t>
        </is>
      </c>
      <c r="L508" t="inlineStr">
        <is>
          <t>ja</t>
        </is>
      </c>
      <c r="M508" t="inlineStr">
        <is>
          <t>ja</t>
        </is>
      </c>
      <c r="N508" t="inlineStr">
        <is>
          <t>nee</t>
        </is>
      </c>
      <c r="O508" t="inlineStr">
        <is>
          <t>Geen dieet</t>
        </is>
      </c>
      <c r="Q508">
        <f>LEN(G508)-LEN(SUBSTITUTE(G508,",",""))+1</f>
        <v/>
      </c>
      <c r="R508">
        <f>SWITCH(I508, "Zelden", 1, "Af en toe", 4, "Regelmatig", 8, "Vaak", 12)</f>
        <v/>
      </c>
      <c r="S508">
        <f>AVERAGE(--(K508="ja"), --(L508="ja"), --(M508="ja"), --(N508="ja"), --(O508="ja"))*10</f>
        <v/>
      </c>
      <c r="T508">
        <f>IF(S508&gt;=7, "Tevreden", "Ontevreden")</f>
        <v/>
      </c>
    </row>
    <row r="509">
      <c r="A509" t="inlineStr">
        <is>
          <t>Geert</t>
        </is>
      </c>
      <c r="B509" t="inlineStr">
        <is>
          <t>Marchal</t>
        </is>
      </c>
      <c r="C509" t="inlineStr">
        <is>
          <t>784.80638-77</t>
        </is>
      </c>
      <c r="D509" t="inlineStr">
        <is>
          <t>16/04/1978</t>
        </is>
      </c>
      <c r="E509" t="inlineStr">
        <is>
          <t>Noordstraat 33, 3620 Lanaken</t>
        </is>
      </c>
      <c r="F509" t="inlineStr">
        <is>
          <t>Geert,Caroline,Maria,Jim,Kato,Nikolinka,Rebecca</t>
        </is>
      </c>
      <c r="G509" t="n">
        <v>259.4</v>
      </c>
      <c r="H509" t="n">
        <v>19</v>
      </c>
      <c r="I509" t="inlineStr">
        <is>
          <t>Payconiq</t>
        </is>
      </c>
      <c r="J509" t="inlineStr">
        <is>
          <t>ja</t>
        </is>
      </c>
      <c r="K509" t="inlineStr">
        <is>
          <t>nee</t>
        </is>
      </c>
      <c r="L509" t="inlineStr">
        <is>
          <t>nee</t>
        </is>
      </c>
      <c r="M509" t="inlineStr">
        <is>
          <t>ja</t>
        </is>
      </c>
      <c r="N509" t="inlineStr">
        <is>
          <t>ja</t>
        </is>
      </c>
      <c r="O509" t="inlineStr">
        <is>
          <t>Geen dieet</t>
        </is>
      </c>
      <c r="Q509">
        <f>LEN(G509)-LEN(SUBSTITUTE(G509,",",""))+1</f>
        <v/>
      </c>
      <c r="R509">
        <f>SWITCH(I509, "Zelden", 1, "Af en toe", 4, "Regelmatig", 8, "Vaak", 12)</f>
        <v/>
      </c>
      <c r="S509">
        <f>AVERAGE(--(K509="ja"), --(L509="ja"), --(M509="ja"), --(N509="ja"), --(O509="ja"))*10</f>
        <v/>
      </c>
      <c r="T509">
        <f>IF(S509&gt;=7, "Tevreden", "Ontevreden")</f>
        <v/>
      </c>
    </row>
    <row r="510">
      <c r="A510" t="inlineStr">
        <is>
          <t>Anne-Sophie</t>
        </is>
      </c>
      <c r="B510" t="inlineStr">
        <is>
          <t>Moreau</t>
        </is>
      </c>
      <c r="C510" t="inlineStr">
        <is>
          <t>231.47467-93</t>
        </is>
      </c>
      <c r="D510" t="inlineStr">
        <is>
          <t>30/06/1948</t>
        </is>
      </c>
      <c r="E510" t="inlineStr">
        <is>
          <t>Belfortstraat 11, 3500 Hasselt</t>
        </is>
      </c>
      <c r="F510" t="inlineStr">
        <is>
          <t>Anne-Sophie,Jutta</t>
        </is>
      </c>
      <c r="G510" t="n">
        <v>22.42</v>
      </c>
      <c r="H510" t="n">
        <v>12</v>
      </c>
      <c r="I510" t="inlineStr">
        <is>
          <t>Bancontact</t>
        </is>
      </c>
      <c r="J510" t="inlineStr">
        <is>
          <t>ja</t>
        </is>
      </c>
      <c r="K510" t="inlineStr">
        <is>
          <t>ja</t>
        </is>
      </c>
      <c r="L510" t="inlineStr">
        <is>
          <t>ja</t>
        </is>
      </c>
      <c r="M510" t="inlineStr">
        <is>
          <t>ja</t>
        </is>
      </c>
      <c r="N510" t="inlineStr">
        <is>
          <t>ja</t>
        </is>
      </c>
      <c r="O510" t="inlineStr">
        <is>
          <t>Geen dieet</t>
        </is>
      </c>
      <c r="Q510">
        <f>LEN(G510)-LEN(SUBSTITUTE(G510,",",""))+1</f>
        <v/>
      </c>
      <c r="R510">
        <f>SWITCH(I510, "Zelden", 1, "Af en toe", 4, "Regelmatig", 8, "Vaak", 12)</f>
        <v/>
      </c>
      <c r="S510">
        <f>AVERAGE(--(K510="ja"), --(L510="ja"), --(M510="ja"), --(N510="ja"), --(O510="ja"))*10</f>
        <v/>
      </c>
      <c r="T510">
        <f>IF(S510&gt;=7, "Tevreden", "Ontevreden")</f>
        <v/>
      </c>
    </row>
    <row r="511">
      <c r="A511" t="inlineStr">
        <is>
          <t>Adèle</t>
        </is>
      </c>
      <c r="B511" t="inlineStr">
        <is>
          <t>Vanderstraeten</t>
        </is>
      </c>
      <c r="C511" t="inlineStr">
        <is>
          <t>654.94045-39</t>
        </is>
      </c>
      <c r="D511" t="inlineStr">
        <is>
          <t>22/08/1974</t>
        </is>
      </c>
      <c r="E511" t="inlineStr">
        <is>
          <t>Onafhankelijkheidslaan 47, 3940 Hechtel-Eksel</t>
        </is>
      </c>
      <c r="F511" t="inlineStr">
        <is>
          <t>Adèle,Didier,Chantal</t>
        </is>
      </c>
      <c r="G511" t="n">
        <v>109.58</v>
      </c>
      <c r="H511" t="n">
        <v>12</v>
      </c>
      <c r="I511" t="inlineStr">
        <is>
          <t>Bancontact</t>
        </is>
      </c>
      <c r="J511" t="inlineStr">
        <is>
          <t>ja</t>
        </is>
      </c>
      <c r="K511" t="inlineStr">
        <is>
          <t>nee</t>
        </is>
      </c>
      <c r="L511" t="inlineStr">
        <is>
          <t>nee</t>
        </is>
      </c>
      <c r="M511" t="inlineStr">
        <is>
          <t>ja</t>
        </is>
      </c>
      <c r="N511" t="inlineStr">
        <is>
          <t>ja</t>
        </is>
      </c>
      <c r="O511" t="inlineStr">
        <is>
          <t>Geen dieet</t>
        </is>
      </c>
      <c r="Q511">
        <f>LEN(G511)-LEN(SUBSTITUTE(G511,",",""))+1</f>
        <v/>
      </c>
      <c r="R511">
        <f>SWITCH(I511, "Zelden", 1, "Af en toe", 4, "Regelmatig", 8, "Vaak", 12)</f>
        <v/>
      </c>
      <c r="S511">
        <f>AVERAGE(--(K511="ja"), --(L511="ja"), --(M511="ja"), --(N511="ja"), --(O511="ja"))*10</f>
        <v/>
      </c>
      <c r="T511">
        <f>IF(S511&gt;=7, "Tevreden", "Ontevreden")</f>
        <v/>
      </c>
    </row>
    <row r="512">
      <c r="A512" t="inlineStr">
        <is>
          <t>Rani</t>
        </is>
      </c>
      <c r="B512" t="inlineStr">
        <is>
          <t>Vermeulen</t>
        </is>
      </c>
      <c r="C512" t="inlineStr">
        <is>
          <t>528.62629-27</t>
        </is>
      </c>
      <c r="D512" t="inlineStr">
        <is>
          <t>17/04/2001</t>
        </is>
      </c>
      <c r="E512" t="inlineStr">
        <is>
          <t>Frans Louwersstraat 31, 3620 Lanaken</t>
        </is>
      </c>
      <c r="F512" t="inlineStr">
        <is>
          <t>Rani,Firmin,Lea,Fil</t>
        </is>
      </c>
      <c r="G512" t="n">
        <v>48.68</v>
      </c>
      <c r="H512" t="n">
        <v>1</v>
      </c>
      <c r="I512" t="inlineStr">
        <is>
          <t>Payconiq</t>
        </is>
      </c>
      <c r="J512" t="inlineStr">
        <is>
          <t>ja</t>
        </is>
      </c>
      <c r="K512" t="inlineStr">
        <is>
          <t>ja</t>
        </is>
      </c>
      <c r="L512" t="inlineStr">
        <is>
          <t>nee</t>
        </is>
      </c>
      <c r="M512" t="inlineStr">
        <is>
          <t>ja</t>
        </is>
      </c>
      <c r="N512" t="inlineStr">
        <is>
          <t>ja</t>
        </is>
      </c>
      <c r="O512" t="inlineStr">
        <is>
          <t>Geen dieet</t>
        </is>
      </c>
      <c r="Q512">
        <f>LEN(G512)-LEN(SUBSTITUTE(G512,",",""))+1</f>
        <v/>
      </c>
      <c r="R512">
        <f>SWITCH(I512, "Zelden", 1, "Af en toe", 4, "Regelmatig", 8, "Vaak", 12)</f>
        <v/>
      </c>
      <c r="S512">
        <f>AVERAGE(--(K512="ja"), --(L512="ja"), --(M512="ja"), --(N512="ja"), --(O512="ja"))*10</f>
        <v/>
      </c>
      <c r="T512">
        <f>IF(S512&gt;=7, "Tevreden", "Ontevreden")</f>
        <v/>
      </c>
    </row>
    <row r="513">
      <c r="A513" t="inlineStr">
        <is>
          <t>Antoine</t>
        </is>
      </c>
      <c r="B513" t="inlineStr">
        <is>
          <t>Massart</t>
        </is>
      </c>
      <c r="C513" t="inlineStr">
        <is>
          <t>889.28152-29</t>
        </is>
      </c>
      <c r="D513" t="inlineStr">
        <is>
          <t>22/03/1973</t>
        </is>
      </c>
      <c r="E513" t="inlineStr">
        <is>
          <t>Sint-bernadestraat 1, 3740 Bilzen</t>
        </is>
      </c>
      <c r="F513" t="inlineStr">
        <is>
          <t>Antoine</t>
        </is>
      </c>
      <c r="G513" t="n">
        <v>94.3</v>
      </c>
      <c r="H513" t="n">
        <v>5</v>
      </c>
      <c r="I513" t="inlineStr">
        <is>
          <t>Cash</t>
        </is>
      </c>
      <c r="J513" t="inlineStr">
        <is>
          <t>ja</t>
        </is>
      </c>
      <c r="K513" t="inlineStr">
        <is>
          <t>nee</t>
        </is>
      </c>
      <c r="L513" t="inlineStr">
        <is>
          <t>nee</t>
        </is>
      </c>
      <c r="M513" t="inlineStr">
        <is>
          <t>ja</t>
        </is>
      </c>
      <c r="N513" t="inlineStr">
        <is>
          <t>nee</t>
        </is>
      </c>
      <c r="O513" t="inlineStr">
        <is>
          <t>Geen dieet</t>
        </is>
      </c>
      <c r="Q513">
        <f>LEN(G513)-LEN(SUBSTITUTE(G513,",",""))+1</f>
        <v/>
      </c>
      <c r="R513">
        <f>SWITCH(I513, "Zelden", 1, "Af en toe", 4, "Regelmatig", 8, "Vaak", 12)</f>
        <v/>
      </c>
      <c r="S513">
        <f>AVERAGE(--(K513="ja"), --(L513="ja"), --(M513="ja"), --(N513="ja"), --(O513="ja"))*10</f>
        <v/>
      </c>
      <c r="T513">
        <f>IF(S513&gt;=7, "Tevreden", "Ontevreden")</f>
        <v/>
      </c>
    </row>
    <row r="514">
      <c r="A514" t="inlineStr">
        <is>
          <t>Mark</t>
        </is>
      </c>
      <c r="B514" t="inlineStr">
        <is>
          <t>Ceulemans</t>
        </is>
      </c>
      <c r="C514" t="inlineStr">
        <is>
          <t>128.89930-86</t>
        </is>
      </c>
      <c r="D514" t="inlineStr">
        <is>
          <t>18/02/1983</t>
        </is>
      </c>
      <c r="E514" t="inlineStr">
        <is>
          <t>Recollettenlei 8, 3540 Herk-de-Stad</t>
        </is>
      </c>
      <c r="F514" t="inlineStr">
        <is>
          <t>Mark,Greet,Monique,Kyara</t>
        </is>
      </c>
      <c r="G514" t="n">
        <v>64.87</v>
      </c>
      <c r="H514" t="n">
        <v>12</v>
      </c>
      <c r="I514" t="inlineStr">
        <is>
          <t>Payconiq</t>
        </is>
      </c>
      <c r="J514" t="inlineStr">
        <is>
          <t>nee</t>
        </is>
      </c>
      <c r="K514" t="inlineStr">
        <is>
          <t>nee</t>
        </is>
      </c>
      <c r="L514" t="inlineStr">
        <is>
          <t>ja</t>
        </is>
      </c>
      <c r="M514" t="inlineStr">
        <is>
          <t>nee</t>
        </is>
      </c>
      <c r="N514" t="inlineStr">
        <is>
          <t>ja</t>
        </is>
      </c>
      <c r="O514" t="inlineStr">
        <is>
          <t>Veganistisch</t>
        </is>
      </c>
      <c r="Q514">
        <f>LEN(G514)-LEN(SUBSTITUTE(G514,",",""))+1</f>
        <v/>
      </c>
      <c r="R514">
        <f>SWITCH(I514, "Zelden", 1, "Af en toe", 4, "Regelmatig", 8, "Vaak", 12)</f>
        <v/>
      </c>
      <c r="S514">
        <f>AVERAGE(--(K514="ja"), --(L514="ja"), --(M514="ja"), --(N514="ja"), --(O514="ja"))*10</f>
        <v/>
      </c>
      <c r="T514">
        <f>IF(S514&gt;=7, "Tevreden", "Ontevreden")</f>
        <v/>
      </c>
    </row>
    <row r="515">
      <c r="A515" t="inlineStr">
        <is>
          <t>Perrine</t>
        </is>
      </c>
      <c r="B515" t="inlineStr">
        <is>
          <t>Goffin</t>
        </is>
      </c>
      <c r="C515" t="inlineStr">
        <is>
          <t>308.44262-80</t>
        </is>
      </c>
      <c r="D515" t="inlineStr">
        <is>
          <t>24/01/1952</t>
        </is>
      </c>
      <c r="E515" t="inlineStr">
        <is>
          <t>Groot-brittanniëlaan 10, 3680 Maaseik</t>
        </is>
      </c>
      <c r="F515" t="inlineStr">
        <is>
          <t>Perrine,Ivana,Severine,Sarah</t>
        </is>
      </c>
      <c r="G515" t="n">
        <v>124.8</v>
      </c>
      <c r="H515" t="n">
        <v>14</v>
      </c>
      <c r="I515" t="inlineStr">
        <is>
          <t>Bancontact</t>
        </is>
      </c>
      <c r="J515" t="inlineStr">
        <is>
          <t>ja</t>
        </is>
      </c>
      <c r="K515" t="inlineStr">
        <is>
          <t>ja</t>
        </is>
      </c>
      <c r="L515" t="inlineStr">
        <is>
          <t>nee</t>
        </is>
      </c>
      <c r="M515" t="inlineStr">
        <is>
          <t>ja</t>
        </is>
      </c>
      <c r="N515" t="inlineStr">
        <is>
          <t>ja</t>
        </is>
      </c>
      <c r="O515" t="inlineStr">
        <is>
          <t>Geen dieet</t>
        </is>
      </c>
      <c r="Q515">
        <f>LEN(G515)-LEN(SUBSTITUTE(G515,",",""))+1</f>
        <v/>
      </c>
      <c r="R515">
        <f>SWITCH(I515, "Zelden", 1, "Af en toe", 4, "Regelmatig", 8, "Vaak", 12)</f>
        <v/>
      </c>
      <c r="S515">
        <f>AVERAGE(--(K515="ja"), --(L515="ja"), --(M515="ja"), --(N515="ja"), --(O515="ja"))*10</f>
        <v/>
      </c>
      <c r="T515">
        <f>IF(S515&gt;=7, "Tevreden", "Ontevreden")</f>
        <v/>
      </c>
    </row>
    <row r="516">
      <c r="A516" t="inlineStr">
        <is>
          <t>Blanchette</t>
        </is>
      </c>
      <c r="B516" t="inlineStr">
        <is>
          <t>Bauwens</t>
        </is>
      </c>
      <c r="C516" t="inlineStr">
        <is>
          <t>120.55415-97</t>
        </is>
      </c>
      <c r="D516" t="inlineStr">
        <is>
          <t>02/11/1970</t>
        </is>
      </c>
      <c r="E516" t="inlineStr">
        <is>
          <t>Langerbruggekaai 13, 3640 Kinrooi</t>
        </is>
      </c>
      <c r="F516" t="inlineStr">
        <is>
          <t>Blanchette,Youssouf</t>
        </is>
      </c>
      <c r="G516" t="n">
        <v>64.48999999999999</v>
      </c>
      <c r="H516" t="n">
        <v>14</v>
      </c>
      <c r="I516" t="inlineStr">
        <is>
          <t>Bancontact</t>
        </is>
      </c>
      <c r="J516" t="inlineStr">
        <is>
          <t>nee</t>
        </is>
      </c>
      <c r="K516" t="inlineStr">
        <is>
          <t>ja</t>
        </is>
      </c>
      <c r="L516" t="inlineStr">
        <is>
          <t>nee</t>
        </is>
      </c>
      <c r="M516" t="inlineStr">
        <is>
          <t>ja</t>
        </is>
      </c>
      <c r="N516" t="inlineStr">
        <is>
          <t>nee</t>
        </is>
      </c>
      <c r="O516" t="inlineStr">
        <is>
          <t>Geen dieet</t>
        </is>
      </c>
      <c r="Q516">
        <f>LEN(G516)-LEN(SUBSTITUTE(G516,",",""))+1</f>
        <v/>
      </c>
      <c r="R516">
        <f>SWITCH(I516, "Zelden", 1, "Af en toe", 4, "Regelmatig", 8, "Vaak", 12)</f>
        <v/>
      </c>
      <c r="S516">
        <f>AVERAGE(--(K516="ja"), --(L516="ja"), --(M516="ja"), --(N516="ja"), --(O516="ja"))*10</f>
        <v/>
      </c>
      <c r="T516">
        <f>IF(S516&gt;=7, "Tevreden", "Ontevreden")</f>
        <v/>
      </c>
    </row>
    <row r="517">
      <c r="A517" t="inlineStr">
        <is>
          <t>Paul</t>
        </is>
      </c>
      <c r="B517" t="inlineStr">
        <is>
          <t>Engels</t>
        </is>
      </c>
      <c r="C517" t="inlineStr">
        <is>
          <t>654.85007-45</t>
        </is>
      </c>
      <c r="D517" t="inlineStr">
        <is>
          <t>29/02/1996</t>
        </is>
      </c>
      <c r="E517" t="inlineStr">
        <is>
          <t>Begijnhoflaan 55, 3500 Hasselt</t>
        </is>
      </c>
      <c r="F517" t="inlineStr">
        <is>
          <t>Paul</t>
        </is>
      </c>
      <c r="G517" t="n">
        <v>114.26</v>
      </c>
      <c r="H517" t="n">
        <v>6</v>
      </c>
      <c r="I517" t="inlineStr">
        <is>
          <t>Payconiq</t>
        </is>
      </c>
      <c r="J517" t="inlineStr">
        <is>
          <t>ja</t>
        </is>
      </c>
      <c r="K517" t="inlineStr">
        <is>
          <t>ja</t>
        </is>
      </c>
      <c r="L517" t="inlineStr">
        <is>
          <t>ja</t>
        </is>
      </c>
      <c r="M517" t="inlineStr">
        <is>
          <t>ja</t>
        </is>
      </c>
      <c r="N517" t="inlineStr">
        <is>
          <t>ja</t>
        </is>
      </c>
      <c r="O517" t="inlineStr">
        <is>
          <t>Geen dieet</t>
        </is>
      </c>
      <c r="Q517">
        <f>LEN(G517)-LEN(SUBSTITUTE(G517,",",""))+1</f>
        <v/>
      </c>
      <c r="R517">
        <f>SWITCH(I517, "Zelden", 1, "Af en toe", 4, "Regelmatig", 8, "Vaak", 12)</f>
        <v/>
      </c>
      <c r="S517">
        <f>AVERAGE(--(K517="ja"), --(L517="ja"), --(M517="ja"), --(N517="ja"), --(O517="ja"))*10</f>
        <v/>
      </c>
      <c r="T517">
        <f>IF(S517&gt;=7, "Tevreden", "Ontevreden")</f>
        <v/>
      </c>
    </row>
    <row r="518">
      <c r="A518" t="inlineStr">
        <is>
          <t>Arne</t>
        </is>
      </c>
      <c r="B518" t="inlineStr">
        <is>
          <t>Dumont</t>
        </is>
      </c>
      <c r="C518" t="inlineStr">
        <is>
          <t>292.49484-68</t>
        </is>
      </c>
      <c r="D518" t="inlineStr">
        <is>
          <t>29/06/1960</t>
        </is>
      </c>
      <c r="E518" t="inlineStr">
        <is>
          <t>Korenmarkt 7, 3740 Bilzen</t>
        </is>
      </c>
      <c r="F518" t="inlineStr">
        <is>
          <t>Arne</t>
        </is>
      </c>
      <c r="G518" t="n">
        <v>147.09</v>
      </c>
      <c r="H518" t="n">
        <v>16</v>
      </c>
      <c r="I518" t="inlineStr">
        <is>
          <t>Bancontact</t>
        </is>
      </c>
      <c r="J518" t="inlineStr">
        <is>
          <t>ja</t>
        </is>
      </c>
      <c r="K518" t="inlineStr">
        <is>
          <t>nee</t>
        </is>
      </c>
      <c r="L518" t="inlineStr">
        <is>
          <t>ja</t>
        </is>
      </c>
      <c r="M518" t="inlineStr">
        <is>
          <t>ja</t>
        </is>
      </c>
      <c r="N518" t="inlineStr">
        <is>
          <t>ja</t>
        </is>
      </c>
      <c r="O518" t="inlineStr">
        <is>
          <t>Geen dieet</t>
        </is>
      </c>
      <c r="Q518">
        <f>LEN(G518)-LEN(SUBSTITUTE(G518,",",""))+1</f>
        <v/>
      </c>
      <c r="R518">
        <f>SWITCH(I518, "Zelden", 1, "Af en toe", 4, "Regelmatig", 8, "Vaak", 12)</f>
        <v/>
      </c>
      <c r="S518">
        <f>AVERAGE(--(K518="ja"), --(L518="ja"), --(M518="ja"), --(N518="ja"), --(O518="ja"))*10</f>
        <v/>
      </c>
      <c r="T518">
        <f>IF(S518&gt;=7, "Tevreden", "Ontevreden")</f>
        <v/>
      </c>
    </row>
    <row r="519">
      <c r="A519" t="inlineStr">
        <is>
          <t>Daniel</t>
        </is>
      </c>
      <c r="B519" t="inlineStr">
        <is>
          <t>Simon</t>
        </is>
      </c>
      <c r="C519" t="inlineStr">
        <is>
          <t>304.60029-72</t>
        </is>
      </c>
      <c r="D519" t="inlineStr">
        <is>
          <t>11/08/1975</t>
        </is>
      </c>
      <c r="E519" t="inlineStr">
        <is>
          <t>Koning Boudewijnstraat 72, 3630 Maasmechelen</t>
        </is>
      </c>
      <c r="F519" t="inlineStr">
        <is>
          <t>Daniel,Lucas</t>
        </is>
      </c>
      <c r="G519" t="n">
        <v>76.84999999999999</v>
      </c>
      <c r="H519" t="n">
        <v>10</v>
      </c>
      <c r="I519" t="inlineStr">
        <is>
          <t>Bancontact</t>
        </is>
      </c>
      <c r="J519" t="inlineStr">
        <is>
          <t>ja</t>
        </is>
      </c>
      <c r="K519" t="inlineStr">
        <is>
          <t>nee</t>
        </is>
      </c>
      <c r="L519" t="inlineStr">
        <is>
          <t>ja</t>
        </is>
      </c>
      <c r="M519" t="inlineStr">
        <is>
          <t>ja</t>
        </is>
      </c>
      <c r="N519" t="inlineStr">
        <is>
          <t>ja</t>
        </is>
      </c>
      <c r="O519" t="inlineStr">
        <is>
          <t>Geen dieet</t>
        </is>
      </c>
      <c r="Q519">
        <f>LEN(G519)-LEN(SUBSTITUTE(G519,",",""))+1</f>
        <v/>
      </c>
      <c r="R519">
        <f>SWITCH(I519, "Zelden", 1, "Af en toe", 4, "Regelmatig", 8, "Vaak", 12)</f>
        <v/>
      </c>
      <c r="S519">
        <f>AVERAGE(--(K519="ja"), --(L519="ja"), --(M519="ja"), --(N519="ja"), --(O519="ja"))*10</f>
        <v/>
      </c>
      <c r="T519">
        <f>IF(S519&gt;=7, "Tevreden", "Ontevreden")</f>
        <v/>
      </c>
    </row>
    <row r="520">
      <c r="A520" t="inlineStr">
        <is>
          <t>Pieter</t>
        </is>
      </c>
      <c r="B520" t="inlineStr">
        <is>
          <t>D'hondt</t>
        </is>
      </c>
      <c r="C520" t="inlineStr">
        <is>
          <t>156.17021-27</t>
        </is>
      </c>
      <c r="D520" t="inlineStr">
        <is>
          <t>10/01/1955</t>
        </is>
      </c>
      <c r="E520" t="inlineStr">
        <is>
          <t>Scheepzatestraat 112, 3800 Sint-Truiden</t>
        </is>
      </c>
      <c r="F520" t="inlineStr">
        <is>
          <t>Pieter,Johan,Laurence</t>
        </is>
      </c>
      <c r="G520" t="n">
        <v>126.29</v>
      </c>
      <c r="H520" t="n">
        <v>9</v>
      </c>
      <c r="I520" t="inlineStr">
        <is>
          <t>Payconiq</t>
        </is>
      </c>
      <c r="J520" t="inlineStr">
        <is>
          <t>ja</t>
        </is>
      </c>
      <c r="K520" t="inlineStr">
        <is>
          <t>ja</t>
        </is>
      </c>
      <c r="L520" t="inlineStr">
        <is>
          <t>ja</t>
        </is>
      </c>
      <c r="M520" t="inlineStr">
        <is>
          <t>nee</t>
        </is>
      </c>
      <c r="N520" t="inlineStr">
        <is>
          <t>ja</t>
        </is>
      </c>
      <c r="O520" t="inlineStr">
        <is>
          <t>Geen dieet</t>
        </is>
      </c>
      <c r="Q520">
        <f>LEN(G520)-LEN(SUBSTITUTE(G520,",",""))+1</f>
        <v/>
      </c>
      <c r="R520">
        <f>SWITCH(I520, "Zelden", 1, "Af en toe", 4, "Regelmatig", 8, "Vaak", 12)</f>
        <v/>
      </c>
      <c r="S520">
        <f>AVERAGE(--(K520="ja"), --(L520="ja"), --(M520="ja"), --(N520="ja"), --(O520="ja"))*10</f>
        <v/>
      </c>
      <c r="T520">
        <f>IF(S520&gt;=7, "Tevreden", "Ontevreden")</f>
        <v/>
      </c>
    </row>
    <row r="521">
      <c r="A521" t="inlineStr">
        <is>
          <t>Bruno</t>
        </is>
      </c>
      <c r="B521" t="inlineStr">
        <is>
          <t>Leysen</t>
        </is>
      </c>
      <c r="C521" t="inlineStr">
        <is>
          <t>991.34806-47</t>
        </is>
      </c>
      <c r="D521" t="inlineStr">
        <is>
          <t>07/06/1977</t>
        </is>
      </c>
      <c r="E521" t="inlineStr">
        <is>
          <t>Duivelstraat 65, 3831 Herten</t>
        </is>
      </c>
      <c r="F521" t="inlineStr">
        <is>
          <t>Bruno,Bradley</t>
        </is>
      </c>
      <c r="G521" t="n">
        <v>78.88</v>
      </c>
      <c r="H521" t="n">
        <v>12</v>
      </c>
      <c r="I521" t="inlineStr">
        <is>
          <t>Cash</t>
        </is>
      </c>
      <c r="J521" t="inlineStr">
        <is>
          <t>ja</t>
        </is>
      </c>
      <c r="K521" t="inlineStr">
        <is>
          <t>ja</t>
        </is>
      </c>
      <c r="L521" t="inlineStr">
        <is>
          <t>ja</t>
        </is>
      </c>
      <c r="M521" t="inlineStr">
        <is>
          <t>nee</t>
        </is>
      </c>
      <c r="N521" t="inlineStr">
        <is>
          <t>ja</t>
        </is>
      </c>
      <c r="O521" t="inlineStr">
        <is>
          <t>Vegetarisch</t>
        </is>
      </c>
      <c r="Q521">
        <f>LEN(G521)-LEN(SUBSTITUTE(G521,",",""))+1</f>
        <v/>
      </c>
      <c r="R521">
        <f>SWITCH(I521, "Zelden", 1, "Af en toe", 4, "Regelmatig", 8, "Vaak", 12)</f>
        <v/>
      </c>
      <c r="S521">
        <f>AVERAGE(--(K521="ja"), --(L521="ja"), --(M521="ja"), --(N521="ja"), --(O521="ja"))*10</f>
        <v/>
      </c>
      <c r="T521">
        <f>IF(S521&gt;=7, "Tevreden", "Ontevreden")</f>
        <v/>
      </c>
    </row>
    <row r="522">
      <c r="A522" t="inlineStr">
        <is>
          <t>Marina</t>
        </is>
      </c>
      <c r="B522" t="inlineStr">
        <is>
          <t>Verlinden</t>
        </is>
      </c>
      <c r="C522" t="inlineStr">
        <is>
          <t>112.48321-28</t>
        </is>
      </c>
      <c r="D522" t="inlineStr">
        <is>
          <t>05/08/1948</t>
        </is>
      </c>
      <c r="E522" t="inlineStr">
        <is>
          <t>Hundelgemsesteenweg 6, 3550 Heusden-Zolder</t>
        </is>
      </c>
      <c r="F522" t="inlineStr">
        <is>
          <t>Marina,Elisabeth,Walter,Nancy</t>
        </is>
      </c>
      <c r="G522" t="n">
        <v>114.5</v>
      </c>
      <c r="H522" t="n">
        <v>7</v>
      </c>
      <c r="I522" t="inlineStr">
        <is>
          <t>Bancontact</t>
        </is>
      </c>
      <c r="J522" t="inlineStr">
        <is>
          <t>ja</t>
        </is>
      </c>
      <c r="K522" t="inlineStr">
        <is>
          <t>ja</t>
        </is>
      </c>
      <c r="L522" t="inlineStr">
        <is>
          <t>ja</t>
        </is>
      </c>
      <c r="M522" t="inlineStr">
        <is>
          <t>ja</t>
        </is>
      </c>
      <c r="N522" t="inlineStr">
        <is>
          <t>ja</t>
        </is>
      </c>
      <c r="O522" t="inlineStr">
        <is>
          <t>Geen dieet</t>
        </is>
      </c>
      <c r="Q522">
        <f>LEN(G522)-LEN(SUBSTITUTE(G522,",",""))+1</f>
        <v/>
      </c>
      <c r="R522">
        <f>SWITCH(I522, "Zelden", 1, "Af en toe", 4, "Regelmatig", 8, "Vaak", 12)</f>
        <v/>
      </c>
      <c r="S522">
        <f>AVERAGE(--(K522="ja"), --(L522="ja"), --(M522="ja"), --(N522="ja"), --(O522="ja"))*10</f>
        <v/>
      </c>
      <c r="T522">
        <f>IF(S522&gt;=7, "Tevreden", "Ontevreden")</f>
        <v/>
      </c>
    </row>
    <row r="523">
      <c r="A523" t="inlineStr">
        <is>
          <t>Françoise</t>
        </is>
      </c>
      <c r="B523" t="inlineStr">
        <is>
          <t>Pirotte</t>
        </is>
      </c>
      <c r="C523" t="inlineStr">
        <is>
          <t>533.69563-61</t>
        </is>
      </c>
      <c r="D523" t="inlineStr">
        <is>
          <t>29/12/1988</t>
        </is>
      </c>
      <c r="E523" t="inlineStr">
        <is>
          <t>Francois Laurentplein 6, 3650 Dilsen-Stokkem</t>
        </is>
      </c>
      <c r="F523" t="inlineStr">
        <is>
          <t>Françoise,Jeanne,Michel,Bart</t>
        </is>
      </c>
      <c r="G523" t="n">
        <v>171.15</v>
      </c>
      <c r="H523" t="n">
        <v>12</v>
      </c>
      <c r="I523" t="inlineStr">
        <is>
          <t>Cash</t>
        </is>
      </c>
      <c r="J523" t="inlineStr">
        <is>
          <t>ja</t>
        </is>
      </c>
      <c r="K523" t="inlineStr">
        <is>
          <t>ja</t>
        </is>
      </c>
      <c r="L523" t="inlineStr">
        <is>
          <t>ja</t>
        </is>
      </c>
      <c r="M523" t="inlineStr">
        <is>
          <t>ja</t>
        </is>
      </c>
      <c r="N523" t="inlineStr">
        <is>
          <t>ja</t>
        </is>
      </c>
      <c r="O523" t="inlineStr">
        <is>
          <t>Geen dieet</t>
        </is>
      </c>
      <c r="Q523">
        <f>LEN(G523)-LEN(SUBSTITUTE(G523,",",""))+1</f>
        <v/>
      </c>
      <c r="R523">
        <f>SWITCH(I523, "Zelden", 1, "Af en toe", 4, "Regelmatig", 8, "Vaak", 12)</f>
        <v/>
      </c>
      <c r="S523">
        <f>AVERAGE(--(K523="ja"), --(L523="ja"), --(M523="ja"), --(N523="ja"), --(O523="ja"))*10</f>
        <v/>
      </c>
      <c r="T523">
        <f>IF(S523&gt;=7, "Tevreden", "Ontevreden")</f>
        <v/>
      </c>
    </row>
    <row r="524">
      <c r="A524" t="inlineStr">
        <is>
          <t>Julie</t>
        </is>
      </c>
      <c r="B524" t="inlineStr">
        <is>
          <t>De clercq</t>
        </is>
      </c>
      <c r="C524" t="inlineStr">
        <is>
          <t>188.79374-90</t>
        </is>
      </c>
      <c r="D524" t="inlineStr">
        <is>
          <t>11/01/1978</t>
        </is>
      </c>
      <c r="E524" t="inlineStr">
        <is>
          <t>Frans Gevaertstraat 101, 3770 Oud-Vroenhoven</t>
        </is>
      </c>
      <c r="F524" t="inlineStr">
        <is>
          <t>Julie,Paul,Rosalie</t>
        </is>
      </c>
      <c r="G524" t="n">
        <v>70.39</v>
      </c>
      <c r="H524" t="n">
        <v>15</v>
      </c>
      <c r="I524" t="inlineStr">
        <is>
          <t>Payconiq</t>
        </is>
      </c>
      <c r="J524" t="inlineStr">
        <is>
          <t>ja</t>
        </is>
      </c>
      <c r="K524" t="inlineStr">
        <is>
          <t>nee</t>
        </is>
      </c>
      <c r="L524" t="inlineStr">
        <is>
          <t>ja</t>
        </is>
      </c>
      <c r="M524" t="inlineStr">
        <is>
          <t>ja</t>
        </is>
      </c>
      <c r="N524" t="inlineStr">
        <is>
          <t>nee</t>
        </is>
      </c>
      <c r="O524" t="inlineStr">
        <is>
          <t>Veganistisch</t>
        </is>
      </c>
      <c r="Q524">
        <f>LEN(G524)-LEN(SUBSTITUTE(G524,",",""))+1</f>
        <v/>
      </c>
      <c r="R524">
        <f>SWITCH(I524, "Zelden", 1, "Af en toe", 4, "Regelmatig", 8, "Vaak", 12)</f>
        <v/>
      </c>
      <c r="S524">
        <f>AVERAGE(--(K524="ja"), --(L524="ja"), --(M524="ja"), --(N524="ja"), --(O524="ja"))*10</f>
        <v/>
      </c>
      <c r="T524">
        <f>IF(S524&gt;=7, "Tevreden", "Ontevreden")</f>
        <v/>
      </c>
    </row>
    <row r="525">
      <c r="A525" t="inlineStr">
        <is>
          <t>Pinar</t>
        </is>
      </c>
      <c r="B525" t="inlineStr">
        <is>
          <t>Declercq</t>
        </is>
      </c>
      <c r="C525" t="inlineStr">
        <is>
          <t>331.10206-58</t>
        </is>
      </c>
      <c r="D525" t="inlineStr">
        <is>
          <t>17/08/1953</t>
        </is>
      </c>
      <c r="E525" t="inlineStr">
        <is>
          <t>Koning Albertlaan 97, 3920 Lommel</t>
        </is>
      </c>
      <c r="F525" t="inlineStr">
        <is>
          <t>Pinar,Tatjana</t>
        </is>
      </c>
      <c r="G525" t="n">
        <v>140.5</v>
      </c>
      <c r="H525" t="n">
        <v>10</v>
      </c>
      <c r="I525" t="inlineStr">
        <is>
          <t>Bancontact</t>
        </is>
      </c>
      <c r="J525" t="inlineStr">
        <is>
          <t>ja</t>
        </is>
      </c>
      <c r="K525" t="inlineStr">
        <is>
          <t>ja</t>
        </is>
      </c>
      <c r="L525" t="inlineStr">
        <is>
          <t>ja</t>
        </is>
      </c>
      <c r="M525" t="inlineStr">
        <is>
          <t>ja</t>
        </is>
      </c>
      <c r="N525" t="inlineStr">
        <is>
          <t>ja</t>
        </is>
      </c>
      <c r="O525" t="inlineStr">
        <is>
          <t>Geen dieet</t>
        </is>
      </c>
      <c r="Q525">
        <f>LEN(G525)-LEN(SUBSTITUTE(G525,",",""))+1</f>
        <v/>
      </c>
      <c r="R525">
        <f>SWITCH(I525, "Zelden", 1, "Af en toe", 4, "Regelmatig", 8, "Vaak", 12)</f>
        <v/>
      </c>
      <c r="S525">
        <f>AVERAGE(--(K525="ja"), --(L525="ja"), --(M525="ja"), --(N525="ja"), --(O525="ja"))*10</f>
        <v/>
      </c>
      <c r="T525">
        <f>IF(S525&gt;=7, "Tevreden", "Ontevreden")</f>
        <v/>
      </c>
    </row>
    <row r="526">
      <c r="A526" t="inlineStr">
        <is>
          <t>Peter</t>
        </is>
      </c>
      <c r="B526" t="inlineStr">
        <is>
          <t>Vermeersch</t>
        </is>
      </c>
      <c r="C526" t="inlineStr">
        <is>
          <t>658.23028-72</t>
        </is>
      </c>
      <c r="D526" t="inlineStr">
        <is>
          <t>16/08/1990</t>
        </is>
      </c>
      <c r="E526" t="inlineStr">
        <is>
          <t>Walpoortstraat 12, 3520 Zonhoven</t>
        </is>
      </c>
      <c r="F526" t="inlineStr">
        <is>
          <t>Peter,Marjolein</t>
        </is>
      </c>
      <c r="G526" t="n">
        <v>141.5</v>
      </c>
      <c r="H526" t="n">
        <v>23</v>
      </c>
      <c r="I526" t="inlineStr">
        <is>
          <t>Payconiq</t>
        </is>
      </c>
      <c r="J526" t="inlineStr">
        <is>
          <t>nee</t>
        </is>
      </c>
      <c r="K526" t="inlineStr">
        <is>
          <t>ja</t>
        </is>
      </c>
      <c r="L526" t="inlineStr">
        <is>
          <t>ja</t>
        </is>
      </c>
      <c r="M526" t="inlineStr">
        <is>
          <t>ja</t>
        </is>
      </c>
      <c r="N526" t="inlineStr">
        <is>
          <t>ja</t>
        </is>
      </c>
      <c r="O526" t="inlineStr">
        <is>
          <t>Geen dieet</t>
        </is>
      </c>
      <c r="Q526">
        <f>LEN(G526)-LEN(SUBSTITUTE(G526,",",""))+1</f>
        <v/>
      </c>
      <c r="R526">
        <f>SWITCH(I526, "Zelden", 1, "Af en toe", 4, "Regelmatig", 8, "Vaak", 12)</f>
        <v/>
      </c>
      <c r="S526">
        <f>AVERAGE(--(K526="ja"), --(L526="ja"), --(M526="ja"), --(N526="ja"), --(O526="ja"))*10</f>
        <v/>
      </c>
      <c r="T526">
        <f>IF(S526&gt;=7, "Tevreden", "Ontevreden")</f>
        <v/>
      </c>
    </row>
    <row r="527">
      <c r="A527" t="inlineStr">
        <is>
          <t>Rachel</t>
        </is>
      </c>
      <c r="B527" t="inlineStr">
        <is>
          <t>Meunier</t>
        </is>
      </c>
      <c r="C527" t="inlineStr">
        <is>
          <t>721.66577-61</t>
        </is>
      </c>
      <c r="D527" t="inlineStr">
        <is>
          <t>07/07/1947</t>
        </is>
      </c>
      <c r="E527" t="inlineStr">
        <is>
          <t>Francois Laurentplein 38, 3630 Maasmechelen</t>
        </is>
      </c>
      <c r="F527" t="inlineStr">
        <is>
          <t>Rachel,Sadiye,Glenn</t>
        </is>
      </c>
      <c r="G527" t="n">
        <v>124.92</v>
      </c>
      <c r="H527" t="n">
        <v>8</v>
      </c>
      <c r="I527" t="inlineStr">
        <is>
          <t>Bancontact</t>
        </is>
      </c>
      <c r="J527" t="inlineStr">
        <is>
          <t>nee</t>
        </is>
      </c>
      <c r="K527" t="inlineStr">
        <is>
          <t>ja</t>
        </is>
      </c>
      <c r="L527" t="inlineStr">
        <is>
          <t>ja</t>
        </is>
      </c>
      <c r="M527" t="inlineStr">
        <is>
          <t>ja</t>
        </is>
      </c>
      <c r="N527" t="inlineStr">
        <is>
          <t>nee</t>
        </is>
      </c>
      <c r="O527" t="inlineStr">
        <is>
          <t>Geen dieet</t>
        </is>
      </c>
      <c r="Q527">
        <f>LEN(G527)-LEN(SUBSTITUTE(G527,",",""))+1</f>
        <v/>
      </c>
      <c r="R527">
        <f>SWITCH(I527, "Zelden", 1, "Af en toe", 4, "Regelmatig", 8, "Vaak", 12)</f>
        <v/>
      </c>
      <c r="S527">
        <f>AVERAGE(--(K527="ja"), --(L527="ja"), --(M527="ja"), --(N527="ja"), --(O527="ja"))*10</f>
        <v/>
      </c>
      <c r="T527">
        <f>IF(S527&gt;=7, "Tevreden", "Ontevreden")</f>
        <v/>
      </c>
    </row>
    <row r="528">
      <c r="A528" t="inlineStr">
        <is>
          <t>Rohat</t>
        </is>
      </c>
      <c r="B528" t="inlineStr">
        <is>
          <t>De backer</t>
        </is>
      </c>
      <c r="C528" t="inlineStr">
        <is>
          <t>747.25509-97</t>
        </is>
      </c>
      <c r="D528" t="inlineStr">
        <is>
          <t>06/01/1964</t>
        </is>
      </c>
      <c r="E528" t="inlineStr">
        <is>
          <t>Bijlokekaai 75, 3920 Lommel</t>
        </is>
      </c>
      <c r="F528" t="inlineStr">
        <is>
          <t>Rohat</t>
        </is>
      </c>
      <c r="G528" t="n">
        <v>105.71</v>
      </c>
      <c r="H528" t="n">
        <v>19</v>
      </c>
      <c r="I528" t="inlineStr">
        <is>
          <t>Payconiq</t>
        </is>
      </c>
      <c r="J528" t="inlineStr">
        <is>
          <t>ja</t>
        </is>
      </c>
      <c r="K528" t="inlineStr">
        <is>
          <t>nee</t>
        </is>
      </c>
      <c r="L528" t="inlineStr">
        <is>
          <t>nee</t>
        </is>
      </c>
      <c r="M528" t="inlineStr">
        <is>
          <t>nee</t>
        </is>
      </c>
      <c r="N528" t="inlineStr">
        <is>
          <t>ja</t>
        </is>
      </c>
      <c r="O528" t="inlineStr">
        <is>
          <t>Geen dieet</t>
        </is>
      </c>
      <c r="Q528">
        <f>LEN(G528)-LEN(SUBSTITUTE(G528,",",""))+1</f>
        <v/>
      </c>
      <c r="R528">
        <f>SWITCH(I528, "Zelden", 1, "Af en toe", 4, "Regelmatig", 8, "Vaak", 12)</f>
        <v/>
      </c>
      <c r="S528">
        <f>AVERAGE(--(K528="ja"), --(L528="ja"), --(M528="ja"), --(N528="ja"), --(O528="ja"))*10</f>
        <v/>
      </c>
      <c r="T528">
        <f>IF(S528&gt;=7, "Tevreden", "Ontevreden")</f>
        <v/>
      </c>
    </row>
    <row r="529">
      <c r="A529" t="inlineStr">
        <is>
          <t>Fabian</t>
        </is>
      </c>
      <c r="B529" t="inlineStr">
        <is>
          <t>Dhondt</t>
        </is>
      </c>
      <c r="C529" t="inlineStr">
        <is>
          <t>275.93372-20</t>
        </is>
      </c>
      <c r="D529" t="inlineStr">
        <is>
          <t>22/05/1981</t>
        </is>
      </c>
      <c r="E529" t="inlineStr">
        <is>
          <t>Weverstraat 75, 3800 Sint-Truiden</t>
        </is>
      </c>
      <c r="F529" t="inlineStr">
        <is>
          <t>Fabian,Xandro</t>
        </is>
      </c>
      <c r="G529" t="n">
        <v>56.73</v>
      </c>
      <c r="H529" t="n">
        <v>6</v>
      </c>
      <c r="I529" t="inlineStr">
        <is>
          <t>Bancontact</t>
        </is>
      </c>
      <c r="J529" t="inlineStr">
        <is>
          <t>nee</t>
        </is>
      </c>
      <c r="K529" t="inlineStr">
        <is>
          <t>ja</t>
        </is>
      </c>
      <c r="L529" t="inlineStr">
        <is>
          <t>ja</t>
        </is>
      </c>
      <c r="M529" t="inlineStr">
        <is>
          <t>ja</t>
        </is>
      </c>
      <c r="N529" t="inlineStr">
        <is>
          <t>nee</t>
        </is>
      </c>
      <c r="O529" t="inlineStr">
        <is>
          <t>Geen dieet</t>
        </is>
      </c>
      <c r="Q529">
        <f>LEN(G529)-LEN(SUBSTITUTE(G529,",",""))+1</f>
        <v/>
      </c>
      <c r="R529">
        <f>SWITCH(I529, "Zelden", 1, "Af en toe", 4, "Regelmatig", 8, "Vaak", 12)</f>
        <v/>
      </c>
      <c r="S529">
        <f>AVERAGE(--(K529="ja"), --(L529="ja"), --(M529="ja"), --(N529="ja"), --(O529="ja"))*10</f>
        <v/>
      </c>
      <c r="T529">
        <f>IF(S529&gt;=7, "Tevreden", "Ontevreden")</f>
        <v/>
      </c>
    </row>
    <row r="530">
      <c r="A530" t="inlineStr">
        <is>
          <t>Gustaaf</t>
        </is>
      </c>
      <c r="B530" t="inlineStr">
        <is>
          <t>Van de voorde</t>
        </is>
      </c>
      <c r="C530" t="inlineStr">
        <is>
          <t>407.70529-50</t>
        </is>
      </c>
      <c r="D530" t="inlineStr">
        <is>
          <t>14/01/1951</t>
        </is>
      </c>
      <c r="E530" t="inlineStr">
        <is>
          <t>Kwartelstraat 20, 3890 Gingelom</t>
        </is>
      </c>
      <c r="F530" t="inlineStr">
        <is>
          <t>Gustaaf,Romain</t>
        </is>
      </c>
      <c r="G530" t="n">
        <v>107.02</v>
      </c>
      <c r="H530" t="n">
        <v>4</v>
      </c>
      <c r="I530" t="inlineStr">
        <is>
          <t>Creditcard</t>
        </is>
      </c>
      <c r="J530" t="inlineStr">
        <is>
          <t>ja</t>
        </is>
      </c>
      <c r="K530" t="inlineStr">
        <is>
          <t>nee</t>
        </is>
      </c>
      <c r="L530" t="inlineStr">
        <is>
          <t>nee</t>
        </is>
      </c>
      <c r="M530" t="inlineStr">
        <is>
          <t>ja</t>
        </is>
      </c>
      <c r="N530" t="inlineStr">
        <is>
          <t>ja</t>
        </is>
      </c>
      <c r="O530" t="inlineStr">
        <is>
          <t>Geen dieet</t>
        </is>
      </c>
      <c r="Q530">
        <f>LEN(G530)-LEN(SUBSTITUTE(G530,",",""))+1</f>
        <v/>
      </c>
      <c r="R530">
        <f>SWITCH(I530, "Zelden", 1, "Af en toe", 4, "Regelmatig", 8, "Vaak", 12)</f>
        <v/>
      </c>
      <c r="S530">
        <f>AVERAGE(--(K530="ja"), --(L530="ja"), --(M530="ja"), --(N530="ja"), --(O530="ja"))*10</f>
        <v/>
      </c>
      <c r="T530">
        <f>IF(S530&gt;=7, "Tevreden", "Ontevreden")</f>
        <v/>
      </c>
    </row>
    <row r="531">
      <c r="A531" t="inlineStr">
        <is>
          <t>André</t>
        </is>
      </c>
      <c r="B531" t="inlineStr">
        <is>
          <t>Blomme</t>
        </is>
      </c>
      <c r="C531" t="inlineStr">
        <is>
          <t>935.47268-29</t>
        </is>
      </c>
      <c r="D531" t="inlineStr">
        <is>
          <t>18/03/1989</t>
        </is>
      </c>
      <c r="E531" t="inlineStr">
        <is>
          <t>Baarledorpstraat 98, 3600 Genk</t>
        </is>
      </c>
      <c r="F531" t="inlineStr">
        <is>
          <t>André,Marie,Yannick,Jean-Pierre</t>
        </is>
      </c>
      <c r="G531" t="n">
        <v>128.04</v>
      </c>
      <c r="H531" t="n">
        <v>7</v>
      </c>
      <c r="I531" t="inlineStr">
        <is>
          <t>Bancontact</t>
        </is>
      </c>
      <c r="J531" t="inlineStr">
        <is>
          <t>nee</t>
        </is>
      </c>
      <c r="K531" t="inlineStr">
        <is>
          <t>nee</t>
        </is>
      </c>
      <c r="L531" t="inlineStr">
        <is>
          <t>nee</t>
        </is>
      </c>
      <c r="M531" t="inlineStr">
        <is>
          <t>ja</t>
        </is>
      </c>
      <c r="N531" t="inlineStr">
        <is>
          <t>ja</t>
        </is>
      </c>
      <c r="O531" t="inlineStr">
        <is>
          <t>Geen dieet</t>
        </is>
      </c>
      <c r="Q531">
        <f>LEN(G531)-LEN(SUBSTITUTE(G531,",",""))+1</f>
        <v/>
      </c>
      <c r="R531">
        <f>SWITCH(I531, "Zelden", 1, "Af en toe", 4, "Regelmatig", 8, "Vaak", 12)</f>
        <v/>
      </c>
      <c r="S531">
        <f>AVERAGE(--(K531="ja"), --(L531="ja"), --(M531="ja"), --(N531="ja"), --(O531="ja"))*10</f>
        <v/>
      </c>
      <c r="T531">
        <f>IF(S531&gt;=7, "Tevreden", "Ontevreden")</f>
        <v/>
      </c>
    </row>
    <row r="532">
      <c r="A532" t="inlineStr">
        <is>
          <t>Koen</t>
        </is>
      </c>
      <c r="B532" t="inlineStr">
        <is>
          <t>Vanhoutte</t>
        </is>
      </c>
      <c r="C532" t="inlineStr">
        <is>
          <t>640.85444-37</t>
        </is>
      </c>
      <c r="D532" t="inlineStr">
        <is>
          <t>29/05/1961</t>
        </is>
      </c>
      <c r="E532" t="inlineStr">
        <is>
          <t>Bevrijdingslaan 27, 3620 Lanaken</t>
        </is>
      </c>
      <c r="F532" t="inlineStr">
        <is>
          <t>Koen,Liliane,Mohamed,François,Mariia</t>
        </is>
      </c>
      <c r="G532" t="n">
        <v>169.82</v>
      </c>
      <c r="H532" t="n">
        <v>7</v>
      </c>
      <c r="I532" t="inlineStr">
        <is>
          <t>Payconiq</t>
        </is>
      </c>
      <c r="J532" t="inlineStr">
        <is>
          <t>nee</t>
        </is>
      </c>
      <c r="K532" t="inlineStr">
        <is>
          <t>ja</t>
        </is>
      </c>
      <c r="L532" t="inlineStr">
        <is>
          <t>ja</t>
        </is>
      </c>
      <c r="M532" t="inlineStr">
        <is>
          <t>ja</t>
        </is>
      </c>
      <c r="N532" t="inlineStr">
        <is>
          <t>nee</t>
        </is>
      </c>
      <c r="O532" t="inlineStr">
        <is>
          <t>Geen dieet</t>
        </is>
      </c>
      <c r="Q532">
        <f>LEN(G532)-LEN(SUBSTITUTE(G532,",",""))+1</f>
        <v/>
      </c>
      <c r="R532">
        <f>SWITCH(I532, "Zelden", 1, "Af en toe", 4, "Regelmatig", 8, "Vaak", 12)</f>
        <v/>
      </c>
      <c r="S532">
        <f>AVERAGE(--(K532="ja"), --(L532="ja"), --(M532="ja"), --(N532="ja"), --(O532="ja"))*10</f>
        <v/>
      </c>
      <c r="T532">
        <f>IF(S532&gt;=7, "Tevreden", "Ontevreden")</f>
        <v/>
      </c>
    </row>
    <row r="533">
      <c r="A533" t="inlineStr">
        <is>
          <t>Elisabeth</t>
        </is>
      </c>
      <c r="B533" t="inlineStr">
        <is>
          <t>Callewaert</t>
        </is>
      </c>
      <c r="C533" t="inlineStr">
        <is>
          <t>858.19896-12</t>
        </is>
      </c>
      <c r="D533" t="inlineStr">
        <is>
          <t>15/08/1980</t>
        </is>
      </c>
      <c r="E533" t="inlineStr">
        <is>
          <t>Abdisstraat 21, 3660 Opglabbeek</t>
        </is>
      </c>
      <c r="F533" t="inlineStr">
        <is>
          <t>Elisabeth,Patricia</t>
        </is>
      </c>
      <c r="G533" t="n">
        <v>176.42</v>
      </c>
      <c r="H533" t="n">
        <v>1</v>
      </c>
      <c r="I533" t="inlineStr">
        <is>
          <t>Payconiq</t>
        </is>
      </c>
      <c r="J533" t="inlineStr">
        <is>
          <t>nee</t>
        </is>
      </c>
      <c r="K533" t="inlineStr">
        <is>
          <t>ja</t>
        </is>
      </c>
      <c r="L533" t="inlineStr">
        <is>
          <t>ja</t>
        </is>
      </c>
      <c r="M533" t="inlineStr">
        <is>
          <t>nee</t>
        </is>
      </c>
      <c r="N533" t="inlineStr">
        <is>
          <t>nee</t>
        </is>
      </c>
      <c r="O533" t="inlineStr">
        <is>
          <t>Geen dieet</t>
        </is>
      </c>
      <c r="Q533">
        <f>LEN(G533)-LEN(SUBSTITUTE(G533,",",""))+1</f>
        <v/>
      </c>
      <c r="R533">
        <f>SWITCH(I533, "Zelden", 1, "Af en toe", 4, "Regelmatig", 8, "Vaak", 12)</f>
        <v/>
      </c>
      <c r="S533">
        <f>AVERAGE(--(K533="ja"), --(L533="ja"), --(M533="ja"), --(N533="ja"), --(O533="ja"))*10</f>
        <v/>
      </c>
      <c r="T533">
        <f>IF(S533&gt;=7, "Tevreden", "Ontevreden")</f>
        <v/>
      </c>
    </row>
    <row r="534">
      <c r="A534" t="inlineStr">
        <is>
          <t>Isabelle</t>
        </is>
      </c>
      <c r="B534" t="inlineStr">
        <is>
          <t>Jacobs</t>
        </is>
      </c>
      <c r="C534" t="inlineStr">
        <is>
          <t>49.86624-35</t>
        </is>
      </c>
      <c r="D534" t="inlineStr">
        <is>
          <t>30/07/1962</t>
        </is>
      </c>
      <c r="E534" t="inlineStr">
        <is>
          <t>Sportstraat 139, 3600 Genk</t>
        </is>
      </c>
      <c r="F534" t="inlineStr">
        <is>
          <t>Isabelle,Henryk,Adrianus,Jarne,François</t>
        </is>
      </c>
      <c r="G534" t="n">
        <v>112.94</v>
      </c>
      <c r="H534" t="n">
        <v>11</v>
      </c>
      <c r="I534" t="inlineStr">
        <is>
          <t>Payconiq</t>
        </is>
      </c>
      <c r="J534" t="inlineStr">
        <is>
          <t>ja</t>
        </is>
      </c>
      <c r="K534" t="inlineStr">
        <is>
          <t>nee</t>
        </is>
      </c>
      <c r="L534" t="inlineStr">
        <is>
          <t>ja</t>
        </is>
      </c>
      <c r="M534" t="inlineStr">
        <is>
          <t>nee</t>
        </is>
      </c>
      <c r="N534" t="inlineStr">
        <is>
          <t>ja</t>
        </is>
      </c>
      <c r="O534" t="inlineStr">
        <is>
          <t>Geen dieet</t>
        </is>
      </c>
      <c r="Q534">
        <f>LEN(G534)-LEN(SUBSTITUTE(G534,",",""))+1</f>
        <v/>
      </c>
      <c r="R534">
        <f>SWITCH(I534, "Zelden", 1, "Af en toe", 4, "Regelmatig", 8, "Vaak", 12)</f>
        <v/>
      </c>
      <c r="S534">
        <f>AVERAGE(--(K534="ja"), --(L534="ja"), --(M534="ja"), --(N534="ja"), --(O534="ja"))*10</f>
        <v/>
      </c>
      <c r="T534">
        <f>IF(S534&gt;=7, "Tevreden", "Ontevreden")</f>
        <v/>
      </c>
    </row>
    <row r="535">
      <c r="A535" t="inlineStr">
        <is>
          <t>Simon</t>
        </is>
      </c>
      <c r="B535" t="inlineStr">
        <is>
          <t>Peeters</t>
        </is>
      </c>
      <c r="C535" t="inlineStr">
        <is>
          <t>927.70285-91</t>
        </is>
      </c>
      <c r="D535" t="inlineStr">
        <is>
          <t>13/03/1970</t>
        </is>
      </c>
      <c r="E535" t="inlineStr">
        <is>
          <t>Dublinstraat 20, 3800 Sint-Truiden</t>
        </is>
      </c>
      <c r="F535" t="inlineStr">
        <is>
          <t>Simon,Gilles,Jules</t>
        </is>
      </c>
      <c r="G535" t="n">
        <v>118.1</v>
      </c>
      <c r="H535" t="n">
        <v>6</v>
      </c>
      <c r="I535" t="inlineStr">
        <is>
          <t>Bancontact</t>
        </is>
      </c>
      <c r="J535" t="inlineStr">
        <is>
          <t>ja</t>
        </is>
      </c>
      <c r="K535" t="inlineStr">
        <is>
          <t>nee</t>
        </is>
      </c>
      <c r="L535" t="inlineStr">
        <is>
          <t>ja</t>
        </is>
      </c>
      <c r="M535" t="inlineStr">
        <is>
          <t>nee</t>
        </is>
      </c>
      <c r="N535" t="inlineStr">
        <is>
          <t>nee</t>
        </is>
      </c>
      <c r="O535" t="inlineStr">
        <is>
          <t>Vegetarisch</t>
        </is>
      </c>
      <c r="Q535">
        <f>LEN(G535)-LEN(SUBSTITUTE(G535,",",""))+1</f>
        <v/>
      </c>
      <c r="R535">
        <f>SWITCH(I535, "Zelden", 1, "Af en toe", 4, "Regelmatig", 8, "Vaak", 12)</f>
        <v/>
      </c>
      <c r="S535">
        <f>AVERAGE(--(K535="ja"), --(L535="ja"), --(M535="ja"), --(N535="ja"), --(O535="ja"))*10</f>
        <v/>
      </c>
      <c r="T535">
        <f>IF(S535&gt;=7, "Tevreden", "Ontevreden")</f>
        <v/>
      </c>
    </row>
    <row r="536">
      <c r="A536" t="inlineStr">
        <is>
          <t>François</t>
        </is>
      </c>
      <c r="B536" t="inlineStr">
        <is>
          <t>Bauwens</t>
        </is>
      </c>
      <c r="C536" t="inlineStr">
        <is>
          <t>266.16362-89</t>
        </is>
      </c>
      <c r="D536" t="inlineStr">
        <is>
          <t>06/05/1961</t>
        </is>
      </c>
      <c r="E536" t="inlineStr">
        <is>
          <t>Abdijmolenstraat 46, 3500 Hasselt</t>
        </is>
      </c>
      <c r="F536" t="inlineStr">
        <is>
          <t>François,Lotte,Herman,Jacobus,Cathy</t>
        </is>
      </c>
      <c r="G536" t="n">
        <v>177.6</v>
      </c>
      <c r="H536" t="n">
        <v>1</v>
      </c>
      <c r="I536" t="inlineStr">
        <is>
          <t>Cash</t>
        </is>
      </c>
      <c r="J536" t="inlineStr">
        <is>
          <t>nee</t>
        </is>
      </c>
      <c r="K536" t="inlineStr">
        <is>
          <t>ja</t>
        </is>
      </c>
      <c r="L536" t="inlineStr">
        <is>
          <t>ja</t>
        </is>
      </c>
      <c r="M536" t="inlineStr">
        <is>
          <t>nee</t>
        </is>
      </c>
      <c r="N536" t="inlineStr">
        <is>
          <t>ja</t>
        </is>
      </c>
      <c r="O536" t="inlineStr">
        <is>
          <t>Geen dieet</t>
        </is>
      </c>
      <c r="Q536">
        <f>LEN(G536)-LEN(SUBSTITUTE(G536,",",""))+1</f>
        <v/>
      </c>
      <c r="R536">
        <f>SWITCH(I536, "Zelden", 1, "Af en toe", 4, "Regelmatig", 8, "Vaak", 12)</f>
        <v/>
      </c>
      <c r="S536">
        <f>AVERAGE(--(K536="ja"), --(L536="ja"), --(M536="ja"), --(N536="ja"), --(O536="ja"))*10</f>
        <v/>
      </c>
      <c r="T536">
        <f>IF(S536&gt;=7, "Tevreden", "Ontevreden")</f>
        <v/>
      </c>
    </row>
    <row r="537">
      <c r="A537" t="inlineStr">
        <is>
          <t>Freddy</t>
        </is>
      </c>
      <c r="B537" t="inlineStr">
        <is>
          <t>Moreau</t>
        </is>
      </c>
      <c r="C537" t="inlineStr">
        <is>
          <t>599.70438-91</t>
        </is>
      </c>
      <c r="D537" t="inlineStr">
        <is>
          <t>08/03/1951</t>
        </is>
      </c>
      <c r="E537" t="inlineStr">
        <is>
          <t>Sodamassage 54, 3550 Heusden-Zolder</t>
        </is>
      </c>
      <c r="F537" t="inlineStr">
        <is>
          <t>Freddy,Mevlut,Patrice,Dave,Linda</t>
        </is>
      </c>
      <c r="G537" t="n">
        <v>213.82</v>
      </c>
      <c r="H537" t="n">
        <v>6</v>
      </c>
      <c r="I537" t="inlineStr">
        <is>
          <t>Payconiq</t>
        </is>
      </c>
      <c r="J537" t="inlineStr">
        <is>
          <t>ja</t>
        </is>
      </c>
      <c r="K537" t="inlineStr">
        <is>
          <t>ja</t>
        </is>
      </c>
      <c r="L537" t="inlineStr">
        <is>
          <t>ja</t>
        </is>
      </c>
      <c r="M537" t="inlineStr">
        <is>
          <t>ja</t>
        </is>
      </c>
      <c r="N537" t="inlineStr">
        <is>
          <t>ja</t>
        </is>
      </c>
      <c r="O537" t="inlineStr">
        <is>
          <t>Vegetarisch</t>
        </is>
      </c>
      <c r="Q537">
        <f>LEN(G537)-LEN(SUBSTITUTE(G537,",",""))+1</f>
        <v/>
      </c>
      <c r="R537">
        <f>SWITCH(I537, "Zelden", 1, "Af en toe", 4, "Regelmatig", 8, "Vaak", 12)</f>
        <v/>
      </c>
      <c r="S537">
        <f>AVERAGE(--(K537="ja"), --(L537="ja"), --(M537="ja"), --(N537="ja"), --(O537="ja"))*10</f>
        <v/>
      </c>
      <c r="T537">
        <f>IF(S537&gt;=7, "Tevreden", "Ontevreden")</f>
        <v/>
      </c>
    </row>
    <row r="538">
      <c r="A538" t="inlineStr">
        <is>
          <t>Timothy</t>
        </is>
      </c>
      <c r="B538" t="inlineStr">
        <is>
          <t>Cuypers</t>
        </is>
      </c>
      <c r="C538" t="inlineStr">
        <is>
          <t>547.32375-28</t>
        </is>
      </c>
      <c r="D538" t="inlineStr">
        <is>
          <t>02/06/1985</t>
        </is>
      </c>
      <c r="E538" t="inlineStr">
        <is>
          <t>Sint-bernadettestraat 20, 3910 Neerpelt</t>
        </is>
      </c>
      <c r="F538" t="inlineStr">
        <is>
          <t>Timothy,Claudine</t>
        </is>
      </c>
      <c r="G538" t="n">
        <v>43.22</v>
      </c>
      <c r="H538" t="n">
        <v>3</v>
      </c>
      <c r="I538" t="inlineStr">
        <is>
          <t>Cash</t>
        </is>
      </c>
      <c r="J538" t="inlineStr">
        <is>
          <t>nee</t>
        </is>
      </c>
      <c r="K538" t="inlineStr">
        <is>
          <t>ja</t>
        </is>
      </c>
      <c r="L538" t="inlineStr">
        <is>
          <t>ja</t>
        </is>
      </c>
      <c r="M538" t="inlineStr">
        <is>
          <t>ja</t>
        </is>
      </c>
      <c r="N538" t="inlineStr">
        <is>
          <t>ja</t>
        </is>
      </c>
      <c r="O538" t="inlineStr">
        <is>
          <t>Geen dieet</t>
        </is>
      </c>
      <c r="Q538">
        <f>LEN(G538)-LEN(SUBSTITUTE(G538,",",""))+1</f>
        <v/>
      </c>
      <c r="R538">
        <f>SWITCH(I538, "Zelden", 1, "Af en toe", 4, "Regelmatig", 8, "Vaak", 12)</f>
        <v/>
      </c>
      <c r="S538">
        <f>AVERAGE(--(K538="ja"), --(L538="ja"), --(M538="ja"), --(N538="ja"), --(O538="ja"))*10</f>
        <v/>
      </c>
      <c r="T538">
        <f>IF(S538&gt;=7, "Tevreden", "Ontevreden")</f>
        <v/>
      </c>
    </row>
    <row r="539">
      <c r="A539" t="inlineStr">
        <is>
          <t>Diana</t>
        </is>
      </c>
      <c r="B539" t="inlineStr">
        <is>
          <t>Lemmens</t>
        </is>
      </c>
      <c r="C539" t="inlineStr">
        <is>
          <t>56.51715-31</t>
        </is>
      </c>
      <c r="D539" t="inlineStr">
        <is>
          <t>18/02/1986</t>
        </is>
      </c>
      <c r="E539" t="inlineStr">
        <is>
          <t>Florbertusstraat 46, 3730 Hoeselt</t>
        </is>
      </c>
      <c r="F539" t="inlineStr">
        <is>
          <t>Diana,Catherine,Anne,Tine</t>
        </is>
      </c>
      <c r="G539" t="n">
        <v>201.93</v>
      </c>
      <c r="H539" t="n">
        <v>15</v>
      </c>
      <c r="I539" t="inlineStr">
        <is>
          <t>Bancontact</t>
        </is>
      </c>
      <c r="J539" t="inlineStr">
        <is>
          <t>ja</t>
        </is>
      </c>
      <c r="K539" t="inlineStr">
        <is>
          <t>ja</t>
        </is>
      </c>
      <c r="L539" t="inlineStr">
        <is>
          <t>ja</t>
        </is>
      </c>
      <c r="M539" t="inlineStr">
        <is>
          <t>ja</t>
        </is>
      </c>
      <c r="N539" t="inlineStr">
        <is>
          <t>ja</t>
        </is>
      </c>
      <c r="O539" t="inlineStr">
        <is>
          <t>Geen dieet</t>
        </is>
      </c>
      <c r="Q539">
        <f>LEN(G539)-LEN(SUBSTITUTE(G539,",",""))+1</f>
        <v/>
      </c>
      <c r="R539">
        <f>SWITCH(I539, "Zelden", 1, "Af en toe", 4, "Regelmatig", 8, "Vaak", 12)</f>
        <v/>
      </c>
      <c r="S539">
        <f>AVERAGE(--(K539="ja"), --(L539="ja"), --(M539="ja"), --(N539="ja"), --(O539="ja"))*10</f>
        <v/>
      </c>
      <c r="T539">
        <f>IF(S539&gt;=7, "Tevreden", "Ontevreden")</f>
        <v/>
      </c>
    </row>
    <row r="540">
      <c r="A540" t="inlineStr">
        <is>
          <t>Anouk</t>
        </is>
      </c>
      <c r="B540" t="inlineStr">
        <is>
          <t>Smets</t>
        </is>
      </c>
      <c r="C540" t="inlineStr">
        <is>
          <t>819.27183-11</t>
        </is>
      </c>
      <c r="D540" t="inlineStr">
        <is>
          <t>24/10/1998</t>
        </is>
      </c>
      <c r="E540" t="inlineStr">
        <is>
          <t>Graaf Van Vlaanderenplein 3, 3800 Sint-Truiden</t>
        </is>
      </c>
      <c r="F540" t="inlineStr">
        <is>
          <t>Anouk</t>
        </is>
      </c>
      <c r="G540" t="n">
        <v>93.11</v>
      </c>
      <c r="H540" t="n">
        <v>3</v>
      </c>
      <c r="I540" t="inlineStr">
        <is>
          <t>Cash</t>
        </is>
      </c>
      <c r="J540" t="inlineStr">
        <is>
          <t>ja</t>
        </is>
      </c>
      <c r="K540" t="inlineStr">
        <is>
          <t>ja</t>
        </is>
      </c>
      <c r="L540" t="inlineStr">
        <is>
          <t>ja</t>
        </is>
      </c>
      <c r="M540" t="inlineStr">
        <is>
          <t>ja</t>
        </is>
      </c>
      <c r="N540" t="inlineStr">
        <is>
          <t>ja</t>
        </is>
      </c>
      <c r="O540" t="inlineStr">
        <is>
          <t>Geen dieet</t>
        </is>
      </c>
      <c r="Q540">
        <f>LEN(G540)-LEN(SUBSTITUTE(G540,",",""))+1</f>
        <v/>
      </c>
      <c r="R540">
        <f>SWITCH(I540, "Zelden", 1, "Af en toe", 4, "Regelmatig", 8, "Vaak", 12)</f>
        <v/>
      </c>
      <c r="S540">
        <f>AVERAGE(--(K540="ja"), --(L540="ja"), --(M540="ja"), --(N540="ja"), --(O540="ja"))*10</f>
        <v/>
      </c>
      <c r="T540">
        <f>IF(S540&gt;=7, "Tevreden", "Ontevreden")</f>
        <v/>
      </c>
    </row>
    <row r="541">
      <c r="A541" t="inlineStr">
        <is>
          <t>Nell</t>
        </is>
      </c>
      <c r="B541" t="inlineStr">
        <is>
          <t>Moreau</t>
        </is>
      </c>
      <c r="C541" t="inlineStr">
        <is>
          <t>929.76722-71</t>
        </is>
      </c>
      <c r="D541" t="inlineStr">
        <is>
          <t>17/06/1957</t>
        </is>
      </c>
      <c r="E541" t="inlineStr">
        <is>
          <t>Normaalschoolstraat 11, 3831 Herten</t>
        </is>
      </c>
      <c r="F541" t="inlineStr">
        <is>
          <t>Nell,Roland,Mohamed,Femke</t>
        </is>
      </c>
      <c r="G541" t="n">
        <v>147.77</v>
      </c>
      <c r="H541" t="n">
        <v>6</v>
      </c>
      <c r="I541" t="inlineStr">
        <is>
          <t>Cash</t>
        </is>
      </c>
      <c r="J541" t="inlineStr">
        <is>
          <t>ja</t>
        </is>
      </c>
      <c r="K541" t="inlineStr">
        <is>
          <t>ja</t>
        </is>
      </c>
      <c r="L541" t="inlineStr">
        <is>
          <t>ja</t>
        </is>
      </c>
      <c r="M541" t="inlineStr">
        <is>
          <t>nee</t>
        </is>
      </c>
      <c r="N541" t="inlineStr">
        <is>
          <t>ja</t>
        </is>
      </c>
      <c r="O541" t="inlineStr">
        <is>
          <t>Geen dieet</t>
        </is>
      </c>
      <c r="Q541">
        <f>LEN(G541)-LEN(SUBSTITUTE(G541,",",""))+1</f>
        <v/>
      </c>
      <c r="R541">
        <f>SWITCH(I541, "Zelden", 1, "Af en toe", 4, "Regelmatig", 8, "Vaak", 12)</f>
        <v/>
      </c>
      <c r="S541">
        <f>AVERAGE(--(K541="ja"), --(L541="ja"), --(M541="ja"), --(N541="ja"), --(O541="ja"))*10</f>
        <v/>
      </c>
      <c r="T541">
        <f>IF(S541&gt;=7, "Tevreden", "Ontevreden")</f>
        <v/>
      </c>
    </row>
    <row r="542">
      <c r="A542" t="inlineStr">
        <is>
          <t>Gino</t>
        </is>
      </c>
      <c r="B542" t="inlineStr">
        <is>
          <t>Lefebvre</t>
        </is>
      </c>
      <c r="C542" t="inlineStr">
        <is>
          <t>229.75036-11</t>
        </is>
      </c>
      <c r="D542" t="inlineStr">
        <is>
          <t>03/07/1983</t>
        </is>
      </c>
      <c r="E542" t="inlineStr">
        <is>
          <t>Winkelwarande 29, 3530 Houthalen-Helchteren</t>
        </is>
      </c>
      <c r="F542" t="inlineStr">
        <is>
          <t>Gino,Renée,Anne-Sophie,Nadjette,Fanny</t>
        </is>
      </c>
      <c r="G542" t="n">
        <v>207.2</v>
      </c>
      <c r="H542" t="n">
        <v>24</v>
      </c>
      <c r="I542" t="inlineStr">
        <is>
          <t>Bancontact</t>
        </is>
      </c>
      <c r="J542" t="inlineStr">
        <is>
          <t>nee</t>
        </is>
      </c>
      <c r="K542" t="inlineStr">
        <is>
          <t>ja</t>
        </is>
      </c>
      <c r="L542" t="inlineStr">
        <is>
          <t>nee</t>
        </is>
      </c>
      <c r="M542" t="inlineStr">
        <is>
          <t>ja</t>
        </is>
      </c>
      <c r="N542" t="inlineStr">
        <is>
          <t>nee</t>
        </is>
      </c>
      <c r="O542" t="inlineStr">
        <is>
          <t>Veganistisch</t>
        </is>
      </c>
      <c r="Q542">
        <f>LEN(G542)-LEN(SUBSTITUTE(G542,",",""))+1</f>
        <v/>
      </c>
      <c r="R542">
        <f>SWITCH(I542, "Zelden", 1, "Af en toe", 4, "Regelmatig", 8, "Vaak", 12)</f>
        <v/>
      </c>
      <c r="S542">
        <f>AVERAGE(--(K542="ja"), --(L542="ja"), --(M542="ja"), --(N542="ja"), --(O542="ja"))*10</f>
        <v/>
      </c>
      <c r="T542">
        <f>IF(S542&gt;=7, "Tevreden", "Ontevreden")</f>
        <v/>
      </c>
    </row>
    <row r="543">
      <c r="A543" t="inlineStr">
        <is>
          <t>Ruslan</t>
        </is>
      </c>
      <c r="B543" t="inlineStr">
        <is>
          <t>Maes</t>
        </is>
      </c>
      <c r="C543" t="inlineStr">
        <is>
          <t>479.49264-73</t>
        </is>
      </c>
      <c r="D543" t="inlineStr">
        <is>
          <t>23/06/1952</t>
        </is>
      </c>
      <c r="E543" t="inlineStr">
        <is>
          <t>Vossenbergstraat 30, 3790 Moelingen</t>
        </is>
      </c>
      <c r="F543" t="inlineStr">
        <is>
          <t>Ruslan,Jules</t>
        </is>
      </c>
      <c r="G543" t="n">
        <v>139.94</v>
      </c>
      <c r="H543" t="n">
        <v>27</v>
      </c>
      <c r="I543" t="inlineStr">
        <is>
          <t>Bancontact</t>
        </is>
      </c>
      <c r="J543" t="inlineStr">
        <is>
          <t>ja</t>
        </is>
      </c>
      <c r="K543" t="inlineStr">
        <is>
          <t>ja</t>
        </is>
      </c>
      <c r="L543" t="inlineStr">
        <is>
          <t>nee</t>
        </is>
      </c>
      <c r="M543" t="inlineStr">
        <is>
          <t>ja</t>
        </is>
      </c>
      <c r="N543" t="inlineStr">
        <is>
          <t>nee</t>
        </is>
      </c>
      <c r="O543" t="inlineStr">
        <is>
          <t>Veganistisch</t>
        </is>
      </c>
      <c r="Q543">
        <f>LEN(G543)-LEN(SUBSTITUTE(G543,",",""))+1</f>
        <v/>
      </c>
      <c r="R543">
        <f>SWITCH(I543, "Zelden", 1, "Af en toe", 4, "Regelmatig", 8, "Vaak", 12)</f>
        <v/>
      </c>
      <c r="S543">
        <f>AVERAGE(--(K543="ja"), --(L543="ja"), --(M543="ja"), --(N543="ja"), --(O543="ja"))*10</f>
        <v/>
      </c>
      <c r="T543">
        <f>IF(S543&gt;=7, "Tevreden", "Ontevreden")</f>
        <v/>
      </c>
    </row>
    <row r="544">
      <c r="A544" t="inlineStr">
        <is>
          <t>Stephanie</t>
        </is>
      </c>
      <c r="B544" t="inlineStr">
        <is>
          <t>Verbruggen</t>
        </is>
      </c>
      <c r="C544" t="inlineStr">
        <is>
          <t>293.48424-88</t>
        </is>
      </c>
      <c r="D544" t="inlineStr">
        <is>
          <t>29/08/1970</t>
        </is>
      </c>
      <c r="E544" t="inlineStr">
        <is>
          <t>Grondwetlaan 3, 3620 Lanaken</t>
        </is>
      </c>
      <c r="F544" t="inlineStr">
        <is>
          <t>Stephanie,Abdelkarim,Marit,Véronique</t>
        </is>
      </c>
      <c r="G544" t="n">
        <v>167.01</v>
      </c>
      <c r="H544" t="n">
        <v>5</v>
      </c>
      <c r="I544" t="inlineStr">
        <is>
          <t>Bancontact</t>
        </is>
      </c>
      <c r="J544" t="inlineStr">
        <is>
          <t>ja</t>
        </is>
      </c>
      <c r="K544" t="inlineStr">
        <is>
          <t>nee</t>
        </is>
      </c>
      <c r="L544" t="inlineStr">
        <is>
          <t>ja</t>
        </is>
      </c>
      <c r="M544" t="inlineStr">
        <is>
          <t>ja</t>
        </is>
      </c>
      <c r="N544" t="inlineStr">
        <is>
          <t>nee</t>
        </is>
      </c>
      <c r="O544" t="inlineStr">
        <is>
          <t>Geen dieet</t>
        </is>
      </c>
      <c r="Q544">
        <f>LEN(G544)-LEN(SUBSTITUTE(G544,",",""))+1</f>
        <v/>
      </c>
      <c r="R544">
        <f>SWITCH(I544, "Zelden", 1, "Af en toe", 4, "Regelmatig", 8, "Vaak", 12)</f>
        <v/>
      </c>
      <c r="S544">
        <f>AVERAGE(--(K544="ja"), --(L544="ja"), --(M544="ja"), --(N544="ja"), --(O544="ja"))*10</f>
        <v/>
      </c>
      <c r="T544">
        <f>IF(S544&gt;=7, "Tevreden", "Ontevreden")</f>
        <v/>
      </c>
    </row>
    <row r="545">
      <c r="A545" t="inlineStr">
        <is>
          <t>Christophe</t>
        </is>
      </c>
      <c r="B545" t="inlineStr">
        <is>
          <t>Gielen</t>
        </is>
      </c>
      <c r="C545" t="inlineStr">
        <is>
          <t>153.34223-60</t>
        </is>
      </c>
      <c r="D545" t="inlineStr">
        <is>
          <t>11/03/1959</t>
        </is>
      </c>
      <c r="E545" t="inlineStr">
        <is>
          <t>Eddastraat 3, 3550 Heusden-Zolder</t>
        </is>
      </c>
      <c r="F545" t="inlineStr">
        <is>
          <t>Christophe,Valdrina,Jean-François,Georgia</t>
        </is>
      </c>
      <c r="G545" t="n">
        <v>173.54</v>
      </c>
      <c r="H545" t="n">
        <v>12</v>
      </c>
      <c r="I545" t="inlineStr">
        <is>
          <t>Cash</t>
        </is>
      </c>
      <c r="J545" t="inlineStr">
        <is>
          <t>ja</t>
        </is>
      </c>
      <c r="K545" t="inlineStr">
        <is>
          <t>nee</t>
        </is>
      </c>
      <c r="L545" t="inlineStr">
        <is>
          <t>ja</t>
        </is>
      </c>
      <c r="M545" t="inlineStr">
        <is>
          <t>ja</t>
        </is>
      </c>
      <c r="N545" t="inlineStr">
        <is>
          <t>nee</t>
        </is>
      </c>
      <c r="O545" t="inlineStr">
        <is>
          <t>Veganistisch</t>
        </is>
      </c>
      <c r="Q545">
        <f>LEN(G545)-LEN(SUBSTITUTE(G545,",",""))+1</f>
        <v/>
      </c>
      <c r="R545">
        <f>SWITCH(I545, "Zelden", 1, "Af en toe", 4, "Regelmatig", 8, "Vaak", 12)</f>
        <v/>
      </c>
      <c r="S545">
        <f>AVERAGE(--(K545="ja"), --(L545="ja"), --(M545="ja"), --(N545="ja"), --(O545="ja"))*10</f>
        <v/>
      </c>
      <c r="T545">
        <f>IF(S545&gt;=7, "Tevreden", "Ontevreden")</f>
        <v/>
      </c>
    </row>
    <row r="546">
      <c r="A546" t="inlineStr">
        <is>
          <t>Erwin</t>
        </is>
      </c>
      <c r="B546" t="inlineStr">
        <is>
          <t>Van den bossche</t>
        </is>
      </c>
      <c r="C546" t="inlineStr">
        <is>
          <t>59.87885-75</t>
        </is>
      </c>
      <c r="D546" t="inlineStr">
        <is>
          <t>26/10/2003</t>
        </is>
      </c>
      <c r="E546" t="inlineStr">
        <is>
          <t>Kapelledreef 12, 3520 Zonhoven</t>
        </is>
      </c>
      <c r="F546" t="inlineStr">
        <is>
          <t>Erwin,Nicola,Olivia</t>
        </is>
      </c>
      <c r="G546" t="n">
        <v>154.83</v>
      </c>
      <c r="H546" t="n">
        <v>4</v>
      </c>
      <c r="I546" t="inlineStr">
        <is>
          <t>Cash</t>
        </is>
      </c>
      <c r="J546" t="inlineStr">
        <is>
          <t>ja</t>
        </is>
      </c>
      <c r="K546" t="inlineStr">
        <is>
          <t>ja</t>
        </is>
      </c>
      <c r="L546" t="inlineStr">
        <is>
          <t>ja</t>
        </is>
      </c>
      <c r="M546" t="inlineStr">
        <is>
          <t>nee</t>
        </is>
      </c>
      <c r="N546" t="inlineStr">
        <is>
          <t>ja</t>
        </is>
      </c>
      <c r="O546" t="inlineStr">
        <is>
          <t>Geen dieet</t>
        </is>
      </c>
      <c r="Q546">
        <f>LEN(G546)-LEN(SUBSTITUTE(G546,",",""))+1</f>
        <v/>
      </c>
      <c r="R546">
        <f>SWITCH(I546, "Zelden", 1, "Af en toe", 4, "Regelmatig", 8, "Vaak", 12)</f>
        <v/>
      </c>
      <c r="S546">
        <f>AVERAGE(--(K546="ja"), --(L546="ja"), --(M546="ja"), --(N546="ja"), --(O546="ja"))*10</f>
        <v/>
      </c>
      <c r="T546">
        <f>IF(S546&gt;=7, "Tevreden", "Ontevreden")</f>
        <v/>
      </c>
    </row>
    <row r="547">
      <c r="A547" t="inlineStr">
        <is>
          <t>Anne-Marie</t>
        </is>
      </c>
      <c r="B547" t="inlineStr">
        <is>
          <t>Janssen</t>
        </is>
      </c>
      <c r="C547" t="inlineStr">
        <is>
          <t>884.74987-77</t>
        </is>
      </c>
      <c r="D547" t="inlineStr">
        <is>
          <t>01/04/1999</t>
        </is>
      </c>
      <c r="E547" t="inlineStr">
        <is>
          <t>Mageleinstraat 16, 3500 Hasselt</t>
        </is>
      </c>
      <c r="F547" t="inlineStr">
        <is>
          <t>Anne-Marie,Jules,Ingrid</t>
        </is>
      </c>
      <c r="G547" t="n">
        <v>141.34</v>
      </c>
      <c r="H547" t="n">
        <v>2</v>
      </c>
      <c r="I547" t="inlineStr">
        <is>
          <t>Creditcard</t>
        </is>
      </c>
      <c r="J547" t="inlineStr">
        <is>
          <t>ja</t>
        </is>
      </c>
      <c r="K547" t="inlineStr">
        <is>
          <t>ja</t>
        </is>
      </c>
      <c r="L547" t="inlineStr">
        <is>
          <t>nee</t>
        </is>
      </c>
      <c r="M547" t="inlineStr">
        <is>
          <t>nee</t>
        </is>
      </c>
      <c r="N547" t="inlineStr">
        <is>
          <t>nee</t>
        </is>
      </c>
      <c r="O547" t="inlineStr">
        <is>
          <t>Geen dieet</t>
        </is>
      </c>
      <c r="Q547">
        <f>LEN(G547)-LEN(SUBSTITUTE(G547,",",""))+1</f>
        <v/>
      </c>
      <c r="R547">
        <f>SWITCH(I547, "Zelden", 1, "Af en toe", 4, "Regelmatig", 8, "Vaak", 12)</f>
        <v/>
      </c>
      <c r="S547">
        <f>AVERAGE(--(K547="ja"), --(L547="ja"), --(M547="ja"), --(N547="ja"), --(O547="ja"))*10</f>
        <v/>
      </c>
      <c r="T547">
        <f>IF(S547&gt;=7, "Tevreden", "Ontevreden")</f>
        <v/>
      </c>
    </row>
    <row r="548">
      <c r="A548" t="inlineStr">
        <is>
          <t>Luc</t>
        </is>
      </c>
      <c r="B548" t="inlineStr">
        <is>
          <t>Mertens</t>
        </is>
      </c>
      <c r="C548" t="inlineStr">
        <is>
          <t>554.63218-80</t>
        </is>
      </c>
      <c r="D548" t="inlineStr">
        <is>
          <t>13/08/1963</t>
        </is>
      </c>
      <c r="E548" t="inlineStr">
        <is>
          <t>Blekersdijk 32, 3800 Sint-Truiden</t>
        </is>
      </c>
      <c r="F548" t="inlineStr">
        <is>
          <t>Luc,Gwendy</t>
        </is>
      </c>
      <c r="G548" t="n">
        <v>98.77</v>
      </c>
      <c r="H548" t="n">
        <v>8</v>
      </c>
      <c r="I548" t="inlineStr">
        <is>
          <t>Payconiq</t>
        </is>
      </c>
      <c r="J548" t="inlineStr">
        <is>
          <t>ja</t>
        </is>
      </c>
      <c r="K548" t="inlineStr">
        <is>
          <t>ja</t>
        </is>
      </c>
      <c r="L548" t="inlineStr">
        <is>
          <t>nee</t>
        </is>
      </c>
      <c r="M548" t="inlineStr">
        <is>
          <t>nee</t>
        </is>
      </c>
      <c r="N548" t="inlineStr">
        <is>
          <t>ja</t>
        </is>
      </c>
      <c r="O548" t="inlineStr">
        <is>
          <t>Geen dieet</t>
        </is>
      </c>
      <c r="Q548">
        <f>LEN(G548)-LEN(SUBSTITUTE(G548,",",""))+1</f>
        <v/>
      </c>
      <c r="R548">
        <f>SWITCH(I548, "Zelden", 1, "Af en toe", 4, "Regelmatig", 8, "Vaak", 12)</f>
        <v/>
      </c>
      <c r="S548">
        <f>AVERAGE(--(K548="ja"), --(L548="ja"), --(M548="ja"), --(N548="ja"), --(O548="ja"))*10</f>
        <v/>
      </c>
      <c r="T548">
        <f>IF(S548&gt;=7, "Tevreden", "Ontevreden")</f>
        <v/>
      </c>
    </row>
    <row r="549">
      <c r="A549" t="inlineStr">
        <is>
          <t>Loane</t>
        </is>
      </c>
      <c r="B549" t="inlineStr">
        <is>
          <t>Herman</t>
        </is>
      </c>
      <c r="C549" t="inlineStr">
        <is>
          <t>321.45967-33</t>
        </is>
      </c>
      <c r="D549" t="inlineStr">
        <is>
          <t>17/07/1959</t>
        </is>
      </c>
      <c r="E549" t="inlineStr">
        <is>
          <t>Noordhoutstraat 8, 3900 Overpelt</t>
        </is>
      </c>
      <c r="F549" t="inlineStr">
        <is>
          <t>Loane</t>
        </is>
      </c>
      <c r="G549" t="n">
        <v>67.51000000000001</v>
      </c>
      <c r="H549" t="n">
        <v>22</v>
      </c>
      <c r="I549" t="inlineStr">
        <is>
          <t>Bancontact</t>
        </is>
      </c>
      <c r="J549" t="inlineStr">
        <is>
          <t>ja</t>
        </is>
      </c>
      <c r="K549" t="inlineStr">
        <is>
          <t>ja</t>
        </is>
      </c>
      <c r="L549" t="inlineStr">
        <is>
          <t>ja</t>
        </is>
      </c>
      <c r="M549" t="inlineStr">
        <is>
          <t>ja</t>
        </is>
      </c>
      <c r="N549" t="inlineStr">
        <is>
          <t>ja</t>
        </is>
      </c>
      <c r="O549" t="inlineStr">
        <is>
          <t>Geen dieet</t>
        </is>
      </c>
      <c r="Q549">
        <f>LEN(G549)-LEN(SUBSTITUTE(G549,",",""))+1</f>
        <v/>
      </c>
      <c r="R549">
        <f>SWITCH(I549, "Zelden", 1, "Af en toe", 4, "Regelmatig", 8, "Vaak", 12)</f>
        <v/>
      </c>
      <c r="S549">
        <f>AVERAGE(--(K549="ja"), --(L549="ja"), --(M549="ja"), --(N549="ja"), --(O549="ja"))*10</f>
        <v/>
      </c>
      <c r="T549">
        <f>IF(S549&gt;=7, "Tevreden", "Ontevreden")</f>
        <v/>
      </c>
    </row>
    <row r="550">
      <c r="A550" t="inlineStr">
        <is>
          <t>Dylan</t>
        </is>
      </c>
      <c r="B550" t="inlineStr">
        <is>
          <t>Herman</t>
        </is>
      </c>
      <c r="C550" t="inlineStr">
        <is>
          <t>497.15441-78</t>
        </is>
      </c>
      <c r="D550" t="inlineStr">
        <is>
          <t>06/05/1953</t>
        </is>
      </c>
      <c r="E550" t="inlineStr">
        <is>
          <t>Loofblommestraat 62, 3630 Maasmechelen</t>
        </is>
      </c>
      <c r="F550" t="inlineStr">
        <is>
          <t>Dylan,Valérie,Irène,Gina</t>
        </is>
      </c>
      <c r="G550" t="n">
        <v>156.08</v>
      </c>
      <c r="H550" t="n">
        <v>9</v>
      </c>
      <c r="I550" t="inlineStr">
        <is>
          <t>Bancontact</t>
        </is>
      </c>
      <c r="J550" t="inlineStr">
        <is>
          <t>ja</t>
        </is>
      </c>
      <c r="K550" t="inlineStr">
        <is>
          <t>nee</t>
        </is>
      </c>
      <c r="L550" t="inlineStr">
        <is>
          <t>ja</t>
        </is>
      </c>
      <c r="M550" t="inlineStr">
        <is>
          <t>ja</t>
        </is>
      </c>
      <c r="N550" t="inlineStr">
        <is>
          <t>ja</t>
        </is>
      </c>
      <c r="O550" t="inlineStr">
        <is>
          <t>Geen dieet</t>
        </is>
      </c>
      <c r="Q550">
        <f>LEN(G550)-LEN(SUBSTITUTE(G550,",",""))+1</f>
        <v/>
      </c>
      <c r="R550">
        <f>SWITCH(I550, "Zelden", 1, "Af en toe", 4, "Regelmatig", 8, "Vaak", 12)</f>
        <v/>
      </c>
      <c r="S550">
        <f>AVERAGE(--(K550="ja"), --(L550="ja"), --(M550="ja"), --(N550="ja"), --(O550="ja"))*10</f>
        <v/>
      </c>
      <c r="T550">
        <f>IF(S550&gt;=7, "Tevreden", "Ontevreden")</f>
        <v/>
      </c>
    </row>
    <row r="551">
      <c r="A551" t="inlineStr">
        <is>
          <t>Léopold</t>
        </is>
      </c>
      <c r="B551" t="inlineStr">
        <is>
          <t>De keyser</t>
        </is>
      </c>
      <c r="C551" t="inlineStr">
        <is>
          <t>924.44712-32</t>
        </is>
      </c>
      <c r="D551" t="inlineStr">
        <is>
          <t>10/04/1977</t>
        </is>
      </c>
      <c r="E551" t="inlineStr">
        <is>
          <t>Hurstweg 47, 3800 Sint-Truiden</t>
        </is>
      </c>
      <c r="F551" t="inlineStr">
        <is>
          <t>Léopold,Jean</t>
        </is>
      </c>
      <c r="G551" t="n">
        <v>180.03</v>
      </c>
      <c r="H551" t="n">
        <v>6</v>
      </c>
      <c r="I551" t="inlineStr">
        <is>
          <t>Bancontact</t>
        </is>
      </c>
      <c r="J551" t="inlineStr">
        <is>
          <t>ja</t>
        </is>
      </c>
      <c r="K551" t="inlineStr">
        <is>
          <t>ja</t>
        </is>
      </c>
      <c r="L551" t="inlineStr">
        <is>
          <t>nee</t>
        </is>
      </c>
      <c r="M551" t="inlineStr">
        <is>
          <t>ja</t>
        </is>
      </c>
      <c r="N551" t="inlineStr">
        <is>
          <t>ja</t>
        </is>
      </c>
      <c r="O551" t="inlineStr">
        <is>
          <t>Vegetarisch</t>
        </is>
      </c>
      <c r="Q551">
        <f>LEN(G551)-LEN(SUBSTITUTE(G551,",",""))+1</f>
        <v/>
      </c>
      <c r="R551">
        <f>SWITCH(I551, "Zelden", 1, "Af en toe", 4, "Regelmatig", 8, "Vaak", 12)</f>
        <v/>
      </c>
      <c r="S551">
        <f>AVERAGE(--(K551="ja"), --(L551="ja"), --(M551="ja"), --(N551="ja"), --(O551="ja"))*10</f>
        <v/>
      </c>
      <c r="T551">
        <f>IF(S551&gt;=7, "Tevreden", "Ontevreden")</f>
        <v/>
      </c>
    </row>
    <row r="552">
      <c r="A552" t="inlineStr">
        <is>
          <t>Lorraine</t>
        </is>
      </c>
      <c r="B552" t="inlineStr">
        <is>
          <t>Smits</t>
        </is>
      </c>
      <c r="C552" t="inlineStr">
        <is>
          <t>297.20156-29</t>
        </is>
      </c>
      <c r="D552" t="inlineStr">
        <is>
          <t>16/10/2001</t>
        </is>
      </c>
      <c r="E552" t="inlineStr">
        <is>
          <t>Overzet 47, 3740 Bilzen</t>
        </is>
      </c>
      <c r="F552" t="inlineStr">
        <is>
          <t>Lorraine,Fatoumata,Xavier,Rosa</t>
        </is>
      </c>
      <c r="G552" t="n">
        <v>94.7</v>
      </c>
      <c r="H552" t="n">
        <v>11</v>
      </c>
      <c r="I552" t="inlineStr">
        <is>
          <t>Cash</t>
        </is>
      </c>
      <c r="J552" t="inlineStr">
        <is>
          <t>ja</t>
        </is>
      </c>
      <c r="K552" t="inlineStr">
        <is>
          <t>ja</t>
        </is>
      </c>
      <c r="L552" t="inlineStr">
        <is>
          <t>ja</t>
        </is>
      </c>
      <c r="M552" t="inlineStr">
        <is>
          <t>ja</t>
        </is>
      </c>
      <c r="N552" t="inlineStr">
        <is>
          <t>ja</t>
        </is>
      </c>
      <c r="O552" t="inlineStr">
        <is>
          <t>Geen dieet</t>
        </is>
      </c>
      <c r="Q552">
        <f>LEN(G552)-LEN(SUBSTITUTE(G552,",",""))+1</f>
        <v/>
      </c>
      <c r="R552">
        <f>SWITCH(I552, "Zelden", 1, "Af en toe", 4, "Regelmatig", 8, "Vaak", 12)</f>
        <v/>
      </c>
      <c r="S552">
        <f>AVERAGE(--(K552="ja"), --(L552="ja"), --(M552="ja"), --(N552="ja"), --(O552="ja"))*10</f>
        <v/>
      </c>
      <c r="T552">
        <f>IF(S552&gt;=7, "Tevreden", "Ontevreden")</f>
        <v/>
      </c>
    </row>
    <row r="553">
      <c r="A553" t="inlineStr">
        <is>
          <t>Jorge</t>
        </is>
      </c>
      <c r="B553" t="inlineStr">
        <is>
          <t>Roland</t>
        </is>
      </c>
      <c r="C553" t="inlineStr">
        <is>
          <t>484.21564-29</t>
        </is>
      </c>
      <c r="D553" t="inlineStr">
        <is>
          <t>01/09/1953</t>
        </is>
      </c>
      <c r="E553" t="inlineStr">
        <is>
          <t>Vierweegsestraat 28, 3600 Genk</t>
        </is>
      </c>
      <c r="F553" t="inlineStr">
        <is>
          <t>Jorge</t>
        </is>
      </c>
      <c r="G553" t="n">
        <v>83.94</v>
      </c>
      <c r="H553" t="n">
        <v>14</v>
      </c>
      <c r="I553" t="inlineStr">
        <is>
          <t>Creditcard</t>
        </is>
      </c>
      <c r="J553" t="inlineStr">
        <is>
          <t>ja</t>
        </is>
      </c>
      <c r="K553" t="inlineStr">
        <is>
          <t>ja</t>
        </is>
      </c>
      <c r="L553" t="inlineStr">
        <is>
          <t>ja</t>
        </is>
      </c>
      <c r="M553" t="inlineStr">
        <is>
          <t>ja</t>
        </is>
      </c>
      <c r="N553" t="inlineStr">
        <is>
          <t>nee</t>
        </is>
      </c>
      <c r="O553" t="inlineStr">
        <is>
          <t>Geen dieet</t>
        </is>
      </c>
      <c r="Q553">
        <f>LEN(G553)-LEN(SUBSTITUTE(G553,",",""))+1</f>
        <v/>
      </c>
      <c r="R553">
        <f>SWITCH(I553, "Zelden", 1, "Af en toe", 4, "Regelmatig", 8, "Vaak", 12)</f>
        <v/>
      </c>
      <c r="S553">
        <f>AVERAGE(--(K553="ja"), --(L553="ja"), --(M553="ja"), --(N553="ja"), --(O553="ja"))*10</f>
        <v/>
      </c>
      <c r="T553">
        <f>IF(S553&gt;=7, "Tevreden", "Ontevreden")</f>
        <v/>
      </c>
    </row>
    <row r="554">
      <c r="A554" t="inlineStr">
        <is>
          <t>Richard</t>
        </is>
      </c>
      <c r="B554" t="inlineStr">
        <is>
          <t>Dubois</t>
        </is>
      </c>
      <c r="C554" t="inlineStr">
        <is>
          <t>426.16202-26</t>
        </is>
      </c>
      <c r="D554" t="inlineStr">
        <is>
          <t>26/06/1968</t>
        </is>
      </c>
      <c r="E554" t="inlineStr">
        <is>
          <t>Einde Were 2, 3560 Lummen</t>
        </is>
      </c>
      <c r="F554" t="inlineStr">
        <is>
          <t>Richard,Freddy,Teresa</t>
        </is>
      </c>
      <c r="G554" t="n">
        <v>139.14</v>
      </c>
      <c r="H554" t="n">
        <v>10</v>
      </c>
      <c r="I554" t="inlineStr">
        <is>
          <t>Bancontact</t>
        </is>
      </c>
      <c r="J554" t="inlineStr">
        <is>
          <t>ja</t>
        </is>
      </c>
      <c r="K554" t="inlineStr">
        <is>
          <t>ja</t>
        </is>
      </c>
      <c r="L554" t="inlineStr">
        <is>
          <t>ja</t>
        </is>
      </c>
      <c r="M554" t="inlineStr">
        <is>
          <t>ja</t>
        </is>
      </c>
      <c r="N554" t="inlineStr">
        <is>
          <t>ja</t>
        </is>
      </c>
      <c r="O554" t="inlineStr">
        <is>
          <t>Geen dieet</t>
        </is>
      </c>
      <c r="Q554">
        <f>LEN(G554)-LEN(SUBSTITUTE(G554,",",""))+1</f>
        <v/>
      </c>
      <c r="R554">
        <f>SWITCH(I554, "Zelden", 1, "Af en toe", 4, "Regelmatig", 8, "Vaak", 12)</f>
        <v/>
      </c>
      <c r="S554">
        <f>AVERAGE(--(K554="ja"), --(L554="ja"), --(M554="ja"), --(N554="ja"), --(O554="ja"))*10</f>
        <v/>
      </c>
      <c r="T554">
        <f>IF(S554&gt;=7, "Tevreden", "Ontevreden")</f>
        <v/>
      </c>
    </row>
    <row r="555">
      <c r="A555" t="inlineStr">
        <is>
          <t>Johan</t>
        </is>
      </c>
      <c r="B555" t="inlineStr">
        <is>
          <t>Delhaye</t>
        </is>
      </c>
      <c r="C555" t="inlineStr">
        <is>
          <t>112.64685-20</t>
        </is>
      </c>
      <c r="D555" t="inlineStr">
        <is>
          <t>07/09/1991</t>
        </is>
      </c>
      <c r="E555" t="inlineStr">
        <is>
          <t>Peerstraat 13, 3600 Genk</t>
        </is>
      </c>
      <c r="F555" t="inlineStr">
        <is>
          <t>Johan,Yelena,Marvin</t>
        </is>
      </c>
      <c r="G555" t="n">
        <v>83.70999999999999</v>
      </c>
      <c r="H555" t="n">
        <v>3</v>
      </c>
      <c r="I555" t="inlineStr">
        <is>
          <t>Bancontact</t>
        </is>
      </c>
      <c r="J555" t="inlineStr">
        <is>
          <t>ja</t>
        </is>
      </c>
      <c r="K555" t="inlineStr">
        <is>
          <t>ja</t>
        </is>
      </c>
      <c r="L555" t="inlineStr">
        <is>
          <t>ja</t>
        </is>
      </c>
      <c r="M555" t="inlineStr">
        <is>
          <t>ja</t>
        </is>
      </c>
      <c r="N555" t="inlineStr">
        <is>
          <t>ja</t>
        </is>
      </c>
      <c r="O555" t="inlineStr">
        <is>
          <t>Geen dieet</t>
        </is>
      </c>
      <c r="Q555">
        <f>LEN(G555)-LEN(SUBSTITUTE(G555,",",""))+1</f>
        <v/>
      </c>
      <c r="R555">
        <f>SWITCH(I555, "Zelden", 1, "Af en toe", 4, "Regelmatig", 8, "Vaak", 12)</f>
        <v/>
      </c>
      <c r="S555">
        <f>AVERAGE(--(K555="ja"), --(L555="ja"), --(M555="ja"), --(N555="ja"), --(O555="ja"))*10</f>
        <v/>
      </c>
      <c r="T555">
        <f>IF(S555&gt;=7, "Tevreden", "Ontevreden")</f>
        <v/>
      </c>
    </row>
    <row r="556">
      <c r="A556" t="inlineStr">
        <is>
          <t>Michel</t>
        </is>
      </c>
      <c r="B556" t="inlineStr">
        <is>
          <t>Thijs</t>
        </is>
      </c>
      <c r="C556" t="inlineStr">
        <is>
          <t>108.88083-53</t>
        </is>
      </c>
      <c r="D556" t="inlineStr">
        <is>
          <t>03/10/2004</t>
        </is>
      </c>
      <c r="E556" t="inlineStr">
        <is>
          <t>Molenstraat 64, 3700 Tongeren</t>
        </is>
      </c>
      <c r="F556" t="inlineStr">
        <is>
          <t>Michel</t>
        </is>
      </c>
      <c r="G556" t="n">
        <v>54.45</v>
      </c>
      <c r="H556" t="n">
        <v>15</v>
      </c>
      <c r="I556" t="inlineStr">
        <is>
          <t>Bancontact</t>
        </is>
      </c>
      <c r="J556" t="inlineStr">
        <is>
          <t>nee</t>
        </is>
      </c>
      <c r="K556" t="inlineStr">
        <is>
          <t>ja</t>
        </is>
      </c>
      <c r="L556" t="inlineStr">
        <is>
          <t>nee</t>
        </is>
      </c>
      <c r="M556" t="inlineStr">
        <is>
          <t>ja</t>
        </is>
      </c>
      <c r="N556" t="inlineStr">
        <is>
          <t>ja</t>
        </is>
      </c>
      <c r="O556" t="inlineStr">
        <is>
          <t>Geen dieet</t>
        </is>
      </c>
      <c r="Q556">
        <f>LEN(G556)-LEN(SUBSTITUTE(G556,",",""))+1</f>
        <v/>
      </c>
      <c r="R556">
        <f>SWITCH(I556, "Zelden", 1, "Af en toe", 4, "Regelmatig", 8, "Vaak", 12)</f>
        <v/>
      </c>
      <c r="S556">
        <f>AVERAGE(--(K556="ja"), --(L556="ja"), --(M556="ja"), --(N556="ja"), --(O556="ja"))*10</f>
        <v/>
      </c>
      <c r="T556">
        <f>IF(S556&gt;=7, "Tevreden", "Ontevreden")</f>
        <v/>
      </c>
    </row>
    <row r="557">
      <c r="A557" t="inlineStr">
        <is>
          <t>Joël</t>
        </is>
      </c>
      <c r="B557" t="inlineStr">
        <is>
          <t>Helsen</t>
        </is>
      </c>
      <c r="C557" t="inlineStr">
        <is>
          <t>610.77705-96</t>
        </is>
      </c>
      <c r="D557" t="inlineStr">
        <is>
          <t>05/12/1995</t>
        </is>
      </c>
      <c r="E557" t="inlineStr">
        <is>
          <t>Grotesteenweg Zuid 89, 3740 Bilzen</t>
        </is>
      </c>
      <c r="F557" t="inlineStr">
        <is>
          <t>Joël,Mila</t>
        </is>
      </c>
      <c r="G557" t="n">
        <v>70.27</v>
      </c>
      <c r="H557" t="n">
        <v>6</v>
      </c>
      <c r="I557" t="inlineStr">
        <is>
          <t>Bancontact</t>
        </is>
      </c>
      <c r="J557" t="inlineStr">
        <is>
          <t>nee</t>
        </is>
      </c>
      <c r="K557" t="inlineStr">
        <is>
          <t>ja</t>
        </is>
      </c>
      <c r="L557" t="inlineStr">
        <is>
          <t>nee</t>
        </is>
      </c>
      <c r="M557" t="inlineStr">
        <is>
          <t>ja</t>
        </is>
      </c>
      <c r="N557" t="inlineStr">
        <is>
          <t>nee</t>
        </is>
      </c>
      <c r="O557" t="inlineStr">
        <is>
          <t>Geen dieet</t>
        </is>
      </c>
      <c r="Q557">
        <f>LEN(G557)-LEN(SUBSTITUTE(G557,",",""))+1</f>
        <v/>
      </c>
      <c r="R557">
        <f>SWITCH(I557, "Zelden", 1, "Af en toe", 4, "Regelmatig", 8, "Vaak", 12)</f>
        <v/>
      </c>
      <c r="S557">
        <f>AVERAGE(--(K557="ja"), --(L557="ja"), --(M557="ja"), --(N557="ja"), --(O557="ja"))*10</f>
        <v/>
      </c>
      <c r="T557">
        <f>IF(S557&gt;=7, "Tevreden", "Ontevreden")</f>
        <v/>
      </c>
    </row>
    <row r="558">
      <c r="A558" t="inlineStr">
        <is>
          <t>Torsten</t>
        </is>
      </c>
      <c r="B558" t="inlineStr">
        <is>
          <t>Dhondt</t>
        </is>
      </c>
      <c r="C558" t="inlineStr">
        <is>
          <t>546.56352-48</t>
        </is>
      </c>
      <c r="D558" t="inlineStr">
        <is>
          <t>03/02/1976</t>
        </is>
      </c>
      <c r="E558" t="inlineStr">
        <is>
          <t>Noordhoutstraat 31, 3540 Herk-de-Stad</t>
        </is>
      </c>
      <c r="F558" t="inlineStr">
        <is>
          <t>Torsten,Augustinus</t>
        </is>
      </c>
      <c r="G558" t="n">
        <v>119.06</v>
      </c>
      <c r="H558" t="n">
        <v>15</v>
      </c>
      <c r="I558" t="inlineStr">
        <is>
          <t>Payconiq</t>
        </is>
      </c>
      <c r="J558" t="inlineStr">
        <is>
          <t>nee</t>
        </is>
      </c>
      <c r="K558" t="inlineStr">
        <is>
          <t>nee</t>
        </is>
      </c>
      <c r="L558" t="inlineStr">
        <is>
          <t>nee</t>
        </is>
      </c>
      <c r="M558" t="inlineStr">
        <is>
          <t>ja</t>
        </is>
      </c>
      <c r="N558" t="inlineStr">
        <is>
          <t>ja</t>
        </is>
      </c>
      <c r="O558" t="inlineStr">
        <is>
          <t>Veganistisch</t>
        </is>
      </c>
      <c r="Q558">
        <f>LEN(G558)-LEN(SUBSTITUTE(G558,",",""))+1</f>
        <v/>
      </c>
      <c r="R558">
        <f>SWITCH(I558, "Zelden", 1, "Af en toe", 4, "Regelmatig", 8, "Vaak", 12)</f>
        <v/>
      </c>
      <c r="S558">
        <f>AVERAGE(--(K558="ja"), --(L558="ja"), --(M558="ja"), --(N558="ja"), --(O558="ja"))*10</f>
        <v/>
      </c>
      <c r="T558">
        <f>IF(S558&gt;=7, "Tevreden", "Ontevreden")</f>
        <v/>
      </c>
    </row>
    <row r="559">
      <c r="A559" t="inlineStr">
        <is>
          <t>Willy</t>
        </is>
      </c>
      <c r="B559" t="inlineStr">
        <is>
          <t>Moerman</t>
        </is>
      </c>
      <c r="C559" t="inlineStr">
        <is>
          <t>587.64939-85</t>
        </is>
      </c>
      <c r="D559" t="inlineStr">
        <is>
          <t>31/12/1987</t>
        </is>
      </c>
      <c r="E559" t="inlineStr">
        <is>
          <t>Acacialaan 49, 3890 Gingelom</t>
        </is>
      </c>
      <c r="F559" t="inlineStr">
        <is>
          <t>Willy,Jerôme</t>
        </is>
      </c>
      <c r="G559" t="n">
        <v>80.5</v>
      </c>
      <c r="H559" t="n">
        <v>9</v>
      </c>
      <c r="I559" t="inlineStr">
        <is>
          <t>Bancontact</t>
        </is>
      </c>
      <c r="J559" t="inlineStr">
        <is>
          <t>nee</t>
        </is>
      </c>
      <c r="K559" t="inlineStr">
        <is>
          <t>ja</t>
        </is>
      </c>
      <c r="L559" t="inlineStr">
        <is>
          <t>ja</t>
        </is>
      </c>
      <c r="M559" t="inlineStr">
        <is>
          <t>nee</t>
        </is>
      </c>
      <c r="N559" t="inlineStr">
        <is>
          <t>ja</t>
        </is>
      </c>
      <c r="O559" t="inlineStr">
        <is>
          <t>Geen dieet</t>
        </is>
      </c>
      <c r="Q559">
        <f>LEN(G559)-LEN(SUBSTITUTE(G559,",",""))+1</f>
        <v/>
      </c>
      <c r="R559">
        <f>SWITCH(I559, "Zelden", 1, "Af en toe", 4, "Regelmatig", 8, "Vaak", 12)</f>
        <v/>
      </c>
      <c r="S559">
        <f>AVERAGE(--(K559="ja"), --(L559="ja"), --(M559="ja"), --(N559="ja"), --(O559="ja"))*10</f>
        <v/>
      </c>
      <c r="T559">
        <f>IF(S559&gt;=7, "Tevreden", "Ontevreden")</f>
        <v/>
      </c>
    </row>
    <row r="560">
      <c r="A560" t="inlineStr">
        <is>
          <t>Tim</t>
        </is>
      </c>
      <c r="B560" t="inlineStr">
        <is>
          <t>Nuyts</t>
        </is>
      </c>
      <c r="C560" t="inlineStr">
        <is>
          <t>385.35873-75</t>
        </is>
      </c>
      <c r="D560" t="inlineStr">
        <is>
          <t>26/05/1967</t>
        </is>
      </c>
      <c r="E560" t="inlineStr">
        <is>
          <t>Molenstraat 28, 3500 Hasselt</t>
        </is>
      </c>
      <c r="F560" t="inlineStr">
        <is>
          <t>Tim,Marcos,Diana</t>
        </is>
      </c>
      <c r="G560" t="n">
        <v>81.3</v>
      </c>
      <c r="H560" t="n">
        <v>23</v>
      </c>
      <c r="I560" t="inlineStr">
        <is>
          <t>Payconiq</t>
        </is>
      </c>
      <c r="J560" t="inlineStr">
        <is>
          <t>ja</t>
        </is>
      </c>
      <c r="K560" t="inlineStr">
        <is>
          <t>nee</t>
        </is>
      </c>
      <c r="L560" t="inlineStr">
        <is>
          <t>nee</t>
        </is>
      </c>
      <c r="M560" t="inlineStr">
        <is>
          <t>ja</t>
        </is>
      </c>
      <c r="N560" t="inlineStr">
        <is>
          <t>nee</t>
        </is>
      </c>
      <c r="O560" t="inlineStr">
        <is>
          <t>Geen dieet</t>
        </is>
      </c>
      <c r="Q560">
        <f>LEN(G560)-LEN(SUBSTITUTE(G560,",",""))+1</f>
        <v/>
      </c>
      <c r="R560">
        <f>SWITCH(I560, "Zelden", 1, "Af en toe", 4, "Regelmatig", 8, "Vaak", 12)</f>
        <v/>
      </c>
      <c r="S560">
        <f>AVERAGE(--(K560="ja"), --(L560="ja"), --(M560="ja"), --(N560="ja"), --(O560="ja"))*10</f>
        <v/>
      </c>
      <c r="T560">
        <f>IF(S560&gt;=7, "Tevreden", "Ontevreden")</f>
        <v/>
      </c>
    </row>
    <row r="561">
      <c r="A561" t="inlineStr">
        <is>
          <t>Willy</t>
        </is>
      </c>
      <c r="B561" t="inlineStr">
        <is>
          <t>Van den broeck</t>
        </is>
      </c>
      <c r="C561" t="inlineStr">
        <is>
          <t>532.19267-63</t>
        </is>
      </c>
      <c r="D561" t="inlineStr">
        <is>
          <t>10/03/1949</t>
        </is>
      </c>
      <c r="E561" t="inlineStr">
        <is>
          <t>Lindenlei 20, 3980 Tessenderlo</t>
        </is>
      </c>
      <c r="F561" t="inlineStr">
        <is>
          <t>Willy</t>
        </is>
      </c>
      <c r="G561" t="n">
        <v>65.05</v>
      </c>
      <c r="H561" t="n">
        <v>6</v>
      </c>
      <c r="I561" t="inlineStr">
        <is>
          <t>Cash</t>
        </is>
      </c>
      <c r="J561" t="inlineStr">
        <is>
          <t>nee</t>
        </is>
      </c>
      <c r="K561" t="inlineStr">
        <is>
          <t>ja</t>
        </is>
      </c>
      <c r="L561" t="inlineStr">
        <is>
          <t>ja</t>
        </is>
      </c>
      <c r="M561" t="inlineStr">
        <is>
          <t>ja</t>
        </is>
      </c>
      <c r="N561" t="inlineStr">
        <is>
          <t>ja</t>
        </is>
      </c>
      <c r="O561" t="inlineStr">
        <is>
          <t>Geen dieet</t>
        </is>
      </c>
      <c r="Q561">
        <f>LEN(G561)-LEN(SUBSTITUTE(G561,",",""))+1</f>
        <v/>
      </c>
      <c r="R561">
        <f>SWITCH(I561, "Zelden", 1, "Af en toe", 4, "Regelmatig", 8, "Vaak", 12)</f>
        <v/>
      </c>
      <c r="S561">
        <f>AVERAGE(--(K561="ja"), --(L561="ja"), --(M561="ja"), --(N561="ja"), --(O561="ja"))*10</f>
        <v/>
      </c>
      <c r="T561">
        <f>IF(S561&gt;=7, "Tevreden", "Ontevreden")</f>
        <v/>
      </c>
    </row>
    <row r="562">
      <c r="A562" t="inlineStr">
        <is>
          <t>Sacha</t>
        </is>
      </c>
      <c r="B562" t="inlineStr">
        <is>
          <t>Toussaint</t>
        </is>
      </c>
      <c r="C562" t="inlineStr">
        <is>
          <t>634.89203-20</t>
        </is>
      </c>
      <c r="D562" t="inlineStr">
        <is>
          <t>22/04/1976</t>
        </is>
      </c>
      <c r="E562" t="inlineStr">
        <is>
          <t>Sint-pietersnieuwstraat 21, 3530 Houthalen-Helchteren</t>
        </is>
      </c>
      <c r="F562" t="inlineStr">
        <is>
          <t>Sacha,Raphaël,Katleen,Hilde</t>
        </is>
      </c>
      <c r="G562" t="n">
        <v>111.88</v>
      </c>
      <c r="H562" t="n">
        <v>8</v>
      </c>
      <c r="I562" t="inlineStr">
        <is>
          <t>Payconiq</t>
        </is>
      </c>
      <c r="J562" t="inlineStr">
        <is>
          <t>ja</t>
        </is>
      </c>
      <c r="K562" t="inlineStr">
        <is>
          <t>nee</t>
        </is>
      </c>
      <c r="L562" t="inlineStr">
        <is>
          <t>nee</t>
        </is>
      </c>
      <c r="M562" t="inlineStr">
        <is>
          <t>ja</t>
        </is>
      </c>
      <c r="N562" t="inlineStr">
        <is>
          <t>ja</t>
        </is>
      </c>
      <c r="O562" t="inlineStr">
        <is>
          <t>Geen dieet</t>
        </is>
      </c>
      <c r="Q562">
        <f>LEN(G562)-LEN(SUBSTITUTE(G562,",",""))+1</f>
        <v/>
      </c>
      <c r="R562">
        <f>SWITCH(I562, "Zelden", 1, "Af en toe", 4, "Regelmatig", 8, "Vaak", 12)</f>
        <v/>
      </c>
      <c r="S562">
        <f>AVERAGE(--(K562="ja"), --(L562="ja"), --(M562="ja"), --(N562="ja"), --(O562="ja"))*10</f>
        <v/>
      </c>
      <c r="T562">
        <f>IF(S562&gt;=7, "Tevreden", "Ontevreden")</f>
        <v/>
      </c>
    </row>
    <row r="563">
      <c r="A563" t="inlineStr">
        <is>
          <t>Torkild</t>
        </is>
      </c>
      <c r="B563" t="inlineStr">
        <is>
          <t>Declerck</t>
        </is>
      </c>
      <c r="C563" t="inlineStr">
        <is>
          <t>497.79807-51</t>
        </is>
      </c>
      <c r="D563" t="inlineStr">
        <is>
          <t>01/02/1987</t>
        </is>
      </c>
      <c r="E563" t="inlineStr">
        <is>
          <t>Fritz De Beulestraat 2, 3530 Houthalen-Helchteren</t>
        </is>
      </c>
      <c r="F563" t="inlineStr">
        <is>
          <t>Torkild,Louange,Valentin</t>
        </is>
      </c>
      <c r="G563" t="n">
        <v>160.54</v>
      </c>
      <c r="H563" t="n">
        <v>7</v>
      </c>
      <c r="I563" t="inlineStr">
        <is>
          <t>Payconiq</t>
        </is>
      </c>
      <c r="J563" t="inlineStr">
        <is>
          <t>ja</t>
        </is>
      </c>
      <c r="K563" t="inlineStr">
        <is>
          <t>ja</t>
        </is>
      </c>
      <c r="L563" t="inlineStr">
        <is>
          <t>nee</t>
        </is>
      </c>
      <c r="M563" t="inlineStr">
        <is>
          <t>nee</t>
        </is>
      </c>
      <c r="N563" t="inlineStr">
        <is>
          <t>ja</t>
        </is>
      </c>
      <c r="O563" t="inlineStr">
        <is>
          <t>Geen dieet</t>
        </is>
      </c>
      <c r="Q563">
        <f>LEN(G563)-LEN(SUBSTITUTE(G563,",",""))+1</f>
        <v/>
      </c>
      <c r="R563">
        <f>SWITCH(I563, "Zelden", 1, "Af en toe", 4, "Regelmatig", 8, "Vaak", 12)</f>
        <v/>
      </c>
      <c r="S563">
        <f>AVERAGE(--(K563="ja"), --(L563="ja"), --(M563="ja"), --(N563="ja"), --(O563="ja"))*10</f>
        <v/>
      </c>
      <c r="T563">
        <f>IF(S563&gt;=7, "Tevreden", "Ontevreden")</f>
        <v/>
      </c>
    </row>
    <row r="564">
      <c r="A564" t="inlineStr">
        <is>
          <t>Juliaan</t>
        </is>
      </c>
      <c r="B564" t="inlineStr">
        <is>
          <t>Jacobs</t>
        </is>
      </c>
      <c r="C564" t="inlineStr">
        <is>
          <t>451.73095-46</t>
        </is>
      </c>
      <c r="D564" t="inlineStr">
        <is>
          <t>04/12/1953</t>
        </is>
      </c>
      <c r="E564" t="inlineStr">
        <is>
          <t>Penitentenstraat 51, 3500 Hasselt</t>
        </is>
      </c>
      <c r="F564" t="inlineStr">
        <is>
          <t>Juliaan,Ruben,Neriman</t>
        </is>
      </c>
      <c r="G564" t="n">
        <v>166.21</v>
      </c>
      <c r="H564" t="n">
        <v>1</v>
      </c>
      <c r="I564" t="inlineStr">
        <is>
          <t>Payconiq</t>
        </is>
      </c>
      <c r="J564" t="inlineStr">
        <is>
          <t>ja</t>
        </is>
      </c>
      <c r="K564" t="inlineStr">
        <is>
          <t>ja</t>
        </is>
      </c>
      <c r="L564" t="inlineStr">
        <is>
          <t>ja</t>
        </is>
      </c>
      <c r="M564" t="inlineStr">
        <is>
          <t>nee</t>
        </is>
      </c>
      <c r="N564" t="inlineStr">
        <is>
          <t>ja</t>
        </is>
      </c>
      <c r="O564" t="inlineStr">
        <is>
          <t>Geen dieet</t>
        </is>
      </c>
      <c r="Q564">
        <f>LEN(G564)-LEN(SUBSTITUTE(G564,",",""))+1</f>
        <v/>
      </c>
      <c r="R564">
        <f>SWITCH(I564, "Zelden", 1, "Af en toe", 4, "Regelmatig", 8, "Vaak", 12)</f>
        <v/>
      </c>
      <c r="S564">
        <f>AVERAGE(--(K564="ja"), --(L564="ja"), --(M564="ja"), --(N564="ja"), --(O564="ja"))*10</f>
        <v/>
      </c>
      <c r="T564">
        <f>IF(S564&gt;=7, "Tevreden", "Ontevreden")</f>
        <v/>
      </c>
    </row>
    <row r="565">
      <c r="A565" t="inlineStr">
        <is>
          <t>Alessia</t>
        </is>
      </c>
      <c r="B565" t="inlineStr">
        <is>
          <t>De keyser</t>
        </is>
      </c>
      <c r="C565" t="inlineStr">
        <is>
          <t>963.56401-64</t>
        </is>
      </c>
      <c r="D565" t="inlineStr">
        <is>
          <t>07/05/1965</t>
        </is>
      </c>
      <c r="E565" t="inlineStr">
        <is>
          <t>Drongensesteenweg 6, 3831 Herten</t>
        </is>
      </c>
      <c r="F565" t="inlineStr">
        <is>
          <t>Alessia,Frédéric</t>
        </is>
      </c>
      <c r="G565" t="n">
        <v>51.85</v>
      </c>
      <c r="H565" t="n">
        <v>7</v>
      </c>
      <c r="I565" t="inlineStr">
        <is>
          <t>Payconiq</t>
        </is>
      </c>
      <c r="J565" t="inlineStr">
        <is>
          <t>ja</t>
        </is>
      </c>
      <c r="K565" t="inlineStr">
        <is>
          <t>ja</t>
        </is>
      </c>
      <c r="L565" t="inlineStr">
        <is>
          <t>ja</t>
        </is>
      </c>
      <c r="M565" t="inlineStr">
        <is>
          <t>ja</t>
        </is>
      </c>
      <c r="N565" t="inlineStr">
        <is>
          <t>ja</t>
        </is>
      </c>
      <c r="O565" t="inlineStr">
        <is>
          <t>Geen dieet</t>
        </is>
      </c>
      <c r="Q565">
        <f>LEN(G565)-LEN(SUBSTITUTE(G565,",",""))+1</f>
        <v/>
      </c>
      <c r="R565">
        <f>SWITCH(I565, "Zelden", 1, "Af en toe", 4, "Regelmatig", 8, "Vaak", 12)</f>
        <v/>
      </c>
      <c r="S565">
        <f>AVERAGE(--(K565="ja"), --(L565="ja"), --(M565="ja"), --(N565="ja"), --(O565="ja"))*10</f>
        <v/>
      </c>
      <c r="T565">
        <f>IF(S565&gt;=7, "Tevreden", "Ontevreden")</f>
        <v/>
      </c>
    </row>
    <row r="566">
      <c r="A566" t="inlineStr">
        <is>
          <t>Matteo</t>
        </is>
      </c>
      <c r="B566" t="inlineStr">
        <is>
          <t>De bruyne</t>
        </is>
      </c>
      <c r="C566" t="inlineStr">
        <is>
          <t>97.47063-62</t>
        </is>
      </c>
      <c r="D566" t="inlineStr">
        <is>
          <t>15/10/1964</t>
        </is>
      </c>
      <c r="E566" t="inlineStr">
        <is>
          <t>Boeierstraat 26, 3620 Lanaken</t>
        </is>
      </c>
      <c r="F566" t="inlineStr">
        <is>
          <t>Matteo,Valentine,Maria,Marie</t>
        </is>
      </c>
      <c r="G566" t="n">
        <v>157.97</v>
      </c>
      <c r="H566" t="n">
        <v>12</v>
      </c>
      <c r="I566" t="inlineStr">
        <is>
          <t>Payconiq</t>
        </is>
      </c>
      <c r="J566" t="inlineStr">
        <is>
          <t>nee</t>
        </is>
      </c>
      <c r="K566" t="inlineStr">
        <is>
          <t>ja</t>
        </is>
      </c>
      <c r="L566" t="inlineStr">
        <is>
          <t>ja</t>
        </is>
      </c>
      <c r="M566" t="inlineStr">
        <is>
          <t>ja</t>
        </is>
      </c>
      <c r="N566" t="inlineStr">
        <is>
          <t>ja</t>
        </is>
      </c>
      <c r="O566" t="inlineStr">
        <is>
          <t>Geen dieet</t>
        </is>
      </c>
      <c r="Q566">
        <f>LEN(G566)-LEN(SUBSTITUTE(G566,",",""))+1</f>
        <v/>
      </c>
      <c r="R566">
        <f>SWITCH(I566, "Zelden", 1, "Af en toe", 4, "Regelmatig", 8, "Vaak", 12)</f>
        <v/>
      </c>
      <c r="S566">
        <f>AVERAGE(--(K566="ja"), --(L566="ja"), --(M566="ja"), --(N566="ja"), --(O566="ja"))*10</f>
        <v/>
      </c>
      <c r="T566">
        <f>IF(S566&gt;=7, "Tevreden", "Ontevreden")</f>
        <v/>
      </c>
    </row>
    <row r="567">
      <c r="A567" t="inlineStr">
        <is>
          <t>Tom</t>
        </is>
      </c>
      <c r="B567" t="inlineStr">
        <is>
          <t>Evrard</t>
        </is>
      </c>
      <c r="C567" t="inlineStr">
        <is>
          <t>824.42977-36</t>
        </is>
      </c>
      <c r="D567" t="inlineStr">
        <is>
          <t>30/04/1986</t>
        </is>
      </c>
      <c r="E567" t="inlineStr">
        <is>
          <t>Clarissenstraat 70, 3770 Riemst</t>
        </is>
      </c>
      <c r="F567" t="inlineStr">
        <is>
          <t>Tom,Jamal,Oceanne,Luc</t>
        </is>
      </c>
      <c r="G567" t="n">
        <v>132.44</v>
      </c>
      <c r="H567" t="n">
        <v>17</v>
      </c>
      <c r="I567" t="inlineStr">
        <is>
          <t>Bancontact</t>
        </is>
      </c>
      <c r="J567" t="inlineStr">
        <is>
          <t>ja</t>
        </is>
      </c>
      <c r="K567" t="inlineStr">
        <is>
          <t>ja</t>
        </is>
      </c>
      <c r="L567" t="inlineStr">
        <is>
          <t>ja</t>
        </is>
      </c>
      <c r="M567" t="inlineStr">
        <is>
          <t>ja</t>
        </is>
      </c>
      <c r="N567" t="inlineStr">
        <is>
          <t>nee</t>
        </is>
      </c>
      <c r="O567" t="inlineStr">
        <is>
          <t>Geen dieet</t>
        </is>
      </c>
      <c r="Q567">
        <f>LEN(G567)-LEN(SUBSTITUTE(G567,",",""))+1</f>
        <v/>
      </c>
      <c r="R567">
        <f>SWITCH(I567, "Zelden", 1, "Af en toe", 4, "Regelmatig", 8, "Vaak", 12)</f>
        <v/>
      </c>
      <c r="S567">
        <f>AVERAGE(--(K567="ja"), --(L567="ja"), --(M567="ja"), --(N567="ja"), --(O567="ja"))*10</f>
        <v/>
      </c>
      <c r="T567">
        <f>IF(S567&gt;=7, "Tevreden", "Ontevreden")</f>
        <v/>
      </c>
    </row>
    <row r="568">
      <c r="A568" t="inlineStr">
        <is>
          <t>Nadine</t>
        </is>
      </c>
      <c r="B568" t="inlineStr">
        <is>
          <t>Van roy</t>
        </is>
      </c>
      <c r="C568" t="inlineStr">
        <is>
          <t>533.19212-91</t>
        </is>
      </c>
      <c r="D568" t="inlineStr">
        <is>
          <t>14/05/1996</t>
        </is>
      </c>
      <c r="E568" t="inlineStr">
        <is>
          <t>Einde Were 57, 3831 Herten</t>
        </is>
      </c>
      <c r="F568" t="inlineStr">
        <is>
          <t>Nadine,Geneviève,Stefaan</t>
        </is>
      </c>
      <c r="G568" t="n">
        <v>139.02</v>
      </c>
      <c r="H568" t="n">
        <v>5</v>
      </c>
      <c r="I568" t="inlineStr">
        <is>
          <t>Payconiq</t>
        </is>
      </c>
      <c r="J568" t="inlineStr">
        <is>
          <t>ja</t>
        </is>
      </c>
      <c r="K568" t="inlineStr">
        <is>
          <t>ja</t>
        </is>
      </c>
      <c r="L568" t="inlineStr">
        <is>
          <t>ja</t>
        </is>
      </c>
      <c r="M568" t="inlineStr">
        <is>
          <t>nee</t>
        </is>
      </c>
      <c r="N568" t="inlineStr">
        <is>
          <t>nee</t>
        </is>
      </c>
      <c r="O568" t="inlineStr">
        <is>
          <t>Veganistisch</t>
        </is>
      </c>
      <c r="Q568">
        <f>LEN(G568)-LEN(SUBSTITUTE(G568,",",""))+1</f>
        <v/>
      </c>
      <c r="R568">
        <f>SWITCH(I568, "Zelden", 1, "Af en toe", 4, "Regelmatig", 8, "Vaak", 12)</f>
        <v/>
      </c>
      <c r="S568">
        <f>AVERAGE(--(K568="ja"), --(L568="ja"), --(M568="ja"), --(N568="ja"), --(O568="ja"))*10</f>
        <v/>
      </c>
      <c r="T568">
        <f>IF(S568&gt;=7, "Tevreden", "Ontevreden")</f>
        <v/>
      </c>
    </row>
    <row r="569">
      <c r="A569" t="inlineStr">
        <is>
          <t>Jens</t>
        </is>
      </c>
      <c r="B569" t="inlineStr">
        <is>
          <t>Goethals</t>
        </is>
      </c>
      <c r="C569" t="inlineStr">
        <is>
          <t>204.45499-67</t>
        </is>
      </c>
      <c r="D569" t="inlineStr">
        <is>
          <t>08/06/1975</t>
        </is>
      </c>
      <c r="E569" t="inlineStr">
        <is>
          <t>Oscar De Gruyterstraat 99, 3690 Zutendaal</t>
        </is>
      </c>
      <c r="F569" t="inlineStr">
        <is>
          <t>Jens,Inaya,Nadine,Jonathan,Ashwin</t>
        </is>
      </c>
      <c r="G569" t="n">
        <v>123.11</v>
      </c>
      <c r="H569" t="n">
        <v>10</v>
      </c>
      <c r="I569" t="inlineStr">
        <is>
          <t>Cash</t>
        </is>
      </c>
      <c r="J569" t="inlineStr">
        <is>
          <t>ja</t>
        </is>
      </c>
      <c r="K569" t="inlineStr">
        <is>
          <t>ja</t>
        </is>
      </c>
      <c r="L569" t="inlineStr">
        <is>
          <t>ja</t>
        </is>
      </c>
      <c r="M569" t="inlineStr">
        <is>
          <t>ja</t>
        </is>
      </c>
      <c r="N569" t="inlineStr">
        <is>
          <t>nee</t>
        </is>
      </c>
      <c r="O569" t="inlineStr">
        <is>
          <t>Geen dieet</t>
        </is>
      </c>
      <c r="Q569">
        <f>LEN(G569)-LEN(SUBSTITUTE(G569,",",""))+1</f>
        <v/>
      </c>
      <c r="R569">
        <f>SWITCH(I569, "Zelden", 1, "Af en toe", 4, "Regelmatig", 8, "Vaak", 12)</f>
        <v/>
      </c>
      <c r="S569">
        <f>AVERAGE(--(K569="ja"), --(L569="ja"), --(M569="ja"), --(N569="ja"), --(O569="ja"))*10</f>
        <v/>
      </c>
      <c r="T569">
        <f>IF(S569&gt;=7, "Tevreden", "Ontevreden")</f>
        <v/>
      </c>
    </row>
    <row r="570">
      <c r="A570" t="inlineStr">
        <is>
          <t>Emmily</t>
        </is>
      </c>
      <c r="B570" t="inlineStr">
        <is>
          <t>De ridder</t>
        </is>
      </c>
      <c r="C570" t="inlineStr">
        <is>
          <t>113.92188-67</t>
        </is>
      </c>
      <c r="D570" t="inlineStr">
        <is>
          <t>07/10/1975</t>
        </is>
      </c>
      <c r="E570" t="inlineStr">
        <is>
          <t>Meulestedekaai 9, 3500 Hasselt</t>
        </is>
      </c>
      <c r="F570" t="inlineStr">
        <is>
          <t>Emmily,Eliane,Dominique,Fethi,Caroline</t>
        </is>
      </c>
      <c r="G570" t="n">
        <v>151.44</v>
      </c>
      <c r="H570" t="n">
        <v>9</v>
      </c>
      <c r="I570" t="inlineStr">
        <is>
          <t>Bancontact</t>
        </is>
      </c>
      <c r="J570" t="inlineStr">
        <is>
          <t>ja</t>
        </is>
      </c>
      <c r="K570" t="inlineStr">
        <is>
          <t>nee</t>
        </is>
      </c>
      <c r="L570" t="inlineStr">
        <is>
          <t>ja</t>
        </is>
      </c>
      <c r="M570" t="inlineStr">
        <is>
          <t>nee</t>
        </is>
      </c>
      <c r="N570" t="inlineStr">
        <is>
          <t>nee</t>
        </is>
      </c>
      <c r="O570" t="inlineStr">
        <is>
          <t>Geen dieet</t>
        </is>
      </c>
      <c r="Q570">
        <f>LEN(G570)-LEN(SUBSTITUTE(G570,",",""))+1</f>
        <v/>
      </c>
      <c r="R570">
        <f>SWITCH(I570, "Zelden", 1, "Af en toe", 4, "Regelmatig", 8, "Vaak", 12)</f>
        <v/>
      </c>
      <c r="S570">
        <f>AVERAGE(--(K570="ja"), --(L570="ja"), --(M570="ja"), --(N570="ja"), --(O570="ja"))*10</f>
        <v/>
      </c>
      <c r="T570">
        <f>IF(S570&gt;=7, "Tevreden", "Ontevreden")</f>
        <v/>
      </c>
    </row>
    <row r="571">
      <c r="A571" t="inlineStr">
        <is>
          <t>Helga</t>
        </is>
      </c>
      <c r="B571" t="inlineStr">
        <is>
          <t>Vanderlinden</t>
        </is>
      </c>
      <c r="C571" t="inlineStr">
        <is>
          <t>151.84750-44</t>
        </is>
      </c>
      <c r="D571" t="inlineStr">
        <is>
          <t>26/02/2003</t>
        </is>
      </c>
      <c r="E571" t="inlineStr">
        <is>
          <t>St.- Arnoustraat 47, 3590 Diepenbeek</t>
        </is>
      </c>
      <c r="F571" t="inlineStr">
        <is>
          <t>Helga,Marie</t>
        </is>
      </c>
      <c r="G571" t="n">
        <v>81.09999999999999</v>
      </c>
      <c r="H571" t="n">
        <v>16</v>
      </c>
      <c r="I571" t="inlineStr">
        <is>
          <t>Bancontact</t>
        </is>
      </c>
      <c r="J571" t="inlineStr">
        <is>
          <t>ja</t>
        </is>
      </c>
      <c r="K571" t="inlineStr">
        <is>
          <t>ja</t>
        </is>
      </c>
      <c r="L571" t="inlineStr">
        <is>
          <t>ja</t>
        </is>
      </c>
      <c r="M571" t="inlineStr">
        <is>
          <t>ja</t>
        </is>
      </c>
      <c r="N571" t="inlineStr">
        <is>
          <t>ja</t>
        </is>
      </c>
      <c r="O571" t="inlineStr">
        <is>
          <t>Vegetarisch</t>
        </is>
      </c>
      <c r="Q571">
        <f>LEN(G571)-LEN(SUBSTITUTE(G571,",",""))+1</f>
        <v/>
      </c>
      <c r="R571">
        <f>SWITCH(I571, "Zelden", 1, "Af en toe", 4, "Regelmatig", 8, "Vaak", 12)</f>
        <v/>
      </c>
      <c r="S571">
        <f>AVERAGE(--(K571="ja"), --(L571="ja"), --(M571="ja"), --(N571="ja"), --(O571="ja"))*10</f>
        <v/>
      </c>
      <c r="T571">
        <f>IF(S571&gt;=7, "Tevreden", "Ontevreden")</f>
        <v/>
      </c>
    </row>
    <row r="572">
      <c r="A572" t="inlineStr">
        <is>
          <t>Manuella</t>
        </is>
      </c>
      <c r="B572" t="inlineStr">
        <is>
          <t>Cools</t>
        </is>
      </c>
      <c r="C572" t="inlineStr">
        <is>
          <t>215.16314-75</t>
        </is>
      </c>
      <c r="D572" t="inlineStr">
        <is>
          <t>08/01/1948</t>
        </is>
      </c>
      <c r="E572" t="inlineStr">
        <is>
          <t>Leieriggestraat 70, 3840 Borgloon</t>
        </is>
      </c>
      <c r="F572" t="inlineStr">
        <is>
          <t>Manuella,Lander</t>
        </is>
      </c>
      <c r="G572" t="n">
        <v>114.32</v>
      </c>
      <c r="H572" t="n">
        <v>14</v>
      </c>
      <c r="I572" t="inlineStr">
        <is>
          <t>Payconiq</t>
        </is>
      </c>
      <c r="J572" t="inlineStr">
        <is>
          <t>ja</t>
        </is>
      </c>
      <c r="K572" t="inlineStr">
        <is>
          <t>ja</t>
        </is>
      </c>
      <c r="L572" t="inlineStr">
        <is>
          <t>ja</t>
        </is>
      </c>
      <c r="M572" t="inlineStr">
        <is>
          <t>nee</t>
        </is>
      </c>
      <c r="N572" t="inlineStr">
        <is>
          <t>ja</t>
        </is>
      </c>
      <c r="O572" t="inlineStr">
        <is>
          <t>Vegetarisch</t>
        </is>
      </c>
      <c r="Q572">
        <f>LEN(G572)-LEN(SUBSTITUTE(G572,",",""))+1</f>
        <v/>
      </c>
      <c r="R572">
        <f>SWITCH(I572, "Zelden", 1, "Af en toe", 4, "Regelmatig", 8, "Vaak", 12)</f>
        <v/>
      </c>
      <c r="S572">
        <f>AVERAGE(--(K572="ja"), --(L572="ja"), --(M572="ja"), --(N572="ja"), --(O572="ja"))*10</f>
        <v/>
      </c>
      <c r="T572">
        <f>IF(S572&gt;=7, "Tevreden", "Ontevreden")</f>
        <v/>
      </c>
    </row>
    <row r="573">
      <c r="A573" t="inlineStr">
        <is>
          <t>Virginie</t>
        </is>
      </c>
      <c r="B573" t="inlineStr">
        <is>
          <t>De laet</t>
        </is>
      </c>
      <c r="C573" t="inlineStr">
        <is>
          <t>440.52825-28</t>
        </is>
      </c>
      <c r="D573" t="inlineStr">
        <is>
          <t>10/09/1957</t>
        </is>
      </c>
      <c r="E573" t="inlineStr">
        <is>
          <t>Muidepoort 6, 3830 Wellen</t>
        </is>
      </c>
      <c r="F573" t="inlineStr">
        <is>
          <t>Virginie,Lindsay,Marc</t>
        </is>
      </c>
      <c r="G573" t="n">
        <v>48.34</v>
      </c>
      <c r="H573" t="n">
        <v>1</v>
      </c>
      <c r="I573" t="inlineStr">
        <is>
          <t>Payconiq</t>
        </is>
      </c>
      <c r="J573" t="inlineStr">
        <is>
          <t>ja</t>
        </is>
      </c>
      <c r="K573" t="inlineStr">
        <is>
          <t>ja</t>
        </is>
      </c>
      <c r="L573" t="inlineStr">
        <is>
          <t>ja</t>
        </is>
      </c>
      <c r="M573" t="inlineStr">
        <is>
          <t>nee</t>
        </is>
      </c>
      <c r="N573" t="inlineStr">
        <is>
          <t>nee</t>
        </is>
      </c>
      <c r="O573" t="inlineStr">
        <is>
          <t>Geen dieet</t>
        </is>
      </c>
      <c r="Q573">
        <f>LEN(G573)-LEN(SUBSTITUTE(G573,",",""))+1</f>
        <v/>
      </c>
      <c r="R573">
        <f>SWITCH(I573, "Zelden", 1, "Af en toe", 4, "Regelmatig", 8, "Vaak", 12)</f>
        <v/>
      </c>
      <c r="S573">
        <f>AVERAGE(--(K573="ja"), --(L573="ja"), --(M573="ja"), --(N573="ja"), --(O573="ja"))*10</f>
        <v/>
      </c>
      <c r="T573">
        <f>IF(S573&gt;=7, "Tevreden", "Ontevreden")</f>
        <v/>
      </c>
    </row>
    <row r="574">
      <c r="A574" t="inlineStr">
        <is>
          <t>Emilie</t>
        </is>
      </c>
      <c r="B574" t="inlineStr">
        <is>
          <t>Piette</t>
        </is>
      </c>
      <c r="C574" t="inlineStr">
        <is>
          <t>454.77955-20</t>
        </is>
      </c>
      <c r="D574" t="inlineStr">
        <is>
          <t>26/02/1948</t>
        </is>
      </c>
      <c r="E574" t="inlineStr">
        <is>
          <t>Mendonkdorp 57, 3600 Genk</t>
        </is>
      </c>
      <c r="F574" t="inlineStr">
        <is>
          <t>Emilie</t>
        </is>
      </c>
      <c r="G574" t="n">
        <v>35.75</v>
      </c>
      <c r="H574" t="n">
        <v>21</v>
      </c>
      <c r="I574" t="inlineStr">
        <is>
          <t>Payconiq</t>
        </is>
      </c>
      <c r="J574" t="inlineStr">
        <is>
          <t>ja</t>
        </is>
      </c>
      <c r="K574" t="inlineStr">
        <is>
          <t>nee</t>
        </is>
      </c>
      <c r="L574" t="inlineStr">
        <is>
          <t>ja</t>
        </is>
      </c>
      <c r="M574" t="inlineStr">
        <is>
          <t>ja</t>
        </is>
      </c>
      <c r="N574" t="inlineStr">
        <is>
          <t>ja</t>
        </is>
      </c>
      <c r="O574" t="inlineStr">
        <is>
          <t>Geen dieet</t>
        </is>
      </c>
      <c r="Q574">
        <f>LEN(G574)-LEN(SUBSTITUTE(G574,",",""))+1</f>
        <v/>
      </c>
      <c r="R574">
        <f>SWITCH(I574, "Zelden", 1, "Af en toe", 4, "Regelmatig", 8, "Vaak", 12)</f>
        <v/>
      </c>
      <c r="S574">
        <f>AVERAGE(--(K574="ja"), --(L574="ja"), --(M574="ja"), --(N574="ja"), --(O574="ja"))*10</f>
        <v/>
      </c>
      <c r="T574">
        <f>IF(S574&gt;=7, "Tevreden", "Ontevreden")</f>
        <v/>
      </c>
    </row>
    <row r="575">
      <c r="A575" t="inlineStr">
        <is>
          <t>Quentin</t>
        </is>
      </c>
      <c r="B575" t="inlineStr">
        <is>
          <t>Lambrechts</t>
        </is>
      </c>
      <c r="C575" t="inlineStr">
        <is>
          <t>934.47643-88</t>
        </is>
      </c>
      <c r="D575" t="inlineStr">
        <is>
          <t>10/06/1998</t>
        </is>
      </c>
      <c r="E575" t="inlineStr">
        <is>
          <t>Brabantdam 41, 3520 Zonhoven</t>
        </is>
      </c>
      <c r="F575" t="inlineStr">
        <is>
          <t>Quentin</t>
        </is>
      </c>
      <c r="G575" t="n">
        <v>58.63</v>
      </c>
      <c r="H575" t="n">
        <v>16</v>
      </c>
      <c r="I575" t="inlineStr">
        <is>
          <t>Payconiq</t>
        </is>
      </c>
      <c r="J575" t="inlineStr">
        <is>
          <t>ja</t>
        </is>
      </c>
      <c r="K575" t="inlineStr">
        <is>
          <t>ja</t>
        </is>
      </c>
      <c r="L575" t="inlineStr">
        <is>
          <t>ja</t>
        </is>
      </c>
      <c r="M575" t="inlineStr">
        <is>
          <t>ja</t>
        </is>
      </c>
      <c r="N575" t="inlineStr">
        <is>
          <t>nee</t>
        </is>
      </c>
      <c r="O575" t="inlineStr">
        <is>
          <t>Geen dieet</t>
        </is>
      </c>
      <c r="Q575">
        <f>LEN(G575)-LEN(SUBSTITUTE(G575,",",""))+1</f>
        <v/>
      </c>
      <c r="R575">
        <f>SWITCH(I575, "Zelden", 1, "Af en toe", 4, "Regelmatig", 8, "Vaak", 12)</f>
        <v/>
      </c>
      <c r="S575">
        <f>AVERAGE(--(K575="ja"), --(L575="ja"), --(M575="ja"), --(N575="ja"), --(O575="ja"))*10</f>
        <v/>
      </c>
      <c r="T575">
        <f>IF(S575&gt;=7, "Tevreden", "Ontevreden")</f>
        <v/>
      </c>
    </row>
    <row r="576">
      <c r="A576" t="inlineStr">
        <is>
          <t>Mathéo</t>
        </is>
      </c>
      <c r="B576" t="inlineStr">
        <is>
          <t>Mathieu</t>
        </is>
      </c>
      <c r="C576" t="inlineStr">
        <is>
          <t>421.16103-26</t>
        </is>
      </c>
      <c r="D576" t="inlineStr">
        <is>
          <t>16/12/1954</t>
        </is>
      </c>
      <c r="E576" t="inlineStr">
        <is>
          <t>Sint-pietersnieuwstraat 11, 3800 Sint-Truiden</t>
        </is>
      </c>
      <c r="F576" t="inlineStr">
        <is>
          <t>Mathéo,Roger,Tiffanie,Olivier</t>
        </is>
      </c>
      <c r="G576" t="n">
        <v>159.78</v>
      </c>
      <c r="H576" t="n">
        <v>16</v>
      </c>
      <c r="I576" t="inlineStr">
        <is>
          <t>Cash</t>
        </is>
      </c>
      <c r="J576" t="inlineStr">
        <is>
          <t>ja</t>
        </is>
      </c>
      <c r="K576" t="inlineStr">
        <is>
          <t>nee</t>
        </is>
      </c>
      <c r="L576" t="inlineStr">
        <is>
          <t>ja</t>
        </is>
      </c>
      <c r="M576" t="inlineStr">
        <is>
          <t>ja</t>
        </is>
      </c>
      <c r="N576" t="inlineStr">
        <is>
          <t>ja</t>
        </is>
      </c>
      <c r="O576" t="inlineStr">
        <is>
          <t>Geen dieet</t>
        </is>
      </c>
      <c r="Q576">
        <f>LEN(G576)-LEN(SUBSTITUTE(G576,",",""))+1</f>
        <v/>
      </c>
      <c r="R576">
        <f>SWITCH(I576, "Zelden", 1, "Af en toe", 4, "Regelmatig", 8, "Vaak", 12)</f>
        <v/>
      </c>
      <c r="S576">
        <f>AVERAGE(--(K576="ja"), --(L576="ja"), --(M576="ja"), --(N576="ja"), --(O576="ja"))*10</f>
        <v/>
      </c>
      <c r="T576">
        <f>IF(S576&gt;=7, "Tevreden", "Ontevreden")</f>
        <v/>
      </c>
    </row>
    <row r="577">
      <c r="A577" t="inlineStr">
        <is>
          <t>Kristof</t>
        </is>
      </c>
      <c r="B577" t="inlineStr">
        <is>
          <t>Engels</t>
        </is>
      </c>
      <c r="C577" t="inlineStr">
        <is>
          <t>260.56399-63</t>
        </is>
      </c>
      <c r="D577" t="inlineStr">
        <is>
          <t>11/02/2003</t>
        </is>
      </c>
      <c r="E577" t="inlineStr">
        <is>
          <t>Bijlokevest 36, 3720 Kortessem</t>
        </is>
      </c>
      <c r="F577" t="inlineStr">
        <is>
          <t>Kristof,Anaïs,Sultan,Andy</t>
        </is>
      </c>
      <c r="G577" t="n">
        <v>98.34</v>
      </c>
      <c r="H577" t="n">
        <v>3</v>
      </c>
      <c r="I577" t="inlineStr">
        <is>
          <t>Bancontact</t>
        </is>
      </c>
      <c r="J577" t="inlineStr">
        <is>
          <t>nee</t>
        </is>
      </c>
      <c r="K577" t="inlineStr">
        <is>
          <t>ja</t>
        </is>
      </c>
      <c r="L577" t="inlineStr">
        <is>
          <t>ja</t>
        </is>
      </c>
      <c r="M577" t="inlineStr">
        <is>
          <t>ja</t>
        </is>
      </c>
      <c r="N577" t="inlineStr">
        <is>
          <t>nee</t>
        </is>
      </c>
      <c r="O577" t="inlineStr">
        <is>
          <t>Geen dieet</t>
        </is>
      </c>
      <c r="Q577">
        <f>LEN(G577)-LEN(SUBSTITUTE(G577,",",""))+1</f>
        <v/>
      </c>
      <c r="R577">
        <f>SWITCH(I577, "Zelden", 1, "Af en toe", 4, "Regelmatig", 8, "Vaak", 12)</f>
        <v/>
      </c>
      <c r="S577">
        <f>AVERAGE(--(K577="ja"), --(L577="ja"), --(M577="ja"), --(N577="ja"), --(O577="ja"))*10</f>
        <v/>
      </c>
      <c r="T577">
        <f>IF(S577&gt;=7, "Tevreden", "Ontevreden")</f>
        <v/>
      </c>
    </row>
    <row r="578">
      <c r="A578" t="inlineStr">
        <is>
          <t>Hans</t>
        </is>
      </c>
      <c r="B578" t="inlineStr">
        <is>
          <t>De smet</t>
        </is>
      </c>
      <c r="C578" t="inlineStr">
        <is>
          <t>883.74709-35</t>
        </is>
      </c>
      <c r="D578" t="inlineStr">
        <is>
          <t>31/12/1994</t>
        </is>
      </c>
      <c r="E578" t="inlineStr">
        <is>
          <t>J.b. De Ghellincklaan 18, 3620 Lanaken</t>
        </is>
      </c>
      <c r="F578" t="inlineStr">
        <is>
          <t>Hans,Jeanine,Ronny</t>
        </is>
      </c>
      <c r="G578" t="n">
        <v>95.73999999999999</v>
      </c>
      <c r="H578" t="n">
        <v>2</v>
      </c>
      <c r="I578" t="inlineStr">
        <is>
          <t>Payconiq</t>
        </is>
      </c>
      <c r="J578" t="inlineStr">
        <is>
          <t>ja</t>
        </is>
      </c>
      <c r="K578" t="inlineStr">
        <is>
          <t>ja</t>
        </is>
      </c>
      <c r="L578" t="inlineStr">
        <is>
          <t>ja</t>
        </is>
      </c>
      <c r="M578" t="inlineStr">
        <is>
          <t>ja</t>
        </is>
      </c>
      <c r="N578" t="inlineStr">
        <is>
          <t>ja</t>
        </is>
      </c>
      <c r="O578" t="inlineStr">
        <is>
          <t>Geen dieet</t>
        </is>
      </c>
      <c r="Q578">
        <f>LEN(G578)-LEN(SUBSTITUTE(G578,",",""))+1</f>
        <v/>
      </c>
      <c r="R578">
        <f>SWITCH(I578, "Zelden", 1, "Af en toe", 4, "Regelmatig", 8, "Vaak", 12)</f>
        <v/>
      </c>
      <c r="S578">
        <f>AVERAGE(--(K578="ja"), --(L578="ja"), --(M578="ja"), --(N578="ja"), --(O578="ja"))*10</f>
        <v/>
      </c>
      <c r="T578">
        <f>IF(S578&gt;=7, "Tevreden", "Ontevreden")</f>
        <v/>
      </c>
    </row>
    <row r="579">
      <c r="A579" t="inlineStr">
        <is>
          <t>Martine</t>
        </is>
      </c>
      <c r="B579" t="inlineStr">
        <is>
          <t>Jacobs</t>
        </is>
      </c>
      <c r="C579" t="inlineStr">
        <is>
          <t>823.42184-67</t>
        </is>
      </c>
      <c r="D579" t="inlineStr">
        <is>
          <t>31/08/1964</t>
        </is>
      </c>
      <c r="E579" t="inlineStr">
        <is>
          <t>Rodekoningstraat 5, 3890 Gingelom</t>
        </is>
      </c>
      <c r="F579" t="inlineStr">
        <is>
          <t>Martine,Cynthia</t>
        </is>
      </c>
      <c r="G579" t="n">
        <v>51.92</v>
      </c>
      <c r="H579" t="n">
        <v>1</v>
      </c>
      <c r="I579" t="inlineStr">
        <is>
          <t>Bancontact</t>
        </is>
      </c>
      <c r="J579" t="inlineStr">
        <is>
          <t>ja</t>
        </is>
      </c>
      <c r="K579" t="inlineStr">
        <is>
          <t>nee</t>
        </is>
      </c>
      <c r="L579" t="inlineStr">
        <is>
          <t>ja</t>
        </is>
      </c>
      <c r="M579" t="inlineStr">
        <is>
          <t>nee</t>
        </is>
      </c>
      <c r="N579" t="inlineStr">
        <is>
          <t>ja</t>
        </is>
      </c>
      <c r="O579" t="inlineStr">
        <is>
          <t>Geen dieet</t>
        </is>
      </c>
      <c r="Q579">
        <f>LEN(G579)-LEN(SUBSTITUTE(G579,",",""))+1</f>
        <v/>
      </c>
      <c r="R579">
        <f>SWITCH(I579, "Zelden", 1, "Af en toe", 4, "Regelmatig", 8, "Vaak", 12)</f>
        <v/>
      </c>
      <c r="S579">
        <f>AVERAGE(--(K579="ja"), --(L579="ja"), --(M579="ja"), --(N579="ja"), --(O579="ja"))*10</f>
        <v/>
      </c>
      <c r="T579">
        <f>IF(S579&gt;=7, "Tevreden", "Ontevreden")</f>
        <v/>
      </c>
    </row>
    <row r="580">
      <c r="A580" t="inlineStr">
        <is>
          <t>Catherine</t>
        </is>
      </c>
      <c r="B580" t="inlineStr">
        <is>
          <t>Janssens</t>
        </is>
      </c>
      <c r="C580" t="inlineStr">
        <is>
          <t>256.30114-52</t>
        </is>
      </c>
      <c r="D580" t="inlineStr">
        <is>
          <t>07/09/1974</t>
        </is>
      </c>
      <c r="E580" t="inlineStr">
        <is>
          <t>Emiel Lossystraat 44, 3600 Genk</t>
        </is>
      </c>
      <c r="F580" t="inlineStr">
        <is>
          <t>Catherine,Roxane,Rafal,Anita</t>
        </is>
      </c>
      <c r="G580" t="n">
        <v>242.61</v>
      </c>
      <c r="H580" t="n">
        <v>6</v>
      </c>
      <c r="I580" t="inlineStr">
        <is>
          <t>Payconiq</t>
        </is>
      </c>
      <c r="J580" t="inlineStr">
        <is>
          <t>nee</t>
        </is>
      </c>
      <c r="K580" t="inlineStr">
        <is>
          <t>nee</t>
        </is>
      </c>
      <c r="L580" t="inlineStr">
        <is>
          <t>ja</t>
        </is>
      </c>
      <c r="M580" t="inlineStr">
        <is>
          <t>nee</t>
        </is>
      </c>
      <c r="N580" t="inlineStr">
        <is>
          <t>ja</t>
        </is>
      </c>
      <c r="O580" t="inlineStr">
        <is>
          <t>Veganistisch</t>
        </is>
      </c>
      <c r="Q580">
        <f>LEN(G580)-LEN(SUBSTITUTE(G580,",",""))+1</f>
        <v/>
      </c>
      <c r="R580">
        <f>SWITCH(I580, "Zelden", 1, "Af en toe", 4, "Regelmatig", 8, "Vaak", 12)</f>
        <v/>
      </c>
      <c r="S580">
        <f>AVERAGE(--(K580="ja"), --(L580="ja"), --(M580="ja"), --(N580="ja"), --(O580="ja"))*10</f>
        <v/>
      </c>
      <c r="T580">
        <f>IF(S580&gt;=7, "Tevreden", "Ontevreden")</f>
        <v/>
      </c>
    </row>
    <row r="581">
      <c r="A581" t="inlineStr">
        <is>
          <t>Sofie</t>
        </is>
      </c>
      <c r="B581" t="inlineStr">
        <is>
          <t>De clercq</t>
        </is>
      </c>
      <c r="C581" t="inlineStr">
        <is>
          <t>933.24410-66</t>
        </is>
      </c>
      <c r="D581" t="inlineStr">
        <is>
          <t>20/01/1982</t>
        </is>
      </c>
      <c r="E581" t="inlineStr">
        <is>
          <t>Rijsenbergstraat 37, 3831 Herten</t>
        </is>
      </c>
      <c r="F581" t="inlineStr">
        <is>
          <t>Sofie,Jean-Baptiste,Johan,Maël,Jordy</t>
        </is>
      </c>
      <c r="G581" t="n">
        <v>117.58</v>
      </c>
      <c r="H581" t="n">
        <v>6</v>
      </c>
      <c r="I581" t="inlineStr">
        <is>
          <t>Bancontact</t>
        </is>
      </c>
      <c r="J581" t="inlineStr">
        <is>
          <t>ja</t>
        </is>
      </c>
      <c r="K581" t="inlineStr">
        <is>
          <t>ja</t>
        </is>
      </c>
      <c r="L581" t="inlineStr">
        <is>
          <t>ja</t>
        </is>
      </c>
      <c r="M581" t="inlineStr">
        <is>
          <t>ja</t>
        </is>
      </c>
      <c r="N581" t="inlineStr">
        <is>
          <t>ja</t>
        </is>
      </c>
      <c r="O581" t="inlineStr">
        <is>
          <t>Geen dieet</t>
        </is>
      </c>
      <c r="Q581">
        <f>LEN(G581)-LEN(SUBSTITUTE(G581,",",""))+1</f>
        <v/>
      </c>
      <c r="R581">
        <f>SWITCH(I581, "Zelden", 1, "Af en toe", 4, "Regelmatig", 8, "Vaak", 12)</f>
        <v/>
      </c>
      <c r="S581">
        <f>AVERAGE(--(K581="ja"), --(L581="ja"), --(M581="ja"), --(N581="ja"), --(O581="ja"))*10</f>
        <v/>
      </c>
      <c r="T581">
        <f>IF(S581&gt;=7, "Tevreden", "Ontevreden")</f>
        <v/>
      </c>
    </row>
    <row r="582">
      <c r="A582" t="inlineStr">
        <is>
          <t>Laurence</t>
        </is>
      </c>
      <c r="B582" t="inlineStr">
        <is>
          <t>Leysen</t>
        </is>
      </c>
      <c r="C582" t="inlineStr">
        <is>
          <t>951.87322-31</t>
        </is>
      </c>
      <c r="D582" t="inlineStr">
        <is>
          <t>28/06/1991</t>
        </is>
      </c>
      <c r="E582" t="inlineStr">
        <is>
          <t>Afsneestraat 17, 3930 Hamont-Achel</t>
        </is>
      </c>
      <c r="F582" t="inlineStr">
        <is>
          <t>Laurence,Jochen,Marleen,Angela,Bernadette</t>
        </is>
      </c>
      <c r="G582" t="n">
        <v>94.64</v>
      </c>
      <c r="H582" t="n">
        <v>1</v>
      </c>
      <c r="I582" t="inlineStr">
        <is>
          <t>Bancontact</t>
        </is>
      </c>
      <c r="J582" t="inlineStr">
        <is>
          <t>ja</t>
        </is>
      </c>
      <c r="K582" t="inlineStr">
        <is>
          <t>nee</t>
        </is>
      </c>
      <c r="L582" t="inlineStr">
        <is>
          <t>ja</t>
        </is>
      </c>
      <c r="M582" t="inlineStr">
        <is>
          <t>ja</t>
        </is>
      </c>
      <c r="N582" t="inlineStr">
        <is>
          <t>ja</t>
        </is>
      </c>
      <c r="O582" t="inlineStr">
        <is>
          <t>Geen dieet</t>
        </is>
      </c>
      <c r="Q582">
        <f>LEN(G582)-LEN(SUBSTITUTE(G582,",",""))+1</f>
        <v/>
      </c>
      <c r="R582">
        <f>SWITCH(I582, "Zelden", 1, "Af en toe", 4, "Regelmatig", 8, "Vaak", 12)</f>
        <v/>
      </c>
      <c r="S582">
        <f>AVERAGE(--(K582="ja"), --(L582="ja"), --(M582="ja"), --(N582="ja"), --(O582="ja"))*10</f>
        <v/>
      </c>
      <c r="T582">
        <f>IF(S582&gt;=7, "Tevreden", "Ontevreden")</f>
        <v/>
      </c>
    </row>
    <row r="583">
      <c r="A583" t="inlineStr">
        <is>
          <t>Robert</t>
        </is>
      </c>
      <c r="B583" t="inlineStr">
        <is>
          <t>Hendrickx</t>
        </is>
      </c>
      <c r="C583" t="inlineStr">
        <is>
          <t>703.94399-81</t>
        </is>
      </c>
      <c r="D583" t="inlineStr">
        <is>
          <t>17/08/1982</t>
        </is>
      </c>
      <c r="E583" t="inlineStr">
        <is>
          <t>Pilorijnstraat 12, 3500 Hasselt</t>
        </is>
      </c>
      <c r="F583" t="inlineStr">
        <is>
          <t>Robert,Wendy,Mathieu,Yasmine,Jente</t>
        </is>
      </c>
      <c r="G583" t="n">
        <v>168.26</v>
      </c>
      <c r="H583" t="n">
        <v>9</v>
      </c>
      <c r="I583" t="inlineStr">
        <is>
          <t>Payconiq</t>
        </is>
      </c>
      <c r="J583" t="inlineStr">
        <is>
          <t>ja</t>
        </is>
      </c>
      <c r="K583" t="inlineStr">
        <is>
          <t>ja</t>
        </is>
      </c>
      <c r="L583" t="inlineStr">
        <is>
          <t>nee</t>
        </is>
      </c>
      <c r="M583" t="inlineStr">
        <is>
          <t>ja</t>
        </is>
      </c>
      <c r="N583" t="inlineStr">
        <is>
          <t>ja</t>
        </is>
      </c>
      <c r="O583" t="inlineStr">
        <is>
          <t>Vegetarisch</t>
        </is>
      </c>
      <c r="Q583">
        <f>LEN(G583)-LEN(SUBSTITUTE(G583,",",""))+1</f>
        <v/>
      </c>
      <c r="R583">
        <f>SWITCH(I583, "Zelden", 1, "Af en toe", 4, "Regelmatig", 8, "Vaak", 12)</f>
        <v/>
      </c>
      <c r="S583">
        <f>AVERAGE(--(K583="ja"), --(L583="ja"), --(M583="ja"), --(N583="ja"), --(O583="ja"))*10</f>
        <v/>
      </c>
      <c r="T583">
        <f>IF(S583&gt;=7, "Tevreden", "Ontevreden")</f>
        <v/>
      </c>
    </row>
    <row r="584">
      <c r="A584" t="inlineStr">
        <is>
          <t>Léni</t>
        </is>
      </c>
      <c r="B584" t="inlineStr">
        <is>
          <t>Verhelst</t>
        </is>
      </c>
      <c r="C584" t="inlineStr">
        <is>
          <t>149.74857-29</t>
        </is>
      </c>
      <c r="D584" t="inlineStr">
        <is>
          <t>28/04/1967</t>
        </is>
      </c>
      <c r="E584" t="inlineStr">
        <is>
          <t>Francois Laurentplein 60, 3740 Bilzen</t>
        </is>
      </c>
      <c r="F584" t="inlineStr">
        <is>
          <t>Léni,Jana,Patricia</t>
        </is>
      </c>
      <c r="G584" t="n">
        <v>58.9</v>
      </c>
      <c r="H584" t="n">
        <v>15</v>
      </c>
      <c r="I584" t="inlineStr">
        <is>
          <t>Payconiq</t>
        </is>
      </c>
      <c r="J584" t="inlineStr">
        <is>
          <t>ja</t>
        </is>
      </c>
      <c r="K584" t="inlineStr">
        <is>
          <t>ja</t>
        </is>
      </c>
      <c r="L584" t="inlineStr">
        <is>
          <t>nee</t>
        </is>
      </c>
      <c r="M584" t="inlineStr">
        <is>
          <t>ja</t>
        </is>
      </c>
      <c r="N584" t="inlineStr">
        <is>
          <t>ja</t>
        </is>
      </c>
      <c r="O584" t="inlineStr">
        <is>
          <t>Geen dieet</t>
        </is>
      </c>
      <c r="Q584">
        <f>LEN(G584)-LEN(SUBSTITUTE(G584,",",""))+1</f>
        <v/>
      </c>
      <c r="R584">
        <f>SWITCH(I584, "Zelden", 1, "Af en toe", 4, "Regelmatig", 8, "Vaak", 12)</f>
        <v/>
      </c>
      <c r="S584">
        <f>AVERAGE(--(K584="ja"), --(L584="ja"), --(M584="ja"), --(N584="ja"), --(O584="ja"))*10</f>
        <v/>
      </c>
      <c r="T584">
        <f>IF(S584&gt;=7, "Tevreden", "Ontevreden")</f>
        <v/>
      </c>
    </row>
    <row r="585">
      <c r="A585" t="inlineStr">
        <is>
          <t>Leonor</t>
        </is>
      </c>
      <c r="B585" t="inlineStr">
        <is>
          <t>Janssens</t>
        </is>
      </c>
      <c r="C585" t="inlineStr">
        <is>
          <t>569.84468-17</t>
        </is>
      </c>
      <c r="D585" t="inlineStr">
        <is>
          <t>22/06/1959</t>
        </is>
      </c>
      <c r="E585" t="inlineStr">
        <is>
          <t>Lange Kruisstraat 7, 3740 Bilzen</t>
        </is>
      </c>
      <c r="F585" t="inlineStr">
        <is>
          <t>Leonor,Manon,Karin,Marco,Nohaila,Valérie</t>
        </is>
      </c>
      <c r="G585" t="n">
        <v>203.2</v>
      </c>
      <c r="H585" t="n">
        <v>14</v>
      </c>
      <c r="I585" t="inlineStr">
        <is>
          <t>Payconiq</t>
        </is>
      </c>
      <c r="J585" t="inlineStr">
        <is>
          <t>ja</t>
        </is>
      </c>
      <c r="K585" t="inlineStr">
        <is>
          <t>nee</t>
        </is>
      </c>
      <c r="L585" t="inlineStr">
        <is>
          <t>ja</t>
        </is>
      </c>
      <c r="M585" t="inlineStr">
        <is>
          <t>ja</t>
        </is>
      </c>
      <c r="N585" t="inlineStr">
        <is>
          <t>ja</t>
        </is>
      </c>
      <c r="O585" t="inlineStr">
        <is>
          <t>Geen dieet</t>
        </is>
      </c>
      <c r="Q585">
        <f>LEN(G585)-LEN(SUBSTITUTE(G585,",",""))+1</f>
        <v/>
      </c>
      <c r="R585">
        <f>SWITCH(I585, "Zelden", 1, "Af en toe", 4, "Regelmatig", 8, "Vaak", 12)</f>
        <v/>
      </c>
      <c r="S585">
        <f>AVERAGE(--(K585="ja"), --(L585="ja"), --(M585="ja"), --(N585="ja"), --(O585="ja"))*10</f>
        <v/>
      </c>
      <c r="T585">
        <f>IF(S585&gt;=7, "Tevreden", "Ontevreden")</f>
        <v/>
      </c>
    </row>
    <row r="586">
      <c r="A586" t="inlineStr">
        <is>
          <t>Aura</t>
        </is>
      </c>
      <c r="B586" t="inlineStr">
        <is>
          <t>Somers</t>
        </is>
      </c>
      <c r="C586" t="inlineStr">
        <is>
          <t>149.43307-79</t>
        </is>
      </c>
      <c r="D586" t="inlineStr">
        <is>
          <t>11/05/1963</t>
        </is>
      </c>
      <c r="E586" t="inlineStr">
        <is>
          <t>Ridderstraat 32, 3630 Maasmechelen</t>
        </is>
      </c>
      <c r="F586" t="inlineStr">
        <is>
          <t>Aura,Virginie,Mohamed</t>
        </is>
      </c>
      <c r="G586" t="n">
        <v>120.46</v>
      </c>
      <c r="H586" t="n">
        <v>17</v>
      </c>
      <c r="I586" t="inlineStr">
        <is>
          <t>Bancontact</t>
        </is>
      </c>
      <c r="J586" t="inlineStr">
        <is>
          <t>ja</t>
        </is>
      </c>
      <c r="K586" t="inlineStr">
        <is>
          <t>ja</t>
        </is>
      </c>
      <c r="L586" t="inlineStr">
        <is>
          <t>nee</t>
        </is>
      </c>
      <c r="M586" t="inlineStr">
        <is>
          <t>ja</t>
        </is>
      </c>
      <c r="N586" t="inlineStr">
        <is>
          <t>ja</t>
        </is>
      </c>
      <c r="O586" t="inlineStr">
        <is>
          <t>Geen dieet</t>
        </is>
      </c>
      <c r="Q586">
        <f>LEN(G586)-LEN(SUBSTITUTE(G586,",",""))+1</f>
        <v/>
      </c>
      <c r="R586">
        <f>SWITCH(I586, "Zelden", 1, "Af en toe", 4, "Regelmatig", 8, "Vaak", 12)</f>
        <v/>
      </c>
      <c r="S586">
        <f>AVERAGE(--(K586="ja"), --(L586="ja"), --(M586="ja"), --(N586="ja"), --(O586="ja"))*10</f>
        <v/>
      </c>
      <c r="T586">
        <f>IF(S586&gt;=7, "Tevreden", "Ontevreden")</f>
        <v/>
      </c>
    </row>
    <row r="587">
      <c r="A587" t="inlineStr">
        <is>
          <t>Jesse</t>
        </is>
      </c>
      <c r="B587" t="inlineStr">
        <is>
          <t>De wolf</t>
        </is>
      </c>
      <c r="C587" t="inlineStr">
        <is>
          <t>11.40359-97</t>
        </is>
      </c>
      <c r="D587" t="inlineStr">
        <is>
          <t>25/09/2003</t>
        </is>
      </c>
      <c r="E587" t="inlineStr">
        <is>
          <t>Sint-jan-baptiststraat 15, 3740 Bilzen</t>
        </is>
      </c>
      <c r="F587" t="inlineStr">
        <is>
          <t>Jesse,Daniel</t>
        </is>
      </c>
      <c r="G587" t="n">
        <v>58.83</v>
      </c>
      <c r="H587" t="n">
        <v>1</v>
      </c>
      <c r="I587" t="inlineStr">
        <is>
          <t>Bancontact</t>
        </is>
      </c>
      <c r="J587" t="inlineStr">
        <is>
          <t>nee</t>
        </is>
      </c>
      <c r="K587" t="inlineStr">
        <is>
          <t>ja</t>
        </is>
      </c>
      <c r="L587" t="inlineStr">
        <is>
          <t>ja</t>
        </is>
      </c>
      <c r="M587" t="inlineStr">
        <is>
          <t>nee</t>
        </is>
      </c>
      <c r="N587" t="inlineStr">
        <is>
          <t>ja</t>
        </is>
      </c>
      <c r="O587" t="inlineStr">
        <is>
          <t>Geen dieet</t>
        </is>
      </c>
      <c r="Q587">
        <f>LEN(G587)-LEN(SUBSTITUTE(G587,",",""))+1</f>
        <v/>
      </c>
      <c r="R587">
        <f>SWITCH(I587, "Zelden", 1, "Af en toe", 4, "Regelmatig", 8, "Vaak", 12)</f>
        <v/>
      </c>
      <c r="S587">
        <f>AVERAGE(--(K587="ja"), --(L587="ja"), --(M587="ja"), --(N587="ja"), --(O587="ja"))*10</f>
        <v/>
      </c>
      <c r="T587">
        <f>IF(S587&gt;=7, "Tevreden", "Ontevreden")</f>
        <v/>
      </c>
    </row>
    <row r="588">
      <c r="A588" t="inlineStr">
        <is>
          <t>Viviane</t>
        </is>
      </c>
      <c r="B588" t="inlineStr">
        <is>
          <t>Verelst</t>
        </is>
      </c>
      <c r="C588" t="inlineStr">
        <is>
          <t>504.96340-52</t>
        </is>
      </c>
      <c r="D588" t="inlineStr">
        <is>
          <t>11/07/1991</t>
        </is>
      </c>
      <c r="E588" t="inlineStr">
        <is>
          <t>Romain Clausstraat 34, 3640 Kinrooi</t>
        </is>
      </c>
      <c r="F588" t="inlineStr">
        <is>
          <t>Viviane</t>
        </is>
      </c>
      <c r="G588" t="n">
        <v>74.43000000000001</v>
      </c>
      <c r="H588" t="n">
        <v>6</v>
      </c>
      <c r="I588" t="inlineStr">
        <is>
          <t>Payconiq</t>
        </is>
      </c>
      <c r="J588" t="inlineStr">
        <is>
          <t>ja</t>
        </is>
      </c>
      <c r="K588" t="inlineStr">
        <is>
          <t>ja</t>
        </is>
      </c>
      <c r="L588" t="inlineStr">
        <is>
          <t>ja</t>
        </is>
      </c>
      <c r="M588" t="inlineStr">
        <is>
          <t>ja</t>
        </is>
      </c>
      <c r="N588" t="inlineStr">
        <is>
          <t>nee</t>
        </is>
      </c>
      <c r="O588" t="inlineStr">
        <is>
          <t>Vegetarisch</t>
        </is>
      </c>
      <c r="Q588">
        <f>LEN(G588)-LEN(SUBSTITUTE(G588,",",""))+1</f>
        <v/>
      </c>
      <c r="R588">
        <f>SWITCH(I588, "Zelden", 1, "Af en toe", 4, "Regelmatig", 8, "Vaak", 12)</f>
        <v/>
      </c>
      <c r="S588">
        <f>AVERAGE(--(K588="ja"), --(L588="ja"), --(M588="ja"), --(N588="ja"), --(O588="ja"))*10</f>
        <v/>
      </c>
      <c r="T588">
        <f>IF(S588&gt;=7, "Tevreden", "Ontevreden")</f>
        <v/>
      </c>
    </row>
    <row r="589">
      <c r="A589" t="inlineStr">
        <is>
          <t>Dragos</t>
        </is>
      </c>
      <c r="B589" t="inlineStr">
        <is>
          <t>Van den broeck</t>
        </is>
      </c>
      <c r="C589" t="inlineStr">
        <is>
          <t>530.44234-13</t>
        </is>
      </c>
      <c r="D589" t="inlineStr">
        <is>
          <t>01/02/1964</t>
        </is>
      </c>
      <c r="E589" t="inlineStr">
        <is>
          <t>Gentbruggeplein 19, 3890 Vorden</t>
        </is>
      </c>
      <c r="F589" t="inlineStr">
        <is>
          <t>Dragos,Elisa,Ramzi</t>
        </is>
      </c>
      <c r="G589" t="n">
        <v>153.11</v>
      </c>
      <c r="H589" t="n">
        <v>13</v>
      </c>
      <c r="I589" t="inlineStr">
        <is>
          <t>Payconiq</t>
        </is>
      </c>
      <c r="J589" t="inlineStr">
        <is>
          <t>nee</t>
        </is>
      </c>
      <c r="K589" t="inlineStr">
        <is>
          <t>nee</t>
        </is>
      </c>
      <c r="L589" t="inlineStr">
        <is>
          <t>nee</t>
        </is>
      </c>
      <c r="M589" t="inlineStr">
        <is>
          <t>nee</t>
        </is>
      </c>
      <c r="N589" t="inlineStr">
        <is>
          <t>ja</t>
        </is>
      </c>
      <c r="O589" t="inlineStr">
        <is>
          <t>Geen dieet</t>
        </is>
      </c>
      <c r="Q589">
        <f>LEN(G589)-LEN(SUBSTITUTE(G589,",",""))+1</f>
        <v/>
      </c>
      <c r="R589">
        <f>SWITCH(I589, "Zelden", 1, "Af en toe", 4, "Regelmatig", 8, "Vaak", 12)</f>
        <v/>
      </c>
      <c r="S589">
        <f>AVERAGE(--(K589="ja"), --(L589="ja"), --(M589="ja"), --(N589="ja"), --(O589="ja"))*10</f>
        <v/>
      </c>
      <c r="T589">
        <f>IF(S589&gt;=7, "Tevreden", "Ontevreden")</f>
        <v/>
      </c>
    </row>
    <row r="590">
      <c r="A590" t="inlineStr">
        <is>
          <t>Nourhan</t>
        </is>
      </c>
      <c r="B590" t="inlineStr">
        <is>
          <t>Lemaire</t>
        </is>
      </c>
      <c r="C590" t="inlineStr">
        <is>
          <t>289.68878-24</t>
        </is>
      </c>
      <c r="D590" t="inlineStr">
        <is>
          <t>05/06/1992</t>
        </is>
      </c>
      <c r="E590" t="inlineStr">
        <is>
          <t>Putkapelstraat 73, 3700 Tongeren</t>
        </is>
      </c>
      <c r="F590" t="inlineStr">
        <is>
          <t>Nourhan</t>
        </is>
      </c>
      <c r="G590" t="n">
        <v>80.81</v>
      </c>
      <c r="H590" t="n">
        <v>3</v>
      </c>
      <c r="I590" t="inlineStr">
        <is>
          <t>Bancontact</t>
        </is>
      </c>
      <c r="J590" t="inlineStr">
        <is>
          <t>nee</t>
        </is>
      </c>
      <c r="K590" t="inlineStr">
        <is>
          <t>nee</t>
        </is>
      </c>
      <c r="L590" t="inlineStr">
        <is>
          <t>ja</t>
        </is>
      </c>
      <c r="M590" t="inlineStr">
        <is>
          <t>ja</t>
        </is>
      </c>
      <c r="N590" t="inlineStr">
        <is>
          <t>ja</t>
        </is>
      </c>
      <c r="O590" t="inlineStr">
        <is>
          <t>Geen dieet</t>
        </is>
      </c>
      <c r="Q590">
        <f>LEN(G590)-LEN(SUBSTITUTE(G590,",",""))+1</f>
        <v/>
      </c>
      <c r="R590">
        <f>SWITCH(I590, "Zelden", 1, "Af en toe", 4, "Regelmatig", 8, "Vaak", 12)</f>
        <v/>
      </c>
      <c r="S590">
        <f>AVERAGE(--(K590="ja"), --(L590="ja"), --(M590="ja"), --(N590="ja"), --(O590="ja"))*10</f>
        <v/>
      </c>
      <c r="T590">
        <f>IF(S590&gt;=7, "Tevreden", "Ontevreden")</f>
        <v/>
      </c>
    </row>
    <row r="591">
      <c r="A591" t="inlineStr">
        <is>
          <t>Rudy</t>
        </is>
      </c>
      <c r="B591" t="inlineStr">
        <is>
          <t>Collin</t>
        </is>
      </c>
      <c r="C591" t="inlineStr">
        <is>
          <t>264.32070-53</t>
        </is>
      </c>
      <c r="D591" t="inlineStr">
        <is>
          <t>20/07/2000</t>
        </is>
      </c>
      <c r="E591" t="inlineStr">
        <is>
          <t>Grotesteenweg Zuid 29, 3530 Houthalen-Helchteren</t>
        </is>
      </c>
      <c r="F591" t="inlineStr">
        <is>
          <t>Rudy,Ben</t>
        </is>
      </c>
      <c r="G591" t="n">
        <v>26.55</v>
      </c>
      <c r="H591" t="n">
        <v>19</v>
      </c>
      <c r="I591" t="inlineStr">
        <is>
          <t>Creditcard</t>
        </is>
      </c>
      <c r="J591" t="inlineStr">
        <is>
          <t>ja</t>
        </is>
      </c>
      <c r="K591" t="inlineStr">
        <is>
          <t>ja</t>
        </is>
      </c>
      <c r="L591" t="inlineStr">
        <is>
          <t>ja</t>
        </is>
      </c>
      <c r="M591" t="inlineStr">
        <is>
          <t>ja</t>
        </is>
      </c>
      <c r="N591" t="inlineStr">
        <is>
          <t>ja</t>
        </is>
      </c>
      <c r="O591" t="inlineStr">
        <is>
          <t>Vegetarisch</t>
        </is>
      </c>
      <c r="Q591">
        <f>LEN(G591)-LEN(SUBSTITUTE(G591,",",""))+1</f>
        <v/>
      </c>
      <c r="R591">
        <f>SWITCH(I591, "Zelden", 1, "Af en toe", 4, "Regelmatig", 8, "Vaak", 12)</f>
        <v/>
      </c>
      <c r="S591">
        <f>AVERAGE(--(K591="ja"), --(L591="ja"), --(M591="ja"), --(N591="ja"), --(O591="ja"))*10</f>
        <v/>
      </c>
      <c r="T591">
        <f>IF(S591&gt;=7, "Tevreden", "Ontevreden")</f>
        <v/>
      </c>
    </row>
    <row r="592">
      <c r="A592" t="inlineStr">
        <is>
          <t>Axel</t>
        </is>
      </c>
      <c r="B592" t="inlineStr">
        <is>
          <t>Mathieu</t>
        </is>
      </c>
      <c r="C592" t="inlineStr">
        <is>
          <t>610.62452-94</t>
        </is>
      </c>
      <c r="D592" t="inlineStr">
        <is>
          <t>27/01/1958</t>
        </is>
      </c>
      <c r="E592" t="inlineStr">
        <is>
          <t>Begijnhoflaan 7, 3831 Herten</t>
        </is>
      </c>
      <c r="F592" t="inlineStr">
        <is>
          <t>Axel,Stefaan,Nadine,Michiel</t>
        </is>
      </c>
      <c r="G592" t="n">
        <v>174.21</v>
      </c>
      <c r="H592" t="n">
        <v>6</v>
      </c>
      <c r="I592" t="inlineStr">
        <is>
          <t>Bancontact</t>
        </is>
      </c>
      <c r="J592" t="inlineStr">
        <is>
          <t>ja</t>
        </is>
      </c>
      <c r="K592" t="inlineStr">
        <is>
          <t>ja</t>
        </is>
      </c>
      <c r="L592" t="inlineStr">
        <is>
          <t>ja</t>
        </is>
      </c>
      <c r="M592" t="inlineStr">
        <is>
          <t>ja</t>
        </is>
      </c>
      <c r="N592" t="inlineStr">
        <is>
          <t>nee</t>
        </is>
      </c>
      <c r="O592" t="inlineStr">
        <is>
          <t>Geen dieet</t>
        </is>
      </c>
      <c r="Q592">
        <f>LEN(G592)-LEN(SUBSTITUTE(G592,",",""))+1</f>
        <v/>
      </c>
      <c r="R592">
        <f>SWITCH(I592, "Zelden", 1, "Af en toe", 4, "Regelmatig", 8, "Vaak", 12)</f>
        <v/>
      </c>
      <c r="S592">
        <f>AVERAGE(--(K592="ja"), --(L592="ja"), --(M592="ja"), --(N592="ja"), --(O592="ja"))*10</f>
        <v/>
      </c>
      <c r="T592">
        <f>IF(S592&gt;=7, "Tevreden", "Ontevreden")</f>
        <v/>
      </c>
    </row>
    <row r="593">
      <c r="A593" t="inlineStr">
        <is>
          <t>Stefanie</t>
        </is>
      </c>
      <c r="B593" t="inlineStr">
        <is>
          <t>Maertens</t>
        </is>
      </c>
      <c r="C593" t="inlineStr">
        <is>
          <t>17.44266-87</t>
        </is>
      </c>
      <c r="D593" t="inlineStr">
        <is>
          <t>17/04/1952</t>
        </is>
      </c>
      <c r="E593" t="inlineStr">
        <is>
          <t>Mathias Gesweinstraat 71, 3730 Hoeselt</t>
        </is>
      </c>
      <c r="F593" t="inlineStr">
        <is>
          <t>Stefanie,Marie,Suzanne</t>
        </is>
      </c>
      <c r="G593" t="n">
        <v>84.48999999999999</v>
      </c>
      <c r="H593" t="n">
        <v>19</v>
      </c>
      <c r="I593" t="inlineStr">
        <is>
          <t>Bancontact</t>
        </is>
      </c>
      <c r="J593" t="inlineStr">
        <is>
          <t>nee</t>
        </is>
      </c>
      <c r="K593" t="inlineStr">
        <is>
          <t>nee</t>
        </is>
      </c>
      <c r="L593" t="inlineStr">
        <is>
          <t>ja</t>
        </is>
      </c>
      <c r="M593" t="inlineStr">
        <is>
          <t>ja</t>
        </is>
      </c>
      <c r="N593" t="inlineStr">
        <is>
          <t>nee</t>
        </is>
      </c>
      <c r="O593" t="inlineStr">
        <is>
          <t>Geen dieet</t>
        </is>
      </c>
      <c r="Q593">
        <f>LEN(G593)-LEN(SUBSTITUTE(G593,",",""))+1</f>
        <v/>
      </c>
      <c r="R593">
        <f>SWITCH(I593, "Zelden", 1, "Af en toe", 4, "Regelmatig", 8, "Vaak", 12)</f>
        <v/>
      </c>
      <c r="S593">
        <f>AVERAGE(--(K593="ja"), --(L593="ja"), --(M593="ja"), --(N593="ja"), --(O593="ja"))*10</f>
        <v/>
      </c>
      <c r="T593">
        <f>IF(S593&gt;=7, "Tevreden", "Ontevreden")</f>
        <v/>
      </c>
    </row>
    <row r="594">
      <c r="A594" t="inlineStr">
        <is>
          <t>Halyna</t>
        </is>
      </c>
      <c r="B594" t="inlineStr">
        <is>
          <t>Libert</t>
        </is>
      </c>
      <c r="C594" t="inlineStr">
        <is>
          <t>663.53503-37</t>
        </is>
      </c>
      <c r="D594" t="inlineStr">
        <is>
          <t>07/09/1952</t>
        </is>
      </c>
      <c r="E594" t="inlineStr">
        <is>
          <t>Kortrijksesteenweg 127, 3830 Wellen</t>
        </is>
      </c>
      <c r="F594" t="inlineStr">
        <is>
          <t>Halyna,Jarno</t>
        </is>
      </c>
      <c r="G594" t="n">
        <v>72.19</v>
      </c>
      <c r="H594" t="n">
        <v>3</v>
      </c>
      <c r="I594" t="inlineStr">
        <is>
          <t>Payconiq</t>
        </is>
      </c>
      <c r="J594" t="inlineStr">
        <is>
          <t>ja</t>
        </is>
      </c>
      <c r="K594" t="inlineStr">
        <is>
          <t>ja</t>
        </is>
      </c>
      <c r="L594" t="inlineStr">
        <is>
          <t>ja</t>
        </is>
      </c>
      <c r="M594" t="inlineStr">
        <is>
          <t>ja</t>
        </is>
      </c>
      <c r="N594" t="inlineStr">
        <is>
          <t>ja</t>
        </is>
      </c>
      <c r="O594" t="inlineStr">
        <is>
          <t>Vegetarisch</t>
        </is>
      </c>
      <c r="Q594">
        <f>LEN(G594)-LEN(SUBSTITUTE(G594,",",""))+1</f>
        <v/>
      </c>
      <c r="R594">
        <f>SWITCH(I594, "Zelden", 1, "Af en toe", 4, "Regelmatig", 8, "Vaak", 12)</f>
        <v/>
      </c>
      <c r="S594">
        <f>AVERAGE(--(K594="ja"), --(L594="ja"), --(M594="ja"), --(N594="ja"), --(O594="ja"))*10</f>
        <v/>
      </c>
      <c r="T594">
        <f>IF(S594&gt;=7, "Tevreden", "Ontevreden")</f>
        <v/>
      </c>
    </row>
    <row r="595">
      <c r="A595" t="inlineStr">
        <is>
          <t>Veerle</t>
        </is>
      </c>
      <c r="B595" t="inlineStr">
        <is>
          <t>Van looy</t>
        </is>
      </c>
      <c r="C595" t="inlineStr">
        <is>
          <t>346.28140-87</t>
        </is>
      </c>
      <c r="D595" t="inlineStr">
        <is>
          <t>18/06/1951</t>
        </is>
      </c>
      <c r="E595" t="inlineStr">
        <is>
          <t>Tijdelijk Postbus 53, 3930 Hamont-Achel</t>
        </is>
      </c>
      <c r="F595" t="inlineStr">
        <is>
          <t>Veerle,Maria,Eliane</t>
        </is>
      </c>
      <c r="G595" t="n">
        <v>208.4</v>
      </c>
      <c r="H595" t="n">
        <v>6</v>
      </c>
      <c r="I595" t="inlineStr">
        <is>
          <t>Payconiq</t>
        </is>
      </c>
      <c r="J595" t="inlineStr">
        <is>
          <t>ja</t>
        </is>
      </c>
      <c r="K595" t="inlineStr">
        <is>
          <t>nee</t>
        </is>
      </c>
      <c r="L595" t="inlineStr">
        <is>
          <t>ja</t>
        </is>
      </c>
      <c r="M595" t="inlineStr">
        <is>
          <t>nee</t>
        </is>
      </c>
      <c r="N595" t="inlineStr">
        <is>
          <t>ja</t>
        </is>
      </c>
      <c r="O595" t="inlineStr">
        <is>
          <t>Geen dieet</t>
        </is>
      </c>
      <c r="Q595">
        <f>LEN(G595)-LEN(SUBSTITUTE(G595,",",""))+1</f>
        <v/>
      </c>
      <c r="R595">
        <f>SWITCH(I595, "Zelden", 1, "Af en toe", 4, "Regelmatig", 8, "Vaak", 12)</f>
        <v/>
      </c>
      <c r="S595">
        <f>AVERAGE(--(K595="ja"), --(L595="ja"), --(M595="ja"), --(N595="ja"), --(O595="ja"))*10</f>
        <v/>
      </c>
      <c r="T595">
        <f>IF(S595&gt;=7, "Tevreden", "Ontevreden")</f>
        <v/>
      </c>
    </row>
    <row r="596">
      <c r="A596" t="inlineStr">
        <is>
          <t>André</t>
        </is>
      </c>
      <c r="B596" t="inlineStr">
        <is>
          <t>Daniels</t>
        </is>
      </c>
      <c r="C596" t="inlineStr">
        <is>
          <t>701.62905-21</t>
        </is>
      </c>
      <c r="D596" t="inlineStr">
        <is>
          <t>21/03/1951</t>
        </is>
      </c>
      <c r="E596" t="inlineStr">
        <is>
          <t>Woodrow Wilsonplein 37, 3600 Genk</t>
        </is>
      </c>
      <c r="F596" t="inlineStr">
        <is>
          <t>André,Zehra,Mohamed,Anne-Sophie,Catherine</t>
        </is>
      </c>
      <c r="G596" t="n">
        <v>142.59</v>
      </c>
      <c r="H596" t="n">
        <v>9</v>
      </c>
      <c r="I596" t="inlineStr">
        <is>
          <t>Bancontact</t>
        </is>
      </c>
      <c r="J596" t="inlineStr">
        <is>
          <t>ja</t>
        </is>
      </c>
      <c r="K596" t="inlineStr">
        <is>
          <t>ja</t>
        </is>
      </c>
      <c r="L596" t="inlineStr">
        <is>
          <t>ja</t>
        </is>
      </c>
      <c r="M596" t="inlineStr">
        <is>
          <t>ja</t>
        </is>
      </c>
      <c r="N596" t="inlineStr">
        <is>
          <t>ja</t>
        </is>
      </c>
      <c r="O596" t="inlineStr">
        <is>
          <t>Geen dieet</t>
        </is>
      </c>
      <c r="Q596">
        <f>LEN(G596)-LEN(SUBSTITUTE(G596,",",""))+1</f>
        <v/>
      </c>
      <c r="R596">
        <f>SWITCH(I596, "Zelden", 1, "Af en toe", 4, "Regelmatig", 8, "Vaak", 12)</f>
        <v/>
      </c>
      <c r="S596">
        <f>AVERAGE(--(K596="ja"), --(L596="ja"), --(M596="ja"), --(N596="ja"), --(O596="ja"))*10</f>
        <v/>
      </c>
      <c r="T596">
        <f>IF(S596&gt;=7, "Tevreden", "Ontevreden")</f>
        <v/>
      </c>
    </row>
    <row r="597">
      <c r="A597" t="inlineStr">
        <is>
          <t>Miles</t>
        </is>
      </c>
      <c r="B597" t="inlineStr">
        <is>
          <t>Schepens</t>
        </is>
      </c>
      <c r="C597" t="inlineStr">
        <is>
          <t>231.52065-62</t>
        </is>
      </c>
      <c r="D597" t="inlineStr">
        <is>
          <t>16/01/2005</t>
        </is>
      </c>
      <c r="E597" t="inlineStr">
        <is>
          <t>Eliane Vogel-polskypad 43, 3600 Genk</t>
        </is>
      </c>
      <c r="F597" t="inlineStr">
        <is>
          <t>Miles,Tanguy</t>
        </is>
      </c>
      <c r="G597" t="n">
        <v>130.59</v>
      </c>
      <c r="H597" t="n">
        <v>10</v>
      </c>
      <c r="I597" t="inlineStr">
        <is>
          <t>Bancontact</t>
        </is>
      </c>
      <c r="J597" t="inlineStr">
        <is>
          <t>ja</t>
        </is>
      </c>
      <c r="K597" t="inlineStr">
        <is>
          <t>ja</t>
        </is>
      </c>
      <c r="L597" t="inlineStr">
        <is>
          <t>ja</t>
        </is>
      </c>
      <c r="M597" t="inlineStr">
        <is>
          <t>ja</t>
        </is>
      </c>
      <c r="N597" t="inlineStr">
        <is>
          <t>ja</t>
        </is>
      </c>
      <c r="O597" t="inlineStr">
        <is>
          <t>Geen dieet</t>
        </is>
      </c>
      <c r="Q597">
        <f>LEN(G597)-LEN(SUBSTITUTE(G597,",",""))+1</f>
        <v/>
      </c>
      <c r="R597">
        <f>SWITCH(I597, "Zelden", 1, "Af en toe", 4, "Regelmatig", 8, "Vaak", 12)</f>
        <v/>
      </c>
      <c r="S597">
        <f>AVERAGE(--(K597="ja"), --(L597="ja"), --(M597="ja"), --(N597="ja"), --(O597="ja"))*10</f>
        <v/>
      </c>
      <c r="T597">
        <f>IF(S597&gt;=7, "Tevreden", "Ontevreden")</f>
        <v/>
      </c>
    </row>
    <row r="598">
      <c r="A598" t="inlineStr">
        <is>
          <t>Lore</t>
        </is>
      </c>
      <c r="B598" t="inlineStr">
        <is>
          <t>Guillaume</t>
        </is>
      </c>
      <c r="C598" t="inlineStr">
        <is>
          <t>994.17349-20</t>
        </is>
      </c>
      <c r="D598" t="inlineStr">
        <is>
          <t>16/01/1966</t>
        </is>
      </c>
      <c r="E598" t="inlineStr">
        <is>
          <t>Gildestraat 3, 3600 Genk</t>
        </is>
      </c>
      <c r="F598" t="inlineStr">
        <is>
          <t>Lore</t>
        </is>
      </c>
      <c r="G598" t="n">
        <v>112.76</v>
      </c>
      <c r="H598" t="n">
        <v>22</v>
      </c>
      <c r="I598" t="inlineStr">
        <is>
          <t>Bancontact</t>
        </is>
      </c>
      <c r="J598" t="inlineStr">
        <is>
          <t>nee</t>
        </is>
      </c>
      <c r="K598" t="inlineStr">
        <is>
          <t>ja</t>
        </is>
      </c>
      <c r="L598" t="inlineStr">
        <is>
          <t>ja</t>
        </is>
      </c>
      <c r="M598" t="inlineStr">
        <is>
          <t>nee</t>
        </is>
      </c>
      <c r="N598" t="inlineStr">
        <is>
          <t>ja</t>
        </is>
      </c>
      <c r="O598" t="inlineStr">
        <is>
          <t>Geen dieet</t>
        </is>
      </c>
      <c r="Q598">
        <f>LEN(G598)-LEN(SUBSTITUTE(G598,",",""))+1</f>
        <v/>
      </c>
      <c r="R598">
        <f>SWITCH(I598, "Zelden", 1, "Af en toe", 4, "Regelmatig", 8, "Vaak", 12)</f>
        <v/>
      </c>
      <c r="S598">
        <f>AVERAGE(--(K598="ja"), --(L598="ja"), --(M598="ja"), --(N598="ja"), --(O598="ja"))*10</f>
        <v/>
      </c>
      <c r="T598">
        <f>IF(S598&gt;=7, "Tevreden", "Ontevreden")</f>
        <v/>
      </c>
    </row>
    <row r="599">
      <c r="A599" t="inlineStr">
        <is>
          <t>Jolien</t>
        </is>
      </c>
      <c r="B599" t="inlineStr">
        <is>
          <t>Moerman</t>
        </is>
      </c>
      <c r="C599" t="inlineStr">
        <is>
          <t>308.43716-32</t>
        </is>
      </c>
      <c r="D599" t="inlineStr">
        <is>
          <t>18/12/1967</t>
        </is>
      </c>
      <c r="E599" t="inlineStr">
        <is>
          <t>Eekhoutdriesstraat 7, 3740 Bilzen</t>
        </is>
      </c>
      <c r="F599" t="inlineStr">
        <is>
          <t>Jolien,Leonarda</t>
        </is>
      </c>
      <c r="G599" t="n">
        <v>101.76</v>
      </c>
      <c r="H599" t="n">
        <v>16</v>
      </c>
      <c r="I599" t="inlineStr">
        <is>
          <t>Bancontact</t>
        </is>
      </c>
      <c r="J599" t="inlineStr">
        <is>
          <t>ja</t>
        </is>
      </c>
      <c r="K599" t="inlineStr">
        <is>
          <t>nee</t>
        </is>
      </c>
      <c r="L599" t="inlineStr">
        <is>
          <t>ja</t>
        </is>
      </c>
      <c r="M599" t="inlineStr">
        <is>
          <t>nee</t>
        </is>
      </c>
      <c r="N599" t="inlineStr">
        <is>
          <t>ja</t>
        </is>
      </c>
      <c r="O599" t="inlineStr">
        <is>
          <t>Vegetarisch</t>
        </is>
      </c>
      <c r="Q599">
        <f>LEN(G599)-LEN(SUBSTITUTE(G599,",",""))+1</f>
        <v/>
      </c>
      <c r="R599">
        <f>SWITCH(I599, "Zelden", 1, "Af en toe", 4, "Regelmatig", 8, "Vaak", 12)</f>
        <v/>
      </c>
      <c r="S599">
        <f>AVERAGE(--(K599="ja"), --(L599="ja"), --(M599="ja"), --(N599="ja"), --(O599="ja"))*10</f>
        <v/>
      </c>
      <c r="T599">
        <f>IF(S599&gt;=7, "Tevreden", "Ontevreden")</f>
        <v/>
      </c>
    </row>
    <row r="600">
      <c r="A600" t="inlineStr">
        <is>
          <t>Inge</t>
        </is>
      </c>
      <c r="B600" t="inlineStr">
        <is>
          <t>De meyer</t>
        </is>
      </c>
      <c r="C600" t="inlineStr">
        <is>
          <t>821.80246-96</t>
        </is>
      </c>
      <c r="D600" t="inlineStr">
        <is>
          <t>07/05/1971</t>
        </is>
      </c>
      <c r="E600" t="inlineStr">
        <is>
          <t>Nekkersputstraat 17, 3831 Herten</t>
        </is>
      </c>
      <c r="F600" t="inlineStr">
        <is>
          <t>Inge,Marie,Leart,Marc</t>
        </is>
      </c>
      <c r="G600" t="n">
        <v>65.81</v>
      </c>
      <c r="H600" t="n">
        <v>15</v>
      </c>
      <c r="I600" t="inlineStr">
        <is>
          <t>Bancontact</t>
        </is>
      </c>
      <c r="J600" t="inlineStr">
        <is>
          <t>ja</t>
        </is>
      </c>
      <c r="K600" t="inlineStr">
        <is>
          <t>ja</t>
        </is>
      </c>
      <c r="L600" t="inlineStr">
        <is>
          <t>ja</t>
        </is>
      </c>
      <c r="M600" t="inlineStr">
        <is>
          <t>nee</t>
        </is>
      </c>
      <c r="N600" t="inlineStr">
        <is>
          <t>ja</t>
        </is>
      </c>
      <c r="O600" t="inlineStr">
        <is>
          <t>Vegetarisch</t>
        </is>
      </c>
      <c r="Q600">
        <f>LEN(G600)-LEN(SUBSTITUTE(G600,",",""))+1</f>
        <v/>
      </c>
      <c r="R600">
        <f>SWITCH(I600, "Zelden", 1, "Af en toe", 4, "Regelmatig", 8, "Vaak", 12)</f>
        <v/>
      </c>
      <c r="S600">
        <f>AVERAGE(--(K600="ja"), --(L600="ja"), --(M600="ja"), --(N600="ja"), --(O600="ja"))*10</f>
        <v/>
      </c>
      <c r="T600">
        <f>IF(S600&gt;=7, "Tevreden", "Ontevreden")</f>
        <v/>
      </c>
    </row>
    <row r="601">
      <c r="A601" t="inlineStr">
        <is>
          <t>Estée</t>
        </is>
      </c>
      <c r="B601" t="inlineStr">
        <is>
          <t>Janssens</t>
        </is>
      </c>
      <c r="C601" t="inlineStr">
        <is>
          <t>362.28452-93</t>
        </is>
      </c>
      <c r="D601" t="inlineStr">
        <is>
          <t>26/11/1950</t>
        </is>
      </c>
      <c r="E601" t="inlineStr">
        <is>
          <t>Bruiloftstraat 15, 3900 Overpelt</t>
        </is>
      </c>
      <c r="F601" t="inlineStr">
        <is>
          <t>Estée,Elyse</t>
        </is>
      </c>
      <c r="G601" t="n">
        <v>44.42</v>
      </c>
      <c r="H601" t="n">
        <v>11</v>
      </c>
      <c r="I601" t="inlineStr">
        <is>
          <t>Payconiq</t>
        </is>
      </c>
      <c r="J601" t="inlineStr">
        <is>
          <t>ja</t>
        </is>
      </c>
      <c r="K601" t="inlineStr">
        <is>
          <t>nee</t>
        </is>
      </c>
      <c r="L601" t="inlineStr">
        <is>
          <t>ja</t>
        </is>
      </c>
      <c r="M601" t="inlineStr">
        <is>
          <t>ja</t>
        </is>
      </c>
      <c r="N601" t="inlineStr">
        <is>
          <t>ja</t>
        </is>
      </c>
      <c r="O601" t="inlineStr">
        <is>
          <t>Geen dieet</t>
        </is>
      </c>
      <c r="Q601">
        <f>LEN(G601)-LEN(SUBSTITUTE(G601,",",""))+1</f>
        <v/>
      </c>
      <c r="R601">
        <f>SWITCH(I601, "Zelden", 1, "Af en toe", 4, "Regelmatig", 8, "Vaak", 12)</f>
        <v/>
      </c>
      <c r="S601">
        <f>AVERAGE(--(K601="ja"), --(L601="ja"), --(M601="ja"), --(N601="ja"), --(O601="ja"))*10</f>
        <v/>
      </c>
      <c r="T601">
        <f>IF(S601&gt;=7, "Tevreden", "Ontevreden")</f>
        <v/>
      </c>
    </row>
    <row r="602">
      <c r="A602" t="inlineStr">
        <is>
          <t>Rafael</t>
        </is>
      </c>
      <c r="B602" t="inlineStr">
        <is>
          <t>Jans</t>
        </is>
      </c>
      <c r="C602" t="inlineStr">
        <is>
          <t>586.11724-68</t>
        </is>
      </c>
      <c r="D602" t="inlineStr">
        <is>
          <t>22/06/1980</t>
        </is>
      </c>
      <c r="E602" t="inlineStr">
        <is>
          <t>Kalandeberg 73, 3590 Diepenbeek</t>
        </is>
      </c>
      <c r="F602" t="inlineStr">
        <is>
          <t>Rafael,Maria</t>
        </is>
      </c>
      <c r="G602" t="n">
        <v>92.5</v>
      </c>
      <c r="H602" t="n">
        <v>11</v>
      </c>
      <c r="I602" t="inlineStr">
        <is>
          <t>Bancontact</t>
        </is>
      </c>
      <c r="J602" t="inlineStr">
        <is>
          <t>ja</t>
        </is>
      </c>
      <c r="K602" t="inlineStr">
        <is>
          <t>ja</t>
        </is>
      </c>
      <c r="L602" t="inlineStr">
        <is>
          <t>ja</t>
        </is>
      </c>
      <c r="M602" t="inlineStr">
        <is>
          <t>ja</t>
        </is>
      </c>
      <c r="N602" t="inlineStr">
        <is>
          <t>ja</t>
        </is>
      </c>
      <c r="O602" t="inlineStr">
        <is>
          <t>Vegetarisch</t>
        </is>
      </c>
      <c r="Q602">
        <f>LEN(G602)-LEN(SUBSTITUTE(G602,",",""))+1</f>
        <v/>
      </c>
      <c r="R602">
        <f>SWITCH(I602, "Zelden", 1, "Af en toe", 4, "Regelmatig", 8, "Vaak", 12)</f>
        <v/>
      </c>
      <c r="S602">
        <f>AVERAGE(--(K602="ja"), --(L602="ja"), --(M602="ja"), --(N602="ja"), --(O602="ja"))*10</f>
        <v/>
      </c>
      <c r="T602">
        <f>IF(S602&gt;=7, "Tevreden", "Ontevreden")</f>
        <v/>
      </c>
    </row>
    <row r="603">
      <c r="A603" t="inlineStr">
        <is>
          <t>Ulrike</t>
        </is>
      </c>
      <c r="B603" t="inlineStr">
        <is>
          <t>Van hoof</t>
        </is>
      </c>
      <c r="C603" t="inlineStr">
        <is>
          <t>437.70796-98</t>
        </is>
      </c>
      <c r="D603" t="inlineStr">
        <is>
          <t>30/03/1993</t>
        </is>
      </c>
      <c r="E603" t="inlineStr">
        <is>
          <t>Oudevest 62, 3890 Gingelom</t>
        </is>
      </c>
      <c r="F603" t="inlineStr">
        <is>
          <t>Ulrike,Victoria</t>
        </is>
      </c>
      <c r="G603" t="n">
        <v>98.62</v>
      </c>
      <c r="H603" t="n">
        <v>11</v>
      </c>
      <c r="I603" t="inlineStr">
        <is>
          <t>Cash</t>
        </is>
      </c>
      <c r="J603" t="inlineStr">
        <is>
          <t>ja</t>
        </is>
      </c>
      <c r="K603" t="inlineStr">
        <is>
          <t>ja</t>
        </is>
      </c>
      <c r="L603" t="inlineStr">
        <is>
          <t>ja</t>
        </is>
      </c>
      <c r="M603" t="inlineStr">
        <is>
          <t>nee</t>
        </is>
      </c>
      <c r="N603" t="inlineStr">
        <is>
          <t>ja</t>
        </is>
      </c>
      <c r="O603" t="inlineStr">
        <is>
          <t>Geen dieet</t>
        </is>
      </c>
      <c r="Q603">
        <f>LEN(G603)-LEN(SUBSTITUTE(G603,",",""))+1</f>
        <v/>
      </c>
      <c r="R603">
        <f>SWITCH(I603, "Zelden", 1, "Af en toe", 4, "Regelmatig", 8, "Vaak", 12)</f>
        <v/>
      </c>
      <c r="S603">
        <f>AVERAGE(--(K603="ja"), --(L603="ja"), --(M603="ja"), --(N603="ja"), --(O603="ja"))*10</f>
        <v/>
      </c>
      <c r="T603">
        <f>IF(S603&gt;=7, "Tevreden", "Ontevreden")</f>
        <v/>
      </c>
    </row>
    <row r="604">
      <c r="A604" t="inlineStr">
        <is>
          <t>Myrianne</t>
        </is>
      </c>
      <c r="B604" t="inlineStr">
        <is>
          <t>Wouters</t>
        </is>
      </c>
      <c r="C604" t="inlineStr">
        <is>
          <t>524.70107-26</t>
        </is>
      </c>
      <c r="D604" t="inlineStr">
        <is>
          <t>11/12/1979</t>
        </is>
      </c>
      <c r="E604" t="inlineStr">
        <is>
          <t>Oudebareelstraat 30, 3770 Riemst</t>
        </is>
      </c>
      <c r="F604" t="inlineStr">
        <is>
          <t>Myrianne,Amelie,Christa,Andreas</t>
        </is>
      </c>
      <c r="G604" t="n">
        <v>101.21</v>
      </c>
      <c r="H604" t="n">
        <v>11</v>
      </c>
      <c r="I604" t="inlineStr">
        <is>
          <t>Cash</t>
        </is>
      </c>
      <c r="J604" t="inlineStr">
        <is>
          <t>ja</t>
        </is>
      </c>
      <c r="K604" t="inlineStr">
        <is>
          <t>ja</t>
        </is>
      </c>
      <c r="L604" t="inlineStr">
        <is>
          <t>ja</t>
        </is>
      </c>
      <c r="M604" t="inlineStr">
        <is>
          <t>ja</t>
        </is>
      </c>
      <c r="N604" t="inlineStr">
        <is>
          <t>nee</t>
        </is>
      </c>
      <c r="O604" t="inlineStr">
        <is>
          <t>Geen dieet</t>
        </is>
      </c>
      <c r="Q604">
        <f>LEN(G604)-LEN(SUBSTITUTE(G604,",",""))+1</f>
        <v/>
      </c>
      <c r="R604">
        <f>SWITCH(I604, "Zelden", 1, "Af en toe", 4, "Regelmatig", 8, "Vaak", 12)</f>
        <v/>
      </c>
      <c r="S604">
        <f>AVERAGE(--(K604="ja"), --(L604="ja"), --(M604="ja"), --(N604="ja"), --(O604="ja"))*10</f>
        <v/>
      </c>
      <c r="T604">
        <f>IF(S604&gt;=7, "Tevreden", "Ontevreden")</f>
        <v/>
      </c>
    </row>
    <row r="605">
      <c r="A605" t="inlineStr">
        <is>
          <t>Isabel</t>
        </is>
      </c>
      <c r="B605" t="inlineStr">
        <is>
          <t>Temmerman</t>
        </is>
      </c>
      <c r="C605" t="inlineStr">
        <is>
          <t>14.42024-17</t>
        </is>
      </c>
      <c r="D605" t="inlineStr">
        <is>
          <t>09/04/1976</t>
        </is>
      </c>
      <c r="E605" t="inlineStr">
        <is>
          <t>Bredestraat 6, 3500 Hasselt</t>
        </is>
      </c>
      <c r="F605" t="inlineStr">
        <is>
          <t>Isabel,Batuhan,René,Anne,Malake</t>
        </is>
      </c>
      <c r="G605" t="n">
        <v>114.77</v>
      </c>
      <c r="H605" t="n">
        <v>8</v>
      </c>
      <c r="I605" t="inlineStr">
        <is>
          <t>Payconiq</t>
        </is>
      </c>
      <c r="J605" t="inlineStr">
        <is>
          <t>ja</t>
        </is>
      </c>
      <c r="K605" t="inlineStr">
        <is>
          <t>nee</t>
        </is>
      </c>
      <c r="L605" t="inlineStr">
        <is>
          <t>nee</t>
        </is>
      </c>
      <c r="M605" t="inlineStr">
        <is>
          <t>ja</t>
        </is>
      </c>
      <c r="N605" t="inlineStr">
        <is>
          <t>nee</t>
        </is>
      </c>
      <c r="O605" t="inlineStr">
        <is>
          <t>Geen dieet</t>
        </is>
      </c>
      <c r="Q605">
        <f>LEN(G605)-LEN(SUBSTITUTE(G605,",",""))+1</f>
        <v/>
      </c>
      <c r="R605">
        <f>SWITCH(I605, "Zelden", 1, "Af en toe", 4, "Regelmatig", 8, "Vaak", 12)</f>
        <v/>
      </c>
      <c r="S605">
        <f>AVERAGE(--(K605="ja"), --(L605="ja"), --(M605="ja"), --(N605="ja"), --(O605="ja"))*10</f>
        <v/>
      </c>
      <c r="T605">
        <f>IF(S605&gt;=7, "Tevreden", "Ontevreden")</f>
        <v/>
      </c>
    </row>
    <row r="606">
      <c r="A606" t="inlineStr">
        <is>
          <t>Victor</t>
        </is>
      </c>
      <c r="B606" t="inlineStr">
        <is>
          <t>Herman</t>
        </is>
      </c>
      <c r="C606" t="inlineStr">
        <is>
          <t>488.45676-73</t>
        </is>
      </c>
      <c r="D606" t="inlineStr">
        <is>
          <t>02/12/1987</t>
        </is>
      </c>
      <c r="E606" t="inlineStr">
        <is>
          <t>Krijgslaan 75, 3700 Tongeren</t>
        </is>
      </c>
      <c r="F606" t="inlineStr">
        <is>
          <t>Victor,Anatolii,Godelieve</t>
        </is>
      </c>
      <c r="G606" t="n">
        <v>26.76</v>
      </c>
      <c r="H606" t="n">
        <v>2</v>
      </c>
      <c r="I606" t="inlineStr">
        <is>
          <t>Bancontact</t>
        </is>
      </c>
      <c r="J606" t="inlineStr">
        <is>
          <t>ja</t>
        </is>
      </c>
      <c r="K606" t="inlineStr">
        <is>
          <t>ja</t>
        </is>
      </c>
      <c r="L606" t="inlineStr">
        <is>
          <t>ja</t>
        </is>
      </c>
      <c r="M606" t="inlineStr">
        <is>
          <t>nee</t>
        </is>
      </c>
      <c r="N606" t="inlineStr">
        <is>
          <t>ja</t>
        </is>
      </c>
      <c r="O606" t="inlineStr">
        <is>
          <t>Vegetarisch</t>
        </is>
      </c>
      <c r="Q606">
        <f>LEN(G606)-LEN(SUBSTITUTE(G606,",",""))+1</f>
        <v/>
      </c>
      <c r="R606">
        <f>SWITCH(I606, "Zelden", 1, "Af en toe", 4, "Regelmatig", 8, "Vaak", 12)</f>
        <v/>
      </c>
      <c r="S606">
        <f>AVERAGE(--(K606="ja"), --(L606="ja"), --(M606="ja"), --(N606="ja"), --(O606="ja"))*10</f>
        <v/>
      </c>
      <c r="T606">
        <f>IF(S606&gt;=7, "Tevreden", "Ontevreden")</f>
        <v/>
      </c>
    </row>
    <row r="607">
      <c r="A607" t="inlineStr">
        <is>
          <t>Noël</t>
        </is>
      </c>
      <c r="B607" t="inlineStr">
        <is>
          <t>De clercq</t>
        </is>
      </c>
      <c r="C607" t="inlineStr">
        <is>
          <t>79.29520-94</t>
        </is>
      </c>
      <c r="D607" t="inlineStr">
        <is>
          <t>16/01/1969</t>
        </is>
      </c>
      <c r="E607" t="inlineStr">
        <is>
          <t>Wondelgemkaai 58, 3891 Meilen</t>
        </is>
      </c>
      <c r="F607" t="inlineStr">
        <is>
          <t>Noël,Kimberly,Fitim</t>
        </is>
      </c>
      <c r="G607" t="n">
        <v>137.54</v>
      </c>
      <c r="H607" t="n">
        <v>7</v>
      </c>
      <c r="I607" t="inlineStr">
        <is>
          <t>Bancontact</t>
        </is>
      </c>
      <c r="J607" t="inlineStr">
        <is>
          <t>ja</t>
        </is>
      </c>
      <c r="K607" t="inlineStr">
        <is>
          <t>ja</t>
        </is>
      </c>
      <c r="L607" t="inlineStr">
        <is>
          <t>ja</t>
        </is>
      </c>
      <c r="M607" t="inlineStr">
        <is>
          <t>nee</t>
        </is>
      </c>
      <c r="N607" t="inlineStr">
        <is>
          <t>ja</t>
        </is>
      </c>
      <c r="O607" t="inlineStr">
        <is>
          <t>Vegetarisch</t>
        </is>
      </c>
      <c r="Q607">
        <f>LEN(G607)-LEN(SUBSTITUTE(G607,",",""))+1</f>
        <v/>
      </c>
      <c r="R607">
        <f>SWITCH(I607, "Zelden", 1, "Af en toe", 4, "Regelmatig", 8, "Vaak", 12)</f>
        <v/>
      </c>
      <c r="S607">
        <f>AVERAGE(--(K607="ja"), --(L607="ja"), --(M607="ja"), --(N607="ja"), --(O607="ja"))*10</f>
        <v/>
      </c>
      <c r="T607">
        <f>IF(S607&gt;=7, "Tevreden", "Ontevreden")</f>
        <v/>
      </c>
    </row>
    <row r="608">
      <c r="A608" t="inlineStr">
        <is>
          <t>Lio</t>
        </is>
      </c>
      <c r="B608" t="inlineStr">
        <is>
          <t>Michaux</t>
        </is>
      </c>
      <c r="C608" t="inlineStr">
        <is>
          <t>277.34867-14</t>
        </is>
      </c>
      <c r="D608" t="inlineStr">
        <is>
          <t>24/11/1980</t>
        </is>
      </c>
      <c r="E608" t="inlineStr">
        <is>
          <t>Ferdinand Lousbergskaai 49, 3640 Kinrooi</t>
        </is>
      </c>
      <c r="F608" t="inlineStr">
        <is>
          <t>Lio,Marc,Amadou,Mehmet</t>
        </is>
      </c>
      <c r="G608" t="n">
        <v>194.6</v>
      </c>
      <c r="H608" t="n">
        <v>17</v>
      </c>
      <c r="I608" t="inlineStr">
        <is>
          <t>Cash</t>
        </is>
      </c>
      <c r="J608" t="inlineStr">
        <is>
          <t>ja</t>
        </is>
      </c>
      <c r="K608" t="inlineStr">
        <is>
          <t>ja</t>
        </is>
      </c>
      <c r="L608" t="inlineStr">
        <is>
          <t>ja</t>
        </is>
      </c>
      <c r="M608" t="inlineStr">
        <is>
          <t>ja</t>
        </is>
      </c>
      <c r="N608" t="inlineStr">
        <is>
          <t>nee</t>
        </is>
      </c>
      <c r="O608" t="inlineStr">
        <is>
          <t>Vegetarisch</t>
        </is>
      </c>
      <c r="Q608">
        <f>LEN(G608)-LEN(SUBSTITUTE(G608,",",""))+1</f>
        <v/>
      </c>
      <c r="R608">
        <f>SWITCH(I608, "Zelden", 1, "Af en toe", 4, "Regelmatig", 8, "Vaak", 12)</f>
        <v/>
      </c>
      <c r="S608">
        <f>AVERAGE(--(K608="ja"), --(L608="ja"), --(M608="ja"), --(N608="ja"), --(O608="ja"))*10</f>
        <v/>
      </c>
      <c r="T608">
        <f>IF(S608&gt;=7, "Tevreden", "Ontevreden")</f>
        <v/>
      </c>
    </row>
    <row r="609">
      <c r="A609" t="inlineStr">
        <is>
          <t>Léon</t>
        </is>
      </c>
      <c r="B609" t="inlineStr">
        <is>
          <t>Moerman</t>
        </is>
      </c>
      <c r="C609" t="inlineStr">
        <is>
          <t>309.18516-85</t>
        </is>
      </c>
      <c r="D609" t="inlineStr">
        <is>
          <t>28/12/1980</t>
        </is>
      </c>
      <c r="E609" t="inlineStr">
        <is>
          <t>Nieuwland 13, 3800 Sint-Truiden</t>
        </is>
      </c>
      <c r="F609" t="inlineStr">
        <is>
          <t>Léon,Anca</t>
        </is>
      </c>
      <c r="G609" t="n">
        <v>160.58</v>
      </c>
      <c r="H609" t="n">
        <v>1</v>
      </c>
      <c r="I609" t="inlineStr">
        <is>
          <t>Bancontact</t>
        </is>
      </c>
      <c r="J609" t="inlineStr">
        <is>
          <t>ja</t>
        </is>
      </c>
      <c r="K609" t="inlineStr">
        <is>
          <t>nee</t>
        </is>
      </c>
      <c r="L609" t="inlineStr">
        <is>
          <t>nee</t>
        </is>
      </c>
      <c r="M609" t="inlineStr">
        <is>
          <t>nee</t>
        </is>
      </c>
      <c r="N609" t="inlineStr">
        <is>
          <t>nee</t>
        </is>
      </c>
      <c r="O609" t="inlineStr">
        <is>
          <t>Geen dieet</t>
        </is>
      </c>
      <c r="Q609">
        <f>LEN(G609)-LEN(SUBSTITUTE(G609,",",""))+1</f>
        <v/>
      </c>
      <c r="R609">
        <f>SWITCH(I609, "Zelden", 1, "Af en toe", 4, "Regelmatig", 8, "Vaak", 12)</f>
        <v/>
      </c>
      <c r="S609">
        <f>AVERAGE(--(K609="ja"), --(L609="ja"), --(M609="ja"), --(N609="ja"), --(O609="ja"))*10</f>
        <v/>
      </c>
      <c r="T609">
        <f>IF(S609&gt;=7, "Tevreden", "Ontevreden")</f>
        <v/>
      </c>
    </row>
    <row r="610">
      <c r="A610" t="inlineStr">
        <is>
          <t>Eugeniusz</t>
        </is>
      </c>
      <c r="B610" t="inlineStr">
        <is>
          <t>Moons</t>
        </is>
      </c>
      <c r="C610" t="inlineStr">
        <is>
          <t>384.66985-43</t>
        </is>
      </c>
      <c r="D610" t="inlineStr">
        <is>
          <t>21/02/1958</t>
        </is>
      </c>
      <c r="E610" t="inlineStr">
        <is>
          <t>Meerseniersstraat 58, 3831 Herten</t>
        </is>
      </c>
      <c r="F610" t="inlineStr">
        <is>
          <t>Eugeniusz,Adrien,Martine</t>
        </is>
      </c>
      <c r="G610" t="n">
        <v>130.21</v>
      </c>
      <c r="H610" t="n">
        <v>4</v>
      </c>
      <c r="I610" t="inlineStr">
        <is>
          <t>Payconiq</t>
        </is>
      </c>
      <c r="J610" t="inlineStr">
        <is>
          <t>ja</t>
        </is>
      </c>
      <c r="K610" t="inlineStr">
        <is>
          <t>ja</t>
        </is>
      </c>
      <c r="L610" t="inlineStr">
        <is>
          <t>ja</t>
        </is>
      </c>
      <c r="M610" t="inlineStr">
        <is>
          <t>ja</t>
        </is>
      </c>
      <c r="N610" t="inlineStr">
        <is>
          <t>nee</t>
        </is>
      </c>
      <c r="O610" t="inlineStr">
        <is>
          <t>Vegetarisch</t>
        </is>
      </c>
      <c r="Q610">
        <f>LEN(G610)-LEN(SUBSTITUTE(G610,",",""))+1</f>
        <v/>
      </c>
      <c r="R610">
        <f>SWITCH(I610, "Zelden", 1, "Af en toe", 4, "Regelmatig", 8, "Vaak", 12)</f>
        <v/>
      </c>
      <c r="S610">
        <f>AVERAGE(--(K610="ja"), --(L610="ja"), --(M610="ja"), --(N610="ja"), --(O610="ja"))*10</f>
        <v/>
      </c>
      <c r="T610">
        <f>IF(S610&gt;=7, "Tevreden", "Ontevreden")</f>
        <v/>
      </c>
    </row>
    <row r="611">
      <c r="A611" t="inlineStr">
        <is>
          <t>Finn</t>
        </is>
      </c>
      <c r="B611" t="inlineStr">
        <is>
          <t>Nicolas</t>
        </is>
      </c>
      <c r="C611" t="inlineStr">
        <is>
          <t>489.79092-16</t>
        </is>
      </c>
      <c r="D611" t="inlineStr">
        <is>
          <t>12/11/1987</t>
        </is>
      </c>
      <c r="E611" t="inlineStr">
        <is>
          <t>Scheepzatestraat 71, 3650 Dilsen-Stokkem</t>
        </is>
      </c>
      <c r="F611" t="inlineStr">
        <is>
          <t>Finn</t>
        </is>
      </c>
      <c r="G611" t="n">
        <v>98.34999999999999</v>
      </c>
      <c r="H611" t="n">
        <v>12</v>
      </c>
      <c r="I611" t="inlineStr">
        <is>
          <t>Payconiq</t>
        </is>
      </c>
      <c r="J611" t="inlineStr">
        <is>
          <t>ja</t>
        </is>
      </c>
      <c r="K611" t="inlineStr">
        <is>
          <t>ja</t>
        </is>
      </c>
      <c r="L611" t="inlineStr">
        <is>
          <t>ja</t>
        </is>
      </c>
      <c r="M611" t="inlineStr">
        <is>
          <t>ja</t>
        </is>
      </c>
      <c r="N611" t="inlineStr">
        <is>
          <t>ja</t>
        </is>
      </c>
      <c r="O611" t="inlineStr">
        <is>
          <t>Vegetarisch</t>
        </is>
      </c>
      <c r="Q611">
        <f>LEN(G611)-LEN(SUBSTITUTE(G611,",",""))+1</f>
        <v/>
      </c>
      <c r="R611">
        <f>SWITCH(I611, "Zelden", 1, "Af en toe", 4, "Regelmatig", 8, "Vaak", 12)</f>
        <v/>
      </c>
      <c r="S611">
        <f>AVERAGE(--(K611="ja"), --(L611="ja"), --(M611="ja"), --(N611="ja"), --(O611="ja"))*10</f>
        <v/>
      </c>
      <c r="T611">
        <f>IF(S611&gt;=7, "Tevreden", "Ontevreden")</f>
        <v/>
      </c>
    </row>
    <row r="612">
      <c r="A612" t="inlineStr">
        <is>
          <t>Lina</t>
        </is>
      </c>
      <c r="B612" t="inlineStr">
        <is>
          <t>Van den broeck</t>
        </is>
      </c>
      <c r="C612" t="inlineStr">
        <is>
          <t>58.27700-64</t>
        </is>
      </c>
      <c r="D612" t="inlineStr">
        <is>
          <t>11/03/1958</t>
        </is>
      </c>
      <c r="E612" t="inlineStr">
        <is>
          <t>Bijenstraat 26, 3730 Hoeselt</t>
        </is>
      </c>
      <c r="F612" t="inlineStr">
        <is>
          <t>Lina,Pieter,Théo,Arlette</t>
        </is>
      </c>
      <c r="G612" t="n">
        <v>176.99</v>
      </c>
      <c r="H612" t="n">
        <v>19</v>
      </c>
      <c r="I612" t="inlineStr">
        <is>
          <t>Bancontact</t>
        </is>
      </c>
      <c r="J612" t="inlineStr">
        <is>
          <t>ja</t>
        </is>
      </c>
      <c r="K612" t="inlineStr">
        <is>
          <t>ja</t>
        </is>
      </c>
      <c r="L612" t="inlineStr">
        <is>
          <t>ja</t>
        </is>
      </c>
      <c r="M612" t="inlineStr">
        <is>
          <t>ja</t>
        </is>
      </c>
      <c r="N612" t="inlineStr">
        <is>
          <t>ja</t>
        </is>
      </c>
      <c r="O612" t="inlineStr">
        <is>
          <t>Geen dieet</t>
        </is>
      </c>
      <c r="Q612">
        <f>LEN(G612)-LEN(SUBSTITUTE(G612,",",""))+1</f>
        <v/>
      </c>
      <c r="R612">
        <f>SWITCH(I612, "Zelden", 1, "Af en toe", 4, "Regelmatig", 8, "Vaak", 12)</f>
        <v/>
      </c>
      <c r="S612">
        <f>AVERAGE(--(K612="ja"), --(L612="ja"), --(M612="ja"), --(N612="ja"), --(O612="ja"))*10</f>
        <v/>
      </c>
      <c r="T612">
        <f>IF(S612&gt;=7, "Tevreden", "Ontevreden")</f>
        <v/>
      </c>
    </row>
    <row r="613">
      <c r="A613" t="inlineStr">
        <is>
          <t>Steven</t>
        </is>
      </c>
      <c r="B613" t="inlineStr">
        <is>
          <t>Smet</t>
        </is>
      </c>
      <c r="C613" t="inlineStr">
        <is>
          <t>327.37871-70</t>
        </is>
      </c>
      <c r="D613" t="inlineStr">
        <is>
          <t>07/04/1992</t>
        </is>
      </c>
      <c r="E613" t="inlineStr">
        <is>
          <t>Wielewaalstraat 50, 3500 Hasselt</t>
        </is>
      </c>
      <c r="F613" t="inlineStr">
        <is>
          <t>Steven,Rudy,Lisa</t>
        </is>
      </c>
      <c r="G613" t="n">
        <v>28.89</v>
      </c>
      <c r="H613" t="n">
        <v>8</v>
      </c>
      <c r="I613" t="inlineStr">
        <is>
          <t>Bancontact</t>
        </is>
      </c>
      <c r="J613" t="inlineStr">
        <is>
          <t>ja</t>
        </is>
      </c>
      <c r="K613" t="inlineStr">
        <is>
          <t>nee</t>
        </is>
      </c>
      <c r="L613" t="inlineStr">
        <is>
          <t>ja</t>
        </is>
      </c>
      <c r="M613" t="inlineStr">
        <is>
          <t>ja</t>
        </is>
      </c>
      <c r="N613" t="inlineStr">
        <is>
          <t>ja</t>
        </is>
      </c>
      <c r="O613" t="inlineStr">
        <is>
          <t>Veganistisch</t>
        </is>
      </c>
      <c r="Q613">
        <f>LEN(G613)-LEN(SUBSTITUTE(G613,",",""))+1</f>
        <v/>
      </c>
      <c r="R613">
        <f>SWITCH(I613, "Zelden", 1, "Af en toe", 4, "Regelmatig", 8, "Vaak", 12)</f>
        <v/>
      </c>
      <c r="S613">
        <f>AVERAGE(--(K613="ja"), --(L613="ja"), --(M613="ja"), --(N613="ja"), --(O613="ja"))*10</f>
        <v/>
      </c>
      <c r="T613">
        <f>IF(S613&gt;=7, "Tevreden", "Ontevreden")</f>
        <v/>
      </c>
    </row>
    <row r="614">
      <c r="A614" t="inlineStr">
        <is>
          <t>Joëlle</t>
        </is>
      </c>
      <c r="B614" t="inlineStr">
        <is>
          <t>Lambrechts</t>
        </is>
      </c>
      <c r="C614" t="inlineStr">
        <is>
          <t>614.29647-78</t>
        </is>
      </c>
      <c r="D614" t="inlineStr">
        <is>
          <t>21/12/1964</t>
        </is>
      </c>
      <c r="E614" t="inlineStr">
        <is>
          <t>De Pintelaan 1, 3920 Lommel</t>
        </is>
      </c>
      <c r="F614" t="inlineStr">
        <is>
          <t>Joëlle,Maria,Christel,Jacques</t>
        </is>
      </c>
      <c r="G614" t="n">
        <v>150.08</v>
      </c>
      <c r="H614" t="n">
        <v>5</v>
      </c>
      <c r="I614" t="inlineStr">
        <is>
          <t>Cash</t>
        </is>
      </c>
      <c r="J614" t="inlineStr">
        <is>
          <t>ja</t>
        </is>
      </c>
      <c r="K614" t="inlineStr">
        <is>
          <t>ja</t>
        </is>
      </c>
      <c r="L614" t="inlineStr">
        <is>
          <t>ja</t>
        </is>
      </c>
      <c r="M614" t="inlineStr">
        <is>
          <t>nee</t>
        </is>
      </c>
      <c r="N614" t="inlineStr">
        <is>
          <t>ja</t>
        </is>
      </c>
      <c r="O614" t="inlineStr">
        <is>
          <t>Vegetarisch</t>
        </is>
      </c>
      <c r="Q614">
        <f>LEN(G614)-LEN(SUBSTITUTE(G614,",",""))+1</f>
        <v/>
      </c>
      <c r="R614">
        <f>SWITCH(I614, "Zelden", 1, "Af en toe", 4, "Regelmatig", 8, "Vaak", 12)</f>
        <v/>
      </c>
      <c r="S614">
        <f>AVERAGE(--(K614="ja"), --(L614="ja"), --(M614="ja"), --(N614="ja"), --(O614="ja"))*10</f>
        <v/>
      </c>
      <c r="T614">
        <f>IF(S614&gt;=7, "Tevreden", "Ontevreden")</f>
        <v/>
      </c>
    </row>
    <row r="615">
      <c r="A615" t="inlineStr">
        <is>
          <t>Amalya</t>
        </is>
      </c>
      <c r="B615" t="inlineStr">
        <is>
          <t>Dumont</t>
        </is>
      </c>
      <c r="C615" t="inlineStr">
        <is>
          <t>365.93134-56</t>
        </is>
      </c>
      <c r="D615" t="inlineStr">
        <is>
          <t>15/10/1988</t>
        </is>
      </c>
      <c r="E615" t="inlineStr">
        <is>
          <t>Boeierstraat 13, 3620 Lanaken</t>
        </is>
      </c>
      <c r="F615" t="inlineStr">
        <is>
          <t>Amalya,Géraldine</t>
        </is>
      </c>
      <c r="G615" t="n">
        <v>66.62</v>
      </c>
      <c r="H615" t="n">
        <v>9</v>
      </c>
      <c r="I615" t="inlineStr">
        <is>
          <t>Payconiq</t>
        </is>
      </c>
      <c r="J615" t="inlineStr">
        <is>
          <t>ja</t>
        </is>
      </c>
      <c r="K615" t="inlineStr">
        <is>
          <t>ja</t>
        </is>
      </c>
      <c r="L615" t="inlineStr">
        <is>
          <t>ja</t>
        </is>
      </c>
      <c r="M615" t="inlineStr">
        <is>
          <t>nee</t>
        </is>
      </c>
      <c r="N615" t="inlineStr">
        <is>
          <t>nee</t>
        </is>
      </c>
      <c r="O615" t="inlineStr">
        <is>
          <t>Geen dieet</t>
        </is>
      </c>
      <c r="Q615">
        <f>LEN(G615)-LEN(SUBSTITUTE(G615,",",""))+1</f>
        <v/>
      </c>
      <c r="R615">
        <f>SWITCH(I615, "Zelden", 1, "Af en toe", 4, "Regelmatig", 8, "Vaak", 12)</f>
        <v/>
      </c>
      <c r="S615">
        <f>AVERAGE(--(K615="ja"), --(L615="ja"), --(M615="ja"), --(N615="ja"), --(O615="ja"))*10</f>
        <v/>
      </c>
      <c r="T615">
        <f>IF(S615&gt;=7, "Tevreden", "Ontevreden")</f>
        <v/>
      </c>
    </row>
    <row r="616">
      <c r="A616" t="inlineStr">
        <is>
          <t>Jacques</t>
        </is>
      </c>
      <c r="B616" t="inlineStr">
        <is>
          <t>De clercq</t>
        </is>
      </c>
      <c r="C616" t="inlineStr">
        <is>
          <t>848.42164-36</t>
        </is>
      </c>
      <c r="D616" t="inlineStr">
        <is>
          <t>31/05/1971</t>
        </is>
      </c>
      <c r="E616" t="inlineStr">
        <is>
          <t>Loofblommestraat 38, 3800 Sint-Truiden</t>
        </is>
      </c>
      <c r="F616" t="inlineStr">
        <is>
          <t>Jacques,Ivette,Matilde,Melanie</t>
        </is>
      </c>
      <c r="G616" t="n">
        <v>160.33</v>
      </c>
      <c r="H616" t="n">
        <v>1</v>
      </c>
      <c r="I616" t="inlineStr">
        <is>
          <t>Payconiq</t>
        </is>
      </c>
      <c r="J616" t="inlineStr">
        <is>
          <t>ja</t>
        </is>
      </c>
      <c r="K616" t="inlineStr">
        <is>
          <t>nee</t>
        </is>
      </c>
      <c r="L616" t="inlineStr">
        <is>
          <t>nee</t>
        </is>
      </c>
      <c r="M616" t="inlineStr">
        <is>
          <t>ja</t>
        </is>
      </c>
      <c r="N616" t="inlineStr">
        <is>
          <t>ja</t>
        </is>
      </c>
      <c r="O616" t="inlineStr">
        <is>
          <t>Geen dieet</t>
        </is>
      </c>
      <c r="Q616">
        <f>LEN(G616)-LEN(SUBSTITUTE(G616,",",""))+1</f>
        <v/>
      </c>
      <c r="R616">
        <f>SWITCH(I616, "Zelden", 1, "Af en toe", 4, "Regelmatig", 8, "Vaak", 12)</f>
        <v/>
      </c>
      <c r="S616">
        <f>AVERAGE(--(K616="ja"), --(L616="ja"), --(M616="ja"), --(N616="ja"), --(O616="ja"))*10</f>
        <v/>
      </c>
      <c r="T616">
        <f>IF(S616&gt;=7, "Tevreden", "Ontevreden")</f>
        <v/>
      </c>
    </row>
    <row r="617">
      <c r="A617" t="inlineStr">
        <is>
          <t>Danielle</t>
        </is>
      </c>
      <c r="B617" t="inlineStr">
        <is>
          <t>Carlier</t>
        </is>
      </c>
      <c r="C617" t="inlineStr">
        <is>
          <t>86.76448-24</t>
        </is>
      </c>
      <c r="D617" t="inlineStr">
        <is>
          <t>04/11/2002</t>
        </is>
      </c>
      <c r="E617" t="inlineStr">
        <is>
          <t>Dikkelindestraat 5, 3910 Neerpelt</t>
        </is>
      </c>
      <c r="F617" t="inlineStr">
        <is>
          <t>Danielle,Joël</t>
        </is>
      </c>
      <c r="G617" t="n">
        <v>194.07</v>
      </c>
      <c r="H617" t="n">
        <v>11</v>
      </c>
      <c r="I617" t="inlineStr">
        <is>
          <t>Cash</t>
        </is>
      </c>
      <c r="J617" t="inlineStr">
        <is>
          <t>ja</t>
        </is>
      </c>
      <c r="K617" t="inlineStr">
        <is>
          <t>ja</t>
        </is>
      </c>
      <c r="L617" t="inlineStr">
        <is>
          <t>nee</t>
        </is>
      </c>
      <c r="M617" t="inlineStr">
        <is>
          <t>ja</t>
        </is>
      </c>
      <c r="N617" t="inlineStr">
        <is>
          <t>ja</t>
        </is>
      </c>
      <c r="O617" t="inlineStr">
        <is>
          <t>Geen dieet</t>
        </is>
      </c>
      <c r="Q617">
        <f>LEN(G617)-LEN(SUBSTITUTE(G617,",",""))+1</f>
        <v/>
      </c>
      <c r="R617">
        <f>SWITCH(I617, "Zelden", 1, "Af en toe", 4, "Regelmatig", 8, "Vaak", 12)</f>
        <v/>
      </c>
      <c r="S617">
        <f>AVERAGE(--(K617="ja"), --(L617="ja"), --(M617="ja"), --(N617="ja"), --(O617="ja"))*10</f>
        <v/>
      </c>
      <c r="T617">
        <f>IF(S617&gt;=7, "Tevreden", "Ontevreden")</f>
        <v/>
      </c>
    </row>
    <row r="618">
      <c r="A618" t="inlineStr">
        <is>
          <t>Lutgard</t>
        </is>
      </c>
      <c r="B618" t="inlineStr">
        <is>
          <t>Aerts</t>
        </is>
      </c>
      <c r="C618" t="inlineStr">
        <is>
          <t>149.29738-20</t>
        </is>
      </c>
      <c r="D618" t="inlineStr">
        <is>
          <t>13/02/1969</t>
        </is>
      </c>
      <c r="E618" t="inlineStr">
        <is>
          <t>Predikherenlei 26, 3560 Lummen</t>
        </is>
      </c>
      <c r="F618" t="inlineStr">
        <is>
          <t>Lutgard,Catherine</t>
        </is>
      </c>
      <c r="G618" t="n">
        <v>147.21</v>
      </c>
      <c r="H618" t="n">
        <v>10</v>
      </c>
      <c r="I618" t="inlineStr">
        <is>
          <t>Cash</t>
        </is>
      </c>
      <c r="J618" t="inlineStr">
        <is>
          <t>ja</t>
        </is>
      </c>
      <c r="K618" t="inlineStr">
        <is>
          <t>nee</t>
        </is>
      </c>
      <c r="L618" t="inlineStr">
        <is>
          <t>ja</t>
        </is>
      </c>
      <c r="M618" t="inlineStr">
        <is>
          <t>ja</t>
        </is>
      </c>
      <c r="N618" t="inlineStr">
        <is>
          <t>ja</t>
        </is>
      </c>
      <c r="O618" t="inlineStr">
        <is>
          <t>Geen dieet</t>
        </is>
      </c>
      <c r="Q618">
        <f>LEN(G618)-LEN(SUBSTITUTE(G618,",",""))+1</f>
        <v/>
      </c>
      <c r="R618">
        <f>SWITCH(I618, "Zelden", 1, "Af en toe", 4, "Regelmatig", 8, "Vaak", 12)</f>
        <v/>
      </c>
      <c r="S618">
        <f>AVERAGE(--(K618="ja"), --(L618="ja"), --(M618="ja"), --(N618="ja"), --(O618="ja"))*10</f>
        <v/>
      </c>
      <c r="T618">
        <f>IF(S618&gt;=7, "Tevreden", "Ontevreden")</f>
        <v/>
      </c>
    </row>
    <row r="619">
      <c r="A619" t="inlineStr">
        <is>
          <t>Jürgen</t>
        </is>
      </c>
      <c r="B619" t="inlineStr">
        <is>
          <t>Lecocq</t>
        </is>
      </c>
      <c r="C619" t="inlineStr">
        <is>
          <t>826.66668-80</t>
        </is>
      </c>
      <c r="D619" t="inlineStr">
        <is>
          <t>25/06/1991</t>
        </is>
      </c>
      <c r="E619" t="inlineStr">
        <is>
          <t>Brugstraat 11, 3520 Zonhoven</t>
        </is>
      </c>
      <c r="F619" t="inlineStr">
        <is>
          <t>Jürgen,Döne</t>
        </is>
      </c>
      <c r="G619" t="n">
        <v>81.65000000000001</v>
      </c>
      <c r="H619" t="n">
        <v>11</v>
      </c>
      <c r="I619" t="inlineStr">
        <is>
          <t>Cash</t>
        </is>
      </c>
      <c r="J619" t="inlineStr">
        <is>
          <t>nee</t>
        </is>
      </c>
      <c r="K619" t="inlineStr">
        <is>
          <t>ja</t>
        </is>
      </c>
      <c r="L619" t="inlineStr">
        <is>
          <t>nee</t>
        </is>
      </c>
      <c r="M619" t="inlineStr">
        <is>
          <t>ja</t>
        </is>
      </c>
      <c r="N619" t="inlineStr">
        <is>
          <t>nee</t>
        </is>
      </c>
      <c r="O619" t="inlineStr">
        <is>
          <t>Veganistisch</t>
        </is>
      </c>
      <c r="Q619">
        <f>LEN(G619)-LEN(SUBSTITUTE(G619,",",""))+1</f>
        <v/>
      </c>
      <c r="R619">
        <f>SWITCH(I619, "Zelden", 1, "Af en toe", 4, "Regelmatig", 8, "Vaak", 12)</f>
        <v/>
      </c>
      <c r="S619">
        <f>AVERAGE(--(K619="ja"), --(L619="ja"), --(M619="ja"), --(N619="ja"), --(O619="ja"))*10</f>
        <v/>
      </c>
      <c r="T619">
        <f>IF(S619&gt;=7, "Tevreden", "Ontevreden")</f>
        <v/>
      </c>
    </row>
    <row r="620">
      <c r="A620" t="inlineStr">
        <is>
          <t>Myriam</t>
        </is>
      </c>
      <c r="B620" t="inlineStr">
        <is>
          <t>Maertens</t>
        </is>
      </c>
      <c r="C620" t="inlineStr">
        <is>
          <t>967.46068-17</t>
        </is>
      </c>
      <c r="D620" t="inlineStr">
        <is>
          <t>21/06/1998</t>
        </is>
      </c>
      <c r="E620" t="inlineStr">
        <is>
          <t>Wondelgemstraat 1, 3650 Dilsen-Stokkem</t>
        </is>
      </c>
      <c r="F620" t="inlineStr">
        <is>
          <t>Myriam,Lauretta,Ibrahim</t>
        </is>
      </c>
      <c r="G620" t="n">
        <v>18.74</v>
      </c>
      <c r="H620" t="n">
        <v>1</v>
      </c>
      <c r="I620" t="inlineStr">
        <is>
          <t>Bancontact</t>
        </is>
      </c>
      <c r="J620" t="inlineStr">
        <is>
          <t>nee</t>
        </is>
      </c>
      <c r="K620" t="inlineStr">
        <is>
          <t>ja</t>
        </is>
      </c>
      <c r="L620" t="inlineStr">
        <is>
          <t>ja</t>
        </is>
      </c>
      <c r="M620" t="inlineStr">
        <is>
          <t>ja</t>
        </is>
      </c>
      <c r="N620" t="inlineStr">
        <is>
          <t>ja</t>
        </is>
      </c>
      <c r="O620" t="inlineStr">
        <is>
          <t>Vegetarisch</t>
        </is>
      </c>
      <c r="Q620">
        <f>LEN(G620)-LEN(SUBSTITUTE(G620,",",""))+1</f>
        <v/>
      </c>
      <c r="R620">
        <f>SWITCH(I620, "Zelden", 1, "Af en toe", 4, "Regelmatig", 8, "Vaak", 12)</f>
        <v/>
      </c>
      <c r="S620">
        <f>AVERAGE(--(K620="ja"), --(L620="ja"), --(M620="ja"), --(N620="ja"), --(O620="ja"))*10</f>
        <v/>
      </c>
      <c r="T620">
        <f>IF(S620&gt;=7, "Tevreden", "Ontevreden")</f>
        <v/>
      </c>
    </row>
    <row r="621">
      <c r="A621" t="inlineStr">
        <is>
          <t>Leon</t>
        </is>
      </c>
      <c r="B621" t="inlineStr">
        <is>
          <t>Fontaine</t>
        </is>
      </c>
      <c r="C621" t="inlineStr">
        <is>
          <t>494.21529-48</t>
        </is>
      </c>
      <c r="D621" t="inlineStr">
        <is>
          <t>17/08/1991</t>
        </is>
      </c>
      <c r="E621" t="inlineStr">
        <is>
          <t>Rozier 67, 3500 Hasselt</t>
        </is>
      </c>
      <c r="F621" t="inlineStr">
        <is>
          <t>Leon,Aymane,Johan</t>
        </is>
      </c>
      <c r="G621" t="n">
        <v>178.99</v>
      </c>
      <c r="H621" t="n">
        <v>1</v>
      </c>
      <c r="I621" t="inlineStr">
        <is>
          <t>Creditcard</t>
        </is>
      </c>
      <c r="J621" t="inlineStr">
        <is>
          <t>ja</t>
        </is>
      </c>
      <c r="K621" t="inlineStr">
        <is>
          <t>nee</t>
        </is>
      </c>
      <c r="L621" t="inlineStr">
        <is>
          <t>ja</t>
        </is>
      </c>
      <c r="M621" t="inlineStr">
        <is>
          <t>ja</t>
        </is>
      </c>
      <c r="N621" t="inlineStr">
        <is>
          <t>ja</t>
        </is>
      </c>
      <c r="O621" t="inlineStr">
        <is>
          <t>Geen dieet</t>
        </is>
      </c>
      <c r="Q621">
        <f>LEN(G621)-LEN(SUBSTITUTE(G621,",",""))+1</f>
        <v/>
      </c>
      <c r="R621">
        <f>SWITCH(I621, "Zelden", 1, "Af en toe", 4, "Regelmatig", 8, "Vaak", 12)</f>
        <v/>
      </c>
      <c r="S621">
        <f>AVERAGE(--(K621="ja"), --(L621="ja"), --(M621="ja"), --(N621="ja"), --(O621="ja"))*10</f>
        <v/>
      </c>
      <c r="T621">
        <f>IF(S621&gt;=7, "Tevreden", "Ontevreden")</f>
        <v/>
      </c>
    </row>
    <row r="622">
      <c r="A622" t="inlineStr">
        <is>
          <t>Leopold</t>
        </is>
      </c>
      <c r="B622" t="inlineStr">
        <is>
          <t>De waele</t>
        </is>
      </c>
      <c r="C622" t="inlineStr">
        <is>
          <t>749.42171-40</t>
        </is>
      </c>
      <c r="D622" t="inlineStr">
        <is>
          <t>29/09/1969</t>
        </is>
      </c>
      <c r="E622" t="inlineStr">
        <is>
          <t>Molenstraat 37, 3890 Gingelom</t>
        </is>
      </c>
      <c r="F622" t="inlineStr">
        <is>
          <t>Leopold,Rui,Philippe</t>
        </is>
      </c>
      <c r="G622" t="n">
        <v>156.53</v>
      </c>
      <c r="H622" t="n">
        <v>7</v>
      </c>
      <c r="I622" t="inlineStr">
        <is>
          <t>Creditcard</t>
        </is>
      </c>
      <c r="J622" t="inlineStr">
        <is>
          <t>ja</t>
        </is>
      </c>
      <c r="K622" t="inlineStr">
        <is>
          <t>ja</t>
        </is>
      </c>
      <c r="L622" t="inlineStr">
        <is>
          <t>ja</t>
        </is>
      </c>
      <c r="M622" t="inlineStr">
        <is>
          <t>nee</t>
        </is>
      </c>
      <c r="N622" t="inlineStr">
        <is>
          <t>ja</t>
        </is>
      </c>
      <c r="O622" t="inlineStr">
        <is>
          <t>Geen dieet</t>
        </is>
      </c>
      <c r="Q622">
        <f>LEN(G622)-LEN(SUBSTITUTE(G622,",",""))+1</f>
        <v/>
      </c>
      <c r="R622">
        <f>SWITCH(I622, "Zelden", 1, "Af en toe", 4, "Regelmatig", 8, "Vaak", 12)</f>
        <v/>
      </c>
      <c r="S622">
        <f>AVERAGE(--(K622="ja"), --(L622="ja"), --(M622="ja"), --(N622="ja"), --(O622="ja"))*10</f>
        <v/>
      </c>
      <c r="T622">
        <f>IF(S622&gt;=7, "Tevreden", "Ontevreden")</f>
        <v/>
      </c>
    </row>
    <row r="623">
      <c r="A623" t="inlineStr">
        <is>
          <t>Eva</t>
        </is>
      </c>
      <c r="B623" t="inlineStr">
        <is>
          <t>Jacobs</t>
        </is>
      </c>
      <c r="C623" t="inlineStr">
        <is>
          <t>412.38225-58</t>
        </is>
      </c>
      <c r="D623" t="inlineStr">
        <is>
          <t>20/12/1977</t>
        </is>
      </c>
      <c r="E623" t="inlineStr">
        <is>
          <t>Johan Daisnestraat 11, 3900 Overpelt</t>
        </is>
      </c>
      <c r="F623" t="inlineStr">
        <is>
          <t>Eva,Leon,Jean-Philippe,Victor,Françoise</t>
        </is>
      </c>
      <c r="G623" t="n">
        <v>152.68</v>
      </c>
      <c r="H623" t="n">
        <v>3</v>
      </c>
      <c r="I623" t="inlineStr">
        <is>
          <t>Payconiq</t>
        </is>
      </c>
      <c r="J623" t="inlineStr">
        <is>
          <t>nee</t>
        </is>
      </c>
      <c r="K623" t="inlineStr">
        <is>
          <t>ja</t>
        </is>
      </c>
      <c r="L623" t="inlineStr">
        <is>
          <t>nee</t>
        </is>
      </c>
      <c r="M623" t="inlineStr">
        <is>
          <t>ja</t>
        </is>
      </c>
      <c r="N623" t="inlineStr">
        <is>
          <t>ja</t>
        </is>
      </c>
      <c r="O623" t="inlineStr">
        <is>
          <t>Geen dieet</t>
        </is>
      </c>
      <c r="Q623">
        <f>LEN(G623)-LEN(SUBSTITUTE(G623,",",""))+1</f>
        <v/>
      </c>
      <c r="R623">
        <f>SWITCH(I623, "Zelden", 1, "Af en toe", 4, "Regelmatig", 8, "Vaak", 12)</f>
        <v/>
      </c>
      <c r="S623">
        <f>AVERAGE(--(K623="ja"), --(L623="ja"), --(M623="ja"), --(N623="ja"), --(O623="ja"))*10</f>
        <v/>
      </c>
      <c r="T623">
        <f>IF(S623&gt;=7, "Tevreden", "Ontevreden")</f>
        <v/>
      </c>
    </row>
    <row r="624">
      <c r="A624" t="inlineStr">
        <is>
          <t>Abdel-Hamid</t>
        </is>
      </c>
      <c r="B624" t="inlineStr">
        <is>
          <t>Peeters</t>
        </is>
      </c>
      <c r="C624" t="inlineStr">
        <is>
          <t>453.97008-91</t>
        </is>
      </c>
      <c r="D624" t="inlineStr">
        <is>
          <t>02/01/1995</t>
        </is>
      </c>
      <c r="E624" t="inlineStr">
        <is>
          <t>Lijnwaadstraat 8, 3630 Maasmechelen</t>
        </is>
      </c>
      <c r="F624" t="inlineStr">
        <is>
          <t>Abdel-Hamid,Seydi,Mireille,Aissatou,Victor,Alexandre,Erika</t>
        </is>
      </c>
      <c r="G624" t="n">
        <v>255.17</v>
      </c>
      <c r="H624" t="n">
        <v>14</v>
      </c>
      <c r="I624" t="inlineStr">
        <is>
          <t>Payconiq</t>
        </is>
      </c>
      <c r="J624" t="inlineStr">
        <is>
          <t>ja</t>
        </is>
      </c>
      <c r="K624" t="inlineStr">
        <is>
          <t>ja</t>
        </is>
      </c>
      <c r="L624" t="inlineStr">
        <is>
          <t>ja</t>
        </is>
      </c>
      <c r="M624" t="inlineStr">
        <is>
          <t>ja</t>
        </is>
      </c>
      <c r="N624" t="inlineStr">
        <is>
          <t>ja</t>
        </is>
      </c>
      <c r="O624" t="inlineStr">
        <is>
          <t>Geen dieet</t>
        </is>
      </c>
      <c r="Q624">
        <f>LEN(G624)-LEN(SUBSTITUTE(G624,",",""))+1</f>
        <v/>
      </c>
      <c r="R624">
        <f>SWITCH(I624, "Zelden", 1, "Af en toe", 4, "Regelmatig", 8, "Vaak", 12)</f>
        <v/>
      </c>
      <c r="S624">
        <f>AVERAGE(--(K624="ja"), --(L624="ja"), --(M624="ja"), --(N624="ja"), --(O624="ja"))*10</f>
        <v/>
      </c>
      <c r="T624">
        <f>IF(S624&gt;=7, "Tevreden", "Ontevreden")</f>
        <v/>
      </c>
    </row>
    <row r="625">
      <c r="A625" t="inlineStr">
        <is>
          <t>Nicole</t>
        </is>
      </c>
      <c r="B625" t="inlineStr">
        <is>
          <t>Laurent</t>
        </is>
      </c>
      <c r="C625" t="inlineStr">
        <is>
          <t>76.10518-65</t>
        </is>
      </c>
      <c r="D625" t="inlineStr">
        <is>
          <t>02/11/1988</t>
        </is>
      </c>
      <c r="E625" t="inlineStr">
        <is>
          <t>Ketelvest 8, 3720 Kortessem</t>
        </is>
      </c>
      <c r="F625" t="inlineStr">
        <is>
          <t>Nicole,Katrien</t>
        </is>
      </c>
      <c r="G625" t="n">
        <v>134.13</v>
      </c>
      <c r="H625" t="n">
        <v>1</v>
      </c>
      <c r="I625" t="inlineStr">
        <is>
          <t>Payconiq</t>
        </is>
      </c>
      <c r="J625" t="inlineStr">
        <is>
          <t>ja</t>
        </is>
      </c>
      <c r="K625" t="inlineStr">
        <is>
          <t>ja</t>
        </is>
      </c>
      <c r="L625" t="inlineStr">
        <is>
          <t>ja</t>
        </is>
      </c>
      <c r="M625" t="inlineStr">
        <is>
          <t>ja</t>
        </is>
      </c>
      <c r="N625" t="inlineStr">
        <is>
          <t>nee</t>
        </is>
      </c>
      <c r="O625" t="inlineStr">
        <is>
          <t>Geen dieet</t>
        </is>
      </c>
      <c r="Q625">
        <f>LEN(G625)-LEN(SUBSTITUTE(G625,",",""))+1</f>
        <v/>
      </c>
      <c r="R625">
        <f>SWITCH(I625, "Zelden", 1, "Af en toe", 4, "Regelmatig", 8, "Vaak", 12)</f>
        <v/>
      </c>
      <c r="S625">
        <f>AVERAGE(--(K625="ja"), --(L625="ja"), --(M625="ja"), --(N625="ja"), --(O625="ja"))*10</f>
        <v/>
      </c>
      <c r="T625">
        <f>IF(S625&gt;=7, "Tevreden", "Ontevreden")</f>
        <v/>
      </c>
    </row>
    <row r="626">
      <c r="A626" t="inlineStr">
        <is>
          <t>Margot</t>
        </is>
      </c>
      <c r="B626" t="inlineStr">
        <is>
          <t>Guillaume</t>
        </is>
      </c>
      <c r="C626" t="inlineStr">
        <is>
          <t>274.35672-13</t>
        </is>
      </c>
      <c r="D626" t="inlineStr">
        <is>
          <t>02/04/1999</t>
        </is>
      </c>
      <c r="E626" t="inlineStr">
        <is>
          <t>Steenakker 10, 3970 Leopoldsburg</t>
        </is>
      </c>
      <c r="F626" t="inlineStr">
        <is>
          <t>Margot,Akira</t>
        </is>
      </c>
      <c r="G626" t="n">
        <v>32.74</v>
      </c>
      <c r="H626" t="n">
        <v>2</v>
      </c>
      <c r="I626" t="inlineStr">
        <is>
          <t>Bancontact</t>
        </is>
      </c>
      <c r="J626" t="inlineStr">
        <is>
          <t>nee</t>
        </is>
      </c>
      <c r="K626" t="inlineStr">
        <is>
          <t>ja</t>
        </is>
      </c>
      <c r="L626" t="inlineStr">
        <is>
          <t>ja</t>
        </is>
      </c>
      <c r="M626" t="inlineStr">
        <is>
          <t>ja</t>
        </is>
      </c>
      <c r="N626" t="inlineStr">
        <is>
          <t>ja</t>
        </is>
      </c>
      <c r="O626" t="inlineStr">
        <is>
          <t>Veganistisch</t>
        </is>
      </c>
      <c r="Q626">
        <f>LEN(G626)-LEN(SUBSTITUTE(G626,",",""))+1</f>
        <v/>
      </c>
      <c r="R626">
        <f>SWITCH(I626, "Zelden", 1, "Af en toe", 4, "Regelmatig", 8, "Vaak", 12)</f>
        <v/>
      </c>
      <c r="S626">
        <f>AVERAGE(--(K626="ja"), --(L626="ja"), --(M626="ja"), --(N626="ja"), --(O626="ja"))*10</f>
        <v/>
      </c>
      <c r="T626">
        <f>IF(S626&gt;=7, "Tevreden", "Ontevreden")</f>
        <v/>
      </c>
    </row>
    <row r="627">
      <c r="A627" t="inlineStr">
        <is>
          <t>Rayan</t>
        </is>
      </c>
      <c r="B627" t="inlineStr">
        <is>
          <t>Verlinden</t>
        </is>
      </c>
      <c r="C627" t="inlineStr">
        <is>
          <t>615.40599-46</t>
        </is>
      </c>
      <c r="D627" t="inlineStr">
        <is>
          <t>30/09/1990</t>
        </is>
      </c>
      <c r="E627" t="inlineStr">
        <is>
          <t>François Benardstraat 14, 3600 Genk</t>
        </is>
      </c>
      <c r="F627" t="inlineStr">
        <is>
          <t>Rayan,Viviane</t>
        </is>
      </c>
      <c r="G627" t="n">
        <v>75.81999999999999</v>
      </c>
      <c r="H627" t="n">
        <v>16</v>
      </c>
      <c r="I627" t="inlineStr">
        <is>
          <t>Cash</t>
        </is>
      </c>
      <c r="J627" t="inlineStr">
        <is>
          <t>nee</t>
        </is>
      </c>
      <c r="K627" t="inlineStr">
        <is>
          <t>ja</t>
        </is>
      </c>
      <c r="L627" t="inlineStr">
        <is>
          <t>ja</t>
        </is>
      </c>
      <c r="M627" t="inlineStr">
        <is>
          <t>ja</t>
        </is>
      </c>
      <c r="N627" t="inlineStr">
        <is>
          <t>ja</t>
        </is>
      </c>
      <c r="O627" t="inlineStr">
        <is>
          <t>Geen dieet</t>
        </is>
      </c>
      <c r="Q627">
        <f>LEN(G627)-LEN(SUBSTITUTE(G627,",",""))+1</f>
        <v/>
      </c>
      <c r="R627">
        <f>SWITCH(I627, "Zelden", 1, "Af en toe", 4, "Regelmatig", 8, "Vaak", 12)</f>
        <v/>
      </c>
      <c r="S627">
        <f>AVERAGE(--(K627="ja"), --(L627="ja"), --(M627="ja"), --(N627="ja"), --(O627="ja"))*10</f>
        <v/>
      </c>
      <c r="T627">
        <f>IF(S627&gt;=7, "Tevreden", "Ontevreden")</f>
        <v/>
      </c>
    </row>
    <row r="628">
      <c r="A628" t="inlineStr">
        <is>
          <t>Liam</t>
        </is>
      </c>
      <c r="B628" t="inlineStr">
        <is>
          <t>Verheyden</t>
        </is>
      </c>
      <c r="C628" t="inlineStr">
        <is>
          <t>311.41785-96</t>
        </is>
      </c>
      <c r="D628" t="inlineStr">
        <is>
          <t>18/11/1957</t>
        </is>
      </c>
      <c r="E628" t="inlineStr">
        <is>
          <t>Tennisbaanstraat 57, 3520 Zonhoven</t>
        </is>
      </c>
      <c r="F628" t="inlineStr">
        <is>
          <t>Liam,Annie</t>
        </is>
      </c>
      <c r="G628" t="n">
        <v>228.05</v>
      </c>
      <c r="H628" t="n">
        <v>8</v>
      </c>
      <c r="I628" t="inlineStr">
        <is>
          <t>Payconiq</t>
        </is>
      </c>
      <c r="J628" t="inlineStr">
        <is>
          <t>nee</t>
        </is>
      </c>
      <c r="K628" t="inlineStr">
        <is>
          <t>ja</t>
        </is>
      </c>
      <c r="L628" t="inlineStr">
        <is>
          <t>ja</t>
        </is>
      </c>
      <c r="M628" t="inlineStr">
        <is>
          <t>nee</t>
        </is>
      </c>
      <c r="N628" t="inlineStr">
        <is>
          <t>ja</t>
        </is>
      </c>
      <c r="O628" t="inlineStr">
        <is>
          <t>Geen dieet</t>
        </is>
      </c>
      <c r="Q628">
        <f>LEN(G628)-LEN(SUBSTITUTE(G628,",",""))+1</f>
        <v/>
      </c>
      <c r="R628">
        <f>SWITCH(I628, "Zelden", 1, "Af en toe", 4, "Regelmatig", 8, "Vaak", 12)</f>
        <v/>
      </c>
      <c r="S628">
        <f>AVERAGE(--(K628="ja"), --(L628="ja"), --(M628="ja"), --(N628="ja"), --(O628="ja"))*10</f>
        <v/>
      </c>
      <c r="T628">
        <f>IF(S628&gt;=7, "Tevreden", "Ontevreden")</f>
        <v/>
      </c>
    </row>
    <row r="629">
      <c r="A629" t="inlineStr">
        <is>
          <t>Annie</t>
        </is>
      </c>
      <c r="B629" t="inlineStr">
        <is>
          <t>Collin</t>
        </is>
      </c>
      <c r="C629" t="inlineStr">
        <is>
          <t>876.94914-13</t>
        </is>
      </c>
      <c r="D629" t="inlineStr">
        <is>
          <t>19/11/1950</t>
        </is>
      </c>
      <c r="E629" t="inlineStr">
        <is>
          <t>J. Van Crombrugghestraat 31, 3620 Lanaken</t>
        </is>
      </c>
      <c r="F629" t="inlineStr">
        <is>
          <t>Annie,Sharif,Chiel,David</t>
        </is>
      </c>
      <c r="G629" t="n">
        <v>169.34</v>
      </c>
      <c r="H629" t="n">
        <v>6</v>
      </c>
      <c r="I629" t="inlineStr">
        <is>
          <t>Bancontact</t>
        </is>
      </c>
      <c r="J629" t="inlineStr">
        <is>
          <t>ja</t>
        </is>
      </c>
      <c r="K629" t="inlineStr">
        <is>
          <t>ja</t>
        </is>
      </c>
      <c r="L629" t="inlineStr">
        <is>
          <t>ja</t>
        </is>
      </c>
      <c r="M629" t="inlineStr">
        <is>
          <t>ja</t>
        </is>
      </c>
      <c r="N629" t="inlineStr">
        <is>
          <t>nee</t>
        </is>
      </c>
      <c r="O629" t="inlineStr">
        <is>
          <t>Geen dieet</t>
        </is>
      </c>
      <c r="Q629">
        <f>LEN(G629)-LEN(SUBSTITUTE(G629,",",""))+1</f>
        <v/>
      </c>
      <c r="R629">
        <f>SWITCH(I629, "Zelden", 1, "Af en toe", 4, "Regelmatig", 8, "Vaak", 12)</f>
        <v/>
      </c>
      <c r="S629">
        <f>AVERAGE(--(K629="ja"), --(L629="ja"), --(M629="ja"), --(N629="ja"), --(O629="ja"))*10</f>
        <v/>
      </c>
      <c r="T629">
        <f>IF(S629&gt;=7, "Tevreden", "Ontevreden")</f>
        <v/>
      </c>
    </row>
    <row r="630">
      <c r="A630" t="inlineStr">
        <is>
          <t>Lies</t>
        </is>
      </c>
      <c r="B630" t="inlineStr">
        <is>
          <t>Devos</t>
        </is>
      </c>
      <c r="C630" t="inlineStr">
        <is>
          <t>492.69116-70</t>
        </is>
      </c>
      <c r="D630" t="inlineStr">
        <is>
          <t>07/07/1995</t>
        </is>
      </c>
      <c r="E630" t="inlineStr">
        <is>
          <t>Lieven Bauwensplein 29, 3970 Leopoldsburg</t>
        </is>
      </c>
      <c r="F630" t="inlineStr">
        <is>
          <t>Lies,Elias</t>
        </is>
      </c>
      <c r="G630" t="n">
        <v>158.69</v>
      </c>
      <c r="H630" t="n">
        <v>15</v>
      </c>
      <c r="I630" t="inlineStr">
        <is>
          <t>Bancontact</t>
        </is>
      </c>
      <c r="J630" t="inlineStr">
        <is>
          <t>nee</t>
        </is>
      </c>
      <c r="K630" t="inlineStr">
        <is>
          <t>ja</t>
        </is>
      </c>
      <c r="L630" t="inlineStr">
        <is>
          <t>ja</t>
        </is>
      </c>
      <c r="M630" t="inlineStr">
        <is>
          <t>ja</t>
        </is>
      </c>
      <c r="N630" t="inlineStr">
        <is>
          <t>nee</t>
        </is>
      </c>
      <c r="O630" t="inlineStr">
        <is>
          <t>Vegetarisch</t>
        </is>
      </c>
      <c r="Q630">
        <f>LEN(G630)-LEN(SUBSTITUTE(G630,",",""))+1</f>
        <v/>
      </c>
      <c r="R630">
        <f>SWITCH(I630, "Zelden", 1, "Af en toe", 4, "Regelmatig", 8, "Vaak", 12)</f>
        <v/>
      </c>
      <c r="S630">
        <f>AVERAGE(--(K630="ja"), --(L630="ja"), --(M630="ja"), --(N630="ja"), --(O630="ja"))*10</f>
        <v/>
      </c>
      <c r="T630">
        <f>IF(S630&gt;=7, "Tevreden", "Ontevreden")</f>
        <v/>
      </c>
    </row>
    <row r="631">
      <c r="A631" t="inlineStr">
        <is>
          <t>Michel</t>
        </is>
      </c>
      <c r="B631" t="inlineStr">
        <is>
          <t>Lecomte</t>
        </is>
      </c>
      <c r="C631" t="inlineStr">
        <is>
          <t>710.66898-70</t>
        </is>
      </c>
      <c r="D631" t="inlineStr">
        <is>
          <t>04/03/1961</t>
        </is>
      </c>
      <c r="E631" t="inlineStr">
        <is>
          <t>Fregatstraat 32, 3740 Bilzen</t>
        </is>
      </c>
      <c r="F631" t="inlineStr">
        <is>
          <t>Michel,Linda,Maria</t>
        </is>
      </c>
      <c r="G631" t="n">
        <v>104.75</v>
      </c>
      <c r="H631" t="n">
        <v>11</v>
      </c>
      <c r="I631" t="inlineStr">
        <is>
          <t>Bancontact</t>
        </is>
      </c>
      <c r="J631" t="inlineStr">
        <is>
          <t>ja</t>
        </is>
      </c>
      <c r="K631" t="inlineStr">
        <is>
          <t>nee</t>
        </is>
      </c>
      <c r="L631" t="inlineStr">
        <is>
          <t>ja</t>
        </is>
      </c>
      <c r="M631" t="inlineStr">
        <is>
          <t>nee</t>
        </is>
      </c>
      <c r="N631" t="inlineStr">
        <is>
          <t>ja</t>
        </is>
      </c>
      <c r="O631" t="inlineStr">
        <is>
          <t>Geen dieet</t>
        </is>
      </c>
      <c r="Q631">
        <f>LEN(G631)-LEN(SUBSTITUTE(G631,",",""))+1</f>
        <v/>
      </c>
      <c r="R631">
        <f>SWITCH(I631, "Zelden", 1, "Af en toe", 4, "Regelmatig", 8, "Vaak", 12)</f>
        <v/>
      </c>
      <c r="S631">
        <f>AVERAGE(--(K631="ja"), --(L631="ja"), --(M631="ja"), --(N631="ja"), --(O631="ja"))*10</f>
        <v/>
      </c>
      <c r="T631">
        <f>IF(S631&gt;=7, "Tevreden", "Ontevreden")</f>
        <v/>
      </c>
    </row>
    <row r="632">
      <c r="A632" t="inlineStr">
        <is>
          <t>Jarne</t>
        </is>
      </c>
      <c r="B632" t="inlineStr">
        <is>
          <t>Van de walle</t>
        </is>
      </c>
      <c r="C632" t="inlineStr">
        <is>
          <t>59.90192-81</t>
        </is>
      </c>
      <c r="D632" t="inlineStr">
        <is>
          <t>16/08/1994</t>
        </is>
      </c>
      <c r="E632" t="inlineStr">
        <is>
          <t>Tweebruggenstraat 4, 3590 Diepenbeek</t>
        </is>
      </c>
      <c r="F632" t="inlineStr">
        <is>
          <t>Jarne,Nele,Dorian,Maure</t>
        </is>
      </c>
      <c r="G632" t="n">
        <v>78.81</v>
      </c>
      <c r="H632" t="n">
        <v>2</v>
      </c>
      <c r="I632" t="inlineStr">
        <is>
          <t>Bancontact</t>
        </is>
      </c>
      <c r="J632" t="inlineStr">
        <is>
          <t>ja</t>
        </is>
      </c>
      <c r="K632" t="inlineStr">
        <is>
          <t>ja</t>
        </is>
      </c>
      <c r="L632" t="inlineStr">
        <is>
          <t>ja</t>
        </is>
      </c>
      <c r="M632" t="inlineStr">
        <is>
          <t>ja</t>
        </is>
      </c>
      <c r="N632" t="inlineStr">
        <is>
          <t>ja</t>
        </is>
      </c>
      <c r="O632" t="inlineStr">
        <is>
          <t>Geen dieet</t>
        </is>
      </c>
      <c r="Q632">
        <f>LEN(G632)-LEN(SUBSTITUTE(G632,",",""))+1</f>
        <v/>
      </c>
      <c r="R632">
        <f>SWITCH(I632, "Zelden", 1, "Af en toe", 4, "Regelmatig", 8, "Vaak", 12)</f>
        <v/>
      </c>
      <c r="S632">
        <f>AVERAGE(--(K632="ja"), --(L632="ja"), --(M632="ja"), --(N632="ja"), --(O632="ja"))*10</f>
        <v/>
      </c>
      <c r="T632">
        <f>IF(S632&gt;=7, "Tevreden", "Ontevreden")</f>
        <v/>
      </c>
    </row>
    <row r="633">
      <c r="A633" t="inlineStr">
        <is>
          <t>Alex</t>
        </is>
      </c>
      <c r="B633" t="inlineStr">
        <is>
          <t>Somers</t>
        </is>
      </c>
      <c r="C633" t="inlineStr">
        <is>
          <t>691.47983-80</t>
        </is>
      </c>
      <c r="D633" t="inlineStr">
        <is>
          <t>11/05/1956</t>
        </is>
      </c>
      <c r="E633" t="inlineStr">
        <is>
          <t>Antwerpsesteenweg 16, 3500 Hasselt</t>
        </is>
      </c>
      <c r="F633" t="inlineStr">
        <is>
          <t>Alex,Fabien,Tassiana,Nathanaël</t>
        </is>
      </c>
      <c r="G633" t="n">
        <v>89.16</v>
      </c>
      <c r="H633" t="n">
        <v>16</v>
      </c>
      <c r="I633" t="inlineStr">
        <is>
          <t>Cash</t>
        </is>
      </c>
      <c r="J633" t="inlineStr">
        <is>
          <t>ja</t>
        </is>
      </c>
      <c r="K633" t="inlineStr">
        <is>
          <t>nee</t>
        </is>
      </c>
      <c r="L633" t="inlineStr">
        <is>
          <t>ja</t>
        </is>
      </c>
      <c r="M633" t="inlineStr">
        <is>
          <t>ja</t>
        </is>
      </c>
      <c r="N633" t="inlineStr">
        <is>
          <t>ja</t>
        </is>
      </c>
      <c r="O633" t="inlineStr">
        <is>
          <t>Vegetarisch</t>
        </is>
      </c>
      <c r="Q633">
        <f>LEN(G633)-LEN(SUBSTITUTE(G633,",",""))+1</f>
        <v/>
      </c>
      <c r="R633">
        <f>SWITCH(I633, "Zelden", 1, "Af en toe", 4, "Regelmatig", 8, "Vaak", 12)</f>
        <v/>
      </c>
      <c r="S633">
        <f>AVERAGE(--(K633="ja"), --(L633="ja"), --(M633="ja"), --(N633="ja"), --(O633="ja"))*10</f>
        <v/>
      </c>
      <c r="T633">
        <f>IF(S633&gt;=7, "Tevreden", "Ontevreden")</f>
        <v/>
      </c>
    </row>
    <row r="634">
      <c r="A634" t="inlineStr">
        <is>
          <t>Ulysse</t>
        </is>
      </c>
      <c r="B634" t="inlineStr">
        <is>
          <t>Laurent</t>
        </is>
      </c>
      <c r="C634" t="inlineStr">
        <is>
          <t>82.51516-73</t>
        </is>
      </c>
      <c r="D634" t="inlineStr">
        <is>
          <t>29/07/1954</t>
        </is>
      </c>
      <c r="E634" t="inlineStr">
        <is>
          <t>Bredestraat 6, 3550 Heusden-Zolder</t>
        </is>
      </c>
      <c r="F634" t="inlineStr">
        <is>
          <t>Ulysse,Annelies</t>
        </is>
      </c>
      <c r="G634" t="n">
        <v>107.57</v>
      </c>
      <c r="H634" t="n">
        <v>8</v>
      </c>
      <c r="I634" t="inlineStr">
        <is>
          <t>Payconiq</t>
        </is>
      </c>
      <c r="J634" t="inlineStr">
        <is>
          <t>ja</t>
        </is>
      </c>
      <c r="K634" t="inlineStr">
        <is>
          <t>ja</t>
        </is>
      </c>
      <c r="L634" t="inlineStr">
        <is>
          <t>ja</t>
        </is>
      </c>
      <c r="M634" t="inlineStr">
        <is>
          <t>ja</t>
        </is>
      </c>
      <c r="N634" t="inlineStr">
        <is>
          <t>nee</t>
        </is>
      </c>
      <c r="O634" t="inlineStr">
        <is>
          <t>Geen dieet</t>
        </is>
      </c>
      <c r="Q634">
        <f>LEN(G634)-LEN(SUBSTITUTE(G634,",",""))+1</f>
        <v/>
      </c>
      <c r="R634">
        <f>SWITCH(I634, "Zelden", 1, "Af en toe", 4, "Regelmatig", 8, "Vaak", 12)</f>
        <v/>
      </c>
      <c r="S634">
        <f>AVERAGE(--(K634="ja"), --(L634="ja"), --(M634="ja"), --(N634="ja"), --(O634="ja"))*10</f>
        <v/>
      </c>
      <c r="T634">
        <f>IF(S634&gt;=7, "Tevreden", "Ontevreden")</f>
        <v/>
      </c>
    </row>
    <row r="635">
      <c r="A635" t="inlineStr">
        <is>
          <t>Victoria</t>
        </is>
      </c>
      <c r="B635" t="inlineStr">
        <is>
          <t>Nuyts</t>
        </is>
      </c>
      <c r="C635" t="inlineStr">
        <is>
          <t>395.56939-12</t>
        </is>
      </c>
      <c r="D635" t="inlineStr">
        <is>
          <t>20/08/1959</t>
        </is>
      </c>
      <c r="E635" t="inlineStr">
        <is>
          <t>Dok-noord 63, 3500 Hasselt</t>
        </is>
      </c>
      <c r="F635" t="inlineStr">
        <is>
          <t>Victoria,Leon,Yvonne</t>
        </is>
      </c>
      <c r="G635" t="n">
        <v>131.76</v>
      </c>
      <c r="H635" t="n">
        <v>1</v>
      </c>
      <c r="I635" t="inlineStr">
        <is>
          <t>Payconiq</t>
        </is>
      </c>
      <c r="J635" t="inlineStr">
        <is>
          <t>ja</t>
        </is>
      </c>
      <c r="K635" t="inlineStr">
        <is>
          <t>ja</t>
        </is>
      </c>
      <c r="L635" t="inlineStr">
        <is>
          <t>ja</t>
        </is>
      </c>
      <c r="M635" t="inlineStr">
        <is>
          <t>ja</t>
        </is>
      </c>
      <c r="N635" t="inlineStr">
        <is>
          <t>ja</t>
        </is>
      </c>
      <c r="O635" t="inlineStr">
        <is>
          <t>Geen dieet</t>
        </is>
      </c>
      <c r="Q635">
        <f>LEN(G635)-LEN(SUBSTITUTE(G635,",",""))+1</f>
        <v/>
      </c>
      <c r="R635">
        <f>SWITCH(I635, "Zelden", 1, "Af en toe", 4, "Regelmatig", 8, "Vaak", 12)</f>
        <v/>
      </c>
      <c r="S635">
        <f>AVERAGE(--(K635="ja"), --(L635="ja"), --(M635="ja"), --(N635="ja"), --(O635="ja"))*10</f>
        <v/>
      </c>
      <c r="T635">
        <f>IF(S635&gt;=7, "Tevreden", "Ontevreden")</f>
        <v/>
      </c>
    </row>
    <row r="636">
      <c r="A636" t="inlineStr">
        <is>
          <t>Magda</t>
        </is>
      </c>
      <c r="B636" t="inlineStr">
        <is>
          <t>Janssens</t>
        </is>
      </c>
      <c r="C636" t="inlineStr">
        <is>
          <t>753.39852-15</t>
        </is>
      </c>
      <c r="D636" t="inlineStr">
        <is>
          <t>28/06/1966</t>
        </is>
      </c>
      <c r="E636" t="inlineStr">
        <is>
          <t>Albrecht Rodenbachstraat 3, 3550 Heusden-Zolder</t>
        </is>
      </c>
      <c r="F636" t="inlineStr">
        <is>
          <t>Magda</t>
        </is>
      </c>
      <c r="G636" t="n">
        <v>30.37</v>
      </c>
      <c r="H636" t="n">
        <v>8</v>
      </c>
      <c r="I636" t="inlineStr">
        <is>
          <t>Payconiq</t>
        </is>
      </c>
      <c r="J636" t="inlineStr">
        <is>
          <t>ja</t>
        </is>
      </c>
      <c r="K636" t="inlineStr">
        <is>
          <t>ja</t>
        </is>
      </c>
      <c r="L636" t="inlineStr">
        <is>
          <t>ja</t>
        </is>
      </c>
      <c r="M636" t="inlineStr">
        <is>
          <t>ja</t>
        </is>
      </c>
      <c r="N636" t="inlineStr">
        <is>
          <t>nee</t>
        </is>
      </c>
      <c r="O636" t="inlineStr">
        <is>
          <t>Geen dieet</t>
        </is>
      </c>
      <c r="Q636">
        <f>LEN(G636)-LEN(SUBSTITUTE(G636,",",""))+1</f>
        <v/>
      </c>
      <c r="R636">
        <f>SWITCH(I636, "Zelden", 1, "Af en toe", 4, "Regelmatig", 8, "Vaak", 12)</f>
        <v/>
      </c>
      <c r="S636">
        <f>AVERAGE(--(K636="ja"), --(L636="ja"), --(M636="ja"), --(N636="ja"), --(O636="ja"))*10</f>
        <v/>
      </c>
      <c r="T636">
        <f>IF(S636&gt;=7, "Tevreden", "Ontevreden")</f>
        <v/>
      </c>
    </row>
    <row r="637">
      <c r="A637" t="inlineStr">
        <is>
          <t>Sophie</t>
        </is>
      </c>
      <c r="B637" t="inlineStr">
        <is>
          <t>Meunier</t>
        </is>
      </c>
      <c r="C637" t="inlineStr">
        <is>
          <t>104.48201-98</t>
        </is>
      </c>
      <c r="D637" t="inlineStr">
        <is>
          <t>18/11/1962</t>
        </is>
      </c>
      <c r="E637" t="inlineStr">
        <is>
          <t>Maaltebruggestraat 40, 3690 Zutendaal</t>
        </is>
      </c>
      <c r="F637" t="inlineStr">
        <is>
          <t>Sophie,Greet,Naïm</t>
        </is>
      </c>
      <c r="G637" t="n">
        <v>106.93</v>
      </c>
      <c r="H637" t="n">
        <v>11</v>
      </c>
      <c r="I637" t="inlineStr">
        <is>
          <t>Creditcard</t>
        </is>
      </c>
      <c r="J637" t="inlineStr">
        <is>
          <t>ja</t>
        </is>
      </c>
      <c r="K637" t="inlineStr">
        <is>
          <t>nee</t>
        </is>
      </c>
      <c r="L637" t="inlineStr">
        <is>
          <t>nee</t>
        </is>
      </c>
      <c r="M637" t="inlineStr">
        <is>
          <t>ja</t>
        </is>
      </c>
      <c r="N637" t="inlineStr">
        <is>
          <t>ja</t>
        </is>
      </c>
      <c r="O637" t="inlineStr">
        <is>
          <t>Geen dieet</t>
        </is>
      </c>
      <c r="Q637">
        <f>LEN(G637)-LEN(SUBSTITUTE(G637,",",""))+1</f>
        <v/>
      </c>
      <c r="R637">
        <f>SWITCH(I637, "Zelden", 1, "Af en toe", 4, "Regelmatig", 8, "Vaak", 12)</f>
        <v/>
      </c>
      <c r="S637">
        <f>AVERAGE(--(K637="ja"), --(L637="ja"), --(M637="ja"), --(N637="ja"), --(O637="ja"))*10</f>
        <v/>
      </c>
      <c r="T637">
        <f>IF(S637&gt;=7, "Tevreden", "Ontevreden")</f>
        <v/>
      </c>
    </row>
    <row r="638">
      <c r="A638" t="inlineStr">
        <is>
          <t>Boris</t>
        </is>
      </c>
      <c r="B638" t="inlineStr">
        <is>
          <t>Baeten</t>
        </is>
      </c>
      <c r="C638" t="inlineStr">
        <is>
          <t>151.31298-77</t>
        </is>
      </c>
      <c r="D638" t="inlineStr">
        <is>
          <t>28/11/2001</t>
        </is>
      </c>
      <c r="E638" t="inlineStr">
        <is>
          <t>Tortelduifstraat 34, 3650 Dilsen-Stokkem</t>
        </is>
      </c>
      <c r="F638" t="inlineStr">
        <is>
          <t>Boris,Eddy,Michel</t>
        </is>
      </c>
      <c r="G638" t="n">
        <v>74.11</v>
      </c>
      <c r="H638" t="n">
        <v>6</v>
      </c>
      <c r="I638" t="inlineStr">
        <is>
          <t>Payconiq</t>
        </is>
      </c>
      <c r="J638" t="inlineStr">
        <is>
          <t>ja</t>
        </is>
      </c>
      <c r="K638" t="inlineStr">
        <is>
          <t>ja</t>
        </is>
      </c>
      <c r="L638" t="inlineStr">
        <is>
          <t>nee</t>
        </is>
      </c>
      <c r="M638" t="inlineStr">
        <is>
          <t>ja</t>
        </is>
      </c>
      <c r="N638" t="inlineStr">
        <is>
          <t>nee</t>
        </is>
      </c>
      <c r="O638" t="inlineStr">
        <is>
          <t>Vegetarisch</t>
        </is>
      </c>
      <c r="Q638">
        <f>LEN(G638)-LEN(SUBSTITUTE(G638,",",""))+1</f>
        <v/>
      </c>
      <c r="R638">
        <f>SWITCH(I638, "Zelden", 1, "Af en toe", 4, "Regelmatig", 8, "Vaak", 12)</f>
        <v/>
      </c>
      <c r="S638">
        <f>AVERAGE(--(K638="ja"), --(L638="ja"), --(M638="ja"), --(N638="ja"), --(O638="ja"))*10</f>
        <v/>
      </c>
      <c r="T638">
        <f>IF(S638&gt;=7, "Tevreden", "Ontevreden")</f>
        <v/>
      </c>
    </row>
    <row r="639">
      <c r="A639" t="inlineStr">
        <is>
          <t>Abdellah</t>
        </is>
      </c>
      <c r="B639" t="inlineStr">
        <is>
          <t>Nicolas</t>
        </is>
      </c>
      <c r="C639" t="inlineStr">
        <is>
          <t>143.17934-35</t>
        </is>
      </c>
      <c r="D639" t="inlineStr">
        <is>
          <t>15/06/1965</t>
        </is>
      </c>
      <c r="E639" t="inlineStr">
        <is>
          <t>Koninging Elisabethlaan 73, 3620 Lanaken</t>
        </is>
      </c>
      <c r="F639" t="inlineStr">
        <is>
          <t>Abdellah,Finnian</t>
        </is>
      </c>
      <c r="G639" t="n">
        <v>80.72</v>
      </c>
      <c r="H639" t="n">
        <v>14</v>
      </c>
      <c r="I639" t="inlineStr">
        <is>
          <t>Bancontact</t>
        </is>
      </c>
      <c r="J639" t="inlineStr">
        <is>
          <t>ja</t>
        </is>
      </c>
      <c r="K639" t="inlineStr">
        <is>
          <t>ja</t>
        </is>
      </c>
      <c r="L639" t="inlineStr">
        <is>
          <t>ja</t>
        </is>
      </c>
      <c r="M639" t="inlineStr">
        <is>
          <t>nee</t>
        </is>
      </c>
      <c r="N639" t="inlineStr">
        <is>
          <t>nee</t>
        </is>
      </c>
      <c r="O639" t="inlineStr">
        <is>
          <t>Geen dieet</t>
        </is>
      </c>
      <c r="Q639">
        <f>LEN(G639)-LEN(SUBSTITUTE(G639,",",""))+1</f>
        <v/>
      </c>
      <c r="R639">
        <f>SWITCH(I639, "Zelden", 1, "Af en toe", 4, "Regelmatig", 8, "Vaak", 12)</f>
        <v/>
      </c>
      <c r="S639">
        <f>AVERAGE(--(K639="ja"), --(L639="ja"), --(M639="ja"), --(N639="ja"), --(O639="ja"))*10</f>
        <v/>
      </c>
      <c r="T639">
        <f>IF(S639&gt;=7, "Tevreden", "Ontevreden")</f>
        <v/>
      </c>
    </row>
    <row r="640">
      <c r="A640" t="inlineStr">
        <is>
          <t>Alma</t>
        </is>
      </c>
      <c r="B640" t="inlineStr">
        <is>
          <t>Van de walle</t>
        </is>
      </c>
      <c r="C640" t="inlineStr">
        <is>
          <t>51.15185-26</t>
        </is>
      </c>
      <c r="D640" t="inlineStr">
        <is>
          <t>12/08/1963</t>
        </is>
      </c>
      <c r="E640" t="inlineStr">
        <is>
          <t>Frans Louwersstraat 33, 3690 Zutendaal</t>
        </is>
      </c>
      <c r="F640" t="inlineStr">
        <is>
          <t>Alma,Marc,Anne,Fatiha</t>
        </is>
      </c>
      <c r="G640" t="n">
        <v>158.57</v>
      </c>
      <c r="H640" t="n">
        <v>9</v>
      </c>
      <c r="I640" t="inlineStr">
        <is>
          <t>Cash</t>
        </is>
      </c>
      <c r="J640" t="inlineStr">
        <is>
          <t>nee</t>
        </is>
      </c>
      <c r="K640" t="inlineStr">
        <is>
          <t>ja</t>
        </is>
      </c>
      <c r="L640" t="inlineStr">
        <is>
          <t>ja</t>
        </is>
      </c>
      <c r="M640" t="inlineStr">
        <is>
          <t>nee</t>
        </is>
      </c>
      <c r="N640" t="inlineStr">
        <is>
          <t>ja</t>
        </is>
      </c>
      <c r="O640" t="inlineStr">
        <is>
          <t>Geen dieet</t>
        </is>
      </c>
      <c r="Q640">
        <f>LEN(G640)-LEN(SUBSTITUTE(G640,",",""))+1</f>
        <v/>
      </c>
      <c r="R640">
        <f>SWITCH(I640, "Zelden", 1, "Af en toe", 4, "Regelmatig", 8, "Vaak", 12)</f>
        <v/>
      </c>
      <c r="S640">
        <f>AVERAGE(--(K640="ja"), --(L640="ja"), --(M640="ja"), --(N640="ja"), --(O640="ja"))*10</f>
        <v/>
      </c>
      <c r="T640">
        <f>IF(S640&gt;=7, "Tevreden", "Ontevreden")</f>
        <v/>
      </c>
    </row>
    <row r="641">
      <c r="A641" t="inlineStr">
        <is>
          <t>Ann</t>
        </is>
      </c>
      <c r="B641" t="inlineStr">
        <is>
          <t>Hermans</t>
        </is>
      </c>
      <c r="C641" t="inlineStr">
        <is>
          <t>148.38701-44</t>
        </is>
      </c>
      <c r="D641" t="inlineStr">
        <is>
          <t>04/05/1972</t>
        </is>
      </c>
      <c r="E641" t="inlineStr">
        <is>
          <t>Overzet 7, 3900 Overpelt</t>
        </is>
      </c>
      <c r="F641" t="inlineStr">
        <is>
          <t>Ann,Steve,Nadia</t>
        </is>
      </c>
      <c r="G641" t="n">
        <v>128.16</v>
      </c>
      <c r="H641" t="n">
        <v>10</v>
      </c>
      <c r="I641" t="inlineStr">
        <is>
          <t>Payconiq</t>
        </is>
      </c>
      <c r="J641" t="inlineStr">
        <is>
          <t>ja</t>
        </is>
      </c>
      <c r="K641" t="inlineStr">
        <is>
          <t>ja</t>
        </is>
      </c>
      <c r="L641" t="inlineStr">
        <is>
          <t>ja</t>
        </is>
      </c>
      <c r="M641" t="inlineStr">
        <is>
          <t>ja</t>
        </is>
      </c>
      <c r="N641" t="inlineStr">
        <is>
          <t>ja</t>
        </is>
      </c>
      <c r="O641" t="inlineStr">
        <is>
          <t>Geen dieet</t>
        </is>
      </c>
      <c r="Q641">
        <f>LEN(G641)-LEN(SUBSTITUTE(G641,",",""))+1</f>
        <v/>
      </c>
      <c r="R641">
        <f>SWITCH(I641, "Zelden", 1, "Af en toe", 4, "Regelmatig", 8, "Vaak", 12)</f>
        <v/>
      </c>
      <c r="S641">
        <f>AVERAGE(--(K641="ja"), --(L641="ja"), --(M641="ja"), --(N641="ja"), --(O641="ja"))*10</f>
        <v/>
      </c>
      <c r="T641">
        <f>IF(S641&gt;=7, "Tevreden", "Ontevreden")</f>
        <v/>
      </c>
    </row>
    <row r="642">
      <c r="A642" t="inlineStr">
        <is>
          <t>Scheherazade</t>
        </is>
      </c>
      <c r="B642" t="inlineStr">
        <is>
          <t>De vos</t>
        </is>
      </c>
      <c r="C642" t="inlineStr">
        <is>
          <t>764.79328-48</t>
        </is>
      </c>
      <c r="D642" t="inlineStr">
        <is>
          <t>15/12/1966</t>
        </is>
      </c>
      <c r="E642" t="inlineStr">
        <is>
          <t>Florbertusstraat 31, 3500 Hasselt</t>
        </is>
      </c>
      <c r="F642" t="inlineStr">
        <is>
          <t>Scheherazade,Johny</t>
        </is>
      </c>
      <c r="G642" t="n">
        <v>104.31</v>
      </c>
      <c r="H642" t="n">
        <v>13</v>
      </c>
      <c r="I642" t="inlineStr">
        <is>
          <t>Payconiq</t>
        </is>
      </c>
      <c r="J642" t="inlineStr">
        <is>
          <t>nee</t>
        </is>
      </c>
      <c r="K642" t="inlineStr">
        <is>
          <t>ja</t>
        </is>
      </c>
      <c r="L642" t="inlineStr">
        <is>
          <t>ja</t>
        </is>
      </c>
      <c r="M642" t="inlineStr">
        <is>
          <t>nee</t>
        </is>
      </c>
      <c r="N642" t="inlineStr">
        <is>
          <t>ja</t>
        </is>
      </c>
      <c r="O642" t="inlineStr">
        <is>
          <t>Vegetarisch</t>
        </is>
      </c>
      <c r="Q642">
        <f>LEN(G642)-LEN(SUBSTITUTE(G642,",",""))+1</f>
        <v/>
      </c>
      <c r="R642">
        <f>SWITCH(I642, "Zelden", 1, "Af en toe", 4, "Regelmatig", 8, "Vaak", 12)</f>
        <v/>
      </c>
      <c r="S642">
        <f>AVERAGE(--(K642="ja"), --(L642="ja"), --(M642="ja"), --(N642="ja"), --(O642="ja"))*10</f>
        <v/>
      </c>
      <c r="T642">
        <f>IF(S642&gt;=7, "Tevreden", "Ontevreden")</f>
        <v/>
      </c>
    </row>
    <row r="643">
      <c r="A643" t="inlineStr">
        <is>
          <t>Roger</t>
        </is>
      </c>
      <c r="B643" t="inlineStr">
        <is>
          <t>De smet</t>
        </is>
      </c>
      <c r="C643" t="inlineStr">
        <is>
          <t>203.90271-16</t>
        </is>
      </c>
      <c r="D643" t="inlineStr">
        <is>
          <t>11/08/1969</t>
        </is>
      </c>
      <c r="E643" t="inlineStr">
        <is>
          <t>Buffelstraat 90, 3910 Neerpelt</t>
        </is>
      </c>
      <c r="F643" t="inlineStr">
        <is>
          <t>Roger,Lotte,Godelieve,Marta</t>
        </is>
      </c>
      <c r="G643" t="n">
        <v>147.21</v>
      </c>
      <c r="H643" t="n">
        <v>20</v>
      </c>
      <c r="I643" t="inlineStr">
        <is>
          <t>Payconiq</t>
        </is>
      </c>
      <c r="J643" t="inlineStr">
        <is>
          <t>ja</t>
        </is>
      </c>
      <c r="K643" t="inlineStr">
        <is>
          <t>ja</t>
        </is>
      </c>
      <c r="L643" t="inlineStr">
        <is>
          <t>nee</t>
        </is>
      </c>
      <c r="M643" t="inlineStr">
        <is>
          <t>ja</t>
        </is>
      </c>
      <c r="N643" t="inlineStr">
        <is>
          <t>ja</t>
        </is>
      </c>
      <c r="O643" t="inlineStr">
        <is>
          <t>Geen dieet</t>
        </is>
      </c>
      <c r="Q643">
        <f>LEN(G643)-LEN(SUBSTITUTE(G643,",",""))+1</f>
        <v/>
      </c>
      <c r="R643">
        <f>SWITCH(I643, "Zelden", 1, "Af en toe", 4, "Regelmatig", 8, "Vaak", 12)</f>
        <v/>
      </c>
      <c r="S643">
        <f>AVERAGE(--(K643="ja"), --(L643="ja"), --(M643="ja"), --(N643="ja"), --(O643="ja"))*10</f>
        <v/>
      </c>
      <c r="T643">
        <f>IF(S643&gt;=7, "Tevreden", "Ontevreden")</f>
        <v/>
      </c>
    </row>
    <row r="644">
      <c r="A644" t="inlineStr">
        <is>
          <t>Joram</t>
        </is>
      </c>
      <c r="B644" t="inlineStr">
        <is>
          <t>Jacobs</t>
        </is>
      </c>
      <c r="C644" t="inlineStr">
        <is>
          <t>909.58523-60</t>
        </is>
      </c>
      <c r="D644" t="inlineStr">
        <is>
          <t>30/01/1946</t>
        </is>
      </c>
      <c r="E644" t="inlineStr">
        <is>
          <t>Schouwingsstraat 53, 3530 Houthalen-Helchteren</t>
        </is>
      </c>
      <c r="F644" t="inlineStr">
        <is>
          <t>Joram</t>
        </is>
      </c>
      <c r="G644" t="n">
        <v>146</v>
      </c>
      <c r="H644" t="n">
        <v>17</v>
      </c>
      <c r="I644" t="inlineStr">
        <is>
          <t>Payconiq</t>
        </is>
      </c>
      <c r="J644" t="inlineStr">
        <is>
          <t>ja</t>
        </is>
      </c>
      <c r="K644" t="inlineStr">
        <is>
          <t>ja</t>
        </is>
      </c>
      <c r="L644" t="inlineStr">
        <is>
          <t>ja</t>
        </is>
      </c>
      <c r="M644" t="inlineStr">
        <is>
          <t>ja</t>
        </is>
      </c>
      <c r="N644" t="inlineStr">
        <is>
          <t>ja</t>
        </is>
      </c>
      <c r="O644" t="inlineStr">
        <is>
          <t>Geen dieet</t>
        </is>
      </c>
      <c r="Q644">
        <f>LEN(G644)-LEN(SUBSTITUTE(G644,",",""))+1</f>
        <v/>
      </c>
      <c r="R644">
        <f>SWITCH(I644, "Zelden", 1, "Af en toe", 4, "Regelmatig", 8, "Vaak", 12)</f>
        <v/>
      </c>
      <c r="S644">
        <f>AVERAGE(--(K644="ja"), --(L644="ja"), --(M644="ja"), --(N644="ja"), --(O644="ja"))*10</f>
        <v/>
      </c>
      <c r="T644">
        <f>IF(S644&gt;=7, "Tevreden", "Ontevreden")</f>
        <v/>
      </c>
    </row>
    <row r="645">
      <c r="A645" t="inlineStr">
        <is>
          <t>Amélie</t>
        </is>
      </c>
      <c r="B645" t="inlineStr">
        <is>
          <t>Schepens</t>
        </is>
      </c>
      <c r="C645" t="inlineStr">
        <is>
          <t>172.21136-65</t>
        </is>
      </c>
      <c r="D645" t="inlineStr">
        <is>
          <t>03/07/1958</t>
        </is>
      </c>
      <c r="E645" t="inlineStr">
        <is>
          <t>Oude-abdijstraat 8, 3900 Overpelt</t>
        </is>
      </c>
      <c r="F645" t="inlineStr">
        <is>
          <t>Amélie,Christophe,Nadine,Hicham</t>
        </is>
      </c>
      <c r="G645" t="n">
        <v>181.99</v>
      </c>
      <c r="H645" t="n">
        <v>7</v>
      </c>
      <c r="I645" t="inlineStr">
        <is>
          <t>Bancontact</t>
        </is>
      </c>
      <c r="J645" t="inlineStr">
        <is>
          <t>ja</t>
        </is>
      </c>
      <c r="K645" t="inlineStr">
        <is>
          <t>ja</t>
        </is>
      </c>
      <c r="L645" t="inlineStr">
        <is>
          <t>ja</t>
        </is>
      </c>
      <c r="M645" t="inlineStr">
        <is>
          <t>ja</t>
        </is>
      </c>
      <c r="N645" t="inlineStr">
        <is>
          <t>ja</t>
        </is>
      </c>
      <c r="O645" t="inlineStr">
        <is>
          <t>Geen dieet</t>
        </is>
      </c>
      <c r="Q645">
        <f>LEN(G645)-LEN(SUBSTITUTE(G645,",",""))+1</f>
        <v/>
      </c>
      <c r="R645">
        <f>SWITCH(I645, "Zelden", 1, "Af en toe", 4, "Regelmatig", 8, "Vaak", 12)</f>
        <v/>
      </c>
      <c r="S645">
        <f>AVERAGE(--(K645="ja"), --(L645="ja"), --(M645="ja"), --(N645="ja"), --(O645="ja"))*10</f>
        <v/>
      </c>
      <c r="T645">
        <f>IF(S645&gt;=7, "Tevreden", "Ontevreden")</f>
        <v/>
      </c>
    </row>
    <row r="646">
      <c r="A646" t="inlineStr">
        <is>
          <t>Jean-Luc</t>
        </is>
      </c>
      <c r="B646" t="inlineStr">
        <is>
          <t>Jansen</t>
        </is>
      </c>
      <c r="C646" t="inlineStr">
        <is>
          <t>643.80595-20</t>
        </is>
      </c>
      <c r="D646" t="inlineStr">
        <is>
          <t>26/05/1985</t>
        </is>
      </c>
      <c r="E646" t="inlineStr">
        <is>
          <t>Snepkaai 21, 3590 Diepenbeek</t>
        </is>
      </c>
      <c r="F646" t="inlineStr">
        <is>
          <t>Jean-Luc,Mathias,Eden,Halil,Mariam</t>
        </is>
      </c>
      <c r="G646" t="n">
        <v>201.12</v>
      </c>
      <c r="H646" t="n">
        <v>3</v>
      </c>
      <c r="I646" t="inlineStr">
        <is>
          <t>Payconiq</t>
        </is>
      </c>
      <c r="J646" t="inlineStr">
        <is>
          <t>ja</t>
        </is>
      </c>
      <c r="K646" t="inlineStr">
        <is>
          <t>nee</t>
        </is>
      </c>
      <c r="L646" t="inlineStr">
        <is>
          <t>ja</t>
        </is>
      </c>
      <c r="M646" t="inlineStr">
        <is>
          <t>ja</t>
        </is>
      </c>
      <c r="N646" t="inlineStr">
        <is>
          <t>ja</t>
        </is>
      </c>
      <c r="O646" t="inlineStr">
        <is>
          <t>Vegetarisch</t>
        </is>
      </c>
      <c r="Q646">
        <f>LEN(G646)-LEN(SUBSTITUTE(G646,",",""))+1</f>
        <v/>
      </c>
      <c r="R646">
        <f>SWITCH(I646, "Zelden", 1, "Af en toe", 4, "Regelmatig", 8, "Vaak", 12)</f>
        <v/>
      </c>
      <c r="S646">
        <f>AVERAGE(--(K646="ja"), --(L646="ja"), --(M646="ja"), --(N646="ja"), --(O646="ja"))*10</f>
        <v/>
      </c>
      <c r="T646">
        <f>IF(S646&gt;=7, "Tevreden", "Ontevreden")</f>
        <v/>
      </c>
    </row>
    <row r="647">
      <c r="A647" t="inlineStr">
        <is>
          <t>Veerle</t>
        </is>
      </c>
      <c r="B647" t="inlineStr">
        <is>
          <t>Bekaert</t>
        </is>
      </c>
      <c r="C647" t="inlineStr">
        <is>
          <t>208.85746-47</t>
        </is>
      </c>
      <c r="D647" t="inlineStr">
        <is>
          <t>29/09/1979</t>
        </is>
      </c>
      <c r="E647" t="inlineStr">
        <is>
          <t>Trekweg 6, 3700 Tongeren</t>
        </is>
      </c>
      <c r="F647" t="inlineStr">
        <is>
          <t>Veerle,Seyit</t>
        </is>
      </c>
      <c r="G647" t="n">
        <v>85.5</v>
      </c>
      <c r="H647" t="n">
        <v>4</v>
      </c>
      <c r="I647" t="inlineStr">
        <is>
          <t>Cash</t>
        </is>
      </c>
      <c r="J647" t="inlineStr">
        <is>
          <t>ja</t>
        </is>
      </c>
      <c r="K647" t="inlineStr">
        <is>
          <t>ja</t>
        </is>
      </c>
      <c r="L647" t="inlineStr">
        <is>
          <t>ja</t>
        </is>
      </c>
      <c r="M647" t="inlineStr">
        <is>
          <t>ja</t>
        </is>
      </c>
      <c r="N647" t="inlineStr">
        <is>
          <t>nee</t>
        </is>
      </c>
      <c r="O647" t="inlineStr">
        <is>
          <t>Veganistisch</t>
        </is>
      </c>
      <c r="Q647">
        <f>LEN(G647)-LEN(SUBSTITUTE(G647,",",""))+1</f>
        <v/>
      </c>
      <c r="R647">
        <f>SWITCH(I647, "Zelden", 1, "Af en toe", 4, "Regelmatig", 8, "Vaak", 12)</f>
        <v/>
      </c>
      <c r="S647">
        <f>AVERAGE(--(K647="ja"), --(L647="ja"), --(M647="ja"), --(N647="ja"), --(O647="ja"))*10</f>
        <v/>
      </c>
      <c r="T647">
        <f>IF(S647&gt;=7, "Tevreden", "Ontevreden")</f>
        <v/>
      </c>
    </row>
    <row r="648">
      <c r="A648" t="inlineStr">
        <is>
          <t>Horus</t>
        </is>
      </c>
      <c r="B648" t="inlineStr">
        <is>
          <t>Heymans</t>
        </is>
      </c>
      <c r="C648" t="inlineStr">
        <is>
          <t>449.10541-65</t>
        </is>
      </c>
      <c r="D648" t="inlineStr">
        <is>
          <t>03/01/1997</t>
        </is>
      </c>
      <c r="E648" t="inlineStr">
        <is>
          <t>Maaltemeers 5, 3870 Heers</t>
        </is>
      </c>
      <c r="F648" t="inlineStr">
        <is>
          <t>Horus,Sonja,Gregorio,Charlotte</t>
        </is>
      </c>
      <c r="G648" t="n">
        <v>95.23999999999999</v>
      </c>
      <c r="H648" t="n">
        <v>16</v>
      </c>
      <c r="I648" t="inlineStr">
        <is>
          <t>Payconiq</t>
        </is>
      </c>
      <c r="J648" t="inlineStr">
        <is>
          <t>ja</t>
        </is>
      </c>
      <c r="K648" t="inlineStr">
        <is>
          <t>nee</t>
        </is>
      </c>
      <c r="L648" t="inlineStr">
        <is>
          <t>ja</t>
        </is>
      </c>
      <c r="M648" t="inlineStr">
        <is>
          <t>ja</t>
        </is>
      </c>
      <c r="N648" t="inlineStr">
        <is>
          <t>ja</t>
        </is>
      </c>
      <c r="O648" t="inlineStr">
        <is>
          <t>Geen dieet</t>
        </is>
      </c>
      <c r="Q648">
        <f>LEN(G648)-LEN(SUBSTITUTE(G648,",",""))+1</f>
        <v/>
      </c>
      <c r="R648">
        <f>SWITCH(I648, "Zelden", 1, "Af en toe", 4, "Regelmatig", 8, "Vaak", 12)</f>
        <v/>
      </c>
      <c r="S648">
        <f>AVERAGE(--(K648="ja"), --(L648="ja"), --(M648="ja"), --(N648="ja"), --(O648="ja"))*10</f>
        <v/>
      </c>
      <c r="T648">
        <f>IF(S648&gt;=7, "Tevreden", "Ontevreden")</f>
        <v/>
      </c>
    </row>
    <row r="649">
      <c r="A649" t="inlineStr">
        <is>
          <t>Antoine</t>
        </is>
      </c>
      <c r="B649" t="inlineStr">
        <is>
          <t>Marien</t>
        </is>
      </c>
      <c r="C649" t="inlineStr">
        <is>
          <t>904.10295-73</t>
        </is>
      </c>
      <c r="D649" t="inlineStr">
        <is>
          <t>10/08/1982</t>
        </is>
      </c>
      <c r="E649" t="inlineStr">
        <is>
          <t>Ter Platen 41, 3830 Wellen</t>
        </is>
      </c>
      <c r="F649" t="inlineStr">
        <is>
          <t>Antoine,Peggy,Léana,Marta</t>
        </is>
      </c>
      <c r="G649" t="n">
        <v>194.38</v>
      </c>
      <c r="H649" t="n">
        <v>6</v>
      </c>
      <c r="I649" t="inlineStr">
        <is>
          <t>Bancontact</t>
        </is>
      </c>
      <c r="J649" t="inlineStr">
        <is>
          <t>ja</t>
        </is>
      </c>
      <c r="K649" t="inlineStr">
        <is>
          <t>nee</t>
        </is>
      </c>
      <c r="L649" t="inlineStr">
        <is>
          <t>ja</t>
        </is>
      </c>
      <c r="M649" t="inlineStr">
        <is>
          <t>ja</t>
        </is>
      </c>
      <c r="N649" t="inlineStr">
        <is>
          <t>ja</t>
        </is>
      </c>
      <c r="O649" t="inlineStr">
        <is>
          <t>Vegetarisch</t>
        </is>
      </c>
      <c r="Q649">
        <f>LEN(G649)-LEN(SUBSTITUTE(G649,",",""))+1</f>
        <v/>
      </c>
      <c r="R649">
        <f>SWITCH(I649, "Zelden", 1, "Af en toe", 4, "Regelmatig", 8, "Vaak", 12)</f>
        <v/>
      </c>
      <c r="S649">
        <f>AVERAGE(--(K649="ja"), --(L649="ja"), --(M649="ja"), --(N649="ja"), --(O649="ja"))*10</f>
        <v/>
      </c>
      <c r="T649">
        <f>IF(S649&gt;=7, "Tevreden", "Ontevreden")</f>
        <v/>
      </c>
    </row>
    <row r="650">
      <c r="A650" t="inlineStr">
        <is>
          <t>Freddy</t>
        </is>
      </c>
      <c r="B650" t="inlineStr">
        <is>
          <t>Hermans</t>
        </is>
      </c>
      <c r="C650" t="inlineStr">
        <is>
          <t>751.93764-38</t>
        </is>
      </c>
      <c r="D650" t="inlineStr">
        <is>
          <t>14/11/1951</t>
        </is>
      </c>
      <c r="E650" t="inlineStr">
        <is>
          <t>Desteldonkdorp 40, 3500 Hasselt</t>
        </is>
      </c>
      <c r="F650" t="inlineStr">
        <is>
          <t>Freddy</t>
        </is>
      </c>
      <c r="G650" t="n">
        <v>41.46</v>
      </c>
      <c r="H650" t="n">
        <v>9</v>
      </c>
      <c r="I650" t="inlineStr">
        <is>
          <t>Bancontact</t>
        </is>
      </c>
      <c r="J650" t="inlineStr">
        <is>
          <t>ja</t>
        </is>
      </c>
      <c r="K650" t="inlineStr">
        <is>
          <t>nee</t>
        </is>
      </c>
      <c r="L650" t="inlineStr">
        <is>
          <t>nee</t>
        </is>
      </c>
      <c r="M650" t="inlineStr">
        <is>
          <t>ja</t>
        </is>
      </c>
      <c r="N650" t="inlineStr">
        <is>
          <t>ja</t>
        </is>
      </c>
      <c r="O650" t="inlineStr">
        <is>
          <t>Vegetarisch</t>
        </is>
      </c>
      <c r="Q650">
        <f>LEN(G650)-LEN(SUBSTITUTE(G650,",",""))+1</f>
        <v/>
      </c>
      <c r="R650">
        <f>SWITCH(I650, "Zelden", 1, "Af en toe", 4, "Regelmatig", 8, "Vaak", 12)</f>
        <v/>
      </c>
      <c r="S650">
        <f>AVERAGE(--(K650="ja"), --(L650="ja"), --(M650="ja"), --(N650="ja"), --(O650="ja"))*10</f>
        <v/>
      </c>
      <c r="T650">
        <f>IF(S650&gt;=7, "Tevreden", "Ontevreden")</f>
        <v/>
      </c>
    </row>
    <row r="651">
      <c r="A651" t="inlineStr">
        <is>
          <t>Lucette</t>
        </is>
      </c>
      <c r="B651" t="inlineStr">
        <is>
          <t>Gerard</t>
        </is>
      </c>
      <c r="C651" t="inlineStr">
        <is>
          <t>262.89673-77</t>
        </is>
      </c>
      <c r="D651" t="inlineStr">
        <is>
          <t>22/05/1945</t>
        </is>
      </c>
      <c r="E651" t="inlineStr">
        <is>
          <t>Patijntjestraat 15, 3800 Sint-Truiden</t>
        </is>
      </c>
      <c r="F651" t="inlineStr">
        <is>
          <t>Lucette</t>
        </is>
      </c>
      <c r="G651" t="n">
        <v>95.95999999999999</v>
      </c>
      <c r="H651" t="n">
        <v>1</v>
      </c>
      <c r="I651" t="inlineStr">
        <is>
          <t>Cash</t>
        </is>
      </c>
      <c r="J651" t="inlineStr">
        <is>
          <t>ja</t>
        </is>
      </c>
      <c r="K651" t="inlineStr">
        <is>
          <t>ja</t>
        </is>
      </c>
      <c r="L651" t="inlineStr">
        <is>
          <t>nee</t>
        </is>
      </c>
      <c r="M651" t="inlineStr">
        <is>
          <t>ja</t>
        </is>
      </c>
      <c r="N651" t="inlineStr">
        <is>
          <t>ja</t>
        </is>
      </c>
      <c r="O651" t="inlineStr">
        <is>
          <t>Vegetarisch</t>
        </is>
      </c>
      <c r="Q651">
        <f>LEN(G651)-LEN(SUBSTITUTE(G651,",",""))+1</f>
        <v/>
      </c>
      <c r="R651">
        <f>SWITCH(I651, "Zelden", 1, "Af en toe", 4, "Regelmatig", 8, "Vaak", 12)</f>
        <v/>
      </c>
      <c r="S651">
        <f>AVERAGE(--(K651="ja"), --(L651="ja"), --(M651="ja"), --(N651="ja"), --(O651="ja"))*10</f>
        <v/>
      </c>
      <c r="T651">
        <f>IF(S651&gt;=7, "Tevreden", "Ontevreden")</f>
        <v/>
      </c>
    </row>
    <row r="652">
      <c r="A652" t="inlineStr">
        <is>
          <t>Capucine</t>
        </is>
      </c>
      <c r="B652" t="inlineStr">
        <is>
          <t>De cock</t>
        </is>
      </c>
      <c r="C652" t="inlineStr">
        <is>
          <t>850.46019-86</t>
        </is>
      </c>
      <c r="D652" t="inlineStr">
        <is>
          <t>20/03/2001</t>
        </is>
      </c>
      <c r="E652" t="inlineStr">
        <is>
          <t>Koningsdal 51, 3930 Hamont-Achel</t>
        </is>
      </c>
      <c r="F652" t="inlineStr">
        <is>
          <t>Capucine,Ode,Wout,Charlotte</t>
        </is>
      </c>
      <c r="G652" t="n">
        <v>96.37</v>
      </c>
      <c r="H652" t="n">
        <v>11</v>
      </c>
      <c r="I652" t="inlineStr">
        <is>
          <t>Cash</t>
        </is>
      </c>
      <c r="J652" t="inlineStr">
        <is>
          <t>ja</t>
        </is>
      </c>
      <c r="K652" t="inlineStr">
        <is>
          <t>nee</t>
        </is>
      </c>
      <c r="L652" t="inlineStr">
        <is>
          <t>ja</t>
        </is>
      </c>
      <c r="M652" t="inlineStr">
        <is>
          <t>ja</t>
        </is>
      </c>
      <c r="N652" t="inlineStr">
        <is>
          <t>ja</t>
        </is>
      </c>
      <c r="O652" t="inlineStr">
        <is>
          <t>Geen dieet</t>
        </is>
      </c>
      <c r="Q652">
        <f>LEN(G652)-LEN(SUBSTITUTE(G652,",",""))+1</f>
        <v/>
      </c>
      <c r="R652">
        <f>SWITCH(I652, "Zelden", 1, "Af en toe", 4, "Regelmatig", 8, "Vaak", 12)</f>
        <v/>
      </c>
      <c r="S652">
        <f>AVERAGE(--(K652="ja"), --(L652="ja"), --(M652="ja"), --(N652="ja"), --(O652="ja"))*10</f>
        <v/>
      </c>
      <c r="T652">
        <f>IF(S652&gt;=7, "Tevreden", "Ontevreden")</f>
        <v/>
      </c>
    </row>
    <row r="653">
      <c r="A653" t="inlineStr">
        <is>
          <t>Saskia</t>
        </is>
      </c>
      <c r="B653" t="inlineStr">
        <is>
          <t>Boulanger</t>
        </is>
      </c>
      <c r="C653" t="inlineStr">
        <is>
          <t>151.18898-37</t>
        </is>
      </c>
      <c r="D653" t="inlineStr">
        <is>
          <t>13/08/1973</t>
        </is>
      </c>
      <c r="E653" t="inlineStr">
        <is>
          <t>Gebroeders Van Eyckstraat 45, 3545 Halen</t>
        </is>
      </c>
      <c r="F653" t="inlineStr">
        <is>
          <t>Saskia,Corrado,Thomas,Kawthar</t>
        </is>
      </c>
      <c r="G653" t="n">
        <v>201.16</v>
      </c>
      <c r="H653" t="n">
        <v>12</v>
      </c>
      <c r="I653" t="inlineStr">
        <is>
          <t>Payconiq</t>
        </is>
      </c>
      <c r="J653" t="inlineStr">
        <is>
          <t>nee</t>
        </is>
      </c>
      <c r="K653" t="inlineStr">
        <is>
          <t>nee</t>
        </is>
      </c>
      <c r="L653" t="inlineStr">
        <is>
          <t>ja</t>
        </is>
      </c>
      <c r="M653" t="inlineStr">
        <is>
          <t>ja</t>
        </is>
      </c>
      <c r="N653" t="inlineStr">
        <is>
          <t>ja</t>
        </is>
      </c>
      <c r="O653" t="inlineStr">
        <is>
          <t>Veganistisch</t>
        </is>
      </c>
      <c r="Q653">
        <f>LEN(G653)-LEN(SUBSTITUTE(G653,",",""))+1</f>
        <v/>
      </c>
      <c r="R653">
        <f>SWITCH(I653, "Zelden", 1, "Af en toe", 4, "Regelmatig", 8, "Vaak", 12)</f>
        <v/>
      </c>
      <c r="S653">
        <f>AVERAGE(--(K653="ja"), --(L653="ja"), --(M653="ja"), --(N653="ja"), --(O653="ja"))*10</f>
        <v/>
      </c>
      <c r="T653">
        <f>IF(S653&gt;=7, "Tevreden", "Ontevreden")</f>
        <v/>
      </c>
    </row>
    <row r="654">
      <c r="A654" t="inlineStr">
        <is>
          <t>Rabah</t>
        </is>
      </c>
      <c r="B654" t="inlineStr">
        <is>
          <t>Georges</t>
        </is>
      </c>
      <c r="C654" t="inlineStr">
        <is>
          <t>264.42443-39</t>
        </is>
      </c>
      <c r="D654" t="inlineStr">
        <is>
          <t>07/04/1974</t>
        </is>
      </c>
      <c r="E654" t="inlineStr">
        <is>
          <t>Veldstraat 15, 3740 Bilzen</t>
        </is>
      </c>
      <c r="F654" t="inlineStr">
        <is>
          <t>Rabah,Huguette</t>
        </is>
      </c>
      <c r="G654" t="n">
        <v>152.58</v>
      </c>
      <c r="H654" t="n">
        <v>18</v>
      </c>
      <c r="I654" t="inlineStr">
        <is>
          <t>Bancontact</t>
        </is>
      </c>
      <c r="J654" t="inlineStr">
        <is>
          <t>ja</t>
        </is>
      </c>
      <c r="K654" t="inlineStr">
        <is>
          <t>ja</t>
        </is>
      </c>
      <c r="L654" t="inlineStr">
        <is>
          <t>nee</t>
        </is>
      </c>
      <c r="M654" t="inlineStr">
        <is>
          <t>ja</t>
        </is>
      </c>
      <c r="N654" t="inlineStr">
        <is>
          <t>ja</t>
        </is>
      </c>
      <c r="O654" t="inlineStr">
        <is>
          <t>Geen dieet</t>
        </is>
      </c>
      <c r="Q654">
        <f>LEN(G654)-LEN(SUBSTITUTE(G654,",",""))+1</f>
        <v/>
      </c>
      <c r="R654">
        <f>SWITCH(I654, "Zelden", 1, "Af en toe", 4, "Regelmatig", 8, "Vaak", 12)</f>
        <v/>
      </c>
      <c r="S654">
        <f>AVERAGE(--(K654="ja"), --(L654="ja"), --(M654="ja"), --(N654="ja"), --(O654="ja"))*10</f>
        <v/>
      </c>
      <c r="T654">
        <f>IF(S654&gt;=7, "Tevreden", "Ontevreden")</f>
        <v/>
      </c>
    </row>
    <row r="655">
      <c r="A655" t="inlineStr">
        <is>
          <t>Dirk</t>
        </is>
      </c>
      <c r="B655" t="inlineStr">
        <is>
          <t>Vanhove</t>
        </is>
      </c>
      <c r="C655" t="inlineStr">
        <is>
          <t>663.71301-71</t>
        </is>
      </c>
      <c r="D655" t="inlineStr">
        <is>
          <t>16/10/1961</t>
        </is>
      </c>
      <c r="E655" t="inlineStr">
        <is>
          <t>Langerbruggekaai 22, 3520 Zonhoven</t>
        </is>
      </c>
      <c r="F655" t="inlineStr">
        <is>
          <t>Dirk,Anita</t>
        </is>
      </c>
      <c r="G655" t="n">
        <v>127.08</v>
      </c>
      <c r="H655" t="n">
        <v>16</v>
      </c>
      <c r="I655" t="inlineStr">
        <is>
          <t>Payconiq</t>
        </is>
      </c>
      <c r="J655" t="inlineStr">
        <is>
          <t>ja</t>
        </is>
      </c>
      <c r="K655" t="inlineStr">
        <is>
          <t>ja</t>
        </is>
      </c>
      <c r="L655" t="inlineStr">
        <is>
          <t>ja</t>
        </is>
      </c>
      <c r="M655" t="inlineStr">
        <is>
          <t>ja</t>
        </is>
      </c>
      <c r="N655" t="inlineStr">
        <is>
          <t>ja</t>
        </is>
      </c>
      <c r="O655" t="inlineStr">
        <is>
          <t>Geen dieet</t>
        </is>
      </c>
      <c r="Q655">
        <f>LEN(G655)-LEN(SUBSTITUTE(G655,",",""))+1</f>
        <v/>
      </c>
      <c r="R655">
        <f>SWITCH(I655, "Zelden", 1, "Af en toe", 4, "Regelmatig", 8, "Vaak", 12)</f>
        <v/>
      </c>
      <c r="S655">
        <f>AVERAGE(--(K655="ja"), --(L655="ja"), --(M655="ja"), --(N655="ja"), --(O655="ja"))*10</f>
        <v/>
      </c>
      <c r="T655">
        <f>IF(S655&gt;=7, "Tevreden", "Ontevreden")</f>
        <v/>
      </c>
    </row>
    <row r="656">
      <c r="A656" t="inlineStr">
        <is>
          <t>Katrien</t>
        </is>
      </c>
      <c r="B656" t="inlineStr">
        <is>
          <t>Pollet</t>
        </is>
      </c>
      <c r="C656" t="inlineStr">
        <is>
          <t>130.72886-82</t>
        </is>
      </c>
      <c r="D656" t="inlineStr">
        <is>
          <t>21/11/1994</t>
        </is>
      </c>
      <c r="E656" t="inlineStr">
        <is>
          <t>Lijnwaadstraat 63, 3890 Vorden</t>
        </is>
      </c>
      <c r="F656" t="inlineStr">
        <is>
          <t>Katrien,Tania,Simone,Yaël,Anita</t>
        </is>
      </c>
      <c r="G656" t="n">
        <v>172.98</v>
      </c>
      <c r="H656" t="n">
        <v>11</v>
      </c>
      <c r="I656" t="inlineStr">
        <is>
          <t>Bancontact</t>
        </is>
      </c>
      <c r="J656" t="inlineStr">
        <is>
          <t>ja</t>
        </is>
      </c>
      <c r="K656" t="inlineStr">
        <is>
          <t>ja</t>
        </is>
      </c>
      <c r="L656" t="inlineStr">
        <is>
          <t>ja</t>
        </is>
      </c>
      <c r="M656" t="inlineStr">
        <is>
          <t>ja</t>
        </is>
      </c>
      <c r="N656" t="inlineStr">
        <is>
          <t>ja</t>
        </is>
      </c>
      <c r="O656" t="inlineStr">
        <is>
          <t>Vegetarisch</t>
        </is>
      </c>
      <c r="Q656">
        <f>LEN(G656)-LEN(SUBSTITUTE(G656,",",""))+1</f>
        <v/>
      </c>
      <c r="R656">
        <f>SWITCH(I656, "Zelden", 1, "Af en toe", 4, "Regelmatig", 8, "Vaak", 12)</f>
        <v/>
      </c>
      <c r="S656">
        <f>AVERAGE(--(K656="ja"), --(L656="ja"), --(M656="ja"), --(N656="ja"), --(O656="ja"))*10</f>
        <v/>
      </c>
      <c r="T656">
        <f>IF(S656&gt;=7, "Tevreden", "Ontevreden")</f>
        <v/>
      </c>
    </row>
    <row r="657">
      <c r="A657" t="inlineStr">
        <is>
          <t>Marguerite</t>
        </is>
      </c>
      <c r="B657" t="inlineStr">
        <is>
          <t>De schepper</t>
        </is>
      </c>
      <c r="C657" t="inlineStr">
        <is>
          <t>432.10209-56</t>
        </is>
      </c>
      <c r="D657" t="inlineStr">
        <is>
          <t>09/10/1960</t>
        </is>
      </c>
      <c r="E657" t="inlineStr">
        <is>
          <t>Sint-jacobsnieuwstraat 29, 3700 Tongeren</t>
        </is>
      </c>
      <c r="F657" t="inlineStr">
        <is>
          <t>Marguerite,Julian,Anthony</t>
        </is>
      </c>
      <c r="G657" t="n">
        <v>100.46</v>
      </c>
      <c r="H657" t="n">
        <v>7</v>
      </c>
      <c r="I657" t="inlineStr">
        <is>
          <t>Bancontact</t>
        </is>
      </c>
      <c r="J657" t="inlineStr">
        <is>
          <t>nee</t>
        </is>
      </c>
      <c r="K657" t="inlineStr">
        <is>
          <t>ja</t>
        </is>
      </c>
      <c r="L657" t="inlineStr">
        <is>
          <t>ja</t>
        </is>
      </c>
      <c r="M657" t="inlineStr">
        <is>
          <t>ja</t>
        </is>
      </c>
      <c r="N657" t="inlineStr">
        <is>
          <t>nee</t>
        </is>
      </c>
      <c r="O657" t="inlineStr">
        <is>
          <t>Geen dieet</t>
        </is>
      </c>
      <c r="Q657">
        <f>LEN(G657)-LEN(SUBSTITUTE(G657,",",""))+1</f>
        <v/>
      </c>
      <c r="R657">
        <f>SWITCH(I657, "Zelden", 1, "Af en toe", 4, "Regelmatig", 8, "Vaak", 12)</f>
        <v/>
      </c>
      <c r="S657">
        <f>AVERAGE(--(K657="ja"), --(L657="ja"), --(M657="ja"), --(N657="ja"), --(O657="ja"))*10</f>
        <v/>
      </c>
      <c r="T657">
        <f>IF(S657&gt;=7, "Tevreden", "Ontevreden")</f>
        <v/>
      </c>
    </row>
    <row r="658">
      <c r="A658" t="inlineStr">
        <is>
          <t>Jelle</t>
        </is>
      </c>
      <c r="B658" t="inlineStr">
        <is>
          <t>Dumont</t>
        </is>
      </c>
      <c r="C658" t="inlineStr">
        <is>
          <t>500.85644-97</t>
        </is>
      </c>
      <c r="D658" t="inlineStr">
        <is>
          <t>12/01/1974</t>
        </is>
      </c>
      <c r="E658" t="inlineStr">
        <is>
          <t>Brusselsesteenweg 50, 3831 Herten</t>
        </is>
      </c>
      <c r="F658" t="inlineStr">
        <is>
          <t>Jelle,Emma,Marc</t>
        </is>
      </c>
      <c r="G658" t="n">
        <v>90.65000000000001</v>
      </c>
      <c r="H658" t="n">
        <v>7</v>
      </c>
      <c r="I658" t="inlineStr">
        <is>
          <t>Payconiq</t>
        </is>
      </c>
      <c r="J658" t="inlineStr">
        <is>
          <t>ja</t>
        </is>
      </c>
      <c r="K658" t="inlineStr">
        <is>
          <t>ja</t>
        </is>
      </c>
      <c r="L658" t="inlineStr">
        <is>
          <t>ja</t>
        </is>
      </c>
      <c r="M658" t="inlineStr">
        <is>
          <t>ja</t>
        </is>
      </c>
      <c r="N658" t="inlineStr">
        <is>
          <t>ja</t>
        </is>
      </c>
      <c r="O658" t="inlineStr">
        <is>
          <t>Geen dieet</t>
        </is>
      </c>
      <c r="Q658">
        <f>LEN(G658)-LEN(SUBSTITUTE(G658,",",""))+1</f>
        <v/>
      </c>
      <c r="R658">
        <f>SWITCH(I658, "Zelden", 1, "Af en toe", 4, "Regelmatig", 8, "Vaak", 12)</f>
        <v/>
      </c>
      <c r="S658">
        <f>AVERAGE(--(K658="ja"), --(L658="ja"), --(M658="ja"), --(N658="ja"), --(O658="ja"))*10</f>
        <v/>
      </c>
      <c r="T658">
        <f>IF(S658&gt;=7, "Tevreden", "Ontevreden")</f>
        <v/>
      </c>
    </row>
    <row r="659">
      <c r="A659" t="inlineStr">
        <is>
          <t>Christine</t>
        </is>
      </c>
      <c r="B659" t="inlineStr">
        <is>
          <t>Somers</t>
        </is>
      </c>
      <c r="C659" t="inlineStr">
        <is>
          <t>946.49550-85</t>
        </is>
      </c>
      <c r="D659" t="inlineStr">
        <is>
          <t>03/06/1994</t>
        </is>
      </c>
      <c r="E659" t="inlineStr">
        <is>
          <t>Nekkersputstraat 18, 3831 Herten</t>
        </is>
      </c>
      <c r="F659" t="inlineStr">
        <is>
          <t>Christine</t>
        </is>
      </c>
      <c r="G659" t="n">
        <v>139.38</v>
      </c>
      <c r="H659" t="n">
        <v>23</v>
      </c>
      <c r="I659" t="inlineStr">
        <is>
          <t>Bancontact</t>
        </is>
      </c>
      <c r="J659" t="inlineStr">
        <is>
          <t>ja</t>
        </is>
      </c>
      <c r="K659" t="inlineStr">
        <is>
          <t>ja</t>
        </is>
      </c>
      <c r="L659" t="inlineStr">
        <is>
          <t>nee</t>
        </is>
      </c>
      <c r="M659" t="inlineStr">
        <is>
          <t>ja</t>
        </is>
      </c>
      <c r="N659" t="inlineStr">
        <is>
          <t>ja</t>
        </is>
      </c>
      <c r="O659" t="inlineStr">
        <is>
          <t>Geen dieet</t>
        </is>
      </c>
      <c r="Q659">
        <f>LEN(G659)-LEN(SUBSTITUTE(G659,",",""))+1</f>
        <v/>
      </c>
      <c r="R659">
        <f>SWITCH(I659, "Zelden", 1, "Af en toe", 4, "Regelmatig", 8, "Vaak", 12)</f>
        <v/>
      </c>
      <c r="S659">
        <f>AVERAGE(--(K659="ja"), --(L659="ja"), --(M659="ja"), --(N659="ja"), --(O659="ja"))*10</f>
        <v/>
      </c>
      <c r="T659">
        <f>IF(S659&gt;=7, "Tevreden", "Ontevreden")</f>
        <v/>
      </c>
    </row>
    <row r="660">
      <c r="A660" t="inlineStr">
        <is>
          <t>Tim</t>
        </is>
      </c>
      <c r="B660" t="inlineStr">
        <is>
          <t>Bosmans</t>
        </is>
      </c>
      <c r="C660" t="inlineStr">
        <is>
          <t>708.73149-60</t>
        </is>
      </c>
      <c r="D660" t="inlineStr">
        <is>
          <t>30/10/1957</t>
        </is>
      </c>
      <c r="E660" t="inlineStr">
        <is>
          <t>Aaigemstraat 26, 3831 Herten</t>
        </is>
      </c>
      <c r="F660" t="inlineStr">
        <is>
          <t>Tim,Ilayda</t>
        </is>
      </c>
      <c r="G660" t="n">
        <v>123.91</v>
      </c>
      <c r="H660" t="n">
        <v>12</v>
      </c>
      <c r="I660" t="inlineStr">
        <is>
          <t>Bancontact</t>
        </is>
      </c>
      <c r="J660" t="inlineStr">
        <is>
          <t>ja</t>
        </is>
      </c>
      <c r="K660" t="inlineStr">
        <is>
          <t>ja</t>
        </is>
      </c>
      <c r="L660" t="inlineStr">
        <is>
          <t>ja</t>
        </is>
      </c>
      <c r="M660" t="inlineStr">
        <is>
          <t>ja</t>
        </is>
      </c>
      <c r="N660" t="inlineStr">
        <is>
          <t>ja</t>
        </is>
      </c>
      <c r="O660" t="inlineStr">
        <is>
          <t>Geen dieet</t>
        </is>
      </c>
      <c r="Q660">
        <f>LEN(G660)-LEN(SUBSTITUTE(G660,",",""))+1</f>
        <v/>
      </c>
      <c r="R660">
        <f>SWITCH(I660, "Zelden", 1, "Af en toe", 4, "Regelmatig", 8, "Vaak", 12)</f>
        <v/>
      </c>
      <c r="S660">
        <f>AVERAGE(--(K660="ja"), --(L660="ja"), --(M660="ja"), --(N660="ja"), --(O660="ja"))*10</f>
        <v/>
      </c>
      <c r="T660">
        <f>IF(S660&gt;=7, "Tevreden", "Ontevreden")</f>
        <v/>
      </c>
    </row>
    <row r="661">
      <c r="A661" t="inlineStr">
        <is>
          <t>Fernand</t>
        </is>
      </c>
      <c r="B661" t="inlineStr">
        <is>
          <t>Deprez</t>
        </is>
      </c>
      <c r="C661" t="inlineStr">
        <is>
          <t>135.28764-20</t>
        </is>
      </c>
      <c r="D661" t="inlineStr">
        <is>
          <t>20/04/1995</t>
        </is>
      </c>
      <c r="E661" t="inlineStr">
        <is>
          <t>Deinse Horsweg 20, 3660 Opglabbeek</t>
        </is>
      </c>
      <c r="F661" t="inlineStr">
        <is>
          <t>Fernand,Patrick,Mathieu,Céline</t>
        </is>
      </c>
      <c r="G661" t="n">
        <v>150.26</v>
      </c>
      <c r="H661" t="n">
        <v>6</v>
      </c>
      <c r="I661" t="inlineStr">
        <is>
          <t>Bancontact</t>
        </is>
      </c>
      <c r="J661" t="inlineStr">
        <is>
          <t>ja</t>
        </is>
      </c>
      <c r="K661" t="inlineStr">
        <is>
          <t>ja</t>
        </is>
      </c>
      <c r="L661" t="inlineStr">
        <is>
          <t>ja</t>
        </is>
      </c>
      <c r="M661" t="inlineStr">
        <is>
          <t>ja</t>
        </is>
      </c>
      <c r="N661" t="inlineStr">
        <is>
          <t>ja</t>
        </is>
      </c>
      <c r="O661" t="inlineStr">
        <is>
          <t>Geen dieet</t>
        </is>
      </c>
      <c r="Q661">
        <f>LEN(G661)-LEN(SUBSTITUTE(G661,",",""))+1</f>
        <v/>
      </c>
      <c r="R661">
        <f>SWITCH(I661, "Zelden", 1, "Af en toe", 4, "Regelmatig", 8, "Vaak", 12)</f>
        <v/>
      </c>
      <c r="S661">
        <f>AVERAGE(--(K661="ja"), --(L661="ja"), --(M661="ja"), --(N661="ja"), --(O661="ja"))*10</f>
        <v/>
      </c>
      <c r="T661">
        <f>IF(S661&gt;=7, "Tevreden", "Ontevreden")</f>
        <v/>
      </c>
    </row>
    <row r="662">
      <c r="A662" t="inlineStr">
        <is>
          <t>Elfride</t>
        </is>
      </c>
      <c r="B662" t="inlineStr">
        <is>
          <t>Gerard</t>
        </is>
      </c>
      <c r="C662" t="inlineStr">
        <is>
          <t>748.65064-57</t>
        </is>
      </c>
      <c r="D662" t="inlineStr">
        <is>
          <t>10/10/1990</t>
        </is>
      </c>
      <c r="E662" t="inlineStr">
        <is>
          <t>Bijenstraat 18, 3530 Houthalen-Helchteren</t>
        </is>
      </c>
      <c r="F662" t="inlineStr">
        <is>
          <t>Elfride,Christiana</t>
        </is>
      </c>
      <c r="G662" t="n">
        <v>136.28</v>
      </c>
      <c r="H662" t="n">
        <v>23</v>
      </c>
      <c r="I662" t="inlineStr">
        <is>
          <t>Payconiq</t>
        </is>
      </c>
      <c r="J662" t="inlineStr">
        <is>
          <t>ja</t>
        </is>
      </c>
      <c r="K662" t="inlineStr">
        <is>
          <t>ja</t>
        </is>
      </c>
      <c r="L662" t="inlineStr">
        <is>
          <t>ja</t>
        </is>
      </c>
      <c r="M662" t="inlineStr">
        <is>
          <t>nee</t>
        </is>
      </c>
      <c r="N662" t="inlineStr">
        <is>
          <t>ja</t>
        </is>
      </c>
      <c r="O662" t="inlineStr">
        <is>
          <t>Geen dieet</t>
        </is>
      </c>
      <c r="Q662">
        <f>LEN(G662)-LEN(SUBSTITUTE(G662,",",""))+1</f>
        <v/>
      </c>
      <c r="R662">
        <f>SWITCH(I662, "Zelden", 1, "Af en toe", 4, "Regelmatig", 8, "Vaak", 12)</f>
        <v/>
      </c>
      <c r="S662">
        <f>AVERAGE(--(K662="ja"), --(L662="ja"), --(M662="ja"), --(N662="ja"), --(O662="ja"))*10</f>
        <v/>
      </c>
      <c r="T662">
        <f>IF(S662&gt;=7, "Tevreden", "Ontevreden")</f>
        <v/>
      </c>
    </row>
    <row r="663">
      <c r="A663" t="inlineStr">
        <is>
          <t>Vanessa</t>
        </is>
      </c>
      <c r="B663" t="inlineStr">
        <is>
          <t>Bogaerts</t>
        </is>
      </c>
      <c r="C663" t="inlineStr">
        <is>
          <t>203.67949-70</t>
        </is>
      </c>
      <c r="D663" t="inlineStr">
        <is>
          <t>13/03/1985</t>
        </is>
      </c>
      <c r="E663" t="inlineStr">
        <is>
          <t>Graaf Van Vlaanderenplein 48, 3500 Hasselt</t>
        </is>
      </c>
      <c r="F663" t="inlineStr">
        <is>
          <t>Vanessa,Caroline,Clara</t>
        </is>
      </c>
      <c r="G663" t="n">
        <v>133.19</v>
      </c>
      <c r="H663" t="n">
        <v>15</v>
      </c>
      <c r="I663" t="inlineStr">
        <is>
          <t>Payconiq</t>
        </is>
      </c>
      <c r="J663" t="inlineStr">
        <is>
          <t>ja</t>
        </is>
      </c>
      <c r="K663" t="inlineStr">
        <is>
          <t>ja</t>
        </is>
      </c>
      <c r="L663" t="inlineStr">
        <is>
          <t>ja</t>
        </is>
      </c>
      <c r="M663" t="inlineStr">
        <is>
          <t>ja</t>
        </is>
      </c>
      <c r="N663" t="inlineStr">
        <is>
          <t>nee</t>
        </is>
      </c>
      <c r="O663" t="inlineStr">
        <is>
          <t>Geen dieet</t>
        </is>
      </c>
      <c r="Q663">
        <f>LEN(G663)-LEN(SUBSTITUTE(G663,",",""))+1</f>
        <v/>
      </c>
      <c r="R663">
        <f>SWITCH(I663, "Zelden", 1, "Af en toe", 4, "Regelmatig", 8, "Vaak", 12)</f>
        <v/>
      </c>
      <c r="S663">
        <f>AVERAGE(--(K663="ja"), --(L663="ja"), --(M663="ja"), --(N663="ja"), --(O663="ja"))*10</f>
        <v/>
      </c>
      <c r="T663">
        <f>IF(S663&gt;=7, "Tevreden", "Ontevreden")</f>
        <v/>
      </c>
    </row>
    <row r="664">
      <c r="A664" t="inlineStr">
        <is>
          <t>Capucine</t>
        </is>
      </c>
      <c r="B664" t="inlineStr">
        <is>
          <t>Beckers</t>
        </is>
      </c>
      <c r="C664" t="inlineStr">
        <is>
          <t>754.85303-97</t>
        </is>
      </c>
      <c r="D664" t="inlineStr">
        <is>
          <t>07/07/1946</t>
        </is>
      </c>
      <c r="E664" t="inlineStr">
        <is>
          <t>Groenehoekstraat 63, 3891 Meilen</t>
        </is>
      </c>
      <c r="F664" t="inlineStr">
        <is>
          <t>Capucine,Oona,Yvonne</t>
        </is>
      </c>
      <c r="G664" t="n">
        <v>130.05</v>
      </c>
      <c r="H664" t="n">
        <v>9</v>
      </c>
      <c r="I664" t="inlineStr">
        <is>
          <t>Bancontact</t>
        </is>
      </c>
      <c r="J664" t="inlineStr">
        <is>
          <t>nee</t>
        </is>
      </c>
      <c r="K664" t="inlineStr">
        <is>
          <t>ja</t>
        </is>
      </c>
      <c r="L664" t="inlineStr">
        <is>
          <t>ja</t>
        </is>
      </c>
      <c r="M664" t="inlineStr">
        <is>
          <t>nee</t>
        </is>
      </c>
      <c r="N664" t="inlineStr">
        <is>
          <t>ja</t>
        </is>
      </c>
      <c r="O664" t="inlineStr">
        <is>
          <t>Geen dieet</t>
        </is>
      </c>
      <c r="Q664">
        <f>LEN(G664)-LEN(SUBSTITUTE(G664,",",""))+1</f>
        <v/>
      </c>
      <c r="R664">
        <f>SWITCH(I664, "Zelden", 1, "Af en toe", 4, "Regelmatig", 8, "Vaak", 12)</f>
        <v/>
      </c>
      <c r="S664">
        <f>AVERAGE(--(K664="ja"), --(L664="ja"), --(M664="ja"), --(N664="ja"), --(O664="ja"))*10</f>
        <v/>
      </c>
      <c r="T664">
        <f>IF(S664&gt;=7, "Tevreden", "Ontevreden")</f>
        <v/>
      </c>
    </row>
    <row r="665">
      <c r="A665" t="inlineStr">
        <is>
          <t>Jean-Pierre</t>
        </is>
      </c>
      <c r="B665" t="inlineStr">
        <is>
          <t>Gillet</t>
        </is>
      </c>
      <c r="C665" t="inlineStr">
        <is>
          <t>374.45955-84</t>
        </is>
      </c>
      <c r="D665" t="inlineStr">
        <is>
          <t>31/07/1957</t>
        </is>
      </c>
      <c r="E665" t="inlineStr">
        <is>
          <t>Nieuwewandeling 18, 3831 Herten</t>
        </is>
      </c>
      <c r="F665" t="inlineStr">
        <is>
          <t>Jean-Pierre,Leo,Jean-Christophe,Michel,David</t>
        </is>
      </c>
      <c r="G665" t="n">
        <v>134.17</v>
      </c>
      <c r="H665" t="n">
        <v>16</v>
      </c>
      <c r="I665" t="inlineStr">
        <is>
          <t>Payconiq</t>
        </is>
      </c>
      <c r="J665" t="inlineStr">
        <is>
          <t>ja</t>
        </is>
      </c>
      <c r="K665" t="inlineStr">
        <is>
          <t>ja</t>
        </is>
      </c>
      <c r="L665" t="inlineStr">
        <is>
          <t>ja</t>
        </is>
      </c>
      <c r="M665" t="inlineStr">
        <is>
          <t>nee</t>
        </is>
      </c>
      <c r="N665" t="inlineStr">
        <is>
          <t>ja</t>
        </is>
      </c>
      <c r="O665" t="inlineStr">
        <is>
          <t>Geen dieet</t>
        </is>
      </c>
      <c r="Q665">
        <f>LEN(G665)-LEN(SUBSTITUTE(G665,",",""))+1</f>
        <v/>
      </c>
      <c r="R665">
        <f>SWITCH(I665, "Zelden", 1, "Af en toe", 4, "Regelmatig", 8, "Vaak", 12)</f>
        <v/>
      </c>
      <c r="S665">
        <f>AVERAGE(--(K665="ja"), --(L665="ja"), --(M665="ja"), --(N665="ja"), --(O665="ja"))*10</f>
        <v/>
      </c>
      <c r="T665">
        <f>IF(S665&gt;=7, "Tevreden", "Ontevreden")</f>
        <v/>
      </c>
    </row>
    <row r="666">
      <c r="A666" t="inlineStr">
        <is>
          <t>Kevin</t>
        </is>
      </c>
      <c r="B666" t="inlineStr">
        <is>
          <t>Bogaerts</t>
        </is>
      </c>
      <c r="C666" t="inlineStr">
        <is>
          <t>248.75956-45</t>
        </is>
      </c>
      <c r="D666" t="inlineStr">
        <is>
          <t>17/04/1976</t>
        </is>
      </c>
      <c r="E666" t="inlineStr">
        <is>
          <t>Voldersstraat 49, 3670 Meeuwen-Gruitrode</t>
        </is>
      </c>
      <c r="F666" t="inlineStr">
        <is>
          <t>Kevin,Sammi,Liam,Saleh</t>
        </is>
      </c>
      <c r="G666" t="n">
        <v>178.81</v>
      </c>
      <c r="H666" t="n">
        <v>21</v>
      </c>
      <c r="I666" t="inlineStr">
        <is>
          <t>Payconiq</t>
        </is>
      </c>
      <c r="J666" t="inlineStr">
        <is>
          <t>nee</t>
        </is>
      </c>
      <c r="K666" t="inlineStr">
        <is>
          <t>ja</t>
        </is>
      </c>
      <c r="L666" t="inlineStr">
        <is>
          <t>ja</t>
        </is>
      </c>
      <c r="M666" t="inlineStr">
        <is>
          <t>ja</t>
        </is>
      </c>
      <c r="N666" t="inlineStr">
        <is>
          <t>nee</t>
        </is>
      </c>
      <c r="O666" t="inlineStr">
        <is>
          <t>Geen dieet</t>
        </is>
      </c>
      <c r="Q666">
        <f>LEN(G666)-LEN(SUBSTITUTE(G666,",",""))+1</f>
        <v/>
      </c>
      <c r="R666">
        <f>SWITCH(I666, "Zelden", 1, "Af en toe", 4, "Regelmatig", 8, "Vaak", 12)</f>
        <v/>
      </c>
      <c r="S666">
        <f>AVERAGE(--(K666="ja"), --(L666="ja"), --(M666="ja"), --(N666="ja"), --(O666="ja"))*10</f>
        <v/>
      </c>
      <c r="T666">
        <f>IF(S666&gt;=7, "Tevreden", "Ontevreden")</f>
        <v/>
      </c>
    </row>
    <row r="667">
      <c r="A667" t="inlineStr">
        <is>
          <t>Hatidzhe</t>
        </is>
      </c>
      <c r="B667" t="inlineStr">
        <is>
          <t>Lauwers</t>
        </is>
      </c>
      <c r="C667" t="inlineStr">
        <is>
          <t>323.26977-69</t>
        </is>
      </c>
      <c r="D667" t="inlineStr">
        <is>
          <t>19/01/1973</t>
        </is>
      </c>
      <c r="E667" t="inlineStr">
        <is>
          <t>New-yorkstraat 81, 3970 Leopoldsburg</t>
        </is>
      </c>
      <c r="F667" t="inlineStr">
        <is>
          <t>Hatidzhe,Casimir,Yanni,Ghislain</t>
        </is>
      </c>
      <c r="G667" t="n">
        <v>169.45</v>
      </c>
      <c r="H667" t="n">
        <v>6</v>
      </c>
      <c r="I667" t="inlineStr">
        <is>
          <t>Bancontact</t>
        </is>
      </c>
      <c r="J667" t="inlineStr">
        <is>
          <t>ja</t>
        </is>
      </c>
      <c r="K667" t="inlineStr">
        <is>
          <t>ja</t>
        </is>
      </c>
      <c r="L667" t="inlineStr">
        <is>
          <t>nee</t>
        </is>
      </c>
      <c r="M667" t="inlineStr">
        <is>
          <t>ja</t>
        </is>
      </c>
      <c r="N667" t="inlineStr">
        <is>
          <t>ja</t>
        </is>
      </c>
      <c r="O667" t="inlineStr">
        <is>
          <t>Geen dieet</t>
        </is>
      </c>
      <c r="Q667">
        <f>LEN(G667)-LEN(SUBSTITUTE(G667,",",""))+1</f>
        <v/>
      </c>
      <c r="R667">
        <f>SWITCH(I667, "Zelden", 1, "Af en toe", 4, "Regelmatig", 8, "Vaak", 12)</f>
        <v/>
      </c>
      <c r="S667">
        <f>AVERAGE(--(K667="ja"), --(L667="ja"), --(M667="ja"), --(N667="ja"), --(O667="ja"))*10</f>
        <v/>
      </c>
      <c r="T667">
        <f>IF(S667&gt;=7, "Tevreden", "Ontevreden")</f>
        <v/>
      </c>
    </row>
    <row r="668">
      <c r="A668" t="inlineStr">
        <is>
          <t>Valérie</t>
        </is>
      </c>
      <c r="B668" t="inlineStr">
        <is>
          <t>Willems</t>
        </is>
      </c>
      <c r="C668" t="inlineStr">
        <is>
          <t>996.93163-45</t>
        </is>
      </c>
      <c r="D668" t="inlineStr">
        <is>
          <t>19/08/1950</t>
        </is>
      </c>
      <c r="E668" t="inlineStr">
        <is>
          <t>Meerhoutstraat 57, 3740 Bilzen</t>
        </is>
      </c>
      <c r="F668" t="inlineStr">
        <is>
          <t>Valérie,Maya,Annick,Liliane</t>
        </is>
      </c>
      <c r="G668" t="n">
        <v>68.23</v>
      </c>
      <c r="H668" t="n">
        <v>12</v>
      </c>
      <c r="I668" t="inlineStr">
        <is>
          <t>Cash</t>
        </is>
      </c>
      <c r="J668" t="inlineStr">
        <is>
          <t>ja</t>
        </is>
      </c>
      <c r="K668" t="inlineStr">
        <is>
          <t>ja</t>
        </is>
      </c>
      <c r="L668" t="inlineStr">
        <is>
          <t>ja</t>
        </is>
      </c>
      <c r="M668" t="inlineStr">
        <is>
          <t>nee</t>
        </is>
      </c>
      <c r="N668" t="inlineStr">
        <is>
          <t>ja</t>
        </is>
      </c>
      <c r="O668" t="inlineStr">
        <is>
          <t>Geen dieet</t>
        </is>
      </c>
      <c r="Q668">
        <f>LEN(G668)-LEN(SUBSTITUTE(G668,",",""))+1</f>
        <v/>
      </c>
      <c r="R668">
        <f>SWITCH(I668, "Zelden", 1, "Af en toe", 4, "Regelmatig", 8, "Vaak", 12)</f>
        <v/>
      </c>
      <c r="S668">
        <f>AVERAGE(--(K668="ja"), --(L668="ja"), --(M668="ja"), --(N668="ja"), --(O668="ja"))*10</f>
        <v/>
      </c>
      <c r="T668">
        <f>IF(S668&gt;=7, "Tevreden", "Ontevreden")</f>
        <v/>
      </c>
    </row>
    <row r="669">
      <c r="A669" t="inlineStr">
        <is>
          <t>Gauthier</t>
        </is>
      </c>
      <c r="B669" t="inlineStr">
        <is>
          <t>Michaux</t>
        </is>
      </c>
      <c r="C669" t="inlineStr">
        <is>
          <t>73.36406-57</t>
        </is>
      </c>
      <c r="D669" t="inlineStr">
        <is>
          <t>07/07/2005</t>
        </is>
      </c>
      <c r="E669" t="inlineStr">
        <is>
          <t>Sagastraat 98, 3900 Overpelt</t>
        </is>
      </c>
      <c r="F669" t="inlineStr">
        <is>
          <t>Gauthier,Stijn,Naëlle,Jonas,Ellie</t>
        </is>
      </c>
      <c r="G669" t="n">
        <v>119.64</v>
      </c>
      <c r="H669" t="n">
        <v>12</v>
      </c>
      <c r="I669" t="inlineStr">
        <is>
          <t>Payconiq</t>
        </is>
      </c>
      <c r="J669" t="inlineStr">
        <is>
          <t>ja</t>
        </is>
      </c>
      <c r="K669" t="inlineStr">
        <is>
          <t>ja</t>
        </is>
      </c>
      <c r="L669" t="inlineStr">
        <is>
          <t>ja</t>
        </is>
      </c>
      <c r="M669" t="inlineStr">
        <is>
          <t>ja</t>
        </is>
      </c>
      <c r="N669" t="inlineStr">
        <is>
          <t>ja</t>
        </is>
      </c>
      <c r="O669" t="inlineStr">
        <is>
          <t>Geen dieet</t>
        </is>
      </c>
      <c r="Q669">
        <f>LEN(G669)-LEN(SUBSTITUTE(G669,",",""))+1</f>
        <v/>
      </c>
      <c r="R669">
        <f>SWITCH(I669, "Zelden", 1, "Af en toe", 4, "Regelmatig", 8, "Vaak", 12)</f>
        <v/>
      </c>
      <c r="S669">
        <f>AVERAGE(--(K669="ja"), --(L669="ja"), --(M669="ja"), --(N669="ja"), --(O669="ja"))*10</f>
        <v/>
      </c>
      <c r="T669">
        <f>IF(S669&gt;=7, "Tevreden", "Ontevreden")</f>
        <v/>
      </c>
    </row>
    <row r="670">
      <c r="A670" t="inlineStr">
        <is>
          <t>Jeannine</t>
        </is>
      </c>
      <c r="B670" t="inlineStr">
        <is>
          <t>Lemmens</t>
        </is>
      </c>
      <c r="C670" t="inlineStr">
        <is>
          <t>893.41636-16</t>
        </is>
      </c>
      <c r="D670" t="inlineStr">
        <is>
          <t>07/05/2005</t>
        </is>
      </c>
      <c r="E670" t="inlineStr">
        <is>
          <t>Voldersstraat 58, 3700 Tongeren</t>
        </is>
      </c>
      <c r="F670" t="inlineStr">
        <is>
          <t>Jeannine,Emmanuel</t>
        </is>
      </c>
      <c r="G670" t="n">
        <v>23.9</v>
      </c>
      <c r="H670" t="n">
        <v>20</v>
      </c>
      <c r="I670" t="inlineStr">
        <is>
          <t>Payconiq</t>
        </is>
      </c>
      <c r="J670" t="inlineStr">
        <is>
          <t>nee</t>
        </is>
      </c>
      <c r="K670" t="inlineStr">
        <is>
          <t>ja</t>
        </is>
      </c>
      <c r="L670" t="inlineStr">
        <is>
          <t>nee</t>
        </is>
      </c>
      <c r="M670" t="inlineStr">
        <is>
          <t>nee</t>
        </is>
      </c>
      <c r="N670" t="inlineStr">
        <is>
          <t>nee</t>
        </is>
      </c>
      <c r="O670" t="inlineStr">
        <is>
          <t>Geen dieet</t>
        </is>
      </c>
      <c r="Q670">
        <f>LEN(G670)-LEN(SUBSTITUTE(G670,",",""))+1</f>
        <v/>
      </c>
      <c r="R670">
        <f>SWITCH(I670, "Zelden", 1, "Af en toe", 4, "Regelmatig", 8, "Vaak", 12)</f>
        <v/>
      </c>
      <c r="S670">
        <f>AVERAGE(--(K670="ja"), --(L670="ja"), --(M670="ja"), --(N670="ja"), --(O670="ja"))*10</f>
        <v/>
      </c>
      <c r="T670">
        <f>IF(S670&gt;=7, "Tevreden", "Ontevreden")</f>
        <v/>
      </c>
    </row>
    <row r="671">
      <c r="A671" t="inlineStr">
        <is>
          <t>Emiline</t>
        </is>
      </c>
      <c r="B671" t="inlineStr">
        <is>
          <t>Maes</t>
        </is>
      </c>
      <c r="C671" t="inlineStr">
        <is>
          <t>707.63721-76</t>
        </is>
      </c>
      <c r="D671" t="inlineStr">
        <is>
          <t>06/10/1945</t>
        </is>
      </c>
      <c r="E671" t="inlineStr">
        <is>
          <t>François Laurentplein 33, 3540 Herk-de-Stad</t>
        </is>
      </c>
      <c r="F671" t="inlineStr">
        <is>
          <t>Emiline,Yousef</t>
        </is>
      </c>
      <c r="G671" t="n">
        <v>76.02</v>
      </c>
      <c r="H671" t="n">
        <v>4</v>
      </c>
      <c r="I671" t="inlineStr">
        <is>
          <t>Bancontact</t>
        </is>
      </c>
      <c r="J671" t="inlineStr">
        <is>
          <t>ja</t>
        </is>
      </c>
      <c r="K671" t="inlineStr">
        <is>
          <t>ja</t>
        </is>
      </c>
      <c r="L671" t="inlineStr">
        <is>
          <t>nee</t>
        </is>
      </c>
      <c r="M671" t="inlineStr">
        <is>
          <t>ja</t>
        </is>
      </c>
      <c r="N671" t="inlineStr">
        <is>
          <t>ja</t>
        </is>
      </c>
      <c r="O671" t="inlineStr">
        <is>
          <t>Geen dieet</t>
        </is>
      </c>
      <c r="Q671">
        <f>LEN(G671)-LEN(SUBSTITUTE(G671,",",""))+1</f>
        <v/>
      </c>
      <c r="R671">
        <f>SWITCH(I671, "Zelden", 1, "Af en toe", 4, "Regelmatig", 8, "Vaak", 12)</f>
        <v/>
      </c>
      <c r="S671">
        <f>AVERAGE(--(K671="ja"), --(L671="ja"), --(M671="ja"), --(N671="ja"), --(O671="ja"))*10</f>
        <v/>
      </c>
      <c r="T671">
        <f>IF(S671&gt;=7, "Tevreden", "Ontevreden")</f>
        <v/>
      </c>
    </row>
    <row r="672">
      <c r="A672" t="inlineStr">
        <is>
          <t>Annelore</t>
        </is>
      </c>
      <c r="B672" t="inlineStr">
        <is>
          <t>De smedt</t>
        </is>
      </c>
      <c r="C672" t="inlineStr">
        <is>
          <t>871.41049-41</t>
        </is>
      </c>
      <c r="D672" t="inlineStr">
        <is>
          <t>09/04/1990</t>
        </is>
      </c>
      <c r="E672" t="inlineStr">
        <is>
          <t>Kleindokkaai 8, 3500 Hasselt</t>
        </is>
      </c>
      <c r="F672" t="inlineStr">
        <is>
          <t>Annelore,Cynthia</t>
        </is>
      </c>
      <c r="G672" t="n">
        <v>145.11</v>
      </c>
      <c r="H672" t="n">
        <v>11</v>
      </c>
      <c r="I672" t="inlineStr">
        <is>
          <t>Bancontact</t>
        </is>
      </c>
      <c r="J672" t="inlineStr">
        <is>
          <t>ja</t>
        </is>
      </c>
      <c r="K672" t="inlineStr">
        <is>
          <t>ja</t>
        </is>
      </c>
      <c r="L672" t="inlineStr">
        <is>
          <t>nee</t>
        </is>
      </c>
      <c r="M672" t="inlineStr">
        <is>
          <t>ja</t>
        </is>
      </c>
      <c r="N672" t="inlineStr">
        <is>
          <t>ja</t>
        </is>
      </c>
      <c r="O672" t="inlineStr">
        <is>
          <t>Geen dieet</t>
        </is>
      </c>
      <c r="Q672">
        <f>LEN(G672)-LEN(SUBSTITUTE(G672,",",""))+1</f>
        <v/>
      </c>
      <c r="R672">
        <f>SWITCH(I672, "Zelden", 1, "Af en toe", 4, "Regelmatig", 8, "Vaak", 12)</f>
        <v/>
      </c>
      <c r="S672">
        <f>AVERAGE(--(K672="ja"), --(L672="ja"), --(M672="ja"), --(N672="ja"), --(O672="ja"))*10</f>
        <v/>
      </c>
      <c r="T672">
        <f>IF(S672&gt;=7, "Tevreden", "Ontevreden")</f>
        <v/>
      </c>
    </row>
    <row r="673">
      <c r="A673" t="inlineStr">
        <is>
          <t>Josephus</t>
        </is>
      </c>
      <c r="B673" t="inlineStr">
        <is>
          <t>Willems</t>
        </is>
      </c>
      <c r="C673" t="inlineStr">
        <is>
          <t>799.41326-79</t>
        </is>
      </c>
      <c r="D673" t="inlineStr">
        <is>
          <t>13/03/1972</t>
        </is>
      </c>
      <c r="E673" t="inlineStr">
        <is>
          <t>Dracenastraat 30, 3831 Herten</t>
        </is>
      </c>
      <c r="F673" t="inlineStr">
        <is>
          <t>Josephus,Lev</t>
        </is>
      </c>
      <c r="G673" t="n">
        <v>56.39</v>
      </c>
      <c r="H673" t="n">
        <v>19</v>
      </c>
      <c r="I673" t="inlineStr">
        <is>
          <t>Payconiq</t>
        </is>
      </c>
      <c r="J673" t="inlineStr">
        <is>
          <t>ja</t>
        </is>
      </c>
      <c r="K673" t="inlineStr">
        <is>
          <t>ja</t>
        </is>
      </c>
      <c r="L673" t="inlineStr">
        <is>
          <t>ja</t>
        </is>
      </c>
      <c r="M673" t="inlineStr">
        <is>
          <t>nee</t>
        </is>
      </c>
      <c r="N673" t="inlineStr">
        <is>
          <t>ja</t>
        </is>
      </c>
      <c r="O673" t="inlineStr">
        <is>
          <t>Geen dieet</t>
        </is>
      </c>
      <c r="Q673">
        <f>LEN(G673)-LEN(SUBSTITUTE(G673,",",""))+1</f>
        <v/>
      </c>
      <c r="R673">
        <f>SWITCH(I673, "Zelden", 1, "Af en toe", 4, "Regelmatig", 8, "Vaak", 12)</f>
        <v/>
      </c>
      <c r="S673">
        <f>AVERAGE(--(K673="ja"), --(L673="ja"), --(M673="ja"), --(N673="ja"), --(O673="ja"))*10</f>
        <v/>
      </c>
      <c r="T673">
        <f>IF(S673&gt;=7, "Tevreden", "Ontevreden")</f>
        <v/>
      </c>
    </row>
    <row r="674">
      <c r="A674" t="inlineStr">
        <is>
          <t>Christian</t>
        </is>
      </c>
      <c r="B674" t="inlineStr">
        <is>
          <t>Laurent</t>
        </is>
      </c>
      <c r="C674" t="inlineStr">
        <is>
          <t>452.55248-28</t>
        </is>
      </c>
      <c r="D674" t="inlineStr">
        <is>
          <t>09/12/1975</t>
        </is>
      </c>
      <c r="E674" t="inlineStr">
        <is>
          <t>Bennesteeg 33, 3891 Meilen</t>
        </is>
      </c>
      <c r="F674" t="inlineStr">
        <is>
          <t>Christian,Luca,Murat,Romanus</t>
        </is>
      </c>
      <c r="G674" t="n">
        <v>250.77</v>
      </c>
      <c r="H674" t="n">
        <v>15</v>
      </c>
      <c r="I674" t="inlineStr">
        <is>
          <t>Payconiq</t>
        </is>
      </c>
      <c r="J674" t="inlineStr">
        <is>
          <t>ja</t>
        </is>
      </c>
      <c r="K674" t="inlineStr">
        <is>
          <t>ja</t>
        </is>
      </c>
      <c r="L674" t="inlineStr">
        <is>
          <t>nee</t>
        </is>
      </c>
      <c r="M674" t="inlineStr">
        <is>
          <t>nee</t>
        </is>
      </c>
      <c r="N674" t="inlineStr">
        <is>
          <t>ja</t>
        </is>
      </c>
      <c r="O674" t="inlineStr">
        <is>
          <t>Geen dieet</t>
        </is>
      </c>
      <c r="Q674">
        <f>LEN(G674)-LEN(SUBSTITUTE(G674,",",""))+1</f>
        <v/>
      </c>
      <c r="R674">
        <f>SWITCH(I674, "Zelden", 1, "Af en toe", 4, "Regelmatig", 8, "Vaak", 12)</f>
        <v/>
      </c>
      <c r="S674">
        <f>AVERAGE(--(K674="ja"), --(L674="ja"), --(M674="ja"), --(N674="ja"), --(O674="ja"))*10</f>
        <v/>
      </c>
      <c r="T674">
        <f>IF(S674&gt;=7, "Tevreden", "Ontevreden")</f>
        <v/>
      </c>
    </row>
    <row r="675">
      <c r="A675" t="inlineStr">
        <is>
          <t>Antoinette</t>
        </is>
      </c>
      <c r="B675" t="inlineStr">
        <is>
          <t>Simon</t>
        </is>
      </c>
      <c r="C675" t="inlineStr">
        <is>
          <t>827.99876-88</t>
        </is>
      </c>
      <c r="D675" t="inlineStr">
        <is>
          <t>04/11/1957</t>
        </is>
      </c>
      <c r="E675" t="inlineStr">
        <is>
          <t>Bij Sint-jacobs 52, 3920 Lommel</t>
        </is>
      </c>
      <c r="F675" t="inlineStr">
        <is>
          <t>Antoinette,Lara,Morgane</t>
        </is>
      </c>
      <c r="G675" t="n">
        <v>146.29</v>
      </c>
      <c r="H675" t="n">
        <v>2</v>
      </c>
      <c r="I675" t="inlineStr">
        <is>
          <t>Creditcard</t>
        </is>
      </c>
      <c r="J675" t="inlineStr">
        <is>
          <t>ja</t>
        </is>
      </c>
      <c r="K675" t="inlineStr">
        <is>
          <t>ja</t>
        </is>
      </c>
      <c r="L675" t="inlineStr">
        <is>
          <t>ja</t>
        </is>
      </c>
      <c r="M675" t="inlineStr">
        <is>
          <t>ja</t>
        </is>
      </c>
      <c r="N675" t="inlineStr">
        <is>
          <t>ja</t>
        </is>
      </c>
      <c r="O675" t="inlineStr">
        <is>
          <t>Vegetarisch</t>
        </is>
      </c>
      <c r="Q675">
        <f>LEN(G675)-LEN(SUBSTITUTE(G675,",",""))+1</f>
        <v/>
      </c>
      <c r="R675">
        <f>SWITCH(I675, "Zelden", 1, "Af en toe", 4, "Regelmatig", 8, "Vaak", 12)</f>
        <v/>
      </c>
      <c r="S675">
        <f>AVERAGE(--(K675="ja"), --(L675="ja"), --(M675="ja"), --(N675="ja"), --(O675="ja"))*10</f>
        <v/>
      </c>
      <c r="T675">
        <f>IF(S675&gt;=7, "Tevreden", "Ontevreden")</f>
        <v/>
      </c>
    </row>
    <row r="676">
      <c r="A676" t="inlineStr">
        <is>
          <t>Yessica</t>
        </is>
      </c>
      <c r="B676" t="inlineStr">
        <is>
          <t>Wuyts</t>
        </is>
      </c>
      <c r="C676" t="inlineStr">
        <is>
          <t>966.89292-68</t>
        </is>
      </c>
      <c r="D676" t="inlineStr">
        <is>
          <t>31/03/1967</t>
        </is>
      </c>
      <c r="E676" t="inlineStr">
        <is>
          <t>Driepikkelstraat 27, 3800 Zepperen</t>
        </is>
      </c>
      <c r="F676" t="inlineStr">
        <is>
          <t>Yessica,Nina</t>
        </is>
      </c>
      <c r="G676" t="n">
        <v>67.98999999999999</v>
      </c>
      <c r="H676" t="n">
        <v>9</v>
      </c>
      <c r="I676" t="inlineStr">
        <is>
          <t>Payconiq</t>
        </is>
      </c>
      <c r="J676" t="inlineStr">
        <is>
          <t>nee</t>
        </is>
      </c>
      <c r="K676" t="inlineStr">
        <is>
          <t>nee</t>
        </is>
      </c>
      <c r="L676" t="inlineStr">
        <is>
          <t>ja</t>
        </is>
      </c>
      <c r="M676" t="inlineStr">
        <is>
          <t>ja</t>
        </is>
      </c>
      <c r="N676" t="inlineStr">
        <is>
          <t>nee</t>
        </is>
      </c>
      <c r="O676" t="inlineStr">
        <is>
          <t>Geen dieet</t>
        </is>
      </c>
      <c r="Q676">
        <f>LEN(G676)-LEN(SUBSTITUTE(G676,",",""))+1</f>
        <v/>
      </c>
      <c r="R676">
        <f>SWITCH(I676, "Zelden", 1, "Af en toe", 4, "Regelmatig", 8, "Vaak", 12)</f>
        <v/>
      </c>
      <c r="S676">
        <f>AVERAGE(--(K676="ja"), --(L676="ja"), --(M676="ja"), --(N676="ja"), --(O676="ja"))*10</f>
        <v/>
      </c>
      <c r="T676">
        <f>IF(S676&gt;=7, "Tevreden", "Ontevreden")</f>
        <v/>
      </c>
    </row>
    <row r="677">
      <c r="A677" t="inlineStr">
        <is>
          <t>Julien</t>
        </is>
      </c>
      <c r="B677" t="inlineStr">
        <is>
          <t>Nijs</t>
        </is>
      </c>
      <c r="C677" t="inlineStr">
        <is>
          <t>988.87347-37</t>
        </is>
      </c>
      <c r="D677" t="inlineStr">
        <is>
          <t>08/04/1980</t>
        </is>
      </c>
      <c r="E677" t="inlineStr">
        <is>
          <t>Florbertusstraat 37, 3930 Hamont-Achel</t>
        </is>
      </c>
      <c r="F677" t="inlineStr">
        <is>
          <t>Julien,Anastasiia,Miranda,Amelie</t>
        </is>
      </c>
      <c r="G677" t="n">
        <v>131.36</v>
      </c>
      <c r="H677" t="n">
        <v>5</v>
      </c>
      <c r="I677" t="inlineStr">
        <is>
          <t>Cash</t>
        </is>
      </c>
      <c r="J677" t="inlineStr">
        <is>
          <t>nee</t>
        </is>
      </c>
      <c r="K677" t="inlineStr">
        <is>
          <t>ja</t>
        </is>
      </c>
      <c r="L677" t="inlineStr">
        <is>
          <t>ja</t>
        </is>
      </c>
      <c r="M677" t="inlineStr">
        <is>
          <t>nee</t>
        </is>
      </c>
      <c r="N677" t="inlineStr">
        <is>
          <t>nee</t>
        </is>
      </c>
      <c r="O677" t="inlineStr">
        <is>
          <t>Geen dieet</t>
        </is>
      </c>
      <c r="Q677">
        <f>LEN(G677)-LEN(SUBSTITUTE(G677,",",""))+1</f>
        <v/>
      </c>
      <c r="R677">
        <f>SWITCH(I677, "Zelden", 1, "Af en toe", 4, "Regelmatig", 8, "Vaak", 12)</f>
        <v/>
      </c>
      <c r="S677">
        <f>AVERAGE(--(K677="ja"), --(L677="ja"), --(M677="ja"), --(N677="ja"), --(O677="ja"))*10</f>
        <v/>
      </c>
      <c r="T677">
        <f>IF(S677&gt;=7, "Tevreden", "Ontevreden")</f>
        <v/>
      </c>
    </row>
    <row r="678">
      <c r="A678" t="inlineStr">
        <is>
          <t>Manu</t>
        </is>
      </c>
      <c r="B678" t="inlineStr">
        <is>
          <t>Baetens</t>
        </is>
      </c>
      <c r="C678" t="inlineStr">
        <is>
          <t>454.76682-24</t>
        </is>
      </c>
      <c r="D678" t="inlineStr">
        <is>
          <t>21/06/1975</t>
        </is>
      </c>
      <c r="E678" t="inlineStr">
        <is>
          <t>Voormuide 26, 3630 Maasmechelen</t>
        </is>
      </c>
      <c r="F678" t="inlineStr">
        <is>
          <t>Manu,Chantal</t>
        </is>
      </c>
      <c r="G678" t="n">
        <v>115.02</v>
      </c>
      <c r="H678" t="n">
        <v>8</v>
      </c>
      <c r="I678" t="inlineStr">
        <is>
          <t>Cash</t>
        </is>
      </c>
      <c r="J678" t="inlineStr">
        <is>
          <t>nee</t>
        </is>
      </c>
      <c r="K678" t="inlineStr">
        <is>
          <t>nee</t>
        </is>
      </c>
      <c r="L678" t="inlineStr">
        <is>
          <t>ja</t>
        </is>
      </c>
      <c r="M678" t="inlineStr">
        <is>
          <t>ja</t>
        </is>
      </c>
      <c r="N678" t="inlineStr">
        <is>
          <t>nee</t>
        </is>
      </c>
      <c r="O678" t="inlineStr">
        <is>
          <t>Geen dieet</t>
        </is>
      </c>
      <c r="Q678">
        <f>LEN(G678)-LEN(SUBSTITUTE(G678,",",""))+1</f>
        <v/>
      </c>
      <c r="R678">
        <f>SWITCH(I678, "Zelden", 1, "Af en toe", 4, "Regelmatig", 8, "Vaak", 12)</f>
        <v/>
      </c>
      <c r="S678">
        <f>AVERAGE(--(K678="ja"), --(L678="ja"), --(M678="ja"), --(N678="ja"), --(O678="ja"))*10</f>
        <v/>
      </c>
      <c r="T678">
        <f>IF(S678&gt;=7, "Tevreden", "Ontevreden")</f>
        <v/>
      </c>
    </row>
    <row r="679">
      <c r="A679" t="inlineStr">
        <is>
          <t>Camille</t>
        </is>
      </c>
      <c r="B679" t="inlineStr">
        <is>
          <t>Janssens</t>
        </is>
      </c>
      <c r="C679" t="inlineStr">
        <is>
          <t>43.26703-74</t>
        </is>
      </c>
      <c r="D679" t="inlineStr">
        <is>
          <t>07/05/1958</t>
        </is>
      </c>
      <c r="E679" t="inlineStr">
        <is>
          <t>Gouvernementstraat 38, 3900 Overpelt</t>
        </is>
      </c>
      <c r="F679" t="inlineStr">
        <is>
          <t>Camille,Noël</t>
        </is>
      </c>
      <c r="G679" t="n">
        <v>183.32</v>
      </c>
      <c r="H679" t="n">
        <v>10</v>
      </c>
      <c r="I679" t="inlineStr">
        <is>
          <t>Payconiq</t>
        </is>
      </c>
      <c r="J679" t="inlineStr">
        <is>
          <t>nee</t>
        </is>
      </c>
      <c r="K679" t="inlineStr">
        <is>
          <t>nee</t>
        </is>
      </c>
      <c r="L679" t="inlineStr">
        <is>
          <t>nee</t>
        </is>
      </c>
      <c r="M679" t="inlineStr">
        <is>
          <t>ja</t>
        </is>
      </c>
      <c r="N679" t="inlineStr">
        <is>
          <t>nee</t>
        </is>
      </c>
      <c r="O679" t="inlineStr">
        <is>
          <t>Geen dieet</t>
        </is>
      </c>
      <c r="Q679">
        <f>LEN(G679)-LEN(SUBSTITUTE(G679,",",""))+1</f>
        <v/>
      </c>
      <c r="R679">
        <f>SWITCH(I679, "Zelden", 1, "Af en toe", 4, "Regelmatig", 8, "Vaak", 12)</f>
        <v/>
      </c>
      <c r="S679">
        <f>AVERAGE(--(K679="ja"), --(L679="ja"), --(M679="ja"), --(N679="ja"), --(O679="ja"))*10</f>
        <v/>
      </c>
      <c r="T679">
        <f>IF(S679&gt;=7, "Tevreden", "Ontevreden")</f>
        <v/>
      </c>
    </row>
    <row r="680">
      <c r="A680" t="inlineStr">
        <is>
          <t>Kim</t>
        </is>
      </c>
      <c r="B680" t="inlineStr">
        <is>
          <t>Robert</t>
        </is>
      </c>
      <c r="C680" t="inlineStr">
        <is>
          <t>795.53935-35</t>
        </is>
      </c>
      <c r="D680" t="inlineStr">
        <is>
          <t>22/05/1986</t>
        </is>
      </c>
      <c r="E680" t="inlineStr">
        <is>
          <t>Derbystraat 91, 3590 Diepenbeek</t>
        </is>
      </c>
      <c r="F680" t="inlineStr">
        <is>
          <t>Kim,Mbark,Roos,Philéas,Annik</t>
        </is>
      </c>
      <c r="G680" t="n">
        <v>186.32</v>
      </c>
      <c r="H680" t="n">
        <v>9</v>
      </c>
      <c r="I680" t="inlineStr">
        <is>
          <t>Bancontact</t>
        </is>
      </c>
      <c r="J680" t="inlineStr">
        <is>
          <t>nee</t>
        </is>
      </c>
      <c r="K680" t="inlineStr">
        <is>
          <t>ja</t>
        </is>
      </c>
      <c r="L680" t="inlineStr">
        <is>
          <t>nee</t>
        </is>
      </c>
      <c r="M680" t="inlineStr">
        <is>
          <t>ja</t>
        </is>
      </c>
      <c r="N680" t="inlineStr">
        <is>
          <t>nee</t>
        </is>
      </c>
      <c r="O680" t="inlineStr">
        <is>
          <t>Veganistisch</t>
        </is>
      </c>
      <c r="Q680">
        <f>LEN(G680)-LEN(SUBSTITUTE(G680,",",""))+1</f>
        <v/>
      </c>
      <c r="R680">
        <f>SWITCH(I680, "Zelden", 1, "Af en toe", 4, "Regelmatig", 8, "Vaak", 12)</f>
        <v/>
      </c>
      <c r="S680">
        <f>AVERAGE(--(K680="ja"), --(L680="ja"), --(M680="ja"), --(N680="ja"), --(O680="ja"))*10</f>
        <v/>
      </c>
      <c r="T680">
        <f>IF(S680&gt;=7, "Tevreden", "Ontevreden")</f>
        <v/>
      </c>
    </row>
    <row r="681">
      <c r="A681" t="inlineStr">
        <is>
          <t>Juliette</t>
        </is>
      </c>
      <c r="B681" t="inlineStr">
        <is>
          <t>Michiels</t>
        </is>
      </c>
      <c r="C681" t="inlineStr">
        <is>
          <t>600.37154-39</t>
        </is>
      </c>
      <c r="D681" t="inlineStr">
        <is>
          <t>08/09/1977</t>
        </is>
      </c>
      <c r="E681" t="inlineStr">
        <is>
          <t>Geldmunt 6, 3600 Genk</t>
        </is>
      </c>
      <c r="F681" t="inlineStr">
        <is>
          <t>Juliette,Amina</t>
        </is>
      </c>
      <c r="G681" t="n">
        <v>169.47</v>
      </c>
      <c r="H681" t="n">
        <v>11</v>
      </c>
      <c r="I681" t="inlineStr">
        <is>
          <t>Cash</t>
        </is>
      </c>
      <c r="J681" t="inlineStr">
        <is>
          <t>ja</t>
        </is>
      </c>
      <c r="K681" t="inlineStr">
        <is>
          <t>ja</t>
        </is>
      </c>
      <c r="L681" t="inlineStr">
        <is>
          <t>nee</t>
        </is>
      </c>
      <c r="M681" t="inlineStr">
        <is>
          <t>ja</t>
        </is>
      </c>
      <c r="N681" t="inlineStr">
        <is>
          <t>ja</t>
        </is>
      </c>
      <c r="O681" t="inlineStr">
        <is>
          <t>Geen dieet</t>
        </is>
      </c>
      <c r="Q681">
        <f>LEN(G681)-LEN(SUBSTITUTE(G681,",",""))+1</f>
        <v/>
      </c>
      <c r="R681">
        <f>SWITCH(I681, "Zelden", 1, "Af en toe", 4, "Regelmatig", 8, "Vaak", 12)</f>
        <v/>
      </c>
      <c r="S681">
        <f>AVERAGE(--(K681="ja"), --(L681="ja"), --(M681="ja"), --(N681="ja"), --(O681="ja"))*10</f>
        <v/>
      </c>
      <c r="T681">
        <f>IF(S681&gt;=7, "Tevreden", "Ontevreden")</f>
        <v/>
      </c>
    </row>
    <row r="682">
      <c r="A682" t="inlineStr">
        <is>
          <t>Nio</t>
        </is>
      </c>
      <c r="B682" t="inlineStr">
        <is>
          <t>Bracke</t>
        </is>
      </c>
      <c r="C682" t="inlineStr">
        <is>
          <t>792.47226-67</t>
        </is>
      </c>
      <c r="D682" t="inlineStr">
        <is>
          <t>20/07/1946</t>
        </is>
      </c>
      <c r="E682" t="inlineStr">
        <is>
          <t>Overpoortstraat 58, 3900 Overpelt</t>
        </is>
      </c>
      <c r="F682" t="inlineStr">
        <is>
          <t>Nio,Elia,Enzo,Loïc</t>
        </is>
      </c>
      <c r="G682" t="n">
        <v>120.35</v>
      </c>
      <c r="H682" t="n">
        <v>9</v>
      </c>
      <c r="I682" t="inlineStr">
        <is>
          <t>Bancontact</t>
        </is>
      </c>
      <c r="J682" t="inlineStr">
        <is>
          <t>ja</t>
        </is>
      </c>
      <c r="K682" t="inlineStr">
        <is>
          <t>ja</t>
        </is>
      </c>
      <c r="L682" t="inlineStr">
        <is>
          <t>ja</t>
        </is>
      </c>
      <c r="M682" t="inlineStr">
        <is>
          <t>ja</t>
        </is>
      </c>
      <c r="N682" t="inlineStr">
        <is>
          <t>ja</t>
        </is>
      </c>
      <c r="O682" t="inlineStr">
        <is>
          <t>Vegetarisch</t>
        </is>
      </c>
      <c r="Q682">
        <f>LEN(G682)-LEN(SUBSTITUTE(G682,",",""))+1</f>
        <v/>
      </c>
      <c r="R682">
        <f>SWITCH(I682, "Zelden", 1, "Af en toe", 4, "Regelmatig", 8, "Vaak", 12)</f>
        <v/>
      </c>
      <c r="S682">
        <f>AVERAGE(--(K682="ja"), --(L682="ja"), --(M682="ja"), --(N682="ja"), --(O682="ja"))*10</f>
        <v/>
      </c>
      <c r="T682">
        <f>IF(S682&gt;=7, "Tevreden", "Ontevreden")</f>
        <v/>
      </c>
    </row>
    <row r="683">
      <c r="A683" t="inlineStr">
        <is>
          <t>Samuel</t>
        </is>
      </c>
      <c r="B683" t="inlineStr">
        <is>
          <t>Deprez</t>
        </is>
      </c>
      <c r="C683" t="inlineStr">
        <is>
          <t>556.73644-86</t>
        </is>
      </c>
      <c r="D683" t="inlineStr">
        <is>
          <t>09/07/1964</t>
        </is>
      </c>
      <c r="E683" t="inlineStr">
        <is>
          <t>Sint-pietersnieuwstraat 34, 3920 Lommel</t>
        </is>
      </c>
      <c r="F683" t="inlineStr">
        <is>
          <t>Samuel,Michail,Ionel,Gerda,Jenny</t>
        </is>
      </c>
      <c r="G683" t="n">
        <v>128.3</v>
      </c>
      <c r="H683" t="n">
        <v>5</v>
      </c>
      <c r="I683" t="inlineStr">
        <is>
          <t>Bancontact</t>
        </is>
      </c>
      <c r="J683" t="inlineStr">
        <is>
          <t>nee</t>
        </is>
      </c>
      <c r="K683" t="inlineStr">
        <is>
          <t>nee</t>
        </is>
      </c>
      <c r="L683" t="inlineStr">
        <is>
          <t>ja</t>
        </is>
      </c>
      <c r="M683" t="inlineStr">
        <is>
          <t>ja</t>
        </is>
      </c>
      <c r="N683" t="inlineStr">
        <is>
          <t>ja</t>
        </is>
      </c>
      <c r="O683" t="inlineStr">
        <is>
          <t>Veganistisch</t>
        </is>
      </c>
      <c r="Q683">
        <f>LEN(G683)-LEN(SUBSTITUTE(G683,",",""))+1</f>
        <v/>
      </c>
      <c r="R683">
        <f>SWITCH(I683, "Zelden", 1, "Af en toe", 4, "Regelmatig", 8, "Vaak", 12)</f>
        <v/>
      </c>
      <c r="S683">
        <f>AVERAGE(--(K683="ja"), --(L683="ja"), --(M683="ja"), --(N683="ja"), --(O683="ja"))*10</f>
        <v/>
      </c>
      <c r="T683">
        <f>IF(S683&gt;=7, "Tevreden", "Ontevreden")</f>
        <v/>
      </c>
    </row>
    <row r="684">
      <c r="A684" t="inlineStr">
        <is>
          <t>Nicole</t>
        </is>
      </c>
      <c r="B684" t="inlineStr">
        <is>
          <t>Van driessche</t>
        </is>
      </c>
      <c r="C684" t="inlineStr">
        <is>
          <t>171.50200-29</t>
        </is>
      </c>
      <c r="D684" t="inlineStr">
        <is>
          <t>31/03/2002</t>
        </is>
      </c>
      <c r="E684" t="inlineStr">
        <is>
          <t>Deinse Horsweg 24, 3800 Sint-Truiden</t>
        </is>
      </c>
      <c r="F684" t="inlineStr">
        <is>
          <t>Nicole,Benjamin</t>
        </is>
      </c>
      <c r="G684" t="n">
        <v>68.92</v>
      </c>
      <c r="H684" t="n">
        <v>4</v>
      </c>
      <c r="I684" t="inlineStr">
        <is>
          <t>Bancontact</t>
        </is>
      </c>
      <c r="J684" t="inlineStr">
        <is>
          <t>ja</t>
        </is>
      </c>
      <c r="K684" t="inlineStr">
        <is>
          <t>ja</t>
        </is>
      </c>
      <c r="L684" t="inlineStr">
        <is>
          <t>ja</t>
        </is>
      </c>
      <c r="M684" t="inlineStr">
        <is>
          <t>ja</t>
        </is>
      </c>
      <c r="N684" t="inlineStr">
        <is>
          <t>nee</t>
        </is>
      </c>
      <c r="O684" t="inlineStr">
        <is>
          <t>Geen dieet</t>
        </is>
      </c>
      <c r="Q684">
        <f>LEN(G684)-LEN(SUBSTITUTE(G684,",",""))+1</f>
        <v/>
      </c>
      <c r="R684">
        <f>SWITCH(I684, "Zelden", 1, "Af en toe", 4, "Regelmatig", 8, "Vaak", 12)</f>
        <v/>
      </c>
      <c r="S684">
        <f>AVERAGE(--(K684="ja"), --(L684="ja"), --(M684="ja"), --(N684="ja"), --(O684="ja"))*10</f>
        <v/>
      </c>
      <c r="T684">
        <f>IF(S684&gt;=7, "Tevreden", "Ontevreden")</f>
        <v/>
      </c>
    </row>
    <row r="685">
      <c r="A685" t="inlineStr">
        <is>
          <t>Lena</t>
        </is>
      </c>
      <c r="B685" t="inlineStr">
        <is>
          <t>Smits</t>
        </is>
      </c>
      <c r="C685" t="inlineStr">
        <is>
          <t>556.43997-70</t>
        </is>
      </c>
      <c r="D685" t="inlineStr">
        <is>
          <t>21/05/1977</t>
        </is>
      </c>
      <c r="E685" t="inlineStr">
        <is>
          <t>Onderstraat 9, 3520 Zonhoven</t>
        </is>
      </c>
      <c r="F685" t="inlineStr">
        <is>
          <t>Lena,Elisabeth,Samuel,Valentina,Arthur</t>
        </is>
      </c>
      <c r="G685" t="n">
        <v>145.99</v>
      </c>
      <c r="H685" t="n">
        <v>16</v>
      </c>
      <c r="I685" t="inlineStr">
        <is>
          <t>Payconiq</t>
        </is>
      </c>
      <c r="J685" t="inlineStr">
        <is>
          <t>ja</t>
        </is>
      </c>
      <c r="K685" t="inlineStr">
        <is>
          <t>ja</t>
        </is>
      </c>
      <c r="L685" t="inlineStr">
        <is>
          <t>ja</t>
        </is>
      </c>
      <c r="M685" t="inlineStr">
        <is>
          <t>ja</t>
        </is>
      </c>
      <c r="N685" t="inlineStr">
        <is>
          <t>ja</t>
        </is>
      </c>
      <c r="O685" t="inlineStr">
        <is>
          <t>Geen dieet</t>
        </is>
      </c>
      <c r="Q685">
        <f>LEN(G685)-LEN(SUBSTITUTE(G685,",",""))+1</f>
        <v/>
      </c>
      <c r="R685">
        <f>SWITCH(I685, "Zelden", 1, "Af en toe", 4, "Regelmatig", 8, "Vaak", 12)</f>
        <v/>
      </c>
      <c r="S685">
        <f>AVERAGE(--(K685="ja"), --(L685="ja"), --(M685="ja"), --(N685="ja"), --(O685="ja"))*10</f>
        <v/>
      </c>
      <c r="T685">
        <f>IF(S685&gt;=7, "Tevreden", "Ontevreden")</f>
        <v/>
      </c>
    </row>
    <row r="686">
      <c r="A686" t="inlineStr">
        <is>
          <t>Sandra</t>
        </is>
      </c>
      <c r="B686" t="inlineStr">
        <is>
          <t>Francois</t>
        </is>
      </c>
      <c r="C686" t="inlineStr">
        <is>
          <t>814.95142-40</t>
        </is>
      </c>
      <c r="D686" t="inlineStr">
        <is>
          <t>04/12/2001</t>
        </is>
      </c>
      <c r="E686" t="inlineStr">
        <is>
          <t>Gagelstraat 16, 3700 Tongeren</t>
        </is>
      </c>
      <c r="F686" t="inlineStr">
        <is>
          <t>Sandra,Bo</t>
        </is>
      </c>
      <c r="G686" t="n">
        <v>70.3</v>
      </c>
      <c r="H686" t="n">
        <v>14</v>
      </c>
      <c r="I686" t="inlineStr">
        <is>
          <t>Cash</t>
        </is>
      </c>
      <c r="J686" t="inlineStr">
        <is>
          <t>ja</t>
        </is>
      </c>
      <c r="K686" t="inlineStr">
        <is>
          <t>ja</t>
        </is>
      </c>
      <c r="L686" t="inlineStr">
        <is>
          <t>ja</t>
        </is>
      </c>
      <c r="M686" t="inlineStr">
        <is>
          <t>nee</t>
        </is>
      </c>
      <c r="N686" t="inlineStr">
        <is>
          <t>ja</t>
        </is>
      </c>
      <c r="O686" t="inlineStr">
        <is>
          <t>Vegetarisch</t>
        </is>
      </c>
      <c r="Q686">
        <f>LEN(G686)-LEN(SUBSTITUTE(G686,",",""))+1</f>
        <v/>
      </c>
      <c r="R686">
        <f>SWITCH(I686, "Zelden", 1, "Af en toe", 4, "Regelmatig", 8, "Vaak", 12)</f>
        <v/>
      </c>
      <c r="S686">
        <f>AVERAGE(--(K686="ja"), --(L686="ja"), --(M686="ja"), --(N686="ja"), --(O686="ja"))*10</f>
        <v/>
      </c>
      <c r="T686">
        <f>IF(S686&gt;=7, "Tevreden", "Ontevreden")</f>
        <v/>
      </c>
    </row>
    <row r="687">
      <c r="A687" t="inlineStr">
        <is>
          <t>Yara</t>
        </is>
      </c>
      <c r="B687" t="inlineStr">
        <is>
          <t>Piette</t>
        </is>
      </c>
      <c r="C687" t="inlineStr">
        <is>
          <t>484.40017-88</t>
        </is>
      </c>
      <c r="D687" t="inlineStr">
        <is>
          <t>06/07/1963</t>
        </is>
      </c>
      <c r="E687" t="inlineStr">
        <is>
          <t>Warmoezeniersweg 14, 3590 Diepenbeek</t>
        </is>
      </c>
      <c r="F687" t="inlineStr">
        <is>
          <t>Yara,Célia</t>
        </is>
      </c>
      <c r="G687" t="n">
        <v>32.86</v>
      </c>
      <c r="H687" t="n">
        <v>24</v>
      </c>
      <c r="I687" t="inlineStr">
        <is>
          <t>Bancontact</t>
        </is>
      </c>
      <c r="J687" t="inlineStr">
        <is>
          <t>ja</t>
        </is>
      </c>
      <c r="K687" t="inlineStr">
        <is>
          <t>ja</t>
        </is>
      </c>
      <c r="L687" t="inlineStr">
        <is>
          <t>ja</t>
        </is>
      </c>
      <c r="M687" t="inlineStr">
        <is>
          <t>ja</t>
        </is>
      </c>
      <c r="N687" t="inlineStr">
        <is>
          <t>nee</t>
        </is>
      </c>
      <c r="O687" t="inlineStr">
        <is>
          <t>Geen dieet</t>
        </is>
      </c>
      <c r="Q687">
        <f>LEN(G687)-LEN(SUBSTITUTE(G687,",",""))+1</f>
        <v/>
      </c>
      <c r="R687">
        <f>SWITCH(I687, "Zelden", 1, "Af en toe", 4, "Regelmatig", 8, "Vaak", 12)</f>
        <v/>
      </c>
      <c r="S687">
        <f>AVERAGE(--(K687="ja"), --(L687="ja"), --(M687="ja"), --(N687="ja"), --(O687="ja"))*10</f>
        <v/>
      </c>
      <c r="T687">
        <f>IF(S687&gt;=7, "Tevreden", "Ontevreden")</f>
        <v/>
      </c>
    </row>
    <row r="688">
      <c r="A688" t="inlineStr">
        <is>
          <t>Christiane</t>
        </is>
      </c>
      <c r="B688" t="inlineStr">
        <is>
          <t>Peeters</t>
        </is>
      </c>
      <c r="C688" t="inlineStr">
        <is>
          <t>891.69279-37</t>
        </is>
      </c>
      <c r="D688" t="inlineStr">
        <is>
          <t>26/05/1996</t>
        </is>
      </c>
      <c r="E688" t="inlineStr">
        <is>
          <t>Vlaanderenstraat 31, 3680 Maaseik</t>
        </is>
      </c>
      <c r="F688" t="inlineStr">
        <is>
          <t>Christiane</t>
        </is>
      </c>
      <c r="G688" t="n">
        <v>62.14</v>
      </c>
      <c r="H688" t="n">
        <v>6</v>
      </c>
      <c r="I688" t="inlineStr">
        <is>
          <t>Cash</t>
        </is>
      </c>
      <c r="J688" t="inlineStr">
        <is>
          <t>ja</t>
        </is>
      </c>
      <c r="K688" t="inlineStr">
        <is>
          <t>nee</t>
        </is>
      </c>
      <c r="L688" t="inlineStr">
        <is>
          <t>ja</t>
        </is>
      </c>
      <c r="M688" t="inlineStr">
        <is>
          <t>ja</t>
        </is>
      </c>
      <c r="N688" t="inlineStr">
        <is>
          <t>nee</t>
        </is>
      </c>
      <c r="O688" t="inlineStr">
        <is>
          <t>Vegetarisch</t>
        </is>
      </c>
      <c r="Q688">
        <f>LEN(G688)-LEN(SUBSTITUTE(G688,",",""))+1</f>
        <v/>
      </c>
      <c r="R688">
        <f>SWITCH(I688, "Zelden", 1, "Af en toe", 4, "Regelmatig", 8, "Vaak", 12)</f>
        <v/>
      </c>
      <c r="S688">
        <f>AVERAGE(--(K688="ja"), --(L688="ja"), --(M688="ja"), --(N688="ja"), --(O688="ja"))*10</f>
        <v/>
      </c>
      <c r="T688">
        <f>IF(S688&gt;=7, "Tevreden", "Ontevreden")</f>
        <v/>
      </c>
    </row>
    <row r="689">
      <c r="A689" t="inlineStr">
        <is>
          <t>Christelle</t>
        </is>
      </c>
      <c r="B689" t="inlineStr">
        <is>
          <t>Janssens</t>
        </is>
      </c>
      <c r="C689" t="inlineStr">
        <is>
          <t>827.94687-19</t>
        </is>
      </c>
      <c r="D689" t="inlineStr">
        <is>
          <t>07/01/1991</t>
        </is>
      </c>
      <c r="E689" t="inlineStr">
        <is>
          <t>Baudelokaai 52, 3940 Hechtel-Eksel</t>
        </is>
      </c>
      <c r="F689" t="inlineStr">
        <is>
          <t>Christelle,Laure,Yves</t>
        </is>
      </c>
      <c r="G689" t="n">
        <v>187.28</v>
      </c>
      <c r="H689" t="n">
        <v>5</v>
      </c>
      <c r="I689" t="inlineStr">
        <is>
          <t>Bancontact</t>
        </is>
      </c>
      <c r="J689" t="inlineStr">
        <is>
          <t>ja</t>
        </is>
      </c>
      <c r="K689" t="inlineStr">
        <is>
          <t>ja</t>
        </is>
      </c>
      <c r="L689" t="inlineStr">
        <is>
          <t>ja</t>
        </is>
      </c>
      <c r="M689" t="inlineStr">
        <is>
          <t>nee</t>
        </is>
      </c>
      <c r="N689" t="inlineStr">
        <is>
          <t>ja</t>
        </is>
      </c>
      <c r="O689" t="inlineStr">
        <is>
          <t>Vegetarisch</t>
        </is>
      </c>
      <c r="Q689">
        <f>LEN(G689)-LEN(SUBSTITUTE(G689,",",""))+1</f>
        <v/>
      </c>
      <c r="R689">
        <f>SWITCH(I689, "Zelden", 1, "Af en toe", 4, "Regelmatig", 8, "Vaak", 12)</f>
        <v/>
      </c>
      <c r="S689">
        <f>AVERAGE(--(K689="ja"), --(L689="ja"), --(M689="ja"), --(N689="ja"), --(O689="ja"))*10</f>
        <v/>
      </c>
      <c r="T689">
        <f>IF(S689&gt;=7, "Tevreden", "Ontevreden")</f>
        <v/>
      </c>
    </row>
    <row r="690">
      <c r="A690" t="inlineStr">
        <is>
          <t>Evelien</t>
        </is>
      </c>
      <c r="B690" t="inlineStr">
        <is>
          <t>De cock</t>
        </is>
      </c>
      <c r="C690" t="inlineStr">
        <is>
          <t>706.16968-11</t>
        </is>
      </c>
      <c r="D690" t="inlineStr">
        <is>
          <t>22/11/1984</t>
        </is>
      </c>
      <c r="E690" t="inlineStr">
        <is>
          <t>Ijskelderstraat 59, 3690 Zutendaal</t>
        </is>
      </c>
      <c r="F690" t="inlineStr">
        <is>
          <t>Evelien,Leo,Roel</t>
        </is>
      </c>
      <c r="G690" t="n">
        <v>125.63</v>
      </c>
      <c r="H690" t="n">
        <v>16</v>
      </c>
      <c r="I690" t="inlineStr">
        <is>
          <t>Bancontact</t>
        </is>
      </c>
      <c r="J690" t="inlineStr">
        <is>
          <t>ja</t>
        </is>
      </c>
      <c r="K690" t="inlineStr">
        <is>
          <t>ja</t>
        </is>
      </c>
      <c r="L690" t="inlineStr">
        <is>
          <t>nee</t>
        </is>
      </c>
      <c r="M690" t="inlineStr">
        <is>
          <t>ja</t>
        </is>
      </c>
      <c r="N690" t="inlineStr">
        <is>
          <t>ja</t>
        </is>
      </c>
      <c r="O690" t="inlineStr">
        <is>
          <t>Geen dieet</t>
        </is>
      </c>
      <c r="Q690">
        <f>LEN(G690)-LEN(SUBSTITUTE(G690,",",""))+1</f>
        <v/>
      </c>
      <c r="R690">
        <f>SWITCH(I690, "Zelden", 1, "Af en toe", 4, "Regelmatig", 8, "Vaak", 12)</f>
        <v/>
      </c>
      <c r="S690">
        <f>AVERAGE(--(K690="ja"), --(L690="ja"), --(M690="ja"), --(N690="ja"), --(O690="ja"))*10</f>
        <v/>
      </c>
      <c r="T690">
        <f>IF(S690&gt;=7, "Tevreden", "Ontevreden")</f>
        <v/>
      </c>
    </row>
    <row r="691">
      <c r="A691" t="inlineStr">
        <is>
          <t>Margareta</t>
        </is>
      </c>
      <c r="B691" t="inlineStr">
        <is>
          <t>Lemmens</t>
        </is>
      </c>
      <c r="C691" t="inlineStr">
        <is>
          <t>677.69303-80</t>
        </is>
      </c>
      <c r="D691" t="inlineStr">
        <is>
          <t>29/05/1979</t>
        </is>
      </c>
      <c r="E691" t="inlineStr">
        <is>
          <t>Coupure Links 40, 3590 Diepenbeek</t>
        </is>
      </c>
      <c r="F691" t="inlineStr">
        <is>
          <t>Margareta,Colette,Dieter</t>
        </is>
      </c>
      <c r="G691" t="n">
        <v>107.91</v>
      </c>
      <c r="H691" t="n">
        <v>12</v>
      </c>
      <c r="I691" t="inlineStr">
        <is>
          <t>Bancontact</t>
        </is>
      </c>
      <c r="J691" t="inlineStr">
        <is>
          <t>ja</t>
        </is>
      </c>
      <c r="K691" t="inlineStr">
        <is>
          <t>ja</t>
        </is>
      </c>
      <c r="L691" t="inlineStr">
        <is>
          <t>ja</t>
        </is>
      </c>
      <c r="M691" t="inlineStr">
        <is>
          <t>ja</t>
        </is>
      </c>
      <c r="N691" t="inlineStr">
        <is>
          <t>ja</t>
        </is>
      </c>
      <c r="O691" t="inlineStr">
        <is>
          <t>Geen dieet</t>
        </is>
      </c>
      <c r="Q691">
        <f>LEN(G691)-LEN(SUBSTITUTE(G691,",",""))+1</f>
        <v/>
      </c>
      <c r="R691">
        <f>SWITCH(I691, "Zelden", 1, "Af en toe", 4, "Regelmatig", 8, "Vaak", 12)</f>
        <v/>
      </c>
      <c r="S691">
        <f>AVERAGE(--(K691="ja"), --(L691="ja"), --(M691="ja"), --(N691="ja"), --(O691="ja"))*10</f>
        <v/>
      </c>
      <c r="T691">
        <f>IF(S691&gt;=7, "Tevreden", "Ontevreden")</f>
        <v/>
      </c>
    </row>
    <row r="692">
      <c r="A692" t="inlineStr">
        <is>
          <t>Alexander</t>
        </is>
      </c>
      <c r="B692" t="inlineStr">
        <is>
          <t>Cuypers</t>
        </is>
      </c>
      <c r="C692" t="inlineStr">
        <is>
          <t>180.63065-55</t>
        </is>
      </c>
      <c r="D692" t="inlineStr">
        <is>
          <t>08/10/1953</t>
        </is>
      </c>
      <c r="E692" t="inlineStr">
        <is>
          <t>Chr. Van Der Heydenlaan 73, 3530 Houthalen-Helchteren</t>
        </is>
      </c>
      <c r="F692" t="inlineStr">
        <is>
          <t>Alexander,Jaak,Emmanuel,Christophe</t>
        </is>
      </c>
      <c r="G692" t="n">
        <v>122.23</v>
      </c>
      <c r="H692" t="n">
        <v>10</v>
      </c>
      <c r="I692" t="inlineStr">
        <is>
          <t>Payconiq</t>
        </is>
      </c>
      <c r="J692" t="inlineStr">
        <is>
          <t>ja</t>
        </is>
      </c>
      <c r="K692" t="inlineStr">
        <is>
          <t>ja</t>
        </is>
      </c>
      <c r="L692" t="inlineStr">
        <is>
          <t>ja</t>
        </is>
      </c>
      <c r="M692" t="inlineStr">
        <is>
          <t>nee</t>
        </is>
      </c>
      <c r="N692" t="inlineStr">
        <is>
          <t>ja</t>
        </is>
      </c>
      <c r="O692" t="inlineStr">
        <is>
          <t>Geen dieet</t>
        </is>
      </c>
      <c r="Q692">
        <f>LEN(G692)-LEN(SUBSTITUTE(G692,",",""))+1</f>
        <v/>
      </c>
      <c r="R692">
        <f>SWITCH(I692, "Zelden", 1, "Af en toe", 4, "Regelmatig", 8, "Vaak", 12)</f>
        <v/>
      </c>
      <c r="S692">
        <f>AVERAGE(--(K692="ja"), --(L692="ja"), --(M692="ja"), --(N692="ja"), --(O692="ja"))*10</f>
        <v/>
      </c>
      <c r="T692">
        <f>IF(S692&gt;=7, "Tevreden", "Ontevreden")</f>
        <v/>
      </c>
    </row>
    <row r="693">
      <c r="A693" t="inlineStr">
        <is>
          <t>Marty</t>
        </is>
      </c>
      <c r="B693" t="inlineStr">
        <is>
          <t>Blomme</t>
        </is>
      </c>
      <c r="C693" t="inlineStr">
        <is>
          <t>856.32892-62</t>
        </is>
      </c>
      <c r="D693" t="inlineStr">
        <is>
          <t>28/01/1990</t>
        </is>
      </c>
      <c r="E693" t="inlineStr">
        <is>
          <t>Scheeplosserstraat 35, 3540 Herk-de-Stad</t>
        </is>
      </c>
      <c r="F693" t="inlineStr">
        <is>
          <t>Marty,Amal,Joelle,Ammar,Odette</t>
        </is>
      </c>
      <c r="G693" t="n">
        <v>192.95</v>
      </c>
      <c r="H693" t="n">
        <v>11</v>
      </c>
      <c r="I693" t="inlineStr">
        <is>
          <t>Payconiq</t>
        </is>
      </c>
      <c r="J693" t="inlineStr">
        <is>
          <t>nee</t>
        </is>
      </c>
      <c r="K693" t="inlineStr">
        <is>
          <t>ja</t>
        </is>
      </c>
      <c r="L693" t="inlineStr">
        <is>
          <t>ja</t>
        </is>
      </c>
      <c r="M693" t="inlineStr">
        <is>
          <t>ja</t>
        </is>
      </c>
      <c r="N693" t="inlineStr">
        <is>
          <t>ja</t>
        </is>
      </c>
      <c r="O693" t="inlineStr">
        <is>
          <t>Veganistisch</t>
        </is>
      </c>
      <c r="Q693">
        <f>LEN(G693)-LEN(SUBSTITUTE(G693,",",""))+1</f>
        <v/>
      </c>
      <c r="R693">
        <f>SWITCH(I693, "Zelden", 1, "Af en toe", 4, "Regelmatig", 8, "Vaak", 12)</f>
        <v/>
      </c>
      <c r="S693">
        <f>AVERAGE(--(K693="ja"), --(L693="ja"), --(M693="ja"), --(N693="ja"), --(O693="ja"))*10</f>
        <v/>
      </c>
      <c r="T693">
        <f>IF(S693&gt;=7, "Tevreden", "Ontevreden")</f>
        <v/>
      </c>
    </row>
    <row r="694">
      <c r="A694" t="inlineStr">
        <is>
          <t>Mina</t>
        </is>
      </c>
      <c r="B694" t="inlineStr">
        <is>
          <t>De smet</t>
        </is>
      </c>
      <c r="C694" t="inlineStr">
        <is>
          <t>422.47909-96</t>
        </is>
      </c>
      <c r="D694" t="inlineStr">
        <is>
          <t>04/11/1975</t>
        </is>
      </c>
      <c r="E694" t="inlineStr">
        <is>
          <t>Grotesteenweg Zuid 25, 3720 Kortessem</t>
        </is>
      </c>
      <c r="F694" t="inlineStr">
        <is>
          <t>Mina,Joel</t>
        </is>
      </c>
      <c r="G694" t="n">
        <v>41.08</v>
      </c>
      <c r="H694" t="n">
        <v>8</v>
      </c>
      <c r="I694" t="inlineStr">
        <is>
          <t>Bancontact</t>
        </is>
      </c>
      <c r="J694" t="inlineStr">
        <is>
          <t>ja</t>
        </is>
      </c>
      <c r="K694" t="inlineStr">
        <is>
          <t>nee</t>
        </is>
      </c>
      <c r="L694" t="inlineStr">
        <is>
          <t>ja</t>
        </is>
      </c>
      <c r="M694" t="inlineStr">
        <is>
          <t>ja</t>
        </is>
      </c>
      <c r="N694" t="inlineStr">
        <is>
          <t>ja</t>
        </is>
      </c>
      <c r="O694" t="inlineStr">
        <is>
          <t>Geen dieet</t>
        </is>
      </c>
      <c r="Q694">
        <f>LEN(G694)-LEN(SUBSTITUTE(G694,",",""))+1</f>
        <v/>
      </c>
      <c r="R694">
        <f>SWITCH(I694, "Zelden", 1, "Af en toe", 4, "Regelmatig", 8, "Vaak", 12)</f>
        <v/>
      </c>
      <c r="S694">
        <f>AVERAGE(--(K694="ja"), --(L694="ja"), --(M694="ja"), --(N694="ja"), --(O694="ja"))*10</f>
        <v/>
      </c>
      <c r="T694">
        <f>IF(S694&gt;=7, "Tevreden", "Ontevreden")</f>
        <v/>
      </c>
    </row>
    <row r="695">
      <c r="A695" t="inlineStr">
        <is>
          <t>Lio</t>
        </is>
      </c>
      <c r="B695" t="inlineStr">
        <is>
          <t>De paepe</t>
        </is>
      </c>
      <c r="C695" t="inlineStr">
        <is>
          <t>891.14245-39</t>
        </is>
      </c>
      <c r="D695" t="inlineStr">
        <is>
          <t>14/04/1960</t>
        </is>
      </c>
      <c r="E695" t="inlineStr">
        <is>
          <t>Hoogstraat 22, 3500 Hasselt</t>
        </is>
      </c>
      <c r="F695" t="inlineStr">
        <is>
          <t>Lio</t>
        </is>
      </c>
      <c r="G695" t="n">
        <v>39.17</v>
      </c>
      <c r="H695" t="n">
        <v>10</v>
      </c>
      <c r="I695" t="inlineStr">
        <is>
          <t>Bancontact</t>
        </is>
      </c>
      <c r="J695" t="inlineStr">
        <is>
          <t>ja</t>
        </is>
      </c>
      <c r="K695" t="inlineStr">
        <is>
          <t>nee</t>
        </is>
      </c>
      <c r="L695" t="inlineStr">
        <is>
          <t>nee</t>
        </is>
      </c>
      <c r="M695" t="inlineStr">
        <is>
          <t>nee</t>
        </is>
      </c>
      <c r="N695" t="inlineStr">
        <is>
          <t>nee</t>
        </is>
      </c>
      <c r="O695" t="inlineStr">
        <is>
          <t>Geen dieet</t>
        </is>
      </c>
      <c r="Q695">
        <f>LEN(G695)-LEN(SUBSTITUTE(G695,",",""))+1</f>
        <v/>
      </c>
      <c r="R695">
        <f>SWITCH(I695, "Zelden", 1, "Af en toe", 4, "Regelmatig", 8, "Vaak", 12)</f>
        <v/>
      </c>
      <c r="S695">
        <f>AVERAGE(--(K695="ja"), --(L695="ja"), --(M695="ja"), --(N695="ja"), --(O695="ja"))*10</f>
        <v/>
      </c>
      <c r="T695">
        <f>IF(S695&gt;=7, "Tevreden", "Ontevreden")</f>
        <v/>
      </c>
    </row>
    <row r="696">
      <c r="A696" t="inlineStr">
        <is>
          <t>Roos</t>
        </is>
      </c>
      <c r="B696" t="inlineStr">
        <is>
          <t>Cornelis</t>
        </is>
      </c>
      <c r="C696" t="inlineStr">
        <is>
          <t>335.72785-97</t>
        </is>
      </c>
      <c r="D696" t="inlineStr">
        <is>
          <t>15/10/1973</t>
        </is>
      </c>
      <c r="E696" t="inlineStr">
        <is>
          <t>Florbertusstraat 50, 3890 Gingelom</t>
        </is>
      </c>
      <c r="F696" t="inlineStr">
        <is>
          <t>Roos,Rita,Mouhamad</t>
        </is>
      </c>
      <c r="G696" t="n">
        <v>36.64</v>
      </c>
      <c r="H696" t="n">
        <v>9</v>
      </c>
      <c r="I696" t="inlineStr">
        <is>
          <t>Payconiq</t>
        </is>
      </c>
      <c r="J696" t="inlineStr">
        <is>
          <t>nee</t>
        </is>
      </c>
      <c r="K696" t="inlineStr">
        <is>
          <t>ja</t>
        </is>
      </c>
      <c r="L696" t="inlineStr">
        <is>
          <t>ja</t>
        </is>
      </c>
      <c r="M696" t="inlineStr">
        <is>
          <t>ja</t>
        </is>
      </c>
      <c r="N696" t="inlineStr">
        <is>
          <t>ja</t>
        </is>
      </c>
      <c r="O696" t="inlineStr">
        <is>
          <t>Geen dieet</t>
        </is>
      </c>
      <c r="Q696">
        <f>LEN(G696)-LEN(SUBSTITUTE(G696,",",""))+1</f>
        <v/>
      </c>
      <c r="R696">
        <f>SWITCH(I696, "Zelden", 1, "Af en toe", 4, "Regelmatig", 8, "Vaak", 12)</f>
        <v/>
      </c>
      <c r="S696">
        <f>AVERAGE(--(K696="ja"), --(L696="ja"), --(M696="ja"), --(N696="ja"), --(O696="ja"))*10</f>
        <v/>
      </c>
      <c r="T696">
        <f>IF(S696&gt;=7, "Tevreden", "Ontevreden")</f>
        <v/>
      </c>
    </row>
    <row r="697">
      <c r="A697" t="inlineStr">
        <is>
          <t>Zoë</t>
        </is>
      </c>
      <c r="B697" t="inlineStr">
        <is>
          <t>Gérard</t>
        </is>
      </c>
      <c r="C697" t="inlineStr">
        <is>
          <t>738.36214-62</t>
        </is>
      </c>
      <c r="D697" t="inlineStr">
        <is>
          <t>18/08/1994</t>
        </is>
      </c>
      <c r="E697" t="inlineStr">
        <is>
          <t>Hofstraat 3, 3540 Herk-de-Stad</t>
        </is>
      </c>
      <c r="F697" t="inlineStr">
        <is>
          <t>Zoë</t>
        </is>
      </c>
      <c r="G697" t="n">
        <v>22.66</v>
      </c>
      <c r="H697" t="n">
        <v>11</v>
      </c>
      <c r="I697" t="inlineStr">
        <is>
          <t>Payconiq</t>
        </is>
      </c>
      <c r="J697" t="inlineStr">
        <is>
          <t>ja</t>
        </is>
      </c>
      <c r="K697" t="inlineStr">
        <is>
          <t>ja</t>
        </is>
      </c>
      <c r="L697" t="inlineStr">
        <is>
          <t>ja</t>
        </is>
      </c>
      <c r="M697" t="inlineStr">
        <is>
          <t>ja</t>
        </is>
      </c>
      <c r="N697" t="inlineStr">
        <is>
          <t>nee</t>
        </is>
      </c>
      <c r="O697" t="inlineStr">
        <is>
          <t>Geen dieet</t>
        </is>
      </c>
      <c r="Q697">
        <f>LEN(G697)-LEN(SUBSTITUTE(G697,",",""))+1</f>
        <v/>
      </c>
      <c r="R697">
        <f>SWITCH(I697, "Zelden", 1, "Af en toe", 4, "Regelmatig", 8, "Vaak", 12)</f>
        <v/>
      </c>
      <c r="S697">
        <f>AVERAGE(--(K697="ja"), --(L697="ja"), --(M697="ja"), --(N697="ja"), --(O697="ja"))*10</f>
        <v/>
      </c>
      <c r="T697">
        <f>IF(S697&gt;=7, "Tevreden", "Ontevreden")</f>
        <v/>
      </c>
    </row>
    <row r="698">
      <c r="A698" t="inlineStr">
        <is>
          <t>Lieven</t>
        </is>
      </c>
      <c r="B698" t="inlineStr">
        <is>
          <t>Goossens</t>
        </is>
      </c>
      <c r="C698" t="inlineStr">
        <is>
          <t>684.47219-37</t>
        </is>
      </c>
      <c r="D698" t="inlineStr">
        <is>
          <t>30/08/2006</t>
        </is>
      </c>
      <c r="E698" t="inlineStr">
        <is>
          <t>Lentestraat 92, 3790 Moelingen</t>
        </is>
      </c>
      <c r="F698" t="inlineStr">
        <is>
          <t>Lieven,Patrick,Sofie,Youri</t>
        </is>
      </c>
      <c r="G698" t="n">
        <v>116.21</v>
      </c>
      <c r="H698" t="n">
        <v>10</v>
      </c>
      <c r="I698" t="inlineStr">
        <is>
          <t>Cash</t>
        </is>
      </c>
      <c r="J698" t="inlineStr">
        <is>
          <t>ja</t>
        </is>
      </c>
      <c r="K698" t="inlineStr">
        <is>
          <t>ja</t>
        </is>
      </c>
      <c r="L698" t="inlineStr">
        <is>
          <t>ja</t>
        </is>
      </c>
      <c r="M698" t="inlineStr">
        <is>
          <t>ja</t>
        </is>
      </c>
      <c r="N698" t="inlineStr">
        <is>
          <t>nee</t>
        </is>
      </c>
      <c r="O698" t="inlineStr">
        <is>
          <t>Geen dieet</t>
        </is>
      </c>
      <c r="Q698">
        <f>LEN(G698)-LEN(SUBSTITUTE(G698,",",""))+1</f>
        <v/>
      </c>
      <c r="R698">
        <f>SWITCH(I698, "Zelden", 1, "Af en toe", 4, "Regelmatig", 8, "Vaak", 12)</f>
        <v/>
      </c>
      <c r="S698">
        <f>AVERAGE(--(K698="ja"), --(L698="ja"), --(M698="ja"), --(N698="ja"), --(O698="ja"))*10</f>
        <v/>
      </c>
      <c r="T698">
        <f>IF(S698&gt;=7, "Tevreden", "Ontevreden")</f>
        <v/>
      </c>
    </row>
    <row r="699">
      <c r="A699" t="inlineStr">
        <is>
          <t>Luc</t>
        </is>
      </c>
      <c r="B699" t="inlineStr">
        <is>
          <t>Adam</t>
        </is>
      </c>
      <c r="C699" t="inlineStr">
        <is>
          <t>59.63713-17</t>
        </is>
      </c>
      <c r="D699" t="inlineStr">
        <is>
          <t>27/09/2002</t>
        </is>
      </c>
      <c r="E699" t="inlineStr">
        <is>
          <t>Maisstraat 26, 3970 Leopoldsburg</t>
        </is>
      </c>
      <c r="F699" t="inlineStr">
        <is>
          <t>Luc,Larissa,Sylvie,Jozef</t>
        </is>
      </c>
      <c r="G699" t="n">
        <v>162.25</v>
      </c>
      <c r="H699" t="n">
        <v>19</v>
      </c>
      <c r="I699" t="inlineStr">
        <is>
          <t>Payconiq</t>
        </is>
      </c>
      <c r="J699" t="inlineStr">
        <is>
          <t>ja</t>
        </is>
      </c>
      <c r="K699" t="inlineStr">
        <is>
          <t>ja</t>
        </is>
      </c>
      <c r="L699" t="inlineStr">
        <is>
          <t>nee</t>
        </is>
      </c>
      <c r="M699" t="inlineStr">
        <is>
          <t>ja</t>
        </is>
      </c>
      <c r="N699" t="inlineStr">
        <is>
          <t>ja</t>
        </is>
      </c>
      <c r="O699" t="inlineStr">
        <is>
          <t>Veganistisch</t>
        </is>
      </c>
      <c r="Q699">
        <f>LEN(G699)-LEN(SUBSTITUTE(G699,",",""))+1</f>
        <v/>
      </c>
      <c r="R699">
        <f>SWITCH(I699, "Zelden", 1, "Af en toe", 4, "Regelmatig", 8, "Vaak", 12)</f>
        <v/>
      </c>
      <c r="S699">
        <f>AVERAGE(--(K699="ja"), --(L699="ja"), --(M699="ja"), --(N699="ja"), --(O699="ja"))*10</f>
        <v/>
      </c>
      <c r="T699">
        <f>IF(S699&gt;=7, "Tevreden", "Ontevreden")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Familienaam</t>
        </is>
      </c>
      <c r="C1" t="inlineStr">
        <is>
          <t>Naam (gecombineerd)</t>
        </is>
      </c>
      <c r="D1" t="inlineStr">
        <is>
          <t>adres (gecombineerd)</t>
        </is>
      </c>
      <c r="E1" t="inlineStr">
        <is>
          <t>gezinsleden</t>
        </is>
      </c>
      <c r="F1" t="inlineStr">
        <is>
          <t>Aantal volwassenen</t>
        </is>
      </c>
      <c r="G1" t="inlineStr">
        <is>
          <t>Aantal kinderen</t>
        </is>
      </c>
      <c r="H1" t="inlineStr">
        <is>
          <t>Totale_wekelijkse_uitgaven</t>
        </is>
      </c>
      <c r="I1" t="inlineStr">
        <is>
          <t>aantal bezoeken per maand</t>
        </is>
      </c>
      <c r="J1" t="inlineStr">
        <is>
          <t>Betaalwijze</t>
        </is>
      </c>
      <c r="K1" t="inlineStr">
        <is>
          <t>Tevredenheid Score</t>
        </is>
      </c>
      <c r="L1" t="inlineStr">
        <is>
          <t>Tevreden_over_aanbod</t>
        </is>
      </c>
      <c r="M1" t="inlineStr">
        <is>
          <t>Tevreden_over_versheid</t>
        </is>
      </c>
      <c r="N1" t="inlineStr">
        <is>
          <t>Tevreden_over_winkelvoorraad</t>
        </is>
      </c>
      <c r="O1" t="inlineStr">
        <is>
          <t>Tevreden_over_wachttijden_kassa</t>
        </is>
      </c>
      <c r="P1" t="inlineStr">
        <is>
          <t>Tevreden_over_personeel</t>
        </is>
      </c>
      <c r="Q1" t="inlineStr">
        <is>
          <t>Dieet</t>
        </is>
      </c>
      <c r="R1" t="inlineStr">
        <is>
          <t>Bron</t>
        </is>
      </c>
    </row>
    <row r="2">
      <c r="A2">
        <f>IF(Klantgegevens_B!A2&lt;&gt;"", Klantgegevens_B!A2, MID(Klantgegevens_A!A2, FIND(",", Klantgegevens_A!A2)+2, LEN(Klantgegevens_A!A2)))</f>
        <v/>
      </c>
      <c r="B2">
        <f>IF(Klantgegevens_B!B2&lt;&gt;"", Klantgegevens_B!B2, LEFT(Klantgegevens_A!A2, FIND(",", Klantgegevens_A!A2)-1))</f>
        <v/>
      </c>
      <c r="C2">
        <f>C2 &amp; ", " &amp; B2</f>
        <v/>
      </c>
      <c r="D2">
        <f>IF(Klantgegevens_B!F2&lt;&gt;"", Klantgegevens_B!F2, Klantgegevens_A!D2 &amp; " " &amp; Klantgegevens_A!E2 &amp; ", " &amp; Klantgegevens_A!F2)</f>
        <v/>
      </c>
      <c r="E2">
        <f>IF(Klantgegevens_B!G2&lt;&gt;"", Klantgegevens_B!G2, TEXTJOIN(",", TRUE, REPT("Volwassene,", Klantgegevens_A!G2), REPT("Kind,", Klantgegevens_A!H2)))</f>
        <v/>
      </c>
      <c r="F2">
        <f>IF(Klantgegevens_B!G2&lt;&gt;"", LEN(Klantgegevens_B!G2)-LEN(SUBSTITUTE(Klantgegevens_B!G2, ",", ""))+1, Klantgegevens_A!G2)</f>
        <v/>
      </c>
      <c r="G2">
        <f>IF(Klantgegevens_B!G2&lt;&gt;"", 0, Klantgegevens_A!H2)</f>
        <v/>
      </c>
      <c r="H2">
        <f>IF(Klantgegevens_B!H2&lt;&gt;"", Klantgegevens_B!H2, Klantgegevens_A!I2)</f>
        <v/>
      </c>
      <c r="I2">
        <f>IF(Klantgegevens_B!I2&lt;&gt;"", Klantgegevens_B!I2, SWITCH(Klantgegevens_A!J2, "Zelden", 1, "Af en toe", 4, "Regelmatig", 8, "Vaak", 12))</f>
        <v/>
      </c>
      <c r="J2">
        <f>IF(Klantgegevens_B!J2&lt;&gt;"", Klantgegevens_B!J2, Klantgegevens_A!K2)</f>
        <v/>
      </c>
      <c r="K2">
        <f>IF(Klantgegevens_B!K2&lt;&gt;"", AVERAGE(--(Klantgegevens_B!K2="ja"), --(Klantgegevens_B!L2="ja"), --(Klantgegevens_B!M2="ja"), --(Klantgegevens_B!N2="ja"), --(Klantgegevens_B!O2="ja"))*10, Klantgegevens_A!L2)</f>
        <v/>
      </c>
      <c r="L2">
        <f>IF(Klantgegevens_B!K2&lt;&gt;"", Klantgegevens_B!K2, IF(Klantgegevens_A!L2&gt;=7, "ja", "nee"))</f>
        <v/>
      </c>
      <c r="M2">
        <f>IF(Klantgegevens_B!L2&lt;&gt;"", Klantgegevens_B!L2, IF(Klantgegevens_A!L2&gt;=7, "ja", "nee"))</f>
        <v/>
      </c>
      <c r="N2">
        <f>IF(Klantgegevens_B!M2&lt;&gt;"", Klantgegevens_B!M2, IF(Klantgegevens_A!L2&gt;=7, "ja", "nee"))</f>
        <v/>
      </c>
      <c r="O2">
        <f>IF(Klantgegevens_B!N2&lt;&gt;"", Klantgegevens_B!N2, IF(Klantgegevens_A!L2&gt;=7, "ja", "nee"))</f>
        <v/>
      </c>
      <c r="P2">
        <f>IF(Klantgegevens_B!O2&lt;&gt;"", Klantgegevens_B!O2, IF(Klantgegevens_A!L2&gt;=7, "ja", "nee"))</f>
        <v/>
      </c>
      <c r="Q2">
        <f>IF(Klantgegevens_B!P2&lt;&gt;"", Klantgegevens_B!P2, Klantgegevens_A!M2)</f>
        <v/>
      </c>
      <c r="R2">
        <f>IF(Klantgegevens_B!A2&lt;&gt;"", "B", "A")</f>
        <v/>
      </c>
    </row>
    <row r="3">
      <c r="A3">
        <f>IF(Klantgegevens_B!A2&lt;&gt;"", Klantgegevens_B!A2, MID(Klantgegevens_A!A2, FIND(",", Klantgegevens_A!A2)+2, LEN(Klantgegevens_A!A2)))</f>
        <v/>
      </c>
      <c r="B3">
        <f>IF(Klantgegevens_B!B2&lt;&gt;"", Klantgegevens_B!B2, LEFT(Klantgegevens_A!A2, FIND(",", Klantgegevens_A!A2)-1))</f>
        <v/>
      </c>
      <c r="C3">
        <f>C2 &amp; ", " &amp; B2</f>
        <v/>
      </c>
      <c r="D3">
        <f>IF(Klantgegevens_B!F2&lt;&gt;"", Klantgegevens_B!F2, Klantgegevens_A!D2 &amp; " " &amp; Klantgegevens_A!E2 &amp; ", " &amp; Klantgegevens_A!F2)</f>
        <v/>
      </c>
      <c r="E3">
        <f>IF(Klantgegevens_B!G2&lt;&gt;"", Klantgegevens_B!G2, TEXTJOIN(",", TRUE, REPT("Volwassene,", Klantgegevens_A!G2), REPT("Kind,", Klantgegevens_A!H2)))</f>
        <v/>
      </c>
      <c r="F3">
        <f>IF(Klantgegevens_B!G2&lt;&gt;"", LEN(Klantgegevens_B!G2)-LEN(SUBSTITUTE(Klantgegevens_B!G2, ",", ""))+1, Klantgegevens_A!G2)</f>
        <v/>
      </c>
      <c r="G3">
        <f>IF(Klantgegevens_B!G2&lt;&gt;"", 0, Klantgegevens_A!H2)</f>
        <v/>
      </c>
      <c r="H3">
        <f>IF(Klantgegevens_B!H2&lt;&gt;"", Klantgegevens_B!H2, Klantgegevens_A!I2)</f>
        <v/>
      </c>
      <c r="I3">
        <f>IF(Klantgegevens_B!I2&lt;&gt;"", Klantgegevens_B!I2, SWITCH(Klantgegevens_A!J2, "Zelden", 1, "Af en toe", 4, "Regelmatig", 8, "Vaak", 12))</f>
        <v/>
      </c>
      <c r="J3">
        <f>IF(Klantgegevens_B!J2&lt;&gt;"", Klantgegevens_B!J2, Klantgegevens_A!K2)</f>
        <v/>
      </c>
      <c r="K3">
        <f>IF(Klantgegevens_B!K2&lt;&gt;"", AVERAGE(--(Klantgegevens_B!K2="ja"), --(Klantgegevens_B!L2="ja"), --(Klantgegevens_B!M2="ja"), --(Klantgegevens_B!N2="ja"), --(Klantgegevens_B!O2="ja"))*10, Klantgegevens_A!L2)</f>
        <v/>
      </c>
      <c r="L3">
        <f>IF(Klantgegevens_B!K2&lt;&gt;"", Klantgegevens_B!K2, IF(Klantgegevens_A!L2&gt;=7, "ja", "nee"))</f>
        <v/>
      </c>
      <c r="M3">
        <f>IF(Klantgegevens_B!L2&lt;&gt;"", Klantgegevens_B!L2, IF(Klantgegevens_A!L2&gt;=7, "ja", "nee"))</f>
        <v/>
      </c>
      <c r="N3">
        <f>IF(Klantgegevens_B!M2&lt;&gt;"", Klantgegevens_B!M2, IF(Klantgegevens_A!L2&gt;=7, "ja", "nee"))</f>
        <v/>
      </c>
      <c r="O3">
        <f>IF(Klantgegevens_B!N2&lt;&gt;"", Klantgegevens_B!N2, IF(Klantgegevens_A!L2&gt;=7, "ja", "nee"))</f>
        <v/>
      </c>
      <c r="P3">
        <f>IF(Klantgegevens_B!O2&lt;&gt;"", Klantgegevens_B!O2, IF(Klantgegevens_A!L2&gt;=7, "ja", "nee"))</f>
        <v/>
      </c>
      <c r="Q3">
        <f>IF(Klantgegevens_B!P2&lt;&gt;"", Klantgegevens_B!P2, Klantgegevens_A!M2)</f>
        <v/>
      </c>
      <c r="R3">
        <f>IF(Klantgegevens_B!A2&lt;&gt;"", "B", "A")</f>
        <v/>
      </c>
    </row>
    <row r="4">
      <c r="A4">
        <f>IF(Klantgegevens_B!A3&lt;&gt;"", Klantgegevens_B!A3, MID(Klantgegevens_A!A3, FIND(",", Klantgegevens_A!A3)+2, LEN(Klantgegevens_A!A3)))</f>
        <v/>
      </c>
      <c r="B4">
        <f>IF(Klantgegevens_B!B3&lt;&gt;"", Klantgegevens_B!B3, LEFT(Klantgegevens_A!A3, FIND(",", Klantgegevens_A!A3)-1))</f>
        <v/>
      </c>
      <c r="C4">
        <f>C3 &amp; ", " &amp; B3</f>
        <v/>
      </c>
      <c r="D4">
        <f>IF(Klantgegevens_B!F3&lt;&gt;"", Klantgegevens_B!F3, Klantgegevens_A!D3 &amp; " " &amp; Klantgegevens_A!E3 &amp; ", " &amp; Klantgegevens_A!F3)</f>
        <v/>
      </c>
      <c r="E4">
        <f>IF(Klantgegevens_B!G3&lt;&gt;"", Klantgegevens_B!G3, TEXTJOIN(",", TRUE, REPT("Volwassene,", Klantgegevens_A!G3), REPT("Kind,", Klantgegevens_A!H3)))</f>
        <v/>
      </c>
      <c r="F4">
        <f>IF(Klantgegevens_B!G3&lt;&gt;"", LEN(Klantgegevens_B!G3)-LEN(SUBSTITUTE(Klantgegevens_B!G3, ",", ""))+1, Klantgegevens_A!G3)</f>
        <v/>
      </c>
      <c r="G4">
        <f>IF(Klantgegevens_B!G3&lt;&gt;"", 0, Klantgegevens_A!H3)</f>
        <v/>
      </c>
      <c r="H4">
        <f>IF(Klantgegevens_B!H3&lt;&gt;"", Klantgegevens_B!H3, Klantgegevens_A!I3)</f>
        <v/>
      </c>
      <c r="I4">
        <f>IF(Klantgegevens_B!I3&lt;&gt;"", Klantgegevens_B!I3, SWITCH(Klantgegevens_A!J3, "Zelden", 1, "Af en toe", 4, "Regelmatig", 8, "Vaak", 12))</f>
        <v/>
      </c>
      <c r="J4">
        <f>IF(Klantgegevens_B!J3&lt;&gt;"", Klantgegevens_B!J3, Klantgegevens_A!K3)</f>
        <v/>
      </c>
      <c r="K4">
        <f>IF(Klantgegevens_B!K3&lt;&gt;"", AVERAGE(--(Klantgegevens_B!K3="ja"), --(Klantgegevens_B!L3="ja"), --(Klantgegevens_B!M3="ja"), --(Klantgegevens_B!N3="ja"), --(Klantgegevens_B!O3="ja"))*10, Klantgegevens_A!L3)</f>
        <v/>
      </c>
      <c r="L4">
        <f>IF(Klantgegevens_B!K3&lt;&gt;"", Klantgegevens_B!K3, IF(Klantgegevens_A!L3&gt;=7, "ja", "nee"))</f>
        <v/>
      </c>
      <c r="M4">
        <f>IF(Klantgegevens_B!L3&lt;&gt;"", Klantgegevens_B!L3, IF(Klantgegevens_A!L3&gt;=7, "ja", "nee"))</f>
        <v/>
      </c>
      <c r="N4">
        <f>IF(Klantgegevens_B!M3&lt;&gt;"", Klantgegevens_B!M3, IF(Klantgegevens_A!L3&gt;=7, "ja", "nee"))</f>
        <v/>
      </c>
      <c r="O4">
        <f>IF(Klantgegevens_B!N3&lt;&gt;"", Klantgegevens_B!N3, IF(Klantgegevens_A!L3&gt;=7, "ja", "nee"))</f>
        <v/>
      </c>
      <c r="P4">
        <f>IF(Klantgegevens_B!O3&lt;&gt;"", Klantgegevens_B!O3, IF(Klantgegevens_A!L3&gt;=7, "ja", "nee"))</f>
        <v/>
      </c>
      <c r="Q4">
        <f>IF(Klantgegevens_B!P3&lt;&gt;"", Klantgegevens_B!P3, Klantgegevens_A!M3)</f>
        <v/>
      </c>
      <c r="R4">
        <f>IF(Klantgegevens_B!A3&lt;&gt;"", "B", "A")</f>
        <v/>
      </c>
    </row>
    <row r="5">
      <c r="A5">
        <f>IF(Klantgegevens_B!A4&lt;&gt;"", Klantgegevens_B!A4, MID(Klantgegevens_A!A4, FIND(",", Klantgegevens_A!A4)+2, LEN(Klantgegevens_A!A4)))</f>
        <v/>
      </c>
      <c r="B5">
        <f>IF(Klantgegevens_B!B4&lt;&gt;"", Klantgegevens_B!B4, LEFT(Klantgegevens_A!A4, FIND(",", Klantgegevens_A!A4)-1))</f>
        <v/>
      </c>
      <c r="C5">
        <f>C4 &amp; ", " &amp; B4</f>
        <v/>
      </c>
      <c r="D5">
        <f>IF(Klantgegevens_B!F4&lt;&gt;"", Klantgegevens_B!F4, Klantgegevens_A!D4 &amp; " " &amp; Klantgegevens_A!E4 &amp; ", " &amp; Klantgegevens_A!F4)</f>
        <v/>
      </c>
      <c r="E5">
        <f>IF(Klantgegevens_B!G4&lt;&gt;"", Klantgegevens_B!G4, TEXTJOIN(",", TRUE, REPT("Volwassene,", Klantgegevens_A!G4), REPT("Kind,", Klantgegevens_A!H4)))</f>
        <v/>
      </c>
      <c r="F5">
        <f>IF(Klantgegevens_B!G4&lt;&gt;"", LEN(Klantgegevens_B!G4)-LEN(SUBSTITUTE(Klantgegevens_B!G4, ",", ""))+1, Klantgegevens_A!G4)</f>
        <v/>
      </c>
      <c r="G5">
        <f>IF(Klantgegevens_B!G4&lt;&gt;"", 0, Klantgegevens_A!H4)</f>
        <v/>
      </c>
      <c r="H5">
        <f>IF(Klantgegevens_B!H4&lt;&gt;"", Klantgegevens_B!H4, Klantgegevens_A!I4)</f>
        <v/>
      </c>
      <c r="I5">
        <f>IF(Klantgegevens_B!I4&lt;&gt;"", Klantgegevens_B!I4, SWITCH(Klantgegevens_A!J4, "Zelden", 1, "Af en toe", 4, "Regelmatig", 8, "Vaak", 12))</f>
        <v/>
      </c>
      <c r="J5">
        <f>IF(Klantgegevens_B!J4&lt;&gt;"", Klantgegevens_B!J4, Klantgegevens_A!K4)</f>
        <v/>
      </c>
      <c r="K5">
        <f>IF(Klantgegevens_B!K4&lt;&gt;"", AVERAGE(--(Klantgegevens_B!K4="ja"), --(Klantgegevens_B!L4="ja"), --(Klantgegevens_B!M4="ja"), --(Klantgegevens_B!N4="ja"), --(Klantgegevens_B!O4="ja"))*10, Klantgegevens_A!L4)</f>
        <v/>
      </c>
      <c r="L5">
        <f>IF(Klantgegevens_B!K4&lt;&gt;"", Klantgegevens_B!K4, IF(Klantgegevens_A!L4&gt;=7, "ja", "nee"))</f>
        <v/>
      </c>
      <c r="M5">
        <f>IF(Klantgegevens_B!L4&lt;&gt;"", Klantgegevens_B!L4, IF(Klantgegevens_A!L4&gt;=7, "ja", "nee"))</f>
        <v/>
      </c>
      <c r="N5">
        <f>IF(Klantgegevens_B!M4&lt;&gt;"", Klantgegevens_B!M4, IF(Klantgegevens_A!L4&gt;=7, "ja", "nee"))</f>
        <v/>
      </c>
      <c r="O5">
        <f>IF(Klantgegevens_B!N4&lt;&gt;"", Klantgegevens_B!N4, IF(Klantgegevens_A!L4&gt;=7, "ja", "nee"))</f>
        <v/>
      </c>
      <c r="P5">
        <f>IF(Klantgegevens_B!O4&lt;&gt;"", Klantgegevens_B!O4, IF(Klantgegevens_A!L4&gt;=7, "ja", "nee"))</f>
        <v/>
      </c>
      <c r="Q5">
        <f>IF(Klantgegevens_B!P4&lt;&gt;"", Klantgegevens_B!P4, Klantgegevens_A!M4)</f>
        <v/>
      </c>
      <c r="R5">
        <f>IF(Klantgegevens_B!A4&lt;&gt;"", "B", "A")</f>
        <v/>
      </c>
    </row>
    <row r="6">
      <c r="A6">
        <f>IF(Klantgegevens_B!A5&lt;&gt;"", Klantgegevens_B!A5, MID(Klantgegevens_A!A5, FIND(",", Klantgegevens_A!A5)+2, LEN(Klantgegevens_A!A5)))</f>
        <v/>
      </c>
      <c r="B6">
        <f>IF(Klantgegevens_B!B5&lt;&gt;"", Klantgegevens_B!B5, LEFT(Klantgegevens_A!A5, FIND(",", Klantgegevens_A!A5)-1))</f>
        <v/>
      </c>
      <c r="C6">
        <f>C5 &amp; ", " &amp; B5</f>
        <v/>
      </c>
      <c r="D6">
        <f>IF(Klantgegevens_B!F5&lt;&gt;"", Klantgegevens_B!F5, Klantgegevens_A!D5 &amp; " " &amp; Klantgegevens_A!E5 &amp; ", " &amp; Klantgegevens_A!F5)</f>
        <v/>
      </c>
      <c r="E6">
        <f>IF(Klantgegevens_B!G5&lt;&gt;"", Klantgegevens_B!G5, TEXTJOIN(",", TRUE, REPT("Volwassene,", Klantgegevens_A!G5), REPT("Kind,", Klantgegevens_A!H5)))</f>
        <v/>
      </c>
      <c r="F6">
        <f>IF(Klantgegevens_B!G5&lt;&gt;"", LEN(Klantgegevens_B!G5)-LEN(SUBSTITUTE(Klantgegevens_B!G5, ",", ""))+1, Klantgegevens_A!G5)</f>
        <v/>
      </c>
      <c r="G6">
        <f>IF(Klantgegevens_B!G5&lt;&gt;"", 0, Klantgegevens_A!H5)</f>
        <v/>
      </c>
      <c r="H6">
        <f>IF(Klantgegevens_B!H5&lt;&gt;"", Klantgegevens_B!H5, Klantgegevens_A!I5)</f>
        <v/>
      </c>
      <c r="I6">
        <f>IF(Klantgegevens_B!I5&lt;&gt;"", Klantgegevens_B!I5, SWITCH(Klantgegevens_A!J5, "Zelden", 1, "Af en toe", 4, "Regelmatig", 8, "Vaak", 12))</f>
        <v/>
      </c>
      <c r="J6">
        <f>IF(Klantgegevens_B!J5&lt;&gt;"", Klantgegevens_B!J5, Klantgegevens_A!K5)</f>
        <v/>
      </c>
      <c r="K6">
        <f>IF(Klantgegevens_B!K5&lt;&gt;"", AVERAGE(--(Klantgegevens_B!K5="ja"), --(Klantgegevens_B!L5="ja"), --(Klantgegevens_B!M5="ja"), --(Klantgegevens_B!N5="ja"), --(Klantgegevens_B!O5="ja"))*10, Klantgegevens_A!L5)</f>
        <v/>
      </c>
      <c r="L6">
        <f>IF(Klantgegevens_B!K5&lt;&gt;"", Klantgegevens_B!K5, IF(Klantgegevens_A!L5&gt;=7, "ja", "nee"))</f>
        <v/>
      </c>
      <c r="M6">
        <f>IF(Klantgegevens_B!L5&lt;&gt;"", Klantgegevens_B!L5, IF(Klantgegevens_A!L5&gt;=7, "ja", "nee"))</f>
        <v/>
      </c>
      <c r="N6">
        <f>IF(Klantgegevens_B!M5&lt;&gt;"", Klantgegevens_B!M5, IF(Klantgegevens_A!L5&gt;=7, "ja", "nee"))</f>
        <v/>
      </c>
      <c r="O6">
        <f>IF(Klantgegevens_B!N5&lt;&gt;"", Klantgegevens_B!N5, IF(Klantgegevens_A!L5&gt;=7, "ja", "nee"))</f>
        <v/>
      </c>
      <c r="P6">
        <f>IF(Klantgegevens_B!O5&lt;&gt;"", Klantgegevens_B!O5, IF(Klantgegevens_A!L5&gt;=7, "ja", "nee"))</f>
        <v/>
      </c>
      <c r="Q6">
        <f>IF(Klantgegevens_B!P5&lt;&gt;"", Klantgegevens_B!P5, Klantgegevens_A!M5)</f>
        <v/>
      </c>
      <c r="R6">
        <f>IF(Klantgegevens_B!A5&lt;&gt;"", "B", "A")</f>
        <v/>
      </c>
    </row>
    <row r="7">
      <c r="A7">
        <f>IF(Klantgegevens_B!A6&lt;&gt;"", Klantgegevens_B!A6, MID(Klantgegevens_A!A6, FIND(",", Klantgegevens_A!A6)+2, LEN(Klantgegevens_A!A6)))</f>
        <v/>
      </c>
      <c r="B7">
        <f>IF(Klantgegevens_B!B6&lt;&gt;"", Klantgegevens_B!B6, LEFT(Klantgegevens_A!A6, FIND(",", Klantgegevens_A!A6)-1))</f>
        <v/>
      </c>
      <c r="C7">
        <f>C6 &amp; ", " &amp; B6</f>
        <v/>
      </c>
      <c r="D7">
        <f>IF(Klantgegevens_B!F6&lt;&gt;"", Klantgegevens_B!F6, Klantgegevens_A!D6 &amp; " " &amp; Klantgegevens_A!E6 &amp; ", " &amp; Klantgegevens_A!F6)</f>
        <v/>
      </c>
      <c r="E7">
        <f>IF(Klantgegevens_B!G6&lt;&gt;"", Klantgegevens_B!G6, TEXTJOIN(",", TRUE, REPT("Volwassene,", Klantgegevens_A!G6), REPT("Kind,", Klantgegevens_A!H6)))</f>
        <v/>
      </c>
      <c r="F7">
        <f>IF(Klantgegevens_B!G6&lt;&gt;"", LEN(Klantgegevens_B!G6)-LEN(SUBSTITUTE(Klantgegevens_B!G6, ",", ""))+1, Klantgegevens_A!G6)</f>
        <v/>
      </c>
      <c r="G7">
        <f>IF(Klantgegevens_B!G6&lt;&gt;"", 0, Klantgegevens_A!H6)</f>
        <v/>
      </c>
      <c r="H7">
        <f>IF(Klantgegevens_B!H6&lt;&gt;"", Klantgegevens_B!H6, Klantgegevens_A!I6)</f>
        <v/>
      </c>
      <c r="I7">
        <f>IF(Klantgegevens_B!I6&lt;&gt;"", Klantgegevens_B!I6, SWITCH(Klantgegevens_A!J6, "Zelden", 1, "Af en toe", 4, "Regelmatig", 8, "Vaak", 12))</f>
        <v/>
      </c>
      <c r="J7">
        <f>IF(Klantgegevens_B!J6&lt;&gt;"", Klantgegevens_B!J6, Klantgegevens_A!K6)</f>
        <v/>
      </c>
      <c r="K7">
        <f>IF(Klantgegevens_B!K6&lt;&gt;"", AVERAGE(--(Klantgegevens_B!K6="ja"), --(Klantgegevens_B!L6="ja"), --(Klantgegevens_B!M6="ja"), --(Klantgegevens_B!N6="ja"), --(Klantgegevens_B!O6="ja"))*10, Klantgegevens_A!L6)</f>
        <v/>
      </c>
      <c r="L7">
        <f>IF(Klantgegevens_B!K6&lt;&gt;"", Klantgegevens_B!K6, IF(Klantgegevens_A!L6&gt;=7, "ja", "nee"))</f>
        <v/>
      </c>
      <c r="M7">
        <f>IF(Klantgegevens_B!L6&lt;&gt;"", Klantgegevens_B!L6, IF(Klantgegevens_A!L6&gt;=7, "ja", "nee"))</f>
        <v/>
      </c>
      <c r="N7">
        <f>IF(Klantgegevens_B!M6&lt;&gt;"", Klantgegevens_B!M6, IF(Klantgegevens_A!L6&gt;=7, "ja", "nee"))</f>
        <v/>
      </c>
      <c r="O7">
        <f>IF(Klantgegevens_B!N6&lt;&gt;"", Klantgegevens_B!N6, IF(Klantgegevens_A!L6&gt;=7, "ja", "nee"))</f>
        <v/>
      </c>
      <c r="P7">
        <f>IF(Klantgegevens_B!O6&lt;&gt;"", Klantgegevens_B!O6, IF(Klantgegevens_A!L6&gt;=7, "ja", "nee"))</f>
        <v/>
      </c>
      <c r="Q7">
        <f>IF(Klantgegevens_B!P6&lt;&gt;"", Klantgegevens_B!P6, Klantgegevens_A!M6)</f>
        <v/>
      </c>
      <c r="R7">
        <f>IF(Klantgegevens_B!A6&lt;&gt;"", "B", "A")</f>
        <v/>
      </c>
    </row>
    <row r="8">
      <c r="A8">
        <f>IF(Klantgegevens_B!A7&lt;&gt;"", Klantgegevens_B!A7, MID(Klantgegevens_A!A7, FIND(",", Klantgegevens_A!A7)+2, LEN(Klantgegevens_A!A7)))</f>
        <v/>
      </c>
      <c r="B8">
        <f>IF(Klantgegevens_B!B7&lt;&gt;"", Klantgegevens_B!B7, LEFT(Klantgegevens_A!A7, FIND(",", Klantgegevens_A!A7)-1))</f>
        <v/>
      </c>
      <c r="C8">
        <f>C7 &amp; ", " &amp; B7</f>
        <v/>
      </c>
      <c r="D8">
        <f>IF(Klantgegevens_B!F7&lt;&gt;"", Klantgegevens_B!F7, Klantgegevens_A!D7 &amp; " " &amp; Klantgegevens_A!E7 &amp; ", " &amp; Klantgegevens_A!F7)</f>
        <v/>
      </c>
      <c r="E8">
        <f>IF(Klantgegevens_B!G7&lt;&gt;"", Klantgegevens_B!G7, TEXTJOIN(",", TRUE, REPT("Volwassene,", Klantgegevens_A!G7), REPT("Kind,", Klantgegevens_A!H7)))</f>
        <v/>
      </c>
      <c r="F8">
        <f>IF(Klantgegevens_B!G7&lt;&gt;"", LEN(Klantgegevens_B!G7)-LEN(SUBSTITUTE(Klantgegevens_B!G7, ",", ""))+1, Klantgegevens_A!G7)</f>
        <v/>
      </c>
      <c r="G8">
        <f>IF(Klantgegevens_B!G7&lt;&gt;"", 0, Klantgegevens_A!H7)</f>
        <v/>
      </c>
      <c r="H8">
        <f>IF(Klantgegevens_B!H7&lt;&gt;"", Klantgegevens_B!H7, Klantgegevens_A!I7)</f>
        <v/>
      </c>
      <c r="I8">
        <f>IF(Klantgegevens_B!I7&lt;&gt;"", Klantgegevens_B!I7, SWITCH(Klantgegevens_A!J7, "Zelden", 1, "Af en toe", 4, "Regelmatig", 8, "Vaak", 12))</f>
        <v/>
      </c>
      <c r="J8">
        <f>IF(Klantgegevens_B!J7&lt;&gt;"", Klantgegevens_B!J7, Klantgegevens_A!K7)</f>
        <v/>
      </c>
      <c r="K8">
        <f>IF(Klantgegevens_B!K7&lt;&gt;"", AVERAGE(--(Klantgegevens_B!K7="ja"), --(Klantgegevens_B!L7="ja"), --(Klantgegevens_B!M7="ja"), --(Klantgegevens_B!N7="ja"), --(Klantgegevens_B!O7="ja"))*10, Klantgegevens_A!L7)</f>
        <v/>
      </c>
      <c r="L8">
        <f>IF(Klantgegevens_B!K7&lt;&gt;"", Klantgegevens_B!K7, IF(Klantgegevens_A!L7&gt;=7, "ja", "nee"))</f>
        <v/>
      </c>
      <c r="M8">
        <f>IF(Klantgegevens_B!L7&lt;&gt;"", Klantgegevens_B!L7, IF(Klantgegevens_A!L7&gt;=7, "ja", "nee"))</f>
        <v/>
      </c>
      <c r="N8">
        <f>IF(Klantgegevens_B!M7&lt;&gt;"", Klantgegevens_B!M7, IF(Klantgegevens_A!L7&gt;=7, "ja", "nee"))</f>
        <v/>
      </c>
      <c r="O8">
        <f>IF(Klantgegevens_B!N7&lt;&gt;"", Klantgegevens_B!N7, IF(Klantgegevens_A!L7&gt;=7, "ja", "nee"))</f>
        <v/>
      </c>
      <c r="P8">
        <f>IF(Klantgegevens_B!O7&lt;&gt;"", Klantgegevens_B!O7, IF(Klantgegevens_A!L7&gt;=7, "ja", "nee"))</f>
        <v/>
      </c>
      <c r="Q8">
        <f>IF(Klantgegevens_B!P7&lt;&gt;"", Klantgegevens_B!P7, Klantgegevens_A!M7)</f>
        <v/>
      </c>
      <c r="R8">
        <f>IF(Klantgegevens_B!A7&lt;&gt;"", "B", "A")</f>
        <v/>
      </c>
    </row>
    <row r="9">
      <c r="A9">
        <f>IF(Klantgegevens_B!A8&lt;&gt;"", Klantgegevens_B!A8, MID(Klantgegevens_A!A8, FIND(",", Klantgegevens_A!A8)+2, LEN(Klantgegevens_A!A8)))</f>
        <v/>
      </c>
      <c r="B9">
        <f>IF(Klantgegevens_B!B8&lt;&gt;"", Klantgegevens_B!B8, LEFT(Klantgegevens_A!A8, FIND(",", Klantgegevens_A!A8)-1))</f>
        <v/>
      </c>
      <c r="C9">
        <f>C8 &amp; ", " &amp; B8</f>
        <v/>
      </c>
      <c r="D9">
        <f>IF(Klantgegevens_B!F8&lt;&gt;"", Klantgegevens_B!F8, Klantgegevens_A!D8 &amp; " " &amp; Klantgegevens_A!E8 &amp; ", " &amp; Klantgegevens_A!F8)</f>
        <v/>
      </c>
      <c r="E9">
        <f>IF(Klantgegevens_B!G8&lt;&gt;"", Klantgegevens_B!G8, TEXTJOIN(",", TRUE, REPT("Volwassene,", Klantgegevens_A!G8), REPT("Kind,", Klantgegevens_A!H8)))</f>
        <v/>
      </c>
      <c r="F9">
        <f>IF(Klantgegevens_B!G8&lt;&gt;"", LEN(Klantgegevens_B!G8)-LEN(SUBSTITUTE(Klantgegevens_B!G8, ",", ""))+1, Klantgegevens_A!G8)</f>
        <v/>
      </c>
      <c r="G9">
        <f>IF(Klantgegevens_B!G8&lt;&gt;"", 0, Klantgegevens_A!H8)</f>
        <v/>
      </c>
      <c r="H9">
        <f>IF(Klantgegevens_B!H8&lt;&gt;"", Klantgegevens_B!H8, Klantgegevens_A!I8)</f>
        <v/>
      </c>
      <c r="I9">
        <f>IF(Klantgegevens_B!I8&lt;&gt;"", Klantgegevens_B!I8, SWITCH(Klantgegevens_A!J8, "Zelden", 1, "Af en toe", 4, "Regelmatig", 8, "Vaak", 12))</f>
        <v/>
      </c>
      <c r="J9">
        <f>IF(Klantgegevens_B!J8&lt;&gt;"", Klantgegevens_B!J8, Klantgegevens_A!K8)</f>
        <v/>
      </c>
      <c r="K9">
        <f>IF(Klantgegevens_B!K8&lt;&gt;"", AVERAGE(--(Klantgegevens_B!K8="ja"), --(Klantgegevens_B!L8="ja"), --(Klantgegevens_B!M8="ja"), --(Klantgegevens_B!N8="ja"), --(Klantgegevens_B!O8="ja"))*10, Klantgegevens_A!L8)</f>
        <v/>
      </c>
      <c r="L9">
        <f>IF(Klantgegevens_B!K8&lt;&gt;"", Klantgegevens_B!K8, IF(Klantgegevens_A!L8&gt;=7, "ja", "nee"))</f>
        <v/>
      </c>
      <c r="M9">
        <f>IF(Klantgegevens_B!L8&lt;&gt;"", Klantgegevens_B!L8, IF(Klantgegevens_A!L8&gt;=7, "ja", "nee"))</f>
        <v/>
      </c>
      <c r="N9">
        <f>IF(Klantgegevens_B!M8&lt;&gt;"", Klantgegevens_B!M8, IF(Klantgegevens_A!L8&gt;=7, "ja", "nee"))</f>
        <v/>
      </c>
      <c r="O9">
        <f>IF(Klantgegevens_B!N8&lt;&gt;"", Klantgegevens_B!N8, IF(Klantgegevens_A!L8&gt;=7, "ja", "nee"))</f>
        <v/>
      </c>
      <c r="P9">
        <f>IF(Klantgegevens_B!O8&lt;&gt;"", Klantgegevens_B!O8, IF(Klantgegevens_A!L8&gt;=7, "ja", "nee"))</f>
        <v/>
      </c>
      <c r="Q9">
        <f>IF(Klantgegevens_B!P8&lt;&gt;"", Klantgegevens_B!P8, Klantgegevens_A!M8)</f>
        <v/>
      </c>
      <c r="R9">
        <f>IF(Klantgegevens_B!A8&lt;&gt;"", "B", "A")</f>
        <v/>
      </c>
    </row>
    <row r="10">
      <c r="A10">
        <f>IF(Klantgegevens_B!A9&lt;&gt;"", Klantgegevens_B!A9, MID(Klantgegevens_A!A9, FIND(",", Klantgegevens_A!A9)+2, LEN(Klantgegevens_A!A9)))</f>
        <v/>
      </c>
      <c r="B10">
        <f>IF(Klantgegevens_B!B9&lt;&gt;"", Klantgegevens_B!B9, LEFT(Klantgegevens_A!A9, FIND(",", Klantgegevens_A!A9)-1))</f>
        <v/>
      </c>
      <c r="C10">
        <f>C9 &amp; ", " &amp; B9</f>
        <v/>
      </c>
      <c r="D10">
        <f>IF(Klantgegevens_B!F9&lt;&gt;"", Klantgegevens_B!F9, Klantgegevens_A!D9 &amp; " " &amp; Klantgegevens_A!E9 &amp; ", " &amp; Klantgegevens_A!F9)</f>
        <v/>
      </c>
      <c r="E10">
        <f>IF(Klantgegevens_B!G9&lt;&gt;"", Klantgegevens_B!G9, TEXTJOIN(",", TRUE, REPT("Volwassene,", Klantgegevens_A!G9), REPT("Kind,", Klantgegevens_A!H9)))</f>
        <v/>
      </c>
      <c r="F10">
        <f>IF(Klantgegevens_B!G9&lt;&gt;"", LEN(Klantgegevens_B!G9)-LEN(SUBSTITUTE(Klantgegevens_B!G9, ",", ""))+1, Klantgegevens_A!G9)</f>
        <v/>
      </c>
      <c r="G10">
        <f>IF(Klantgegevens_B!G9&lt;&gt;"", 0, Klantgegevens_A!H9)</f>
        <v/>
      </c>
      <c r="H10">
        <f>IF(Klantgegevens_B!H9&lt;&gt;"", Klantgegevens_B!H9, Klantgegevens_A!I9)</f>
        <v/>
      </c>
      <c r="I10">
        <f>IF(Klantgegevens_B!I9&lt;&gt;"", Klantgegevens_B!I9, SWITCH(Klantgegevens_A!J9, "Zelden", 1, "Af en toe", 4, "Regelmatig", 8, "Vaak", 12))</f>
        <v/>
      </c>
      <c r="J10">
        <f>IF(Klantgegevens_B!J9&lt;&gt;"", Klantgegevens_B!J9, Klantgegevens_A!K9)</f>
        <v/>
      </c>
      <c r="K10">
        <f>IF(Klantgegevens_B!K9&lt;&gt;"", AVERAGE(--(Klantgegevens_B!K9="ja"), --(Klantgegevens_B!L9="ja"), --(Klantgegevens_B!M9="ja"), --(Klantgegevens_B!N9="ja"), --(Klantgegevens_B!O9="ja"))*10, Klantgegevens_A!L9)</f>
        <v/>
      </c>
      <c r="L10">
        <f>IF(Klantgegevens_B!K9&lt;&gt;"", Klantgegevens_B!K9, IF(Klantgegevens_A!L9&gt;=7, "ja", "nee"))</f>
        <v/>
      </c>
      <c r="M10">
        <f>IF(Klantgegevens_B!L9&lt;&gt;"", Klantgegevens_B!L9, IF(Klantgegevens_A!L9&gt;=7, "ja", "nee"))</f>
        <v/>
      </c>
      <c r="N10">
        <f>IF(Klantgegevens_B!M9&lt;&gt;"", Klantgegevens_B!M9, IF(Klantgegevens_A!L9&gt;=7, "ja", "nee"))</f>
        <v/>
      </c>
      <c r="O10">
        <f>IF(Klantgegevens_B!N9&lt;&gt;"", Klantgegevens_B!N9, IF(Klantgegevens_A!L9&gt;=7, "ja", "nee"))</f>
        <v/>
      </c>
      <c r="P10">
        <f>IF(Klantgegevens_B!O9&lt;&gt;"", Klantgegevens_B!O9, IF(Klantgegevens_A!L9&gt;=7, "ja", "nee"))</f>
        <v/>
      </c>
      <c r="Q10">
        <f>IF(Klantgegevens_B!P9&lt;&gt;"", Klantgegevens_B!P9, Klantgegevens_A!M9)</f>
        <v/>
      </c>
      <c r="R10">
        <f>IF(Klantgegevens_B!A9&lt;&gt;"", "B", "A")</f>
        <v/>
      </c>
    </row>
    <row r="11">
      <c r="A11">
        <f>IF(Klantgegevens_B!A10&lt;&gt;"", Klantgegevens_B!A10, MID(Klantgegevens_A!A10, FIND(",", Klantgegevens_A!A10)+2, LEN(Klantgegevens_A!A10)))</f>
        <v/>
      </c>
      <c r="B11">
        <f>IF(Klantgegevens_B!B10&lt;&gt;"", Klantgegevens_B!B10, LEFT(Klantgegevens_A!A10, FIND(",", Klantgegevens_A!A10)-1))</f>
        <v/>
      </c>
      <c r="C11">
        <f>C10 &amp; ", " &amp; B10</f>
        <v/>
      </c>
      <c r="D11">
        <f>IF(Klantgegevens_B!F10&lt;&gt;"", Klantgegevens_B!F10, Klantgegevens_A!D10 &amp; " " &amp; Klantgegevens_A!E10 &amp; ", " &amp; Klantgegevens_A!F10)</f>
        <v/>
      </c>
      <c r="E11">
        <f>IF(Klantgegevens_B!G10&lt;&gt;"", Klantgegevens_B!G10, TEXTJOIN(",", TRUE, REPT("Volwassene,", Klantgegevens_A!G10), REPT("Kind,", Klantgegevens_A!H10)))</f>
        <v/>
      </c>
      <c r="F11">
        <f>IF(Klantgegevens_B!G10&lt;&gt;"", LEN(Klantgegevens_B!G10)-LEN(SUBSTITUTE(Klantgegevens_B!G10, ",", ""))+1, Klantgegevens_A!G10)</f>
        <v/>
      </c>
      <c r="G11">
        <f>IF(Klantgegevens_B!G10&lt;&gt;"", 0, Klantgegevens_A!H10)</f>
        <v/>
      </c>
      <c r="H11">
        <f>IF(Klantgegevens_B!H10&lt;&gt;"", Klantgegevens_B!H10, Klantgegevens_A!I10)</f>
        <v/>
      </c>
      <c r="I11">
        <f>IF(Klantgegevens_B!I10&lt;&gt;"", Klantgegevens_B!I10, SWITCH(Klantgegevens_A!J10, "Zelden", 1, "Af en toe", 4, "Regelmatig", 8, "Vaak", 12))</f>
        <v/>
      </c>
      <c r="J11">
        <f>IF(Klantgegevens_B!J10&lt;&gt;"", Klantgegevens_B!J10, Klantgegevens_A!K10)</f>
        <v/>
      </c>
      <c r="K11">
        <f>IF(Klantgegevens_B!K10&lt;&gt;"", AVERAGE(--(Klantgegevens_B!K10="ja"), --(Klantgegevens_B!L10="ja"), --(Klantgegevens_B!M10="ja"), --(Klantgegevens_B!N10="ja"), --(Klantgegevens_B!O10="ja"))*10, Klantgegevens_A!L10)</f>
        <v/>
      </c>
      <c r="L11">
        <f>IF(Klantgegevens_B!K10&lt;&gt;"", Klantgegevens_B!K10, IF(Klantgegevens_A!L10&gt;=7, "ja", "nee"))</f>
        <v/>
      </c>
      <c r="M11">
        <f>IF(Klantgegevens_B!L10&lt;&gt;"", Klantgegevens_B!L10, IF(Klantgegevens_A!L10&gt;=7, "ja", "nee"))</f>
        <v/>
      </c>
      <c r="N11">
        <f>IF(Klantgegevens_B!M10&lt;&gt;"", Klantgegevens_B!M10, IF(Klantgegevens_A!L10&gt;=7, "ja", "nee"))</f>
        <v/>
      </c>
      <c r="O11">
        <f>IF(Klantgegevens_B!N10&lt;&gt;"", Klantgegevens_B!N10, IF(Klantgegevens_A!L10&gt;=7, "ja", "nee"))</f>
        <v/>
      </c>
      <c r="P11">
        <f>IF(Klantgegevens_B!O10&lt;&gt;"", Klantgegevens_B!O10, IF(Klantgegevens_A!L10&gt;=7, "ja", "nee"))</f>
        <v/>
      </c>
      <c r="Q11">
        <f>IF(Klantgegevens_B!P10&lt;&gt;"", Klantgegevens_B!P10, Klantgegevens_A!M10)</f>
        <v/>
      </c>
      <c r="R11">
        <f>IF(Klantgegevens_B!A10&lt;&gt;"", "B", "A")</f>
        <v/>
      </c>
    </row>
    <row r="12">
      <c r="A12">
        <f>IF(Klantgegevens_B!A11&lt;&gt;"", Klantgegevens_B!A11, MID(Klantgegevens_A!A11, FIND(",", Klantgegevens_A!A11)+2, LEN(Klantgegevens_A!A11)))</f>
        <v/>
      </c>
      <c r="B12">
        <f>IF(Klantgegevens_B!B11&lt;&gt;"", Klantgegevens_B!B11, LEFT(Klantgegevens_A!A11, FIND(",", Klantgegevens_A!A11)-1))</f>
        <v/>
      </c>
      <c r="C12">
        <f>C11 &amp; ", " &amp; B11</f>
        <v/>
      </c>
      <c r="D12">
        <f>IF(Klantgegevens_B!F11&lt;&gt;"", Klantgegevens_B!F11, Klantgegevens_A!D11 &amp; " " &amp; Klantgegevens_A!E11 &amp; ", " &amp; Klantgegevens_A!F11)</f>
        <v/>
      </c>
      <c r="E12">
        <f>IF(Klantgegevens_B!G11&lt;&gt;"", Klantgegevens_B!G11, TEXTJOIN(",", TRUE, REPT("Volwassene,", Klantgegevens_A!G11), REPT("Kind,", Klantgegevens_A!H11)))</f>
        <v/>
      </c>
      <c r="F12">
        <f>IF(Klantgegevens_B!G11&lt;&gt;"", LEN(Klantgegevens_B!G11)-LEN(SUBSTITUTE(Klantgegevens_B!G11, ",", ""))+1, Klantgegevens_A!G11)</f>
        <v/>
      </c>
      <c r="G12">
        <f>IF(Klantgegevens_B!G11&lt;&gt;"", 0, Klantgegevens_A!H11)</f>
        <v/>
      </c>
      <c r="H12">
        <f>IF(Klantgegevens_B!H11&lt;&gt;"", Klantgegevens_B!H11, Klantgegevens_A!I11)</f>
        <v/>
      </c>
      <c r="I12">
        <f>IF(Klantgegevens_B!I11&lt;&gt;"", Klantgegevens_B!I11, SWITCH(Klantgegevens_A!J11, "Zelden", 1, "Af en toe", 4, "Regelmatig", 8, "Vaak", 12))</f>
        <v/>
      </c>
      <c r="J12">
        <f>IF(Klantgegevens_B!J11&lt;&gt;"", Klantgegevens_B!J11, Klantgegevens_A!K11)</f>
        <v/>
      </c>
      <c r="K12">
        <f>IF(Klantgegevens_B!K11&lt;&gt;"", AVERAGE(--(Klantgegevens_B!K11="ja"), --(Klantgegevens_B!L11="ja"), --(Klantgegevens_B!M11="ja"), --(Klantgegevens_B!N11="ja"), --(Klantgegevens_B!O11="ja"))*10, Klantgegevens_A!L11)</f>
        <v/>
      </c>
      <c r="L12">
        <f>IF(Klantgegevens_B!K11&lt;&gt;"", Klantgegevens_B!K11, IF(Klantgegevens_A!L11&gt;=7, "ja", "nee"))</f>
        <v/>
      </c>
      <c r="M12">
        <f>IF(Klantgegevens_B!L11&lt;&gt;"", Klantgegevens_B!L11, IF(Klantgegevens_A!L11&gt;=7, "ja", "nee"))</f>
        <v/>
      </c>
      <c r="N12">
        <f>IF(Klantgegevens_B!M11&lt;&gt;"", Klantgegevens_B!M11, IF(Klantgegevens_A!L11&gt;=7, "ja", "nee"))</f>
        <v/>
      </c>
      <c r="O12">
        <f>IF(Klantgegevens_B!N11&lt;&gt;"", Klantgegevens_B!N11, IF(Klantgegevens_A!L11&gt;=7, "ja", "nee"))</f>
        <v/>
      </c>
      <c r="P12">
        <f>IF(Klantgegevens_B!O11&lt;&gt;"", Klantgegevens_B!O11, IF(Klantgegevens_A!L11&gt;=7, "ja", "nee"))</f>
        <v/>
      </c>
      <c r="Q12">
        <f>IF(Klantgegevens_B!P11&lt;&gt;"", Klantgegevens_B!P11, Klantgegevens_A!M11)</f>
        <v/>
      </c>
      <c r="R12">
        <f>IF(Klantgegevens_B!A11&lt;&gt;"", "B", "A")</f>
        <v/>
      </c>
    </row>
    <row r="13">
      <c r="A13">
        <f>IF(Klantgegevens_B!A12&lt;&gt;"", Klantgegevens_B!A12, MID(Klantgegevens_A!A12, FIND(",", Klantgegevens_A!A12)+2, LEN(Klantgegevens_A!A12)))</f>
        <v/>
      </c>
      <c r="B13">
        <f>IF(Klantgegevens_B!B12&lt;&gt;"", Klantgegevens_B!B12, LEFT(Klantgegevens_A!A12, FIND(",", Klantgegevens_A!A12)-1))</f>
        <v/>
      </c>
      <c r="C13">
        <f>C12 &amp; ", " &amp; B12</f>
        <v/>
      </c>
      <c r="D13">
        <f>IF(Klantgegevens_B!F12&lt;&gt;"", Klantgegevens_B!F12, Klantgegevens_A!D12 &amp; " " &amp; Klantgegevens_A!E12 &amp; ", " &amp; Klantgegevens_A!F12)</f>
        <v/>
      </c>
      <c r="E13">
        <f>IF(Klantgegevens_B!G12&lt;&gt;"", Klantgegevens_B!G12, TEXTJOIN(",", TRUE, REPT("Volwassene,", Klantgegevens_A!G12), REPT("Kind,", Klantgegevens_A!H12)))</f>
        <v/>
      </c>
      <c r="F13">
        <f>IF(Klantgegevens_B!G12&lt;&gt;"", LEN(Klantgegevens_B!G12)-LEN(SUBSTITUTE(Klantgegevens_B!G12, ",", ""))+1, Klantgegevens_A!G12)</f>
        <v/>
      </c>
      <c r="G13">
        <f>IF(Klantgegevens_B!G12&lt;&gt;"", 0, Klantgegevens_A!H12)</f>
        <v/>
      </c>
      <c r="H13">
        <f>IF(Klantgegevens_B!H12&lt;&gt;"", Klantgegevens_B!H12, Klantgegevens_A!I12)</f>
        <v/>
      </c>
      <c r="I13">
        <f>IF(Klantgegevens_B!I12&lt;&gt;"", Klantgegevens_B!I12, SWITCH(Klantgegevens_A!J12, "Zelden", 1, "Af en toe", 4, "Regelmatig", 8, "Vaak", 12))</f>
        <v/>
      </c>
      <c r="J13">
        <f>IF(Klantgegevens_B!J12&lt;&gt;"", Klantgegevens_B!J12, Klantgegevens_A!K12)</f>
        <v/>
      </c>
      <c r="K13">
        <f>IF(Klantgegevens_B!K12&lt;&gt;"", AVERAGE(--(Klantgegevens_B!K12="ja"), --(Klantgegevens_B!L12="ja"), --(Klantgegevens_B!M12="ja"), --(Klantgegevens_B!N12="ja"), --(Klantgegevens_B!O12="ja"))*10, Klantgegevens_A!L12)</f>
        <v/>
      </c>
      <c r="L13">
        <f>IF(Klantgegevens_B!K12&lt;&gt;"", Klantgegevens_B!K12, IF(Klantgegevens_A!L12&gt;=7, "ja", "nee"))</f>
        <v/>
      </c>
      <c r="M13">
        <f>IF(Klantgegevens_B!L12&lt;&gt;"", Klantgegevens_B!L12, IF(Klantgegevens_A!L12&gt;=7, "ja", "nee"))</f>
        <v/>
      </c>
      <c r="N13">
        <f>IF(Klantgegevens_B!M12&lt;&gt;"", Klantgegevens_B!M12, IF(Klantgegevens_A!L12&gt;=7, "ja", "nee"))</f>
        <v/>
      </c>
      <c r="O13">
        <f>IF(Klantgegevens_B!N12&lt;&gt;"", Klantgegevens_B!N12, IF(Klantgegevens_A!L12&gt;=7, "ja", "nee"))</f>
        <v/>
      </c>
      <c r="P13">
        <f>IF(Klantgegevens_B!O12&lt;&gt;"", Klantgegevens_B!O12, IF(Klantgegevens_A!L12&gt;=7, "ja", "nee"))</f>
        <v/>
      </c>
      <c r="Q13">
        <f>IF(Klantgegevens_B!P12&lt;&gt;"", Klantgegevens_B!P12, Klantgegevens_A!M12)</f>
        <v/>
      </c>
      <c r="R13">
        <f>IF(Klantgegevens_B!A12&lt;&gt;"", "B", "A")</f>
        <v/>
      </c>
    </row>
    <row r="14">
      <c r="A14">
        <f>IF(Klantgegevens_B!A13&lt;&gt;"", Klantgegevens_B!A13, MID(Klantgegevens_A!A13, FIND(",", Klantgegevens_A!A13)+2, LEN(Klantgegevens_A!A13)))</f>
        <v/>
      </c>
      <c r="B14">
        <f>IF(Klantgegevens_B!B13&lt;&gt;"", Klantgegevens_B!B13, LEFT(Klantgegevens_A!A13, FIND(",", Klantgegevens_A!A13)-1))</f>
        <v/>
      </c>
      <c r="C14">
        <f>C13 &amp; ", " &amp; B13</f>
        <v/>
      </c>
      <c r="D14">
        <f>IF(Klantgegevens_B!F13&lt;&gt;"", Klantgegevens_B!F13, Klantgegevens_A!D13 &amp; " " &amp; Klantgegevens_A!E13 &amp; ", " &amp; Klantgegevens_A!F13)</f>
        <v/>
      </c>
      <c r="E14">
        <f>IF(Klantgegevens_B!G13&lt;&gt;"", Klantgegevens_B!G13, TEXTJOIN(",", TRUE, REPT("Volwassene,", Klantgegevens_A!G13), REPT("Kind,", Klantgegevens_A!H13)))</f>
        <v/>
      </c>
      <c r="F14">
        <f>IF(Klantgegevens_B!G13&lt;&gt;"", LEN(Klantgegevens_B!G13)-LEN(SUBSTITUTE(Klantgegevens_B!G13, ",", ""))+1, Klantgegevens_A!G13)</f>
        <v/>
      </c>
      <c r="G14">
        <f>IF(Klantgegevens_B!G13&lt;&gt;"", 0, Klantgegevens_A!H13)</f>
        <v/>
      </c>
      <c r="H14">
        <f>IF(Klantgegevens_B!H13&lt;&gt;"", Klantgegevens_B!H13, Klantgegevens_A!I13)</f>
        <v/>
      </c>
      <c r="I14">
        <f>IF(Klantgegevens_B!I13&lt;&gt;"", Klantgegevens_B!I13, SWITCH(Klantgegevens_A!J13, "Zelden", 1, "Af en toe", 4, "Regelmatig", 8, "Vaak", 12))</f>
        <v/>
      </c>
      <c r="J14">
        <f>IF(Klantgegevens_B!J13&lt;&gt;"", Klantgegevens_B!J13, Klantgegevens_A!K13)</f>
        <v/>
      </c>
      <c r="K14">
        <f>IF(Klantgegevens_B!K13&lt;&gt;"", AVERAGE(--(Klantgegevens_B!K13="ja"), --(Klantgegevens_B!L13="ja"), --(Klantgegevens_B!M13="ja"), --(Klantgegevens_B!N13="ja"), --(Klantgegevens_B!O13="ja"))*10, Klantgegevens_A!L13)</f>
        <v/>
      </c>
      <c r="L14">
        <f>IF(Klantgegevens_B!K13&lt;&gt;"", Klantgegevens_B!K13, IF(Klantgegevens_A!L13&gt;=7, "ja", "nee"))</f>
        <v/>
      </c>
      <c r="M14">
        <f>IF(Klantgegevens_B!L13&lt;&gt;"", Klantgegevens_B!L13, IF(Klantgegevens_A!L13&gt;=7, "ja", "nee"))</f>
        <v/>
      </c>
      <c r="N14">
        <f>IF(Klantgegevens_B!M13&lt;&gt;"", Klantgegevens_B!M13, IF(Klantgegevens_A!L13&gt;=7, "ja", "nee"))</f>
        <v/>
      </c>
      <c r="O14">
        <f>IF(Klantgegevens_B!N13&lt;&gt;"", Klantgegevens_B!N13, IF(Klantgegevens_A!L13&gt;=7, "ja", "nee"))</f>
        <v/>
      </c>
      <c r="P14">
        <f>IF(Klantgegevens_B!O13&lt;&gt;"", Klantgegevens_B!O13, IF(Klantgegevens_A!L13&gt;=7, "ja", "nee"))</f>
        <v/>
      </c>
      <c r="Q14">
        <f>IF(Klantgegevens_B!P13&lt;&gt;"", Klantgegevens_B!P13, Klantgegevens_A!M13)</f>
        <v/>
      </c>
      <c r="R14">
        <f>IF(Klantgegevens_B!A13&lt;&gt;"", "B", "A")</f>
        <v/>
      </c>
    </row>
    <row r="15">
      <c r="A15">
        <f>IF(Klantgegevens_B!A14&lt;&gt;"", Klantgegevens_B!A14, MID(Klantgegevens_A!A14, FIND(",", Klantgegevens_A!A14)+2, LEN(Klantgegevens_A!A14)))</f>
        <v/>
      </c>
      <c r="B15">
        <f>IF(Klantgegevens_B!B14&lt;&gt;"", Klantgegevens_B!B14, LEFT(Klantgegevens_A!A14, FIND(",", Klantgegevens_A!A14)-1))</f>
        <v/>
      </c>
      <c r="C15">
        <f>C14 &amp; ", " &amp; B14</f>
        <v/>
      </c>
      <c r="D15">
        <f>IF(Klantgegevens_B!F14&lt;&gt;"", Klantgegevens_B!F14, Klantgegevens_A!D14 &amp; " " &amp; Klantgegevens_A!E14 &amp; ", " &amp; Klantgegevens_A!F14)</f>
        <v/>
      </c>
      <c r="E15">
        <f>IF(Klantgegevens_B!G14&lt;&gt;"", Klantgegevens_B!G14, TEXTJOIN(",", TRUE, REPT("Volwassene,", Klantgegevens_A!G14), REPT("Kind,", Klantgegevens_A!H14)))</f>
        <v/>
      </c>
      <c r="F15">
        <f>IF(Klantgegevens_B!G14&lt;&gt;"", LEN(Klantgegevens_B!G14)-LEN(SUBSTITUTE(Klantgegevens_B!G14, ",", ""))+1, Klantgegevens_A!G14)</f>
        <v/>
      </c>
      <c r="G15">
        <f>IF(Klantgegevens_B!G14&lt;&gt;"", 0, Klantgegevens_A!H14)</f>
        <v/>
      </c>
      <c r="H15">
        <f>IF(Klantgegevens_B!H14&lt;&gt;"", Klantgegevens_B!H14, Klantgegevens_A!I14)</f>
        <v/>
      </c>
      <c r="I15">
        <f>IF(Klantgegevens_B!I14&lt;&gt;"", Klantgegevens_B!I14, SWITCH(Klantgegevens_A!J14, "Zelden", 1, "Af en toe", 4, "Regelmatig", 8, "Vaak", 12))</f>
        <v/>
      </c>
      <c r="J15">
        <f>IF(Klantgegevens_B!J14&lt;&gt;"", Klantgegevens_B!J14, Klantgegevens_A!K14)</f>
        <v/>
      </c>
      <c r="K15">
        <f>IF(Klantgegevens_B!K14&lt;&gt;"", AVERAGE(--(Klantgegevens_B!K14="ja"), --(Klantgegevens_B!L14="ja"), --(Klantgegevens_B!M14="ja"), --(Klantgegevens_B!N14="ja"), --(Klantgegevens_B!O14="ja"))*10, Klantgegevens_A!L14)</f>
        <v/>
      </c>
      <c r="L15">
        <f>IF(Klantgegevens_B!K14&lt;&gt;"", Klantgegevens_B!K14, IF(Klantgegevens_A!L14&gt;=7, "ja", "nee"))</f>
        <v/>
      </c>
      <c r="M15">
        <f>IF(Klantgegevens_B!L14&lt;&gt;"", Klantgegevens_B!L14, IF(Klantgegevens_A!L14&gt;=7, "ja", "nee"))</f>
        <v/>
      </c>
      <c r="N15">
        <f>IF(Klantgegevens_B!M14&lt;&gt;"", Klantgegevens_B!M14, IF(Klantgegevens_A!L14&gt;=7, "ja", "nee"))</f>
        <v/>
      </c>
      <c r="O15">
        <f>IF(Klantgegevens_B!N14&lt;&gt;"", Klantgegevens_B!N14, IF(Klantgegevens_A!L14&gt;=7, "ja", "nee"))</f>
        <v/>
      </c>
      <c r="P15">
        <f>IF(Klantgegevens_B!O14&lt;&gt;"", Klantgegevens_B!O14, IF(Klantgegevens_A!L14&gt;=7, "ja", "nee"))</f>
        <v/>
      </c>
      <c r="Q15">
        <f>IF(Klantgegevens_B!P14&lt;&gt;"", Klantgegevens_B!P14, Klantgegevens_A!M14)</f>
        <v/>
      </c>
      <c r="R15">
        <f>IF(Klantgegevens_B!A14&lt;&gt;"", "B", "A")</f>
        <v/>
      </c>
    </row>
    <row r="16">
      <c r="A16">
        <f>IF(Klantgegevens_B!A15&lt;&gt;"", Klantgegevens_B!A15, MID(Klantgegevens_A!A15, FIND(",", Klantgegevens_A!A15)+2, LEN(Klantgegevens_A!A15)))</f>
        <v/>
      </c>
      <c r="B16">
        <f>IF(Klantgegevens_B!B15&lt;&gt;"", Klantgegevens_B!B15, LEFT(Klantgegevens_A!A15, FIND(",", Klantgegevens_A!A15)-1))</f>
        <v/>
      </c>
      <c r="C16">
        <f>C15 &amp; ", " &amp; B15</f>
        <v/>
      </c>
      <c r="D16">
        <f>IF(Klantgegevens_B!F15&lt;&gt;"", Klantgegevens_B!F15, Klantgegevens_A!D15 &amp; " " &amp; Klantgegevens_A!E15 &amp; ", " &amp; Klantgegevens_A!F15)</f>
        <v/>
      </c>
      <c r="E16">
        <f>IF(Klantgegevens_B!G15&lt;&gt;"", Klantgegevens_B!G15, TEXTJOIN(",", TRUE, REPT("Volwassene,", Klantgegevens_A!G15), REPT("Kind,", Klantgegevens_A!H15)))</f>
        <v/>
      </c>
      <c r="F16">
        <f>IF(Klantgegevens_B!G15&lt;&gt;"", LEN(Klantgegevens_B!G15)-LEN(SUBSTITUTE(Klantgegevens_B!G15, ",", ""))+1, Klantgegevens_A!G15)</f>
        <v/>
      </c>
      <c r="G16">
        <f>IF(Klantgegevens_B!G15&lt;&gt;"", 0, Klantgegevens_A!H15)</f>
        <v/>
      </c>
      <c r="H16">
        <f>IF(Klantgegevens_B!H15&lt;&gt;"", Klantgegevens_B!H15, Klantgegevens_A!I15)</f>
        <v/>
      </c>
      <c r="I16">
        <f>IF(Klantgegevens_B!I15&lt;&gt;"", Klantgegevens_B!I15, SWITCH(Klantgegevens_A!J15, "Zelden", 1, "Af en toe", 4, "Regelmatig", 8, "Vaak", 12))</f>
        <v/>
      </c>
      <c r="J16">
        <f>IF(Klantgegevens_B!J15&lt;&gt;"", Klantgegevens_B!J15, Klantgegevens_A!K15)</f>
        <v/>
      </c>
      <c r="K16">
        <f>IF(Klantgegevens_B!K15&lt;&gt;"", AVERAGE(--(Klantgegevens_B!K15="ja"), --(Klantgegevens_B!L15="ja"), --(Klantgegevens_B!M15="ja"), --(Klantgegevens_B!N15="ja"), --(Klantgegevens_B!O15="ja"))*10, Klantgegevens_A!L15)</f>
        <v/>
      </c>
      <c r="L16">
        <f>IF(Klantgegevens_B!K15&lt;&gt;"", Klantgegevens_B!K15, IF(Klantgegevens_A!L15&gt;=7, "ja", "nee"))</f>
        <v/>
      </c>
      <c r="M16">
        <f>IF(Klantgegevens_B!L15&lt;&gt;"", Klantgegevens_B!L15, IF(Klantgegevens_A!L15&gt;=7, "ja", "nee"))</f>
        <v/>
      </c>
      <c r="N16">
        <f>IF(Klantgegevens_B!M15&lt;&gt;"", Klantgegevens_B!M15, IF(Klantgegevens_A!L15&gt;=7, "ja", "nee"))</f>
        <v/>
      </c>
      <c r="O16">
        <f>IF(Klantgegevens_B!N15&lt;&gt;"", Klantgegevens_B!N15, IF(Klantgegevens_A!L15&gt;=7, "ja", "nee"))</f>
        <v/>
      </c>
      <c r="P16">
        <f>IF(Klantgegevens_B!O15&lt;&gt;"", Klantgegevens_B!O15, IF(Klantgegevens_A!L15&gt;=7, "ja", "nee"))</f>
        <v/>
      </c>
      <c r="Q16">
        <f>IF(Klantgegevens_B!P15&lt;&gt;"", Klantgegevens_B!P15, Klantgegevens_A!M15)</f>
        <v/>
      </c>
      <c r="R16">
        <f>IF(Klantgegevens_B!A15&lt;&gt;"", "B", "A")</f>
        <v/>
      </c>
    </row>
    <row r="17">
      <c r="A17">
        <f>IF(Klantgegevens_B!A16&lt;&gt;"", Klantgegevens_B!A16, MID(Klantgegevens_A!A16, FIND(",", Klantgegevens_A!A16)+2, LEN(Klantgegevens_A!A16)))</f>
        <v/>
      </c>
      <c r="B17">
        <f>IF(Klantgegevens_B!B16&lt;&gt;"", Klantgegevens_B!B16, LEFT(Klantgegevens_A!A16, FIND(",", Klantgegevens_A!A16)-1))</f>
        <v/>
      </c>
      <c r="C17">
        <f>C16 &amp; ", " &amp; B16</f>
        <v/>
      </c>
      <c r="D17">
        <f>IF(Klantgegevens_B!F16&lt;&gt;"", Klantgegevens_B!F16, Klantgegevens_A!D16 &amp; " " &amp; Klantgegevens_A!E16 &amp; ", " &amp; Klantgegevens_A!F16)</f>
        <v/>
      </c>
      <c r="E17">
        <f>IF(Klantgegevens_B!G16&lt;&gt;"", Klantgegevens_B!G16, TEXTJOIN(",", TRUE, REPT("Volwassene,", Klantgegevens_A!G16), REPT("Kind,", Klantgegevens_A!H16)))</f>
        <v/>
      </c>
      <c r="F17">
        <f>IF(Klantgegevens_B!G16&lt;&gt;"", LEN(Klantgegevens_B!G16)-LEN(SUBSTITUTE(Klantgegevens_B!G16, ",", ""))+1, Klantgegevens_A!G16)</f>
        <v/>
      </c>
      <c r="G17">
        <f>IF(Klantgegevens_B!G16&lt;&gt;"", 0, Klantgegevens_A!H16)</f>
        <v/>
      </c>
      <c r="H17">
        <f>IF(Klantgegevens_B!H16&lt;&gt;"", Klantgegevens_B!H16, Klantgegevens_A!I16)</f>
        <v/>
      </c>
      <c r="I17">
        <f>IF(Klantgegevens_B!I16&lt;&gt;"", Klantgegevens_B!I16, SWITCH(Klantgegevens_A!J16, "Zelden", 1, "Af en toe", 4, "Regelmatig", 8, "Vaak", 12))</f>
        <v/>
      </c>
      <c r="J17">
        <f>IF(Klantgegevens_B!J16&lt;&gt;"", Klantgegevens_B!J16, Klantgegevens_A!K16)</f>
        <v/>
      </c>
      <c r="K17">
        <f>IF(Klantgegevens_B!K16&lt;&gt;"", AVERAGE(--(Klantgegevens_B!K16="ja"), --(Klantgegevens_B!L16="ja"), --(Klantgegevens_B!M16="ja"), --(Klantgegevens_B!N16="ja"), --(Klantgegevens_B!O16="ja"))*10, Klantgegevens_A!L16)</f>
        <v/>
      </c>
      <c r="L17">
        <f>IF(Klantgegevens_B!K16&lt;&gt;"", Klantgegevens_B!K16, IF(Klantgegevens_A!L16&gt;=7, "ja", "nee"))</f>
        <v/>
      </c>
      <c r="M17">
        <f>IF(Klantgegevens_B!L16&lt;&gt;"", Klantgegevens_B!L16, IF(Klantgegevens_A!L16&gt;=7, "ja", "nee"))</f>
        <v/>
      </c>
      <c r="N17">
        <f>IF(Klantgegevens_B!M16&lt;&gt;"", Klantgegevens_B!M16, IF(Klantgegevens_A!L16&gt;=7, "ja", "nee"))</f>
        <v/>
      </c>
      <c r="O17">
        <f>IF(Klantgegevens_B!N16&lt;&gt;"", Klantgegevens_B!N16, IF(Klantgegevens_A!L16&gt;=7, "ja", "nee"))</f>
        <v/>
      </c>
      <c r="P17">
        <f>IF(Klantgegevens_B!O16&lt;&gt;"", Klantgegevens_B!O16, IF(Klantgegevens_A!L16&gt;=7, "ja", "nee"))</f>
        <v/>
      </c>
      <c r="Q17">
        <f>IF(Klantgegevens_B!P16&lt;&gt;"", Klantgegevens_B!P16, Klantgegevens_A!M16)</f>
        <v/>
      </c>
      <c r="R17">
        <f>IF(Klantgegevens_B!A16&lt;&gt;"", "B", "A")</f>
        <v/>
      </c>
    </row>
    <row r="18">
      <c r="A18">
        <f>IF(Klantgegevens_B!A17&lt;&gt;"", Klantgegevens_B!A17, MID(Klantgegevens_A!A17, FIND(",", Klantgegevens_A!A17)+2, LEN(Klantgegevens_A!A17)))</f>
        <v/>
      </c>
      <c r="B18">
        <f>IF(Klantgegevens_B!B17&lt;&gt;"", Klantgegevens_B!B17, LEFT(Klantgegevens_A!A17, FIND(",", Klantgegevens_A!A17)-1))</f>
        <v/>
      </c>
      <c r="C18">
        <f>C17 &amp; ", " &amp; B17</f>
        <v/>
      </c>
      <c r="D18">
        <f>IF(Klantgegevens_B!F17&lt;&gt;"", Klantgegevens_B!F17, Klantgegevens_A!D17 &amp; " " &amp; Klantgegevens_A!E17 &amp; ", " &amp; Klantgegevens_A!F17)</f>
        <v/>
      </c>
      <c r="E18">
        <f>IF(Klantgegevens_B!G17&lt;&gt;"", Klantgegevens_B!G17, TEXTJOIN(",", TRUE, REPT("Volwassene,", Klantgegevens_A!G17), REPT("Kind,", Klantgegevens_A!H17)))</f>
        <v/>
      </c>
      <c r="F18">
        <f>IF(Klantgegevens_B!G17&lt;&gt;"", LEN(Klantgegevens_B!G17)-LEN(SUBSTITUTE(Klantgegevens_B!G17, ",", ""))+1, Klantgegevens_A!G17)</f>
        <v/>
      </c>
      <c r="G18">
        <f>IF(Klantgegevens_B!G17&lt;&gt;"", 0, Klantgegevens_A!H17)</f>
        <v/>
      </c>
      <c r="H18">
        <f>IF(Klantgegevens_B!H17&lt;&gt;"", Klantgegevens_B!H17, Klantgegevens_A!I17)</f>
        <v/>
      </c>
      <c r="I18">
        <f>IF(Klantgegevens_B!I17&lt;&gt;"", Klantgegevens_B!I17, SWITCH(Klantgegevens_A!J17, "Zelden", 1, "Af en toe", 4, "Regelmatig", 8, "Vaak", 12))</f>
        <v/>
      </c>
      <c r="J18">
        <f>IF(Klantgegevens_B!J17&lt;&gt;"", Klantgegevens_B!J17, Klantgegevens_A!K17)</f>
        <v/>
      </c>
      <c r="K18">
        <f>IF(Klantgegevens_B!K17&lt;&gt;"", AVERAGE(--(Klantgegevens_B!K17="ja"), --(Klantgegevens_B!L17="ja"), --(Klantgegevens_B!M17="ja"), --(Klantgegevens_B!N17="ja"), --(Klantgegevens_B!O17="ja"))*10, Klantgegevens_A!L17)</f>
        <v/>
      </c>
      <c r="L18">
        <f>IF(Klantgegevens_B!K17&lt;&gt;"", Klantgegevens_B!K17, IF(Klantgegevens_A!L17&gt;=7, "ja", "nee"))</f>
        <v/>
      </c>
      <c r="M18">
        <f>IF(Klantgegevens_B!L17&lt;&gt;"", Klantgegevens_B!L17, IF(Klantgegevens_A!L17&gt;=7, "ja", "nee"))</f>
        <v/>
      </c>
      <c r="N18">
        <f>IF(Klantgegevens_B!M17&lt;&gt;"", Klantgegevens_B!M17, IF(Klantgegevens_A!L17&gt;=7, "ja", "nee"))</f>
        <v/>
      </c>
      <c r="O18">
        <f>IF(Klantgegevens_B!N17&lt;&gt;"", Klantgegevens_B!N17, IF(Klantgegevens_A!L17&gt;=7, "ja", "nee"))</f>
        <v/>
      </c>
      <c r="P18">
        <f>IF(Klantgegevens_B!O17&lt;&gt;"", Klantgegevens_B!O17, IF(Klantgegevens_A!L17&gt;=7, "ja", "nee"))</f>
        <v/>
      </c>
      <c r="Q18">
        <f>IF(Klantgegevens_B!P17&lt;&gt;"", Klantgegevens_B!P17, Klantgegevens_A!M17)</f>
        <v/>
      </c>
      <c r="R18">
        <f>IF(Klantgegevens_B!A17&lt;&gt;"", "B", "A")</f>
        <v/>
      </c>
    </row>
    <row r="19">
      <c r="A19">
        <f>IF(Klantgegevens_B!A18&lt;&gt;"", Klantgegevens_B!A18, MID(Klantgegevens_A!A18, FIND(",", Klantgegevens_A!A18)+2, LEN(Klantgegevens_A!A18)))</f>
        <v/>
      </c>
      <c r="B19">
        <f>IF(Klantgegevens_B!B18&lt;&gt;"", Klantgegevens_B!B18, LEFT(Klantgegevens_A!A18, FIND(",", Klantgegevens_A!A18)-1))</f>
        <v/>
      </c>
      <c r="C19">
        <f>C18 &amp; ", " &amp; B18</f>
        <v/>
      </c>
      <c r="D19">
        <f>IF(Klantgegevens_B!F18&lt;&gt;"", Klantgegevens_B!F18, Klantgegevens_A!D18 &amp; " " &amp; Klantgegevens_A!E18 &amp; ", " &amp; Klantgegevens_A!F18)</f>
        <v/>
      </c>
      <c r="E19">
        <f>IF(Klantgegevens_B!G18&lt;&gt;"", Klantgegevens_B!G18, TEXTJOIN(",", TRUE, REPT("Volwassene,", Klantgegevens_A!G18), REPT("Kind,", Klantgegevens_A!H18)))</f>
        <v/>
      </c>
      <c r="F19">
        <f>IF(Klantgegevens_B!G18&lt;&gt;"", LEN(Klantgegevens_B!G18)-LEN(SUBSTITUTE(Klantgegevens_B!G18, ",", ""))+1, Klantgegevens_A!G18)</f>
        <v/>
      </c>
      <c r="G19">
        <f>IF(Klantgegevens_B!G18&lt;&gt;"", 0, Klantgegevens_A!H18)</f>
        <v/>
      </c>
      <c r="H19">
        <f>IF(Klantgegevens_B!H18&lt;&gt;"", Klantgegevens_B!H18, Klantgegevens_A!I18)</f>
        <v/>
      </c>
      <c r="I19">
        <f>IF(Klantgegevens_B!I18&lt;&gt;"", Klantgegevens_B!I18, SWITCH(Klantgegevens_A!J18, "Zelden", 1, "Af en toe", 4, "Regelmatig", 8, "Vaak", 12))</f>
        <v/>
      </c>
      <c r="J19">
        <f>IF(Klantgegevens_B!J18&lt;&gt;"", Klantgegevens_B!J18, Klantgegevens_A!K18)</f>
        <v/>
      </c>
      <c r="K19">
        <f>IF(Klantgegevens_B!K18&lt;&gt;"", AVERAGE(--(Klantgegevens_B!K18="ja"), --(Klantgegevens_B!L18="ja"), --(Klantgegevens_B!M18="ja"), --(Klantgegevens_B!N18="ja"), --(Klantgegevens_B!O18="ja"))*10, Klantgegevens_A!L18)</f>
        <v/>
      </c>
      <c r="L19">
        <f>IF(Klantgegevens_B!K18&lt;&gt;"", Klantgegevens_B!K18, IF(Klantgegevens_A!L18&gt;=7, "ja", "nee"))</f>
        <v/>
      </c>
      <c r="M19">
        <f>IF(Klantgegevens_B!L18&lt;&gt;"", Klantgegevens_B!L18, IF(Klantgegevens_A!L18&gt;=7, "ja", "nee"))</f>
        <v/>
      </c>
      <c r="N19">
        <f>IF(Klantgegevens_B!M18&lt;&gt;"", Klantgegevens_B!M18, IF(Klantgegevens_A!L18&gt;=7, "ja", "nee"))</f>
        <v/>
      </c>
      <c r="O19">
        <f>IF(Klantgegevens_B!N18&lt;&gt;"", Klantgegevens_B!N18, IF(Klantgegevens_A!L18&gt;=7, "ja", "nee"))</f>
        <v/>
      </c>
      <c r="P19">
        <f>IF(Klantgegevens_B!O18&lt;&gt;"", Klantgegevens_B!O18, IF(Klantgegevens_A!L18&gt;=7, "ja", "nee"))</f>
        <v/>
      </c>
      <c r="Q19">
        <f>IF(Klantgegevens_B!P18&lt;&gt;"", Klantgegevens_B!P18, Klantgegevens_A!M18)</f>
        <v/>
      </c>
      <c r="R19">
        <f>IF(Klantgegevens_B!A18&lt;&gt;"", "B", "A")</f>
        <v/>
      </c>
    </row>
    <row r="20">
      <c r="A20">
        <f>IF(Klantgegevens_B!A19&lt;&gt;"", Klantgegevens_B!A19, MID(Klantgegevens_A!A19, FIND(",", Klantgegevens_A!A19)+2, LEN(Klantgegevens_A!A19)))</f>
        <v/>
      </c>
      <c r="B20">
        <f>IF(Klantgegevens_B!B19&lt;&gt;"", Klantgegevens_B!B19, LEFT(Klantgegevens_A!A19, FIND(",", Klantgegevens_A!A19)-1))</f>
        <v/>
      </c>
      <c r="C20">
        <f>C19 &amp; ", " &amp; B19</f>
        <v/>
      </c>
      <c r="D20">
        <f>IF(Klantgegevens_B!F19&lt;&gt;"", Klantgegevens_B!F19, Klantgegevens_A!D19 &amp; " " &amp; Klantgegevens_A!E19 &amp; ", " &amp; Klantgegevens_A!F19)</f>
        <v/>
      </c>
      <c r="E20">
        <f>IF(Klantgegevens_B!G19&lt;&gt;"", Klantgegevens_B!G19, TEXTJOIN(",", TRUE, REPT("Volwassene,", Klantgegevens_A!G19), REPT("Kind,", Klantgegevens_A!H19)))</f>
        <v/>
      </c>
      <c r="F20">
        <f>IF(Klantgegevens_B!G19&lt;&gt;"", LEN(Klantgegevens_B!G19)-LEN(SUBSTITUTE(Klantgegevens_B!G19, ",", ""))+1, Klantgegevens_A!G19)</f>
        <v/>
      </c>
      <c r="G20">
        <f>IF(Klantgegevens_B!G19&lt;&gt;"", 0, Klantgegevens_A!H19)</f>
        <v/>
      </c>
      <c r="H20">
        <f>IF(Klantgegevens_B!H19&lt;&gt;"", Klantgegevens_B!H19, Klantgegevens_A!I19)</f>
        <v/>
      </c>
      <c r="I20">
        <f>IF(Klantgegevens_B!I19&lt;&gt;"", Klantgegevens_B!I19, SWITCH(Klantgegevens_A!J19, "Zelden", 1, "Af en toe", 4, "Regelmatig", 8, "Vaak", 12))</f>
        <v/>
      </c>
      <c r="J20">
        <f>IF(Klantgegevens_B!J19&lt;&gt;"", Klantgegevens_B!J19, Klantgegevens_A!K19)</f>
        <v/>
      </c>
      <c r="K20">
        <f>IF(Klantgegevens_B!K19&lt;&gt;"", AVERAGE(--(Klantgegevens_B!K19="ja"), --(Klantgegevens_B!L19="ja"), --(Klantgegevens_B!M19="ja"), --(Klantgegevens_B!N19="ja"), --(Klantgegevens_B!O19="ja"))*10, Klantgegevens_A!L19)</f>
        <v/>
      </c>
      <c r="L20">
        <f>IF(Klantgegevens_B!K19&lt;&gt;"", Klantgegevens_B!K19, IF(Klantgegevens_A!L19&gt;=7, "ja", "nee"))</f>
        <v/>
      </c>
      <c r="M20">
        <f>IF(Klantgegevens_B!L19&lt;&gt;"", Klantgegevens_B!L19, IF(Klantgegevens_A!L19&gt;=7, "ja", "nee"))</f>
        <v/>
      </c>
      <c r="N20">
        <f>IF(Klantgegevens_B!M19&lt;&gt;"", Klantgegevens_B!M19, IF(Klantgegevens_A!L19&gt;=7, "ja", "nee"))</f>
        <v/>
      </c>
      <c r="O20">
        <f>IF(Klantgegevens_B!N19&lt;&gt;"", Klantgegevens_B!N19, IF(Klantgegevens_A!L19&gt;=7, "ja", "nee"))</f>
        <v/>
      </c>
      <c r="P20">
        <f>IF(Klantgegevens_B!O19&lt;&gt;"", Klantgegevens_B!O19, IF(Klantgegevens_A!L19&gt;=7, "ja", "nee"))</f>
        <v/>
      </c>
      <c r="Q20">
        <f>IF(Klantgegevens_B!P19&lt;&gt;"", Klantgegevens_B!P19, Klantgegevens_A!M19)</f>
        <v/>
      </c>
      <c r="R20">
        <f>IF(Klantgegevens_B!A19&lt;&gt;"", "B", "A")</f>
        <v/>
      </c>
    </row>
    <row r="21">
      <c r="A21">
        <f>IF(Klantgegevens_B!A20&lt;&gt;"", Klantgegevens_B!A20, MID(Klantgegevens_A!A20, FIND(",", Klantgegevens_A!A20)+2, LEN(Klantgegevens_A!A20)))</f>
        <v/>
      </c>
      <c r="B21">
        <f>IF(Klantgegevens_B!B20&lt;&gt;"", Klantgegevens_B!B20, LEFT(Klantgegevens_A!A20, FIND(",", Klantgegevens_A!A20)-1))</f>
        <v/>
      </c>
      <c r="C21">
        <f>C20 &amp; ", " &amp; B20</f>
        <v/>
      </c>
      <c r="D21">
        <f>IF(Klantgegevens_B!F20&lt;&gt;"", Klantgegevens_B!F20, Klantgegevens_A!D20 &amp; " " &amp; Klantgegevens_A!E20 &amp; ", " &amp; Klantgegevens_A!F20)</f>
        <v/>
      </c>
      <c r="E21">
        <f>IF(Klantgegevens_B!G20&lt;&gt;"", Klantgegevens_B!G20, TEXTJOIN(",", TRUE, REPT("Volwassene,", Klantgegevens_A!G20), REPT("Kind,", Klantgegevens_A!H20)))</f>
        <v/>
      </c>
      <c r="F21">
        <f>IF(Klantgegevens_B!G20&lt;&gt;"", LEN(Klantgegevens_B!G20)-LEN(SUBSTITUTE(Klantgegevens_B!G20, ",", ""))+1, Klantgegevens_A!G20)</f>
        <v/>
      </c>
      <c r="G21">
        <f>IF(Klantgegevens_B!G20&lt;&gt;"", 0, Klantgegevens_A!H20)</f>
        <v/>
      </c>
      <c r="H21">
        <f>IF(Klantgegevens_B!H20&lt;&gt;"", Klantgegevens_B!H20, Klantgegevens_A!I20)</f>
        <v/>
      </c>
      <c r="I21">
        <f>IF(Klantgegevens_B!I20&lt;&gt;"", Klantgegevens_B!I20, SWITCH(Klantgegevens_A!J20, "Zelden", 1, "Af en toe", 4, "Regelmatig", 8, "Vaak", 12))</f>
        <v/>
      </c>
      <c r="J21">
        <f>IF(Klantgegevens_B!J20&lt;&gt;"", Klantgegevens_B!J20, Klantgegevens_A!K20)</f>
        <v/>
      </c>
      <c r="K21">
        <f>IF(Klantgegevens_B!K20&lt;&gt;"", AVERAGE(--(Klantgegevens_B!K20="ja"), --(Klantgegevens_B!L20="ja"), --(Klantgegevens_B!M20="ja"), --(Klantgegevens_B!N20="ja"), --(Klantgegevens_B!O20="ja"))*10, Klantgegevens_A!L20)</f>
        <v/>
      </c>
      <c r="L21">
        <f>IF(Klantgegevens_B!K20&lt;&gt;"", Klantgegevens_B!K20, IF(Klantgegevens_A!L20&gt;=7, "ja", "nee"))</f>
        <v/>
      </c>
      <c r="M21">
        <f>IF(Klantgegevens_B!L20&lt;&gt;"", Klantgegevens_B!L20, IF(Klantgegevens_A!L20&gt;=7, "ja", "nee"))</f>
        <v/>
      </c>
      <c r="N21">
        <f>IF(Klantgegevens_B!M20&lt;&gt;"", Klantgegevens_B!M20, IF(Klantgegevens_A!L20&gt;=7, "ja", "nee"))</f>
        <v/>
      </c>
      <c r="O21">
        <f>IF(Klantgegevens_B!N20&lt;&gt;"", Klantgegevens_B!N20, IF(Klantgegevens_A!L20&gt;=7, "ja", "nee"))</f>
        <v/>
      </c>
      <c r="P21">
        <f>IF(Klantgegevens_B!O20&lt;&gt;"", Klantgegevens_B!O20, IF(Klantgegevens_A!L20&gt;=7, "ja", "nee"))</f>
        <v/>
      </c>
      <c r="Q21">
        <f>IF(Klantgegevens_B!P20&lt;&gt;"", Klantgegevens_B!P20, Klantgegevens_A!M20)</f>
        <v/>
      </c>
      <c r="R21">
        <f>IF(Klantgegevens_B!A20&lt;&gt;"", "B", "A")</f>
        <v/>
      </c>
    </row>
    <row r="22">
      <c r="A22">
        <f>IF(Klantgegevens_B!A21&lt;&gt;"", Klantgegevens_B!A21, MID(Klantgegevens_A!A21, FIND(",", Klantgegevens_A!A21)+2, LEN(Klantgegevens_A!A21)))</f>
        <v/>
      </c>
      <c r="B22">
        <f>IF(Klantgegevens_B!B21&lt;&gt;"", Klantgegevens_B!B21, LEFT(Klantgegevens_A!A21, FIND(",", Klantgegevens_A!A21)-1))</f>
        <v/>
      </c>
      <c r="C22">
        <f>C21 &amp; ", " &amp; B21</f>
        <v/>
      </c>
      <c r="D22">
        <f>IF(Klantgegevens_B!F21&lt;&gt;"", Klantgegevens_B!F21, Klantgegevens_A!D21 &amp; " " &amp; Klantgegevens_A!E21 &amp; ", " &amp; Klantgegevens_A!F21)</f>
        <v/>
      </c>
      <c r="E22">
        <f>IF(Klantgegevens_B!G21&lt;&gt;"", Klantgegevens_B!G21, TEXTJOIN(",", TRUE, REPT("Volwassene,", Klantgegevens_A!G21), REPT("Kind,", Klantgegevens_A!H21)))</f>
        <v/>
      </c>
      <c r="F22">
        <f>IF(Klantgegevens_B!G21&lt;&gt;"", LEN(Klantgegevens_B!G21)-LEN(SUBSTITUTE(Klantgegevens_B!G21, ",", ""))+1, Klantgegevens_A!G21)</f>
        <v/>
      </c>
      <c r="G22">
        <f>IF(Klantgegevens_B!G21&lt;&gt;"", 0, Klantgegevens_A!H21)</f>
        <v/>
      </c>
      <c r="H22">
        <f>IF(Klantgegevens_B!H21&lt;&gt;"", Klantgegevens_B!H21, Klantgegevens_A!I21)</f>
        <v/>
      </c>
      <c r="I22">
        <f>IF(Klantgegevens_B!I21&lt;&gt;"", Klantgegevens_B!I21, SWITCH(Klantgegevens_A!J21, "Zelden", 1, "Af en toe", 4, "Regelmatig", 8, "Vaak", 12))</f>
        <v/>
      </c>
      <c r="J22">
        <f>IF(Klantgegevens_B!J21&lt;&gt;"", Klantgegevens_B!J21, Klantgegevens_A!K21)</f>
        <v/>
      </c>
      <c r="K22">
        <f>IF(Klantgegevens_B!K21&lt;&gt;"", AVERAGE(--(Klantgegevens_B!K21="ja"), --(Klantgegevens_B!L21="ja"), --(Klantgegevens_B!M21="ja"), --(Klantgegevens_B!N21="ja"), --(Klantgegevens_B!O21="ja"))*10, Klantgegevens_A!L21)</f>
        <v/>
      </c>
      <c r="L22">
        <f>IF(Klantgegevens_B!K21&lt;&gt;"", Klantgegevens_B!K21, IF(Klantgegevens_A!L21&gt;=7, "ja", "nee"))</f>
        <v/>
      </c>
      <c r="M22">
        <f>IF(Klantgegevens_B!L21&lt;&gt;"", Klantgegevens_B!L21, IF(Klantgegevens_A!L21&gt;=7, "ja", "nee"))</f>
        <v/>
      </c>
      <c r="N22">
        <f>IF(Klantgegevens_B!M21&lt;&gt;"", Klantgegevens_B!M21, IF(Klantgegevens_A!L21&gt;=7, "ja", "nee"))</f>
        <v/>
      </c>
      <c r="O22">
        <f>IF(Klantgegevens_B!N21&lt;&gt;"", Klantgegevens_B!N21, IF(Klantgegevens_A!L21&gt;=7, "ja", "nee"))</f>
        <v/>
      </c>
      <c r="P22">
        <f>IF(Klantgegevens_B!O21&lt;&gt;"", Klantgegevens_B!O21, IF(Klantgegevens_A!L21&gt;=7, "ja", "nee"))</f>
        <v/>
      </c>
      <c r="Q22">
        <f>IF(Klantgegevens_B!P21&lt;&gt;"", Klantgegevens_B!P21, Klantgegevens_A!M21)</f>
        <v/>
      </c>
      <c r="R22">
        <f>IF(Klantgegevens_B!A21&lt;&gt;"", "B", "A")</f>
        <v/>
      </c>
    </row>
    <row r="23">
      <c r="A23">
        <f>IF(Klantgegevens_B!A22&lt;&gt;"", Klantgegevens_B!A22, MID(Klantgegevens_A!A22, FIND(",", Klantgegevens_A!A22)+2, LEN(Klantgegevens_A!A22)))</f>
        <v/>
      </c>
      <c r="B23">
        <f>IF(Klantgegevens_B!B22&lt;&gt;"", Klantgegevens_B!B22, LEFT(Klantgegevens_A!A22, FIND(",", Klantgegevens_A!A22)-1))</f>
        <v/>
      </c>
      <c r="C23">
        <f>C22 &amp; ", " &amp; B22</f>
        <v/>
      </c>
      <c r="D23">
        <f>IF(Klantgegevens_B!F22&lt;&gt;"", Klantgegevens_B!F22, Klantgegevens_A!D22 &amp; " " &amp; Klantgegevens_A!E22 &amp; ", " &amp; Klantgegevens_A!F22)</f>
        <v/>
      </c>
      <c r="E23">
        <f>IF(Klantgegevens_B!G22&lt;&gt;"", Klantgegevens_B!G22, TEXTJOIN(",", TRUE, REPT("Volwassene,", Klantgegevens_A!G22), REPT("Kind,", Klantgegevens_A!H22)))</f>
        <v/>
      </c>
      <c r="F23">
        <f>IF(Klantgegevens_B!G22&lt;&gt;"", LEN(Klantgegevens_B!G22)-LEN(SUBSTITUTE(Klantgegevens_B!G22, ",", ""))+1, Klantgegevens_A!G22)</f>
        <v/>
      </c>
      <c r="G23">
        <f>IF(Klantgegevens_B!G22&lt;&gt;"", 0, Klantgegevens_A!H22)</f>
        <v/>
      </c>
      <c r="H23">
        <f>IF(Klantgegevens_B!H22&lt;&gt;"", Klantgegevens_B!H22, Klantgegevens_A!I22)</f>
        <v/>
      </c>
      <c r="I23">
        <f>IF(Klantgegevens_B!I22&lt;&gt;"", Klantgegevens_B!I22, SWITCH(Klantgegevens_A!J22, "Zelden", 1, "Af en toe", 4, "Regelmatig", 8, "Vaak", 12))</f>
        <v/>
      </c>
      <c r="J23">
        <f>IF(Klantgegevens_B!J22&lt;&gt;"", Klantgegevens_B!J22, Klantgegevens_A!K22)</f>
        <v/>
      </c>
      <c r="K23">
        <f>IF(Klantgegevens_B!K22&lt;&gt;"", AVERAGE(--(Klantgegevens_B!K22="ja"), --(Klantgegevens_B!L22="ja"), --(Klantgegevens_B!M22="ja"), --(Klantgegevens_B!N22="ja"), --(Klantgegevens_B!O22="ja"))*10, Klantgegevens_A!L22)</f>
        <v/>
      </c>
      <c r="L23">
        <f>IF(Klantgegevens_B!K22&lt;&gt;"", Klantgegevens_B!K22, IF(Klantgegevens_A!L22&gt;=7, "ja", "nee"))</f>
        <v/>
      </c>
      <c r="M23">
        <f>IF(Klantgegevens_B!L22&lt;&gt;"", Klantgegevens_B!L22, IF(Klantgegevens_A!L22&gt;=7, "ja", "nee"))</f>
        <v/>
      </c>
      <c r="N23">
        <f>IF(Klantgegevens_B!M22&lt;&gt;"", Klantgegevens_B!M22, IF(Klantgegevens_A!L22&gt;=7, "ja", "nee"))</f>
        <v/>
      </c>
      <c r="O23">
        <f>IF(Klantgegevens_B!N22&lt;&gt;"", Klantgegevens_B!N22, IF(Klantgegevens_A!L22&gt;=7, "ja", "nee"))</f>
        <v/>
      </c>
      <c r="P23">
        <f>IF(Klantgegevens_B!O22&lt;&gt;"", Klantgegevens_B!O22, IF(Klantgegevens_A!L22&gt;=7, "ja", "nee"))</f>
        <v/>
      </c>
      <c r="Q23">
        <f>IF(Klantgegevens_B!P22&lt;&gt;"", Klantgegevens_B!P22, Klantgegevens_A!M22)</f>
        <v/>
      </c>
      <c r="R23">
        <f>IF(Klantgegevens_B!A22&lt;&gt;"", "B", "A")</f>
        <v/>
      </c>
    </row>
    <row r="24">
      <c r="A24">
        <f>IF(Klantgegevens_B!A23&lt;&gt;"", Klantgegevens_B!A23, MID(Klantgegevens_A!A23, FIND(",", Klantgegevens_A!A23)+2, LEN(Klantgegevens_A!A23)))</f>
        <v/>
      </c>
      <c r="B24">
        <f>IF(Klantgegevens_B!B23&lt;&gt;"", Klantgegevens_B!B23, LEFT(Klantgegevens_A!A23, FIND(",", Klantgegevens_A!A23)-1))</f>
        <v/>
      </c>
      <c r="C24">
        <f>C23 &amp; ", " &amp; B23</f>
        <v/>
      </c>
      <c r="D24">
        <f>IF(Klantgegevens_B!F23&lt;&gt;"", Klantgegevens_B!F23, Klantgegevens_A!D23 &amp; " " &amp; Klantgegevens_A!E23 &amp; ", " &amp; Klantgegevens_A!F23)</f>
        <v/>
      </c>
      <c r="E24">
        <f>IF(Klantgegevens_B!G23&lt;&gt;"", Klantgegevens_B!G23, TEXTJOIN(",", TRUE, REPT("Volwassene,", Klantgegevens_A!G23), REPT("Kind,", Klantgegevens_A!H23)))</f>
        <v/>
      </c>
      <c r="F24">
        <f>IF(Klantgegevens_B!G23&lt;&gt;"", LEN(Klantgegevens_B!G23)-LEN(SUBSTITUTE(Klantgegevens_B!G23, ",", ""))+1, Klantgegevens_A!G23)</f>
        <v/>
      </c>
      <c r="G24">
        <f>IF(Klantgegevens_B!G23&lt;&gt;"", 0, Klantgegevens_A!H23)</f>
        <v/>
      </c>
      <c r="H24">
        <f>IF(Klantgegevens_B!H23&lt;&gt;"", Klantgegevens_B!H23, Klantgegevens_A!I23)</f>
        <v/>
      </c>
      <c r="I24">
        <f>IF(Klantgegevens_B!I23&lt;&gt;"", Klantgegevens_B!I23, SWITCH(Klantgegevens_A!J23, "Zelden", 1, "Af en toe", 4, "Regelmatig", 8, "Vaak", 12))</f>
        <v/>
      </c>
      <c r="J24">
        <f>IF(Klantgegevens_B!J23&lt;&gt;"", Klantgegevens_B!J23, Klantgegevens_A!K23)</f>
        <v/>
      </c>
      <c r="K24">
        <f>IF(Klantgegevens_B!K23&lt;&gt;"", AVERAGE(--(Klantgegevens_B!K23="ja"), --(Klantgegevens_B!L23="ja"), --(Klantgegevens_B!M23="ja"), --(Klantgegevens_B!N23="ja"), --(Klantgegevens_B!O23="ja"))*10, Klantgegevens_A!L23)</f>
        <v/>
      </c>
      <c r="L24">
        <f>IF(Klantgegevens_B!K23&lt;&gt;"", Klantgegevens_B!K23, IF(Klantgegevens_A!L23&gt;=7, "ja", "nee"))</f>
        <v/>
      </c>
      <c r="M24">
        <f>IF(Klantgegevens_B!L23&lt;&gt;"", Klantgegevens_B!L23, IF(Klantgegevens_A!L23&gt;=7, "ja", "nee"))</f>
        <v/>
      </c>
      <c r="N24">
        <f>IF(Klantgegevens_B!M23&lt;&gt;"", Klantgegevens_B!M23, IF(Klantgegevens_A!L23&gt;=7, "ja", "nee"))</f>
        <v/>
      </c>
      <c r="O24">
        <f>IF(Klantgegevens_B!N23&lt;&gt;"", Klantgegevens_B!N23, IF(Klantgegevens_A!L23&gt;=7, "ja", "nee"))</f>
        <v/>
      </c>
      <c r="P24">
        <f>IF(Klantgegevens_B!O23&lt;&gt;"", Klantgegevens_B!O23, IF(Klantgegevens_A!L23&gt;=7, "ja", "nee"))</f>
        <v/>
      </c>
      <c r="Q24">
        <f>IF(Klantgegevens_B!P23&lt;&gt;"", Klantgegevens_B!P23, Klantgegevens_A!M23)</f>
        <v/>
      </c>
      <c r="R24">
        <f>IF(Klantgegevens_B!A23&lt;&gt;"", "B", "A")</f>
        <v/>
      </c>
    </row>
    <row r="25">
      <c r="A25">
        <f>IF(Klantgegevens_B!A24&lt;&gt;"", Klantgegevens_B!A24, MID(Klantgegevens_A!A24, FIND(",", Klantgegevens_A!A24)+2, LEN(Klantgegevens_A!A24)))</f>
        <v/>
      </c>
      <c r="B25">
        <f>IF(Klantgegevens_B!B24&lt;&gt;"", Klantgegevens_B!B24, LEFT(Klantgegevens_A!A24, FIND(",", Klantgegevens_A!A24)-1))</f>
        <v/>
      </c>
      <c r="C25">
        <f>C24 &amp; ", " &amp; B24</f>
        <v/>
      </c>
      <c r="D25">
        <f>IF(Klantgegevens_B!F24&lt;&gt;"", Klantgegevens_B!F24, Klantgegevens_A!D24 &amp; " " &amp; Klantgegevens_A!E24 &amp; ", " &amp; Klantgegevens_A!F24)</f>
        <v/>
      </c>
      <c r="E25">
        <f>IF(Klantgegevens_B!G24&lt;&gt;"", Klantgegevens_B!G24, TEXTJOIN(",", TRUE, REPT("Volwassene,", Klantgegevens_A!G24), REPT("Kind,", Klantgegevens_A!H24)))</f>
        <v/>
      </c>
      <c r="F25">
        <f>IF(Klantgegevens_B!G24&lt;&gt;"", LEN(Klantgegevens_B!G24)-LEN(SUBSTITUTE(Klantgegevens_B!G24, ",", ""))+1, Klantgegevens_A!G24)</f>
        <v/>
      </c>
      <c r="G25">
        <f>IF(Klantgegevens_B!G24&lt;&gt;"", 0, Klantgegevens_A!H24)</f>
        <v/>
      </c>
      <c r="H25">
        <f>IF(Klantgegevens_B!H24&lt;&gt;"", Klantgegevens_B!H24, Klantgegevens_A!I24)</f>
        <v/>
      </c>
      <c r="I25">
        <f>IF(Klantgegevens_B!I24&lt;&gt;"", Klantgegevens_B!I24, SWITCH(Klantgegevens_A!J24, "Zelden", 1, "Af en toe", 4, "Regelmatig", 8, "Vaak", 12))</f>
        <v/>
      </c>
      <c r="J25">
        <f>IF(Klantgegevens_B!J24&lt;&gt;"", Klantgegevens_B!J24, Klantgegevens_A!K24)</f>
        <v/>
      </c>
      <c r="K25">
        <f>IF(Klantgegevens_B!K24&lt;&gt;"", AVERAGE(--(Klantgegevens_B!K24="ja"), --(Klantgegevens_B!L24="ja"), --(Klantgegevens_B!M24="ja"), --(Klantgegevens_B!N24="ja"), --(Klantgegevens_B!O24="ja"))*10, Klantgegevens_A!L24)</f>
        <v/>
      </c>
      <c r="L25">
        <f>IF(Klantgegevens_B!K24&lt;&gt;"", Klantgegevens_B!K24, IF(Klantgegevens_A!L24&gt;=7, "ja", "nee"))</f>
        <v/>
      </c>
      <c r="M25">
        <f>IF(Klantgegevens_B!L24&lt;&gt;"", Klantgegevens_B!L24, IF(Klantgegevens_A!L24&gt;=7, "ja", "nee"))</f>
        <v/>
      </c>
      <c r="N25">
        <f>IF(Klantgegevens_B!M24&lt;&gt;"", Klantgegevens_B!M24, IF(Klantgegevens_A!L24&gt;=7, "ja", "nee"))</f>
        <v/>
      </c>
      <c r="O25">
        <f>IF(Klantgegevens_B!N24&lt;&gt;"", Klantgegevens_B!N24, IF(Klantgegevens_A!L24&gt;=7, "ja", "nee"))</f>
        <v/>
      </c>
      <c r="P25">
        <f>IF(Klantgegevens_B!O24&lt;&gt;"", Klantgegevens_B!O24, IF(Klantgegevens_A!L24&gt;=7, "ja", "nee"))</f>
        <v/>
      </c>
      <c r="Q25">
        <f>IF(Klantgegevens_B!P24&lt;&gt;"", Klantgegevens_B!P24, Klantgegevens_A!M24)</f>
        <v/>
      </c>
      <c r="R25">
        <f>IF(Klantgegevens_B!A24&lt;&gt;"", "B", "A")</f>
        <v/>
      </c>
    </row>
    <row r="26">
      <c r="A26">
        <f>IF(Klantgegevens_B!A25&lt;&gt;"", Klantgegevens_B!A25, MID(Klantgegevens_A!A25, FIND(",", Klantgegevens_A!A25)+2, LEN(Klantgegevens_A!A25)))</f>
        <v/>
      </c>
      <c r="B26">
        <f>IF(Klantgegevens_B!B25&lt;&gt;"", Klantgegevens_B!B25, LEFT(Klantgegevens_A!A25, FIND(",", Klantgegevens_A!A25)-1))</f>
        <v/>
      </c>
      <c r="C26">
        <f>C25 &amp; ", " &amp; B25</f>
        <v/>
      </c>
      <c r="D26">
        <f>IF(Klantgegevens_B!F25&lt;&gt;"", Klantgegevens_B!F25, Klantgegevens_A!D25 &amp; " " &amp; Klantgegevens_A!E25 &amp; ", " &amp; Klantgegevens_A!F25)</f>
        <v/>
      </c>
      <c r="E26">
        <f>IF(Klantgegevens_B!G25&lt;&gt;"", Klantgegevens_B!G25, TEXTJOIN(",", TRUE, REPT("Volwassene,", Klantgegevens_A!G25), REPT("Kind,", Klantgegevens_A!H25)))</f>
        <v/>
      </c>
      <c r="F26">
        <f>IF(Klantgegevens_B!G25&lt;&gt;"", LEN(Klantgegevens_B!G25)-LEN(SUBSTITUTE(Klantgegevens_B!G25, ",", ""))+1, Klantgegevens_A!G25)</f>
        <v/>
      </c>
      <c r="G26">
        <f>IF(Klantgegevens_B!G25&lt;&gt;"", 0, Klantgegevens_A!H25)</f>
        <v/>
      </c>
      <c r="H26">
        <f>IF(Klantgegevens_B!H25&lt;&gt;"", Klantgegevens_B!H25, Klantgegevens_A!I25)</f>
        <v/>
      </c>
      <c r="I26">
        <f>IF(Klantgegevens_B!I25&lt;&gt;"", Klantgegevens_B!I25, SWITCH(Klantgegevens_A!J25, "Zelden", 1, "Af en toe", 4, "Regelmatig", 8, "Vaak", 12))</f>
        <v/>
      </c>
      <c r="J26">
        <f>IF(Klantgegevens_B!J25&lt;&gt;"", Klantgegevens_B!J25, Klantgegevens_A!K25)</f>
        <v/>
      </c>
      <c r="K26">
        <f>IF(Klantgegevens_B!K25&lt;&gt;"", AVERAGE(--(Klantgegevens_B!K25="ja"), --(Klantgegevens_B!L25="ja"), --(Klantgegevens_B!M25="ja"), --(Klantgegevens_B!N25="ja"), --(Klantgegevens_B!O25="ja"))*10, Klantgegevens_A!L25)</f>
        <v/>
      </c>
      <c r="L26">
        <f>IF(Klantgegevens_B!K25&lt;&gt;"", Klantgegevens_B!K25, IF(Klantgegevens_A!L25&gt;=7, "ja", "nee"))</f>
        <v/>
      </c>
      <c r="M26">
        <f>IF(Klantgegevens_B!L25&lt;&gt;"", Klantgegevens_B!L25, IF(Klantgegevens_A!L25&gt;=7, "ja", "nee"))</f>
        <v/>
      </c>
      <c r="N26">
        <f>IF(Klantgegevens_B!M25&lt;&gt;"", Klantgegevens_B!M25, IF(Klantgegevens_A!L25&gt;=7, "ja", "nee"))</f>
        <v/>
      </c>
      <c r="O26">
        <f>IF(Klantgegevens_B!N25&lt;&gt;"", Klantgegevens_B!N25, IF(Klantgegevens_A!L25&gt;=7, "ja", "nee"))</f>
        <v/>
      </c>
      <c r="P26">
        <f>IF(Klantgegevens_B!O25&lt;&gt;"", Klantgegevens_B!O25, IF(Klantgegevens_A!L25&gt;=7, "ja", "nee"))</f>
        <v/>
      </c>
      <c r="Q26">
        <f>IF(Klantgegevens_B!P25&lt;&gt;"", Klantgegevens_B!P25, Klantgegevens_A!M25)</f>
        <v/>
      </c>
      <c r="R26">
        <f>IF(Klantgegevens_B!A25&lt;&gt;"", "B", "A")</f>
        <v/>
      </c>
    </row>
    <row r="27">
      <c r="A27">
        <f>IF(Klantgegevens_B!A26&lt;&gt;"", Klantgegevens_B!A26, MID(Klantgegevens_A!A26, FIND(",", Klantgegevens_A!A26)+2, LEN(Klantgegevens_A!A26)))</f>
        <v/>
      </c>
      <c r="B27">
        <f>IF(Klantgegevens_B!B26&lt;&gt;"", Klantgegevens_B!B26, LEFT(Klantgegevens_A!A26, FIND(",", Klantgegevens_A!A26)-1))</f>
        <v/>
      </c>
      <c r="C27">
        <f>C26 &amp; ", " &amp; B26</f>
        <v/>
      </c>
      <c r="D27">
        <f>IF(Klantgegevens_B!F26&lt;&gt;"", Klantgegevens_B!F26, Klantgegevens_A!D26 &amp; " " &amp; Klantgegevens_A!E26 &amp; ", " &amp; Klantgegevens_A!F26)</f>
        <v/>
      </c>
      <c r="E27">
        <f>IF(Klantgegevens_B!G26&lt;&gt;"", Klantgegevens_B!G26, TEXTJOIN(",", TRUE, REPT("Volwassene,", Klantgegevens_A!G26), REPT("Kind,", Klantgegevens_A!H26)))</f>
        <v/>
      </c>
      <c r="F27">
        <f>IF(Klantgegevens_B!G26&lt;&gt;"", LEN(Klantgegevens_B!G26)-LEN(SUBSTITUTE(Klantgegevens_B!G26, ",", ""))+1, Klantgegevens_A!G26)</f>
        <v/>
      </c>
      <c r="G27">
        <f>IF(Klantgegevens_B!G26&lt;&gt;"", 0, Klantgegevens_A!H26)</f>
        <v/>
      </c>
      <c r="H27">
        <f>IF(Klantgegevens_B!H26&lt;&gt;"", Klantgegevens_B!H26, Klantgegevens_A!I26)</f>
        <v/>
      </c>
      <c r="I27">
        <f>IF(Klantgegevens_B!I26&lt;&gt;"", Klantgegevens_B!I26, SWITCH(Klantgegevens_A!J26, "Zelden", 1, "Af en toe", 4, "Regelmatig", 8, "Vaak", 12))</f>
        <v/>
      </c>
      <c r="J27">
        <f>IF(Klantgegevens_B!J26&lt;&gt;"", Klantgegevens_B!J26, Klantgegevens_A!K26)</f>
        <v/>
      </c>
      <c r="K27">
        <f>IF(Klantgegevens_B!K26&lt;&gt;"", AVERAGE(--(Klantgegevens_B!K26="ja"), --(Klantgegevens_B!L26="ja"), --(Klantgegevens_B!M26="ja"), --(Klantgegevens_B!N26="ja"), --(Klantgegevens_B!O26="ja"))*10, Klantgegevens_A!L26)</f>
        <v/>
      </c>
      <c r="L27">
        <f>IF(Klantgegevens_B!K26&lt;&gt;"", Klantgegevens_B!K26, IF(Klantgegevens_A!L26&gt;=7, "ja", "nee"))</f>
        <v/>
      </c>
      <c r="M27">
        <f>IF(Klantgegevens_B!L26&lt;&gt;"", Klantgegevens_B!L26, IF(Klantgegevens_A!L26&gt;=7, "ja", "nee"))</f>
        <v/>
      </c>
      <c r="N27">
        <f>IF(Klantgegevens_B!M26&lt;&gt;"", Klantgegevens_B!M26, IF(Klantgegevens_A!L26&gt;=7, "ja", "nee"))</f>
        <v/>
      </c>
      <c r="O27">
        <f>IF(Klantgegevens_B!N26&lt;&gt;"", Klantgegevens_B!N26, IF(Klantgegevens_A!L26&gt;=7, "ja", "nee"))</f>
        <v/>
      </c>
      <c r="P27">
        <f>IF(Klantgegevens_B!O26&lt;&gt;"", Klantgegevens_B!O26, IF(Klantgegevens_A!L26&gt;=7, "ja", "nee"))</f>
        <v/>
      </c>
      <c r="Q27">
        <f>IF(Klantgegevens_B!P26&lt;&gt;"", Klantgegevens_B!P26, Klantgegevens_A!M26)</f>
        <v/>
      </c>
      <c r="R27">
        <f>IF(Klantgegevens_B!A26&lt;&gt;"", "B", "A")</f>
        <v/>
      </c>
    </row>
    <row r="28">
      <c r="A28">
        <f>IF(Klantgegevens_B!A27&lt;&gt;"", Klantgegevens_B!A27, MID(Klantgegevens_A!A27, FIND(",", Klantgegevens_A!A27)+2, LEN(Klantgegevens_A!A27)))</f>
        <v/>
      </c>
      <c r="B28">
        <f>IF(Klantgegevens_B!B27&lt;&gt;"", Klantgegevens_B!B27, LEFT(Klantgegevens_A!A27, FIND(",", Klantgegevens_A!A27)-1))</f>
        <v/>
      </c>
      <c r="C28">
        <f>C27 &amp; ", " &amp; B27</f>
        <v/>
      </c>
      <c r="D28">
        <f>IF(Klantgegevens_B!F27&lt;&gt;"", Klantgegevens_B!F27, Klantgegevens_A!D27 &amp; " " &amp; Klantgegevens_A!E27 &amp; ", " &amp; Klantgegevens_A!F27)</f>
        <v/>
      </c>
      <c r="E28">
        <f>IF(Klantgegevens_B!G27&lt;&gt;"", Klantgegevens_B!G27, TEXTJOIN(",", TRUE, REPT("Volwassene,", Klantgegevens_A!G27), REPT("Kind,", Klantgegevens_A!H27)))</f>
        <v/>
      </c>
      <c r="F28">
        <f>IF(Klantgegevens_B!G27&lt;&gt;"", LEN(Klantgegevens_B!G27)-LEN(SUBSTITUTE(Klantgegevens_B!G27, ",", ""))+1, Klantgegevens_A!G27)</f>
        <v/>
      </c>
      <c r="G28">
        <f>IF(Klantgegevens_B!G27&lt;&gt;"", 0, Klantgegevens_A!H27)</f>
        <v/>
      </c>
      <c r="H28">
        <f>IF(Klantgegevens_B!H27&lt;&gt;"", Klantgegevens_B!H27, Klantgegevens_A!I27)</f>
        <v/>
      </c>
      <c r="I28">
        <f>IF(Klantgegevens_B!I27&lt;&gt;"", Klantgegevens_B!I27, SWITCH(Klantgegevens_A!J27, "Zelden", 1, "Af en toe", 4, "Regelmatig", 8, "Vaak", 12))</f>
        <v/>
      </c>
      <c r="J28">
        <f>IF(Klantgegevens_B!J27&lt;&gt;"", Klantgegevens_B!J27, Klantgegevens_A!K27)</f>
        <v/>
      </c>
      <c r="K28">
        <f>IF(Klantgegevens_B!K27&lt;&gt;"", AVERAGE(--(Klantgegevens_B!K27="ja"), --(Klantgegevens_B!L27="ja"), --(Klantgegevens_B!M27="ja"), --(Klantgegevens_B!N27="ja"), --(Klantgegevens_B!O27="ja"))*10, Klantgegevens_A!L27)</f>
        <v/>
      </c>
      <c r="L28">
        <f>IF(Klantgegevens_B!K27&lt;&gt;"", Klantgegevens_B!K27, IF(Klantgegevens_A!L27&gt;=7, "ja", "nee"))</f>
        <v/>
      </c>
      <c r="M28">
        <f>IF(Klantgegevens_B!L27&lt;&gt;"", Klantgegevens_B!L27, IF(Klantgegevens_A!L27&gt;=7, "ja", "nee"))</f>
        <v/>
      </c>
      <c r="N28">
        <f>IF(Klantgegevens_B!M27&lt;&gt;"", Klantgegevens_B!M27, IF(Klantgegevens_A!L27&gt;=7, "ja", "nee"))</f>
        <v/>
      </c>
      <c r="O28">
        <f>IF(Klantgegevens_B!N27&lt;&gt;"", Klantgegevens_B!N27, IF(Klantgegevens_A!L27&gt;=7, "ja", "nee"))</f>
        <v/>
      </c>
      <c r="P28">
        <f>IF(Klantgegevens_B!O27&lt;&gt;"", Klantgegevens_B!O27, IF(Klantgegevens_A!L27&gt;=7, "ja", "nee"))</f>
        <v/>
      </c>
      <c r="Q28">
        <f>IF(Klantgegevens_B!P27&lt;&gt;"", Klantgegevens_B!P27, Klantgegevens_A!M27)</f>
        <v/>
      </c>
      <c r="R28">
        <f>IF(Klantgegevens_B!A27&lt;&gt;"", "B", "A")</f>
        <v/>
      </c>
    </row>
    <row r="29">
      <c r="A29">
        <f>IF(Klantgegevens_B!A28&lt;&gt;"", Klantgegevens_B!A28, MID(Klantgegevens_A!A28, FIND(",", Klantgegevens_A!A28)+2, LEN(Klantgegevens_A!A28)))</f>
        <v/>
      </c>
      <c r="B29">
        <f>IF(Klantgegevens_B!B28&lt;&gt;"", Klantgegevens_B!B28, LEFT(Klantgegevens_A!A28, FIND(",", Klantgegevens_A!A28)-1))</f>
        <v/>
      </c>
      <c r="C29">
        <f>C28 &amp; ", " &amp; B28</f>
        <v/>
      </c>
      <c r="D29">
        <f>IF(Klantgegevens_B!F28&lt;&gt;"", Klantgegevens_B!F28, Klantgegevens_A!D28 &amp; " " &amp; Klantgegevens_A!E28 &amp; ", " &amp; Klantgegevens_A!F28)</f>
        <v/>
      </c>
      <c r="E29">
        <f>IF(Klantgegevens_B!G28&lt;&gt;"", Klantgegevens_B!G28, TEXTJOIN(",", TRUE, REPT("Volwassene,", Klantgegevens_A!G28), REPT("Kind,", Klantgegevens_A!H28)))</f>
        <v/>
      </c>
      <c r="F29">
        <f>IF(Klantgegevens_B!G28&lt;&gt;"", LEN(Klantgegevens_B!G28)-LEN(SUBSTITUTE(Klantgegevens_B!G28, ",", ""))+1, Klantgegevens_A!G28)</f>
        <v/>
      </c>
      <c r="G29">
        <f>IF(Klantgegevens_B!G28&lt;&gt;"", 0, Klantgegevens_A!H28)</f>
        <v/>
      </c>
      <c r="H29">
        <f>IF(Klantgegevens_B!H28&lt;&gt;"", Klantgegevens_B!H28, Klantgegevens_A!I28)</f>
        <v/>
      </c>
      <c r="I29">
        <f>IF(Klantgegevens_B!I28&lt;&gt;"", Klantgegevens_B!I28, SWITCH(Klantgegevens_A!J28, "Zelden", 1, "Af en toe", 4, "Regelmatig", 8, "Vaak", 12))</f>
        <v/>
      </c>
      <c r="J29">
        <f>IF(Klantgegevens_B!J28&lt;&gt;"", Klantgegevens_B!J28, Klantgegevens_A!K28)</f>
        <v/>
      </c>
      <c r="K29">
        <f>IF(Klantgegevens_B!K28&lt;&gt;"", AVERAGE(--(Klantgegevens_B!K28="ja"), --(Klantgegevens_B!L28="ja"), --(Klantgegevens_B!M28="ja"), --(Klantgegevens_B!N28="ja"), --(Klantgegevens_B!O28="ja"))*10, Klantgegevens_A!L28)</f>
        <v/>
      </c>
      <c r="L29">
        <f>IF(Klantgegevens_B!K28&lt;&gt;"", Klantgegevens_B!K28, IF(Klantgegevens_A!L28&gt;=7, "ja", "nee"))</f>
        <v/>
      </c>
      <c r="M29">
        <f>IF(Klantgegevens_B!L28&lt;&gt;"", Klantgegevens_B!L28, IF(Klantgegevens_A!L28&gt;=7, "ja", "nee"))</f>
        <v/>
      </c>
      <c r="N29">
        <f>IF(Klantgegevens_B!M28&lt;&gt;"", Klantgegevens_B!M28, IF(Klantgegevens_A!L28&gt;=7, "ja", "nee"))</f>
        <v/>
      </c>
      <c r="O29">
        <f>IF(Klantgegevens_B!N28&lt;&gt;"", Klantgegevens_B!N28, IF(Klantgegevens_A!L28&gt;=7, "ja", "nee"))</f>
        <v/>
      </c>
      <c r="P29">
        <f>IF(Klantgegevens_B!O28&lt;&gt;"", Klantgegevens_B!O28, IF(Klantgegevens_A!L28&gt;=7, "ja", "nee"))</f>
        <v/>
      </c>
      <c r="Q29">
        <f>IF(Klantgegevens_B!P28&lt;&gt;"", Klantgegevens_B!P28, Klantgegevens_A!M28)</f>
        <v/>
      </c>
      <c r="R29">
        <f>IF(Klantgegevens_B!A28&lt;&gt;"", "B", "A")</f>
        <v/>
      </c>
    </row>
    <row r="30">
      <c r="A30">
        <f>IF(Klantgegevens_B!A29&lt;&gt;"", Klantgegevens_B!A29, MID(Klantgegevens_A!A29, FIND(",", Klantgegevens_A!A29)+2, LEN(Klantgegevens_A!A29)))</f>
        <v/>
      </c>
      <c r="B30">
        <f>IF(Klantgegevens_B!B29&lt;&gt;"", Klantgegevens_B!B29, LEFT(Klantgegevens_A!A29, FIND(",", Klantgegevens_A!A29)-1))</f>
        <v/>
      </c>
      <c r="C30">
        <f>C29 &amp; ", " &amp; B29</f>
        <v/>
      </c>
      <c r="D30">
        <f>IF(Klantgegevens_B!F29&lt;&gt;"", Klantgegevens_B!F29, Klantgegevens_A!D29 &amp; " " &amp; Klantgegevens_A!E29 &amp; ", " &amp; Klantgegevens_A!F29)</f>
        <v/>
      </c>
      <c r="E30">
        <f>IF(Klantgegevens_B!G29&lt;&gt;"", Klantgegevens_B!G29, TEXTJOIN(",", TRUE, REPT("Volwassene,", Klantgegevens_A!G29), REPT("Kind,", Klantgegevens_A!H29)))</f>
        <v/>
      </c>
      <c r="F30">
        <f>IF(Klantgegevens_B!G29&lt;&gt;"", LEN(Klantgegevens_B!G29)-LEN(SUBSTITUTE(Klantgegevens_B!G29, ",", ""))+1, Klantgegevens_A!G29)</f>
        <v/>
      </c>
      <c r="G30">
        <f>IF(Klantgegevens_B!G29&lt;&gt;"", 0, Klantgegevens_A!H29)</f>
        <v/>
      </c>
      <c r="H30">
        <f>IF(Klantgegevens_B!H29&lt;&gt;"", Klantgegevens_B!H29, Klantgegevens_A!I29)</f>
        <v/>
      </c>
      <c r="I30">
        <f>IF(Klantgegevens_B!I29&lt;&gt;"", Klantgegevens_B!I29, SWITCH(Klantgegevens_A!J29, "Zelden", 1, "Af en toe", 4, "Regelmatig", 8, "Vaak", 12))</f>
        <v/>
      </c>
      <c r="J30">
        <f>IF(Klantgegevens_B!J29&lt;&gt;"", Klantgegevens_B!J29, Klantgegevens_A!K29)</f>
        <v/>
      </c>
      <c r="K30">
        <f>IF(Klantgegevens_B!K29&lt;&gt;"", AVERAGE(--(Klantgegevens_B!K29="ja"), --(Klantgegevens_B!L29="ja"), --(Klantgegevens_B!M29="ja"), --(Klantgegevens_B!N29="ja"), --(Klantgegevens_B!O29="ja"))*10, Klantgegevens_A!L29)</f>
        <v/>
      </c>
      <c r="L30">
        <f>IF(Klantgegevens_B!K29&lt;&gt;"", Klantgegevens_B!K29, IF(Klantgegevens_A!L29&gt;=7, "ja", "nee"))</f>
        <v/>
      </c>
      <c r="M30">
        <f>IF(Klantgegevens_B!L29&lt;&gt;"", Klantgegevens_B!L29, IF(Klantgegevens_A!L29&gt;=7, "ja", "nee"))</f>
        <v/>
      </c>
      <c r="N30">
        <f>IF(Klantgegevens_B!M29&lt;&gt;"", Klantgegevens_B!M29, IF(Klantgegevens_A!L29&gt;=7, "ja", "nee"))</f>
        <v/>
      </c>
      <c r="O30">
        <f>IF(Klantgegevens_B!N29&lt;&gt;"", Klantgegevens_B!N29, IF(Klantgegevens_A!L29&gt;=7, "ja", "nee"))</f>
        <v/>
      </c>
      <c r="P30">
        <f>IF(Klantgegevens_B!O29&lt;&gt;"", Klantgegevens_B!O29, IF(Klantgegevens_A!L29&gt;=7, "ja", "nee"))</f>
        <v/>
      </c>
      <c r="Q30">
        <f>IF(Klantgegevens_B!P29&lt;&gt;"", Klantgegevens_B!P29, Klantgegevens_A!M29)</f>
        <v/>
      </c>
      <c r="R30">
        <f>IF(Klantgegevens_B!A29&lt;&gt;"", "B", "A")</f>
        <v/>
      </c>
    </row>
    <row r="31">
      <c r="A31">
        <f>IF(Klantgegevens_B!A30&lt;&gt;"", Klantgegevens_B!A30, MID(Klantgegevens_A!A30, FIND(",", Klantgegevens_A!A30)+2, LEN(Klantgegevens_A!A30)))</f>
        <v/>
      </c>
      <c r="B31">
        <f>IF(Klantgegevens_B!B30&lt;&gt;"", Klantgegevens_B!B30, LEFT(Klantgegevens_A!A30, FIND(",", Klantgegevens_A!A30)-1))</f>
        <v/>
      </c>
      <c r="C31">
        <f>C30 &amp; ", " &amp; B30</f>
        <v/>
      </c>
      <c r="D31">
        <f>IF(Klantgegevens_B!F30&lt;&gt;"", Klantgegevens_B!F30, Klantgegevens_A!D30 &amp; " " &amp; Klantgegevens_A!E30 &amp; ", " &amp; Klantgegevens_A!F30)</f>
        <v/>
      </c>
      <c r="E31">
        <f>IF(Klantgegevens_B!G30&lt;&gt;"", Klantgegevens_B!G30, TEXTJOIN(",", TRUE, REPT("Volwassene,", Klantgegevens_A!G30), REPT("Kind,", Klantgegevens_A!H30)))</f>
        <v/>
      </c>
      <c r="F31">
        <f>IF(Klantgegevens_B!G30&lt;&gt;"", LEN(Klantgegevens_B!G30)-LEN(SUBSTITUTE(Klantgegevens_B!G30, ",", ""))+1, Klantgegevens_A!G30)</f>
        <v/>
      </c>
      <c r="G31">
        <f>IF(Klantgegevens_B!G30&lt;&gt;"", 0, Klantgegevens_A!H30)</f>
        <v/>
      </c>
      <c r="H31">
        <f>IF(Klantgegevens_B!H30&lt;&gt;"", Klantgegevens_B!H30, Klantgegevens_A!I30)</f>
        <v/>
      </c>
      <c r="I31">
        <f>IF(Klantgegevens_B!I30&lt;&gt;"", Klantgegevens_B!I30, SWITCH(Klantgegevens_A!J30, "Zelden", 1, "Af en toe", 4, "Regelmatig", 8, "Vaak", 12))</f>
        <v/>
      </c>
      <c r="J31">
        <f>IF(Klantgegevens_B!J30&lt;&gt;"", Klantgegevens_B!J30, Klantgegevens_A!K30)</f>
        <v/>
      </c>
      <c r="K31">
        <f>IF(Klantgegevens_B!K30&lt;&gt;"", AVERAGE(--(Klantgegevens_B!K30="ja"), --(Klantgegevens_B!L30="ja"), --(Klantgegevens_B!M30="ja"), --(Klantgegevens_B!N30="ja"), --(Klantgegevens_B!O30="ja"))*10, Klantgegevens_A!L30)</f>
        <v/>
      </c>
      <c r="L31">
        <f>IF(Klantgegevens_B!K30&lt;&gt;"", Klantgegevens_B!K30, IF(Klantgegevens_A!L30&gt;=7, "ja", "nee"))</f>
        <v/>
      </c>
      <c r="M31">
        <f>IF(Klantgegevens_B!L30&lt;&gt;"", Klantgegevens_B!L30, IF(Klantgegevens_A!L30&gt;=7, "ja", "nee"))</f>
        <v/>
      </c>
      <c r="N31">
        <f>IF(Klantgegevens_B!M30&lt;&gt;"", Klantgegevens_B!M30, IF(Klantgegevens_A!L30&gt;=7, "ja", "nee"))</f>
        <v/>
      </c>
      <c r="O31">
        <f>IF(Klantgegevens_B!N30&lt;&gt;"", Klantgegevens_B!N30, IF(Klantgegevens_A!L30&gt;=7, "ja", "nee"))</f>
        <v/>
      </c>
      <c r="P31">
        <f>IF(Klantgegevens_B!O30&lt;&gt;"", Klantgegevens_B!O30, IF(Klantgegevens_A!L30&gt;=7, "ja", "nee"))</f>
        <v/>
      </c>
      <c r="Q31">
        <f>IF(Klantgegevens_B!P30&lt;&gt;"", Klantgegevens_B!P30, Klantgegevens_A!M30)</f>
        <v/>
      </c>
      <c r="R31">
        <f>IF(Klantgegevens_B!A30&lt;&gt;"", "B", "A")</f>
        <v/>
      </c>
    </row>
    <row r="32">
      <c r="A32">
        <f>IF(Klantgegevens_B!A31&lt;&gt;"", Klantgegevens_B!A31, MID(Klantgegevens_A!A31, FIND(",", Klantgegevens_A!A31)+2, LEN(Klantgegevens_A!A31)))</f>
        <v/>
      </c>
      <c r="B32">
        <f>IF(Klantgegevens_B!B31&lt;&gt;"", Klantgegevens_B!B31, LEFT(Klantgegevens_A!A31, FIND(",", Klantgegevens_A!A31)-1))</f>
        <v/>
      </c>
      <c r="C32">
        <f>C31 &amp; ", " &amp; B31</f>
        <v/>
      </c>
      <c r="D32">
        <f>IF(Klantgegevens_B!F31&lt;&gt;"", Klantgegevens_B!F31, Klantgegevens_A!D31 &amp; " " &amp; Klantgegevens_A!E31 &amp; ", " &amp; Klantgegevens_A!F31)</f>
        <v/>
      </c>
      <c r="E32">
        <f>IF(Klantgegevens_B!G31&lt;&gt;"", Klantgegevens_B!G31, TEXTJOIN(",", TRUE, REPT("Volwassene,", Klantgegevens_A!G31), REPT("Kind,", Klantgegevens_A!H31)))</f>
        <v/>
      </c>
      <c r="F32">
        <f>IF(Klantgegevens_B!G31&lt;&gt;"", LEN(Klantgegevens_B!G31)-LEN(SUBSTITUTE(Klantgegevens_B!G31, ",", ""))+1, Klantgegevens_A!G31)</f>
        <v/>
      </c>
      <c r="G32">
        <f>IF(Klantgegevens_B!G31&lt;&gt;"", 0, Klantgegevens_A!H31)</f>
        <v/>
      </c>
      <c r="H32">
        <f>IF(Klantgegevens_B!H31&lt;&gt;"", Klantgegevens_B!H31, Klantgegevens_A!I31)</f>
        <v/>
      </c>
      <c r="I32">
        <f>IF(Klantgegevens_B!I31&lt;&gt;"", Klantgegevens_B!I31, SWITCH(Klantgegevens_A!J31, "Zelden", 1, "Af en toe", 4, "Regelmatig", 8, "Vaak", 12))</f>
        <v/>
      </c>
      <c r="J32">
        <f>IF(Klantgegevens_B!J31&lt;&gt;"", Klantgegevens_B!J31, Klantgegevens_A!K31)</f>
        <v/>
      </c>
      <c r="K32">
        <f>IF(Klantgegevens_B!K31&lt;&gt;"", AVERAGE(--(Klantgegevens_B!K31="ja"), --(Klantgegevens_B!L31="ja"), --(Klantgegevens_B!M31="ja"), --(Klantgegevens_B!N31="ja"), --(Klantgegevens_B!O31="ja"))*10, Klantgegevens_A!L31)</f>
        <v/>
      </c>
      <c r="L32">
        <f>IF(Klantgegevens_B!K31&lt;&gt;"", Klantgegevens_B!K31, IF(Klantgegevens_A!L31&gt;=7, "ja", "nee"))</f>
        <v/>
      </c>
      <c r="M32">
        <f>IF(Klantgegevens_B!L31&lt;&gt;"", Klantgegevens_B!L31, IF(Klantgegevens_A!L31&gt;=7, "ja", "nee"))</f>
        <v/>
      </c>
      <c r="N32">
        <f>IF(Klantgegevens_B!M31&lt;&gt;"", Klantgegevens_B!M31, IF(Klantgegevens_A!L31&gt;=7, "ja", "nee"))</f>
        <v/>
      </c>
      <c r="O32">
        <f>IF(Klantgegevens_B!N31&lt;&gt;"", Klantgegevens_B!N31, IF(Klantgegevens_A!L31&gt;=7, "ja", "nee"))</f>
        <v/>
      </c>
      <c r="P32">
        <f>IF(Klantgegevens_B!O31&lt;&gt;"", Klantgegevens_B!O31, IF(Klantgegevens_A!L31&gt;=7, "ja", "nee"))</f>
        <v/>
      </c>
      <c r="Q32">
        <f>IF(Klantgegevens_B!P31&lt;&gt;"", Klantgegevens_B!P31, Klantgegevens_A!M31)</f>
        <v/>
      </c>
      <c r="R32">
        <f>IF(Klantgegevens_B!A31&lt;&gt;"", "B", "A")</f>
        <v/>
      </c>
    </row>
    <row r="33">
      <c r="A33">
        <f>IF(Klantgegevens_B!A32&lt;&gt;"", Klantgegevens_B!A32, MID(Klantgegevens_A!A32, FIND(",", Klantgegevens_A!A32)+2, LEN(Klantgegevens_A!A32)))</f>
        <v/>
      </c>
      <c r="B33">
        <f>IF(Klantgegevens_B!B32&lt;&gt;"", Klantgegevens_B!B32, LEFT(Klantgegevens_A!A32, FIND(",", Klantgegevens_A!A32)-1))</f>
        <v/>
      </c>
      <c r="C33">
        <f>C32 &amp; ", " &amp; B32</f>
        <v/>
      </c>
      <c r="D33">
        <f>IF(Klantgegevens_B!F32&lt;&gt;"", Klantgegevens_B!F32, Klantgegevens_A!D32 &amp; " " &amp; Klantgegevens_A!E32 &amp; ", " &amp; Klantgegevens_A!F32)</f>
        <v/>
      </c>
      <c r="E33">
        <f>IF(Klantgegevens_B!G32&lt;&gt;"", Klantgegevens_B!G32, TEXTJOIN(",", TRUE, REPT("Volwassene,", Klantgegevens_A!G32), REPT("Kind,", Klantgegevens_A!H32)))</f>
        <v/>
      </c>
      <c r="F33">
        <f>IF(Klantgegevens_B!G32&lt;&gt;"", LEN(Klantgegevens_B!G32)-LEN(SUBSTITUTE(Klantgegevens_B!G32, ",", ""))+1, Klantgegevens_A!G32)</f>
        <v/>
      </c>
      <c r="G33">
        <f>IF(Klantgegevens_B!G32&lt;&gt;"", 0, Klantgegevens_A!H32)</f>
        <v/>
      </c>
      <c r="H33">
        <f>IF(Klantgegevens_B!H32&lt;&gt;"", Klantgegevens_B!H32, Klantgegevens_A!I32)</f>
        <v/>
      </c>
      <c r="I33">
        <f>IF(Klantgegevens_B!I32&lt;&gt;"", Klantgegevens_B!I32, SWITCH(Klantgegevens_A!J32, "Zelden", 1, "Af en toe", 4, "Regelmatig", 8, "Vaak", 12))</f>
        <v/>
      </c>
      <c r="J33">
        <f>IF(Klantgegevens_B!J32&lt;&gt;"", Klantgegevens_B!J32, Klantgegevens_A!K32)</f>
        <v/>
      </c>
      <c r="K33">
        <f>IF(Klantgegevens_B!K32&lt;&gt;"", AVERAGE(--(Klantgegevens_B!K32="ja"), --(Klantgegevens_B!L32="ja"), --(Klantgegevens_B!M32="ja"), --(Klantgegevens_B!N32="ja"), --(Klantgegevens_B!O32="ja"))*10, Klantgegevens_A!L32)</f>
        <v/>
      </c>
      <c r="L33">
        <f>IF(Klantgegevens_B!K32&lt;&gt;"", Klantgegevens_B!K32, IF(Klantgegevens_A!L32&gt;=7, "ja", "nee"))</f>
        <v/>
      </c>
      <c r="M33">
        <f>IF(Klantgegevens_B!L32&lt;&gt;"", Klantgegevens_B!L32, IF(Klantgegevens_A!L32&gt;=7, "ja", "nee"))</f>
        <v/>
      </c>
      <c r="N33">
        <f>IF(Klantgegevens_B!M32&lt;&gt;"", Klantgegevens_B!M32, IF(Klantgegevens_A!L32&gt;=7, "ja", "nee"))</f>
        <v/>
      </c>
      <c r="O33">
        <f>IF(Klantgegevens_B!N32&lt;&gt;"", Klantgegevens_B!N32, IF(Klantgegevens_A!L32&gt;=7, "ja", "nee"))</f>
        <v/>
      </c>
      <c r="P33">
        <f>IF(Klantgegevens_B!O32&lt;&gt;"", Klantgegevens_B!O32, IF(Klantgegevens_A!L32&gt;=7, "ja", "nee"))</f>
        <v/>
      </c>
      <c r="Q33">
        <f>IF(Klantgegevens_B!P32&lt;&gt;"", Klantgegevens_B!P32, Klantgegevens_A!M32)</f>
        <v/>
      </c>
      <c r="R33">
        <f>IF(Klantgegevens_B!A32&lt;&gt;"", "B", "A")</f>
        <v/>
      </c>
    </row>
    <row r="34">
      <c r="A34">
        <f>IF(Klantgegevens_B!A33&lt;&gt;"", Klantgegevens_B!A33, MID(Klantgegevens_A!A33, FIND(",", Klantgegevens_A!A33)+2, LEN(Klantgegevens_A!A33)))</f>
        <v/>
      </c>
      <c r="B34">
        <f>IF(Klantgegevens_B!B33&lt;&gt;"", Klantgegevens_B!B33, LEFT(Klantgegevens_A!A33, FIND(",", Klantgegevens_A!A33)-1))</f>
        <v/>
      </c>
      <c r="C34">
        <f>C33 &amp; ", " &amp; B33</f>
        <v/>
      </c>
      <c r="D34">
        <f>IF(Klantgegevens_B!F33&lt;&gt;"", Klantgegevens_B!F33, Klantgegevens_A!D33 &amp; " " &amp; Klantgegevens_A!E33 &amp; ", " &amp; Klantgegevens_A!F33)</f>
        <v/>
      </c>
      <c r="E34">
        <f>IF(Klantgegevens_B!G33&lt;&gt;"", Klantgegevens_B!G33, TEXTJOIN(",", TRUE, REPT("Volwassene,", Klantgegevens_A!G33), REPT("Kind,", Klantgegevens_A!H33)))</f>
        <v/>
      </c>
      <c r="F34">
        <f>IF(Klantgegevens_B!G33&lt;&gt;"", LEN(Klantgegevens_B!G33)-LEN(SUBSTITUTE(Klantgegevens_B!G33, ",", ""))+1, Klantgegevens_A!G33)</f>
        <v/>
      </c>
      <c r="G34">
        <f>IF(Klantgegevens_B!G33&lt;&gt;"", 0, Klantgegevens_A!H33)</f>
        <v/>
      </c>
      <c r="H34">
        <f>IF(Klantgegevens_B!H33&lt;&gt;"", Klantgegevens_B!H33, Klantgegevens_A!I33)</f>
        <v/>
      </c>
      <c r="I34">
        <f>IF(Klantgegevens_B!I33&lt;&gt;"", Klantgegevens_B!I33, SWITCH(Klantgegevens_A!J33, "Zelden", 1, "Af en toe", 4, "Regelmatig", 8, "Vaak", 12))</f>
        <v/>
      </c>
      <c r="J34">
        <f>IF(Klantgegevens_B!J33&lt;&gt;"", Klantgegevens_B!J33, Klantgegevens_A!K33)</f>
        <v/>
      </c>
      <c r="K34">
        <f>IF(Klantgegevens_B!K33&lt;&gt;"", AVERAGE(--(Klantgegevens_B!K33="ja"), --(Klantgegevens_B!L33="ja"), --(Klantgegevens_B!M33="ja"), --(Klantgegevens_B!N33="ja"), --(Klantgegevens_B!O33="ja"))*10, Klantgegevens_A!L33)</f>
        <v/>
      </c>
      <c r="L34">
        <f>IF(Klantgegevens_B!K33&lt;&gt;"", Klantgegevens_B!K33, IF(Klantgegevens_A!L33&gt;=7, "ja", "nee"))</f>
        <v/>
      </c>
      <c r="M34">
        <f>IF(Klantgegevens_B!L33&lt;&gt;"", Klantgegevens_B!L33, IF(Klantgegevens_A!L33&gt;=7, "ja", "nee"))</f>
        <v/>
      </c>
      <c r="N34">
        <f>IF(Klantgegevens_B!M33&lt;&gt;"", Klantgegevens_B!M33, IF(Klantgegevens_A!L33&gt;=7, "ja", "nee"))</f>
        <v/>
      </c>
      <c r="O34">
        <f>IF(Klantgegevens_B!N33&lt;&gt;"", Klantgegevens_B!N33, IF(Klantgegevens_A!L33&gt;=7, "ja", "nee"))</f>
        <v/>
      </c>
      <c r="P34">
        <f>IF(Klantgegevens_B!O33&lt;&gt;"", Klantgegevens_B!O33, IF(Klantgegevens_A!L33&gt;=7, "ja", "nee"))</f>
        <v/>
      </c>
      <c r="Q34">
        <f>IF(Klantgegevens_B!P33&lt;&gt;"", Klantgegevens_B!P33, Klantgegevens_A!M33)</f>
        <v/>
      </c>
      <c r="R34">
        <f>IF(Klantgegevens_B!A33&lt;&gt;"", "B", "A")</f>
        <v/>
      </c>
    </row>
    <row r="35">
      <c r="A35">
        <f>IF(Klantgegevens_B!A34&lt;&gt;"", Klantgegevens_B!A34, MID(Klantgegevens_A!A34, FIND(",", Klantgegevens_A!A34)+2, LEN(Klantgegevens_A!A34)))</f>
        <v/>
      </c>
      <c r="B35">
        <f>IF(Klantgegevens_B!B34&lt;&gt;"", Klantgegevens_B!B34, LEFT(Klantgegevens_A!A34, FIND(",", Klantgegevens_A!A34)-1))</f>
        <v/>
      </c>
      <c r="C35">
        <f>C34 &amp; ", " &amp; B34</f>
        <v/>
      </c>
      <c r="D35">
        <f>IF(Klantgegevens_B!F34&lt;&gt;"", Klantgegevens_B!F34, Klantgegevens_A!D34 &amp; " " &amp; Klantgegevens_A!E34 &amp; ", " &amp; Klantgegevens_A!F34)</f>
        <v/>
      </c>
      <c r="E35">
        <f>IF(Klantgegevens_B!G34&lt;&gt;"", Klantgegevens_B!G34, TEXTJOIN(",", TRUE, REPT("Volwassene,", Klantgegevens_A!G34), REPT("Kind,", Klantgegevens_A!H34)))</f>
        <v/>
      </c>
      <c r="F35">
        <f>IF(Klantgegevens_B!G34&lt;&gt;"", LEN(Klantgegevens_B!G34)-LEN(SUBSTITUTE(Klantgegevens_B!G34, ",", ""))+1, Klantgegevens_A!G34)</f>
        <v/>
      </c>
      <c r="G35">
        <f>IF(Klantgegevens_B!G34&lt;&gt;"", 0, Klantgegevens_A!H34)</f>
        <v/>
      </c>
      <c r="H35">
        <f>IF(Klantgegevens_B!H34&lt;&gt;"", Klantgegevens_B!H34, Klantgegevens_A!I34)</f>
        <v/>
      </c>
      <c r="I35">
        <f>IF(Klantgegevens_B!I34&lt;&gt;"", Klantgegevens_B!I34, SWITCH(Klantgegevens_A!J34, "Zelden", 1, "Af en toe", 4, "Regelmatig", 8, "Vaak", 12))</f>
        <v/>
      </c>
      <c r="J35">
        <f>IF(Klantgegevens_B!J34&lt;&gt;"", Klantgegevens_B!J34, Klantgegevens_A!K34)</f>
        <v/>
      </c>
      <c r="K35">
        <f>IF(Klantgegevens_B!K34&lt;&gt;"", AVERAGE(--(Klantgegevens_B!K34="ja"), --(Klantgegevens_B!L34="ja"), --(Klantgegevens_B!M34="ja"), --(Klantgegevens_B!N34="ja"), --(Klantgegevens_B!O34="ja"))*10, Klantgegevens_A!L34)</f>
        <v/>
      </c>
      <c r="L35">
        <f>IF(Klantgegevens_B!K34&lt;&gt;"", Klantgegevens_B!K34, IF(Klantgegevens_A!L34&gt;=7, "ja", "nee"))</f>
        <v/>
      </c>
      <c r="M35">
        <f>IF(Klantgegevens_B!L34&lt;&gt;"", Klantgegevens_B!L34, IF(Klantgegevens_A!L34&gt;=7, "ja", "nee"))</f>
        <v/>
      </c>
      <c r="N35">
        <f>IF(Klantgegevens_B!M34&lt;&gt;"", Klantgegevens_B!M34, IF(Klantgegevens_A!L34&gt;=7, "ja", "nee"))</f>
        <v/>
      </c>
      <c r="O35">
        <f>IF(Klantgegevens_B!N34&lt;&gt;"", Klantgegevens_B!N34, IF(Klantgegevens_A!L34&gt;=7, "ja", "nee"))</f>
        <v/>
      </c>
      <c r="P35">
        <f>IF(Klantgegevens_B!O34&lt;&gt;"", Klantgegevens_B!O34, IF(Klantgegevens_A!L34&gt;=7, "ja", "nee"))</f>
        <v/>
      </c>
      <c r="Q35">
        <f>IF(Klantgegevens_B!P34&lt;&gt;"", Klantgegevens_B!P34, Klantgegevens_A!M34)</f>
        <v/>
      </c>
      <c r="R35">
        <f>IF(Klantgegevens_B!A34&lt;&gt;"", "B", "A")</f>
        <v/>
      </c>
    </row>
    <row r="36">
      <c r="A36">
        <f>IF(Klantgegevens_B!A35&lt;&gt;"", Klantgegevens_B!A35, MID(Klantgegevens_A!A35, FIND(",", Klantgegevens_A!A35)+2, LEN(Klantgegevens_A!A35)))</f>
        <v/>
      </c>
      <c r="B36">
        <f>IF(Klantgegevens_B!B35&lt;&gt;"", Klantgegevens_B!B35, LEFT(Klantgegevens_A!A35, FIND(",", Klantgegevens_A!A35)-1))</f>
        <v/>
      </c>
      <c r="C36">
        <f>C35 &amp; ", " &amp; B35</f>
        <v/>
      </c>
      <c r="D36">
        <f>IF(Klantgegevens_B!F35&lt;&gt;"", Klantgegevens_B!F35, Klantgegevens_A!D35 &amp; " " &amp; Klantgegevens_A!E35 &amp; ", " &amp; Klantgegevens_A!F35)</f>
        <v/>
      </c>
      <c r="E36">
        <f>IF(Klantgegevens_B!G35&lt;&gt;"", Klantgegevens_B!G35, TEXTJOIN(",", TRUE, REPT("Volwassene,", Klantgegevens_A!G35), REPT("Kind,", Klantgegevens_A!H35)))</f>
        <v/>
      </c>
      <c r="F36">
        <f>IF(Klantgegevens_B!G35&lt;&gt;"", LEN(Klantgegevens_B!G35)-LEN(SUBSTITUTE(Klantgegevens_B!G35, ",", ""))+1, Klantgegevens_A!G35)</f>
        <v/>
      </c>
      <c r="G36">
        <f>IF(Klantgegevens_B!G35&lt;&gt;"", 0, Klantgegevens_A!H35)</f>
        <v/>
      </c>
      <c r="H36">
        <f>IF(Klantgegevens_B!H35&lt;&gt;"", Klantgegevens_B!H35, Klantgegevens_A!I35)</f>
        <v/>
      </c>
      <c r="I36">
        <f>IF(Klantgegevens_B!I35&lt;&gt;"", Klantgegevens_B!I35, SWITCH(Klantgegevens_A!J35, "Zelden", 1, "Af en toe", 4, "Regelmatig", 8, "Vaak", 12))</f>
        <v/>
      </c>
      <c r="J36">
        <f>IF(Klantgegevens_B!J35&lt;&gt;"", Klantgegevens_B!J35, Klantgegevens_A!K35)</f>
        <v/>
      </c>
      <c r="K36">
        <f>IF(Klantgegevens_B!K35&lt;&gt;"", AVERAGE(--(Klantgegevens_B!K35="ja"), --(Klantgegevens_B!L35="ja"), --(Klantgegevens_B!M35="ja"), --(Klantgegevens_B!N35="ja"), --(Klantgegevens_B!O35="ja"))*10, Klantgegevens_A!L35)</f>
        <v/>
      </c>
      <c r="L36">
        <f>IF(Klantgegevens_B!K35&lt;&gt;"", Klantgegevens_B!K35, IF(Klantgegevens_A!L35&gt;=7, "ja", "nee"))</f>
        <v/>
      </c>
      <c r="M36">
        <f>IF(Klantgegevens_B!L35&lt;&gt;"", Klantgegevens_B!L35, IF(Klantgegevens_A!L35&gt;=7, "ja", "nee"))</f>
        <v/>
      </c>
      <c r="N36">
        <f>IF(Klantgegevens_B!M35&lt;&gt;"", Klantgegevens_B!M35, IF(Klantgegevens_A!L35&gt;=7, "ja", "nee"))</f>
        <v/>
      </c>
      <c r="O36">
        <f>IF(Klantgegevens_B!N35&lt;&gt;"", Klantgegevens_B!N35, IF(Klantgegevens_A!L35&gt;=7, "ja", "nee"))</f>
        <v/>
      </c>
      <c r="P36">
        <f>IF(Klantgegevens_B!O35&lt;&gt;"", Klantgegevens_B!O35, IF(Klantgegevens_A!L35&gt;=7, "ja", "nee"))</f>
        <v/>
      </c>
      <c r="Q36">
        <f>IF(Klantgegevens_B!P35&lt;&gt;"", Klantgegevens_B!P35, Klantgegevens_A!M35)</f>
        <v/>
      </c>
      <c r="R36">
        <f>IF(Klantgegevens_B!A35&lt;&gt;"", "B", "A")</f>
        <v/>
      </c>
    </row>
    <row r="37">
      <c r="A37">
        <f>IF(Klantgegevens_B!A36&lt;&gt;"", Klantgegevens_B!A36, MID(Klantgegevens_A!A36, FIND(",", Klantgegevens_A!A36)+2, LEN(Klantgegevens_A!A36)))</f>
        <v/>
      </c>
      <c r="B37">
        <f>IF(Klantgegevens_B!B36&lt;&gt;"", Klantgegevens_B!B36, LEFT(Klantgegevens_A!A36, FIND(",", Klantgegevens_A!A36)-1))</f>
        <v/>
      </c>
      <c r="C37">
        <f>C36 &amp; ", " &amp; B36</f>
        <v/>
      </c>
      <c r="D37">
        <f>IF(Klantgegevens_B!F36&lt;&gt;"", Klantgegevens_B!F36, Klantgegevens_A!D36 &amp; " " &amp; Klantgegevens_A!E36 &amp; ", " &amp; Klantgegevens_A!F36)</f>
        <v/>
      </c>
      <c r="E37">
        <f>IF(Klantgegevens_B!G36&lt;&gt;"", Klantgegevens_B!G36, TEXTJOIN(",", TRUE, REPT("Volwassene,", Klantgegevens_A!G36), REPT("Kind,", Klantgegevens_A!H36)))</f>
        <v/>
      </c>
      <c r="F37">
        <f>IF(Klantgegevens_B!G36&lt;&gt;"", LEN(Klantgegevens_B!G36)-LEN(SUBSTITUTE(Klantgegevens_B!G36, ",", ""))+1, Klantgegevens_A!G36)</f>
        <v/>
      </c>
      <c r="G37">
        <f>IF(Klantgegevens_B!G36&lt;&gt;"", 0, Klantgegevens_A!H36)</f>
        <v/>
      </c>
      <c r="H37">
        <f>IF(Klantgegevens_B!H36&lt;&gt;"", Klantgegevens_B!H36, Klantgegevens_A!I36)</f>
        <v/>
      </c>
      <c r="I37">
        <f>IF(Klantgegevens_B!I36&lt;&gt;"", Klantgegevens_B!I36, SWITCH(Klantgegevens_A!J36, "Zelden", 1, "Af en toe", 4, "Regelmatig", 8, "Vaak", 12))</f>
        <v/>
      </c>
      <c r="J37">
        <f>IF(Klantgegevens_B!J36&lt;&gt;"", Klantgegevens_B!J36, Klantgegevens_A!K36)</f>
        <v/>
      </c>
      <c r="K37">
        <f>IF(Klantgegevens_B!K36&lt;&gt;"", AVERAGE(--(Klantgegevens_B!K36="ja"), --(Klantgegevens_B!L36="ja"), --(Klantgegevens_B!M36="ja"), --(Klantgegevens_B!N36="ja"), --(Klantgegevens_B!O36="ja"))*10, Klantgegevens_A!L36)</f>
        <v/>
      </c>
      <c r="L37">
        <f>IF(Klantgegevens_B!K36&lt;&gt;"", Klantgegevens_B!K36, IF(Klantgegevens_A!L36&gt;=7, "ja", "nee"))</f>
        <v/>
      </c>
      <c r="M37">
        <f>IF(Klantgegevens_B!L36&lt;&gt;"", Klantgegevens_B!L36, IF(Klantgegevens_A!L36&gt;=7, "ja", "nee"))</f>
        <v/>
      </c>
      <c r="N37">
        <f>IF(Klantgegevens_B!M36&lt;&gt;"", Klantgegevens_B!M36, IF(Klantgegevens_A!L36&gt;=7, "ja", "nee"))</f>
        <v/>
      </c>
      <c r="O37">
        <f>IF(Klantgegevens_B!N36&lt;&gt;"", Klantgegevens_B!N36, IF(Klantgegevens_A!L36&gt;=7, "ja", "nee"))</f>
        <v/>
      </c>
      <c r="P37">
        <f>IF(Klantgegevens_B!O36&lt;&gt;"", Klantgegevens_B!O36, IF(Klantgegevens_A!L36&gt;=7, "ja", "nee"))</f>
        <v/>
      </c>
      <c r="Q37">
        <f>IF(Klantgegevens_B!P36&lt;&gt;"", Klantgegevens_B!P36, Klantgegevens_A!M36)</f>
        <v/>
      </c>
      <c r="R37">
        <f>IF(Klantgegevens_B!A36&lt;&gt;"", "B", "A")</f>
        <v/>
      </c>
    </row>
    <row r="38">
      <c r="A38">
        <f>IF(Klantgegevens_B!A37&lt;&gt;"", Klantgegevens_B!A37, MID(Klantgegevens_A!A37, FIND(",", Klantgegevens_A!A37)+2, LEN(Klantgegevens_A!A37)))</f>
        <v/>
      </c>
      <c r="B38">
        <f>IF(Klantgegevens_B!B37&lt;&gt;"", Klantgegevens_B!B37, LEFT(Klantgegevens_A!A37, FIND(",", Klantgegevens_A!A37)-1))</f>
        <v/>
      </c>
      <c r="C38">
        <f>C37 &amp; ", " &amp; B37</f>
        <v/>
      </c>
      <c r="D38">
        <f>IF(Klantgegevens_B!F37&lt;&gt;"", Klantgegevens_B!F37, Klantgegevens_A!D37 &amp; " " &amp; Klantgegevens_A!E37 &amp; ", " &amp; Klantgegevens_A!F37)</f>
        <v/>
      </c>
      <c r="E38">
        <f>IF(Klantgegevens_B!G37&lt;&gt;"", Klantgegevens_B!G37, TEXTJOIN(",", TRUE, REPT("Volwassene,", Klantgegevens_A!G37), REPT("Kind,", Klantgegevens_A!H37)))</f>
        <v/>
      </c>
      <c r="F38">
        <f>IF(Klantgegevens_B!G37&lt;&gt;"", LEN(Klantgegevens_B!G37)-LEN(SUBSTITUTE(Klantgegevens_B!G37, ",", ""))+1, Klantgegevens_A!G37)</f>
        <v/>
      </c>
      <c r="G38">
        <f>IF(Klantgegevens_B!G37&lt;&gt;"", 0, Klantgegevens_A!H37)</f>
        <v/>
      </c>
      <c r="H38">
        <f>IF(Klantgegevens_B!H37&lt;&gt;"", Klantgegevens_B!H37, Klantgegevens_A!I37)</f>
        <v/>
      </c>
      <c r="I38">
        <f>IF(Klantgegevens_B!I37&lt;&gt;"", Klantgegevens_B!I37, SWITCH(Klantgegevens_A!J37, "Zelden", 1, "Af en toe", 4, "Regelmatig", 8, "Vaak", 12))</f>
        <v/>
      </c>
      <c r="J38">
        <f>IF(Klantgegevens_B!J37&lt;&gt;"", Klantgegevens_B!J37, Klantgegevens_A!K37)</f>
        <v/>
      </c>
      <c r="K38">
        <f>IF(Klantgegevens_B!K37&lt;&gt;"", AVERAGE(--(Klantgegevens_B!K37="ja"), --(Klantgegevens_B!L37="ja"), --(Klantgegevens_B!M37="ja"), --(Klantgegevens_B!N37="ja"), --(Klantgegevens_B!O37="ja"))*10, Klantgegevens_A!L37)</f>
        <v/>
      </c>
      <c r="L38">
        <f>IF(Klantgegevens_B!K37&lt;&gt;"", Klantgegevens_B!K37, IF(Klantgegevens_A!L37&gt;=7, "ja", "nee"))</f>
        <v/>
      </c>
      <c r="M38">
        <f>IF(Klantgegevens_B!L37&lt;&gt;"", Klantgegevens_B!L37, IF(Klantgegevens_A!L37&gt;=7, "ja", "nee"))</f>
        <v/>
      </c>
      <c r="N38">
        <f>IF(Klantgegevens_B!M37&lt;&gt;"", Klantgegevens_B!M37, IF(Klantgegevens_A!L37&gt;=7, "ja", "nee"))</f>
        <v/>
      </c>
      <c r="O38">
        <f>IF(Klantgegevens_B!N37&lt;&gt;"", Klantgegevens_B!N37, IF(Klantgegevens_A!L37&gt;=7, "ja", "nee"))</f>
        <v/>
      </c>
      <c r="P38">
        <f>IF(Klantgegevens_B!O37&lt;&gt;"", Klantgegevens_B!O37, IF(Klantgegevens_A!L37&gt;=7, "ja", "nee"))</f>
        <v/>
      </c>
      <c r="Q38">
        <f>IF(Klantgegevens_B!P37&lt;&gt;"", Klantgegevens_B!P37, Klantgegevens_A!M37)</f>
        <v/>
      </c>
      <c r="R38">
        <f>IF(Klantgegevens_B!A37&lt;&gt;"", "B", "A")</f>
        <v/>
      </c>
    </row>
    <row r="39">
      <c r="A39">
        <f>IF(Klantgegevens_B!A38&lt;&gt;"", Klantgegevens_B!A38, MID(Klantgegevens_A!A38, FIND(",", Klantgegevens_A!A38)+2, LEN(Klantgegevens_A!A38)))</f>
        <v/>
      </c>
      <c r="B39">
        <f>IF(Klantgegevens_B!B38&lt;&gt;"", Klantgegevens_B!B38, LEFT(Klantgegevens_A!A38, FIND(",", Klantgegevens_A!A38)-1))</f>
        <v/>
      </c>
      <c r="C39">
        <f>C38 &amp; ", " &amp; B38</f>
        <v/>
      </c>
      <c r="D39">
        <f>IF(Klantgegevens_B!F38&lt;&gt;"", Klantgegevens_B!F38, Klantgegevens_A!D38 &amp; " " &amp; Klantgegevens_A!E38 &amp; ", " &amp; Klantgegevens_A!F38)</f>
        <v/>
      </c>
      <c r="E39">
        <f>IF(Klantgegevens_B!G38&lt;&gt;"", Klantgegevens_B!G38, TEXTJOIN(",", TRUE, REPT("Volwassene,", Klantgegevens_A!G38), REPT("Kind,", Klantgegevens_A!H38)))</f>
        <v/>
      </c>
      <c r="F39">
        <f>IF(Klantgegevens_B!G38&lt;&gt;"", LEN(Klantgegevens_B!G38)-LEN(SUBSTITUTE(Klantgegevens_B!G38, ",", ""))+1, Klantgegevens_A!G38)</f>
        <v/>
      </c>
      <c r="G39">
        <f>IF(Klantgegevens_B!G38&lt;&gt;"", 0, Klantgegevens_A!H38)</f>
        <v/>
      </c>
      <c r="H39">
        <f>IF(Klantgegevens_B!H38&lt;&gt;"", Klantgegevens_B!H38, Klantgegevens_A!I38)</f>
        <v/>
      </c>
      <c r="I39">
        <f>IF(Klantgegevens_B!I38&lt;&gt;"", Klantgegevens_B!I38, SWITCH(Klantgegevens_A!J38, "Zelden", 1, "Af en toe", 4, "Regelmatig", 8, "Vaak", 12))</f>
        <v/>
      </c>
      <c r="J39">
        <f>IF(Klantgegevens_B!J38&lt;&gt;"", Klantgegevens_B!J38, Klantgegevens_A!K38)</f>
        <v/>
      </c>
      <c r="K39">
        <f>IF(Klantgegevens_B!K38&lt;&gt;"", AVERAGE(--(Klantgegevens_B!K38="ja"), --(Klantgegevens_B!L38="ja"), --(Klantgegevens_B!M38="ja"), --(Klantgegevens_B!N38="ja"), --(Klantgegevens_B!O38="ja"))*10, Klantgegevens_A!L38)</f>
        <v/>
      </c>
      <c r="L39">
        <f>IF(Klantgegevens_B!K38&lt;&gt;"", Klantgegevens_B!K38, IF(Klantgegevens_A!L38&gt;=7, "ja", "nee"))</f>
        <v/>
      </c>
      <c r="M39">
        <f>IF(Klantgegevens_B!L38&lt;&gt;"", Klantgegevens_B!L38, IF(Klantgegevens_A!L38&gt;=7, "ja", "nee"))</f>
        <v/>
      </c>
      <c r="N39">
        <f>IF(Klantgegevens_B!M38&lt;&gt;"", Klantgegevens_B!M38, IF(Klantgegevens_A!L38&gt;=7, "ja", "nee"))</f>
        <v/>
      </c>
      <c r="O39">
        <f>IF(Klantgegevens_B!N38&lt;&gt;"", Klantgegevens_B!N38, IF(Klantgegevens_A!L38&gt;=7, "ja", "nee"))</f>
        <v/>
      </c>
      <c r="P39">
        <f>IF(Klantgegevens_B!O38&lt;&gt;"", Klantgegevens_B!O38, IF(Klantgegevens_A!L38&gt;=7, "ja", "nee"))</f>
        <v/>
      </c>
      <c r="Q39">
        <f>IF(Klantgegevens_B!P38&lt;&gt;"", Klantgegevens_B!P38, Klantgegevens_A!M38)</f>
        <v/>
      </c>
      <c r="R39">
        <f>IF(Klantgegevens_B!A38&lt;&gt;"", "B", "A")</f>
        <v/>
      </c>
    </row>
    <row r="40">
      <c r="A40">
        <f>IF(Klantgegevens_B!A39&lt;&gt;"", Klantgegevens_B!A39, MID(Klantgegevens_A!A39, FIND(",", Klantgegevens_A!A39)+2, LEN(Klantgegevens_A!A39)))</f>
        <v/>
      </c>
      <c r="B40">
        <f>IF(Klantgegevens_B!B39&lt;&gt;"", Klantgegevens_B!B39, LEFT(Klantgegevens_A!A39, FIND(",", Klantgegevens_A!A39)-1))</f>
        <v/>
      </c>
      <c r="C40">
        <f>C39 &amp; ", " &amp; B39</f>
        <v/>
      </c>
      <c r="D40">
        <f>IF(Klantgegevens_B!F39&lt;&gt;"", Klantgegevens_B!F39, Klantgegevens_A!D39 &amp; " " &amp; Klantgegevens_A!E39 &amp; ", " &amp; Klantgegevens_A!F39)</f>
        <v/>
      </c>
      <c r="E40">
        <f>IF(Klantgegevens_B!G39&lt;&gt;"", Klantgegevens_B!G39, TEXTJOIN(",", TRUE, REPT("Volwassene,", Klantgegevens_A!G39), REPT("Kind,", Klantgegevens_A!H39)))</f>
        <v/>
      </c>
      <c r="F40">
        <f>IF(Klantgegevens_B!G39&lt;&gt;"", LEN(Klantgegevens_B!G39)-LEN(SUBSTITUTE(Klantgegevens_B!G39, ",", ""))+1, Klantgegevens_A!G39)</f>
        <v/>
      </c>
      <c r="G40">
        <f>IF(Klantgegevens_B!G39&lt;&gt;"", 0, Klantgegevens_A!H39)</f>
        <v/>
      </c>
      <c r="H40">
        <f>IF(Klantgegevens_B!H39&lt;&gt;"", Klantgegevens_B!H39, Klantgegevens_A!I39)</f>
        <v/>
      </c>
      <c r="I40">
        <f>IF(Klantgegevens_B!I39&lt;&gt;"", Klantgegevens_B!I39, SWITCH(Klantgegevens_A!J39, "Zelden", 1, "Af en toe", 4, "Regelmatig", 8, "Vaak", 12))</f>
        <v/>
      </c>
      <c r="J40">
        <f>IF(Klantgegevens_B!J39&lt;&gt;"", Klantgegevens_B!J39, Klantgegevens_A!K39)</f>
        <v/>
      </c>
      <c r="K40">
        <f>IF(Klantgegevens_B!K39&lt;&gt;"", AVERAGE(--(Klantgegevens_B!K39="ja"), --(Klantgegevens_B!L39="ja"), --(Klantgegevens_B!M39="ja"), --(Klantgegevens_B!N39="ja"), --(Klantgegevens_B!O39="ja"))*10, Klantgegevens_A!L39)</f>
        <v/>
      </c>
      <c r="L40">
        <f>IF(Klantgegevens_B!K39&lt;&gt;"", Klantgegevens_B!K39, IF(Klantgegevens_A!L39&gt;=7, "ja", "nee"))</f>
        <v/>
      </c>
      <c r="M40">
        <f>IF(Klantgegevens_B!L39&lt;&gt;"", Klantgegevens_B!L39, IF(Klantgegevens_A!L39&gt;=7, "ja", "nee"))</f>
        <v/>
      </c>
      <c r="N40">
        <f>IF(Klantgegevens_B!M39&lt;&gt;"", Klantgegevens_B!M39, IF(Klantgegevens_A!L39&gt;=7, "ja", "nee"))</f>
        <v/>
      </c>
      <c r="O40">
        <f>IF(Klantgegevens_B!N39&lt;&gt;"", Klantgegevens_B!N39, IF(Klantgegevens_A!L39&gt;=7, "ja", "nee"))</f>
        <v/>
      </c>
      <c r="P40">
        <f>IF(Klantgegevens_B!O39&lt;&gt;"", Klantgegevens_B!O39, IF(Klantgegevens_A!L39&gt;=7, "ja", "nee"))</f>
        <v/>
      </c>
      <c r="Q40">
        <f>IF(Klantgegevens_B!P39&lt;&gt;"", Klantgegevens_B!P39, Klantgegevens_A!M39)</f>
        <v/>
      </c>
      <c r="R40">
        <f>IF(Klantgegevens_B!A39&lt;&gt;"", "B", "A")</f>
        <v/>
      </c>
    </row>
    <row r="41">
      <c r="A41">
        <f>IF(Klantgegevens_B!A40&lt;&gt;"", Klantgegevens_B!A40, MID(Klantgegevens_A!A40, FIND(",", Klantgegevens_A!A40)+2, LEN(Klantgegevens_A!A40)))</f>
        <v/>
      </c>
      <c r="B41">
        <f>IF(Klantgegevens_B!B40&lt;&gt;"", Klantgegevens_B!B40, LEFT(Klantgegevens_A!A40, FIND(",", Klantgegevens_A!A40)-1))</f>
        <v/>
      </c>
      <c r="C41">
        <f>C40 &amp; ", " &amp; B40</f>
        <v/>
      </c>
      <c r="D41">
        <f>IF(Klantgegevens_B!F40&lt;&gt;"", Klantgegevens_B!F40, Klantgegevens_A!D40 &amp; " " &amp; Klantgegevens_A!E40 &amp; ", " &amp; Klantgegevens_A!F40)</f>
        <v/>
      </c>
      <c r="E41">
        <f>IF(Klantgegevens_B!G40&lt;&gt;"", Klantgegevens_B!G40, TEXTJOIN(",", TRUE, REPT("Volwassene,", Klantgegevens_A!G40), REPT("Kind,", Klantgegevens_A!H40)))</f>
        <v/>
      </c>
      <c r="F41">
        <f>IF(Klantgegevens_B!G40&lt;&gt;"", LEN(Klantgegevens_B!G40)-LEN(SUBSTITUTE(Klantgegevens_B!G40, ",", ""))+1, Klantgegevens_A!G40)</f>
        <v/>
      </c>
      <c r="G41">
        <f>IF(Klantgegevens_B!G40&lt;&gt;"", 0, Klantgegevens_A!H40)</f>
        <v/>
      </c>
      <c r="H41">
        <f>IF(Klantgegevens_B!H40&lt;&gt;"", Klantgegevens_B!H40, Klantgegevens_A!I40)</f>
        <v/>
      </c>
      <c r="I41">
        <f>IF(Klantgegevens_B!I40&lt;&gt;"", Klantgegevens_B!I40, SWITCH(Klantgegevens_A!J40, "Zelden", 1, "Af en toe", 4, "Regelmatig", 8, "Vaak", 12))</f>
        <v/>
      </c>
      <c r="J41">
        <f>IF(Klantgegevens_B!J40&lt;&gt;"", Klantgegevens_B!J40, Klantgegevens_A!K40)</f>
        <v/>
      </c>
      <c r="K41">
        <f>IF(Klantgegevens_B!K40&lt;&gt;"", AVERAGE(--(Klantgegevens_B!K40="ja"), --(Klantgegevens_B!L40="ja"), --(Klantgegevens_B!M40="ja"), --(Klantgegevens_B!N40="ja"), --(Klantgegevens_B!O40="ja"))*10, Klantgegevens_A!L40)</f>
        <v/>
      </c>
      <c r="L41">
        <f>IF(Klantgegevens_B!K40&lt;&gt;"", Klantgegevens_B!K40, IF(Klantgegevens_A!L40&gt;=7, "ja", "nee"))</f>
        <v/>
      </c>
      <c r="M41">
        <f>IF(Klantgegevens_B!L40&lt;&gt;"", Klantgegevens_B!L40, IF(Klantgegevens_A!L40&gt;=7, "ja", "nee"))</f>
        <v/>
      </c>
      <c r="N41">
        <f>IF(Klantgegevens_B!M40&lt;&gt;"", Klantgegevens_B!M40, IF(Klantgegevens_A!L40&gt;=7, "ja", "nee"))</f>
        <v/>
      </c>
      <c r="O41">
        <f>IF(Klantgegevens_B!N40&lt;&gt;"", Klantgegevens_B!N40, IF(Klantgegevens_A!L40&gt;=7, "ja", "nee"))</f>
        <v/>
      </c>
      <c r="P41">
        <f>IF(Klantgegevens_B!O40&lt;&gt;"", Klantgegevens_B!O40, IF(Klantgegevens_A!L40&gt;=7, "ja", "nee"))</f>
        <v/>
      </c>
      <c r="Q41">
        <f>IF(Klantgegevens_B!P40&lt;&gt;"", Klantgegevens_B!P40, Klantgegevens_A!M40)</f>
        <v/>
      </c>
      <c r="R41">
        <f>IF(Klantgegevens_B!A40&lt;&gt;"", "B", "A")</f>
        <v/>
      </c>
    </row>
    <row r="42">
      <c r="A42">
        <f>IF(Klantgegevens_B!A41&lt;&gt;"", Klantgegevens_B!A41, MID(Klantgegevens_A!A41, FIND(",", Klantgegevens_A!A41)+2, LEN(Klantgegevens_A!A41)))</f>
        <v/>
      </c>
      <c r="B42">
        <f>IF(Klantgegevens_B!B41&lt;&gt;"", Klantgegevens_B!B41, LEFT(Klantgegevens_A!A41, FIND(",", Klantgegevens_A!A41)-1))</f>
        <v/>
      </c>
      <c r="C42">
        <f>C41 &amp; ", " &amp; B41</f>
        <v/>
      </c>
      <c r="D42">
        <f>IF(Klantgegevens_B!F41&lt;&gt;"", Klantgegevens_B!F41, Klantgegevens_A!D41 &amp; " " &amp; Klantgegevens_A!E41 &amp; ", " &amp; Klantgegevens_A!F41)</f>
        <v/>
      </c>
      <c r="E42">
        <f>IF(Klantgegevens_B!G41&lt;&gt;"", Klantgegevens_B!G41, TEXTJOIN(",", TRUE, REPT("Volwassene,", Klantgegevens_A!G41), REPT("Kind,", Klantgegevens_A!H41)))</f>
        <v/>
      </c>
      <c r="F42">
        <f>IF(Klantgegevens_B!G41&lt;&gt;"", LEN(Klantgegevens_B!G41)-LEN(SUBSTITUTE(Klantgegevens_B!G41, ",", ""))+1, Klantgegevens_A!G41)</f>
        <v/>
      </c>
      <c r="G42">
        <f>IF(Klantgegevens_B!G41&lt;&gt;"", 0, Klantgegevens_A!H41)</f>
        <v/>
      </c>
      <c r="H42">
        <f>IF(Klantgegevens_B!H41&lt;&gt;"", Klantgegevens_B!H41, Klantgegevens_A!I41)</f>
        <v/>
      </c>
      <c r="I42">
        <f>IF(Klantgegevens_B!I41&lt;&gt;"", Klantgegevens_B!I41, SWITCH(Klantgegevens_A!J41, "Zelden", 1, "Af en toe", 4, "Regelmatig", 8, "Vaak", 12))</f>
        <v/>
      </c>
      <c r="J42">
        <f>IF(Klantgegevens_B!J41&lt;&gt;"", Klantgegevens_B!J41, Klantgegevens_A!K41)</f>
        <v/>
      </c>
      <c r="K42">
        <f>IF(Klantgegevens_B!K41&lt;&gt;"", AVERAGE(--(Klantgegevens_B!K41="ja"), --(Klantgegevens_B!L41="ja"), --(Klantgegevens_B!M41="ja"), --(Klantgegevens_B!N41="ja"), --(Klantgegevens_B!O41="ja"))*10, Klantgegevens_A!L41)</f>
        <v/>
      </c>
      <c r="L42">
        <f>IF(Klantgegevens_B!K41&lt;&gt;"", Klantgegevens_B!K41, IF(Klantgegevens_A!L41&gt;=7, "ja", "nee"))</f>
        <v/>
      </c>
      <c r="M42">
        <f>IF(Klantgegevens_B!L41&lt;&gt;"", Klantgegevens_B!L41, IF(Klantgegevens_A!L41&gt;=7, "ja", "nee"))</f>
        <v/>
      </c>
      <c r="N42">
        <f>IF(Klantgegevens_B!M41&lt;&gt;"", Klantgegevens_B!M41, IF(Klantgegevens_A!L41&gt;=7, "ja", "nee"))</f>
        <v/>
      </c>
      <c r="O42">
        <f>IF(Klantgegevens_B!N41&lt;&gt;"", Klantgegevens_B!N41, IF(Klantgegevens_A!L41&gt;=7, "ja", "nee"))</f>
        <v/>
      </c>
      <c r="P42">
        <f>IF(Klantgegevens_B!O41&lt;&gt;"", Klantgegevens_B!O41, IF(Klantgegevens_A!L41&gt;=7, "ja", "nee"))</f>
        <v/>
      </c>
      <c r="Q42">
        <f>IF(Klantgegevens_B!P41&lt;&gt;"", Klantgegevens_B!P41, Klantgegevens_A!M41)</f>
        <v/>
      </c>
      <c r="R42">
        <f>IF(Klantgegevens_B!A41&lt;&gt;"", "B", "A")</f>
        <v/>
      </c>
    </row>
    <row r="43">
      <c r="A43">
        <f>IF(Klantgegevens_B!A42&lt;&gt;"", Klantgegevens_B!A42, MID(Klantgegevens_A!A42, FIND(",", Klantgegevens_A!A42)+2, LEN(Klantgegevens_A!A42)))</f>
        <v/>
      </c>
      <c r="B43">
        <f>IF(Klantgegevens_B!B42&lt;&gt;"", Klantgegevens_B!B42, LEFT(Klantgegevens_A!A42, FIND(",", Klantgegevens_A!A42)-1))</f>
        <v/>
      </c>
      <c r="C43">
        <f>C42 &amp; ", " &amp; B42</f>
        <v/>
      </c>
      <c r="D43">
        <f>IF(Klantgegevens_B!F42&lt;&gt;"", Klantgegevens_B!F42, Klantgegevens_A!D42 &amp; " " &amp; Klantgegevens_A!E42 &amp; ", " &amp; Klantgegevens_A!F42)</f>
        <v/>
      </c>
      <c r="E43">
        <f>IF(Klantgegevens_B!G42&lt;&gt;"", Klantgegevens_B!G42, TEXTJOIN(",", TRUE, REPT("Volwassene,", Klantgegevens_A!G42), REPT("Kind,", Klantgegevens_A!H42)))</f>
        <v/>
      </c>
      <c r="F43">
        <f>IF(Klantgegevens_B!G42&lt;&gt;"", LEN(Klantgegevens_B!G42)-LEN(SUBSTITUTE(Klantgegevens_B!G42, ",", ""))+1, Klantgegevens_A!G42)</f>
        <v/>
      </c>
      <c r="G43">
        <f>IF(Klantgegevens_B!G42&lt;&gt;"", 0, Klantgegevens_A!H42)</f>
        <v/>
      </c>
      <c r="H43">
        <f>IF(Klantgegevens_B!H42&lt;&gt;"", Klantgegevens_B!H42, Klantgegevens_A!I42)</f>
        <v/>
      </c>
      <c r="I43">
        <f>IF(Klantgegevens_B!I42&lt;&gt;"", Klantgegevens_B!I42, SWITCH(Klantgegevens_A!J42, "Zelden", 1, "Af en toe", 4, "Regelmatig", 8, "Vaak", 12))</f>
        <v/>
      </c>
      <c r="J43">
        <f>IF(Klantgegevens_B!J42&lt;&gt;"", Klantgegevens_B!J42, Klantgegevens_A!K42)</f>
        <v/>
      </c>
      <c r="K43">
        <f>IF(Klantgegevens_B!K42&lt;&gt;"", AVERAGE(--(Klantgegevens_B!K42="ja"), --(Klantgegevens_B!L42="ja"), --(Klantgegevens_B!M42="ja"), --(Klantgegevens_B!N42="ja"), --(Klantgegevens_B!O42="ja"))*10, Klantgegevens_A!L42)</f>
        <v/>
      </c>
      <c r="L43">
        <f>IF(Klantgegevens_B!K42&lt;&gt;"", Klantgegevens_B!K42, IF(Klantgegevens_A!L42&gt;=7, "ja", "nee"))</f>
        <v/>
      </c>
      <c r="M43">
        <f>IF(Klantgegevens_B!L42&lt;&gt;"", Klantgegevens_B!L42, IF(Klantgegevens_A!L42&gt;=7, "ja", "nee"))</f>
        <v/>
      </c>
      <c r="N43">
        <f>IF(Klantgegevens_B!M42&lt;&gt;"", Klantgegevens_B!M42, IF(Klantgegevens_A!L42&gt;=7, "ja", "nee"))</f>
        <v/>
      </c>
      <c r="O43">
        <f>IF(Klantgegevens_B!N42&lt;&gt;"", Klantgegevens_B!N42, IF(Klantgegevens_A!L42&gt;=7, "ja", "nee"))</f>
        <v/>
      </c>
      <c r="P43">
        <f>IF(Klantgegevens_B!O42&lt;&gt;"", Klantgegevens_B!O42, IF(Klantgegevens_A!L42&gt;=7, "ja", "nee"))</f>
        <v/>
      </c>
      <c r="Q43">
        <f>IF(Klantgegevens_B!P42&lt;&gt;"", Klantgegevens_B!P42, Klantgegevens_A!M42)</f>
        <v/>
      </c>
      <c r="R43">
        <f>IF(Klantgegevens_B!A42&lt;&gt;"", "B", "A")</f>
        <v/>
      </c>
    </row>
    <row r="44">
      <c r="A44">
        <f>IF(Klantgegevens_B!A43&lt;&gt;"", Klantgegevens_B!A43, MID(Klantgegevens_A!A43, FIND(",", Klantgegevens_A!A43)+2, LEN(Klantgegevens_A!A43)))</f>
        <v/>
      </c>
      <c r="B44">
        <f>IF(Klantgegevens_B!B43&lt;&gt;"", Klantgegevens_B!B43, LEFT(Klantgegevens_A!A43, FIND(",", Klantgegevens_A!A43)-1))</f>
        <v/>
      </c>
      <c r="C44">
        <f>C43 &amp; ", " &amp; B43</f>
        <v/>
      </c>
      <c r="D44">
        <f>IF(Klantgegevens_B!F43&lt;&gt;"", Klantgegevens_B!F43, Klantgegevens_A!D43 &amp; " " &amp; Klantgegevens_A!E43 &amp; ", " &amp; Klantgegevens_A!F43)</f>
        <v/>
      </c>
      <c r="E44">
        <f>IF(Klantgegevens_B!G43&lt;&gt;"", Klantgegevens_B!G43, TEXTJOIN(",", TRUE, REPT("Volwassene,", Klantgegevens_A!G43), REPT("Kind,", Klantgegevens_A!H43)))</f>
        <v/>
      </c>
      <c r="F44">
        <f>IF(Klantgegevens_B!G43&lt;&gt;"", LEN(Klantgegevens_B!G43)-LEN(SUBSTITUTE(Klantgegevens_B!G43, ",", ""))+1, Klantgegevens_A!G43)</f>
        <v/>
      </c>
      <c r="G44">
        <f>IF(Klantgegevens_B!G43&lt;&gt;"", 0, Klantgegevens_A!H43)</f>
        <v/>
      </c>
      <c r="H44">
        <f>IF(Klantgegevens_B!H43&lt;&gt;"", Klantgegevens_B!H43, Klantgegevens_A!I43)</f>
        <v/>
      </c>
      <c r="I44">
        <f>IF(Klantgegevens_B!I43&lt;&gt;"", Klantgegevens_B!I43, SWITCH(Klantgegevens_A!J43, "Zelden", 1, "Af en toe", 4, "Regelmatig", 8, "Vaak", 12))</f>
        <v/>
      </c>
      <c r="J44">
        <f>IF(Klantgegevens_B!J43&lt;&gt;"", Klantgegevens_B!J43, Klantgegevens_A!K43)</f>
        <v/>
      </c>
      <c r="K44">
        <f>IF(Klantgegevens_B!K43&lt;&gt;"", AVERAGE(--(Klantgegevens_B!K43="ja"), --(Klantgegevens_B!L43="ja"), --(Klantgegevens_B!M43="ja"), --(Klantgegevens_B!N43="ja"), --(Klantgegevens_B!O43="ja"))*10, Klantgegevens_A!L43)</f>
        <v/>
      </c>
      <c r="L44">
        <f>IF(Klantgegevens_B!K43&lt;&gt;"", Klantgegevens_B!K43, IF(Klantgegevens_A!L43&gt;=7, "ja", "nee"))</f>
        <v/>
      </c>
      <c r="M44">
        <f>IF(Klantgegevens_B!L43&lt;&gt;"", Klantgegevens_B!L43, IF(Klantgegevens_A!L43&gt;=7, "ja", "nee"))</f>
        <v/>
      </c>
      <c r="N44">
        <f>IF(Klantgegevens_B!M43&lt;&gt;"", Klantgegevens_B!M43, IF(Klantgegevens_A!L43&gt;=7, "ja", "nee"))</f>
        <v/>
      </c>
      <c r="O44">
        <f>IF(Klantgegevens_B!N43&lt;&gt;"", Klantgegevens_B!N43, IF(Klantgegevens_A!L43&gt;=7, "ja", "nee"))</f>
        <v/>
      </c>
      <c r="P44">
        <f>IF(Klantgegevens_B!O43&lt;&gt;"", Klantgegevens_B!O43, IF(Klantgegevens_A!L43&gt;=7, "ja", "nee"))</f>
        <v/>
      </c>
      <c r="Q44">
        <f>IF(Klantgegevens_B!P43&lt;&gt;"", Klantgegevens_B!P43, Klantgegevens_A!M43)</f>
        <v/>
      </c>
      <c r="R44">
        <f>IF(Klantgegevens_B!A43&lt;&gt;"", "B", "A")</f>
        <v/>
      </c>
    </row>
    <row r="45">
      <c r="A45">
        <f>IF(Klantgegevens_B!A44&lt;&gt;"", Klantgegevens_B!A44, MID(Klantgegevens_A!A44, FIND(",", Klantgegevens_A!A44)+2, LEN(Klantgegevens_A!A44)))</f>
        <v/>
      </c>
      <c r="B45">
        <f>IF(Klantgegevens_B!B44&lt;&gt;"", Klantgegevens_B!B44, LEFT(Klantgegevens_A!A44, FIND(",", Klantgegevens_A!A44)-1))</f>
        <v/>
      </c>
      <c r="C45">
        <f>C44 &amp; ", " &amp; B44</f>
        <v/>
      </c>
      <c r="D45">
        <f>IF(Klantgegevens_B!F44&lt;&gt;"", Klantgegevens_B!F44, Klantgegevens_A!D44 &amp; " " &amp; Klantgegevens_A!E44 &amp; ", " &amp; Klantgegevens_A!F44)</f>
        <v/>
      </c>
      <c r="E45">
        <f>IF(Klantgegevens_B!G44&lt;&gt;"", Klantgegevens_B!G44, TEXTJOIN(",", TRUE, REPT("Volwassene,", Klantgegevens_A!G44), REPT("Kind,", Klantgegevens_A!H44)))</f>
        <v/>
      </c>
      <c r="F45">
        <f>IF(Klantgegevens_B!G44&lt;&gt;"", LEN(Klantgegevens_B!G44)-LEN(SUBSTITUTE(Klantgegevens_B!G44, ",", ""))+1, Klantgegevens_A!G44)</f>
        <v/>
      </c>
      <c r="G45">
        <f>IF(Klantgegevens_B!G44&lt;&gt;"", 0, Klantgegevens_A!H44)</f>
        <v/>
      </c>
      <c r="H45">
        <f>IF(Klantgegevens_B!H44&lt;&gt;"", Klantgegevens_B!H44, Klantgegevens_A!I44)</f>
        <v/>
      </c>
      <c r="I45">
        <f>IF(Klantgegevens_B!I44&lt;&gt;"", Klantgegevens_B!I44, SWITCH(Klantgegevens_A!J44, "Zelden", 1, "Af en toe", 4, "Regelmatig", 8, "Vaak", 12))</f>
        <v/>
      </c>
      <c r="J45">
        <f>IF(Klantgegevens_B!J44&lt;&gt;"", Klantgegevens_B!J44, Klantgegevens_A!K44)</f>
        <v/>
      </c>
      <c r="K45">
        <f>IF(Klantgegevens_B!K44&lt;&gt;"", AVERAGE(--(Klantgegevens_B!K44="ja"), --(Klantgegevens_B!L44="ja"), --(Klantgegevens_B!M44="ja"), --(Klantgegevens_B!N44="ja"), --(Klantgegevens_B!O44="ja"))*10, Klantgegevens_A!L44)</f>
        <v/>
      </c>
      <c r="L45">
        <f>IF(Klantgegevens_B!K44&lt;&gt;"", Klantgegevens_B!K44, IF(Klantgegevens_A!L44&gt;=7, "ja", "nee"))</f>
        <v/>
      </c>
      <c r="M45">
        <f>IF(Klantgegevens_B!L44&lt;&gt;"", Klantgegevens_B!L44, IF(Klantgegevens_A!L44&gt;=7, "ja", "nee"))</f>
        <v/>
      </c>
      <c r="N45">
        <f>IF(Klantgegevens_B!M44&lt;&gt;"", Klantgegevens_B!M44, IF(Klantgegevens_A!L44&gt;=7, "ja", "nee"))</f>
        <v/>
      </c>
      <c r="O45">
        <f>IF(Klantgegevens_B!N44&lt;&gt;"", Klantgegevens_B!N44, IF(Klantgegevens_A!L44&gt;=7, "ja", "nee"))</f>
        <v/>
      </c>
      <c r="P45">
        <f>IF(Klantgegevens_B!O44&lt;&gt;"", Klantgegevens_B!O44, IF(Klantgegevens_A!L44&gt;=7, "ja", "nee"))</f>
        <v/>
      </c>
      <c r="Q45">
        <f>IF(Klantgegevens_B!P44&lt;&gt;"", Klantgegevens_B!P44, Klantgegevens_A!M44)</f>
        <v/>
      </c>
      <c r="R45">
        <f>IF(Klantgegevens_B!A44&lt;&gt;"", "B", "A")</f>
        <v/>
      </c>
    </row>
    <row r="46">
      <c r="A46">
        <f>IF(Klantgegevens_B!A45&lt;&gt;"", Klantgegevens_B!A45, MID(Klantgegevens_A!A45, FIND(",", Klantgegevens_A!A45)+2, LEN(Klantgegevens_A!A45)))</f>
        <v/>
      </c>
      <c r="B46">
        <f>IF(Klantgegevens_B!B45&lt;&gt;"", Klantgegevens_B!B45, LEFT(Klantgegevens_A!A45, FIND(",", Klantgegevens_A!A45)-1))</f>
        <v/>
      </c>
      <c r="C46">
        <f>C45 &amp; ", " &amp; B45</f>
        <v/>
      </c>
      <c r="D46">
        <f>IF(Klantgegevens_B!F45&lt;&gt;"", Klantgegevens_B!F45, Klantgegevens_A!D45 &amp; " " &amp; Klantgegevens_A!E45 &amp; ", " &amp; Klantgegevens_A!F45)</f>
        <v/>
      </c>
      <c r="E46">
        <f>IF(Klantgegevens_B!G45&lt;&gt;"", Klantgegevens_B!G45, TEXTJOIN(",", TRUE, REPT("Volwassene,", Klantgegevens_A!G45), REPT("Kind,", Klantgegevens_A!H45)))</f>
        <v/>
      </c>
      <c r="F46">
        <f>IF(Klantgegevens_B!G45&lt;&gt;"", LEN(Klantgegevens_B!G45)-LEN(SUBSTITUTE(Klantgegevens_B!G45, ",", ""))+1, Klantgegevens_A!G45)</f>
        <v/>
      </c>
      <c r="G46">
        <f>IF(Klantgegevens_B!G45&lt;&gt;"", 0, Klantgegevens_A!H45)</f>
        <v/>
      </c>
      <c r="H46">
        <f>IF(Klantgegevens_B!H45&lt;&gt;"", Klantgegevens_B!H45, Klantgegevens_A!I45)</f>
        <v/>
      </c>
      <c r="I46">
        <f>IF(Klantgegevens_B!I45&lt;&gt;"", Klantgegevens_B!I45, SWITCH(Klantgegevens_A!J45, "Zelden", 1, "Af en toe", 4, "Regelmatig", 8, "Vaak", 12))</f>
        <v/>
      </c>
      <c r="J46">
        <f>IF(Klantgegevens_B!J45&lt;&gt;"", Klantgegevens_B!J45, Klantgegevens_A!K45)</f>
        <v/>
      </c>
      <c r="K46">
        <f>IF(Klantgegevens_B!K45&lt;&gt;"", AVERAGE(--(Klantgegevens_B!K45="ja"), --(Klantgegevens_B!L45="ja"), --(Klantgegevens_B!M45="ja"), --(Klantgegevens_B!N45="ja"), --(Klantgegevens_B!O45="ja"))*10, Klantgegevens_A!L45)</f>
        <v/>
      </c>
      <c r="L46">
        <f>IF(Klantgegevens_B!K45&lt;&gt;"", Klantgegevens_B!K45, IF(Klantgegevens_A!L45&gt;=7, "ja", "nee"))</f>
        <v/>
      </c>
      <c r="M46">
        <f>IF(Klantgegevens_B!L45&lt;&gt;"", Klantgegevens_B!L45, IF(Klantgegevens_A!L45&gt;=7, "ja", "nee"))</f>
        <v/>
      </c>
      <c r="N46">
        <f>IF(Klantgegevens_B!M45&lt;&gt;"", Klantgegevens_B!M45, IF(Klantgegevens_A!L45&gt;=7, "ja", "nee"))</f>
        <v/>
      </c>
      <c r="O46">
        <f>IF(Klantgegevens_B!N45&lt;&gt;"", Klantgegevens_B!N45, IF(Klantgegevens_A!L45&gt;=7, "ja", "nee"))</f>
        <v/>
      </c>
      <c r="P46">
        <f>IF(Klantgegevens_B!O45&lt;&gt;"", Klantgegevens_B!O45, IF(Klantgegevens_A!L45&gt;=7, "ja", "nee"))</f>
        <v/>
      </c>
      <c r="Q46">
        <f>IF(Klantgegevens_B!P45&lt;&gt;"", Klantgegevens_B!P45, Klantgegevens_A!M45)</f>
        <v/>
      </c>
      <c r="R46">
        <f>IF(Klantgegevens_B!A45&lt;&gt;"", "B", "A")</f>
        <v/>
      </c>
    </row>
    <row r="47">
      <c r="A47">
        <f>IF(Klantgegevens_B!A46&lt;&gt;"", Klantgegevens_B!A46, MID(Klantgegevens_A!A46, FIND(",", Klantgegevens_A!A46)+2, LEN(Klantgegevens_A!A46)))</f>
        <v/>
      </c>
      <c r="B47">
        <f>IF(Klantgegevens_B!B46&lt;&gt;"", Klantgegevens_B!B46, LEFT(Klantgegevens_A!A46, FIND(",", Klantgegevens_A!A46)-1))</f>
        <v/>
      </c>
      <c r="C47">
        <f>C46 &amp; ", " &amp; B46</f>
        <v/>
      </c>
      <c r="D47">
        <f>IF(Klantgegevens_B!F46&lt;&gt;"", Klantgegevens_B!F46, Klantgegevens_A!D46 &amp; " " &amp; Klantgegevens_A!E46 &amp; ", " &amp; Klantgegevens_A!F46)</f>
        <v/>
      </c>
      <c r="E47">
        <f>IF(Klantgegevens_B!G46&lt;&gt;"", Klantgegevens_B!G46, TEXTJOIN(",", TRUE, REPT("Volwassene,", Klantgegevens_A!G46), REPT("Kind,", Klantgegevens_A!H46)))</f>
        <v/>
      </c>
      <c r="F47">
        <f>IF(Klantgegevens_B!G46&lt;&gt;"", LEN(Klantgegevens_B!G46)-LEN(SUBSTITUTE(Klantgegevens_B!G46, ",", ""))+1, Klantgegevens_A!G46)</f>
        <v/>
      </c>
      <c r="G47">
        <f>IF(Klantgegevens_B!G46&lt;&gt;"", 0, Klantgegevens_A!H46)</f>
        <v/>
      </c>
      <c r="H47">
        <f>IF(Klantgegevens_B!H46&lt;&gt;"", Klantgegevens_B!H46, Klantgegevens_A!I46)</f>
        <v/>
      </c>
      <c r="I47">
        <f>IF(Klantgegevens_B!I46&lt;&gt;"", Klantgegevens_B!I46, SWITCH(Klantgegevens_A!J46, "Zelden", 1, "Af en toe", 4, "Regelmatig", 8, "Vaak", 12))</f>
        <v/>
      </c>
      <c r="J47">
        <f>IF(Klantgegevens_B!J46&lt;&gt;"", Klantgegevens_B!J46, Klantgegevens_A!K46)</f>
        <v/>
      </c>
      <c r="K47">
        <f>IF(Klantgegevens_B!K46&lt;&gt;"", AVERAGE(--(Klantgegevens_B!K46="ja"), --(Klantgegevens_B!L46="ja"), --(Klantgegevens_B!M46="ja"), --(Klantgegevens_B!N46="ja"), --(Klantgegevens_B!O46="ja"))*10, Klantgegevens_A!L46)</f>
        <v/>
      </c>
      <c r="L47">
        <f>IF(Klantgegevens_B!K46&lt;&gt;"", Klantgegevens_B!K46, IF(Klantgegevens_A!L46&gt;=7, "ja", "nee"))</f>
        <v/>
      </c>
      <c r="M47">
        <f>IF(Klantgegevens_B!L46&lt;&gt;"", Klantgegevens_B!L46, IF(Klantgegevens_A!L46&gt;=7, "ja", "nee"))</f>
        <v/>
      </c>
      <c r="N47">
        <f>IF(Klantgegevens_B!M46&lt;&gt;"", Klantgegevens_B!M46, IF(Klantgegevens_A!L46&gt;=7, "ja", "nee"))</f>
        <v/>
      </c>
      <c r="O47">
        <f>IF(Klantgegevens_B!N46&lt;&gt;"", Klantgegevens_B!N46, IF(Klantgegevens_A!L46&gt;=7, "ja", "nee"))</f>
        <v/>
      </c>
      <c r="P47">
        <f>IF(Klantgegevens_B!O46&lt;&gt;"", Klantgegevens_B!O46, IF(Klantgegevens_A!L46&gt;=7, "ja", "nee"))</f>
        <v/>
      </c>
      <c r="Q47">
        <f>IF(Klantgegevens_B!P46&lt;&gt;"", Klantgegevens_B!P46, Klantgegevens_A!M46)</f>
        <v/>
      </c>
      <c r="R47">
        <f>IF(Klantgegevens_B!A46&lt;&gt;"", "B", "A")</f>
        <v/>
      </c>
    </row>
    <row r="48">
      <c r="A48">
        <f>IF(Klantgegevens_B!A47&lt;&gt;"", Klantgegevens_B!A47, MID(Klantgegevens_A!A47, FIND(",", Klantgegevens_A!A47)+2, LEN(Klantgegevens_A!A47)))</f>
        <v/>
      </c>
      <c r="B48">
        <f>IF(Klantgegevens_B!B47&lt;&gt;"", Klantgegevens_B!B47, LEFT(Klantgegevens_A!A47, FIND(",", Klantgegevens_A!A47)-1))</f>
        <v/>
      </c>
      <c r="C48">
        <f>C47 &amp; ", " &amp; B47</f>
        <v/>
      </c>
      <c r="D48">
        <f>IF(Klantgegevens_B!F47&lt;&gt;"", Klantgegevens_B!F47, Klantgegevens_A!D47 &amp; " " &amp; Klantgegevens_A!E47 &amp; ", " &amp; Klantgegevens_A!F47)</f>
        <v/>
      </c>
      <c r="E48">
        <f>IF(Klantgegevens_B!G47&lt;&gt;"", Klantgegevens_B!G47, TEXTJOIN(",", TRUE, REPT("Volwassene,", Klantgegevens_A!G47), REPT("Kind,", Klantgegevens_A!H47)))</f>
        <v/>
      </c>
      <c r="F48">
        <f>IF(Klantgegevens_B!G47&lt;&gt;"", LEN(Klantgegevens_B!G47)-LEN(SUBSTITUTE(Klantgegevens_B!G47, ",", ""))+1, Klantgegevens_A!G47)</f>
        <v/>
      </c>
      <c r="G48">
        <f>IF(Klantgegevens_B!G47&lt;&gt;"", 0, Klantgegevens_A!H47)</f>
        <v/>
      </c>
      <c r="H48">
        <f>IF(Klantgegevens_B!H47&lt;&gt;"", Klantgegevens_B!H47, Klantgegevens_A!I47)</f>
        <v/>
      </c>
      <c r="I48">
        <f>IF(Klantgegevens_B!I47&lt;&gt;"", Klantgegevens_B!I47, SWITCH(Klantgegevens_A!J47, "Zelden", 1, "Af en toe", 4, "Regelmatig", 8, "Vaak", 12))</f>
        <v/>
      </c>
      <c r="J48">
        <f>IF(Klantgegevens_B!J47&lt;&gt;"", Klantgegevens_B!J47, Klantgegevens_A!K47)</f>
        <v/>
      </c>
      <c r="K48">
        <f>IF(Klantgegevens_B!K47&lt;&gt;"", AVERAGE(--(Klantgegevens_B!K47="ja"), --(Klantgegevens_B!L47="ja"), --(Klantgegevens_B!M47="ja"), --(Klantgegevens_B!N47="ja"), --(Klantgegevens_B!O47="ja"))*10, Klantgegevens_A!L47)</f>
        <v/>
      </c>
      <c r="L48">
        <f>IF(Klantgegevens_B!K47&lt;&gt;"", Klantgegevens_B!K47, IF(Klantgegevens_A!L47&gt;=7, "ja", "nee"))</f>
        <v/>
      </c>
      <c r="M48">
        <f>IF(Klantgegevens_B!L47&lt;&gt;"", Klantgegevens_B!L47, IF(Klantgegevens_A!L47&gt;=7, "ja", "nee"))</f>
        <v/>
      </c>
      <c r="N48">
        <f>IF(Klantgegevens_B!M47&lt;&gt;"", Klantgegevens_B!M47, IF(Klantgegevens_A!L47&gt;=7, "ja", "nee"))</f>
        <v/>
      </c>
      <c r="O48">
        <f>IF(Klantgegevens_B!N47&lt;&gt;"", Klantgegevens_B!N47, IF(Klantgegevens_A!L47&gt;=7, "ja", "nee"))</f>
        <v/>
      </c>
      <c r="P48">
        <f>IF(Klantgegevens_B!O47&lt;&gt;"", Klantgegevens_B!O47, IF(Klantgegevens_A!L47&gt;=7, "ja", "nee"))</f>
        <v/>
      </c>
      <c r="Q48">
        <f>IF(Klantgegevens_B!P47&lt;&gt;"", Klantgegevens_B!P47, Klantgegevens_A!M47)</f>
        <v/>
      </c>
      <c r="R48">
        <f>IF(Klantgegevens_B!A47&lt;&gt;"", "B", "A")</f>
        <v/>
      </c>
    </row>
    <row r="49">
      <c r="A49">
        <f>IF(Klantgegevens_B!A48&lt;&gt;"", Klantgegevens_B!A48, MID(Klantgegevens_A!A48, FIND(",", Klantgegevens_A!A48)+2, LEN(Klantgegevens_A!A48)))</f>
        <v/>
      </c>
      <c r="B49">
        <f>IF(Klantgegevens_B!B48&lt;&gt;"", Klantgegevens_B!B48, LEFT(Klantgegevens_A!A48, FIND(",", Klantgegevens_A!A48)-1))</f>
        <v/>
      </c>
      <c r="C49">
        <f>C48 &amp; ", " &amp; B48</f>
        <v/>
      </c>
      <c r="D49">
        <f>IF(Klantgegevens_B!F48&lt;&gt;"", Klantgegevens_B!F48, Klantgegevens_A!D48 &amp; " " &amp; Klantgegevens_A!E48 &amp; ", " &amp; Klantgegevens_A!F48)</f>
        <v/>
      </c>
      <c r="E49">
        <f>IF(Klantgegevens_B!G48&lt;&gt;"", Klantgegevens_B!G48, TEXTJOIN(",", TRUE, REPT("Volwassene,", Klantgegevens_A!G48), REPT("Kind,", Klantgegevens_A!H48)))</f>
        <v/>
      </c>
      <c r="F49">
        <f>IF(Klantgegevens_B!G48&lt;&gt;"", LEN(Klantgegevens_B!G48)-LEN(SUBSTITUTE(Klantgegevens_B!G48, ",", ""))+1, Klantgegevens_A!G48)</f>
        <v/>
      </c>
      <c r="G49">
        <f>IF(Klantgegevens_B!G48&lt;&gt;"", 0, Klantgegevens_A!H48)</f>
        <v/>
      </c>
      <c r="H49">
        <f>IF(Klantgegevens_B!H48&lt;&gt;"", Klantgegevens_B!H48, Klantgegevens_A!I48)</f>
        <v/>
      </c>
      <c r="I49">
        <f>IF(Klantgegevens_B!I48&lt;&gt;"", Klantgegevens_B!I48, SWITCH(Klantgegevens_A!J48, "Zelden", 1, "Af en toe", 4, "Regelmatig", 8, "Vaak", 12))</f>
        <v/>
      </c>
      <c r="J49">
        <f>IF(Klantgegevens_B!J48&lt;&gt;"", Klantgegevens_B!J48, Klantgegevens_A!K48)</f>
        <v/>
      </c>
      <c r="K49">
        <f>IF(Klantgegevens_B!K48&lt;&gt;"", AVERAGE(--(Klantgegevens_B!K48="ja"), --(Klantgegevens_B!L48="ja"), --(Klantgegevens_B!M48="ja"), --(Klantgegevens_B!N48="ja"), --(Klantgegevens_B!O48="ja"))*10, Klantgegevens_A!L48)</f>
        <v/>
      </c>
      <c r="L49">
        <f>IF(Klantgegevens_B!K48&lt;&gt;"", Klantgegevens_B!K48, IF(Klantgegevens_A!L48&gt;=7, "ja", "nee"))</f>
        <v/>
      </c>
      <c r="M49">
        <f>IF(Klantgegevens_B!L48&lt;&gt;"", Klantgegevens_B!L48, IF(Klantgegevens_A!L48&gt;=7, "ja", "nee"))</f>
        <v/>
      </c>
      <c r="N49">
        <f>IF(Klantgegevens_B!M48&lt;&gt;"", Klantgegevens_B!M48, IF(Klantgegevens_A!L48&gt;=7, "ja", "nee"))</f>
        <v/>
      </c>
      <c r="O49">
        <f>IF(Klantgegevens_B!N48&lt;&gt;"", Klantgegevens_B!N48, IF(Klantgegevens_A!L48&gt;=7, "ja", "nee"))</f>
        <v/>
      </c>
      <c r="P49">
        <f>IF(Klantgegevens_B!O48&lt;&gt;"", Klantgegevens_B!O48, IF(Klantgegevens_A!L48&gt;=7, "ja", "nee"))</f>
        <v/>
      </c>
      <c r="Q49">
        <f>IF(Klantgegevens_B!P48&lt;&gt;"", Klantgegevens_B!P48, Klantgegevens_A!M48)</f>
        <v/>
      </c>
      <c r="R49">
        <f>IF(Klantgegevens_B!A48&lt;&gt;"", "B", "A")</f>
        <v/>
      </c>
    </row>
    <row r="50">
      <c r="A50">
        <f>IF(Klantgegevens_B!A49&lt;&gt;"", Klantgegevens_B!A49, MID(Klantgegevens_A!A49, FIND(",", Klantgegevens_A!A49)+2, LEN(Klantgegevens_A!A49)))</f>
        <v/>
      </c>
      <c r="B50">
        <f>IF(Klantgegevens_B!B49&lt;&gt;"", Klantgegevens_B!B49, LEFT(Klantgegevens_A!A49, FIND(",", Klantgegevens_A!A49)-1))</f>
        <v/>
      </c>
      <c r="C50">
        <f>C49 &amp; ", " &amp; B49</f>
        <v/>
      </c>
      <c r="D50">
        <f>IF(Klantgegevens_B!F49&lt;&gt;"", Klantgegevens_B!F49, Klantgegevens_A!D49 &amp; " " &amp; Klantgegevens_A!E49 &amp; ", " &amp; Klantgegevens_A!F49)</f>
        <v/>
      </c>
      <c r="E50">
        <f>IF(Klantgegevens_B!G49&lt;&gt;"", Klantgegevens_B!G49, TEXTJOIN(",", TRUE, REPT("Volwassene,", Klantgegevens_A!G49), REPT("Kind,", Klantgegevens_A!H49)))</f>
        <v/>
      </c>
      <c r="F50">
        <f>IF(Klantgegevens_B!G49&lt;&gt;"", LEN(Klantgegevens_B!G49)-LEN(SUBSTITUTE(Klantgegevens_B!G49, ",", ""))+1, Klantgegevens_A!G49)</f>
        <v/>
      </c>
      <c r="G50">
        <f>IF(Klantgegevens_B!G49&lt;&gt;"", 0, Klantgegevens_A!H49)</f>
        <v/>
      </c>
      <c r="H50">
        <f>IF(Klantgegevens_B!H49&lt;&gt;"", Klantgegevens_B!H49, Klantgegevens_A!I49)</f>
        <v/>
      </c>
      <c r="I50">
        <f>IF(Klantgegevens_B!I49&lt;&gt;"", Klantgegevens_B!I49, SWITCH(Klantgegevens_A!J49, "Zelden", 1, "Af en toe", 4, "Regelmatig", 8, "Vaak", 12))</f>
        <v/>
      </c>
      <c r="J50">
        <f>IF(Klantgegevens_B!J49&lt;&gt;"", Klantgegevens_B!J49, Klantgegevens_A!K49)</f>
        <v/>
      </c>
      <c r="K50">
        <f>IF(Klantgegevens_B!K49&lt;&gt;"", AVERAGE(--(Klantgegevens_B!K49="ja"), --(Klantgegevens_B!L49="ja"), --(Klantgegevens_B!M49="ja"), --(Klantgegevens_B!N49="ja"), --(Klantgegevens_B!O49="ja"))*10, Klantgegevens_A!L49)</f>
        <v/>
      </c>
      <c r="L50">
        <f>IF(Klantgegevens_B!K49&lt;&gt;"", Klantgegevens_B!K49, IF(Klantgegevens_A!L49&gt;=7, "ja", "nee"))</f>
        <v/>
      </c>
      <c r="M50">
        <f>IF(Klantgegevens_B!L49&lt;&gt;"", Klantgegevens_B!L49, IF(Klantgegevens_A!L49&gt;=7, "ja", "nee"))</f>
        <v/>
      </c>
      <c r="N50">
        <f>IF(Klantgegevens_B!M49&lt;&gt;"", Klantgegevens_B!M49, IF(Klantgegevens_A!L49&gt;=7, "ja", "nee"))</f>
        <v/>
      </c>
      <c r="O50">
        <f>IF(Klantgegevens_B!N49&lt;&gt;"", Klantgegevens_B!N49, IF(Klantgegevens_A!L49&gt;=7, "ja", "nee"))</f>
        <v/>
      </c>
      <c r="P50">
        <f>IF(Klantgegevens_B!O49&lt;&gt;"", Klantgegevens_B!O49, IF(Klantgegevens_A!L49&gt;=7, "ja", "nee"))</f>
        <v/>
      </c>
      <c r="Q50">
        <f>IF(Klantgegevens_B!P49&lt;&gt;"", Klantgegevens_B!P49, Klantgegevens_A!M49)</f>
        <v/>
      </c>
      <c r="R50">
        <f>IF(Klantgegevens_B!A49&lt;&gt;"", "B", "A")</f>
        <v/>
      </c>
    </row>
    <row r="51">
      <c r="A51">
        <f>IF(Klantgegevens_B!A50&lt;&gt;"", Klantgegevens_B!A50, MID(Klantgegevens_A!A50, FIND(",", Klantgegevens_A!A50)+2, LEN(Klantgegevens_A!A50)))</f>
        <v/>
      </c>
      <c r="B51">
        <f>IF(Klantgegevens_B!B50&lt;&gt;"", Klantgegevens_B!B50, LEFT(Klantgegevens_A!A50, FIND(",", Klantgegevens_A!A50)-1))</f>
        <v/>
      </c>
      <c r="C51">
        <f>C50 &amp; ", " &amp; B50</f>
        <v/>
      </c>
      <c r="D51">
        <f>IF(Klantgegevens_B!F50&lt;&gt;"", Klantgegevens_B!F50, Klantgegevens_A!D50 &amp; " " &amp; Klantgegevens_A!E50 &amp; ", " &amp; Klantgegevens_A!F50)</f>
        <v/>
      </c>
      <c r="E51">
        <f>IF(Klantgegevens_B!G50&lt;&gt;"", Klantgegevens_B!G50, TEXTJOIN(",", TRUE, REPT("Volwassene,", Klantgegevens_A!G50), REPT("Kind,", Klantgegevens_A!H50)))</f>
        <v/>
      </c>
      <c r="F51">
        <f>IF(Klantgegevens_B!G50&lt;&gt;"", LEN(Klantgegevens_B!G50)-LEN(SUBSTITUTE(Klantgegevens_B!G50, ",", ""))+1, Klantgegevens_A!G50)</f>
        <v/>
      </c>
      <c r="G51">
        <f>IF(Klantgegevens_B!G50&lt;&gt;"", 0, Klantgegevens_A!H50)</f>
        <v/>
      </c>
      <c r="H51">
        <f>IF(Klantgegevens_B!H50&lt;&gt;"", Klantgegevens_B!H50, Klantgegevens_A!I50)</f>
        <v/>
      </c>
      <c r="I51">
        <f>IF(Klantgegevens_B!I50&lt;&gt;"", Klantgegevens_B!I50, SWITCH(Klantgegevens_A!J50, "Zelden", 1, "Af en toe", 4, "Regelmatig", 8, "Vaak", 12))</f>
        <v/>
      </c>
      <c r="J51">
        <f>IF(Klantgegevens_B!J50&lt;&gt;"", Klantgegevens_B!J50, Klantgegevens_A!K50)</f>
        <v/>
      </c>
      <c r="K51">
        <f>IF(Klantgegevens_B!K50&lt;&gt;"", AVERAGE(--(Klantgegevens_B!K50="ja"), --(Klantgegevens_B!L50="ja"), --(Klantgegevens_B!M50="ja"), --(Klantgegevens_B!N50="ja"), --(Klantgegevens_B!O50="ja"))*10, Klantgegevens_A!L50)</f>
        <v/>
      </c>
      <c r="L51">
        <f>IF(Klantgegevens_B!K50&lt;&gt;"", Klantgegevens_B!K50, IF(Klantgegevens_A!L50&gt;=7, "ja", "nee"))</f>
        <v/>
      </c>
      <c r="M51">
        <f>IF(Klantgegevens_B!L50&lt;&gt;"", Klantgegevens_B!L50, IF(Klantgegevens_A!L50&gt;=7, "ja", "nee"))</f>
        <v/>
      </c>
      <c r="N51">
        <f>IF(Klantgegevens_B!M50&lt;&gt;"", Klantgegevens_B!M50, IF(Klantgegevens_A!L50&gt;=7, "ja", "nee"))</f>
        <v/>
      </c>
      <c r="O51">
        <f>IF(Klantgegevens_B!N50&lt;&gt;"", Klantgegevens_B!N50, IF(Klantgegevens_A!L50&gt;=7, "ja", "nee"))</f>
        <v/>
      </c>
      <c r="P51">
        <f>IF(Klantgegevens_B!O50&lt;&gt;"", Klantgegevens_B!O50, IF(Klantgegevens_A!L50&gt;=7, "ja", "nee"))</f>
        <v/>
      </c>
      <c r="Q51">
        <f>IF(Klantgegevens_B!P50&lt;&gt;"", Klantgegevens_B!P50, Klantgegevens_A!M50)</f>
        <v/>
      </c>
      <c r="R51">
        <f>IF(Klantgegevens_B!A50&lt;&gt;"", "B", "A")</f>
        <v/>
      </c>
    </row>
    <row r="52">
      <c r="A52">
        <f>IF(Klantgegevens_B!A51&lt;&gt;"", Klantgegevens_B!A51, MID(Klantgegevens_A!A51, FIND(",", Klantgegevens_A!A51)+2, LEN(Klantgegevens_A!A51)))</f>
        <v/>
      </c>
      <c r="B52">
        <f>IF(Klantgegevens_B!B51&lt;&gt;"", Klantgegevens_B!B51, LEFT(Klantgegevens_A!A51, FIND(",", Klantgegevens_A!A51)-1))</f>
        <v/>
      </c>
      <c r="C52">
        <f>C51 &amp; ", " &amp; B51</f>
        <v/>
      </c>
      <c r="D52">
        <f>IF(Klantgegevens_B!F51&lt;&gt;"", Klantgegevens_B!F51, Klantgegevens_A!D51 &amp; " " &amp; Klantgegevens_A!E51 &amp; ", " &amp; Klantgegevens_A!F51)</f>
        <v/>
      </c>
      <c r="E52">
        <f>IF(Klantgegevens_B!G51&lt;&gt;"", Klantgegevens_B!G51, TEXTJOIN(",", TRUE, REPT("Volwassene,", Klantgegevens_A!G51), REPT("Kind,", Klantgegevens_A!H51)))</f>
        <v/>
      </c>
      <c r="F52">
        <f>IF(Klantgegevens_B!G51&lt;&gt;"", LEN(Klantgegevens_B!G51)-LEN(SUBSTITUTE(Klantgegevens_B!G51, ",", ""))+1, Klantgegevens_A!G51)</f>
        <v/>
      </c>
      <c r="G52">
        <f>IF(Klantgegevens_B!G51&lt;&gt;"", 0, Klantgegevens_A!H51)</f>
        <v/>
      </c>
      <c r="H52">
        <f>IF(Klantgegevens_B!H51&lt;&gt;"", Klantgegevens_B!H51, Klantgegevens_A!I51)</f>
        <v/>
      </c>
      <c r="I52">
        <f>IF(Klantgegevens_B!I51&lt;&gt;"", Klantgegevens_B!I51, SWITCH(Klantgegevens_A!J51, "Zelden", 1, "Af en toe", 4, "Regelmatig", 8, "Vaak", 12))</f>
        <v/>
      </c>
      <c r="J52">
        <f>IF(Klantgegevens_B!J51&lt;&gt;"", Klantgegevens_B!J51, Klantgegevens_A!K51)</f>
        <v/>
      </c>
      <c r="K52">
        <f>IF(Klantgegevens_B!K51&lt;&gt;"", AVERAGE(--(Klantgegevens_B!K51="ja"), --(Klantgegevens_B!L51="ja"), --(Klantgegevens_B!M51="ja"), --(Klantgegevens_B!N51="ja"), --(Klantgegevens_B!O51="ja"))*10, Klantgegevens_A!L51)</f>
        <v/>
      </c>
      <c r="L52">
        <f>IF(Klantgegevens_B!K51&lt;&gt;"", Klantgegevens_B!K51, IF(Klantgegevens_A!L51&gt;=7, "ja", "nee"))</f>
        <v/>
      </c>
      <c r="M52">
        <f>IF(Klantgegevens_B!L51&lt;&gt;"", Klantgegevens_B!L51, IF(Klantgegevens_A!L51&gt;=7, "ja", "nee"))</f>
        <v/>
      </c>
      <c r="N52">
        <f>IF(Klantgegevens_B!M51&lt;&gt;"", Klantgegevens_B!M51, IF(Klantgegevens_A!L51&gt;=7, "ja", "nee"))</f>
        <v/>
      </c>
      <c r="O52">
        <f>IF(Klantgegevens_B!N51&lt;&gt;"", Klantgegevens_B!N51, IF(Klantgegevens_A!L51&gt;=7, "ja", "nee"))</f>
        <v/>
      </c>
      <c r="P52">
        <f>IF(Klantgegevens_B!O51&lt;&gt;"", Klantgegevens_B!O51, IF(Klantgegevens_A!L51&gt;=7, "ja", "nee"))</f>
        <v/>
      </c>
      <c r="Q52">
        <f>IF(Klantgegevens_B!P51&lt;&gt;"", Klantgegevens_B!P51, Klantgegevens_A!M51)</f>
        <v/>
      </c>
      <c r="R52">
        <f>IF(Klantgegevens_B!A51&lt;&gt;"", "B", "A")</f>
        <v/>
      </c>
    </row>
    <row r="53">
      <c r="A53">
        <f>IF(Klantgegevens_B!A52&lt;&gt;"", Klantgegevens_B!A52, MID(Klantgegevens_A!A52, FIND(",", Klantgegevens_A!A52)+2, LEN(Klantgegevens_A!A52)))</f>
        <v/>
      </c>
      <c r="B53">
        <f>IF(Klantgegevens_B!B52&lt;&gt;"", Klantgegevens_B!B52, LEFT(Klantgegevens_A!A52, FIND(",", Klantgegevens_A!A52)-1))</f>
        <v/>
      </c>
      <c r="C53">
        <f>C52 &amp; ", " &amp; B52</f>
        <v/>
      </c>
      <c r="D53">
        <f>IF(Klantgegevens_B!F52&lt;&gt;"", Klantgegevens_B!F52, Klantgegevens_A!D52 &amp; " " &amp; Klantgegevens_A!E52 &amp; ", " &amp; Klantgegevens_A!F52)</f>
        <v/>
      </c>
      <c r="E53">
        <f>IF(Klantgegevens_B!G52&lt;&gt;"", Klantgegevens_B!G52, TEXTJOIN(",", TRUE, REPT("Volwassene,", Klantgegevens_A!G52), REPT("Kind,", Klantgegevens_A!H52)))</f>
        <v/>
      </c>
      <c r="F53">
        <f>IF(Klantgegevens_B!G52&lt;&gt;"", LEN(Klantgegevens_B!G52)-LEN(SUBSTITUTE(Klantgegevens_B!G52, ",", ""))+1, Klantgegevens_A!G52)</f>
        <v/>
      </c>
      <c r="G53">
        <f>IF(Klantgegevens_B!G52&lt;&gt;"", 0, Klantgegevens_A!H52)</f>
        <v/>
      </c>
      <c r="H53">
        <f>IF(Klantgegevens_B!H52&lt;&gt;"", Klantgegevens_B!H52, Klantgegevens_A!I52)</f>
        <v/>
      </c>
      <c r="I53">
        <f>IF(Klantgegevens_B!I52&lt;&gt;"", Klantgegevens_B!I52, SWITCH(Klantgegevens_A!J52, "Zelden", 1, "Af en toe", 4, "Regelmatig", 8, "Vaak", 12))</f>
        <v/>
      </c>
      <c r="J53">
        <f>IF(Klantgegevens_B!J52&lt;&gt;"", Klantgegevens_B!J52, Klantgegevens_A!K52)</f>
        <v/>
      </c>
      <c r="K53">
        <f>IF(Klantgegevens_B!K52&lt;&gt;"", AVERAGE(--(Klantgegevens_B!K52="ja"), --(Klantgegevens_B!L52="ja"), --(Klantgegevens_B!M52="ja"), --(Klantgegevens_B!N52="ja"), --(Klantgegevens_B!O52="ja"))*10, Klantgegevens_A!L52)</f>
        <v/>
      </c>
      <c r="L53">
        <f>IF(Klantgegevens_B!K52&lt;&gt;"", Klantgegevens_B!K52, IF(Klantgegevens_A!L52&gt;=7, "ja", "nee"))</f>
        <v/>
      </c>
      <c r="M53">
        <f>IF(Klantgegevens_B!L52&lt;&gt;"", Klantgegevens_B!L52, IF(Klantgegevens_A!L52&gt;=7, "ja", "nee"))</f>
        <v/>
      </c>
      <c r="N53">
        <f>IF(Klantgegevens_B!M52&lt;&gt;"", Klantgegevens_B!M52, IF(Klantgegevens_A!L52&gt;=7, "ja", "nee"))</f>
        <v/>
      </c>
      <c r="O53">
        <f>IF(Klantgegevens_B!N52&lt;&gt;"", Klantgegevens_B!N52, IF(Klantgegevens_A!L52&gt;=7, "ja", "nee"))</f>
        <v/>
      </c>
      <c r="P53">
        <f>IF(Klantgegevens_B!O52&lt;&gt;"", Klantgegevens_B!O52, IF(Klantgegevens_A!L52&gt;=7, "ja", "nee"))</f>
        <v/>
      </c>
      <c r="Q53">
        <f>IF(Klantgegevens_B!P52&lt;&gt;"", Klantgegevens_B!P52, Klantgegevens_A!M52)</f>
        <v/>
      </c>
      <c r="R53">
        <f>IF(Klantgegevens_B!A52&lt;&gt;"", "B", "A")</f>
        <v/>
      </c>
    </row>
    <row r="54">
      <c r="A54">
        <f>IF(Klantgegevens_B!A53&lt;&gt;"", Klantgegevens_B!A53, MID(Klantgegevens_A!A53, FIND(",", Klantgegevens_A!A53)+2, LEN(Klantgegevens_A!A53)))</f>
        <v/>
      </c>
      <c r="B54">
        <f>IF(Klantgegevens_B!B53&lt;&gt;"", Klantgegevens_B!B53, LEFT(Klantgegevens_A!A53, FIND(",", Klantgegevens_A!A53)-1))</f>
        <v/>
      </c>
      <c r="C54">
        <f>C53 &amp; ", " &amp; B53</f>
        <v/>
      </c>
      <c r="D54">
        <f>IF(Klantgegevens_B!F53&lt;&gt;"", Klantgegevens_B!F53, Klantgegevens_A!D53 &amp; " " &amp; Klantgegevens_A!E53 &amp; ", " &amp; Klantgegevens_A!F53)</f>
        <v/>
      </c>
      <c r="E54">
        <f>IF(Klantgegevens_B!G53&lt;&gt;"", Klantgegevens_B!G53, TEXTJOIN(",", TRUE, REPT("Volwassene,", Klantgegevens_A!G53), REPT("Kind,", Klantgegevens_A!H53)))</f>
        <v/>
      </c>
      <c r="F54">
        <f>IF(Klantgegevens_B!G53&lt;&gt;"", LEN(Klantgegevens_B!G53)-LEN(SUBSTITUTE(Klantgegevens_B!G53, ",", ""))+1, Klantgegevens_A!G53)</f>
        <v/>
      </c>
      <c r="G54">
        <f>IF(Klantgegevens_B!G53&lt;&gt;"", 0, Klantgegevens_A!H53)</f>
        <v/>
      </c>
      <c r="H54">
        <f>IF(Klantgegevens_B!H53&lt;&gt;"", Klantgegevens_B!H53, Klantgegevens_A!I53)</f>
        <v/>
      </c>
      <c r="I54">
        <f>IF(Klantgegevens_B!I53&lt;&gt;"", Klantgegevens_B!I53, SWITCH(Klantgegevens_A!J53, "Zelden", 1, "Af en toe", 4, "Regelmatig", 8, "Vaak", 12))</f>
        <v/>
      </c>
      <c r="J54">
        <f>IF(Klantgegevens_B!J53&lt;&gt;"", Klantgegevens_B!J53, Klantgegevens_A!K53)</f>
        <v/>
      </c>
      <c r="K54">
        <f>IF(Klantgegevens_B!K53&lt;&gt;"", AVERAGE(--(Klantgegevens_B!K53="ja"), --(Klantgegevens_B!L53="ja"), --(Klantgegevens_B!M53="ja"), --(Klantgegevens_B!N53="ja"), --(Klantgegevens_B!O53="ja"))*10, Klantgegevens_A!L53)</f>
        <v/>
      </c>
      <c r="L54">
        <f>IF(Klantgegevens_B!K53&lt;&gt;"", Klantgegevens_B!K53, IF(Klantgegevens_A!L53&gt;=7, "ja", "nee"))</f>
        <v/>
      </c>
      <c r="M54">
        <f>IF(Klantgegevens_B!L53&lt;&gt;"", Klantgegevens_B!L53, IF(Klantgegevens_A!L53&gt;=7, "ja", "nee"))</f>
        <v/>
      </c>
      <c r="N54">
        <f>IF(Klantgegevens_B!M53&lt;&gt;"", Klantgegevens_B!M53, IF(Klantgegevens_A!L53&gt;=7, "ja", "nee"))</f>
        <v/>
      </c>
      <c r="O54">
        <f>IF(Klantgegevens_B!N53&lt;&gt;"", Klantgegevens_B!N53, IF(Klantgegevens_A!L53&gt;=7, "ja", "nee"))</f>
        <v/>
      </c>
      <c r="P54">
        <f>IF(Klantgegevens_B!O53&lt;&gt;"", Klantgegevens_B!O53, IF(Klantgegevens_A!L53&gt;=7, "ja", "nee"))</f>
        <v/>
      </c>
      <c r="Q54">
        <f>IF(Klantgegevens_B!P53&lt;&gt;"", Klantgegevens_B!P53, Klantgegevens_A!M53)</f>
        <v/>
      </c>
      <c r="R54">
        <f>IF(Klantgegevens_B!A53&lt;&gt;"", "B", "A")</f>
        <v/>
      </c>
    </row>
    <row r="55">
      <c r="A55">
        <f>IF(Klantgegevens_B!A54&lt;&gt;"", Klantgegevens_B!A54, MID(Klantgegevens_A!A54, FIND(",", Klantgegevens_A!A54)+2, LEN(Klantgegevens_A!A54)))</f>
        <v/>
      </c>
      <c r="B55">
        <f>IF(Klantgegevens_B!B54&lt;&gt;"", Klantgegevens_B!B54, LEFT(Klantgegevens_A!A54, FIND(",", Klantgegevens_A!A54)-1))</f>
        <v/>
      </c>
      <c r="C55">
        <f>C54 &amp; ", " &amp; B54</f>
        <v/>
      </c>
      <c r="D55">
        <f>IF(Klantgegevens_B!F54&lt;&gt;"", Klantgegevens_B!F54, Klantgegevens_A!D54 &amp; " " &amp; Klantgegevens_A!E54 &amp; ", " &amp; Klantgegevens_A!F54)</f>
        <v/>
      </c>
      <c r="E55">
        <f>IF(Klantgegevens_B!G54&lt;&gt;"", Klantgegevens_B!G54, TEXTJOIN(",", TRUE, REPT("Volwassene,", Klantgegevens_A!G54), REPT("Kind,", Klantgegevens_A!H54)))</f>
        <v/>
      </c>
      <c r="F55">
        <f>IF(Klantgegevens_B!G54&lt;&gt;"", LEN(Klantgegevens_B!G54)-LEN(SUBSTITUTE(Klantgegevens_B!G54, ",", ""))+1, Klantgegevens_A!G54)</f>
        <v/>
      </c>
      <c r="G55">
        <f>IF(Klantgegevens_B!G54&lt;&gt;"", 0, Klantgegevens_A!H54)</f>
        <v/>
      </c>
      <c r="H55">
        <f>IF(Klantgegevens_B!H54&lt;&gt;"", Klantgegevens_B!H54, Klantgegevens_A!I54)</f>
        <v/>
      </c>
      <c r="I55">
        <f>IF(Klantgegevens_B!I54&lt;&gt;"", Klantgegevens_B!I54, SWITCH(Klantgegevens_A!J54, "Zelden", 1, "Af en toe", 4, "Regelmatig", 8, "Vaak", 12))</f>
        <v/>
      </c>
      <c r="J55">
        <f>IF(Klantgegevens_B!J54&lt;&gt;"", Klantgegevens_B!J54, Klantgegevens_A!K54)</f>
        <v/>
      </c>
      <c r="K55">
        <f>IF(Klantgegevens_B!K54&lt;&gt;"", AVERAGE(--(Klantgegevens_B!K54="ja"), --(Klantgegevens_B!L54="ja"), --(Klantgegevens_B!M54="ja"), --(Klantgegevens_B!N54="ja"), --(Klantgegevens_B!O54="ja"))*10, Klantgegevens_A!L54)</f>
        <v/>
      </c>
      <c r="L55">
        <f>IF(Klantgegevens_B!K54&lt;&gt;"", Klantgegevens_B!K54, IF(Klantgegevens_A!L54&gt;=7, "ja", "nee"))</f>
        <v/>
      </c>
      <c r="M55">
        <f>IF(Klantgegevens_B!L54&lt;&gt;"", Klantgegevens_B!L54, IF(Klantgegevens_A!L54&gt;=7, "ja", "nee"))</f>
        <v/>
      </c>
      <c r="N55">
        <f>IF(Klantgegevens_B!M54&lt;&gt;"", Klantgegevens_B!M54, IF(Klantgegevens_A!L54&gt;=7, "ja", "nee"))</f>
        <v/>
      </c>
      <c r="O55">
        <f>IF(Klantgegevens_B!N54&lt;&gt;"", Klantgegevens_B!N54, IF(Klantgegevens_A!L54&gt;=7, "ja", "nee"))</f>
        <v/>
      </c>
      <c r="P55">
        <f>IF(Klantgegevens_B!O54&lt;&gt;"", Klantgegevens_B!O54, IF(Klantgegevens_A!L54&gt;=7, "ja", "nee"))</f>
        <v/>
      </c>
      <c r="Q55">
        <f>IF(Klantgegevens_B!P54&lt;&gt;"", Klantgegevens_B!P54, Klantgegevens_A!M54)</f>
        <v/>
      </c>
      <c r="R55">
        <f>IF(Klantgegevens_B!A54&lt;&gt;"", "B", "A")</f>
        <v/>
      </c>
    </row>
    <row r="56">
      <c r="A56">
        <f>IF(Klantgegevens_B!A55&lt;&gt;"", Klantgegevens_B!A55, MID(Klantgegevens_A!A55, FIND(",", Klantgegevens_A!A55)+2, LEN(Klantgegevens_A!A55)))</f>
        <v/>
      </c>
      <c r="B56">
        <f>IF(Klantgegevens_B!B55&lt;&gt;"", Klantgegevens_B!B55, LEFT(Klantgegevens_A!A55, FIND(",", Klantgegevens_A!A55)-1))</f>
        <v/>
      </c>
      <c r="C56">
        <f>C55 &amp; ", " &amp; B55</f>
        <v/>
      </c>
      <c r="D56">
        <f>IF(Klantgegevens_B!F55&lt;&gt;"", Klantgegevens_B!F55, Klantgegevens_A!D55 &amp; " " &amp; Klantgegevens_A!E55 &amp; ", " &amp; Klantgegevens_A!F55)</f>
        <v/>
      </c>
      <c r="E56">
        <f>IF(Klantgegevens_B!G55&lt;&gt;"", Klantgegevens_B!G55, TEXTJOIN(",", TRUE, REPT("Volwassene,", Klantgegevens_A!G55), REPT("Kind,", Klantgegevens_A!H55)))</f>
        <v/>
      </c>
      <c r="F56">
        <f>IF(Klantgegevens_B!G55&lt;&gt;"", LEN(Klantgegevens_B!G55)-LEN(SUBSTITUTE(Klantgegevens_B!G55, ",", ""))+1, Klantgegevens_A!G55)</f>
        <v/>
      </c>
      <c r="G56">
        <f>IF(Klantgegevens_B!G55&lt;&gt;"", 0, Klantgegevens_A!H55)</f>
        <v/>
      </c>
      <c r="H56">
        <f>IF(Klantgegevens_B!H55&lt;&gt;"", Klantgegevens_B!H55, Klantgegevens_A!I55)</f>
        <v/>
      </c>
      <c r="I56">
        <f>IF(Klantgegevens_B!I55&lt;&gt;"", Klantgegevens_B!I55, SWITCH(Klantgegevens_A!J55, "Zelden", 1, "Af en toe", 4, "Regelmatig", 8, "Vaak", 12))</f>
        <v/>
      </c>
      <c r="J56">
        <f>IF(Klantgegevens_B!J55&lt;&gt;"", Klantgegevens_B!J55, Klantgegevens_A!K55)</f>
        <v/>
      </c>
      <c r="K56">
        <f>IF(Klantgegevens_B!K55&lt;&gt;"", AVERAGE(--(Klantgegevens_B!K55="ja"), --(Klantgegevens_B!L55="ja"), --(Klantgegevens_B!M55="ja"), --(Klantgegevens_B!N55="ja"), --(Klantgegevens_B!O55="ja"))*10, Klantgegevens_A!L55)</f>
        <v/>
      </c>
      <c r="L56">
        <f>IF(Klantgegevens_B!K55&lt;&gt;"", Klantgegevens_B!K55, IF(Klantgegevens_A!L55&gt;=7, "ja", "nee"))</f>
        <v/>
      </c>
      <c r="M56">
        <f>IF(Klantgegevens_B!L55&lt;&gt;"", Klantgegevens_B!L55, IF(Klantgegevens_A!L55&gt;=7, "ja", "nee"))</f>
        <v/>
      </c>
      <c r="N56">
        <f>IF(Klantgegevens_B!M55&lt;&gt;"", Klantgegevens_B!M55, IF(Klantgegevens_A!L55&gt;=7, "ja", "nee"))</f>
        <v/>
      </c>
      <c r="O56">
        <f>IF(Klantgegevens_B!N55&lt;&gt;"", Klantgegevens_B!N55, IF(Klantgegevens_A!L55&gt;=7, "ja", "nee"))</f>
        <v/>
      </c>
      <c r="P56">
        <f>IF(Klantgegevens_B!O55&lt;&gt;"", Klantgegevens_B!O55, IF(Klantgegevens_A!L55&gt;=7, "ja", "nee"))</f>
        <v/>
      </c>
      <c r="Q56">
        <f>IF(Klantgegevens_B!P55&lt;&gt;"", Klantgegevens_B!P55, Klantgegevens_A!M55)</f>
        <v/>
      </c>
      <c r="R56">
        <f>IF(Klantgegevens_B!A55&lt;&gt;"", "B", "A")</f>
        <v/>
      </c>
    </row>
    <row r="57">
      <c r="A57">
        <f>IF(Klantgegevens_B!A56&lt;&gt;"", Klantgegevens_B!A56, MID(Klantgegevens_A!A56, FIND(",", Klantgegevens_A!A56)+2, LEN(Klantgegevens_A!A56)))</f>
        <v/>
      </c>
      <c r="B57">
        <f>IF(Klantgegevens_B!B56&lt;&gt;"", Klantgegevens_B!B56, LEFT(Klantgegevens_A!A56, FIND(",", Klantgegevens_A!A56)-1))</f>
        <v/>
      </c>
      <c r="C57">
        <f>C56 &amp; ", " &amp; B56</f>
        <v/>
      </c>
      <c r="D57">
        <f>IF(Klantgegevens_B!F56&lt;&gt;"", Klantgegevens_B!F56, Klantgegevens_A!D56 &amp; " " &amp; Klantgegevens_A!E56 &amp; ", " &amp; Klantgegevens_A!F56)</f>
        <v/>
      </c>
      <c r="E57">
        <f>IF(Klantgegevens_B!G56&lt;&gt;"", Klantgegevens_B!G56, TEXTJOIN(",", TRUE, REPT("Volwassene,", Klantgegevens_A!G56), REPT("Kind,", Klantgegevens_A!H56)))</f>
        <v/>
      </c>
      <c r="F57">
        <f>IF(Klantgegevens_B!G56&lt;&gt;"", LEN(Klantgegevens_B!G56)-LEN(SUBSTITUTE(Klantgegevens_B!G56, ",", ""))+1, Klantgegevens_A!G56)</f>
        <v/>
      </c>
      <c r="G57">
        <f>IF(Klantgegevens_B!G56&lt;&gt;"", 0, Klantgegevens_A!H56)</f>
        <v/>
      </c>
      <c r="H57">
        <f>IF(Klantgegevens_B!H56&lt;&gt;"", Klantgegevens_B!H56, Klantgegevens_A!I56)</f>
        <v/>
      </c>
      <c r="I57">
        <f>IF(Klantgegevens_B!I56&lt;&gt;"", Klantgegevens_B!I56, SWITCH(Klantgegevens_A!J56, "Zelden", 1, "Af en toe", 4, "Regelmatig", 8, "Vaak", 12))</f>
        <v/>
      </c>
      <c r="J57">
        <f>IF(Klantgegevens_B!J56&lt;&gt;"", Klantgegevens_B!J56, Klantgegevens_A!K56)</f>
        <v/>
      </c>
      <c r="K57">
        <f>IF(Klantgegevens_B!K56&lt;&gt;"", AVERAGE(--(Klantgegevens_B!K56="ja"), --(Klantgegevens_B!L56="ja"), --(Klantgegevens_B!M56="ja"), --(Klantgegevens_B!N56="ja"), --(Klantgegevens_B!O56="ja"))*10, Klantgegevens_A!L56)</f>
        <v/>
      </c>
      <c r="L57">
        <f>IF(Klantgegevens_B!K56&lt;&gt;"", Klantgegevens_B!K56, IF(Klantgegevens_A!L56&gt;=7, "ja", "nee"))</f>
        <v/>
      </c>
      <c r="M57">
        <f>IF(Klantgegevens_B!L56&lt;&gt;"", Klantgegevens_B!L56, IF(Klantgegevens_A!L56&gt;=7, "ja", "nee"))</f>
        <v/>
      </c>
      <c r="N57">
        <f>IF(Klantgegevens_B!M56&lt;&gt;"", Klantgegevens_B!M56, IF(Klantgegevens_A!L56&gt;=7, "ja", "nee"))</f>
        <v/>
      </c>
      <c r="O57">
        <f>IF(Klantgegevens_B!N56&lt;&gt;"", Klantgegevens_B!N56, IF(Klantgegevens_A!L56&gt;=7, "ja", "nee"))</f>
        <v/>
      </c>
      <c r="P57">
        <f>IF(Klantgegevens_B!O56&lt;&gt;"", Klantgegevens_B!O56, IF(Klantgegevens_A!L56&gt;=7, "ja", "nee"))</f>
        <v/>
      </c>
      <c r="Q57">
        <f>IF(Klantgegevens_B!P56&lt;&gt;"", Klantgegevens_B!P56, Klantgegevens_A!M56)</f>
        <v/>
      </c>
      <c r="R57">
        <f>IF(Klantgegevens_B!A56&lt;&gt;"", "B", "A")</f>
        <v/>
      </c>
    </row>
    <row r="58">
      <c r="A58">
        <f>IF(Klantgegevens_B!A57&lt;&gt;"", Klantgegevens_B!A57, MID(Klantgegevens_A!A57, FIND(",", Klantgegevens_A!A57)+2, LEN(Klantgegevens_A!A57)))</f>
        <v/>
      </c>
      <c r="B58">
        <f>IF(Klantgegevens_B!B57&lt;&gt;"", Klantgegevens_B!B57, LEFT(Klantgegevens_A!A57, FIND(",", Klantgegevens_A!A57)-1))</f>
        <v/>
      </c>
      <c r="C58">
        <f>C57 &amp; ", " &amp; B57</f>
        <v/>
      </c>
      <c r="D58">
        <f>IF(Klantgegevens_B!F57&lt;&gt;"", Klantgegevens_B!F57, Klantgegevens_A!D57 &amp; " " &amp; Klantgegevens_A!E57 &amp; ", " &amp; Klantgegevens_A!F57)</f>
        <v/>
      </c>
      <c r="E58">
        <f>IF(Klantgegevens_B!G57&lt;&gt;"", Klantgegevens_B!G57, TEXTJOIN(",", TRUE, REPT("Volwassene,", Klantgegevens_A!G57), REPT("Kind,", Klantgegevens_A!H57)))</f>
        <v/>
      </c>
      <c r="F58">
        <f>IF(Klantgegevens_B!G57&lt;&gt;"", LEN(Klantgegevens_B!G57)-LEN(SUBSTITUTE(Klantgegevens_B!G57, ",", ""))+1, Klantgegevens_A!G57)</f>
        <v/>
      </c>
      <c r="G58">
        <f>IF(Klantgegevens_B!G57&lt;&gt;"", 0, Klantgegevens_A!H57)</f>
        <v/>
      </c>
      <c r="H58">
        <f>IF(Klantgegevens_B!H57&lt;&gt;"", Klantgegevens_B!H57, Klantgegevens_A!I57)</f>
        <v/>
      </c>
      <c r="I58">
        <f>IF(Klantgegevens_B!I57&lt;&gt;"", Klantgegevens_B!I57, SWITCH(Klantgegevens_A!J57, "Zelden", 1, "Af en toe", 4, "Regelmatig", 8, "Vaak", 12))</f>
        <v/>
      </c>
      <c r="J58">
        <f>IF(Klantgegevens_B!J57&lt;&gt;"", Klantgegevens_B!J57, Klantgegevens_A!K57)</f>
        <v/>
      </c>
      <c r="K58">
        <f>IF(Klantgegevens_B!K57&lt;&gt;"", AVERAGE(--(Klantgegevens_B!K57="ja"), --(Klantgegevens_B!L57="ja"), --(Klantgegevens_B!M57="ja"), --(Klantgegevens_B!N57="ja"), --(Klantgegevens_B!O57="ja"))*10, Klantgegevens_A!L57)</f>
        <v/>
      </c>
      <c r="L58">
        <f>IF(Klantgegevens_B!K57&lt;&gt;"", Klantgegevens_B!K57, IF(Klantgegevens_A!L57&gt;=7, "ja", "nee"))</f>
        <v/>
      </c>
      <c r="M58">
        <f>IF(Klantgegevens_B!L57&lt;&gt;"", Klantgegevens_B!L57, IF(Klantgegevens_A!L57&gt;=7, "ja", "nee"))</f>
        <v/>
      </c>
      <c r="N58">
        <f>IF(Klantgegevens_B!M57&lt;&gt;"", Klantgegevens_B!M57, IF(Klantgegevens_A!L57&gt;=7, "ja", "nee"))</f>
        <v/>
      </c>
      <c r="O58">
        <f>IF(Klantgegevens_B!N57&lt;&gt;"", Klantgegevens_B!N57, IF(Klantgegevens_A!L57&gt;=7, "ja", "nee"))</f>
        <v/>
      </c>
      <c r="P58">
        <f>IF(Klantgegevens_B!O57&lt;&gt;"", Klantgegevens_B!O57, IF(Klantgegevens_A!L57&gt;=7, "ja", "nee"))</f>
        <v/>
      </c>
      <c r="Q58">
        <f>IF(Klantgegevens_B!P57&lt;&gt;"", Klantgegevens_B!P57, Klantgegevens_A!M57)</f>
        <v/>
      </c>
      <c r="R58">
        <f>IF(Klantgegevens_B!A57&lt;&gt;"", "B", "A")</f>
        <v/>
      </c>
    </row>
    <row r="59">
      <c r="A59">
        <f>IF(Klantgegevens_B!A58&lt;&gt;"", Klantgegevens_B!A58, MID(Klantgegevens_A!A58, FIND(",", Klantgegevens_A!A58)+2, LEN(Klantgegevens_A!A58)))</f>
        <v/>
      </c>
      <c r="B59">
        <f>IF(Klantgegevens_B!B58&lt;&gt;"", Klantgegevens_B!B58, LEFT(Klantgegevens_A!A58, FIND(",", Klantgegevens_A!A58)-1))</f>
        <v/>
      </c>
      <c r="C59">
        <f>C58 &amp; ", " &amp; B58</f>
        <v/>
      </c>
      <c r="D59">
        <f>IF(Klantgegevens_B!F58&lt;&gt;"", Klantgegevens_B!F58, Klantgegevens_A!D58 &amp; " " &amp; Klantgegevens_A!E58 &amp; ", " &amp; Klantgegevens_A!F58)</f>
        <v/>
      </c>
      <c r="E59">
        <f>IF(Klantgegevens_B!G58&lt;&gt;"", Klantgegevens_B!G58, TEXTJOIN(",", TRUE, REPT("Volwassene,", Klantgegevens_A!G58), REPT("Kind,", Klantgegevens_A!H58)))</f>
        <v/>
      </c>
      <c r="F59">
        <f>IF(Klantgegevens_B!G58&lt;&gt;"", LEN(Klantgegevens_B!G58)-LEN(SUBSTITUTE(Klantgegevens_B!G58, ",", ""))+1, Klantgegevens_A!G58)</f>
        <v/>
      </c>
      <c r="G59">
        <f>IF(Klantgegevens_B!G58&lt;&gt;"", 0, Klantgegevens_A!H58)</f>
        <v/>
      </c>
      <c r="H59">
        <f>IF(Klantgegevens_B!H58&lt;&gt;"", Klantgegevens_B!H58, Klantgegevens_A!I58)</f>
        <v/>
      </c>
      <c r="I59">
        <f>IF(Klantgegevens_B!I58&lt;&gt;"", Klantgegevens_B!I58, SWITCH(Klantgegevens_A!J58, "Zelden", 1, "Af en toe", 4, "Regelmatig", 8, "Vaak", 12))</f>
        <v/>
      </c>
      <c r="J59">
        <f>IF(Klantgegevens_B!J58&lt;&gt;"", Klantgegevens_B!J58, Klantgegevens_A!K58)</f>
        <v/>
      </c>
      <c r="K59">
        <f>IF(Klantgegevens_B!K58&lt;&gt;"", AVERAGE(--(Klantgegevens_B!K58="ja"), --(Klantgegevens_B!L58="ja"), --(Klantgegevens_B!M58="ja"), --(Klantgegevens_B!N58="ja"), --(Klantgegevens_B!O58="ja"))*10, Klantgegevens_A!L58)</f>
        <v/>
      </c>
      <c r="L59">
        <f>IF(Klantgegevens_B!K58&lt;&gt;"", Klantgegevens_B!K58, IF(Klantgegevens_A!L58&gt;=7, "ja", "nee"))</f>
        <v/>
      </c>
      <c r="M59">
        <f>IF(Klantgegevens_B!L58&lt;&gt;"", Klantgegevens_B!L58, IF(Klantgegevens_A!L58&gt;=7, "ja", "nee"))</f>
        <v/>
      </c>
      <c r="N59">
        <f>IF(Klantgegevens_B!M58&lt;&gt;"", Klantgegevens_B!M58, IF(Klantgegevens_A!L58&gt;=7, "ja", "nee"))</f>
        <v/>
      </c>
      <c r="O59">
        <f>IF(Klantgegevens_B!N58&lt;&gt;"", Klantgegevens_B!N58, IF(Klantgegevens_A!L58&gt;=7, "ja", "nee"))</f>
        <v/>
      </c>
      <c r="P59">
        <f>IF(Klantgegevens_B!O58&lt;&gt;"", Klantgegevens_B!O58, IF(Klantgegevens_A!L58&gt;=7, "ja", "nee"))</f>
        <v/>
      </c>
      <c r="Q59">
        <f>IF(Klantgegevens_B!P58&lt;&gt;"", Klantgegevens_B!P58, Klantgegevens_A!M58)</f>
        <v/>
      </c>
      <c r="R59">
        <f>IF(Klantgegevens_B!A58&lt;&gt;"", "B", "A")</f>
        <v/>
      </c>
    </row>
    <row r="60">
      <c r="A60">
        <f>IF(Klantgegevens_B!A59&lt;&gt;"", Klantgegevens_B!A59, MID(Klantgegevens_A!A59, FIND(",", Klantgegevens_A!A59)+2, LEN(Klantgegevens_A!A59)))</f>
        <v/>
      </c>
      <c r="B60">
        <f>IF(Klantgegevens_B!B59&lt;&gt;"", Klantgegevens_B!B59, LEFT(Klantgegevens_A!A59, FIND(",", Klantgegevens_A!A59)-1))</f>
        <v/>
      </c>
      <c r="C60">
        <f>C59 &amp; ", " &amp; B59</f>
        <v/>
      </c>
      <c r="D60">
        <f>IF(Klantgegevens_B!F59&lt;&gt;"", Klantgegevens_B!F59, Klantgegevens_A!D59 &amp; " " &amp; Klantgegevens_A!E59 &amp; ", " &amp; Klantgegevens_A!F59)</f>
        <v/>
      </c>
      <c r="E60">
        <f>IF(Klantgegevens_B!G59&lt;&gt;"", Klantgegevens_B!G59, TEXTJOIN(",", TRUE, REPT("Volwassene,", Klantgegevens_A!G59), REPT("Kind,", Klantgegevens_A!H59)))</f>
        <v/>
      </c>
      <c r="F60">
        <f>IF(Klantgegevens_B!G59&lt;&gt;"", LEN(Klantgegevens_B!G59)-LEN(SUBSTITUTE(Klantgegevens_B!G59, ",", ""))+1, Klantgegevens_A!G59)</f>
        <v/>
      </c>
      <c r="G60">
        <f>IF(Klantgegevens_B!G59&lt;&gt;"", 0, Klantgegevens_A!H59)</f>
        <v/>
      </c>
      <c r="H60">
        <f>IF(Klantgegevens_B!H59&lt;&gt;"", Klantgegevens_B!H59, Klantgegevens_A!I59)</f>
        <v/>
      </c>
      <c r="I60">
        <f>IF(Klantgegevens_B!I59&lt;&gt;"", Klantgegevens_B!I59, SWITCH(Klantgegevens_A!J59, "Zelden", 1, "Af en toe", 4, "Regelmatig", 8, "Vaak", 12))</f>
        <v/>
      </c>
      <c r="J60">
        <f>IF(Klantgegevens_B!J59&lt;&gt;"", Klantgegevens_B!J59, Klantgegevens_A!K59)</f>
        <v/>
      </c>
      <c r="K60">
        <f>IF(Klantgegevens_B!K59&lt;&gt;"", AVERAGE(--(Klantgegevens_B!K59="ja"), --(Klantgegevens_B!L59="ja"), --(Klantgegevens_B!M59="ja"), --(Klantgegevens_B!N59="ja"), --(Klantgegevens_B!O59="ja"))*10, Klantgegevens_A!L59)</f>
        <v/>
      </c>
      <c r="L60">
        <f>IF(Klantgegevens_B!K59&lt;&gt;"", Klantgegevens_B!K59, IF(Klantgegevens_A!L59&gt;=7, "ja", "nee"))</f>
        <v/>
      </c>
      <c r="M60">
        <f>IF(Klantgegevens_B!L59&lt;&gt;"", Klantgegevens_B!L59, IF(Klantgegevens_A!L59&gt;=7, "ja", "nee"))</f>
        <v/>
      </c>
      <c r="N60">
        <f>IF(Klantgegevens_B!M59&lt;&gt;"", Klantgegevens_B!M59, IF(Klantgegevens_A!L59&gt;=7, "ja", "nee"))</f>
        <v/>
      </c>
      <c r="O60">
        <f>IF(Klantgegevens_B!N59&lt;&gt;"", Klantgegevens_B!N59, IF(Klantgegevens_A!L59&gt;=7, "ja", "nee"))</f>
        <v/>
      </c>
      <c r="P60">
        <f>IF(Klantgegevens_B!O59&lt;&gt;"", Klantgegevens_B!O59, IF(Klantgegevens_A!L59&gt;=7, "ja", "nee"))</f>
        <v/>
      </c>
      <c r="Q60">
        <f>IF(Klantgegevens_B!P59&lt;&gt;"", Klantgegevens_B!P59, Klantgegevens_A!M59)</f>
        <v/>
      </c>
      <c r="R60">
        <f>IF(Klantgegevens_B!A59&lt;&gt;"", "B", "A")</f>
        <v/>
      </c>
    </row>
    <row r="61">
      <c r="A61">
        <f>IF(Klantgegevens_B!A60&lt;&gt;"", Klantgegevens_B!A60, MID(Klantgegevens_A!A60, FIND(",", Klantgegevens_A!A60)+2, LEN(Klantgegevens_A!A60)))</f>
        <v/>
      </c>
      <c r="B61">
        <f>IF(Klantgegevens_B!B60&lt;&gt;"", Klantgegevens_B!B60, LEFT(Klantgegevens_A!A60, FIND(",", Klantgegevens_A!A60)-1))</f>
        <v/>
      </c>
      <c r="C61">
        <f>C60 &amp; ", " &amp; B60</f>
        <v/>
      </c>
      <c r="D61">
        <f>IF(Klantgegevens_B!F60&lt;&gt;"", Klantgegevens_B!F60, Klantgegevens_A!D60 &amp; " " &amp; Klantgegevens_A!E60 &amp; ", " &amp; Klantgegevens_A!F60)</f>
        <v/>
      </c>
      <c r="E61">
        <f>IF(Klantgegevens_B!G60&lt;&gt;"", Klantgegevens_B!G60, TEXTJOIN(",", TRUE, REPT("Volwassene,", Klantgegevens_A!G60), REPT("Kind,", Klantgegevens_A!H60)))</f>
        <v/>
      </c>
      <c r="F61">
        <f>IF(Klantgegevens_B!G60&lt;&gt;"", LEN(Klantgegevens_B!G60)-LEN(SUBSTITUTE(Klantgegevens_B!G60, ",", ""))+1, Klantgegevens_A!G60)</f>
        <v/>
      </c>
      <c r="G61">
        <f>IF(Klantgegevens_B!G60&lt;&gt;"", 0, Klantgegevens_A!H60)</f>
        <v/>
      </c>
      <c r="H61">
        <f>IF(Klantgegevens_B!H60&lt;&gt;"", Klantgegevens_B!H60, Klantgegevens_A!I60)</f>
        <v/>
      </c>
      <c r="I61">
        <f>IF(Klantgegevens_B!I60&lt;&gt;"", Klantgegevens_B!I60, SWITCH(Klantgegevens_A!J60, "Zelden", 1, "Af en toe", 4, "Regelmatig", 8, "Vaak", 12))</f>
        <v/>
      </c>
      <c r="J61">
        <f>IF(Klantgegevens_B!J60&lt;&gt;"", Klantgegevens_B!J60, Klantgegevens_A!K60)</f>
        <v/>
      </c>
      <c r="K61">
        <f>IF(Klantgegevens_B!K60&lt;&gt;"", AVERAGE(--(Klantgegevens_B!K60="ja"), --(Klantgegevens_B!L60="ja"), --(Klantgegevens_B!M60="ja"), --(Klantgegevens_B!N60="ja"), --(Klantgegevens_B!O60="ja"))*10, Klantgegevens_A!L60)</f>
        <v/>
      </c>
      <c r="L61">
        <f>IF(Klantgegevens_B!K60&lt;&gt;"", Klantgegevens_B!K60, IF(Klantgegevens_A!L60&gt;=7, "ja", "nee"))</f>
        <v/>
      </c>
      <c r="M61">
        <f>IF(Klantgegevens_B!L60&lt;&gt;"", Klantgegevens_B!L60, IF(Klantgegevens_A!L60&gt;=7, "ja", "nee"))</f>
        <v/>
      </c>
      <c r="N61">
        <f>IF(Klantgegevens_B!M60&lt;&gt;"", Klantgegevens_B!M60, IF(Klantgegevens_A!L60&gt;=7, "ja", "nee"))</f>
        <v/>
      </c>
      <c r="O61">
        <f>IF(Klantgegevens_B!N60&lt;&gt;"", Klantgegevens_B!N60, IF(Klantgegevens_A!L60&gt;=7, "ja", "nee"))</f>
        <v/>
      </c>
      <c r="P61">
        <f>IF(Klantgegevens_B!O60&lt;&gt;"", Klantgegevens_B!O60, IF(Klantgegevens_A!L60&gt;=7, "ja", "nee"))</f>
        <v/>
      </c>
      <c r="Q61">
        <f>IF(Klantgegevens_B!P60&lt;&gt;"", Klantgegevens_B!P60, Klantgegevens_A!M60)</f>
        <v/>
      </c>
      <c r="R61">
        <f>IF(Klantgegevens_B!A60&lt;&gt;"", "B", "A")</f>
        <v/>
      </c>
    </row>
    <row r="62">
      <c r="A62">
        <f>IF(Klantgegevens_B!A61&lt;&gt;"", Klantgegevens_B!A61, MID(Klantgegevens_A!A61, FIND(",", Klantgegevens_A!A61)+2, LEN(Klantgegevens_A!A61)))</f>
        <v/>
      </c>
      <c r="B62">
        <f>IF(Klantgegevens_B!B61&lt;&gt;"", Klantgegevens_B!B61, LEFT(Klantgegevens_A!A61, FIND(",", Klantgegevens_A!A61)-1))</f>
        <v/>
      </c>
      <c r="C62">
        <f>C61 &amp; ", " &amp; B61</f>
        <v/>
      </c>
      <c r="D62">
        <f>IF(Klantgegevens_B!F61&lt;&gt;"", Klantgegevens_B!F61, Klantgegevens_A!D61 &amp; " " &amp; Klantgegevens_A!E61 &amp; ", " &amp; Klantgegevens_A!F61)</f>
        <v/>
      </c>
      <c r="E62">
        <f>IF(Klantgegevens_B!G61&lt;&gt;"", Klantgegevens_B!G61, TEXTJOIN(",", TRUE, REPT("Volwassene,", Klantgegevens_A!G61), REPT("Kind,", Klantgegevens_A!H61)))</f>
        <v/>
      </c>
      <c r="F62">
        <f>IF(Klantgegevens_B!G61&lt;&gt;"", LEN(Klantgegevens_B!G61)-LEN(SUBSTITUTE(Klantgegevens_B!G61, ",", ""))+1, Klantgegevens_A!G61)</f>
        <v/>
      </c>
      <c r="G62">
        <f>IF(Klantgegevens_B!G61&lt;&gt;"", 0, Klantgegevens_A!H61)</f>
        <v/>
      </c>
      <c r="H62">
        <f>IF(Klantgegevens_B!H61&lt;&gt;"", Klantgegevens_B!H61, Klantgegevens_A!I61)</f>
        <v/>
      </c>
      <c r="I62">
        <f>IF(Klantgegevens_B!I61&lt;&gt;"", Klantgegevens_B!I61, SWITCH(Klantgegevens_A!J61, "Zelden", 1, "Af en toe", 4, "Regelmatig", 8, "Vaak", 12))</f>
        <v/>
      </c>
      <c r="J62">
        <f>IF(Klantgegevens_B!J61&lt;&gt;"", Klantgegevens_B!J61, Klantgegevens_A!K61)</f>
        <v/>
      </c>
      <c r="K62">
        <f>IF(Klantgegevens_B!K61&lt;&gt;"", AVERAGE(--(Klantgegevens_B!K61="ja"), --(Klantgegevens_B!L61="ja"), --(Klantgegevens_B!M61="ja"), --(Klantgegevens_B!N61="ja"), --(Klantgegevens_B!O61="ja"))*10, Klantgegevens_A!L61)</f>
        <v/>
      </c>
      <c r="L62">
        <f>IF(Klantgegevens_B!K61&lt;&gt;"", Klantgegevens_B!K61, IF(Klantgegevens_A!L61&gt;=7, "ja", "nee"))</f>
        <v/>
      </c>
      <c r="M62">
        <f>IF(Klantgegevens_B!L61&lt;&gt;"", Klantgegevens_B!L61, IF(Klantgegevens_A!L61&gt;=7, "ja", "nee"))</f>
        <v/>
      </c>
      <c r="N62">
        <f>IF(Klantgegevens_B!M61&lt;&gt;"", Klantgegevens_B!M61, IF(Klantgegevens_A!L61&gt;=7, "ja", "nee"))</f>
        <v/>
      </c>
      <c r="O62">
        <f>IF(Klantgegevens_B!N61&lt;&gt;"", Klantgegevens_B!N61, IF(Klantgegevens_A!L61&gt;=7, "ja", "nee"))</f>
        <v/>
      </c>
      <c r="P62">
        <f>IF(Klantgegevens_B!O61&lt;&gt;"", Klantgegevens_B!O61, IF(Klantgegevens_A!L61&gt;=7, "ja", "nee"))</f>
        <v/>
      </c>
      <c r="Q62">
        <f>IF(Klantgegevens_B!P61&lt;&gt;"", Klantgegevens_B!P61, Klantgegevens_A!M61)</f>
        <v/>
      </c>
      <c r="R62">
        <f>IF(Klantgegevens_B!A61&lt;&gt;"", "B", "A")</f>
        <v/>
      </c>
    </row>
    <row r="63">
      <c r="A63">
        <f>IF(Klantgegevens_B!A62&lt;&gt;"", Klantgegevens_B!A62, MID(Klantgegevens_A!A62, FIND(",", Klantgegevens_A!A62)+2, LEN(Klantgegevens_A!A62)))</f>
        <v/>
      </c>
      <c r="B63">
        <f>IF(Klantgegevens_B!B62&lt;&gt;"", Klantgegevens_B!B62, LEFT(Klantgegevens_A!A62, FIND(",", Klantgegevens_A!A62)-1))</f>
        <v/>
      </c>
      <c r="C63">
        <f>C62 &amp; ", " &amp; B62</f>
        <v/>
      </c>
      <c r="D63">
        <f>IF(Klantgegevens_B!F62&lt;&gt;"", Klantgegevens_B!F62, Klantgegevens_A!D62 &amp; " " &amp; Klantgegevens_A!E62 &amp; ", " &amp; Klantgegevens_A!F62)</f>
        <v/>
      </c>
      <c r="E63">
        <f>IF(Klantgegevens_B!G62&lt;&gt;"", Klantgegevens_B!G62, TEXTJOIN(",", TRUE, REPT("Volwassene,", Klantgegevens_A!G62), REPT("Kind,", Klantgegevens_A!H62)))</f>
        <v/>
      </c>
      <c r="F63">
        <f>IF(Klantgegevens_B!G62&lt;&gt;"", LEN(Klantgegevens_B!G62)-LEN(SUBSTITUTE(Klantgegevens_B!G62, ",", ""))+1, Klantgegevens_A!G62)</f>
        <v/>
      </c>
      <c r="G63">
        <f>IF(Klantgegevens_B!G62&lt;&gt;"", 0, Klantgegevens_A!H62)</f>
        <v/>
      </c>
      <c r="H63">
        <f>IF(Klantgegevens_B!H62&lt;&gt;"", Klantgegevens_B!H62, Klantgegevens_A!I62)</f>
        <v/>
      </c>
      <c r="I63">
        <f>IF(Klantgegevens_B!I62&lt;&gt;"", Klantgegevens_B!I62, SWITCH(Klantgegevens_A!J62, "Zelden", 1, "Af en toe", 4, "Regelmatig", 8, "Vaak", 12))</f>
        <v/>
      </c>
      <c r="J63">
        <f>IF(Klantgegevens_B!J62&lt;&gt;"", Klantgegevens_B!J62, Klantgegevens_A!K62)</f>
        <v/>
      </c>
      <c r="K63">
        <f>IF(Klantgegevens_B!K62&lt;&gt;"", AVERAGE(--(Klantgegevens_B!K62="ja"), --(Klantgegevens_B!L62="ja"), --(Klantgegevens_B!M62="ja"), --(Klantgegevens_B!N62="ja"), --(Klantgegevens_B!O62="ja"))*10, Klantgegevens_A!L62)</f>
        <v/>
      </c>
      <c r="L63">
        <f>IF(Klantgegevens_B!K62&lt;&gt;"", Klantgegevens_B!K62, IF(Klantgegevens_A!L62&gt;=7, "ja", "nee"))</f>
        <v/>
      </c>
      <c r="M63">
        <f>IF(Klantgegevens_B!L62&lt;&gt;"", Klantgegevens_B!L62, IF(Klantgegevens_A!L62&gt;=7, "ja", "nee"))</f>
        <v/>
      </c>
      <c r="N63">
        <f>IF(Klantgegevens_B!M62&lt;&gt;"", Klantgegevens_B!M62, IF(Klantgegevens_A!L62&gt;=7, "ja", "nee"))</f>
        <v/>
      </c>
      <c r="O63">
        <f>IF(Klantgegevens_B!N62&lt;&gt;"", Klantgegevens_B!N62, IF(Klantgegevens_A!L62&gt;=7, "ja", "nee"))</f>
        <v/>
      </c>
      <c r="P63">
        <f>IF(Klantgegevens_B!O62&lt;&gt;"", Klantgegevens_B!O62, IF(Klantgegevens_A!L62&gt;=7, "ja", "nee"))</f>
        <v/>
      </c>
      <c r="Q63">
        <f>IF(Klantgegevens_B!P62&lt;&gt;"", Klantgegevens_B!P62, Klantgegevens_A!M62)</f>
        <v/>
      </c>
      <c r="R63">
        <f>IF(Klantgegevens_B!A62&lt;&gt;"", "B", "A")</f>
        <v/>
      </c>
    </row>
    <row r="64">
      <c r="A64">
        <f>IF(Klantgegevens_B!A63&lt;&gt;"", Klantgegevens_B!A63, MID(Klantgegevens_A!A63, FIND(",", Klantgegevens_A!A63)+2, LEN(Klantgegevens_A!A63)))</f>
        <v/>
      </c>
      <c r="B64">
        <f>IF(Klantgegevens_B!B63&lt;&gt;"", Klantgegevens_B!B63, LEFT(Klantgegevens_A!A63, FIND(",", Klantgegevens_A!A63)-1))</f>
        <v/>
      </c>
      <c r="C64">
        <f>C63 &amp; ", " &amp; B63</f>
        <v/>
      </c>
      <c r="D64">
        <f>IF(Klantgegevens_B!F63&lt;&gt;"", Klantgegevens_B!F63, Klantgegevens_A!D63 &amp; " " &amp; Klantgegevens_A!E63 &amp; ", " &amp; Klantgegevens_A!F63)</f>
        <v/>
      </c>
      <c r="E64">
        <f>IF(Klantgegevens_B!G63&lt;&gt;"", Klantgegevens_B!G63, TEXTJOIN(",", TRUE, REPT("Volwassene,", Klantgegevens_A!G63), REPT("Kind,", Klantgegevens_A!H63)))</f>
        <v/>
      </c>
      <c r="F64">
        <f>IF(Klantgegevens_B!G63&lt;&gt;"", LEN(Klantgegevens_B!G63)-LEN(SUBSTITUTE(Klantgegevens_B!G63, ",", ""))+1, Klantgegevens_A!G63)</f>
        <v/>
      </c>
      <c r="G64">
        <f>IF(Klantgegevens_B!G63&lt;&gt;"", 0, Klantgegevens_A!H63)</f>
        <v/>
      </c>
      <c r="H64">
        <f>IF(Klantgegevens_B!H63&lt;&gt;"", Klantgegevens_B!H63, Klantgegevens_A!I63)</f>
        <v/>
      </c>
      <c r="I64">
        <f>IF(Klantgegevens_B!I63&lt;&gt;"", Klantgegevens_B!I63, SWITCH(Klantgegevens_A!J63, "Zelden", 1, "Af en toe", 4, "Regelmatig", 8, "Vaak", 12))</f>
        <v/>
      </c>
      <c r="J64">
        <f>IF(Klantgegevens_B!J63&lt;&gt;"", Klantgegevens_B!J63, Klantgegevens_A!K63)</f>
        <v/>
      </c>
      <c r="K64">
        <f>IF(Klantgegevens_B!K63&lt;&gt;"", AVERAGE(--(Klantgegevens_B!K63="ja"), --(Klantgegevens_B!L63="ja"), --(Klantgegevens_B!M63="ja"), --(Klantgegevens_B!N63="ja"), --(Klantgegevens_B!O63="ja"))*10, Klantgegevens_A!L63)</f>
        <v/>
      </c>
      <c r="L64">
        <f>IF(Klantgegevens_B!K63&lt;&gt;"", Klantgegevens_B!K63, IF(Klantgegevens_A!L63&gt;=7, "ja", "nee"))</f>
        <v/>
      </c>
      <c r="M64">
        <f>IF(Klantgegevens_B!L63&lt;&gt;"", Klantgegevens_B!L63, IF(Klantgegevens_A!L63&gt;=7, "ja", "nee"))</f>
        <v/>
      </c>
      <c r="N64">
        <f>IF(Klantgegevens_B!M63&lt;&gt;"", Klantgegevens_B!M63, IF(Klantgegevens_A!L63&gt;=7, "ja", "nee"))</f>
        <v/>
      </c>
      <c r="O64">
        <f>IF(Klantgegevens_B!N63&lt;&gt;"", Klantgegevens_B!N63, IF(Klantgegevens_A!L63&gt;=7, "ja", "nee"))</f>
        <v/>
      </c>
      <c r="P64">
        <f>IF(Klantgegevens_B!O63&lt;&gt;"", Klantgegevens_B!O63, IF(Klantgegevens_A!L63&gt;=7, "ja", "nee"))</f>
        <v/>
      </c>
      <c r="Q64">
        <f>IF(Klantgegevens_B!P63&lt;&gt;"", Klantgegevens_B!P63, Klantgegevens_A!M63)</f>
        <v/>
      </c>
      <c r="R64">
        <f>IF(Klantgegevens_B!A63&lt;&gt;"", "B", "A")</f>
        <v/>
      </c>
    </row>
    <row r="65">
      <c r="A65">
        <f>IF(Klantgegevens_B!A64&lt;&gt;"", Klantgegevens_B!A64, MID(Klantgegevens_A!A64, FIND(",", Klantgegevens_A!A64)+2, LEN(Klantgegevens_A!A64)))</f>
        <v/>
      </c>
      <c r="B65">
        <f>IF(Klantgegevens_B!B64&lt;&gt;"", Klantgegevens_B!B64, LEFT(Klantgegevens_A!A64, FIND(",", Klantgegevens_A!A64)-1))</f>
        <v/>
      </c>
      <c r="C65">
        <f>C64 &amp; ", " &amp; B64</f>
        <v/>
      </c>
      <c r="D65">
        <f>IF(Klantgegevens_B!F64&lt;&gt;"", Klantgegevens_B!F64, Klantgegevens_A!D64 &amp; " " &amp; Klantgegevens_A!E64 &amp; ", " &amp; Klantgegevens_A!F64)</f>
        <v/>
      </c>
      <c r="E65">
        <f>IF(Klantgegevens_B!G64&lt;&gt;"", Klantgegevens_B!G64, TEXTJOIN(",", TRUE, REPT("Volwassene,", Klantgegevens_A!G64), REPT("Kind,", Klantgegevens_A!H64)))</f>
        <v/>
      </c>
      <c r="F65">
        <f>IF(Klantgegevens_B!G64&lt;&gt;"", LEN(Klantgegevens_B!G64)-LEN(SUBSTITUTE(Klantgegevens_B!G64, ",", ""))+1, Klantgegevens_A!G64)</f>
        <v/>
      </c>
      <c r="G65">
        <f>IF(Klantgegevens_B!G64&lt;&gt;"", 0, Klantgegevens_A!H64)</f>
        <v/>
      </c>
      <c r="H65">
        <f>IF(Klantgegevens_B!H64&lt;&gt;"", Klantgegevens_B!H64, Klantgegevens_A!I64)</f>
        <v/>
      </c>
      <c r="I65">
        <f>IF(Klantgegevens_B!I64&lt;&gt;"", Klantgegevens_B!I64, SWITCH(Klantgegevens_A!J64, "Zelden", 1, "Af en toe", 4, "Regelmatig", 8, "Vaak", 12))</f>
        <v/>
      </c>
      <c r="J65">
        <f>IF(Klantgegevens_B!J64&lt;&gt;"", Klantgegevens_B!J64, Klantgegevens_A!K64)</f>
        <v/>
      </c>
      <c r="K65">
        <f>IF(Klantgegevens_B!K64&lt;&gt;"", AVERAGE(--(Klantgegevens_B!K64="ja"), --(Klantgegevens_B!L64="ja"), --(Klantgegevens_B!M64="ja"), --(Klantgegevens_B!N64="ja"), --(Klantgegevens_B!O64="ja"))*10, Klantgegevens_A!L64)</f>
        <v/>
      </c>
      <c r="L65">
        <f>IF(Klantgegevens_B!K64&lt;&gt;"", Klantgegevens_B!K64, IF(Klantgegevens_A!L64&gt;=7, "ja", "nee"))</f>
        <v/>
      </c>
      <c r="M65">
        <f>IF(Klantgegevens_B!L64&lt;&gt;"", Klantgegevens_B!L64, IF(Klantgegevens_A!L64&gt;=7, "ja", "nee"))</f>
        <v/>
      </c>
      <c r="N65">
        <f>IF(Klantgegevens_B!M64&lt;&gt;"", Klantgegevens_B!M64, IF(Klantgegevens_A!L64&gt;=7, "ja", "nee"))</f>
        <v/>
      </c>
      <c r="O65">
        <f>IF(Klantgegevens_B!N64&lt;&gt;"", Klantgegevens_B!N64, IF(Klantgegevens_A!L64&gt;=7, "ja", "nee"))</f>
        <v/>
      </c>
      <c r="P65">
        <f>IF(Klantgegevens_B!O64&lt;&gt;"", Klantgegevens_B!O64, IF(Klantgegevens_A!L64&gt;=7, "ja", "nee"))</f>
        <v/>
      </c>
      <c r="Q65">
        <f>IF(Klantgegevens_B!P64&lt;&gt;"", Klantgegevens_B!P64, Klantgegevens_A!M64)</f>
        <v/>
      </c>
      <c r="R65">
        <f>IF(Klantgegevens_B!A64&lt;&gt;"", "B", "A")</f>
        <v/>
      </c>
    </row>
    <row r="66">
      <c r="A66">
        <f>IF(Klantgegevens_B!A65&lt;&gt;"", Klantgegevens_B!A65, MID(Klantgegevens_A!A65, FIND(",", Klantgegevens_A!A65)+2, LEN(Klantgegevens_A!A65)))</f>
        <v/>
      </c>
      <c r="B66">
        <f>IF(Klantgegevens_B!B65&lt;&gt;"", Klantgegevens_B!B65, LEFT(Klantgegevens_A!A65, FIND(",", Klantgegevens_A!A65)-1))</f>
        <v/>
      </c>
      <c r="C66">
        <f>C65 &amp; ", " &amp; B65</f>
        <v/>
      </c>
      <c r="D66">
        <f>IF(Klantgegevens_B!F65&lt;&gt;"", Klantgegevens_B!F65, Klantgegevens_A!D65 &amp; " " &amp; Klantgegevens_A!E65 &amp; ", " &amp; Klantgegevens_A!F65)</f>
        <v/>
      </c>
      <c r="E66">
        <f>IF(Klantgegevens_B!G65&lt;&gt;"", Klantgegevens_B!G65, TEXTJOIN(",", TRUE, REPT("Volwassene,", Klantgegevens_A!G65), REPT("Kind,", Klantgegevens_A!H65)))</f>
        <v/>
      </c>
      <c r="F66">
        <f>IF(Klantgegevens_B!G65&lt;&gt;"", LEN(Klantgegevens_B!G65)-LEN(SUBSTITUTE(Klantgegevens_B!G65, ",", ""))+1, Klantgegevens_A!G65)</f>
        <v/>
      </c>
      <c r="G66">
        <f>IF(Klantgegevens_B!G65&lt;&gt;"", 0, Klantgegevens_A!H65)</f>
        <v/>
      </c>
      <c r="H66">
        <f>IF(Klantgegevens_B!H65&lt;&gt;"", Klantgegevens_B!H65, Klantgegevens_A!I65)</f>
        <v/>
      </c>
      <c r="I66">
        <f>IF(Klantgegevens_B!I65&lt;&gt;"", Klantgegevens_B!I65, SWITCH(Klantgegevens_A!J65, "Zelden", 1, "Af en toe", 4, "Regelmatig", 8, "Vaak", 12))</f>
        <v/>
      </c>
      <c r="J66">
        <f>IF(Klantgegevens_B!J65&lt;&gt;"", Klantgegevens_B!J65, Klantgegevens_A!K65)</f>
        <v/>
      </c>
      <c r="K66">
        <f>IF(Klantgegevens_B!K65&lt;&gt;"", AVERAGE(--(Klantgegevens_B!K65="ja"), --(Klantgegevens_B!L65="ja"), --(Klantgegevens_B!M65="ja"), --(Klantgegevens_B!N65="ja"), --(Klantgegevens_B!O65="ja"))*10, Klantgegevens_A!L65)</f>
        <v/>
      </c>
      <c r="L66">
        <f>IF(Klantgegevens_B!K65&lt;&gt;"", Klantgegevens_B!K65, IF(Klantgegevens_A!L65&gt;=7, "ja", "nee"))</f>
        <v/>
      </c>
      <c r="M66">
        <f>IF(Klantgegevens_B!L65&lt;&gt;"", Klantgegevens_B!L65, IF(Klantgegevens_A!L65&gt;=7, "ja", "nee"))</f>
        <v/>
      </c>
      <c r="N66">
        <f>IF(Klantgegevens_B!M65&lt;&gt;"", Klantgegevens_B!M65, IF(Klantgegevens_A!L65&gt;=7, "ja", "nee"))</f>
        <v/>
      </c>
      <c r="O66">
        <f>IF(Klantgegevens_B!N65&lt;&gt;"", Klantgegevens_B!N65, IF(Klantgegevens_A!L65&gt;=7, "ja", "nee"))</f>
        <v/>
      </c>
      <c r="P66">
        <f>IF(Klantgegevens_B!O65&lt;&gt;"", Klantgegevens_B!O65, IF(Klantgegevens_A!L65&gt;=7, "ja", "nee"))</f>
        <v/>
      </c>
      <c r="Q66">
        <f>IF(Klantgegevens_B!P65&lt;&gt;"", Klantgegevens_B!P65, Klantgegevens_A!M65)</f>
        <v/>
      </c>
      <c r="R66">
        <f>IF(Klantgegevens_B!A65&lt;&gt;"", "B", "A")</f>
        <v/>
      </c>
    </row>
    <row r="67">
      <c r="A67">
        <f>IF(Klantgegevens_B!A66&lt;&gt;"", Klantgegevens_B!A66, MID(Klantgegevens_A!A66, FIND(",", Klantgegevens_A!A66)+2, LEN(Klantgegevens_A!A66)))</f>
        <v/>
      </c>
      <c r="B67">
        <f>IF(Klantgegevens_B!B66&lt;&gt;"", Klantgegevens_B!B66, LEFT(Klantgegevens_A!A66, FIND(",", Klantgegevens_A!A66)-1))</f>
        <v/>
      </c>
      <c r="C67">
        <f>C66 &amp; ", " &amp; B66</f>
        <v/>
      </c>
      <c r="D67">
        <f>IF(Klantgegevens_B!F66&lt;&gt;"", Klantgegevens_B!F66, Klantgegevens_A!D66 &amp; " " &amp; Klantgegevens_A!E66 &amp; ", " &amp; Klantgegevens_A!F66)</f>
        <v/>
      </c>
      <c r="E67">
        <f>IF(Klantgegevens_B!G66&lt;&gt;"", Klantgegevens_B!G66, TEXTJOIN(",", TRUE, REPT("Volwassene,", Klantgegevens_A!G66), REPT("Kind,", Klantgegevens_A!H66)))</f>
        <v/>
      </c>
      <c r="F67">
        <f>IF(Klantgegevens_B!G66&lt;&gt;"", LEN(Klantgegevens_B!G66)-LEN(SUBSTITUTE(Klantgegevens_B!G66, ",", ""))+1, Klantgegevens_A!G66)</f>
        <v/>
      </c>
      <c r="G67">
        <f>IF(Klantgegevens_B!G66&lt;&gt;"", 0, Klantgegevens_A!H66)</f>
        <v/>
      </c>
      <c r="H67">
        <f>IF(Klantgegevens_B!H66&lt;&gt;"", Klantgegevens_B!H66, Klantgegevens_A!I66)</f>
        <v/>
      </c>
      <c r="I67">
        <f>IF(Klantgegevens_B!I66&lt;&gt;"", Klantgegevens_B!I66, SWITCH(Klantgegevens_A!J66, "Zelden", 1, "Af en toe", 4, "Regelmatig", 8, "Vaak", 12))</f>
        <v/>
      </c>
      <c r="J67">
        <f>IF(Klantgegevens_B!J66&lt;&gt;"", Klantgegevens_B!J66, Klantgegevens_A!K66)</f>
        <v/>
      </c>
      <c r="K67">
        <f>IF(Klantgegevens_B!K66&lt;&gt;"", AVERAGE(--(Klantgegevens_B!K66="ja"), --(Klantgegevens_B!L66="ja"), --(Klantgegevens_B!M66="ja"), --(Klantgegevens_B!N66="ja"), --(Klantgegevens_B!O66="ja"))*10, Klantgegevens_A!L66)</f>
        <v/>
      </c>
      <c r="L67">
        <f>IF(Klantgegevens_B!K66&lt;&gt;"", Klantgegevens_B!K66, IF(Klantgegevens_A!L66&gt;=7, "ja", "nee"))</f>
        <v/>
      </c>
      <c r="M67">
        <f>IF(Klantgegevens_B!L66&lt;&gt;"", Klantgegevens_B!L66, IF(Klantgegevens_A!L66&gt;=7, "ja", "nee"))</f>
        <v/>
      </c>
      <c r="N67">
        <f>IF(Klantgegevens_B!M66&lt;&gt;"", Klantgegevens_B!M66, IF(Klantgegevens_A!L66&gt;=7, "ja", "nee"))</f>
        <v/>
      </c>
      <c r="O67">
        <f>IF(Klantgegevens_B!N66&lt;&gt;"", Klantgegevens_B!N66, IF(Klantgegevens_A!L66&gt;=7, "ja", "nee"))</f>
        <v/>
      </c>
      <c r="P67">
        <f>IF(Klantgegevens_B!O66&lt;&gt;"", Klantgegevens_B!O66, IF(Klantgegevens_A!L66&gt;=7, "ja", "nee"))</f>
        <v/>
      </c>
      <c r="Q67">
        <f>IF(Klantgegevens_B!P66&lt;&gt;"", Klantgegevens_B!P66, Klantgegevens_A!M66)</f>
        <v/>
      </c>
      <c r="R67">
        <f>IF(Klantgegevens_B!A66&lt;&gt;"", "B", "A")</f>
        <v/>
      </c>
    </row>
    <row r="68">
      <c r="A68">
        <f>IF(Klantgegevens_B!A67&lt;&gt;"", Klantgegevens_B!A67, MID(Klantgegevens_A!A67, FIND(",", Klantgegevens_A!A67)+2, LEN(Klantgegevens_A!A67)))</f>
        <v/>
      </c>
      <c r="B68">
        <f>IF(Klantgegevens_B!B67&lt;&gt;"", Klantgegevens_B!B67, LEFT(Klantgegevens_A!A67, FIND(",", Klantgegevens_A!A67)-1))</f>
        <v/>
      </c>
      <c r="C68">
        <f>C67 &amp; ", " &amp; B67</f>
        <v/>
      </c>
      <c r="D68">
        <f>IF(Klantgegevens_B!F67&lt;&gt;"", Klantgegevens_B!F67, Klantgegevens_A!D67 &amp; " " &amp; Klantgegevens_A!E67 &amp; ", " &amp; Klantgegevens_A!F67)</f>
        <v/>
      </c>
      <c r="E68">
        <f>IF(Klantgegevens_B!G67&lt;&gt;"", Klantgegevens_B!G67, TEXTJOIN(",", TRUE, REPT("Volwassene,", Klantgegevens_A!G67), REPT("Kind,", Klantgegevens_A!H67)))</f>
        <v/>
      </c>
      <c r="F68">
        <f>IF(Klantgegevens_B!G67&lt;&gt;"", LEN(Klantgegevens_B!G67)-LEN(SUBSTITUTE(Klantgegevens_B!G67, ",", ""))+1, Klantgegevens_A!G67)</f>
        <v/>
      </c>
      <c r="G68">
        <f>IF(Klantgegevens_B!G67&lt;&gt;"", 0, Klantgegevens_A!H67)</f>
        <v/>
      </c>
      <c r="H68">
        <f>IF(Klantgegevens_B!H67&lt;&gt;"", Klantgegevens_B!H67, Klantgegevens_A!I67)</f>
        <v/>
      </c>
      <c r="I68">
        <f>IF(Klantgegevens_B!I67&lt;&gt;"", Klantgegevens_B!I67, SWITCH(Klantgegevens_A!J67, "Zelden", 1, "Af en toe", 4, "Regelmatig", 8, "Vaak", 12))</f>
        <v/>
      </c>
      <c r="J68">
        <f>IF(Klantgegevens_B!J67&lt;&gt;"", Klantgegevens_B!J67, Klantgegevens_A!K67)</f>
        <v/>
      </c>
      <c r="K68">
        <f>IF(Klantgegevens_B!K67&lt;&gt;"", AVERAGE(--(Klantgegevens_B!K67="ja"), --(Klantgegevens_B!L67="ja"), --(Klantgegevens_B!M67="ja"), --(Klantgegevens_B!N67="ja"), --(Klantgegevens_B!O67="ja"))*10, Klantgegevens_A!L67)</f>
        <v/>
      </c>
      <c r="L68">
        <f>IF(Klantgegevens_B!K67&lt;&gt;"", Klantgegevens_B!K67, IF(Klantgegevens_A!L67&gt;=7, "ja", "nee"))</f>
        <v/>
      </c>
      <c r="M68">
        <f>IF(Klantgegevens_B!L67&lt;&gt;"", Klantgegevens_B!L67, IF(Klantgegevens_A!L67&gt;=7, "ja", "nee"))</f>
        <v/>
      </c>
      <c r="N68">
        <f>IF(Klantgegevens_B!M67&lt;&gt;"", Klantgegevens_B!M67, IF(Klantgegevens_A!L67&gt;=7, "ja", "nee"))</f>
        <v/>
      </c>
      <c r="O68">
        <f>IF(Klantgegevens_B!N67&lt;&gt;"", Klantgegevens_B!N67, IF(Klantgegevens_A!L67&gt;=7, "ja", "nee"))</f>
        <v/>
      </c>
      <c r="P68">
        <f>IF(Klantgegevens_B!O67&lt;&gt;"", Klantgegevens_B!O67, IF(Klantgegevens_A!L67&gt;=7, "ja", "nee"))</f>
        <v/>
      </c>
      <c r="Q68">
        <f>IF(Klantgegevens_B!P67&lt;&gt;"", Klantgegevens_B!P67, Klantgegevens_A!M67)</f>
        <v/>
      </c>
      <c r="R68">
        <f>IF(Klantgegevens_B!A67&lt;&gt;"", "B", "A")</f>
        <v/>
      </c>
    </row>
    <row r="69">
      <c r="A69">
        <f>IF(Klantgegevens_B!A68&lt;&gt;"", Klantgegevens_B!A68, MID(Klantgegevens_A!A68, FIND(",", Klantgegevens_A!A68)+2, LEN(Klantgegevens_A!A68)))</f>
        <v/>
      </c>
      <c r="B69">
        <f>IF(Klantgegevens_B!B68&lt;&gt;"", Klantgegevens_B!B68, LEFT(Klantgegevens_A!A68, FIND(",", Klantgegevens_A!A68)-1))</f>
        <v/>
      </c>
      <c r="C69">
        <f>C68 &amp; ", " &amp; B68</f>
        <v/>
      </c>
      <c r="D69">
        <f>IF(Klantgegevens_B!F68&lt;&gt;"", Klantgegevens_B!F68, Klantgegevens_A!D68 &amp; " " &amp; Klantgegevens_A!E68 &amp; ", " &amp; Klantgegevens_A!F68)</f>
        <v/>
      </c>
      <c r="E69">
        <f>IF(Klantgegevens_B!G68&lt;&gt;"", Klantgegevens_B!G68, TEXTJOIN(",", TRUE, REPT("Volwassene,", Klantgegevens_A!G68), REPT("Kind,", Klantgegevens_A!H68)))</f>
        <v/>
      </c>
      <c r="F69">
        <f>IF(Klantgegevens_B!G68&lt;&gt;"", LEN(Klantgegevens_B!G68)-LEN(SUBSTITUTE(Klantgegevens_B!G68, ",", ""))+1, Klantgegevens_A!G68)</f>
        <v/>
      </c>
      <c r="G69">
        <f>IF(Klantgegevens_B!G68&lt;&gt;"", 0, Klantgegevens_A!H68)</f>
        <v/>
      </c>
      <c r="H69">
        <f>IF(Klantgegevens_B!H68&lt;&gt;"", Klantgegevens_B!H68, Klantgegevens_A!I68)</f>
        <v/>
      </c>
      <c r="I69">
        <f>IF(Klantgegevens_B!I68&lt;&gt;"", Klantgegevens_B!I68, SWITCH(Klantgegevens_A!J68, "Zelden", 1, "Af en toe", 4, "Regelmatig", 8, "Vaak", 12))</f>
        <v/>
      </c>
      <c r="J69">
        <f>IF(Klantgegevens_B!J68&lt;&gt;"", Klantgegevens_B!J68, Klantgegevens_A!K68)</f>
        <v/>
      </c>
      <c r="K69">
        <f>IF(Klantgegevens_B!K68&lt;&gt;"", AVERAGE(--(Klantgegevens_B!K68="ja"), --(Klantgegevens_B!L68="ja"), --(Klantgegevens_B!M68="ja"), --(Klantgegevens_B!N68="ja"), --(Klantgegevens_B!O68="ja"))*10, Klantgegevens_A!L68)</f>
        <v/>
      </c>
      <c r="L69">
        <f>IF(Klantgegevens_B!K68&lt;&gt;"", Klantgegevens_B!K68, IF(Klantgegevens_A!L68&gt;=7, "ja", "nee"))</f>
        <v/>
      </c>
      <c r="M69">
        <f>IF(Klantgegevens_B!L68&lt;&gt;"", Klantgegevens_B!L68, IF(Klantgegevens_A!L68&gt;=7, "ja", "nee"))</f>
        <v/>
      </c>
      <c r="N69">
        <f>IF(Klantgegevens_B!M68&lt;&gt;"", Klantgegevens_B!M68, IF(Klantgegevens_A!L68&gt;=7, "ja", "nee"))</f>
        <v/>
      </c>
      <c r="O69">
        <f>IF(Klantgegevens_B!N68&lt;&gt;"", Klantgegevens_B!N68, IF(Klantgegevens_A!L68&gt;=7, "ja", "nee"))</f>
        <v/>
      </c>
      <c r="P69">
        <f>IF(Klantgegevens_B!O68&lt;&gt;"", Klantgegevens_B!O68, IF(Klantgegevens_A!L68&gt;=7, "ja", "nee"))</f>
        <v/>
      </c>
      <c r="Q69">
        <f>IF(Klantgegevens_B!P68&lt;&gt;"", Klantgegevens_B!P68, Klantgegevens_A!M68)</f>
        <v/>
      </c>
      <c r="R69">
        <f>IF(Klantgegevens_B!A68&lt;&gt;"", "B", "A")</f>
        <v/>
      </c>
    </row>
    <row r="70">
      <c r="A70">
        <f>IF(Klantgegevens_B!A69&lt;&gt;"", Klantgegevens_B!A69, MID(Klantgegevens_A!A69, FIND(",", Klantgegevens_A!A69)+2, LEN(Klantgegevens_A!A69)))</f>
        <v/>
      </c>
      <c r="B70">
        <f>IF(Klantgegevens_B!B69&lt;&gt;"", Klantgegevens_B!B69, LEFT(Klantgegevens_A!A69, FIND(",", Klantgegevens_A!A69)-1))</f>
        <v/>
      </c>
      <c r="C70">
        <f>C69 &amp; ", " &amp; B69</f>
        <v/>
      </c>
      <c r="D70">
        <f>IF(Klantgegevens_B!F69&lt;&gt;"", Klantgegevens_B!F69, Klantgegevens_A!D69 &amp; " " &amp; Klantgegevens_A!E69 &amp; ", " &amp; Klantgegevens_A!F69)</f>
        <v/>
      </c>
      <c r="E70">
        <f>IF(Klantgegevens_B!G69&lt;&gt;"", Klantgegevens_B!G69, TEXTJOIN(",", TRUE, REPT("Volwassene,", Klantgegevens_A!G69), REPT("Kind,", Klantgegevens_A!H69)))</f>
        <v/>
      </c>
      <c r="F70">
        <f>IF(Klantgegevens_B!G69&lt;&gt;"", LEN(Klantgegevens_B!G69)-LEN(SUBSTITUTE(Klantgegevens_B!G69, ",", ""))+1, Klantgegevens_A!G69)</f>
        <v/>
      </c>
      <c r="G70">
        <f>IF(Klantgegevens_B!G69&lt;&gt;"", 0, Klantgegevens_A!H69)</f>
        <v/>
      </c>
      <c r="H70">
        <f>IF(Klantgegevens_B!H69&lt;&gt;"", Klantgegevens_B!H69, Klantgegevens_A!I69)</f>
        <v/>
      </c>
      <c r="I70">
        <f>IF(Klantgegevens_B!I69&lt;&gt;"", Klantgegevens_B!I69, SWITCH(Klantgegevens_A!J69, "Zelden", 1, "Af en toe", 4, "Regelmatig", 8, "Vaak", 12))</f>
        <v/>
      </c>
      <c r="J70">
        <f>IF(Klantgegevens_B!J69&lt;&gt;"", Klantgegevens_B!J69, Klantgegevens_A!K69)</f>
        <v/>
      </c>
      <c r="K70">
        <f>IF(Klantgegevens_B!K69&lt;&gt;"", AVERAGE(--(Klantgegevens_B!K69="ja"), --(Klantgegevens_B!L69="ja"), --(Klantgegevens_B!M69="ja"), --(Klantgegevens_B!N69="ja"), --(Klantgegevens_B!O69="ja"))*10, Klantgegevens_A!L69)</f>
        <v/>
      </c>
      <c r="L70">
        <f>IF(Klantgegevens_B!K69&lt;&gt;"", Klantgegevens_B!K69, IF(Klantgegevens_A!L69&gt;=7, "ja", "nee"))</f>
        <v/>
      </c>
      <c r="M70">
        <f>IF(Klantgegevens_B!L69&lt;&gt;"", Klantgegevens_B!L69, IF(Klantgegevens_A!L69&gt;=7, "ja", "nee"))</f>
        <v/>
      </c>
      <c r="N70">
        <f>IF(Klantgegevens_B!M69&lt;&gt;"", Klantgegevens_B!M69, IF(Klantgegevens_A!L69&gt;=7, "ja", "nee"))</f>
        <v/>
      </c>
      <c r="O70">
        <f>IF(Klantgegevens_B!N69&lt;&gt;"", Klantgegevens_B!N69, IF(Klantgegevens_A!L69&gt;=7, "ja", "nee"))</f>
        <v/>
      </c>
      <c r="P70">
        <f>IF(Klantgegevens_B!O69&lt;&gt;"", Klantgegevens_B!O69, IF(Klantgegevens_A!L69&gt;=7, "ja", "nee"))</f>
        <v/>
      </c>
      <c r="Q70">
        <f>IF(Klantgegevens_B!P69&lt;&gt;"", Klantgegevens_B!P69, Klantgegevens_A!M69)</f>
        <v/>
      </c>
      <c r="R70">
        <f>IF(Klantgegevens_B!A69&lt;&gt;"", "B", "A")</f>
        <v/>
      </c>
    </row>
    <row r="71">
      <c r="A71">
        <f>IF(Klantgegevens_B!A70&lt;&gt;"", Klantgegevens_B!A70, MID(Klantgegevens_A!A70, FIND(",", Klantgegevens_A!A70)+2, LEN(Klantgegevens_A!A70)))</f>
        <v/>
      </c>
      <c r="B71">
        <f>IF(Klantgegevens_B!B70&lt;&gt;"", Klantgegevens_B!B70, LEFT(Klantgegevens_A!A70, FIND(",", Klantgegevens_A!A70)-1))</f>
        <v/>
      </c>
      <c r="C71">
        <f>C70 &amp; ", " &amp; B70</f>
        <v/>
      </c>
      <c r="D71">
        <f>IF(Klantgegevens_B!F70&lt;&gt;"", Klantgegevens_B!F70, Klantgegevens_A!D70 &amp; " " &amp; Klantgegevens_A!E70 &amp; ", " &amp; Klantgegevens_A!F70)</f>
        <v/>
      </c>
      <c r="E71">
        <f>IF(Klantgegevens_B!G70&lt;&gt;"", Klantgegevens_B!G70, TEXTJOIN(",", TRUE, REPT("Volwassene,", Klantgegevens_A!G70), REPT("Kind,", Klantgegevens_A!H70)))</f>
        <v/>
      </c>
      <c r="F71">
        <f>IF(Klantgegevens_B!G70&lt;&gt;"", LEN(Klantgegevens_B!G70)-LEN(SUBSTITUTE(Klantgegevens_B!G70, ",", ""))+1, Klantgegevens_A!G70)</f>
        <v/>
      </c>
      <c r="G71">
        <f>IF(Klantgegevens_B!G70&lt;&gt;"", 0, Klantgegevens_A!H70)</f>
        <v/>
      </c>
      <c r="H71">
        <f>IF(Klantgegevens_B!H70&lt;&gt;"", Klantgegevens_B!H70, Klantgegevens_A!I70)</f>
        <v/>
      </c>
      <c r="I71">
        <f>IF(Klantgegevens_B!I70&lt;&gt;"", Klantgegevens_B!I70, SWITCH(Klantgegevens_A!J70, "Zelden", 1, "Af en toe", 4, "Regelmatig", 8, "Vaak", 12))</f>
        <v/>
      </c>
      <c r="J71">
        <f>IF(Klantgegevens_B!J70&lt;&gt;"", Klantgegevens_B!J70, Klantgegevens_A!K70)</f>
        <v/>
      </c>
      <c r="K71">
        <f>IF(Klantgegevens_B!K70&lt;&gt;"", AVERAGE(--(Klantgegevens_B!K70="ja"), --(Klantgegevens_B!L70="ja"), --(Klantgegevens_B!M70="ja"), --(Klantgegevens_B!N70="ja"), --(Klantgegevens_B!O70="ja"))*10, Klantgegevens_A!L70)</f>
        <v/>
      </c>
      <c r="L71">
        <f>IF(Klantgegevens_B!K70&lt;&gt;"", Klantgegevens_B!K70, IF(Klantgegevens_A!L70&gt;=7, "ja", "nee"))</f>
        <v/>
      </c>
      <c r="M71">
        <f>IF(Klantgegevens_B!L70&lt;&gt;"", Klantgegevens_B!L70, IF(Klantgegevens_A!L70&gt;=7, "ja", "nee"))</f>
        <v/>
      </c>
      <c r="N71">
        <f>IF(Klantgegevens_B!M70&lt;&gt;"", Klantgegevens_B!M70, IF(Klantgegevens_A!L70&gt;=7, "ja", "nee"))</f>
        <v/>
      </c>
      <c r="O71">
        <f>IF(Klantgegevens_B!N70&lt;&gt;"", Klantgegevens_B!N70, IF(Klantgegevens_A!L70&gt;=7, "ja", "nee"))</f>
        <v/>
      </c>
      <c r="P71">
        <f>IF(Klantgegevens_B!O70&lt;&gt;"", Klantgegevens_B!O70, IF(Klantgegevens_A!L70&gt;=7, "ja", "nee"))</f>
        <v/>
      </c>
      <c r="Q71">
        <f>IF(Klantgegevens_B!P70&lt;&gt;"", Klantgegevens_B!P70, Klantgegevens_A!M70)</f>
        <v/>
      </c>
      <c r="R71">
        <f>IF(Klantgegevens_B!A70&lt;&gt;"", "B", "A")</f>
        <v/>
      </c>
    </row>
    <row r="72">
      <c r="A72">
        <f>IF(Klantgegevens_B!A71&lt;&gt;"", Klantgegevens_B!A71, MID(Klantgegevens_A!A71, FIND(",", Klantgegevens_A!A71)+2, LEN(Klantgegevens_A!A71)))</f>
        <v/>
      </c>
      <c r="B72">
        <f>IF(Klantgegevens_B!B71&lt;&gt;"", Klantgegevens_B!B71, LEFT(Klantgegevens_A!A71, FIND(",", Klantgegevens_A!A71)-1))</f>
        <v/>
      </c>
      <c r="C72">
        <f>C71 &amp; ", " &amp; B71</f>
        <v/>
      </c>
      <c r="D72">
        <f>IF(Klantgegevens_B!F71&lt;&gt;"", Klantgegevens_B!F71, Klantgegevens_A!D71 &amp; " " &amp; Klantgegevens_A!E71 &amp; ", " &amp; Klantgegevens_A!F71)</f>
        <v/>
      </c>
      <c r="E72">
        <f>IF(Klantgegevens_B!G71&lt;&gt;"", Klantgegevens_B!G71, TEXTJOIN(",", TRUE, REPT("Volwassene,", Klantgegevens_A!G71), REPT("Kind,", Klantgegevens_A!H71)))</f>
        <v/>
      </c>
      <c r="F72">
        <f>IF(Klantgegevens_B!G71&lt;&gt;"", LEN(Klantgegevens_B!G71)-LEN(SUBSTITUTE(Klantgegevens_B!G71, ",", ""))+1, Klantgegevens_A!G71)</f>
        <v/>
      </c>
      <c r="G72">
        <f>IF(Klantgegevens_B!G71&lt;&gt;"", 0, Klantgegevens_A!H71)</f>
        <v/>
      </c>
      <c r="H72">
        <f>IF(Klantgegevens_B!H71&lt;&gt;"", Klantgegevens_B!H71, Klantgegevens_A!I71)</f>
        <v/>
      </c>
      <c r="I72">
        <f>IF(Klantgegevens_B!I71&lt;&gt;"", Klantgegevens_B!I71, SWITCH(Klantgegevens_A!J71, "Zelden", 1, "Af en toe", 4, "Regelmatig", 8, "Vaak", 12))</f>
        <v/>
      </c>
      <c r="J72">
        <f>IF(Klantgegevens_B!J71&lt;&gt;"", Klantgegevens_B!J71, Klantgegevens_A!K71)</f>
        <v/>
      </c>
      <c r="K72">
        <f>IF(Klantgegevens_B!K71&lt;&gt;"", AVERAGE(--(Klantgegevens_B!K71="ja"), --(Klantgegevens_B!L71="ja"), --(Klantgegevens_B!M71="ja"), --(Klantgegevens_B!N71="ja"), --(Klantgegevens_B!O71="ja"))*10, Klantgegevens_A!L71)</f>
        <v/>
      </c>
      <c r="L72">
        <f>IF(Klantgegevens_B!K71&lt;&gt;"", Klantgegevens_B!K71, IF(Klantgegevens_A!L71&gt;=7, "ja", "nee"))</f>
        <v/>
      </c>
      <c r="M72">
        <f>IF(Klantgegevens_B!L71&lt;&gt;"", Klantgegevens_B!L71, IF(Klantgegevens_A!L71&gt;=7, "ja", "nee"))</f>
        <v/>
      </c>
      <c r="N72">
        <f>IF(Klantgegevens_B!M71&lt;&gt;"", Klantgegevens_B!M71, IF(Klantgegevens_A!L71&gt;=7, "ja", "nee"))</f>
        <v/>
      </c>
      <c r="O72">
        <f>IF(Klantgegevens_B!N71&lt;&gt;"", Klantgegevens_B!N71, IF(Klantgegevens_A!L71&gt;=7, "ja", "nee"))</f>
        <v/>
      </c>
      <c r="P72">
        <f>IF(Klantgegevens_B!O71&lt;&gt;"", Klantgegevens_B!O71, IF(Klantgegevens_A!L71&gt;=7, "ja", "nee"))</f>
        <v/>
      </c>
      <c r="Q72">
        <f>IF(Klantgegevens_B!P71&lt;&gt;"", Klantgegevens_B!P71, Klantgegevens_A!M71)</f>
        <v/>
      </c>
      <c r="R72">
        <f>IF(Klantgegevens_B!A71&lt;&gt;"", "B", "A")</f>
        <v/>
      </c>
    </row>
    <row r="73">
      <c r="A73">
        <f>IF(Klantgegevens_B!A72&lt;&gt;"", Klantgegevens_B!A72, MID(Klantgegevens_A!A72, FIND(",", Klantgegevens_A!A72)+2, LEN(Klantgegevens_A!A72)))</f>
        <v/>
      </c>
      <c r="B73">
        <f>IF(Klantgegevens_B!B72&lt;&gt;"", Klantgegevens_B!B72, LEFT(Klantgegevens_A!A72, FIND(",", Klantgegevens_A!A72)-1))</f>
        <v/>
      </c>
      <c r="C73">
        <f>C72 &amp; ", " &amp; B72</f>
        <v/>
      </c>
      <c r="D73">
        <f>IF(Klantgegevens_B!F72&lt;&gt;"", Klantgegevens_B!F72, Klantgegevens_A!D72 &amp; " " &amp; Klantgegevens_A!E72 &amp; ", " &amp; Klantgegevens_A!F72)</f>
        <v/>
      </c>
      <c r="E73">
        <f>IF(Klantgegevens_B!G72&lt;&gt;"", Klantgegevens_B!G72, TEXTJOIN(",", TRUE, REPT("Volwassene,", Klantgegevens_A!G72), REPT("Kind,", Klantgegevens_A!H72)))</f>
        <v/>
      </c>
      <c r="F73">
        <f>IF(Klantgegevens_B!G72&lt;&gt;"", LEN(Klantgegevens_B!G72)-LEN(SUBSTITUTE(Klantgegevens_B!G72, ",", ""))+1, Klantgegevens_A!G72)</f>
        <v/>
      </c>
      <c r="G73">
        <f>IF(Klantgegevens_B!G72&lt;&gt;"", 0, Klantgegevens_A!H72)</f>
        <v/>
      </c>
      <c r="H73">
        <f>IF(Klantgegevens_B!H72&lt;&gt;"", Klantgegevens_B!H72, Klantgegevens_A!I72)</f>
        <v/>
      </c>
      <c r="I73">
        <f>IF(Klantgegevens_B!I72&lt;&gt;"", Klantgegevens_B!I72, SWITCH(Klantgegevens_A!J72, "Zelden", 1, "Af en toe", 4, "Regelmatig", 8, "Vaak", 12))</f>
        <v/>
      </c>
      <c r="J73">
        <f>IF(Klantgegevens_B!J72&lt;&gt;"", Klantgegevens_B!J72, Klantgegevens_A!K72)</f>
        <v/>
      </c>
      <c r="K73">
        <f>IF(Klantgegevens_B!K72&lt;&gt;"", AVERAGE(--(Klantgegevens_B!K72="ja"), --(Klantgegevens_B!L72="ja"), --(Klantgegevens_B!M72="ja"), --(Klantgegevens_B!N72="ja"), --(Klantgegevens_B!O72="ja"))*10, Klantgegevens_A!L72)</f>
        <v/>
      </c>
      <c r="L73">
        <f>IF(Klantgegevens_B!K72&lt;&gt;"", Klantgegevens_B!K72, IF(Klantgegevens_A!L72&gt;=7, "ja", "nee"))</f>
        <v/>
      </c>
      <c r="M73">
        <f>IF(Klantgegevens_B!L72&lt;&gt;"", Klantgegevens_B!L72, IF(Klantgegevens_A!L72&gt;=7, "ja", "nee"))</f>
        <v/>
      </c>
      <c r="N73">
        <f>IF(Klantgegevens_B!M72&lt;&gt;"", Klantgegevens_B!M72, IF(Klantgegevens_A!L72&gt;=7, "ja", "nee"))</f>
        <v/>
      </c>
      <c r="O73">
        <f>IF(Klantgegevens_B!N72&lt;&gt;"", Klantgegevens_B!N72, IF(Klantgegevens_A!L72&gt;=7, "ja", "nee"))</f>
        <v/>
      </c>
      <c r="P73">
        <f>IF(Klantgegevens_B!O72&lt;&gt;"", Klantgegevens_B!O72, IF(Klantgegevens_A!L72&gt;=7, "ja", "nee"))</f>
        <v/>
      </c>
      <c r="Q73">
        <f>IF(Klantgegevens_B!P72&lt;&gt;"", Klantgegevens_B!P72, Klantgegevens_A!M72)</f>
        <v/>
      </c>
      <c r="R73">
        <f>IF(Klantgegevens_B!A72&lt;&gt;"", "B", "A")</f>
        <v/>
      </c>
    </row>
    <row r="74">
      <c r="A74">
        <f>IF(Klantgegevens_B!A73&lt;&gt;"", Klantgegevens_B!A73, MID(Klantgegevens_A!A73, FIND(",", Klantgegevens_A!A73)+2, LEN(Klantgegevens_A!A73)))</f>
        <v/>
      </c>
      <c r="B74">
        <f>IF(Klantgegevens_B!B73&lt;&gt;"", Klantgegevens_B!B73, LEFT(Klantgegevens_A!A73, FIND(",", Klantgegevens_A!A73)-1))</f>
        <v/>
      </c>
      <c r="C74">
        <f>C73 &amp; ", " &amp; B73</f>
        <v/>
      </c>
      <c r="D74">
        <f>IF(Klantgegevens_B!F73&lt;&gt;"", Klantgegevens_B!F73, Klantgegevens_A!D73 &amp; " " &amp; Klantgegevens_A!E73 &amp; ", " &amp; Klantgegevens_A!F73)</f>
        <v/>
      </c>
      <c r="E74">
        <f>IF(Klantgegevens_B!G73&lt;&gt;"", Klantgegevens_B!G73, TEXTJOIN(",", TRUE, REPT("Volwassene,", Klantgegevens_A!G73), REPT("Kind,", Klantgegevens_A!H73)))</f>
        <v/>
      </c>
      <c r="F74">
        <f>IF(Klantgegevens_B!G73&lt;&gt;"", LEN(Klantgegevens_B!G73)-LEN(SUBSTITUTE(Klantgegevens_B!G73, ",", ""))+1, Klantgegevens_A!G73)</f>
        <v/>
      </c>
      <c r="G74">
        <f>IF(Klantgegevens_B!G73&lt;&gt;"", 0, Klantgegevens_A!H73)</f>
        <v/>
      </c>
      <c r="H74">
        <f>IF(Klantgegevens_B!H73&lt;&gt;"", Klantgegevens_B!H73, Klantgegevens_A!I73)</f>
        <v/>
      </c>
      <c r="I74">
        <f>IF(Klantgegevens_B!I73&lt;&gt;"", Klantgegevens_B!I73, SWITCH(Klantgegevens_A!J73, "Zelden", 1, "Af en toe", 4, "Regelmatig", 8, "Vaak", 12))</f>
        <v/>
      </c>
      <c r="J74">
        <f>IF(Klantgegevens_B!J73&lt;&gt;"", Klantgegevens_B!J73, Klantgegevens_A!K73)</f>
        <v/>
      </c>
      <c r="K74">
        <f>IF(Klantgegevens_B!K73&lt;&gt;"", AVERAGE(--(Klantgegevens_B!K73="ja"), --(Klantgegevens_B!L73="ja"), --(Klantgegevens_B!M73="ja"), --(Klantgegevens_B!N73="ja"), --(Klantgegevens_B!O73="ja"))*10, Klantgegevens_A!L73)</f>
        <v/>
      </c>
      <c r="L74">
        <f>IF(Klantgegevens_B!K73&lt;&gt;"", Klantgegevens_B!K73, IF(Klantgegevens_A!L73&gt;=7, "ja", "nee"))</f>
        <v/>
      </c>
      <c r="M74">
        <f>IF(Klantgegevens_B!L73&lt;&gt;"", Klantgegevens_B!L73, IF(Klantgegevens_A!L73&gt;=7, "ja", "nee"))</f>
        <v/>
      </c>
      <c r="N74">
        <f>IF(Klantgegevens_B!M73&lt;&gt;"", Klantgegevens_B!M73, IF(Klantgegevens_A!L73&gt;=7, "ja", "nee"))</f>
        <v/>
      </c>
      <c r="O74">
        <f>IF(Klantgegevens_B!N73&lt;&gt;"", Klantgegevens_B!N73, IF(Klantgegevens_A!L73&gt;=7, "ja", "nee"))</f>
        <v/>
      </c>
      <c r="P74">
        <f>IF(Klantgegevens_B!O73&lt;&gt;"", Klantgegevens_B!O73, IF(Klantgegevens_A!L73&gt;=7, "ja", "nee"))</f>
        <v/>
      </c>
      <c r="Q74">
        <f>IF(Klantgegevens_B!P73&lt;&gt;"", Klantgegevens_B!P73, Klantgegevens_A!M73)</f>
        <v/>
      </c>
      <c r="R74">
        <f>IF(Klantgegevens_B!A73&lt;&gt;"", "B", "A")</f>
        <v/>
      </c>
    </row>
    <row r="75">
      <c r="A75">
        <f>IF(Klantgegevens_B!A74&lt;&gt;"", Klantgegevens_B!A74, MID(Klantgegevens_A!A74, FIND(",", Klantgegevens_A!A74)+2, LEN(Klantgegevens_A!A74)))</f>
        <v/>
      </c>
      <c r="B75">
        <f>IF(Klantgegevens_B!B74&lt;&gt;"", Klantgegevens_B!B74, LEFT(Klantgegevens_A!A74, FIND(",", Klantgegevens_A!A74)-1))</f>
        <v/>
      </c>
      <c r="C75">
        <f>C74 &amp; ", " &amp; B74</f>
        <v/>
      </c>
      <c r="D75">
        <f>IF(Klantgegevens_B!F74&lt;&gt;"", Klantgegevens_B!F74, Klantgegevens_A!D74 &amp; " " &amp; Klantgegevens_A!E74 &amp; ", " &amp; Klantgegevens_A!F74)</f>
        <v/>
      </c>
      <c r="E75">
        <f>IF(Klantgegevens_B!G74&lt;&gt;"", Klantgegevens_B!G74, TEXTJOIN(",", TRUE, REPT("Volwassene,", Klantgegevens_A!G74), REPT("Kind,", Klantgegevens_A!H74)))</f>
        <v/>
      </c>
      <c r="F75">
        <f>IF(Klantgegevens_B!G74&lt;&gt;"", LEN(Klantgegevens_B!G74)-LEN(SUBSTITUTE(Klantgegevens_B!G74, ",", ""))+1, Klantgegevens_A!G74)</f>
        <v/>
      </c>
      <c r="G75">
        <f>IF(Klantgegevens_B!G74&lt;&gt;"", 0, Klantgegevens_A!H74)</f>
        <v/>
      </c>
      <c r="H75">
        <f>IF(Klantgegevens_B!H74&lt;&gt;"", Klantgegevens_B!H74, Klantgegevens_A!I74)</f>
        <v/>
      </c>
      <c r="I75">
        <f>IF(Klantgegevens_B!I74&lt;&gt;"", Klantgegevens_B!I74, SWITCH(Klantgegevens_A!J74, "Zelden", 1, "Af en toe", 4, "Regelmatig", 8, "Vaak", 12))</f>
        <v/>
      </c>
      <c r="J75">
        <f>IF(Klantgegevens_B!J74&lt;&gt;"", Klantgegevens_B!J74, Klantgegevens_A!K74)</f>
        <v/>
      </c>
      <c r="K75">
        <f>IF(Klantgegevens_B!K74&lt;&gt;"", AVERAGE(--(Klantgegevens_B!K74="ja"), --(Klantgegevens_B!L74="ja"), --(Klantgegevens_B!M74="ja"), --(Klantgegevens_B!N74="ja"), --(Klantgegevens_B!O74="ja"))*10, Klantgegevens_A!L74)</f>
        <v/>
      </c>
      <c r="L75">
        <f>IF(Klantgegevens_B!K74&lt;&gt;"", Klantgegevens_B!K74, IF(Klantgegevens_A!L74&gt;=7, "ja", "nee"))</f>
        <v/>
      </c>
      <c r="M75">
        <f>IF(Klantgegevens_B!L74&lt;&gt;"", Klantgegevens_B!L74, IF(Klantgegevens_A!L74&gt;=7, "ja", "nee"))</f>
        <v/>
      </c>
      <c r="N75">
        <f>IF(Klantgegevens_B!M74&lt;&gt;"", Klantgegevens_B!M74, IF(Klantgegevens_A!L74&gt;=7, "ja", "nee"))</f>
        <v/>
      </c>
      <c r="O75">
        <f>IF(Klantgegevens_B!N74&lt;&gt;"", Klantgegevens_B!N74, IF(Klantgegevens_A!L74&gt;=7, "ja", "nee"))</f>
        <v/>
      </c>
      <c r="P75">
        <f>IF(Klantgegevens_B!O74&lt;&gt;"", Klantgegevens_B!O74, IF(Klantgegevens_A!L74&gt;=7, "ja", "nee"))</f>
        <v/>
      </c>
      <c r="Q75">
        <f>IF(Klantgegevens_B!P74&lt;&gt;"", Klantgegevens_B!P74, Klantgegevens_A!M74)</f>
        <v/>
      </c>
      <c r="R75">
        <f>IF(Klantgegevens_B!A74&lt;&gt;"", "B", "A")</f>
        <v/>
      </c>
    </row>
    <row r="76">
      <c r="A76">
        <f>IF(Klantgegevens_B!A75&lt;&gt;"", Klantgegevens_B!A75, MID(Klantgegevens_A!A75, FIND(",", Klantgegevens_A!A75)+2, LEN(Klantgegevens_A!A75)))</f>
        <v/>
      </c>
      <c r="B76">
        <f>IF(Klantgegevens_B!B75&lt;&gt;"", Klantgegevens_B!B75, LEFT(Klantgegevens_A!A75, FIND(",", Klantgegevens_A!A75)-1))</f>
        <v/>
      </c>
      <c r="C76">
        <f>C75 &amp; ", " &amp; B75</f>
        <v/>
      </c>
      <c r="D76">
        <f>IF(Klantgegevens_B!F75&lt;&gt;"", Klantgegevens_B!F75, Klantgegevens_A!D75 &amp; " " &amp; Klantgegevens_A!E75 &amp; ", " &amp; Klantgegevens_A!F75)</f>
        <v/>
      </c>
      <c r="E76">
        <f>IF(Klantgegevens_B!G75&lt;&gt;"", Klantgegevens_B!G75, TEXTJOIN(",", TRUE, REPT("Volwassene,", Klantgegevens_A!G75), REPT("Kind,", Klantgegevens_A!H75)))</f>
        <v/>
      </c>
      <c r="F76">
        <f>IF(Klantgegevens_B!G75&lt;&gt;"", LEN(Klantgegevens_B!G75)-LEN(SUBSTITUTE(Klantgegevens_B!G75, ",", ""))+1, Klantgegevens_A!G75)</f>
        <v/>
      </c>
      <c r="G76">
        <f>IF(Klantgegevens_B!G75&lt;&gt;"", 0, Klantgegevens_A!H75)</f>
        <v/>
      </c>
      <c r="H76">
        <f>IF(Klantgegevens_B!H75&lt;&gt;"", Klantgegevens_B!H75, Klantgegevens_A!I75)</f>
        <v/>
      </c>
      <c r="I76">
        <f>IF(Klantgegevens_B!I75&lt;&gt;"", Klantgegevens_B!I75, SWITCH(Klantgegevens_A!J75, "Zelden", 1, "Af en toe", 4, "Regelmatig", 8, "Vaak", 12))</f>
        <v/>
      </c>
      <c r="J76">
        <f>IF(Klantgegevens_B!J75&lt;&gt;"", Klantgegevens_B!J75, Klantgegevens_A!K75)</f>
        <v/>
      </c>
      <c r="K76">
        <f>IF(Klantgegevens_B!K75&lt;&gt;"", AVERAGE(--(Klantgegevens_B!K75="ja"), --(Klantgegevens_B!L75="ja"), --(Klantgegevens_B!M75="ja"), --(Klantgegevens_B!N75="ja"), --(Klantgegevens_B!O75="ja"))*10, Klantgegevens_A!L75)</f>
        <v/>
      </c>
      <c r="L76">
        <f>IF(Klantgegevens_B!K75&lt;&gt;"", Klantgegevens_B!K75, IF(Klantgegevens_A!L75&gt;=7, "ja", "nee"))</f>
        <v/>
      </c>
      <c r="M76">
        <f>IF(Klantgegevens_B!L75&lt;&gt;"", Klantgegevens_B!L75, IF(Klantgegevens_A!L75&gt;=7, "ja", "nee"))</f>
        <v/>
      </c>
      <c r="N76">
        <f>IF(Klantgegevens_B!M75&lt;&gt;"", Klantgegevens_B!M75, IF(Klantgegevens_A!L75&gt;=7, "ja", "nee"))</f>
        <v/>
      </c>
      <c r="O76">
        <f>IF(Klantgegevens_B!N75&lt;&gt;"", Klantgegevens_B!N75, IF(Klantgegevens_A!L75&gt;=7, "ja", "nee"))</f>
        <v/>
      </c>
      <c r="P76">
        <f>IF(Klantgegevens_B!O75&lt;&gt;"", Klantgegevens_B!O75, IF(Klantgegevens_A!L75&gt;=7, "ja", "nee"))</f>
        <v/>
      </c>
      <c r="Q76">
        <f>IF(Klantgegevens_B!P75&lt;&gt;"", Klantgegevens_B!P75, Klantgegevens_A!M75)</f>
        <v/>
      </c>
      <c r="R76">
        <f>IF(Klantgegevens_B!A75&lt;&gt;"", "B", "A")</f>
        <v/>
      </c>
    </row>
    <row r="77">
      <c r="A77">
        <f>IF(Klantgegevens_B!A76&lt;&gt;"", Klantgegevens_B!A76, MID(Klantgegevens_A!A76, FIND(",", Klantgegevens_A!A76)+2, LEN(Klantgegevens_A!A76)))</f>
        <v/>
      </c>
      <c r="B77">
        <f>IF(Klantgegevens_B!B76&lt;&gt;"", Klantgegevens_B!B76, LEFT(Klantgegevens_A!A76, FIND(",", Klantgegevens_A!A76)-1))</f>
        <v/>
      </c>
      <c r="C77">
        <f>C76 &amp; ", " &amp; B76</f>
        <v/>
      </c>
      <c r="D77">
        <f>IF(Klantgegevens_B!F76&lt;&gt;"", Klantgegevens_B!F76, Klantgegevens_A!D76 &amp; " " &amp; Klantgegevens_A!E76 &amp; ", " &amp; Klantgegevens_A!F76)</f>
        <v/>
      </c>
      <c r="E77">
        <f>IF(Klantgegevens_B!G76&lt;&gt;"", Klantgegevens_B!G76, TEXTJOIN(",", TRUE, REPT("Volwassene,", Klantgegevens_A!G76), REPT("Kind,", Klantgegevens_A!H76)))</f>
        <v/>
      </c>
      <c r="F77">
        <f>IF(Klantgegevens_B!G76&lt;&gt;"", LEN(Klantgegevens_B!G76)-LEN(SUBSTITUTE(Klantgegevens_B!G76, ",", ""))+1, Klantgegevens_A!G76)</f>
        <v/>
      </c>
      <c r="G77">
        <f>IF(Klantgegevens_B!G76&lt;&gt;"", 0, Klantgegevens_A!H76)</f>
        <v/>
      </c>
      <c r="H77">
        <f>IF(Klantgegevens_B!H76&lt;&gt;"", Klantgegevens_B!H76, Klantgegevens_A!I76)</f>
        <v/>
      </c>
      <c r="I77">
        <f>IF(Klantgegevens_B!I76&lt;&gt;"", Klantgegevens_B!I76, SWITCH(Klantgegevens_A!J76, "Zelden", 1, "Af en toe", 4, "Regelmatig", 8, "Vaak", 12))</f>
        <v/>
      </c>
      <c r="J77">
        <f>IF(Klantgegevens_B!J76&lt;&gt;"", Klantgegevens_B!J76, Klantgegevens_A!K76)</f>
        <v/>
      </c>
      <c r="K77">
        <f>IF(Klantgegevens_B!K76&lt;&gt;"", AVERAGE(--(Klantgegevens_B!K76="ja"), --(Klantgegevens_B!L76="ja"), --(Klantgegevens_B!M76="ja"), --(Klantgegevens_B!N76="ja"), --(Klantgegevens_B!O76="ja"))*10, Klantgegevens_A!L76)</f>
        <v/>
      </c>
      <c r="L77">
        <f>IF(Klantgegevens_B!K76&lt;&gt;"", Klantgegevens_B!K76, IF(Klantgegevens_A!L76&gt;=7, "ja", "nee"))</f>
        <v/>
      </c>
      <c r="M77">
        <f>IF(Klantgegevens_B!L76&lt;&gt;"", Klantgegevens_B!L76, IF(Klantgegevens_A!L76&gt;=7, "ja", "nee"))</f>
        <v/>
      </c>
      <c r="N77">
        <f>IF(Klantgegevens_B!M76&lt;&gt;"", Klantgegevens_B!M76, IF(Klantgegevens_A!L76&gt;=7, "ja", "nee"))</f>
        <v/>
      </c>
      <c r="O77">
        <f>IF(Klantgegevens_B!N76&lt;&gt;"", Klantgegevens_B!N76, IF(Klantgegevens_A!L76&gt;=7, "ja", "nee"))</f>
        <v/>
      </c>
      <c r="P77">
        <f>IF(Klantgegevens_B!O76&lt;&gt;"", Klantgegevens_B!O76, IF(Klantgegevens_A!L76&gt;=7, "ja", "nee"))</f>
        <v/>
      </c>
      <c r="Q77">
        <f>IF(Klantgegevens_B!P76&lt;&gt;"", Klantgegevens_B!P76, Klantgegevens_A!M76)</f>
        <v/>
      </c>
      <c r="R77">
        <f>IF(Klantgegevens_B!A76&lt;&gt;"", "B", "A")</f>
        <v/>
      </c>
    </row>
    <row r="78">
      <c r="A78">
        <f>IF(Klantgegevens_B!A77&lt;&gt;"", Klantgegevens_B!A77, MID(Klantgegevens_A!A77, FIND(",", Klantgegevens_A!A77)+2, LEN(Klantgegevens_A!A77)))</f>
        <v/>
      </c>
      <c r="B78">
        <f>IF(Klantgegevens_B!B77&lt;&gt;"", Klantgegevens_B!B77, LEFT(Klantgegevens_A!A77, FIND(",", Klantgegevens_A!A77)-1))</f>
        <v/>
      </c>
      <c r="C78">
        <f>C77 &amp; ", " &amp; B77</f>
        <v/>
      </c>
      <c r="D78">
        <f>IF(Klantgegevens_B!F77&lt;&gt;"", Klantgegevens_B!F77, Klantgegevens_A!D77 &amp; " " &amp; Klantgegevens_A!E77 &amp; ", " &amp; Klantgegevens_A!F77)</f>
        <v/>
      </c>
      <c r="E78">
        <f>IF(Klantgegevens_B!G77&lt;&gt;"", Klantgegevens_B!G77, TEXTJOIN(",", TRUE, REPT("Volwassene,", Klantgegevens_A!G77), REPT("Kind,", Klantgegevens_A!H77)))</f>
        <v/>
      </c>
      <c r="F78">
        <f>IF(Klantgegevens_B!G77&lt;&gt;"", LEN(Klantgegevens_B!G77)-LEN(SUBSTITUTE(Klantgegevens_B!G77, ",", ""))+1, Klantgegevens_A!G77)</f>
        <v/>
      </c>
      <c r="G78">
        <f>IF(Klantgegevens_B!G77&lt;&gt;"", 0, Klantgegevens_A!H77)</f>
        <v/>
      </c>
      <c r="H78">
        <f>IF(Klantgegevens_B!H77&lt;&gt;"", Klantgegevens_B!H77, Klantgegevens_A!I77)</f>
        <v/>
      </c>
      <c r="I78">
        <f>IF(Klantgegevens_B!I77&lt;&gt;"", Klantgegevens_B!I77, SWITCH(Klantgegevens_A!J77, "Zelden", 1, "Af en toe", 4, "Regelmatig", 8, "Vaak", 12))</f>
        <v/>
      </c>
      <c r="J78">
        <f>IF(Klantgegevens_B!J77&lt;&gt;"", Klantgegevens_B!J77, Klantgegevens_A!K77)</f>
        <v/>
      </c>
      <c r="K78">
        <f>IF(Klantgegevens_B!K77&lt;&gt;"", AVERAGE(--(Klantgegevens_B!K77="ja"), --(Klantgegevens_B!L77="ja"), --(Klantgegevens_B!M77="ja"), --(Klantgegevens_B!N77="ja"), --(Klantgegevens_B!O77="ja"))*10, Klantgegevens_A!L77)</f>
        <v/>
      </c>
      <c r="L78">
        <f>IF(Klantgegevens_B!K77&lt;&gt;"", Klantgegevens_B!K77, IF(Klantgegevens_A!L77&gt;=7, "ja", "nee"))</f>
        <v/>
      </c>
      <c r="M78">
        <f>IF(Klantgegevens_B!L77&lt;&gt;"", Klantgegevens_B!L77, IF(Klantgegevens_A!L77&gt;=7, "ja", "nee"))</f>
        <v/>
      </c>
      <c r="N78">
        <f>IF(Klantgegevens_B!M77&lt;&gt;"", Klantgegevens_B!M77, IF(Klantgegevens_A!L77&gt;=7, "ja", "nee"))</f>
        <v/>
      </c>
      <c r="O78">
        <f>IF(Klantgegevens_B!N77&lt;&gt;"", Klantgegevens_B!N77, IF(Klantgegevens_A!L77&gt;=7, "ja", "nee"))</f>
        <v/>
      </c>
      <c r="P78">
        <f>IF(Klantgegevens_B!O77&lt;&gt;"", Klantgegevens_B!O77, IF(Klantgegevens_A!L77&gt;=7, "ja", "nee"))</f>
        <v/>
      </c>
      <c r="Q78">
        <f>IF(Klantgegevens_B!P77&lt;&gt;"", Klantgegevens_B!P77, Klantgegevens_A!M77)</f>
        <v/>
      </c>
      <c r="R78">
        <f>IF(Klantgegevens_B!A77&lt;&gt;"", "B", "A")</f>
        <v/>
      </c>
    </row>
    <row r="79">
      <c r="A79">
        <f>IF(Klantgegevens_B!A78&lt;&gt;"", Klantgegevens_B!A78, MID(Klantgegevens_A!A78, FIND(",", Klantgegevens_A!A78)+2, LEN(Klantgegevens_A!A78)))</f>
        <v/>
      </c>
      <c r="B79">
        <f>IF(Klantgegevens_B!B78&lt;&gt;"", Klantgegevens_B!B78, LEFT(Klantgegevens_A!A78, FIND(",", Klantgegevens_A!A78)-1))</f>
        <v/>
      </c>
      <c r="C79">
        <f>C78 &amp; ", " &amp; B78</f>
        <v/>
      </c>
      <c r="D79">
        <f>IF(Klantgegevens_B!F78&lt;&gt;"", Klantgegevens_B!F78, Klantgegevens_A!D78 &amp; " " &amp; Klantgegevens_A!E78 &amp; ", " &amp; Klantgegevens_A!F78)</f>
        <v/>
      </c>
      <c r="E79">
        <f>IF(Klantgegevens_B!G78&lt;&gt;"", Klantgegevens_B!G78, TEXTJOIN(",", TRUE, REPT("Volwassene,", Klantgegevens_A!G78), REPT("Kind,", Klantgegevens_A!H78)))</f>
        <v/>
      </c>
      <c r="F79">
        <f>IF(Klantgegevens_B!G78&lt;&gt;"", LEN(Klantgegevens_B!G78)-LEN(SUBSTITUTE(Klantgegevens_B!G78, ",", ""))+1, Klantgegevens_A!G78)</f>
        <v/>
      </c>
      <c r="G79">
        <f>IF(Klantgegevens_B!G78&lt;&gt;"", 0, Klantgegevens_A!H78)</f>
        <v/>
      </c>
      <c r="H79">
        <f>IF(Klantgegevens_B!H78&lt;&gt;"", Klantgegevens_B!H78, Klantgegevens_A!I78)</f>
        <v/>
      </c>
      <c r="I79">
        <f>IF(Klantgegevens_B!I78&lt;&gt;"", Klantgegevens_B!I78, SWITCH(Klantgegevens_A!J78, "Zelden", 1, "Af en toe", 4, "Regelmatig", 8, "Vaak", 12))</f>
        <v/>
      </c>
      <c r="J79">
        <f>IF(Klantgegevens_B!J78&lt;&gt;"", Klantgegevens_B!J78, Klantgegevens_A!K78)</f>
        <v/>
      </c>
      <c r="K79">
        <f>IF(Klantgegevens_B!K78&lt;&gt;"", AVERAGE(--(Klantgegevens_B!K78="ja"), --(Klantgegevens_B!L78="ja"), --(Klantgegevens_B!M78="ja"), --(Klantgegevens_B!N78="ja"), --(Klantgegevens_B!O78="ja"))*10, Klantgegevens_A!L78)</f>
        <v/>
      </c>
      <c r="L79">
        <f>IF(Klantgegevens_B!K78&lt;&gt;"", Klantgegevens_B!K78, IF(Klantgegevens_A!L78&gt;=7, "ja", "nee"))</f>
        <v/>
      </c>
      <c r="M79">
        <f>IF(Klantgegevens_B!L78&lt;&gt;"", Klantgegevens_B!L78, IF(Klantgegevens_A!L78&gt;=7, "ja", "nee"))</f>
        <v/>
      </c>
      <c r="N79">
        <f>IF(Klantgegevens_B!M78&lt;&gt;"", Klantgegevens_B!M78, IF(Klantgegevens_A!L78&gt;=7, "ja", "nee"))</f>
        <v/>
      </c>
      <c r="O79">
        <f>IF(Klantgegevens_B!N78&lt;&gt;"", Klantgegevens_B!N78, IF(Klantgegevens_A!L78&gt;=7, "ja", "nee"))</f>
        <v/>
      </c>
      <c r="P79">
        <f>IF(Klantgegevens_B!O78&lt;&gt;"", Klantgegevens_B!O78, IF(Klantgegevens_A!L78&gt;=7, "ja", "nee"))</f>
        <v/>
      </c>
      <c r="Q79">
        <f>IF(Klantgegevens_B!P78&lt;&gt;"", Klantgegevens_B!P78, Klantgegevens_A!M78)</f>
        <v/>
      </c>
      <c r="R79">
        <f>IF(Klantgegevens_B!A78&lt;&gt;"", "B", "A")</f>
        <v/>
      </c>
    </row>
    <row r="80">
      <c r="A80">
        <f>IF(Klantgegevens_B!A79&lt;&gt;"", Klantgegevens_B!A79, MID(Klantgegevens_A!A79, FIND(",", Klantgegevens_A!A79)+2, LEN(Klantgegevens_A!A79)))</f>
        <v/>
      </c>
      <c r="B80">
        <f>IF(Klantgegevens_B!B79&lt;&gt;"", Klantgegevens_B!B79, LEFT(Klantgegevens_A!A79, FIND(",", Klantgegevens_A!A79)-1))</f>
        <v/>
      </c>
      <c r="C80">
        <f>C79 &amp; ", " &amp; B79</f>
        <v/>
      </c>
      <c r="D80">
        <f>IF(Klantgegevens_B!F79&lt;&gt;"", Klantgegevens_B!F79, Klantgegevens_A!D79 &amp; " " &amp; Klantgegevens_A!E79 &amp; ", " &amp; Klantgegevens_A!F79)</f>
        <v/>
      </c>
      <c r="E80">
        <f>IF(Klantgegevens_B!G79&lt;&gt;"", Klantgegevens_B!G79, TEXTJOIN(",", TRUE, REPT("Volwassene,", Klantgegevens_A!G79), REPT("Kind,", Klantgegevens_A!H79)))</f>
        <v/>
      </c>
      <c r="F80">
        <f>IF(Klantgegevens_B!G79&lt;&gt;"", LEN(Klantgegevens_B!G79)-LEN(SUBSTITUTE(Klantgegevens_B!G79, ",", ""))+1, Klantgegevens_A!G79)</f>
        <v/>
      </c>
      <c r="G80">
        <f>IF(Klantgegevens_B!G79&lt;&gt;"", 0, Klantgegevens_A!H79)</f>
        <v/>
      </c>
      <c r="H80">
        <f>IF(Klantgegevens_B!H79&lt;&gt;"", Klantgegevens_B!H79, Klantgegevens_A!I79)</f>
        <v/>
      </c>
      <c r="I80">
        <f>IF(Klantgegevens_B!I79&lt;&gt;"", Klantgegevens_B!I79, SWITCH(Klantgegevens_A!J79, "Zelden", 1, "Af en toe", 4, "Regelmatig", 8, "Vaak", 12))</f>
        <v/>
      </c>
      <c r="J80">
        <f>IF(Klantgegevens_B!J79&lt;&gt;"", Klantgegevens_B!J79, Klantgegevens_A!K79)</f>
        <v/>
      </c>
      <c r="K80">
        <f>IF(Klantgegevens_B!K79&lt;&gt;"", AVERAGE(--(Klantgegevens_B!K79="ja"), --(Klantgegevens_B!L79="ja"), --(Klantgegevens_B!M79="ja"), --(Klantgegevens_B!N79="ja"), --(Klantgegevens_B!O79="ja"))*10, Klantgegevens_A!L79)</f>
        <v/>
      </c>
      <c r="L80">
        <f>IF(Klantgegevens_B!K79&lt;&gt;"", Klantgegevens_B!K79, IF(Klantgegevens_A!L79&gt;=7, "ja", "nee"))</f>
        <v/>
      </c>
      <c r="M80">
        <f>IF(Klantgegevens_B!L79&lt;&gt;"", Klantgegevens_B!L79, IF(Klantgegevens_A!L79&gt;=7, "ja", "nee"))</f>
        <v/>
      </c>
      <c r="N80">
        <f>IF(Klantgegevens_B!M79&lt;&gt;"", Klantgegevens_B!M79, IF(Klantgegevens_A!L79&gt;=7, "ja", "nee"))</f>
        <v/>
      </c>
      <c r="O80">
        <f>IF(Klantgegevens_B!N79&lt;&gt;"", Klantgegevens_B!N79, IF(Klantgegevens_A!L79&gt;=7, "ja", "nee"))</f>
        <v/>
      </c>
      <c r="P80">
        <f>IF(Klantgegevens_B!O79&lt;&gt;"", Klantgegevens_B!O79, IF(Klantgegevens_A!L79&gt;=7, "ja", "nee"))</f>
        <v/>
      </c>
      <c r="Q80">
        <f>IF(Klantgegevens_B!P79&lt;&gt;"", Klantgegevens_B!P79, Klantgegevens_A!M79)</f>
        <v/>
      </c>
      <c r="R80">
        <f>IF(Klantgegevens_B!A79&lt;&gt;"", "B", "A")</f>
        <v/>
      </c>
    </row>
    <row r="81">
      <c r="A81">
        <f>IF(Klantgegevens_B!A80&lt;&gt;"", Klantgegevens_B!A80, MID(Klantgegevens_A!A80, FIND(",", Klantgegevens_A!A80)+2, LEN(Klantgegevens_A!A80)))</f>
        <v/>
      </c>
      <c r="B81">
        <f>IF(Klantgegevens_B!B80&lt;&gt;"", Klantgegevens_B!B80, LEFT(Klantgegevens_A!A80, FIND(",", Klantgegevens_A!A80)-1))</f>
        <v/>
      </c>
      <c r="C81">
        <f>C80 &amp; ", " &amp; B80</f>
        <v/>
      </c>
      <c r="D81">
        <f>IF(Klantgegevens_B!F80&lt;&gt;"", Klantgegevens_B!F80, Klantgegevens_A!D80 &amp; " " &amp; Klantgegevens_A!E80 &amp; ", " &amp; Klantgegevens_A!F80)</f>
        <v/>
      </c>
      <c r="E81">
        <f>IF(Klantgegevens_B!G80&lt;&gt;"", Klantgegevens_B!G80, TEXTJOIN(",", TRUE, REPT("Volwassene,", Klantgegevens_A!G80), REPT("Kind,", Klantgegevens_A!H80)))</f>
        <v/>
      </c>
      <c r="F81">
        <f>IF(Klantgegevens_B!G80&lt;&gt;"", LEN(Klantgegevens_B!G80)-LEN(SUBSTITUTE(Klantgegevens_B!G80, ",", ""))+1, Klantgegevens_A!G80)</f>
        <v/>
      </c>
      <c r="G81">
        <f>IF(Klantgegevens_B!G80&lt;&gt;"", 0, Klantgegevens_A!H80)</f>
        <v/>
      </c>
      <c r="H81">
        <f>IF(Klantgegevens_B!H80&lt;&gt;"", Klantgegevens_B!H80, Klantgegevens_A!I80)</f>
        <v/>
      </c>
      <c r="I81">
        <f>IF(Klantgegevens_B!I80&lt;&gt;"", Klantgegevens_B!I80, SWITCH(Klantgegevens_A!J80, "Zelden", 1, "Af en toe", 4, "Regelmatig", 8, "Vaak", 12))</f>
        <v/>
      </c>
      <c r="J81">
        <f>IF(Klantgegevens_B!J80&lt;&gt;"", Klantgegevens_B!J80, Klantgegevens_A!K80)</f>
        <v/>
      </c>
      <c r="K81">
        <f>IF(Klantgegevens_B!K80&lt;&gt;"", AVERAGE(--(Klantgegevens_B!K80="ja"), --(Klantgegevens_B!L80="ja"), --(Klantgegevens_B!M80="ja"), --(Klantgegevens_B!N80="ja"), --(Klantgegevens_B!O80="ja"))*10, Klantgegevens_A!L80)</f>
        <v/>
      </c>
      <c r="L81">
        <f>IF(Klantgegevens_B!K80&lt;&gt;"", Klantgegevens_B!K80, IF(Klantgegevens_A!L80&gt;=7, "ja", "nee"))</f>
        <v/>
      </c>
      <c r="M81">
        <f>IF(Klantgegevens_B!L80&lt;&gt;"", Klantgegevens_B!L80, IF(Klantgegevens_A!L80&gt;=7, "ja", "nee"))</f>
        <v/>
      </c>
      <c r="N81">
        <f>IF(Klantgegevens_B!M80&lt;&gt;"", Klantgegevens_B!M80, IF(Klantgegevens_A!L80&gt;=7, "ja", "nee"))</f>
        <v/>
      </c>
      <c r="O81">
        <f>IF(Klantgegevens_B!N80&lt;&gt;"", Klantgegevens_B!N80, IF(Klantgegevens_A!L80&gt;=7, "ja", "nee"))</f>
        <v/>
      </c>
      <c r="P81">
        <f>IF(Klantgegevens_B!O80&lt;&gt;"", Klantgegevens_B!O80, IF(Klantgegevens_A!L80&gt;=7, "ja", "nee"))</f>
        <v/>
      </c>
      <c r="Q81">
        <f>IF(Klantgegevens_B!P80&lt;&gt;"", Klantgegevens_B!P80, Klantgegevens_A!M80)</f>
        <v/>
      </c>
      <c r="R81">
        <f>IF(Klantgegevens_B!A80&lt;&gt;"", "B", "A")</f>
        <v/>
      </c>
    </row>
    <row r="82">
      <c r="A82">
        <f>IF(Klantgegevens_B!A81&lt;&gt;"", Klantgegevens_B!A81, MID(Klantgegevens_A!A81, FIND(",", Klantgegevens_A!A81)+2, LEN(Klantgegevens_A!A81)))</f>
        <v/>
      </c>
      <c r="B82">
        <f>IF(Klantgegevens_B!B81&lt;&gt;"", Klantgegevens_B!B81, LEFT(Klantgegevens_A!A81, FIND(",", Klantgegevens_A!A81)-1))</f>
        <v/>
      </c>
      <c r="C82">
        <f>C81 &amp; ", " &amp; B81</f>
        <v/>
      </c>
      <c r="D82">
        <f>IF(Klantgegevens_B!F81&lt;&gt;"", Klantgegevens_B!F81, Klantgegevens_A!D81 &amp; " " &amp; Klantgegevens_A!E81 &amp; ", " &amp; Klantgegevens_A!F81)</f>
        <v/>
      </c>
      <c r="E82">
        <f>IF(Klantgegevens_B!G81&lt;&gt;"", Klantgegevens_B!G81, TEXTJOIN(",", TRUE, REPT("Volwassene,", Klantgegevens_A!G81), REPT("Kind,", Klantgegevens_A!H81)))</f>
        <v/>
      </c>
      <c r="F82">
        <f>IF(Klantgegevens_B!G81&lt;&gt;"", LEN(Klantgegevens_B!G81)-LEN(SUBSTITUTE(Klantgegevens_B!G81, ",", ""))+1, Klantgegevens_A!G81)</f>
        <v/>
      </c>
      <c r="G82">
        <f>IF(Klantgegevens_B!G81&lt;&gt;"", 0, Klantgegevens_A!H81)</f>
        <v/>
      </c>
      <c r="H82">
        <f>IF(Klantgegevens_B!H81&lt;&gt;"", Klantgegevens_B!H81, Klantgegevens_A!I81)</f>
        <v/>
      </c>
      <c r="I82">
        <f>IF(Klantgegevens_B!I81&lt;&gt;"", Klantgegevens_B!I81, SWITCH(Klantgegevens_A!J81, "Zelden", 1, "Af en toe", 4, "Regelmatig", 8, "Vaak", 12))</f>
        <v/>
      </c>
      <c r="J82">
        <f>IF(Klantgegevens_B!J81&lt;&gt;"", Klantgegevens_B!J81, Klantgegevens_A!K81)</f>
        <v/>
      </c>
      <c r="K82">
        <f>IF(Klantgegevens_B!K81&lt;&gt;"", AVERAGE(--(Klantgegevens_B!K81="ja"), --(Klantgegevens_B!L81="ja"), --(Klantgegevens_B!M81="ja"), --(Klantgegevens_B!N81="ja"), --(Klantgegevens_B!O81="ja"))*10, Klantgegevens_A!L81)</f>
        <v/>
      </c>
      <c r="L82">
        <f>IF(Klantgegevens_B!K81&lt;&gt;"", Klantgegevens_B!K81, IF(Klantgegevens_A!L81&gt;=7, "ja", "nee"))</f>
        <v/>
      </c>
      <c r="M82">
        <f>IF(Klantgegevens_B!L81&lt;&gt;"", Klantgegevens_B!L81, IF(Klantgegevens_A!L81&gt;=7, "ja", "nee"))</f>
        <v/>
      </c>
      <c r="N82">
        <f>IF(Klantgegevens_B!M81&lt;&gt;"", Klantgegevens_B!M81, IF(Klantgegevens_A!L81&gt;=7, "ja", "nee"))</f>
        <v/>
      </c>
      <c r="O82">
        <f>IF(Klantgegevens_B!N81&lt;&gt;"", Klantgegevens_B!N81, IF(Klantgegevens_A!L81&gt;=7, "ja", "nee"))</f>
        <v/>
      </c>
      <c r="P82">
        <f>IF(Klantgegevens_B!O81&lt;&gt;"", Klantgegevens_B!O81, IF(Klantgegevens_A!L81&gt;=7, "ja", "nee"))</f>
        <v/>
      </c>
      <c r="Q82">
        <f>IF(Klantgegevens_B!P81&lt;&gt;"", Klantgegevens_B!P81, Klantgegevens_A!M81)</f>
        <v/>
      </c>
      <c r="R82">
        <f>IF(Klantgegevens_B!A81&lt;&gt;"", "B", "A")</f>
        <v/>
      </c>
    </row>
    <row r="83">
      <c r="A83">
        <f>IF(Klantgegevens_B!A82&lt;&gt;"", Klantgegevens_B!A82, MID(Klantgegevens_A!A82, FIND(",", Klantgegevens_A!A82)+2, LEN(Klantgegevens_A!A82)))</f>
        <v/>
      </c>
      <c r="B83">
        <f>IF(Klantgegevens_B!B82&lt;&gt;"", Klantgegevens_B!B82, LEFT(Klantgegevens_A!A82, FIND(",", Klantgegevens_A!A82)-1))</f>
        <v/>
      </c>
      <c r="C83">
        <f>C82 &amp; ", " &amp; B82</f>
        <v/>
      </c>
      <c r="D83">
        <f>IF(Klantgegevens_B!F82&lt;&gt;"", Klantgegevens_B!F82, Klantgegevens_A!D82 &amp; " " &amp; Klantgegevens_A!E82 &amp; ", " &amp; Klantgegevens_A!F82)</f>
        <v/>
      </c>
      <c r="E83">
        <f>IF(Klantgegevens_B!G82&lt;&gt;"", Klantgegevens_B!G82, TEXTJOIN(",", TRUE, REPT("Volwassene,", Klantgegevens_A!G82), REPT("Kind,", Klantgegevens_A!H82)))</f>
        <v/>
      </c>
      <c r="F83">
        <f>IF(Klantgegevens_B!G82&lt;&gt;"", LEN(Klantgegevens_B!G82)-LEN(SUBSTITUTE(Klantgegevens_B!G82, ",", ""))+1, Klantgegevens_A!G82)</f>
        <v/>
      </c>
      <c r="G83">
        <f>IF(Klantgegevens_B!G82&lt;&gt;"", 0, Klantgegevens_A!H82)</f>
        <v/>
      </c>
      <c r="H83">
        <f>IF(Klantgegevens_B!H82&lt;&gt;"", Klantgegevens_B!H82, Klantgegevens_A!I82)</f>
        <v/>
      </c>
      <c r="I83">
        <f>IF(Klantgegevens_B!I82&lt;&gt;"", Klantgegevens_B!I82, SWITCH(Klantgegevens_A!J82, "Zelden", 1, "Af en toe", 4, "Regelmatig", 8, "Vaak", 12))</f>
        <v/>
      </c>
      <c r="J83">
        <f>IF(Klantgegevens_B!J82&lt;&gt;"", Klantgegevens_B!J82, Klantgegevens_A!K82)</f>
        <v/>
      </c>
      <c r="K83">
        <f>IF(Klantgegevens_B!K82&lt;&gt;"", AVERAGE(--(Klantgegevens_B!K82="ja"), --(Klantgegevens_B!L82="ja"), --(Klantgegevens_B!M82="ja"), --(Klantgegevens_B!N82="ja"), --(Klantgegevens_B!O82="ja"))*10, Klantgegevens_A!L82)</f>
        <v/>
      </c>
      <c r="L83">
        <f>IF(Klantgegevens_B!K82&lt;&gt;"", Klantgegevens_B!K82, IF(Klantgegevens_A!L82&gt;=7, "ja", "nee"))</f>
        <v/>
      </c>
      <c r="M83">
        <f>IF(Klantgegevens_B!L82&lt;&gt;"", Klantgegevens_B!L82, IF(Klantgegevens_A!L82&gt;=7, "ja", "nee"))</f>
        <v/>
      </c>
      <c r="N83">
        <f>IF(Klantgegevens_B!M82&lt;&gt;"", Klantgegevens_B!M82, IF(Klantgegevens_A!L82&gt;=7, "ja", "nee"))</f>
        <v/>
      </c>
      <c r="O83">
        <f>IF(Klantgegevens_B!N82&lt;&gt;"", Klantgegevens_B!N82, IF(Klantgegevens_A!L82&gt;=7, "ja", "nee"))</f>
        <v/>
      </c>
      <c r="P83">
        <f>IF(Klantgegevens_B!O82&lt;&gt;"", Klantgegevens_B!O82, IF(Klantgegevens_A!L82&gt;=7, "ja", "nee"))</f>
        <v/>
      </c>
      <c r="Q83">
        <f>IF(Klantgegevens_B!P82&lt;&gt;"", Klantgegevens_B!P82, Klantgegevens_A!M82)</f>
        <v/>
      </c>
      <c r="R83">
        <f>IF(Klantgegevens_B!A82&lt;&gt;"", "B", "A")</f>
        <v/>
      </c>
    </row>
    <row r="84">
      <c r="A84">
        <f>IF(Klantgegevens_B!A83&lt;&gt;"", Klantgegevens_B!A83, MID(Klantgegevens_A!A83, FIND(",", Klantgegevens_A!A83)+2, LEN(Klantgegevens_A!A83)))</f>
        <v/>
      </c>
      <c r="B84">
        <f>IF(Klantgegevens_B!B83&lt;&gt;"", Klantgegevens_B!B83, LEFT(Klantgegevens_A!A83, FIND(",", Klantgegevens_A!A83)-1))</f>
        <v/>
      </c>
      <c r="C84">
        <f>C83 &amp; ", " &amp; B83</f>
        <v/>
      </c>
      <c r="D84">
        <f>IF(Klantgegevens_B!F83&lt;&gt;"", Klantgegevens_B!F83, Klantgegevens_A!D83 &amp; " " &amp; Klantgegevens_A!E83 &amp; ", " &amp; Klantgegevens_A!F83)</f>
        <v/>
      </c>
      <c r="E84">
        <f>IF(Klantgegevens_B!G83&lt;&gt;"", Klantgegevens_B!G83, TEXTJOIN(",", TRUE, REPT("Volwassene,", Klantgegevens_A!G83), REPT("Kind,", Klantgegevens_A!H83)))</f>
        <v/>
      </c>
      <c r="F84">
        <f>IF(Klantgegevens_B!G83&lt;&gt;"", LEN(Klantgegevens_B!G83)-LEN(SUBSTITUTE(Klantgegevens_B!G83, ",", ""))+1, Klantgegevens_A!G83)</f>
        <v/>
      </c>
      <c r="G84">
        <f>IF(Klantgegevens_B!G83&lt;&gt;"", 0, Klantgegevens_A!H83)</f>
        <v/>
      </c>
      <c r="H84">
        <f>IF(Klantgegevens_B!H83&lt;&gt;"", Klantgegevens_B!H83, Klantgegevens_A!I83)</f>
        <v/>
      </c>
      <c r="I84">
        <f>IF(Klantgegevens_B!I83&lt;&gt;"", Klantgegevens_B!I83, SWITCH(Klantgegevens_A!J83, "Zelden", 1, "Af en toe", 4, "Regelmatig", 8, "Vaak", 12))</f>
        <v/>
      </c>
      <c r="J84">
        <f>IF(Klantgegevens_B!J83&lt;&gt;"", Klantgegevens_B!J83, Klantgegevens_A!K83)</f>
        <v/>
      </c>
      <c r="K84">
        <f>IF(Klantgegevens_B!K83&lt;&gt;"", AVERAGE(--(Klantgegevens_B!K83="ja"), --(Klantgegevens_B!L83="ja"), --(Klantgegevens_B!M83="ja"), --(Klantgegevens_B!N83="ja"), --(Klantgegevens_B!O83="ja"))*10, Klantgegevens_A!L83)</f>
        <v/>
      </c>
      <c r="L84">
        <f>IF(Klantgegevens_B!K83&lt;&gt;"", Klantgegevens_B!K83, IF(Klantgegevens_A!L83&gt;=7, "ja", "nee"))</f>
        <v/>
      </c>
      <c r="M84">
        <f>IF(Klantgegevens_B!L83&lt;&gt;"", Klantgegevens_B!L83, IF(Klantgegevens_A!L83&gt;=7, "ja", "nee"))</f>
        <v/>
      </c>
      <c r="N84">
        <f>IF(Klantgegevens_B!M83&lt;&gt;"", Klantgegevens_B!M83, IF(Klantgegevens_A!L83&gt;=7, "ja", "nee"))</f>
        <v/>
      </c>
      <c r="O84">
        <f>IF(Klantgegevens_B!N83&lt;&gt;"", Klantgegevens_B!N83, IF(Klantgegevens_A!L83&gt;=7, "ja", "nee"))</f>
        <v/>
      </c>
      <c r="P84">
        <f>IF(Klantgegevens_B!O83&lt;&gt;"", Klantgegevens_B!O83, IF(Klantgegevens_A!L83&gt;=7, "ja", "nee"))</f>
        <v/>
      </c>
      <c r="Q84">
        <f>IF(Klantgegevens_B!P83&lt;&gt;"", Klantgegevens_B!P83, Klantgegevens_A!M83)</f>
        <v/>
      </c>
      <c r="R84">
        <f>IF(Klantgegevens_B!A83&lt;&gt;"", "B", "A")</f>
        <v/>
      </c>
    </row>
    <row r="85">
      <c r="A85">
        <f>IF(Klantgegevens_B!A84&lt;&gt;"", Klantgegevens_B!A84, MID(Klantgegevens_A!A84, FIND(",", Klantgegevens_A!A84)+2, LEN(Klantgegevens_A!A84)))</f>
        <v/>
      </c>
      <c r="B85">
        <f>IF(Klantgegevens_B!B84&lt;&gt;"", Klantgegevens_B!B84, LEFT(Klantgegevens_A!A84, FIND(",", Klantgegevens_A!A84)-1))</f>
        <v/>
      </c>
      <c r="C85">
        <f>C84 &amp; ", " &amp; B84</f>
        <v/>
      </c>
      <c r="D85">
        <f>IF(Klantgegevens_B!F84&lt;&gt;"", Klantgegevens_B!F84, Klantgegevens_A!D84 &amp; " " &amp; Klantgegevens_A!E84 &amp; ", " &amp; Klantgegevens_A!F84)</f>
        <v/>
      </c>
      <c r="E85">
        <f>IF(Klantgegevens_B!G84&lt;&gt;"", Klantgegevens_B!G84, TEXTJOIN(",", TRUE, REPT("Volwassene,", Klantgegevens_A!G84), REPT("Kind,", Klantgegevens_A!H84)))</f>
        <v/>
      </c>
      <c r="F85">
        <f>IF(Klantgegevens_B!G84&lt;&gt;"", LEN(Klantgegevens_B!G84)-LEN(SUBSTITUTE(Klantgegevens_B!G84, ",", ""))+1, Klantgegevens_A!G84)</f>
        <v/>
      </c>
      <c r="G85">
        <f>IF(Klantgegevens_B!G84&lt;&gt;"", 0, Klantgegevens_A!H84)</f>
        <v/>
      </c>
      <c r="H85">
        <f>IF(Klantgegevens_B!H84&lt;&gt;"", Klantgegevens_B!H84, Klantgegevens_A!I84)</f>
        <v/>
      </c>
      <c r="I85">
        <f>IF(Klantgegevens_B!I84&lt;&gt;"", Klantgegevens_B!I84, SWITCH(Klantgegevens_A!J84, "Zelden", 1, "Af en toe", 4, "Regelmatig", 8, "Vaak", 12))</f>
        <v/>
      </c>
      <c r="J85">
        <f>IF(Klantgegevens_B!J84&lt;&gt;"", Klantgegevens_B!J84, Klantgegevens_A!K84)</f>
        <v/>
      </c>
      <c r="K85">
        <f>IF(Klantgegevens_B!K84&lt;&gt;"", AVERAGE(--(Klantgegevens_B!K84="ja"), --(Klantgegevens_B!L84="ja"), --(Klantgegevens_B!M84="ja"), --(Klantgegevens_B!N84="ja"), --(Klantgegevens_B!O84="ja"))*10, Klantgegevens_A!L84)</f>
        <v/>
      </c>
      <c r="L85">
        <f>IF(Klantgegevens_B!K84&lt;&gt;"", Klantgegevens_B!K84, IF(Klantgegevens_A!L84&gt;=7, "ja", "nee"))</f>
        <v/>
      </c>
      <c r="M85">
        <f>IF(Klantgegevens_B!L84&lt;&gt;"", Klantgegevens_B!L84, IF(Klantgegevens_A!L84&gt;=7, "ja", "nee"))</f>
        <v/>
      </c>
      <c r="N85">
        <f>IF(Klantgegevens_B!M84&lt;&gt;"", Klantgegevens_B!M84, IF(Klantgegevens_A!L84&gt;=7, "ja", "nee"))</f>
        <v/>
      </c>
      <c r="O85">
        <f>IF(Klantgegevens_B!N84&lt;&gt;"", Klantgegevens_B!N84, IF(Klantgegevens_A!L84&gt;=7, "ja", "nee"))</f>
        <v/>
      </c>
      <c r="P85">
        <f>IF(Klantgegevens_B!O84&lt;&gt;"", Klantgegevens_B!O84, IF(Klantgegevens_A!L84&gt;=7, "ja", "nee"))</f>
        <v/>
      </c>
      <c r="Q85">
        <f>IF(Klantgegevens_B!P84&lt;&gt;"", Klantgegevens_B!P84, Klantgegevens_A!M84)</f>
        <v/>
      </c>
      <c r="R85">
        <f>IF(Klantgegevens_B!A84&lt;&gt;"", "B", "A")</f>
        <v/>
      </c>
    </row>
    <row r="86">
      <c r="A86">
        <f>IF(Klantgegevens_B!A85&lt;&gt;"", Klantgegevens_B!A85, MID(Klantgegevens_A!A85, FIND(",", Klantgegevens_A!A85)+2, LEN(Klantgegevens_A!A85)))</f>
        <v/>
      </c>
      <c r="B86">
        <f>IF(Klantgegevens_B!B85&lt;&gt;"", Klantgegevens_B!B85, LEFT(Klantgegevens_A!A85, FIND(",", Klantgegevens_A!A85)-1))</f>
        <v/>
      </c>
      <c r="C86">
        <f>C85 &amp; ", " &amp; B85</f>
        <v/>
      </c>
      <c r="D86">
        <f>IF(Klantgegevens_B!F85&lt;&gt;"", Klantgegevens_B!F85, Klantgegevens_A!D85 &amp; " " &amp; Klantgegevens_A!E85 &amp; ", " &amp; Klantgegevens_A!F85)</f>
        <v/>
      </c>
      <c r="E86">
        <f>IF(Klantgegevens_B!G85&lt;&gt;"", Klantgegevens_B!G85, TEXTJOIN(",", TRUE, REPT("Volwassene,", Klantgegevens_A!G85), REPT("Kind,", Klantgegevens_A!H85)))</f>
        <v/>
      </c>
      <c r="F86">
        <f>IF(Klantgegevens_B!G85&lt;&gt;"", LEN(Klantgegevens_B!G85)-LEN(SUBSTITUTE(Klantgegevens_B!G85, ",", ""))+1, Klantgegevens_A!G85)</f>
        <v/>
      </c>
      <c r="G86">
        <f>IF(Klantgegevens_B!G85&lt;&gt;"", 0, Klantgegevens_A!H85)</f>
        <v/>
      </c>
      <c r="H86">
        <f>IF(Klantgegevens_B!H85&lt;&gt;"", Klantgegevens_B!H85, Klantgegevens_A!I85)</f>
        <v/>
      </c>
      <c r="I86">
        <f>IF(Klantgegevens_B!I85&lt;&gt;"", Klantgegevens_B!I85, SWITCH(Klantgegevens_A!J85, "Zelden", 1, "Af en toe", 4, "Regelmatig", 8, "Vaak", 12))</f>
        <v/>
      </c>
      <c r="J86">
        <f>IF(Klantgegevens_B!J85&lt;&gt;"", Klantgegevens_B!J85, Klantgegevens_A!K85)</f>
        <v/>
      </c>
      <c r="K86">
        <f>IF(Klantgegevens_B!K85&lt;&gt;"", AVERAGE(--(Klantgegevens_B!K85="ja"), --(Klantgegevens_B!L85="ja"), --(Klantgegevens_B!M85="ja"), --(Klantgegevens_B!N85="ja"), --(Klantgegevens_B!O85="ja"))*10, Klantgegevens_A!L85)</f>
        <v/>
      </c>
      <c r="L86">
        <f>IF(Klantgegevens_B!K85&lt;&gt;"", Klantgegevens_B!K85, IF(Klantgegevens_A!L85&gt;=7, "ja", "nee"))</f>
        <v/>
      </c>
      <c r="M86">
        <f>IF(Klantgegevens_B!L85&lt;&gt;"", Klantgegevens_B!L85, IF(Klantgegevens_A!L85&gt;=7, "ja", "nee"))</f>
        <v/>
      </c>
      <c r="N86">
        <f>IF(Klantgegevens_B!M85&lt;&gt;"", Klantgegevens_B!M85, IF(Klantgegevens_A!L85&gt;=7, "ja", "nee"))</f>
        <v/>
      </c>
      <c r="O86">
        <f>IF(Klantgegevens_B!N85&lt;&gt;"", Klantgegevens_B!N85, IF(Klantgegevens_A!L85&gt;=7, "ja", "nee"))</f>
        <v/>
      </c>
      <c r="P86">
        <f>IF(Klantgegevens_B!O85&lt;&gt;"", Klantgegevens_B!O85, IF(Klantgegevens_A!L85&gt;=7, "ja", "nee"))</f>
        <v/>
      </c>
      <c r="Q86">
        <f>IF(Klantgegevens_B!P85&lt;&gt;"", Klantgegevens_B!P85, Klantgegevens_A!M85)</f>
        <v/>
      </c>
      <c r="R86">
        <f>IF(Klantgegevens_B!A85&lt;&gt;"", "B", "A")</f>
        <v/>
      </c>
    </row>
    <row r="87">
      <c r="A87">
        <f>IF(Klantgegevens_B!A86&lt;&gt;"", Klantgegevens_B!A86, MID(Klantgegevens_A!A86, FIND(",", Klantgegevens_A!A86)+2, LEN(Klantgegevens_A!A86)))</f>
        <v/>
      </c>
      <c r="B87">
        <f>IF(Klantgegevens_B!B86&lt;&gt;"", Klantgegevens_B!B86, LEFT(Klantgegevens_A!A86, FIND(",", Klantgegevens_A!A86)-1))</f>
        <v/>
      </c>
      <c r="C87">
        <f>C86 &amp; ", " &amp; B86</f>
        <v/>
      </c>
      <c r="D87">
        <f>IF(Klantgegevens_B!F86&lt;&gt;"", Klantgegevens_B!F86, Klantgegevens_A!D86 &amp; " " &amp; Klantgegevens_A!E86 &amp; ", " &amp; Klantgegevens_A!F86)</f>
        <v/>
      </c>
      <c r="E87">
        <f>IF(Klantgegevens_B!G86&lt;&gt;"", Klantgegevens_B!G86, TEXTJOIN(",", TRUE, REPT("Volwassene,", Klantgegevens_A!G86), REPT("Kind,", Klantgegevens_A!H86)))</f>
        <v/>
      </c>
      <c r="F87">
        <f>IF(Klantgegevens_B!G86&lt;&gt;"", LEN(Klantgegevens_B!G86)-LEN(SUBSTITUTE(Klantgegevens_B!G86, ",", ""))+1, Klantgegevens_A!G86)</f>
        <v/>
      </c>
      <c r="G87">
        <f>IF(Klantgegevens_B!G86&lt;&gt;"", 0, Klantgegevens_A!H86)</f>
        <v/>
      </c>
      <c r="H87">
        <f>IF(Klantgegevens_B!H86&lt;&gt;"", Klantgegevens_B!H86, Klantgegevens_A!I86)</f>
        <v/>
      </c>
      <c r="I87">
        <f>IF(Klantgegevens_B!I86&lt;&gt;"", Klantgegevens_B!I86, SWITCH(Klantgegevens_A!J86, "Zelden", 1, "Af en toe", 4, "Regelmatig", 8, "Vaak", 12))</f>
        <v/>
      </c>
      <c r="J87">
        <f>IF(Klantgegevens_B!J86&lt;&gt;"", Klantgegevens_B!J86, Klantgegevens_A!K86)</f>
        <v/>
      </c>
      <c r="K87">
        <f>IF(Klantgegevens_B!K86&lt;&gt;"", AVERAGE(--(Klantgegevens_B!K86="ja"), --(Klantgegevens_B!L86="ja"), --(Klantgegevens_B!M86="ja"), --(Klantgegevens_B!N86="ja"), --(Klantgegevens_B!O86="ja"))*10, Klantgegevens_A!L86)</f>
        <v/>
      </c>
      <c r="L87">
        <f>IF(Klantgegevens_B!K86&lt;&gt;"", Klantgegevens_B!K86, IF(Klantgegevens_A!L86&gt;=7, "ja", "nee"))</f>
        <v/>
      </c>
      <c r="M87">
        <f>IF(Klantgegevens_B!L86&lt;&gt;"", Klantgegevens_B!L86, IF(Klantgegevens_A!L86&gt;=7, "ja", "nee"))</f>
        <v/>
      </c>
      <c r="N87">
        <f>IF(Klantgegevens_B!M86&lt;&gt;"", Klantgegevens_B!M86, IF(Klantgegevens_A!L86&gt;=7, "ja", "nee"))</f>
        <v/>
      </c>
      <c r="O87">
        <f>IF(Klantgegevens_B!N86&lt;&gt;"", Klantgegevens_B!N86, IF(Klantgegevens_A!L86&gt;=7, "ja", "nee"))</f>
        <v/>
      </c>
      <c r="P87">
        <f>IF(Klantgegevens_B!O86&lt;&gt;"", Klantgegevens_B!O86, IF(Klantgegevens_A!L86&gt;=7, "ja", "nee"))</f>
        <v/>
      </c>
      <c r="Q87">
        <f>IF(Klantgegevens_B!P86&lt;&gt;"", Klantgegevens_B!P86, Klantgegevens_A!M86)</f>
        <v/>
      </c>
      <c r="R87">
        <f>IF(Klantgegevens_B!A86&lt;&gt;"", "B", "A")</f>
        <v/>
      </c>
    </row>
    <row r="88">
      <c r="A88">
        <f>IF(Klantgegevens_B!A87&lt;&gt;"", Klantgegevens_B!A87, MID(Klantgegevens_A!A87, FIND(",", Klantgegevens_A!A87)+2, LEN(Klantgegevens_A!A87)))</f>
        <v/>
      </c>
      <c r="B88">
        <f>IF(Klantgegevens_B!B87&lt;&gt;"", Klantgegevens_B!B87, LEFT(Klantgegevens_A!A87, FIND(",", Klantgegevens_A!A87)-1))</f>
        <v/>
      </c>
      <c r="C88">
        <f>C87 &amp; ", " &amp; B87</f>
        <v/>
      </c>
      <c r="D88">
        <f>IF(Klantgegevens_B!F87&lt;&gt;"", Klantgegevens_B!F87, Klantgegevens_A!D87 &amp; " " &amp; Klantgegevens_A!E87 &amp; ", " &amp; Klantgegevens_A!F87)</f>
        <v/>
      </c>
      <c r="E88">
        <f>IF(Klantgegevens_B!G87&lt;&gt;"", Klantgegevens_B!G87, TEXTJOIN(",", TRUE, REPT("Volwassene,", Klantgegevens_A!G87), REPT("Kind,", Klantgegevens_A!H87)))</f>
        <v/>
      </c>
      <c r="F88">
        <f>IF(Klantgegevens_B!G87&lt;&gt;"", LEN(Klantgegevens_B!G87)-LEN(SUBSTITUTE(Klantgegevens_B!G87, ",", ""))+1, Klantgegevens_A!G87)</f>
        <v/>
      </c>
      <c r="G88">
        <f>IF(Klantgegevens_B!G87&lt;&gt;"", 0, Klantgegevens_A!H87)</f>
        <v/>
      </c>
      <c r="H88">
        <f>IF(Klantgegevens_B!H87&lt;&gt;"", Klantgegevens_B!H87, Klantgegevens_A!I87)</f>
        <v/>
      </c>
      <c r="I88">
        <f>IF(Klantgegevens_B!I87&lt;&gt;"", Klantgegevens_B!I87, SWITCH(Klantgegevens_A!J87, "Zelden", 1, "Af en toe", 4, "Regelmatig", 8, "Vaak", 12))</f>
        <v/>
      </c>
      <c r="J88">
        <f>IF(Klantgegevens_B!J87&lt;&gt;"", Klantgegevens_B!J87, Klantgegevens_A!K87)</f>
        <v/>
      </c>
      <c r="K88">
        <f>IF(Klantgegevens_B!K87&lt;&gt;"", AVERAGE(--(Klantgegevens_B!K87="ja"), --(Klantgegevens_B!L87="ja"), --(Klantgegevens_B!M87="ja"), --(Klantgegevens_B!N87="ja"), --(Klantgegevens_B!O87="ja"))*10, Klantgegevens_A!L87)</f>
        <v/>
      </c>
      <c r="L88">
        <f>IF(Klantgegevens_B!K87&lt;&gt;"", Klantgegevens_B!K87, IF(Klantgegevens_A!L87&gt;=7, "ja", "nee"))</f>
        <v/>
      </c>
      <c r="M88">
        <f>IF(Klantgegevens_B!L87&lt;&gt;"", Klantgegevens_B!L87, IF(Klantgegevens_A!L87&gt;=7, "ja", "nee"))</f>
        <v/>
      </c>
      <c r="N88">
        <f>IF(Klantgegevens_B!M87&lt;&gt;"", Klantgegevens_B!M87, IF(Klantgegevens_A!L87&gt;=7, "ja", "nee"))</f>
        <v/>
      </c>
      <c r="O88">
        <f>IF(Klantgegevens_B!N87&lt;&gt;"", Klantgegevens_B!N87, IF(Klantgegevens_A!L87&gt;=7, "ja", "nee"))</f>
        <v/>
      </c>
      <c r="P88">
        <f>IF(Klantgegevens_B!O87&lt;&gt;"", Klantgegevens_B!O87, IF(Klantgegevens_A!L87&gt;=7, "ja", "nee"))</f>
        <v/>
      </c>
      <c r="Q88">
        <f>IF(Klantgegevens_B!P87&lt;&gt;"", Klantgegevens_B!P87, Klantgegevens_A!M87)</f>
        <v/>
      </c>
      <c r="R88">
        <f>IF(Klantgegevens_B!A87&lt;&gt;"", "B", "A")</f>
        <v/>
      </c>
    </row>
    <row r="89">
      <c r="A89">
        <f>IF(Klantgegevens_B!A88&lt;&gt;"", Klantgegevens_B!A88, MID(Klantgegevens_A!A88, FIND(",", Klantgegevens_A!A88)+2, LEN(Klantgegevens_A!A88)))</f>
        <v/>
      </c>
      <c r="B89">
        <f>IF(Klantgegevens_B!B88&lt;&gt;"", Klantgegevens_B!B88, LEFT(Klantgegevens_A!A88, FIND(",", Klantgegevens_A!A88)-1))</f>
        <v/>
      </c>
      <c r="C89">
        <f>C88 &amp; ", " &amp; B88</f>
        <v/>
      </c>
      <c r="D89">
        <f>IF(Klantgegevens_B!F88&lt;&gt;"", Klantgegevens_B!F88, Klantgegevens_A!D88 &amp; " " &amp; Klantgegevens_A!E88 &amp; ", " &amp; Klantgegevens_A!F88)</f>
        <v/>
      </c>
      <c r="E89">
        <f>IF(Klantgegevens_B!G88&lt;&gt;"", Klantgegevens_B!G88, TEXTJOIN(",", TRUE, REPT("Volwassene,", Klantgegevens_A!G88), REPT("Kind,", Klantgegevens_A!H88)))</f>
        <v/>
      </c>
      <c r="F89">
        <f>IF(Klantgegevens_B!G88&lt;&gt;"", LEN(Klantgegevens_B!G88)-LEN(SUBSTITUTE(Klantgegevens_B!G88, ",", ""))+1, Klantgegevens_A!G88)</f>
        <v/>
      </c>
      <c r="G89">
        <f>IF(Klantgegevens_B!G88&lt;&gt;"", 0, Klantgegevens_A!H88)</f>
        <v/>
      </c>
      <c r="H89">
        <f>IF(Klantgegevens_B!H88&lt;&gt;"", Klantgegevens_B!H88, Klantgegevens_A!I88)</f>
        <v/>
      </c>
      <c r="I89">
        <f>IF(Klantgegevens_B!I88&lt;&gt;"", Klantgegevens_B!I88, SWITCH(Klantgegevens_A!J88, "Zelden", 1, "Af en toe", 4, "Regelmatig", 8, "Vaak", 12))</f>
        <v/>
      </c>
      <c r="J89">
        <f>IF(Klantgegevens_B!J88&lt;&gt;"", Klantgegevens_B!J88, Klantgegevens_A!K88)</f>
        <v/>
      </c>
      <c r="K89">
        <f>IF(Klantgegevens_B!K88&lt;&gt;"", AVERAGE(--(Klantgegevens_B!K88="ja"), --(Klantgegevens_B!L88="ja"), --(Klantgegevens_B!M88="ja"), --(Klantgegevens_B!N88="ja"), --(Klantgegevens_B!O88="ja"))*10, Klantgegevens_A!L88)</f>
        <v/>
      </c>
      <c r="L89">
        <f>IF(Klantgegevens_B!K88&lt;&gt;"", Klantgegevens_B!K88, IF(Klantgegevens_A!L88&gt;=7, "ja", "nee"))</f>
        <v/>
      </c>
      <c r="M89">
        <f>IF(Klantgegevens_B!L88&lt;&gt;"", Klantgegevens_B!L88, IF(Klantgegevens_A!L88&gt;=7, "ja", "nee"))</f>
        <v/>
      </c>
      <c r="N89">
        <f>IF(Klantgegevens_B!M88&lt;&gt;"", Klantgegevens_B!M88, IF(Klantgegevens_A!L88&gt;=7, "ja", "nee"))</f>
        <v/>
      </c>
      <c r="O89">
        <f>IF(Klantgegevens_B!N88&lt;&gt;"", Klantgegevens_B!N88, IF(Klantgegevens_A!L88&gt;=7, "ja", "nee"))</f>
        <v/>
      </c>
      <c r="P89">
        <f>IF(Klantgegevens_B!O88&lt;&gt;"", Klantgegevens_B!O88, IF(Klantgegevens_A!L88&gt;=7, "ja", "nee"))</f>
        <v/>
      </c>
      <c r="Q89">
        <f>IF(Klantgegevens_B!P88&lt;&gt;"", Klantgegevens_B!P88, Klantgegevens_A!M88)</f>
        <v/>
      </c>
      <c r="R89">
        <f>IF(Klantgegevens_B!A88&lt;&gt;"", "B", "A")</f>
        <v/>
      </c>
    </row>
    <row r="90">
      <c r="A90">
        <f>IF(Klantgegevens_B!A89&lt;&gt;"", Klantgegevens_B!A89, MID(Klantgegevens_A!A89, FIND(",", Klantgegevens_A!A89)+2, LEN(Klantgegevens_A!A89)))</f>
        <v/>
      </c>
      <c r="B90">
        <f>IF(Klantgegevens_B!B89&lt;&gt;"", Klantgegevens_B!B89, LEFT(Klantgegevens_A!A89, FIND(",", Klantgegevens_A!A89)-1))</f>
        <v/>
      </c>
      <c r="C90">
        <f>C89 &amp; ", " &amp; B89</f>
        <v/>
      </c>
      <c r="D90">
        <f>IF(Klantgegevens_B!F89&lt;&gt;"", Klantgegevens_B!F89, Klantgegevens_A!D89 &amp; " " &amp; Klantgegevens_A!E89 &amp; ", " &amp; Klantgegevens_A!F89)</f>
        <v/>
      </c>
      <c r="E90">
        <f>IF(Klantgegevens_B!G89&lt;&gt;"", Klantgegevens_B!G89, TEXTJOIN(",", TRUE, REPT("Volwassene,", Klantgegevens_A!G89), REPT("Kind,", Klantgegevens_A!H89)))</f>
        <v/>
      </c>
      <c r="F90">
        <f>IF(Klantgegevens_B!G89&lt;&gt;"", LEN(Klantgegevens_B!G89)-LEN(SUBSTITUTE(Klantgegevens_B!G89, ",", ""))+1, Klantgegevens_A!G89)</f>
        <v/>
      </c>
      <c r="G90">
        <f>IF(Klantgegevens_B!G89&lt;&gt;"", 0, Klantgegevens_A!H89)</f>
        <v/>
      </c>
      <c r="H90">
        <f>IF(Klantgegevens_B!H89&lt;&gt;"", Klantgegevens_B!H89, Klantgegevens_A!I89)</f>
        <v/>
      </c>
      <c r="I90">
        <f>IF(Klantgegevens_B!I89&lt;&gt;"", Klantgegevens_B!I89, SWITCH(Klantgegevens_A!J89, "Zelden", 1, "Af en toe", 4, "Regelmatig", 8, "Vaak", 12))</f>
        <v/>
      </c>
      <c r="J90">
        <f>IF(Klantgegevens_B!J89&lt;&gt;"", Klantgegevens_B!J89, Klantgegevens_A!K89)</f>
        <v/>
      </c>
      <c r="K90">
        <f>IF(Klantgegevens_B!K89&lt;&gt;"", AVERAGE(--(Klantgegevens_B!K89="ja"), --(Klantgegevens_B!L89="ja"), --(Klantgegevens_B!M89="ja"), --(Klantgegevens_B!N89="ja"), --(Klantgegevens_B!O89="ja"))*10, Klantgegevens_A!L89)</f>
        <v/>
      </c>
      <c r="L90">
        <f>IF(Klantgegevens_B!K89&lt;&gt;"", Klantgegevens_B!K89, IF(Klantgegevens_A!L89&gt;=7, "ja", "nee"))</f>
        <v/>
      </c>
      <c r="M90">
        <f>IF(Klantgegevens_B!L89&lt;&gt;"", Klantgegevens_B!L89, IF(Klantgegevens_A!L89&gt;=7, "ja", "nee"))</f>
        <v/>
      </c>
      <c r="N90">
        <f>IF(Klantgegevens_B!M89&lt;&gt;"", Klantgegevens_B!M89, IF(Klantgegevens_A!L89&gt;=7, "ja", "nee"))</f>
        <v/>
      </c>
      <c r="O90">
        <f>IF(Klantgegevens_B!N89&lt;&gt;"", Klantgegevens_B!N89, IF(Klantgegevens_A!L89&gt;=7, "ja", "nee"))</f>
        <v/>
      </c>
      <c r="P90">
        <f>IF(Klantgegevens_B!O89&lt;&gt;"", Klantgegevens_B!O89, IF(Klantgegevens_A!L89&gt;=7, "ja", "nee"))</f>
        <v/>
      </c>
      <c r="Q90">
        <f>IF(Klantgegevens_B!P89&lt;&gt;"", Klantgegevens_B!P89, Klantgegevens_A!M89)</f>
        <v/>
      </c>
      <c r="R90">
        <f>IF(Klantgegevens_B!A89&lt;&gt;"", "B", "A")</f>
        <v/>
      </c>
    </row>
    <row r="91">
      <c r="A91">
        <f>IF(Klantgegevens_B!A90&lt;&gt;"", Klantgegevens_B!A90, MID(Klantgegevens_A!A90, FIND(",", Klantgegevens_A!A90)+2, LEN(Klantgegevens_A!A90)))</f>
        <v/>
      </c>
      <c r="B91">
        <f>IF(Klantgegevens_B!B90&lt;&gt;"", Klantgegevens_B!B90, LEFT(Klantgegevens_A!A90, FIND(",", Klantgegevens_A!A90)-1))</f>
        <v/>
      </c>
      <c r="C91">
        <f>C90 &amp; ", " &amp; B90</f>
        <v/>
      </c>
      <c r="D91">
        <f>IF(Klantgegevens_B!F90&lt;&gt;"", Klantgegevens_B!F90, Klantgegevens_A!D90 &amp; " " &amp; Klantgegevens_A!E90 &amp; ", " &amp; Klantgegevens_A!F90)</f>
        <v/>
      </c>
      <c r="E91">
        <f>IF(Klantgegevens_B!G90&lt;&gt;"", Klantgegevens_B!G90, TEXTJOIN(",", TRUE, REPT("Volwassene,", Klantgegevens_A!G90), REPT("Kind,", Klantgegevens_A!H90)))</f>
        <v/>
      </c>
      <c r="F91">
        <f>IF(Klantgegevens_B!G90&lt;&gt;"", LEN(Klantgegevens_B!G90)-LEN(SUBSTITUTE(Klantgegevens_B!G90, ",", ""))+1, Klantgegevens_A!G90)</f>
        <v/>
      </c>
      <c r="G91">
        <f>IF(Klantgegevens_B!G90&lt;&gt;"", 0, Klantgegevens_A!H90)</f>
        <v/>
      </c>
      <c r="H91">
        <f>IF(Klantgegevens_B!H90&lt;&gt;"", Klantgegevens_B!H90, Klantgegevens_A!I90)</f>
        <v/>
      </c>
      <c r="I91">
        <f>IF(Klantgegevens_B!I90&lt;&gt;"", Klantgegevens_B!I90, SWITCH(Klantgegevens_A!J90, "Zelden", 1, "Af en toe", 4, "Regelmatig", 8, "Vaak", 12))</f>
        <v/>
      </c>
      <c r="J91">
        <f>IF(Klantgegevens_B!J90&lt;&gt;"", Klantgegevens_B!J90, Klantgegevens_A!K90)</f>
        <v/>
      </c>
      <c r="K91">
        <f>IF(Klantgegevens_B!K90&lt;&gt;"", AVERAGE(--(Klantgegevens_B!K90="ja"), --(Klantgegevens_B!L90="ja"), --(Klantgegevens_B!M90="ja"), --(Klantgegevens_B!N90="ja"), --(Klantgegevens_B!O90="ja"))*10, Klantgegevens_A!L90)</f>
        <v/>
      </c>
      <c r="L91">
        <f>IF(Klantgegevens_B!K90&lt;&gt;"", Klantgegevens_B!K90, IF(Klantgegevens_A!L90&gt;=7, "ja", "nee"))</f>
        <v/>
      </c>
      <c r="M91">
        <f>IF(Klantgegevens_B!L90&lt;&gt;"", Klantgegevens_B!L90, IF(Klantgegevens_A!L90&gt;=7, "ja", "nee"))</f>
        <v/>
      </c>
      <c r="N91">
        <f>IF(Klantgegevens_B!M90&lt;&gt;"", Klantgegevens_B!M90, IF(Klantgegevens_A!L90&gt;=7, "ja", "nee"))</f>
        <v/>
      </c>
      <c r="O91">
        <f>IF(Klantgegevens_B!N90&lt;&gt;"", Klantgegevens_B!N90, IF(Klantgegevens_A!L90&gt;=7, "ja", "nee"))</f>
        <v/>
      </c>
      <c r="P91">
        <f>IF(Klantgegevens_B!O90&lt;&gt;"", Klantgegevens_B!O90, IF(Klantgegevens_A!L90&gt;=7, "ja", "nee"))</f>
        <v/>
      </c>
      <c r="Q91">
        <f>IF(Klantgegevens_B!P90&lt;&gt;"", Klantgegevens_B!P90, Klantgegevens_A!M90)</f>
        <v/>
      </c>
      <c r="R91">
        <f>IF(Klantgegevens_B!A90&lt;&gt;"", "B", "A")</f>
        <v/>
      </c>
    </row>
    <row r="92">
      <c r="A92">
        <f>IF(Klantgegevens_B!A91&lt;&gt;"", Klantgegevens_B!A91, MID(Klantgegevens_A!A91, FIND(",", Klantgegevens_A!A91)+2, LEN(Klantgegevens_A!A91)))</f>
        <v/>
      </c>
      <c r="B92">
        <f>IF(Klantgegevens_B!B91&lt;&gt;"", Klantgegevens_B!B91, LEFT(Klantgegevens_A!A91, FIND(",", Klantgegevens_A!A91)-1))</f>
        <v/>
      </c>
      <c r="C92">
        <f>C91 &amp; ", " &amp; B91</f>
        <v/>
      </c>
      <c r="D92">
        <f>IF(Klantgegevens_B!F91&lt;&gt;"", Klantgegevens_B!F91, Klantgegevens_A!D91 &amp; " " &amp; Klantgegevens_A!E91 &amp; ", " &amp; Klantgegevens_A!F91)</f>
        <v/>
      </c>
      <c r="E92">
        <f>IF(Klantgegevens_B!G91&lt;&gt;"", Klantgegevens_B!G91, TEXTJOIN(",", TRUE, REPT("Volwassene,", Klantgegevens_A!G91), REPT("Kind,", Klantgegevens_A!H91)))</f>
        <v/>
      </c>
      <c r="F92">
        <f>IF(Klantgegevens_B!G91&lt;&gt;"", LEN(Klantgegevens_B!G91)-LEN(SUBSTITUTE(Klantgegevens_B!G91, ",", ""))+1, Klantgegevens_A!G91)</f>
        <v/>
      </c>
      <c r="G92">
        <f>IF(Klantgegevens_B!G91&lt;&gt;"", 0, Klantgegevens_A!H91)</f>
        <v/>
      </c>
      <c r="H92">
        <f>IF(Klantgegevens_B!H91&lt;&gt;"", Klantgegevens_B!H91, Klantgegevens_A!I91)</f>
        <v/>
      </c>
      <c r="I92">
        <f>IF(Klantgegevens_B!I91&lt;&gt;"", Klantgegevens_B!I91, SWITCH(Klantgegevens_A!J91, "Zelden", 1, "Af en toe", 4, "Regelmatig", 8, "Vaak", 12))</f>
        <v/>
      </c>
      <c r="J92">
        <f>IF(Klantgegevens_B!J91&lt;&gt;"", Klantgegevens_B!J91, Klantgegevens_A!K91)</f>
        <v/>
      </c>
      <c r="K92">
        <f>IF(Klantgegevens_B!K91&lt;&gt;"", AVERAGE(--(Klantgegevens_B!K91="ja"), --(Klantgegevens_B!L91="ja"), --(Klantgegevens_B!M91="ja"), --(Klantgegevens_B!N91="ja"), --(Klantgegevens_B!O91="ja"))*10, Klantgegevens_A!L91)</f>
        <v/>
      </c>
      <c r="L92">
        <f>IF(Klantgegevens_B!K91&lt;&gt;"", Klantgegevens_B!K91, IF(Klantgegevens_A!L91&gt;=7, "ja", "nee"))</f>
        <v/>
      </c>
      <c r="M92">
        <f>IF(Klantgegevens_B!L91&lt;&gt;"", Klantgegevens_B!L91, IF(Klantgegevens_A!L91&gt;=7, "ja", "nee"))</f>
        <v/>
      </c>
      <c r="N92">
        <f>IF(Klantgegevens_B!M91&lt;&gt;"", Klantgegevens_B!M91, IF(Klantgegevens_A!L91&gt;=7, "ja", "nee"))</f>
        <v/>
      </c>
      <c r="O92">
        <f>IF(Klantgegevens_B!N91&lt;&gt;"", Klantgegevens_B!N91, IF(Klantgegevens_A!L91&gt;=7, "ja", "nee"))</f>
        <v/>
      </c>
      <c r="P92">
        <f>IF(Klantgegevens_B!O91&lt;&gt;"", Klantgegevens_B!O91, IF(Klantgegevens_A!L91&gt;=7, "ja", "nee"))</f>
        <v/>
      </c>
      <c r="Q92">
        <f>IF(Klantgegevens_B!P91&lt;&gt;"", Klantgegevens_B!P91, Klantgegevens_A!M91)</f>
        <v/>
      </c>
      <c r="R92">
        <f>IF(Klantgegevens_B!A91&lt;&gt;"", "B", "A")</f>
        <v/>
      </c>
    </row>
    <row r="93">
      <c r="A93">
        <f>IF(Klantgegevens_B!A92&lt;&gt;"", Klantgegevens_B!A92, MID(Klantgegevens_A!A92, FIND(",", Klantgegevens_A!A92)+2, LEN(Klantgegevens_A!A92)))</f>
        <v/>
      </c>
      <c r="B93">
        <f>IF(Klantgegevens_B!B92&lt;&gt;"", Klantgegevens_B!B92, LEFT(Klantgegevens_A!A92, FIND(",", Klantgegevens_A!A92)-1))</f>
        <v/>
      </c>
      <c r="C93">
        <f>C92 &amp; ", " &amp; B92</f>
        <v/>
      </c>
      <c r="D93">
        <f>IF(Klantgegevens_B!F92&lt;&gt;"", Klantgegevens_B!F92, Klantgegevens_A!D92 &amp; " " &amp; Klantgegevens_A!E92 &amp; ", " &amp; Klantgegevens_A!F92)</f>
        <v/>
      </c>
      <c r="E93">
        <f>IF(Klantgegevens_B!G92&lt;&gt;"", Klantgegevens_B!G92, TEXTJOIN(",", TRUE, REPT("Volwassene,", Klantgegevens_A!G92), REPT("Kind,", Klantgegevens_A!H92)))</f>
        <v/>
      </c>
      <c r="F93">
        <f>IF(Klantgegevens_B!G92&lt;&gt;"", LEN(Klantgegevens_B!G92)-LEN(SUBSTITUTE(Klantgegevens_B!G92, ",", ""))+1, Klantgegevens_A!G92)</f>
        <v/>
      </c>
      <c r="G93">
        <f>IF(Klantgegevens_B!G92&lt;&gt;"", 0, Klantgegevens_A!H92)</f>
        <v/>
      </c>
      <c r="H93">
        <f>IF(Klantgegevens_B!H92&lt;&gt;"", Klantgegevens_B!H92, Klantgegevens_A!I92)</f>
        <v/>
      </c>
      <c r="I93">
        <f>IF(Klantgegevens_B!I92&lt;&gt;"", Klantgegevens_B!I92, SWITCH(Klantgegevens_A!J92, "Zelden", 1, "Af en toe", 4, "Regelmatig", 8, "Vaak", 12))</f>
        <v/>
      </c>
      <c r="J93">
        <f>IF(Klantgegevens_B!J92&lt;&gt;"", Klantgegevens_B!J92, Klantgegevens_A!K92)</f>
        <v/>
      </c>
      <c r="K93">
        <f>IF(Klantgegevens_B!K92&lt;&gt;"", AVERAGE(--(Klantgegevens_B!K92="ja"), --(Klantgegevens_B!L92="ja"), --(Klantgegevens_B!M92="ja"), --(Klantgegevens_B!N92="ja"), --(Klantgegevens_B!O92="ja"))*10, Klantgegevens_A!L92)</f>
        <v/>
      </c>
      <c r="L93">
        <f>IF(Klantgegevens_B!K92&lt;&gt;"", Klantgegevens_B!K92, IF(Klantgegevens_A!L92&gt;=7, "ja", "nee"))</f>
        <v/>
      </c>
      <c r="M93">
        <f>IF(Klantgegevens_B!L92&lt;&gt;"", Klantgegevens_B!L92, IF(Klantgegevens_A!L92&gt;=7, "ja", "nee"))</f>
        <v/>
      </c>
      <c r="N93">
        <f>IF(Klantgegevens_B!M92&lt;&gt;"", Klantgegevens_B!M92, IF(Klantgegevens_A!L92&gt;=7, "ja", "nee"))</f>
        <v/>
      </c>
      <c r="O93">
        <f>IF(Klantgegevens_B!N92&lt;&gt;"", Klantgegevens_B!N92, IF(Klantgegevens_A!L92&gt;=7, "ja", "nee"))</f>
        <v/>
      </c>
      <c r="P93">
        <f>IF(Klantgegevens_B!O92&lt;&gt;"", Klantgegevens_B!O92, IF(Klantgegevens_A!L92&gt;=7, "ja", "nee"))</f>
        <v/>
      </c>
      <c r="Q93">
        <f>IF(Klantgegevens_B!P92&lt;&gt;"", Klantgegevens_B!P92, Klantgegevens_A!M92)</f>
        <v/>
      </c>
      <c r="R93">
        <f>IF(Klantgegevens_B!A92&lt;&gt;"", "B", "A")</f>
        <v/>
      </c>
    </row>
    <row r="94">
      <c r="A94">
        <f>IF(Klantgegevens_B!A93&lt;&gt;"", Klantgegevens_B!A93, MID(Klantgegevens_A!A93, FIND(",", Klantgegevens_A!A93)+2, LEN(Klantgegevens_A!A93)))</f>
        <v/>
      </c>
      <c r="B94">
        <f>IF(Klantgegevens_B!B93&lt;&gt;"", Klantgegevens_B!B93, LEFT(Klantgegevens_A!A93, FIND(",", Klantgegevens_A!A93)-1))</f>
        <v/>
      </c>
      <c r="C94">
        <f>C93 &amp; ", " &amp; B93</f>
        <v/>
      </c>
      <c r="D94">
        <f>IF(Klantgegevens_B!F93&lt;&gt;"", Klantgegevens_B!F93, Klantgegevens_A!D93 &amp; " " &amp; Klantgegevens_A!E93 &amp; ", " &amp; Klantgegevens_A!F93)</f>
        <v/>
      </c>
      <c r="E94">
        <f>IF(Klantgegevens_B!G93&lt;&gt;"", Klantgegevens_B!G93, TEXTJOIN(",", TRUE, REPT("Volwassene,", Klantgegevens_A!G93), REPT("Kind,", Klantgegevens_A!H93)))</f>
        <v/>
      </c>
      <c r="F94">
        <f>IF(Klantgegevens_B!G93&lt;&gt;"", LEN(Klantgegevens_B!G93)-LEN(SUBSTITUTE(Klantgegevens_B!G93, ",", ""))+1, Klantgegevens_A!G93)</f>
        <v/>
      </c>
      <c r="G94">
        <f>IF(Klantgegevens_B!G93&lt;&gt;"", 0, Klantgegevens_A!H93)</f>
        <v/>
      </c>
      <c r="H94">
        <f>IF(Klantgegevens_B!H93&lt;&gt;"", Klantgegevens_B!H93, Klantgegevens_A!I93)</f>
        <v/>
      </c>
      <c r="I94">
        <f>IF(Klantgegevens_B!I93&lt;&gt;"", Klantgegevens_B!I93, SWITCH(Klantgegevens_A!J93, "Zelden", 1, "Af en toe", 4, "Regelmatig", 8, "Vaak", 12))</f>
        <v/>
      </c>
      <c r="J94">
        <f>IF(Klantgegevens_B!J93&lt;&gt;"", Klantgegevens_B!J93, Klantgegevens_A!K93)</f>
        <v/>
      </c>
      <c r="K94">
        <f>IF(Klantgegevens_B!K93&lt;&gt;"", AVERAGE(--(Klantgegevens_B!K93="ja"), --(Klantgegevens_B!L93="ja"), --(Klantgegevens_B!M93="ja"), --(Klantgegevens_B!N93="ja"), --(Klantgegevens_B!O93="ja"))*10, Klantgegevens_A!L93)</f>
        <v/>
      </c>
      <c r="L94">
        <f>IF(Klantgegevens_B!K93&lt;&gt;"", Klantgegevens_B!K93, IF(Klantgegevens_A!L93&gt;=7, "ja", "nee"))</f>
        <v/>
      </c>
      <c r="M94">
        <f>IF(Klantgegevens_B!L93&lt;&gt;"", Klantgegevens_B!L93, IF(Klantgegevens_A!L93&gt;=7, "ja", "nee"))</f>
        <v/>
      </c>
      <c r="N94">
        <f>IF(Klantgegevens_B!M93&lt;&gt;"", Klantgegevens_B!M93, IF(Klantgegevens_A!L93&gt;=7, "ja", "nee"))</f>
        <v/>
      </c>
      <c r="O94">
        <f>IF(Klantgegevens_B!N93&lt;&gt;"", Klantgegevens_B!N93, IF(Klantgegevens_A!L93&gt;=7, "ja", "nee"))</f>
        <v/>
      </c>
      <c r="P94">
        <f>IF(Klantgegevens_B!O93&lt;&gt;"", Klantgegevens_B!O93, IF(Klantgegevens_A!L93&gt;=7, "ja", "nee"))</f>
        <v/>
      </c>
      <c r="Q94">
        <f>IF(Klantgegevens_B!P93&lt;&gt;"", Klantgegevens_B!P93, Klantgegevens_A!M93)</f>
        <v/>
      </c>
      <c r="R94">
        <f>IF(Klantgegevens_B!A93&lt;&gt;"", "B", "A")</f>
        <v/>
      </c>
    </row>
    <row r="95">
      <c r="A95">
        <f>IF(Klantgegevens_B!A94&lt;&gt;"", Klantgegevens_B!A94, MID(Klantgegevens_A!A94, FIND(",", Klantgegevens_A!A94)+2, LEN(Klantgegevens_A!A94)))</f>
        <v/>
      </c>
      <c r="B95">
        <f>IF(Klantgegevens_B!B94&lt;&gt;"", Klantgegevens_B!B94, LEFT(Klantgegevens_A!A94, FIND(",", Klantgegevens_A!A94)-1))</f>
        <v/>
      </c>
      <c r="C95">
        <f>C94 &amp; ", " &amp; B94</f>
        <v/>
      </c>
      <c r="D95">
        <f>IF(Klantgegevens_B!F94&lt;&gt;"", Klantgegevens_B!F94, Klantgegevens_A!D94 &amp; " " &amp; Klantgegevens_A!E94 &amp; ", " &amp; Klantgegevens_A!F94)</f>
        <v/>
      </c>
      <c r="E95">
        <f>IF(Klantgegevens_B!G94&lt;&gt;"", Klantgegevens_B!G94, TEXTJOIN(",", TRUE, REPT("Volwassene,", Klantgegevens_A!G94), REPT("Kind,", Klantgegevens_A!H94)))</f>
        <v/>
      </c>
      <c r="F95">
        <f>IF(Klantgegevens_B!G94&lt;&gt;"", LEN(Klantgegevens_B!G94)-LEN(SUBSTITUTE(Klantgegevens_B!G94, ",", ""))+1, Klantgegevens_A!G94)</f>
        <v/>
      </c>
      <c r="G95">
        <f>IF(Klantgegevens_B!G94&lt;&gt;"", 0, Klantgegevens_A!H94)</f>
        <v/>
      </c>
      <c r="H95">
        <f>IF(Klantgegevens_B!H94&lt;&gt;"", Klantgegevens_B!H94, Klantgegevens_A!I94)</f>
        <v/>
      </c>
      <c r="I95">
        <f>IF(Klantgegevens_B!I94&lt;&gt;"", Klantgegevens_B!I94, SWITCH(Klantgegevens_A!J94, "Zelden", 1, "Af en toe", 4, "Regelmatig", 8, "Vaak", 12))</f>
        <v/>
      </c>
      <c r="J95">
        <f>IF(Klantgegevens_B!J94&lt;&gt;"", Klantgegevens_B!J94, Klantgegevens_A!K94)</f>
        <v/>
      </c>
      <c r="K95">
        <f>IF(Klantgegevens_B!K94&lt;&gt;"", AVERAGE(--(Klantgegevens_B!K94="ja"), --(Klantgegevens_B!L94="ja"), --(Klantgegevens_B!M94="ja"), --(Klantgegevens_B!N94="ja"), --(Klantgegevens_B!O94="ja"))*10, Klantgegevens_A!L94)</f>
        <v/>
      </c>
      <c r="L95">
        <f>IF(Klantgegevens_B!K94&lt;&gt;"", Klantgegevens_B!K94, IF(Klantgegevens_A!L94&gt;=7, "ja", "nee"))</f>
        <v/>
      </c>
      <c r="M95">
        <f>IF(Klantgegevens_B!L94&lt;&gt;"", Klantgegevens_B!L94, IF(Klantgegevens_A!L94&gt;=7, "ja", "nee"))</f>
        <v/>
      </c>
      <c r="N95">
        <f>IF(Klantgegevens_B!M94&lt;&gt;"", Klantgegevens_B!M94, IF(Klantgegevens_A!L94&gt;=7, "ja", "nee"))</f>
        <v/>
      </c>
      <c r="O95">
        <f>IF(Klantgegevens_B!N94&lt;&gt;"", Klantgegevens_B!N94, IF(Klantgegevens_A!L94&gt;=7, "ja", "nee"))</f>
        <v/>
      </c>
      <c r="P95">
        <f>IF(Klantgegevens_B!O94&lt;&gt;"", Klantgegevens_B!O94, IF(Klantgegevens_A!L94&gt;=7, "ja", "nee"))</f>
        <v/>
      </c>
      <c r="Q95">
        <f>IF(Klantgegevens_B!P94&lt;&gt;"", Klantgegevens_B!P94, Klantgegevens_A!M94)</f>
        <v/>
      </c>
      <c r="R95">
        <f>IF(Klantgegevens_B!A94&lt;&gt;"", "B", "A")</f>
        <v/>
      </c>
    </row>
    <row r="96">
      <c r="A96">
        <f>IF(Klantgegevens_B!A95&lt;&gt;"", Klantgegevens_B!A95, MID(Klantgegevens_A!A95, FIND(",", Klantgegevens_A!A95)+2, LEN(Klantgegevens_A!A95)))</f>
        <v/>
      </c>
      <c r="B96">
        <f>IF(Klantgegevens_B!B95&lt;&gt;"", Klantgegevens_B!B95, LEFT(Klantgegevens_A!A95, FIND(",", Klantgegevens_A!A95)-1))</f>
        <v/>
      </c>
      <c r="C96">
        <f>C95 &amp; ", " &amp; B95</f>
        <v/>
      </c>
      <c r="D96">
        <f>IF(Klantgegevens_B!F95&lt;&gt;"", Klantgegevens_B!F95, Klantgegevens_A!D95 &amp; " " &amp; Klantgegevens_A!E95 &amp; ", " &amp; Klantgegevens_A!F95)</f>
        <v/>
      </c>
      <c r="E96">
        <f>IF(Klantgegevens_B!G95&lt;&gt;"", Klantgegevens_B!G95, TEXTJOIN(",", TRUE, REPT("Volwassene,", Klantgegevens_A!G95), REPT("Kind,", Klantgegevens_A!H95)))</f>
        <v/>
      </c>
      <c r="F96">
        <f>IF(Klantgegevens_B!G95&lt;&gt;"", LEN(Klantgegevens_B!G95)-LEN(SUBSTITUTE(Klantgegevens_B!G95, ",", ""))+1, Klantgegevens_A!G95)</f>
        <v/>
      </c>
      <c r="G96">
        <f>IF(Klantgegevens_B!G95&lt;&gt;"", 0, Klantgegevens_A!H95)</f>
        <v/>
      </c>
      <c r="H96">
        <f>IF(Klantgegevens_B!H95&lt;&gt;"", Klantgegevens_B!H95, Klantgegevens_A!I95)</f>
        <v/>
      </c>
      <c r="I96">
        <f>IF(Klantgegevens_B!I95&lt;&gt;"", Klantgegevens_B!I95, SWITCH(Klantgegevens_A!J95, "Zelden", 1, "Af en toe", 4, "Regelmatig", 8, "Vaak", 12))</f>
        <v/>
      </c>
      <c r="J96">
        <f>IF(Klantgegevens_B!J95&lt;&gt;"", Klantgegevens_B!J95, Klantgegevens_A!K95)</f>
        <v/>
      </c>
      <c r="K96">
        <f>IF(Klantgegevens_B!K95&lt;&gt;"", AVERAGE(--(Klantgegevens_B!K95="ja"), --(Klantgegevens_B!L95="ja"), --(Klantgegevens_B!M95="ja"), --(Klantgegevens_B!N95="ja"), --(Klantgegevens_B!O95="ja"))*10, Klantgegevens_A!L95)</f>
        <v/>
      </c>
      <c r="L96">
        <f>IF(Klantgegevens_B!K95&lt;&gt;"", Klantgegevens_B!K95, IF(Klantgegevens_A!L95&gt;=7, "ja", "nee"))</f>
        <v/>
      </c>
      <c r="M96">
        <f>IF(Klantgegevens_B!L95&lt;&gt;"", Klantgegevens_B!L95, IF(Klantgegevens_A!L95&gt;=7, "ja", "nee"))</f>
        <v/>
      </c>
      <c r="N96">
        <f>IF(Klantgegevens_B!M95&lt;&gt;"", Klantgegevens_B!M95, IF(Klantgegevens_A!L95&gt;=7, "ja", "nee"))</f>
        <v/>
      </c>
      <c r="O96">
        <f>IF(Klantgegevens_B!N95&lt;&gt;"", Klantgegevens_B!N95, IF(Klantgegevens_A!L95&gt;=7, "ja", "nee"))</f>
        <v/>
      </c>
      <c r="P96">
        <f>IF(Klantgegevens_B!O95&lt;&gt;"", Klantgegevens_B!O95, IF(Klantgegevens_A!L95&gt;=7, "ja", "nee"))</f>
        <v/>
      </c>
      <c r="Q96">
        <f>IF(Klantgegevens_B!P95&lt;&gt;"", Klantgegevens_B!P95, Klantgegevens_A!M95)</f>
        <v/>
      </c>
      <c r="R96">
        <f>IF(Klantgegevens_B!A95&lt;&gt;"", "B", "A")</f>
        <v/>
      </c>
    </row>
    <row r="97">
      <c r="A97">
        <f>IF(Klantgegevens_B!A96&lt;&gt;"", Klantgegevens_B!A96, MID(Klantgegevens_A!A96, FIND(",", Klantgegevens_A!A96)+2, LEN(Klantgegevens_A!A96)))</f>
        <v/>
      </c>
      <c r="B97">
        <f>IF(Klantgegevens_B!B96&lt;&gt;"", Klantgegevens_B!B96, LEFT(Klantgegevens_A!A96, FIND(",", Klantgegevens_A!A96)-1))</f>
        <v/>
      </c>
      <c r="C97">
        <f>C96 &amp; ", " &amp; B96</f>
        <v/>
      </c>
      <c r="D97">
        <f>IF(Klantgegevens_B!F96&lt;&gt;"", Klantgegevens_B!F96, Klantgegevens_A!D96 &amp; " " &amp; Klantgegevens_A!E96 &amp; ", " &amp; Klantgegevens_A!F96)</f>
        <v/>
      </c>
      <c r="E97">
        <f>IF(Klantgegevens_B!G96&lt;&gt;"", Klantgegevens_B!G96, TEXTJOIN(",", TRUE, REPT("Volwassene,", Klantgegevens_A!G96), REPT("Kind,", Klantgegevens_A!H96)))</f>
        <v/>
      </c>
      <c r="F97">
        <f>IF(Klantgegevens_B!G96&lt;&gt;"", LEN(Klantgegevens_B!G96)-LEN(SUBSTITUTE(Klantgegevens_B!G96, ",", ""))+1, Klantgegevens_A!G96)</f>
        <v/>
      </c>
      <c r="G97">
        <f>IF(Klantgegevens_B!G96&lt;&gt;"", 0, Klantgegevens_A!H96)</f>
        <v/>
      </c>
      <c r="H97">
        <f>IF(Klantgegevens_B!H96&lt;&gt;"", Klantgegevens_B!H96, Klantgegevens_A!I96)</f>
        <v/>
      </c>
      <c r="I97">
        <f>IF(Klantgegevens_B!I96&lt;&gt;"", Klantgegevens_B!I96, SWITCH(Klantgegevens_A!J96, "Zelden", 1, "Af en toe", 4, "Regelmatig", 8, "Vaak", 12))</f>
        <v/>
      </c>
      <c r="J97">
        <f>IF(Klantgegevens_B!J96&lt;&gt;"", Klantgegevens_B!J96, Klantgegevens_A!K96)</f>
        <v/>
      </c>
      <c r="K97">
        <f>IF(Klantgegevens_B!K96&lt;&gt;"", AVERAGE(--(Klantgegevens_B!K96="ja"), --(Klantgegevens_B!L96="ja"), --(Klantgegevens_B!M96="ja"), --(Klantgegevens_B!N96="ja"), --(Klantgegevens_B!O96="ja"))*10, Klantgegevens_A!L96)</f>
        <v/>
      </c>
      <c r="L97">
        <f>IF(Klantgegevens_B!K96&lt;&gt;"", Klantgegevens_B!K96, IF(Klantgegevens_A!L96&gt;=7, "ja", "nee"))</f>
        <v/>
      </c>
      <c r="M97">
        <f>IF(Klantgegevens_B!L96&lt;&gt;"", Klantgegevens_B!L96, IF(Klantgegevens_A!L96&gt;=7, "ja", "nee"))</f>
        <v/>
      </c>
      <c r="N97">
        <f>IF(Klantgegevens_B!M96&lt;&gt;"", Klantgegevens_B!M96, IF(Klantgegevens_A!L96&gt;=7, "ja", "nee"))</f>
        <v/>
      </c>
      <c r="O97">
        <f>IF(Klantgegevens_B!N96&lt;&gt;"", Klantgegevens_B!N96, IF(Klantgegevens_A!L96&gt;=7, "ja", "nee"))</f>
        <v/>
      </c>
      <c r="P97">
        <f>IF(Klantgegevens_B!O96&lt;&gt;"", Klantgegevens_B!O96, IF(Klantgegevens_A!L96&gt;=7, "ja", "nee"))</f>
        <v/>
      </c>
      <c r="Q97">
        <f>IF(Klantgegevens_B!P96&lt;&gt;"", Klantgegevens_B!P96, Klantgegevens_A!M96)</f>
        <v/>
      </c>
      <c r="R97">
        <f>IF(Klantgegevens_B!A96&lt;&gt;"", "B", "A")</f>
        <v/>
      </c>
    </row>
    <row r="98">
      <c r="A98">
        <f>IF(Klantgegevens_B!A97&lt;&gt;"", Klantgegevens_B!A97, MID(Klantgegevens_A!A97, FIND(",", Klantgegevens_A!A97)+2, LEN(Klantgegevens_A!A97)))</f>
        <v/>
      </c>
      <c r="B98">
        <f>IF(Klantgegevens_B!B97&lt;&gt;"", Klantgegevens_B!B97, LEFT(Klantgegevens_A!A97, FIND(",", Klantgegevens_A!A97)-1))</f>
        <v/>
      </c>
      <c r="C98">
        <f>C97 &amp; ", " &amp; B97</f>
        <v/>
      </c>
      <c r="D98">
        <f>IF(Klantgegevens_B!F97&lt;&gt;"", Klantgegevens_B!F97, Klantgegevens_A!D97 &amp; " " &amp; Klantgegevens_A!E97 &amp; ", " &amp; Klantgegevens_A!F97)</f>
        <v/>
      </c>
      <c r="E98">
        <f>IF(Klantgegevens_B!G97&lt;&gt;"", Klantgegevens_B!G97, TEXTJOIN(",", TRUE, REPT("Volwassene,", Klantgegevens_A!G97), REPT("Kind,", Klantgegevens_A!H97)))</f>
        <v/>
      </c>
      <c r="F98">
        <f>IF(Klantgegevens_B!G97&lt;&gt;"", LEN(Klantgegevens_B!G97)-LEN(SUBSTITUTE(Klantgegevens_B!G97, ",", ""))+1, Klantgegevens_A!G97)</f>
        <v/>
      </c>
      <c r="G98">
        <f>IF(Klantgegevens_B!G97&lt;&gt;"", 0, Klantgegevens_A!H97)</f>
        <v/>
      </c>
      <c r="H98">
        <f>IF(Klantgegevens_B!H97&lt;&gt;"", Klantgegevens_B!H97, Klantgegevens_A!I97)</f>
        <v/>
      </c>
      <c r="I98">
        <f>IF(Klantgegevens_B!I97&lt;&gt;"", Klantgegevens_B!I97, SWITCH(Klantgegevens_A!J97, "Zelden", 1, "Af en toe", 4, "Regelmatig", 8, "Vaak", 12))</f>
        <v/>
      </c>
      <c r="J98">
        <f>IF(Klantgegevens_B!J97&lt;&gt;"", Klantgegevens_B!J97, Klantgegevens_A!K97)</f>
        <v/>
      </c>
      <c r="K98">
        <f>IF(Klantgegevens_B!K97&lt;&gt;"", AVERAGE(--(Klantgegevens_B!K97="ja"), --(Klantgegevens_B!L97="ja"), --(Klantgegevens_B!M97="ja"), --(Klantgegevens_B!N97="ja"), --(Klantgegevens_B!O97="ja"))*10, Klantgegevens_A!L97)</f>
        <v/>
      </c>
      <c r="L98">
        <f>IF(Klantgegevens_B!K97&lt;&gt;"", Klantgegevens_B!K97, IF(Klantgegevens_A!L97&gt;=7, "ja", "nee"))</f>
        <v/>
      </c>
      <c r="M98">
        <f>IF(Klantgegevens_B!L97&lt;&gt;"", Klantgegevens_B!L97, IF(Klantgegevens_A!L97&gt;=7, "ja", "nee"))</f>
        <v/>
      </c>
      <c r="N98">
        <f>IF(Klantgegevens_B!M97&lt;&gt;"", Klantgegevens_B!M97, IF(Klantgegevens_A!L97&gt;=7, "ja", "nee"))</f>
        <v/>
      </c>
      <c r="O98">
        <f>IF(Klantgegevens_B!N97&lt;&gt;"", Klantgegevens_B!N97, IF(Klantgegevens_A!L97&gt;=7, "ja", "nee"))</f>
        <v/>
      </c>
      <c r="P98">
        <f>IF(Klantgegevens_B!O97&lt;&gt;"", Klantgegevens_B!O97, IF(Klantgegevens_A!L97&gt;=7, "ja", "nee"))</f>
        <v/>
      </c>
      <c r="Q98">
        <f>IF(Klantgegevens_B!P97&lt;&gt;"", Klantgegevens_B!P97, Klantgegevens_A!M97)</f>
        <v/>
      </c>
      <c r="R98">
        <f>IF(Klantgegevens_B!A97&lt;&gt;"", "B", "A")</f>
        <v/>
      </c>
    </row>
    <row r="99">
      <c r="A99">
        <f>IF(Klantgegevens_B!A98&lt;&gt;"", Klantgegevens_B!A98, MID(Klantgegevens_A!A98, FIND(",", Klantgegevens_A!A98)+2, LEN(Klantgegevens_A!A98)))</f>
        <v/>
      </c>
      <c r="B99">
        <f>IF(Klantgegevens_B!B98&lt;&gt;"", Klantgegevens_B!B98, LEFT(Klantgegevens_A!A98, FIND(",", Klantgegevens_A!A98)-1))</f>
        <v/>
      </c>
      <c r="C99">
        <f>C98 &amp; ", " &amp; B98</f>
        <v/>
      </c>
      <c r="D99">
        <f>IF(Klantgegevens_B!F98&lt;&gt;"", Klantgegevens_B!F98, Klantgegevens_A!D98 &amp; " " &amp; Klantgegevens_A!E98 &amp; ", " &amp; Klantgegevens_A!F98)</f>
        <v/>
      </c>
      <c r="E99">
        <f>IF(Klantgegevens_B!G98&lt;&gt;"", Klantgegevens_B!G98, TEXTJOIN(",", TRUE, REPT("Volwassene,", Klantgegevens_A!G98), REPT("Kind,", Klantgegevens_A!H98)))</f>
        <v/>
      </c>
      <c r="F99">
        <f>IF(Klantgegevens_B!G98&lt;&gt;"", LEN(Klantgegevens_B!G98)-LEN(SUBSTITUTE(Klantgegevens_B!G98, ",", ""))+1, Klantgegevens_A!G98)</f>
        <v/>
      </c>
      <c r="G99">
        <f>IF(Klantgegevens_B!G98&lt;&gt;"", 0, Klantgegevens_A!H98)</f>
        <v/>
      </c>
      <c r="H99">
        <f>IF(Klantgegevens_B!H98&lt;&gt;"", Klantgegevens_B!H98, Klantgegevens_A!I98)</f>
        <v/>
      </c>
      <c r="I99">
        <f>IF(Klantgegevens_B!I98&lt;&gt;"", Klantgegevens_B!I98, SWITCH(Klantgegevens_A!J98, "Zelden", 1, "Af en toe", 4, "Regelmatig", 8, "Vaak", 12))</f>
        <v/>
      </c>
      <c r="J99">
        <f>IF(Klantgegevens_B!J98&lt;&gt;"", Klantgegevens_B!J98, Klantgegevens_A!K98)</f>
        <v/>
      </c>
      <c r="K99">
        <f>IF(Klantgegevens_B!K98&lt;&gt;"", AVERAGE(--(Klantgegevens_B!K98="ja"), --(Klantgegevens_B!L98="ja"), --(Klantgegevens_B!M98="ja"), --(Klantgegevens_B!N98="ja"), --(Klantgegevens_B!O98="ja"))*10, Klantgegevens_A!L98)</f>
        <v/>
      </c>
      <c r="L99">
        <f>IF(Klantgegevens_B!K98&lt;&gt;"", Klantgegevens_B!K98, IF(Klantgegevens_A!L98&gt;=7, "ja", "nee"))</f>
        <v/>
      </c>
      <c r="M99">
        <f>IF(Klantgegevens_B!L98&lt;&gt;"", Klantgegevens_B!L98, IF(Klantgegevens_A!L98&gt;=7, "ja", "nee"))</f>
        <v/>
      </c>
      <c r="N99">
        <f>IF(Klantgegevens_B!M98&lt;&gt;"", Klantgegevens_B!M98, IF(Klantgegevens_A!L98&gt;=7, "ja", "nee"))</f>
        <v/>
      </c>
      <c r="O99">
        <f>IF(Klantgegevens_B!N98&lt;&gt;"", Klantgegevens_B!N98, IF(Klantgegevens_A!L98&gt;=7, "ja", "nee"))</f>
        <v/>
      </c>
      <c r="P99">
        <f>IF(Klantgegevens_B!O98&lt;&gt;"", Klantgegevens_B!O98, IF(Klantgegevens_A!L98&gt;=7, "ja", "nee"))</f>
        <v/>
      </c>
      <c r="Q99">
        <f>IF(Klantgegevens_B!P98&lt;&gt;"", Klantgegevens_B!P98, Klantgegevens_A!M98)</f>
        <v/>
      </c>
      <c r="R99">
        <f>IF(Klantgegevens_B!A98&lt;&gt;"", "B", "A")</f>
        <v/>
      </c>
    </row>
    <row r="100">
      <c r="A100">
        <f>IF(Klantgegevens_B!A99&lt;&gt;"", Klantgegevens_B!A99, MID(Klantgegevens_A!A99, FIND(",", Klantgegevens_A!A99)+2, LEN(Klantgegevens_A!A99)))</f>
        <v/>
      </c>
      <c r="B100">
        <f>IF(Klantgegevens_B!B99&lt;&gt;"", Klantgegevens_B!B99, LEFT(Klantgegevens_A!A99, FIND(",", Klantgegevens_A!A99)-1))</f>
        <v/>
      </c>
      <c r="C100">
        <f>C99 &amp; ", " &amp; B99</f>
        <v/>
      </c>
      <c r="D100">
        <f>IF(Klantgegevens_B!F99&lt;&gt;"", Klantgegevens_B!F99, Klantgegevens_A!D99 &amp; " " &amp; Klantgegevens_A!E99 &amp; ", " &amp; Klantgegevens_A!F99)</f>
        <v/>
      </c>
      <c r="E100">
        <f>IF(Klantgegevens_B!G99&lt;&gt;"", Klantgegevens_B!G99, TEXTJOIN(",", TRUE, REPT("Volwassene,", Klantgegevens_A!G99), REPT("Kind,", Klantgegevens_A!H99)))</f>
        <v/>
      </c>
      <c r="F100">
        <f>IF(Klantgegevens_B!G99&lt;&gt;"", LEN(Klantgegevens_B!G99)-LEN(SUBSTITUTE(Klantgegevens_B!G99, ",", ""))+1, Klantgegevens_A!G99)</f>
        <v/>
      </c>
      <c r="G100">
        <f>IF(Klantgegevens_B!G99&lt;&gt;"", 0, Klantgegevens_A!H99)</f>
        <v/>
      </c>
      <c r="H100">
        <f>IF(Klantgegevens_B!H99&lt;&gt;"", Klantgegevens_B!H99, Klantgegevens_A!I99)</f>
        <v/>
      </c>
      <c r="I100">
        <f>IF(Klantgegevens_B!I99&lt;&gt;"", Klantgegevens_B!I99, SWITCH(Klantgegevens_A!J99, "Zelden", 1, "Af en toe", 4, "Regelmatig", 8, "Vaak", 12))</f>
        <v/>
      </c>
      <c r="J100">
        <f>IF(Klantgegevens_B!J99&lt;&gt;"", Klantgegevens_B!J99, Klantgegevens_A!K99)</f>
        <v/>
      </c>
      <c r="K100">
        <f>IF(Klantgegevens_B!K99&lt;&gt;"", AVERAGE(--(Klantgegevens_B!K99="ja"), --(Klantgegevens_B!L99="ja"), --(Klantgegevens_B!M99="ja"), --(Klantgegevens_B!N99="ja"), --(Klantgegevens_B!O99="ja"))*10, Klantgegevens_A!L99)</f>
        <v/>
      </c>
      <c r="L100">
        <f>IF(Klantgegevens_B!K99&lt;&gt;"", Klantgegevens_B!K99, IF(Klantgegevens_A!L99&gt;=7, "ja", "nee"))</f>
        <v/>
      </c>
      <c r="M100">
        <f>IF(Klantgegevens_B!L99&lt;&gt;"", Klantgegevens_B!L99, IF(Klantgegevens_A!L99&gt;=7, "ja", "nee"))</f>
        <v/>
      </c>
      <c r="N100">
        <f>IF(Klantgegevens_B!M99&lt;&gt;"", Klantgegevens_B!M99, IF(Klantgegevens_A!L99&gt;=7, "ja", "nee"))</f>
        <v/>
      </c>
      <c r="O100">
        <f>IF(Klantgegevens_B!N99&lt;&gt;"", Klantgegevens_B!N99, IF(Klantgegevens_A!L99&gt;=7, "ja", "nee"))</f>
        <v/>
      </c>
      <c r="P100">
        <f>IF(Klantgegevens_B!O99&lt;&gt;"", Klantgegevens_B!O99, IF(Klantgegevens_A!L99&gt;=7, "ja", "nee"))</f>
        <v/>
      </c>
      <c r="Q100">
        <f>IF(Klantgegevens_B!P99&lt;&gt;"", Klantgegevens_B!P99, Klantgegevens_A!M99)</f>
        <v/>
      </c>
      <c r="R100">
        <f>IF(Klantgegevens_B!A99&lt;&gt;"", "B", "A")</f>
        <v/>
      </c>
    </row>
    <row r="101">
      <c r="A101">
        <f>IF(Klantgegevens_B!A100&lt;&gt;"", Klantgegevens_B!A100, MID(Klantgegevens_A!A100, FIND(",", Klantgegevens_A!A100)+2, LEN(Klantgegevens_A!A100)))</f>
        <v/>
      </c>
      <c r="B101">
        <f>IF(Klantgegevens_B!B100&lt;&gt;"", Klantgegevens_B!B100, LEFT(Klantgegevens_A!A100, FIND(",", Klantgegevens_A!A100)-1))</f>
        <v/>
      </c>
      <c r="C101">
        <f>C100 &amp; ", " &amp; B100</f>
        <v/>
      </c>
      <c r="D101">
        <f>IF(Klantgegevens_B!F100&lt;&gt;"", Klantgegevens_B!F100, Klantgegevens_A!D100 &amp; " " &amp; Klantgegevens_A!E100 &amp; ", " &amp; Klantgegevens_A!F100)</f>
        <v/>
      </c>
      <c r="E101">
        <f>IF(Klantgegevens_B!G100&lt;&gt;"", Klantgegevens_B!G100, TEXTJOIN(",", TRUE, REPT("Volwassene,", Klantgegevens_A!G100), REPT("Kind,", Klantgegevens_A!H100)))</f>
        <v/>
      </c>
      <c r="F101">
        <f>IF(Klantgegevens_B!G100&lt;&gt;"", LEN(Klantgegevens_B!G100)-LEN(SUBSTITUTE(Klantgegevens_B!G100, ",", ""))+1, Klantgegevens_A!G100)</f>
        <v/>
      </c>
      <c r="G101">
        <f>IF(Klantgegevens_B!G100&lt;&gt;"", 0, Klantgegevens_A!H100)</f>
        <v/>
      </c>
      <c r="H101">
        <f>IF(Klantgegevens_B!H100&lt;&gt;"", Klantgegevens_B!H100, Klantgegevens_A!I100)</f>
        <v/>
      </c>
      <c r="I101">
        <f>IF(Klantgegevens_B!I100&lt;&gt;"", Klantgegevens_B!I100, SWITCH(Klantgegevens_A!J100, "Zelden", 1, "Af en toe", 4, "Regelmatig", 8, "Vaak", 12))</f>
        <v/>
      </c>
      <c r="J101">
        <f>IF(Klantgegevens_B!J100&lt;&gt;"", Klantgegevens_B!J100, Klantgegevens_A!K100)</f>
        <v/>
      </c>
      <c r="K101">
        <f>IF(Klantgegevens_B!K100&lt;&gt;"", AVERAGE(--(Klantgegevens_B!K100="ja"), --(Klantgegevens_B!L100="ja"), --(Klantgegevens_B!M100="ja"), --(Klantgegevens_B!N100="ja"), --(Klantgegevens_B!O100="ja"))*10, Klantgegevens_A!L100)</f>
        <v/>
      </c>
      <c r="L101">
        <f>IF(Klantgegevens_B!K100&lt;&gt;"", Klantgegevens_B!K100, IF(Klantgegevens_A!L100&gt;=7, "ja", "nee"))</f>
        <v/>
      </c>
      <c r="M101">
        <f>IF(Klantgegevens_B!L100&lt;&gt;"", Klantgegevens_B!L100, IF(Klantgegevens_A!L100&gt;=7, "ja", "nee"))</f>
        <v/>
      </c>
      <c r="N101">
        <f>IF(Klantgegevens_B!M100&lt;&gt;"", Klantgegevens_B!M100, IF(Klantgegevens_A!L100&gt;=7, "ja", "nee"))</f>
        <v/>
      </c>
      <c r="O101">
        <f>IF(Klantgegevens_B!N100&lt;&gt;"", Klantgegevens_B!N100, IF(Klantgegevens_A!L100&gt;=7, "ja", "nee"))</f>
        <v/>
      </c>
      <c r="P101">
        <f>IF(Klantgegevens_B!O100&lt;&gt;"", Klantgegevens_B!O100, IF(Klantgegevens_A!L100&gt;=7, "ja", "nee"))</f>
        <v/>
      </c>
      <c r="Q101">
        <f>IF(Klantgegevens_B!P100&lt;&gt;"", Klantgegevens_B!P100, Klantgegevens_A!M100)</f>
        <v/>
      </c>
      <c r="R101">
        <f>IF(Klantgegevens_B!A100&lt;&gt;"", "B", "A")</f>
        <v/>
      </c>
    </row>
    <row r="102">
      <c r="A102">
        <f>IF(Klantgegevens_B!A101&lt;&gt;"", Klantgegevens_B!A101, MID(Klantgegevens_A!A101, FIND(",", Klantgegevens_A!A101)+2, LEN(Klantgegevens_A!A101)))</f>
        <v/>
      </c>
      <c r="B102">
        <f>IF(Klantgegevens_B!B101&lt;&gt;"", Klantgegevens_B!B101, LEFT(Klantgegevens_A!A101, FIND(",", Klantgegevens_A!A101)-1))</f>
        <v/>
      </c>
      <c r="C102">
        <f>C101 &amp; ", " &amp; B101</f>
        <v/>
      </c>
      <c r="D102">
        <f>IF(Klantgegevens_B!F101&lt;&gt;"", Klantgegevens_B!F101, Klantgegevens_A!D101 &amp; " " &amp; Klantgegevens_A!E101 &amp; ", " &amp; Klantgegevens_A!F101)</f>
        <v/>
      </c>
      <c r="E102">
        <f>IF(Klantgegevens_B!G101&lt;&gt;"", Klantgegevens_B!G101, TEXTJOIN(",", TRUE, REPT("Volwassene,", Klantgegevens_A!G101), REPT("Kind,", Klantgegevens_A!H101)))</f>
        <v/>
      </c>
      <c r="F102">
        <f>IF(Klantgegevens_B!G101&lt;&gt;"", LEN(Klantgegevens_B!G101)-LEN(SUBSTITUTE(Klantgegevens_B!G101, ",", ""))+1, Klantgegevens_A!G101)</f>
        <v/>
      </c>
      <c r="G102">
        <f>IF(Klantgegevens_B!G101&lt;&gt;"", 0, Klantgegevens_A!H101)</f>
        <v/>
      </c>
      <c r="H102">
        <f>IF(Klantgegevens_B!H101&lt;&gt;"", Klantgegevens_B!H101, Klantgegevens_A!I101)</f>
        <v/>
      </c>
      <c r="I102">
        <f>IF(Klantgegevens_B!I101&lt;&gt;"", Klantgegevens_B!I101, SWITCH(Klantgegevens_A!J101, "Zelden", 1, "Af en toe", 4, "Regelmatig", 8, "Vaak", 12))</f>
        <v/>
      </c>
      <c r="J102">
        <f>IF(Klantgegevens_B!J101&lt;&gt;"", Klantgegevens_B!J101, Klantgegevens_A!K101)</f>
        <v/>
      </c>
      <c r="K102">
        <f>IF(Klantgegevens_B!K101&lt;&gt;"", AVERAGE(--(Klantgegevens_B!K101="ja"), --(Klantgegevens_B!L101="ja"), --(Klantgegevens_B!M101="ja"), --(Klantgegevens_B!N101="ja"), --(Klantgegevens_B!O101="ja"))*10, Klantgegevens_A!L101)</f>
        <v/>
      </c>
      <c r="L102">
        <f>IF(Klantgegevens_B!K101&lt;&gt;"", Klantgegevens_B!K101, IF(Klantgegevens_A!L101&gt;=7, "ja", "nee"))</f>
        <v/>
      </c>
      <c r="M102">
        <f>IF(Klantgegevens_B!L101&lt;&gt;"", Klantgegevens_B!L101, IF(Klantgegevens_A!L101&gt;=7, "ja", "nee"))</f>
        <v/>
      </c>
      <c r="N102">
        <f>IF(Klantgegevens_B!M101&lt;&gt;"", Klantgegevens_B!M101, IF(Klantgegevens_A!L101&gt;=7, "ja", "nee"))</f>
        <v/>
      </c>
      <c r="O102">
        <f>IF(Klantgegevens_B!N101&lt;&gt;"", Klantgegevens_B!N101, IF(Klantgegevens_A!L101&gt;=7, "ja", "nee"))</f>
        <v/>
      </c>
      <c r="P102">
        <f>IF(Klantgegevens_B!O101&lt;&gt;"", Klantgegevens_B!O101, IF(Klantgegevens_A!L101&gt;=7, "ja", "nee"))</f>
        <v/>
      </c>
      <c r="Q102">
        <f>IF(Klantgegevens_B!P101&lt;&gt;"", Klantgegevens_B!P101, Klantgegevens_A!M101)</f>
        <v/>
      </c>
      <c r="R102">
        <f>IF(Klantgegevens_B!A101&lt;&gt;"", "B", "A")</f>
        <v/>
      </c>
    </row>
    <row r="103">
      <c r="A103">
        <f>IF(Klantgegevens_B!A102&lt;&gt;"", Klantgegevens_B!A102, MID(Klantgegevens_A!A102, FIND(",", Klantgegevens_A!A102)+2, LEN(Klantgegevens_A!A102)))</f>
        <v/>
      </c>
      <c r="B103">
        <f>IF(Klantgegevens_B!B102&lt;&gt;"", Klantgegevens_B!B102, LEFT(Klantgegevens_A!A102, FIND(",", Klantgegevens_A!A102)-1))</f>
        <v/>
      </c>
      <c r="C103">
        <f>C102 &amp; ", " &amp; B102</f>
        <v/>
      </c>
      <c r="D103">
        <f>IF(Klantgegevens_B!F102&lt;&gt;"", Klantgegevens_B!F102, Klantgegevens_A!D102 &amp; " " &amp; Klantgegevens_A!E102 &amp; ", " &amp; Klantgegevens_A!F102)</f>
        <v/>
      </c>
      <c r="E103">
        <f>IF(Klantgegevens_B!G102&lt;&gt;"", Klantgegevens_B!G102, TEXTJOIN(",", TRUE, REPT("Volwassene,", Klantgegevens_A!G102), REPT("Kind,", Klantgegevens_A!H102)))</f>
        <v/>
      </c>
      <c r="F103">
        <f>IF(Klantgegevens_B!G102&lt;&gt;"", LEN(Klantgegevens_B!G102)-LEN(SUBSTITUTE(Klantgegevens_B!G102, ",", ""))+1, Klantgegevens_A!G102)</f>
        <v/>
      </c>
      <c r="G103">
        <f>IF(Klantgegevens_B!G102&lt;&gt;"", 0, Klantgegevens_A!H102)</f>
        <v/>
      </c>
      <c r="H103">
        <f>IF(Klantgegevens_B!H102&lt;&gt;"", Klantgegevens_B!H102, Klantgegevens_A!I102)</f>
        <v/>
      </c>
      <c r="I103">
        <f>IF(Klantgegevens_B!I102&lt;&gt;"", Klantgegevens_B!I102, SWITCH(Klantgegevens_A!J102, "Zelden", 1, "Af en toe", 4, "Regelmatig", 8, "Vaak", 12))</f>
        <v/>
      </c>
      <c r="J103">
        <f>IF(Klantgegevens_B!J102&lt;&gt;"", Klantgegevens_B!J102, Klantgegevens_A!K102)</f>
        <v/>
      </c>
      <c r="K103">
        <f>IF(Klantgegevens_B!K102&lt;&gt;"", AVERAGE(--(Klantgegevens_B!K102="ja"), --(Klantgegevens_B!L102="ja"), --(Klantgegevens_B!M102="ja"), --(Klantgegevens_B!N102="ja"), --(Klantgegevens_B!O102="ja"))*10, Klantgegevens_A!L102)</f>
        <v/>
      </c>
      <c r="L103">
        <f>IF(Klantgegevens_B!K102&lt;&gt;"", Klantgegevens_B!K102, IF(Klantgegevens_A!L102&gt;=7, "ja", "nee"))</f>
        <v/>
      </c>
      <c r="M103">
        <f>IF(Klantgegevens_B!L102&lt;&gt;"", Klantgegevens_B!L102, IF(Klantgegevens_A!L102&gt;=7, "ja", "nee"))</f>
        <v/>
      </c>
      <c r="N103">
        <f>IF(Klantgegevens_B!M102&lt;&gt;"", Klantgegevens_B!M102, IF(Klantgegevens_A!L102&gt;=7, "ja", "nee"))</f>
        <v/>
      </c>
      <c r="O103">
        <f>IF(Klantgegevens_B!N102&lt;&gt;"", Klantgegevens_B!N102, IF(Klantgegevens_A!L102&gt;=7, "ja", "nee"))</f>
        <v/>
      </c>
      <c r="P103">
        <f>IF(Klantgegevens_B!O102&lt;&gt;"", Klantgegevens_B!O102, IF(Klantgegevens_A!L102&gt;=7, "ja", "nee"))</f>
        <v/>
      </c>
      <c r="Q103">
        <f>IF(Klantgegevens_B!P102&lt;&gt;"", Klantgegevens_B!P102, Klantgegevens_A!M102)</f>
        <v/>
      </c>
      <c r="R103">
        <f>IF(Klantgegevens_B!A102&lt;&gt;"", "B", "A")</f>
        <v/>
      </c>
    </row>
    <row r="104">
      <c r="A104">
        <f>IF(Klantgegevens_B!A103&lt;&gt;"", Klantgegevens_B!A103, MID(Klantgegevens_A!A103, FIND(",", Klantgegevens_A!A103)+2, LEN(Klantgegevens_A!A103)))</f>
        <v/>
      </c>
      <c r="B104">
        <f>IF(Klantgegevens_B!B103&lt;&gt;"", Klantgegevens_B!B103, LEFT(Klantgegevens_A!A103, FIND(",", Klantgegevens_A!A103)-1))</f>
        <v/>
      </c>
      <c r="C104">
        <f>C103 &amp; ", " &amp; B103</f>
        <v/>
      </c>
      <c r="D104">
        <f>IF(Klantgegevens_B!F103&lt;&gt;"", Klantgegevens_B!F103, Klantgegevens_A!D103 &amp; " " &amp; Klantgegevens_A!E103 &amp; ", " &amp; Klantgegevens_A!F103)</f>
        <v/>
      </c>
      <c r="E104">
        <f>IF(Klantgegevens_B!G103&lt;&gt;"", Klantgegevens_B!G103, TEXTJOIN(",", TRUE, REPT("Volwassene,", Klantgegevens_A!G103), REPT("Kind,", Klantgegevens_A!H103)))</f>
        <v/>
      </c>
      <c r="F104">
        <f>IF(Klantgegevens_B!G103&lt;&gt;"", LEN(Klantgegevens_B!G103)-LEN(SUBSTITUTE(Klantgegevens_B!G103, ",", ""))+1, Klantgegevens_A!G103)</f>
        <v/>
      </c>
      <c r="G104">
        <f>IF(Klantgegevens_B!G103&lt;&gt;"", 0, Klantgegevens_A!H103)</f>
        <v/>
      </c>
      <c r="H104">
        <f>IF(Klantgegevens_B!H103&lt;&gt;"", Klantgegevens_B!H103, Klantgegevens_A!I103)</f>
        <v/>
      </c>
      <c r="I104">
        <f>IF(Klantgegevens_B!I103&lt;&gt;"", Klantgegevens_B!I103, SWITCH(Klantgegevens_A!J103, "Zelden", 1, "Af en toe", 4, "Regelmatig", 8, "Vaak", 12))</f>
        <v/>
      </c>
      <c r="J104">
        <f>IF(Klantgegevens_B!J103&lt;&gt;"", Klantgegevens_B!J103, Klantgegevens_A!K103)</f>
        <v/>
      </c>
      <c r="K104">
        <f>IF(Klantgegevens_B!K103&lt;&gt;"", AVERAGE(--(Klantgegevens_B!K103="ja"), --(Klantgegevens_B!L103="ja"), --(Klantgegevens_B!M103="ja"), --(Klantgegevens_B!N103="ja"), --(Klantgegevens_B!O103="ja"))*10, Klantgegevens_A!L103)</f>
        <v/>
      </c>
      <c r="L104">
        <f>IF(Klantgegevens_B!K103&lt;&gt;"", Klantgegevens_B!K103, IF(Klantgegevens_A!L103&gt;=7, "ja", "nee"))</f>
        <v/>
      </c>
      <c r="M104">
        <f>IF(Klantgegevens_B!L103&lt;&gt;"", Klantgegevens_B!L103, IF(Klantgegevens_A!L103&gt;=7, "ja", "nee"))</f>
        <v/>
      </c>
      <c r="N104">
        <f>IF(Klantgegevens_B!M103&lt;&gt;"", Klantgegevens_B!M103, IF(Klantgegevens_A!L103&gt;=7, "ja", "nee"))</f>
        <v/>
      </c>
      <c r="O104">
        <f>IF(Klantgegevens_B!N103&lt;&gt;"", Klantgegevens_B!N103, IF(Klantgegevens_A!L103&gt;=7, "ja", "nee"))</f>
        <v/>
      </c>
      <c r="P104">
        <f>IF(Klantgegevens_B!O103&lt;&gt;"", Klantgegevens_B!O103, IF(Klantgegevens_A!L103&gt;=7, "ja", "nee"))</f>
        <v/>
      </c>
      <c r="Q104">
        <f>IF(Klantgegevens_B!P103&lt;&gt;"", Klantgegevens_B!P103, Klantgegevens_A!M103)</f>
        <v/>
      </c>
      <c r="R104">
        <f>IF(Klantgegevens_B!A103&lt;&gt;"", "B", "A")</f>
        <v/>
      </c>
    </row>
    <row r="105">
      <c r="A105">
        <f>IF(Klantgegevens_B!A104&lt;&gt;"", Klantgegevens_B!A104, MID(Klantgegevens_A!A104, FIND(",", Klantgegevens_A!A104)+2, LEN(Klantgegevens_A!A104)))</f>
        <v/>
      </c>
      <c r="B105">
        <f>IF(Klantgegevens_B!B104&lt;&gt;"", Klantgegevens_B!B104, LEFT(Klantgegevens_A!A104, FIND(",", Klantgegevens_A!A104)-1))</f>
        <v/>
      </c>
      <c r="C105">
        <f>C104 &amp; ", " &amp; B104</f>
        <v/>
      </c>
      <c r="D105">
        <f>IF(Klantgegevens_B!F104&lt;&gt;"", Klantgegevens_B!F104, Klantgegevens_A!D104 &amp; " " &amp; Klantgegevens_A!E104 &amp; ", " &amp; Klantgegevens_A!F104)</f>
        <v/>
      </c>
      <c r="E105">
        <f>IF(Klantgegevens_B!G104&lt;&gt;"", Klantgegevens_B!G104, TEXTJOIN(",", TRUE, REPT("Volwassene,", Klantgegevens_A!G104), REPT("Kind,", Klantgegevens_A!H104)))</f>
        <v/>
      </c>
      <c r="F105">
        <f>IF(Klantgegevens_B!G104&lt;&gt;"", LEN(Klantgegevens_B!G104)-LEN(SUBSTITUTE(Klantgegevens_B!G104, ",", ""))+1, Klantgegevens_A!G104)</f>
        <v/>
      </c>
      <c r="G105">
        <f>IF(Klantgegevens_B!G104&lt;&gt;"", 0, Klantgegevens_A!H104)</f>
        <v/>
      </c>
      <c r="H105">
        <f>IF(Klantgegevens_B!H104&lt;&gt;"", Klantgegevens_B!H104, Klantgegevens_A!I104)</f>
        <v/>
      </c>
      <c r="I105">
        <f>IF(Klantgegevens_B!I104&lt;&gt;"", Klantgegevens_B!I104, SWITCH(Klantgegevens_A!J104, "Zelden", 1, "Af en toe", 4, "Regelmatig", 8, "Vaak", 12))</f>
        <v/>
      </c>
      <c r="J105">
        <f>IF(Klantgegevens_B!J104&lt;&gt;"", Klantgegevens_B!J104, Klantgegevens_A!K104)</f>
        <v/>
      </c>
      <c r="K105">
        <f>IF(Klantgegevens_B!K104&lt;&gt;"", AVERAGE(--(Klantgegevens_B!K104="ja"), --(Klantgegevens_B!L104="ja"), --(Klantgegevens_B!M104="ja"), --(Klantgegevens_B!N104="ja"), --(Klantgegevens_B!O104="ja"))*10, Klantgegevens_A!L104)</f>
        <v/>
      </c>
      <c r="L105">
        <f>IF(Klantgegevens_B!K104&lt;&gt;"", Klantgegevens_B!K104, IF(Klantgegevens_A!L104&gt;=7, "ja", "nee"))</f>
        <v/>
      </c>
      <c r="M105">
        <f>IF(Klantgegevens_B!L104&lt;&gt;"", Klantgegevens_B!L104, IF(Klantgegevens_A!L104&gt;=7, "ja", "nee"))</f>
        <v/>
      </c>
      <c r="N105">
        <f>IF(Klantgegevens_B!M104&lt;&gt;"", Klantgegevens_B!M104, IF(Klantgegevens_A!L104&gt;=7, "ja", "nee"))</f>
        <v/>
      </c>
      <c r="O105">
        <f>IF(Klantgegevens_B!N104&lt;&gt;"", Klantgegevens_B!N104, IF(Klantgegevens_A!L104&gt;=7, "ja", "nee"))</f>
        <v/>
      </c>
      <c r="P105">
        <f>IF(Klantgegevens_B!O104&lt;&gt;"", Klantgegevens_B!O104, IF(Klantgegevens_A!L104&gt;=7, "ja", "nee"))</f>
        <v/>
      </c>
      <c r="Q105">
        <f>IF(Klantgegevens_B!P104&lt;&gt;"", Klantgegevens_B!P104, Klantgegevens_A!M104)</f>
        <v/>
      </c>
      <c r="R105">
        <f>IF(Klantgegevens_B!A104&lt;&gt;"", "B", "A")</f>
        <v/>
      </c>
    </row>
    <row r="106">
      <c r="A106">
        <f>IF(Klantgegevens_B!A105&lt;&gt;"", Klantgegevens_B!A105, MID(Klantgegevens_A!A105, FIND(",", Klantgegevens_A!A105)+2, LEN(Klantgegevens_A!A105)))</f>
        <v/>
      </c>
      <c r="B106">
        <f>IF(Klantgegevens_B!B105&lt;&gt;"", Klantgegevens_B!B105, LEFT(Klantgegevens_A!A105, FIND(",", Klantgegevens_A!A105)-1))</f>
        <v/>
      </c>
      <c r="C106">
        <f>C105 &amp; ", " &amp; B105</f>
        <v/>
      </c>
      <c r="D106">
        <f>IF(Klantgegevens_B!F105&lt;&gt;"", Klantgegevens_B!F105, Klantgegevens_A!D105 &amp; " " &amp; Klantgegevens_A!E105 &amp; ", " &amp; Klantgegevens_A!F105)</f>
        <v/>
      </c>
      <c r="E106">
        <f>IF(Klantgegevens_B!G105&lt;&gt;"", Klantgegevens_B!G105, TEXTJOIN(",", TRUE, REPT("Volwassene,", Klantgegevens_A!G105), REPT("Kind,", Klantgegevens_A!H105)))</f>
        <v/>
      </c>
      <c r="F106">
        <f>IF(Klantgegevens_B!G105&lt;&gt;"", LEN(Klantgegevens_B!G105)-LEN(SUBSTITUTE(Klantgegevens_B!G105, ",", ""))+1, Klantgegevens_A!G105)</f>
        <v/>
      </c>
      <c r="G106">
        <f>IF(Klantgegevens_B!G105&lt;&gt;"", 0, Klantgegevens_A!H105)</f>
        <v/>
      </c>
      <c r="H106">
        <f>IF(Klantgegevens_B!H105&lt;&gt;"", Klantgegevens_B!H105, Klantgegevens_A!I105)</f>
        <v/>
      </c>
      <c r="I106">
        <f>IF(Klantgegevens_B!I105&lt;&gt;"", Klantgegevens_B!I105, SWITCH(Klantgegevens_A!J105, "Zelden", 1, "Af en toe", 4, "Regelmatig", 8, "Vaak", 12))</f>
        <v/>
      </c>
      <c r="J106">
        <f>IF(Klantgegevens_B!J105&lt;&gt;"", Klantgegevens_B!J105, Klantgegevens_A!K105)</f>
        <v/>
      </c>
      <c r="K106">
        <f>IF(Klantgegevens_B!K105&lt;&gt;"", AVERAGE(--(Klantgegevens_B!K105="ja"), --(Klantgegevens_B!L105="ja"), --(Klantgegevens_B!M105="ja"), --(Klantgegevens_B!N105="ja"), --(Klantgegevens_B!O105="ja"))*10, Klantgegevens_A!L105)</f>
        <v/>
      </c>
      <c r="L106">
        <f>IF(Klantgegevens_B!K105&lt;&gt;"", Klantgegevens_B!K105, IF(Klantgegevens_A!L105&gt;=7, "ja", "nee"))</f>
        <v/>
      </c>
      <c r="M106">
        <f>IF(Klantgegevens_B!L105&lt;&gt;"", Klantgegevens_B!L105, IF(Klantgegevens_A!L105&gt;=7, "ja", "nee"))</f>
        <v/>
      </c>
      <c r="N106">
        <f>IF(Klantgegevens_B!M105&lt;&gt;"", Klantgegevens_B!M105, IF(Klantgegevens_A!L105&gt;=7, "ja", "nee"))</f>
        <v/>
      </c>
      <c r="O106">
        <f>IF(Klantgegevens_B!N105&lt;&gt;"", Klantgegevens_B!N105, IF(Klantgegevens_A!L105&gt;=7, "ja", "nee"))</f>
        <v/>
      </c>
      <c r="P106">
        <f>IF(Klantgegevens_B!O105&lt;&gt;"", Klantgegevens_B!O105, IF(Klantgegevens_A!L105&gt;=7, "ja", "nee"))</f>
        <v/>
      </c>
      <c r="Q106">
        <f>IF(Klantgegevens_B!P105&lt;&gt;"", Klantgegevens_B!P105, Klantgegevens_A!M105)</f>
        <v/>
      </c>
      <c r="R106">
        <f>IF(Klantgegevens_B!A105&lt;&gt;"", "B", "A")</f>
        <v/>
      </c>
    </row>
    <row r="107">
      <c r="A107">
        <f>IF(Klantgegevens_B!A106&lt;&gt;"", Klantgegevens_B!A106, MID(Klantgegevens_A!A106, FIND(",", Klantgegevens_A!A106)+2, LEN(Klantgegevens_A!A106)))</f>
        <v/>
      </c>
      <c r="B107">
        <f>IF(Klantgegevens_B!B106&lt;&gt;"", Klantgegevens_B!B106, LEFT(Klantgegevens_A!A106, FIND(",", Klantgegevens_A!A106)-1))</f>
        <v/>
      </c>
      <c r="C107">
        <f>C106 &amp; ", " &amp; B106</f>
        <v/>
      </c>
      <c r="D107">
        <f>IF(Klantgegevens_B!F106&lt;&gt;"", Klantgegevens_B!F106, Klantgegevens_A!D106 &amp; " " &amp; Klantgegevens_A!E106 &amp; ", " &amp; Klantgegevens_A!F106)</f>
        <v/>
      </c>
      <c r="E107">
        <f>IF(Klantgegevens_B!G106&lt;&gt;"", Klantgegevens_B!G106, TEXTJOIN(",", TRUE, REPT("Volwassene,", Klantgegevens_A!G106), REPT("Kind,", Klantgegevens_A!H106)))</f>
        <v/>
      </c>
      <c r="F107">
        <f>IF(Klantgegevens_B!G106&lt;&gt;"", LEN(Klantgegevens_B!G106)-LEN(SUBSTITUTE(Klantgegevens_B!G106, ",", ""))+1, Klantgegevens_A!G106)</f>
        <v/>
      </c>
      <c r="G107">
        <f>IF(Klantgegevens_B!G106&lt;&gt;"", 0, Klantgegevens_A!H106)</f>
        <v/>
      </c>
      <c r="H107">
        <f>IF(Klantgegevens_B!H106&lt;&gt;"", Klantgegevens_B!H106, Klantgegevens_A!I106)</f>
        <v/>
      </c>
      <c r="I107">
        <f>IF(Klantgegevens_B!I106&lt;&gt;"", Klantgegevens_B!I106, SWITCH(Klantgegevens_A!J106, "Zelden", 1, "Af en toe", 4, "Regelmatig", 8, "Vaak", 12))</f>
        <v/>
      </c>
      <c r="J107">
        <f>IF(Klantgegevens_B!J106&lt;&gt;"", Klantgegevens_B!J106, Klantgegevens_A!K106)</f>
        <v/>
      </c>
      <c r="K107">
        <f>IF(Klantgegevens_B!K106&lt;&gt;"", AVERAGE(--(Klantgegevens_B!K106="ja"), --(Klantgegevens_B!L106="ja"), --(Klantgegevens_B!M106="ja"), --(Klantgegevens_B!N106="ja"), --(Klantgegevens_B!O106="ja"))*10, Klantgegevens_A!L106)</f>
        <v/>
      </c>
      <c r="L107">
        <f>IF(Klantgegevens_B!K106&lt;&gt;"", Klantgegevens_B!K106, IF(Klantgegevens_A!L106&gt;=7, "ja", "nee"))</f>
        <v/>
      </c>
      <c r="M107">
        <f>IF(Klantgegevens_B!L106&lt;&gt;"", Klantgegevens_B!L106, IF(Klantgegevens_A!L106&gt;=7, "ja", "nee"))</f>
        <v/>
      </c>
      <c r="N107">
        <f>IF(Klantgegevens_B!M106&lt;&gt;"", Klantgegevens_B!M106, IF(Klantgegevens_A!L106&gt;=7, "ja", "nee"))</f>
        <v/>
      </c>
      <c r="O107">
        <f>IF(Klantgegevens_B!N106&lt;&gt;"", Klantgegevens_B!N106, IF(Klantgegevens_A!L106&gt;=7, "ja", "nee"))</f>
        <v/>
      </c>
      <c r="P107">
        <f>IF(Klantgegevens_B!O106&lt;&gt;"", Klantgegevens_B!O106, IF(Klantgegevens_A!L106&gt;=7, "ja", "nee"))</f>
        <v/>
      </c>
      <c r="Q107">
        <f>IF(Klantgegevens_B!P106&lt;&gt;"", Klantgegevens_B!P106, Klantgegevens_A!M106)</f>
        <v/>
      </c>
      <c r="R107">
        <f>IF(Klantgegevens_B!A106&lt;&gt;"", "B", "A")</f>
        <v/>
      </c>
    </row>
    <row r="108">
      <c r="A108">
        <f>IF(Klantgegevens_B!A107&lt;&gt;"", Klantgegevens_B!A107, MID(Klantgegevens_A!A107, FIND(",", Klantgegevens_A!A107)+2, LEN(Klantgegevens_A!A107)))</f>
        <v/>
      </c>
      <c r="B108">
        <f>IF(Klantgegevens_B!B107&lt;&gt;"", Klantgegevens_B!B107, LEFT(Klantgegevens_A!A107, FIND(",", Klantgegevens_A!A107)-1))</f>
        <v/>
      </c>
      <c r="C108">
        <f>C107 &amp; ", " &amp; B107</f>
        <v/>
      </c>
      <c r="D108">
        <f>IF(Klantgegevens_B!F107&lt;&gt;"", Klantgegevens_B!F107, Klantgegevens_A!D107 &amp; " " &amp; Klantgegevens_A!E107 &amp; ", " &amp; Klantgegevens_A!F107)</f>
        <v/>
      </c>
      <c r="E108">
        <f>IF(Klantgegevens_B!G107&lt;&gt;"", Klantgegevens_B!G107, TEXTJOIN(",", TRUE, REPT("Volwassene,", Klantgegevens_A!G107), REPT("Kind,", Klantgegevens_A!H107)))</f>
        <v/>
      </c>
      <c r="F108">
        <f>IF(Klantgegevens_B!G107&lt;&gt;"", LEN(Klantgegevens_B!G107)-LEN(SUBSTITUTE(Klantgegevens_B!G107, ",", ""))+1, Klantgegevens_A!G107)</f>
        <v/>
      </c>
      <c r="G108">
        <f>IF(Klantgegevens_B!G107&lt;&gt;"", 0, Klantgegevens_A!H107)</f>
        <v/>
      </c>
      <c r="H108">
        <f>IF(Klantgegevens_B!H107&lt;&gt;"", Klantgegevens_B!H107, Klantgegevens_A!I107)</f>
        <v/>
      </c>
      <c r="I108">
        <f>IF(Klantgegevens_B!I107&lt;&gt;"", Klantgegevens_B!I107, SWITCH(Klantgegevens_A!J107, "Zelden", 1, "Af en toe", 4, "Regelmatig", 8, "Vaak", 12))</f>
        <v/>
      </c>
      <c r="J108">
        <f>IF(Klantgegevens_B!J107&lt;&gt;"", Klantgegevens_B!J107, Klantgegevens_A!K107)</f>
        <v/>
      </c>
      <c r="K108">
        <f>IF(Klantgegevens_B!K107&lt;&gt;"", AVERAGE(--(Klantgegevens_B!K107="ja"), --(Klantgegevens_B!L107="ja"), --(Klantgegevens_B!M107="ja"), --(Klantgegevens_B!N107="ja"), --(Klantgegevens_B!O107="ja"))*10, Klantgegevens_A!L107)</f>
        <v/>
      </c>
      <c r="L108">
        <f>IF(Klantgegevens_B!K107&lt;&gt;"", Klantgegevens_B!K107, IF(Klantgegevens_A!L107&gt;=7, "ja", "nee"))</f>
        <v/>
      </c>
      <c r="M108">
        <f>IF(Klantgegevens_B!L107&lt;&gt;"", Klantgegevens_B!L107, IF(Klantgegevens_A!L107&gt;=7, "ja", "nee"))</f>
        <v/>
      </c>
      <c r="N108">
        <f>IF(Klantgegevens_B!M107&lt;&gt;"", Klantgegevens_B!M107, IF(Klantgegevens_A!L107&gt;=7, "ja", "nee"))</f>
        <v/>
      </c>
      <c r="O108">
        <f>IF(Klantgegevens_B!N107&lt;&gt;"", Klantgegevens_B!N107, IF(Klantgegevens_A!L107&gt;=7, "ja", "nee"))</f>
        <v/>
      </c>
      <c r="P108">
        <f>IF(Klantgegevens_B!O107&lt;&gt;"", Klantgegevens_B!O107, IF(Klantgegevens_A!L107&gt;=7, "ja", "nee"))</f>
        <v/>
      </c>
      <c r="Q108">
        <f>IF(Klantgegevens_B!P107&lt;&gt;"", Klantgegevens_B!P107, Klantgegevens_A!M107)</f>
        <v/>
      </c>
      <c r="R108">
        <f>IF(Klantgegevens_B!A107&lt;&gt;"", "B", "A")</f>
        <v/>
      </c>
    </row>
    <row r="109">
      <c r="A109">
        <f>IF(Klantgegevens_B!A108&lt;&gt;"", Klantgegevens_B!A108, MID(Klantgegevens_A!A108, FIND(",", Klantgegevens_A!A108)+2, LEN(Klantgegevens_A!A108)))</f>
        <v/>
      </c>
      <c r="B109">
        <f>IF(Klantgegevens_B!B108&lt;&gt;"", Klantgegevens_B!B108, LEFT(Klantgegevens_A!A108, FIND(",", Klantgegevens_A!A108)-1))</f>
        <v/>
      </c>
      <c r="C109">
        <f>C108 &amp; ", " &amp; B108</f>
        <v/>
      </c>
      <c r="D109">
        <f>IF(Klantgegevens_B!F108&lt;&gt;"", Klantgegevens_B!F108, Klantgegevens_A!D108 &amp; " " &amp; Klantgegevens_A!E108 &amp; ", " &amp; Klantgegevens_A!F108)</f>
        <v/>
      </c>
      <c r="E109">
        <f>IF(Klantgegevens_B!G108&lt;&gt;"", Klantgegevens_B!G108, TEXTJOIN(",", TRUE, REPT("Volwassene,", Klantgegevens_A!G108), REPT("Kind,", Klantgegevens_A!H108)))</f>
        <v/>
      </c>
      <c r="F109">
        <f>IF(Klantgegevens_B!G108&lt;&gt;"", LEN(Klantgegevens_B!G108)-LEN(SUBSTITUTE(Klantgegevens_B!G108, ",", ""))+1, Klantgegevens_A!G108)</f>
        <v/>
      </c>
      <c r="G109">
        <f>IF(Klantgegevens_B!G108&lt;&gt;"", 0, Klantgegevens_A!H108)</f>
        <v/>
      </c>
      <c r="H109">
        <f>IF(Klantgegevens_B!H108&lt;&gt;"", Klantgegevens_B!H108, Klantgegevens_A!I108)</f>
        <v/>
      </c>
      <c r="I109">
        <f>IF(Klantgegevens_B!I108&lt;&gt;"", Klantgegevens_B!I108, SWITCH(Klantgegevens_A!J108, "Zelden", 1, "Af en toe", 4, "Regelmatig", 8, "Vaak", 12))</f>
        <v/>
      </c>
      <c r="J109">
        <f>IF(Klantgegevens_B!J108&lt;&gt;"", Klantgegevens_B!J108, Klantgegevens_A!K108)</f>
        <v/>
      </c>
      <c r="K109">
        <f>IF(Klantgegevens_B!K108&lt;&gt;"", AVERAGE(--(Klantgegevens_B!K108="ja"), --(Klantgegevens_B!L108="ja"), --(Klantgegevens_B!M108="ja"), --(Klantgegevens_B!N108="ja"), --(Klantgegevens_B!O108="ja"))*10, Klantgegevens_A!L108)</f>
        <v/>
      </c>
      <c r="L109">
        <f>IF(Klantgegevens_B!K108&lt;&gt;"", Klantgegevens_B!K108, IF(Klantgegevens_A!L108&gt;=7, "ja", "nee"))</f>
        <v/>
      </c>
      <c r="M109">
        <f>IF(Klantgegevens_B!L108&lt;&gt;"", Klantgegevens_B!L108, IF(Klantgegevens_A!L108&gt;=7, "ja", "nee"))</f>
        <v/>
      </c>
      <c r="N109">
        <f>IF(Klantgegevens_B!M108&lt;&gt;"", Klantgegevens_B!M108, IF(Klantgegevens_A!L108&gt;=7, "ja", "nee"))</f>
        <v/>
      </c>
      <c r="O109">
        <f>IF(Klantgegevens_B!N108&lt;&gt;"", Klantgegevens_B!N108, IF(Klantgegevens_A!L108&gt;=7, "ja", "nee"))</f>
        <v/>
      </c>
      <c r="P109">
        <f>IF(Klantgegevens_B!O108&lt;&gt;"", Klantgegevens_B!O108, IF(Klantgegevens_A!L108&gt;=7, "ja", "nee"))</f>
        <v/>
      </c>
      <c r="Q109">
        <f>IF(Klantgegevens_B!P108&lt;&gt;"", Klantgegevens_B!P108, Klantgegevens_A!M108)</f>
        <v/>
      </c>
      <c r="R109">
        <f>IF(Klantgegevens_B!A108&lt;&gt;"", "B", "A")</f>
        <v/>
      </c>
    </row>
    <row r="110">
      <c r="A110">
        <f>IF(Klantgegevens_B!A109&lt;&gt;"", Klantgegevens_B!A109, MID(Klantgegevens_A!A109, FIND(",", Klantgegevens_A!A109)+2, LEN(Klantgegevens_A!A109)))</f>
        <v/>
      </c>
      <c r="B110">
        <f>IF(Klantgegevens_B!B109&lt;&gt;"", Klantgegevens_B!B109, LEFT(Klantgegevens_A!A109, FIND(",", Klantgegevens_A!A109)-1))</f>
        <v/>
      </c>
      <c r="C110">
        <f>C109 &amp; ", " &amp; B109</f>
        <v/>
      </c>
      <c r="D110">
        <f>IF(Klantgegevens_B!F109&lt;&gt;"", Klantgegevens_B!F109, Klantgegevens_A!D109 &amp; " " &amp; Klantgegevens_A!E109 &amp; ", " &amp; Klantgegevens_A!F109)</f>
        <v/>
      </c>
      <c r="E110">
        <f>IF(Klantgegevens_B!G109&lt;&gt;"", Klantgegevens_B!G109, TEXTJOIN(",", TRUE, REPT("Volwassene,", Klantgegevens_A!G109), REPT("Kind,", Klantgegevens_A!H109)))</f>
        <v/>
      </c>
      <c r="F110">
        <f>IF(Klantgegevens_B!G109&lt;&gt;"", LEN(Klantgegevens_B!G109)-LEN(SUBSTITUTE(Klantgegevens_B!G109, ",", ""))+1, Klantgegevens_A!G109)</f>
        <v/>
      </c>
      <c r="G110">
        <f>IF(Klantgegevens_B!G109&lt;&gt;"", 0, Klantgegevens_A!H109)</f>
        <v/>
      </c>
      <c r="H110">
        <f>IF(Klantgegevens_B!H109&lt;&gt;"", Klantgegevens_B!H109, Klantgegevens_A!I109)</f>
        <v/>
      </c>
      <c r="I110">
        <f>IF(Klantgegevens_B!I109&lt;&gt;"", Klantgegevens_B!I109, SWITCH(Klantgegevens_A!J109, "Zelden", 1, "Af en toe", 4, "Regelmatig", 8, "Vaak", 12))</f>
        <v/>
      </c>
      <c r="J110">
        <f>IF(Klantgegevens_B!J109&lt;&gt;"", Klantgegevens_B!J109, Klantgegevens_A!K109)</f>
        <v/>
      </c>
      <c r="K110">
        <f>IF(Klantgegevens_B!K109&lt;&gt;"", AVERAGE(--(Klantgegevens_B!K109="ja"), --(Klantgegevens_B!L109="ja"), --(Klantgegevens_B!M109="ja"), --(Klantgegevens_B!N109="ja"), --(Klantgegevens_B!O109="ja"))*10, Klantgegevens_A!L109)</f>
        <v/>
      </c>
      <c r="L110">
        <f>IF(Klantgegevens_B!K109&lt;&gt;"", Klantgegevens_B!K109, IF(Klantgegevens_A!L109&gt;=7, "ja", "nee"))</f>
        <v/>
      </c>
      <c r="M110">
        <f>IF(Klantgegevens_B!L109&lt;&gt;"", Klantgegevens_B!L109, IF(Klantgegevens_A!L109&gt;=7, "ja", "nee"))</f>
        <v/>
      </c>
      <c r="N110">
        <f>IF(Klantgegevens_B!M109&lt;&gt;"", Klantgegevens_B!M109, IF(Klantgegevens_A!L109&gt;=7, "ja", "nee"))</f>
        <v/>
      </c>
      <c r="O110">
        <f>IF(Klantgegevens_B!N109&lt;&gt;"", Klantgegevens_B!N109, IF(Klantgegevens_A!L109&gt;=7, "ja", "nee"))</f>
        <v/>
      </c>
      <c r="P110">
        <f>IF(Klantgegevens_B!O109&lt;&gt;"", Klantgegevens_B!O109, IF(Klantgegevens_A!L109&gt;=7, "ja", "nee"))</f>
        <v/>
      </c>
      <c r="Q110">
        <f>IF(Klantgegevens_B!P109&lt;&gt;"", Klantgegevens_B!P109, Klantgegevens_A!M109)</f>
        <v/>
      </c>
      <c r="R110">
        <f>IF(Klantgegevens_B!A109&lt;&gt;"", "B", "A")</f>
        <v/>
      </c>
    </row>
    <row r="111">
      <c r="A111">
        <f>IF(Klantgegevens_B!A110&lt;&gt;"", Klantgegevens_B!A110, MID(Klantgegevens_A!A110, FIND(",", Klantgegevens_A!A110)+2, LEN(Klantgegevens_A!A110)))</f>
        <v/>
      </c>
      <c r="B111">
        <f>IF(Klantgegevens_B!B110&lt;&gt;"", Klantgegevens_B!B110, LEFT(Klantgegevens_A!A110, FIND(",", Klantgegevens_A!A110)-1))</f>
        <v/>
      </c>
      <c r="C111">
        <f>C110 &amp; ", " &amp; B110</f>
        <v/>
      </c>
      <c r="D111">
        <f>IF(Klantgegevens_B!F110&lt;&gt;"", Klantgegevens_B!F110, Klantgegevens_A!D110 &amp; " " &amp; Klantgegevens_A!E110 &amp; ", " &amp; Klantgegevens_A!F110)</f>
        <v/>
      </c>
      <c r="E111">
        <f>IF(Klantgegevens_B!G110&lt;&gt;"", Klantgegevens_B!G110, TEXTJOIN(",", TRUE, REPT("Volwassene,", Klantgegevens_A!G110), REPT("Kind,", Klantgegevens_A!H110)))</f>
        <v/>
      </c>
      <c r="F111">
        <f>IF(Klantgegevens_B!G110&lt;&gt;"", LEN(Klantgegevens_B!G110)-LEN(SUBSTITUTE(Klantgegevens_B!G110, ",", ""))+1, Klantgegevens_A!G110)</f>
        <v/>
      </c>
      <c r="G111">
        <f>IF(Klantgegevens_B!G110&lt;&gt;"", 0, Klantgegevens_A!H110)</f>
        <v/>
      </c>
      <c r="H111">
        <f>IF(Klantgegevens_B!H110&lt;&gt;"", Klantgegevens_B!H110, Klantgegevens_A!I110)</f>
        <v/>
      </c>
      <c r="I111">
        <f>IF(Klantgegevens_B!I110&lt;&gt;"", Klantgegevens_B!I110, SWITCH(Klantgegevens_A!J110, "Zelden", 1, "Af en toe", 4, "Regelmatig", 8, "Vaak", 12))</f>
        <v/>
      </c>
      <c r="J111">
        <f>IF(Klantgegevens_B!J110&lt;&gt;"", Klantgegevens_B!J110, Klantgegevens_A!K110)</f>
        <v/>
      </c>
      <c r="K111">
        <f>IF(Klantgegevens_B!K110&lt;&gt;"", AVERAGE(--(Klantgegevens_B!K110="ja"), --(Klantgegevens_B!L110="ja"), --(Klantgegevens_B!M110="ja"), --(Klantgegevens_B!N110="ja"), --(Klantgegevens_B!O110="ja"))*10, Klantgegevens_A!L110)</f>
        <v/>
      </c>
      <c r="L111">
        <f>IF(Klantgegevens_B!K110&lt;&gt;"", Klantgegevens_B!K110, IF(Klantgegevens_A!L110&gt;=7, "ja", "nee"))</f>
        <v/>
      </c>
      <c r="M111">
        <f>IF(Klantgegevens_B!L110&lt;&gt;"", Klantgegevens_B!L110, IF(Klantgegevens_A!L110&gt;=7, "ja", "nee"))</f>
        <v/>
      </c>
      <c r="N111">
        <f>IF(Klantgegevens_B!M110&lt;&gt;"", Klantgegevens_B!M110, IF(Klantgegevens_A!L110&gt;=7, "ja", "nee"))</f>
        <v/>
      </c>
      <c r="O111">
        <f>IF(Klantgegevens_B!N110&lt;&gt;"", Klantgegevens_B!N110, IF(Klantgegevens_A!L110&gt;=7, "ja", "nee"))</f>
        <v/>
      </c>
      <c r="P111">
        <f>IF(Klantgegevens_B!O110&lt;&gt;"", Klantgegevens_B!O110, IF(Klantgegevens_A!L110&gt;=7, "ja", "nee"))</f>
        <v/>
      </c>
      <c r="Q111">
        <f>IF(Klantgegevens_B!P110&lt;&gt;"", Klantgegevens_B!P110, Klantgegevens_A!M110)</f>
        <v/>
      </c>
      <c r="R111">
        <f>IF(Klantgegevens_B!A110&lt;&gt;"", "B", "A")</f>
        <v/>
      </c>
    </row>
    <row r="112">
      <c r="A112">
        <f>IF(Klantgegevens_B!A111&lt;&gt;"", Klantgegevens_B!A111, MID(Klantgegevens_A!A111, FIND(",", Klantgegevens_A!A111)+2, LEN(Klantgegevens_A!A111)))</f>
        <v/>
      </c>
      <c r="B112">
        <f>IF(Klantgegevens_B!B111&lt;&gt;"", Klantgegevens_B!B111, LEFT(Klantgegevens_A!A111, FIND(",", Klantgegevens_A!A111)-1))</f>
        <v/>
      </c>
      <c r="C112">
        <f>C111 &amp; ", " &amp; B111</f>
        <v/>
      </c>
      <c r="D112">
        <f>IF(Klantgegevens_B!F111&lt;&gt;"", Klantgegevens_B!F111, Klantgegevens_A!D111 &amp; " " &amp; Klantgegevens_A!E111 &amp; ", " &amp; Klantgegevens_A!F111)</f>
        <v/>
      </c>
      <c r="E112">
        <f>IF(Klantgegevens_B!G111&lt;&gt;"", Klantgegevens_B!G111, TEXTJOIN(",", TRUE, REPT("Volwassene,", Klantgegevens_A!G111), REPT("Kind,", Klantgegevens_A!H111)))</f>
        <v/>
      </c>
      <c r="F112">
        <f>IF(Klantgegevens_B!G111&lt;&gt;"", LEN(Klantgegevens_B!G111)-LEN(SUBSTITUTE(Klantgegevens_B!G111, ",", ""))+1, Klantgegevens_A!G111)</f>
        <v/>
      </c>
      <c r="G112">
        <f>IF(Klantgegevens_B!G111&lt;&gt;"", 0, Klantgegevens_A!H111)</f>
        <v/>
      </c>
      <c r="H112">
        <f>IF(Klantgegevens_B!H111&lt;&gt;"", Klantgegevens_B!H111, Klantgegevens_A!I111)</f>
        <v/>
      </c>
      <c r="I112">
        <f>IF(Klantgegevens_B!I111&lt;&gt;"", Klantgegevens_B!I111, SWITCH(Klantgegevens_A!J111, "Zelden", 1, "Af en toe", 4, "Regelmatig", 8, "Vaak", 12))</f>
        <v/>
      </c>
      <c r="J112">
        <f>IF(Klantgegevens_B!J111&lt;&gt;"", Klantgegevens_B!J111, Klantgegevens_A!K111)</f>
        <v/>
      </c>
      <c r="K112">
        <f>IF(Klantgegevens_B!K111&lt;&gt;"", AVERAGE(--(Klantgegevens_B!K111="ja"), --(Klantgegevens_B!L111="ja"), --(Klantgegevens_B!M111="ja"), --(Klantgegevens_B!N111="ja"), --(Klantgegevens_B!O111="ja"))*10, Klantgegevens_A!L111)</f>
        <v/>
      </c>
      <c r="L112">
        <f>IF(Klantgegevens_B!K111&lt;&gt;"", Klantgegevens_B!K111, IF(Klantgegevens_A!L111&gt;=7, "ja", "nee"))</f>
        <v/>
      </c>
      <c r="M112">
        <f>IF(Klantgegevens_B!L111&lt;&gt;"", Klantgegevens_B!L111, IF(Klantgegevens_A!L111&gt;=7, "ja", "nee"))</f>
        <v/>
      </c>
      <c r="N112">
        <f>IF(Klantgegevens_B!M111&lt;&gt;"", Klantgegevens_B!M111, IF(Klantgegevens_A!L111&gt;=7, "ja", "nee"))</f>
        <v/>
      </c>
      <c r="O112">
        <f>IF(Klantgegevens_B!N111&lt;&gt;"", Klantgegevens_B!N111, IF(Klantgegevens_A!L111&gt;=7, "ja", "nee"))</f>
        <v/>
      </c>
      <c r="P112">
        <f>IF(Klantgegevens_B!O111&lt;&gt;"", Klantgegevens_B!O111, IF(Klantgegevens_A!L111&gt;=7, "ja", "nee"))</f>
        <v/>
      </c>
      <c r="Q112">
        <f>IF(Klantgegevens_B!P111&lt;&gt;"", Klantgegevens_B!P111, Klantgegevens_A!M111)</f>
        <v/>
      </c>
      <c r="R112">
        <f>IF(Klantgegevens_B!A111&lt;&gt;"", "B", "A")</f>
        <v/>
      </c>
    </row>
    <row r="113">
      <c r="A113">
        <f>IF(Klantgegevens_B!A112&lt;&gt;"", Klantgegevens_B!A112, MID(Klantgegevens_A!A112, FIND(",", Klantgegevens_A!A112)+2, LEN(Klantgegevens_A!A112)))</f>
        <v/>
      </c>
      <c r="B113">
        <f>IF(Klantgegevens_B!B112&lt;&gt;"", Klantgegevens_B!B112, LEFT(Klantgegevens_A!A112, FIND(",", Klantgegevens_A!A112)-1))</f>
        <v/>
      </c>
      <c r="C113">
        <f>C112 &amp; ", " &amp; B112</f>
        <v/>
      </c>
      <c r="D113">
        <f>IF(Klantgegevens_B!F112&lt;&gt;"", Klantgegevens_B!F112, Klantgegevens_A!D112 &amp; " " &amp; Klantgegevens_A!E112 &amp; ", " &amp; Klantgegevens_A!F112)</f>
        <v/>
      </c>
      <c r="E113">
        <f>IF(Klantgegevens_B!G112&lt;&gt;"", Klantgegevens_B!G112, TEXTJOIN(",", TRUE, REPT("Volwassene,", Klantgegevens_A!G112), REPT("Kind,", Klantgegevens_A!H112)))</f>
        <v/>
      </c>
      <c r="F113">
        <f>IF(Klantgegevens_B!G112&lt;&gt;"", LEN(Klantgegevens_B!G112)-LEN(SUBSTITUTE(Klantgegevens_B!G112, ",", ""))+1, Klantgegevens_A!G112)</f>
        <v/>
      </c>
      <c r="G113">
        <f>IF(Klantgegevens_B!G112&lt;&gt;"", 0, Klantgegevens_A!H112)</f>
        <v/>
      </c>
      <c r="H113">
        <f>IF(Klantgegevens_B!H112&lt;&gt;"", Klantgegevens_B!H112, Klantgegevens_A!I112)</f>
        <v/>
      </c>
      <c r="I113">
        <f>IF(Klantgegevens_B!I112&lt;&gt;"", Klantgegevens_B!I112, SWITCH(Klantgegevens_A!J112, "Zelden", 1, "Af en toe", 4, "Regelmatig", 8, "Vaak", 12))</f>
        <v/>
      </c>
      <c r="J113">
        <f>IF(Klantgegevens_B!J112&lt;&gt;"", Klantgegevens_B!J112, Klantgegevens_A!K112)</f>
        <v/>
      </c>
      <c r="K113">
        <f>IF(Klantgegevens_B!K112&lt;&gt;"", AVERAGE(--(Klantgegevens_B!K112="ja"), --(Klantgegevens_B!L112="ja"), --(Klantgegevens_B!M112="ja"), --(Klantgegevens_B!N112="ja"), --(Klantgegevens_B!O112="ja"))*10, Klantgegevens_A!L112)</f>
        <v/>
      </c>
      <c r="L113">
        <f>IF(Klantgegevens_B!K112&lt;&gt;"", Klantgegevens_B!K112, IF(Klantgegevens_A!L112&gt;=7, "ja", "nee"))</f>
        <v/>
      </c>
      <c r="M113">
        <f>IF(Klantgegevens_B!L112&lt;&gt;"", Klantgegevens_B!L112, IF(Klantgegevens_A!L112&gt;=7, "ja", "nee"))</f>
        <v/>
      </c>
      <c r="N113">
        <f>IF(Klantgegevens_B!M112&lt;&gt;"", Klantgegevens_B!M112, IF(Klantgegevens_A!L112&gt;=7, "ja", "nee"))</f>
        <v/>
      </c>
      <c r="O113">
        <f>IF(Klantgegevens_B!N112&lt;&gt;"", Klantgegevens_B!N112, IF(Klantgegevens_A!L112&gt;=7, "ja", "nee"))</f>
        <v/>
      </c>
      <c r="P113">
        <f>IF(Klantgegevens_B!O112&lt;&gt;"", Klantgegevens_B!O112, IF(Klantgegevens_A!L112&gt;=7, "ja", "nee"))</f>
        <v/>
      </c>
      <c r="Q113">
        <f>IF(Klantgegevens_B!P112&lt;&gt;"", Klantgegevens_B!P112, Klantgegevens_A!M112)</f>
        <v/>
      </c>
      <c r="R113">
        <f>IF(Klantgegevens_B!A112&lt;&gt;"", "B", "A")</f>
        <v/>
      </c>
    </row>
    <row r="114">
      <c r="A114">
        <f>IF(Klantgegevens_B!A113&lt;&gt;"", Klantgegevens_B!A113, MID(Klantgegevens_A!A113, FIND(",", Klantgegevens_A!A113)+2, LEN(Klantgegevens_A!A113)))</f>
        <v/>
      </c>
      <c r="B114">
        <f>IF(Klantgegevens_B!B113&lt;&gt;"", Klantgegevens_B!B113, LEFT(Klantgegevens_A!A113, FIND(",", Klantgegevens_A!A113)-1))</f>
        <v/>
      </c>
      <c r="C114">
        <f>C113 &amp; ", " &amp; B113</f>
        <v/>
      </c>
      <c r="D114">
        <f>IF(Klantgegevens_B!F113&lt;&gt;"", Klantgegevens_B!F113, Klantgegevens_A!D113 &amp; " " &amp; Klantgegevens_A!E113 &amp; ", " &amp; Klantgegevens_A!F113)</f>
        <v/>
      </c>
      <c r="E114">
        <f>IF(Klantgegevens_B!G113&lt;&gt;"", Klantgegevens_B!G113, TEXTJOIN(",", TRUE, REPT("Volwassene,", Klantgegevens_A!G113), REPT("Kind,", Klantgegevens_A!H113)))</f>
        <v/>
      </c>
      <c r="F114">
        <f>IF(Klantgegevens_B!G113&lt;&gt;"", LEN(Klantgegevens_B!G113)-LEN(SUBSTITUTE(Klantgegevens_B!G113, ",", ""))+1, Klantgegevens_A!G113)</f>
        <v/>
      </c>
      <c r="G114">
        <f>IF(Klantgegevens_B!G113&lt;&gt;"", 0, Klantgegevens_A!H113)</f>
        <v/>
      </c>
      <c r="H114">
        <f>IF(Klantgegevens_B!H113&lt;&gt;"", Klantgegevens_B!H113, Klantgegevens_A!I113)</f>
        <v/>
      </c>
      <c r="I114">
        <f>IF(Klantgegevens_B!I113&lt;&gt;"", Klantgegevens_B!I113, SWITCH(Klantgegevens_A!J113, "Zelden", 1, "Af en toe", 4, "Regelmatig", 8, "Vaak", 12))</f>
        <v/>
      </c>
      <c r="J114">
        <f>IF(Klantgegevens_B!J113&lt;&gt;"", Klantgegevens_B!J113, Klantgegevens_A!K113)</f>
        <v/>
      </c>
      <c r="K114">
        <f>IF(Klantgegevens_B!K113&lt;&gt;"", AVERAGE(--(Klantgegevens_B!K113="ja"), --(Klantgegevens_B!L113="ja"), --(Klantgegevens_B!M113="ja"), --(Klantgegevens_B!N113="ja"), --(Klantgegevens_B!O113="ja"))*10, Klantgegevens_A!L113)</f>
        <v/>
      </c>
      <c r="L114">
        <f>IF(Klantgegevens_B!K113&lt;&gt;"", Klantgegevens_B!K113, IF(Klantgegevens_A!L113&gt;=7, "ja", "nee"))</f>
        <v/>
      </c>
      <c r="M114">
        <f>IF(Klantgegevens_B!L113&lt;&gt;"", Klantgegevens_B!L113, IF(Klantgegevens_A!L113&gt;=7, "ja", "nee"))</f>
        <v/>
      </c>
      <c r="N114">
        <f>IF(Klantgegevens_B!M113&lt;&gt;"", Klantgegevens_B!M113, IF(Klantgegevens_A!L113&gt;=7, "ja", "nee"))</f>
        <v/>
      </c>
      <c r="O114">
        <f>IF(Klantgegevens_B!N113&lt;&gt;"", Klantgegevens_B!N113, IF(Klantgegevens_A!L113&gt;=7, "ja", "nee"))</f>
        <v/>
      </c>
      <c r="P114">
        <f>IF(Klantgegevens_B!O113&lt;&gt;"", Klantgegevens_B!O113, IF(Klantgegevens_A!L113&gt;=7, "ja", "nee"))</f>
        <v/>
      </c>
      <c r="Q114">
        <f>IF(Klantgegevens_B!P113&lt;&gt;"", Klantgegevens_B!P113, Klantgegevens_A!M113)</f>
        <v/>
      </c>
      <c r="R114">
        <f>IF(Klantgegevens_B!A113&lt;&gt;"", "B", "A")</f>
        <v/>
      </c>
    </row>
    <row r="115">
      <c r="A115">
        <f>IF(Klantgegevens_B!A114&lt;&gt;"", Klantgegevens_B!A114, MID(Klantgegevens_A!A114, FIND(",", Klantgegevens_A!A114)+2, LEN(Klantgegevens_A!A114)))</f>
        <v/>
      </c>
      <c r="B115">
        <f>IF(Klantgegevens_B!B114&lt;&gt;"", Klantgegevens_B!B114, LEFT(Klantgegevens_A!A114, FIND(",", Klantgegevens_A!A114)-1))</f>
        <v/>
      </c>
      <c r="C115">
        <f>C114 &amp; ", " &amp; B114</f>
        <v/>
      </c>
      <c r="D115">
        <f>IF(Klantgegevens_B!F114&lt;&gt;"", Klantgegevens_B!F114, Klantgegevens_A!D114 &amp; " " &amp; Klantgegevens_A!E114 &amp; ", " &amp; Klantgegevens_A!F114)</f>
        <v/>
      </c>
      <c r="E115">
        <f>IF(Klantgegevens_B!G114&lt;&gt;"", Klantgegevens_B!G114, TEXTJOIN(",", TRUE, REPT("Volwassene,", Klantgegevens_A!G114), REPT("Kind,", Klantgegevens_A!H114)))</f>
        <v/>
      </c>
      <c r="F115">
        <f>IF(Klantgegevens_B!G114&lt;&gt;"", LEN(Klantgegevens_B!G114)-LEN(SUBSTITUTE(Klantgegevens_B!G114, ",", ""))+1, Klantgegevens_A!G114)</f>
        <v/>
      </c>
      <c r="G115">
        <f>IF(Klantgegevens_B!G114&lt;&gt;"", 0, Klantgegevens_A!H114)</f>
        <v/>
      </c>
      <c r="H115">
        <f>IF(Klantgegevens_B!H114&lt;&gt;"", Klantgegevens_B!H114, Klantgegevens_A!I114)</f>
        <v/>
      </c>
      <c r="I115">
        <f>IF(Klantgegevens_B!I114&lt;&gt;"", Klantgegevens_B!I114, SWITCH(Klantgegevens_A!J114, "Zelden", 1, "Af en toe", 4, "Regelmatig", 8, "Vaak", 12))</f>
        <v/>
      </c>
      <c r="J115">
        <f>IF(Klantgegevens_B!J114&lt;&gt;"", Klantgegevens_B!J114, Klantgegevens_A!K114)</f>
        <v/>
      </c>
      <c r="K115">
        <f>IF(Klantgegevens_B!K114&lt;&gt;"", AVERAGE(--(Klantgegevens_B!K114="ja"), --(Klantgegevens_B!L114="ja"), --(Klantgegevens_B!M114="ja"), --(Klantgegevens_B!N114="ja"), --(Klantgegevens_B!O114="ja"))*10, Klantgegevens_A!L114)</f>
        <v/>
      </c>
      <c r="L115">
        <f>IF(Klantgegevens_B!K114&lt;&gt;"", Klantgegevens_B!K114, IF(Klantgegevens_A!L114&gt;=7, "ja", "nee"))</f>
        <v/>
      </c>
      <c r="M115">
        <f>IF(Klantgegevens_B!L114&lt;&gt;"", Klantgegevens_B!L114, IF(Klantgegevens_A!L114&gt;=7, "ja", "nee"))</f>
        <v/>
      </c>
      <c r="N115">
        <f>IF(Klantgegevens_B!M114&lt;&gt;"", Klantgegevens_B!M114, IF(Klantgegevens_A!L114&gt;=7, "ja", "nee"))</f>
        <v/>
      </c>
      <c r="O115">
        <f>IF(Klantgegevens_B!N114&lt;&gt;"", Klantgegevens_B!N114, IF(Klantgegevens_A!L114&gt;=7, "ja", "nee"))</f>
        <v/>
      </c>
      <c r="P115">
        <f>IF(Klantgegevens_B!O114&lt;&gt;"", Klantgegevens_B!O114, IF(Klantgegevens_A!L114&gt;=7, "ja", "nee"))</f>
        <v/>
      </c>
      <c r="Q115">
        <f>IF(Klantgegevens_B!P114&lt;&gt;"", Klantgegevens_B!P114, Klantgegevens_A!M114)</f>
        <v/>
      </c>
      <c r="R115">
        <f>IF(Klantgegevens_B!A114&lt;&gt;"", "B", "A")</f>
        <v/>
      </c>
    </row>
    <row r="116">
      <c r="A116">
        <f>IF(Klantgegevens_B!A115&lt;&gt;"", Klantgegevens_B!A115, MID(Klantgegevens_A!A115, FIND(",", Klantgegevens_A!A115)+2, LEN(Klantgegevens_A!A115)))</f>
        <v/>
      </c>
      <c r="B116">
        <f>IF(Klantgegevens_B!B115&lt;&gt;"", Klantgegevens_B!B115, LEFT(Klantgegevens_A!A115, FIND(",", Klantgegevens_A!A115)-1))</f>
        <v/>
      </c>
      <c r="C116">
        <f>C115 &amp; ", " &amp; B115</f>
        <v/>
      </c>
      <c r="D116">
        <f>IF(Klantgegevens_B!F115&lt;&gt;"", Klantgegevens_B!F115, Klantgegevens_A!D115 &amp; " " &amp; Klantgegevens_A!E115 &amp; ", " &amp; Klantgegevens_A!F115)</f>
        <v/>
      </c>
      <c r="E116">
        <f>IF(Klantgegevens_B!G115&lt;&gt;"", Klantgegevens_B!G115, TEXTJOIN(",", TRUE, REPT("Volwassene,", Klantgegevens_A!G115), REPT("Kind,", Klantgegevens_A!H115)))</f>
        <v/>
      </c>
      <c r="F116">
        <f>IF(Klantgegevens_B!G115&lt;&gt;"", LEN(Klantgegevens_B!G115)-LEN(SUBSTITUTE(Klantgegevens_B!G115, ",", ""))+1, Klantgegevens_A!G115)</f>
        <v/>
      </c>
      <c r="G116">
        <f>IF(Klantgegevens_B!G115&lt;&gt;"", 0, Klantgegevens_A!H115)</f>
        <v/>
      </c>
      <c r="H116">
        <f>IF(Klantgegevens_B!H115&lt;&gt;"", Klantgegevens_B!H115, Klantgegevens_A!I115)</f>
        <v/>
      </c>
      <c r="I116">
        <f>IF(Klantgegevens_B!I115&lt;&gt;"", Klantgegevens_B!I115, SWITCH(Klantgegevens_A!J115, "Zelden", 1, "Af en toe", 4, "Regelmatig", 8, "Vaak", 12))</f>
        <v/>
      </c>
      <c r="J116">
        <f>IF(Klantgegevens_B!J115&lt;&gt;"", Klantgegevens_B!J115, Klantgegevens_A!K115)</f>
        <v/>
      </c>
      <c r="K116">
        <f>IF(Klantgegevens_B!K115&lt;&gt;"", AVERAGE(--(Klantgegevens_B!K115="ja"), --(Klantgegevens_B!L115="ja"), --(Klantgegevens_B!M115="ja"), --(Klantgegevens_B!N115="ja"), --(Klantgegevens_B!O115="ja"))*10, Klantgegevens_A!L115)</f>
        <v/>
      </c>
      <c r="L116">
        <f>IF(Klantgegevens_B!K115&lt;&gt;"", Klantgegevens_B!K115, IF(Klantgegevens_A!L115&gt;=7, "ja", "nee"))</f>
        <v/>
      </c>
      <c r="M116">
        <f>IF(Klantgegevens_B!L115&lt;&gt;"", Klantgegevens_B!L115, IF(Klantgegevens_A!L115&gt;=7, "ja", "nee"))</f>
        <v/>
      </c>
      <c r="N116">
        <f>IF(Klantgegevens_B!M115&lt;&gt;"", Klantgegevens_B!M115, IF(Klantgegevens_A!L115&gt;=7, "ja", "nee"))</f>
        <v/>
      </c>
      <c r="O116">
        <f>IF(Klantgegevens_B!N115&lt;&gt;"", Klantgegevens_B!N115, IF(Klantgegevens_A!L115&gt;=7, "ja", "nee"))</f>
        <v/>
      </c>
      <c r="P116">
        <f>IF(Klantgegevens_B!O115&lt;&gt;"", Klantgegevens_B!O115, IF(Klantgegevens_A!L115&gt;=7, "ja", "nee"))</f>
        <v/>
      </c>
      <c r="Q116">
        <f>IF(Klantgegevens_B!P115&lt;&gt;"", Klantgegevens_B!P115, Klantgegevens_A!M115)</f>
        <v/>
      </c>
      <c r="R116">
        <f>IF(Klantgegevens_B!A115&lt;&gt;"", "B", "A")</f>
        <v/>
      </c>
    </row>
    <row r="117">
      <c r="A117">
        <f>IF(Klantgegevens_B!A116&lt;&gt;"", Klantgegevens_B!A116, MID(Klantgegevens_A!A116, FIND(",", Klantgegevens_A!A116)+2, LEN(Klantgegevens_A!A116)))</f>
        <v/>
      </c>
      <c r="B117">
        <f>IF(Klantgegevens_B!B116&lt;&gt;"", Klantgegevens_B!B116, LEFT(Klantgegevens_A!A116, FIND(",", Klantgegevens_A!A116)-1))</f>
        <v/>
      </c>
      <c r="C117">
        <f>C116 &amp; ", " &amp; B116</f>
        <v/>
      </c>
      <c r="D117">
        <f>IF(Klantgegevens_B!F116&lt;&gt;"", Klantgegevens_B!F116, Klantgegevens_A!D116 &amp; " " &amp; Klantgegevens_A!E116 &amp; ", " &amp; Klantgegevens_A!F116)</f>
        <v/>
      </c>
      <c r="E117">
        <f>IF(Klantgegevens_B!G116&lt;&gt;"", Klantgegevens_B!G116, TEXTJOIN(",", TRUE, REPT("Volwassene,", Klantgegevens_A!G116), REPT("Kind,", Klantgegevens_A!H116)))</f>
        <v/>
      </c>
      <c r="F117">
        <f>IF(Klantgegevens_B!G116&lt;&gt;"", LEN(Klantgegevens_B!G116)-LEN(SUBSTITUTE(Klantgegevens_B!G116, ",", ""))+1, Klantgegevens_A!G116)</f>
        <v/>
      </c>
      <c r="G117">
        <f>IF(Klantgegevens_B!G116&lt;&gt;"", 0, Klantgegevens_A!H116)</f>
        <v/>
      </c>
      <c r="H117">
        <f>IF(Klantgegevens_B!H116&lt;&gt;"", Klantgegevens_B!H116, Klantgegevens_A!I116)</f>
        <v/>
      </c>
      <c r="I117">
        <f>IF(Klantgegevens_B!I116&lt;&gt;"", Klantgegevens_B!I116, SWITCH(Klantgegevens_A!J116, "Zelden", 1, "Af en toe", 4, "Regelmatig", 8, "Vaak", 12))</f>
        <v/>
      </c>
      <c r="J117">
        <f>IF(Klantgegevens_B!J116&lt;&gt;"", Klantgegevens_B!J116, Klantgegevens_A!K116)</f>
        <v/>
      </c>
      <c r="K117">
        <f>IF(Klantgegevens_B!K116&lt;&gt;"", AVERAGE(--(Klantgegevens_B!K116="ja"), --(Klantgegevens_B!L116="ja"), --(Klantgegevens_B!M116="ja"), --(Klantgegevens_B!N116="ja"), --(Klantgegevens_B!O116="ja"))*10, Klantgegevens_A!L116)</f>
        <v/>
      </c>
      <c r="L117">
        <f>IF(Klantgegevens_B!K116&lt;&gt;"", Klantgegevens_B!K116, IF(Klantgegevens_A!L116&gt;=7, "ja", "nee"))</f>
        <v/>
      </c>
      <c r="M117">
        <f>IF(Klantgegevens_B!L116&lt;&gt;"", Klantgegevens_B!L116, IF(Klantgegevens_A!L116&gt;=7, "ja", "nee"))</f>
        <v/>
      </c>
      <c r="N117">
        <f>IF(Klantgegevens_B!M116&lt;&gt;"", Klantgegevens_B!M116, IF(Klantgegevens_A!L116&gt;=7, "ja", "nee"))</f>
        <v/>
      </c>
      <c r="O117">
        <f>IF(Klantgegevens_B!N116&lt;&gt;"", Klantgegevens_B!N116, IF(Klantgegevens_A!L116&gt;=7, "ja", "nee"))</f>
        <v/>
      </c>
      <c r="P117">
        <f>IF(Klantgegevens_B!O116&lt;&gt;"", Klantgegevens_B!O116, IF(Klantgegevens_A!L116&gt;=7, "ja", "nee"))</f>
        <v/>
      </c>
      <c r="Q117">
        <f>IF(Klantgegevens_B!P116&lt;&gt;"", Klantgegevens_B!P116, Klantgegevens_A!M116)</f>
        <v/>
      </c>
      <c r="R117">
        <f>IF(Klantgegevens_B!A116&lt;&gt;"", "B", "A")</f>
        <v/>
      </c>
    </row>
    <row r="118">
      <c r="A118">
        <f>IF(Klantgegevens_B!A117&lt;&gt;"", Klantgegevens_B!A117, MID(Klantgegevens_A!A117, FIND(",", Klantgegevens_A!A117)+2, LEN(Klantgegevens_A!A117)))</f>
        <v/>
      </c>
      <c r="B118">
        <f>IF(Klantgegevens_B!B117&lt;&gt;"", Klantgegevens_B!B117, LEFT(Klantgegevens_A!A117, FIND(",", Klantgegevens_A!A117)-1))</f>
        <v/>
      </c>
      <c r="C118">
        <f>C117 &amp; ", " &amp; B117</f>
        <v/>
      </c>
      <c r="D118">
        <f>IF(Klantgegevens_B!F117&lt;&gt;"", Klantgegevens_B!F117, Klantgegevens_A!D117 &amp; " " &amp; Klantgegevens_A!E117 &amp; ", " &amp; Klantgegevens_A!F117)</f>
        <v/>
      </c>
      <c r="E118">
        <f>IF(Klantgegevens_B!G117&lt;&gt;"", Klantgegevens_B!G117, TEXTJOIN(",", TRUE, REPT("Volwassene,", Klantgegevens_A!G117), REPT("Kind,", Klantgegevens_A!H117)))</f>
        <v/>
      </c>
      <c r="F118">
        <f>IF(Klantgegevens_B!G117&lt;&gt;"", LEN(Klantgegevens_B!G117)-LEN(SUBSTITUTE(Klantgegevens_B!G117, ",", ""))+1, Klantgegevens_A!G117)</f>
        <v/>
      </c>
      <c r="G118">
        <f>IF(Klantgegevens_B!G117&lt;&gt;"", 0, Klantgegevens_A!H117)</f>
        <v/>
      </c>
      <c r="H118">
        <f>IF(Klantgegevens_B!H117&lt;&gt;"", Klantgegevens_B!H117, Klantgegevens_A!I117)</f>
        <v/>
      </c>
      <c r="I118">
        <f>IF(Klantgegevens_B!I117&lt;&gt;"", Klantgegevens_B!I117, SWITCH(Klantgegevens_A!J117, "Zelden", 1, "Af en toe", 4, "Regelmatig", 8, "Vaak", 12))</f>
        <v/>
      </c>
      <c r="J118">
        <f>IF(Klantgegevens_B!J117&lt;&gt;"", Klantgegevens_B!J117, Klantgegevens_A!K117)</f>
        <v/>
      </c>
      <c r="K118">
        <f>IF(Klantgegevens_B!K117&lt;&gt;"", AVERAGE(--(Klantgegevens_B!K117="ja"), --(Klantgegevens_B!L117="ja"), --(Klantgegevens_B!M117="ja"), --(Klantgegevens_B!N117="ja"), --(Klantgegevens_B!O117="ja"))*10, Klantgegevens_A!L117)</f>
        <v/>
      </c>
      <c r="L118">
        <f>IF(Klantgegevens_B!K117&lt;&gt;"", Klantgegevens_B!K117, IF(Klantgegevens_A!L117&gt;=7, "ja", "nee"))</f>
        <v/>
      </c>
      <c r="M118">
        <f>IF(Klantgegevens_B!L117&lt;&gt;"", Klantgegevens_B!L117, IF(Klantgegevens_A!L117&gt;=7, "ja", "nee"))</f>
        <v/>
      </c>
      <c r="N118">
        <f>IF(Klantgegevens_B!M117&lt;&gt;"", Klantgegevens_B!M117, IF(Klantgegevens_A!L117&gt;=7, "ja", "nee"))</f>
        <v/>
      </c>
      <c r="O118">
        <f>IF(Klantgegevens_B!N117&lt;&gt;"", Klantgegevens_B!N117, IF(Klantgegevens_A!L117&gt;=7, "ja", "nee"))</f>
        <v/>
      </c>
      <c r="P118">
        <f>IF(Klantgegevens_B!O117&lt;&gt;"", Klantgegevens_B!O117, IF(Klantgegevens_A!L117&gt;=7, "ja", "nee"))</f>
        <v/>
      </c>
      <c r="Q118">
        <f>IF(Klantgegevens_B!P117&lt;&gt;"", Klantgegevens_B!P117, Klantgegevens_A!M117)</f>
        <v/>
      </c>
      <c r="R118">
        <f>IF(Klantgegevens_B!A117&lt;&gt;"", "B", "A")</f>
        <v/>
      </c>
    </row>
    <row r="119">
      <c r="A119">
        <f>IF(Klantgegevens_B!A118&lt;&gt;"", Klantgegevens_B!A118, MID(Klantgegevens_A!A118, FIND(",", Klantgegevens_A!A118)+2, LEN(Klantgegevens_A!A118)))</f>
        <v/>
      </c>
      <c r="B119">
        <f>IF(Klantgegevens_B!B118&lt;&gt;"", Klantgegevens_B!B118, LEFT(Klantgegevens_A!A118, FIND(",", Klantgegevens_A!A118)-1))</f>
        <v/>
      </c>
      <c r="C119">
        <f>C118 &amp; ", " &amp; B118</f>
        <v/>
      </c>
      <c r="D119">
        <f>IF(Klantgegevens_B!F118&lt;&gt;"", Klantgegevens_B!F118, Klantgegevens_A!D118 &amp; " " &amp; Klantgegevens_A!E118 &amp; ", " &amp; Klantgegevens_A!F118)</f>
        <v/>
      </c>
      <c r="E119">
        <f>IF(Klantgegevens_B!G118&lt;&gt;"", Klantgegevens_B!G118, TEXTJOIN(",", TRUE, REPT("Volwassene,", Klantgegevens_A!G118), REPT("Kind,", Klantgegevens_A!H118)))</f>
        <v/>
      </c>
      <c r="F119">
        <f>IF(Klantgegevens_B!G118&lt;&gt;"", LEN(Klantgegevens_B!G118)-LEN(SUBSTITUTE(Klantgegevens_B!G118, ",", ""))+1, Klantgegevens_A!G118)</f>
        <v/>
      </c>
      <c r="G119">
        <f>IF(Klantgegevens_B!G118&lt;&gt;"", 0, Klantgegevens_A!H118)</f>
        <v/>
      </c>
      <c r="H119">
        <f>IF(Klantgegevens_B!H118&lt;&gt;"", Klantgegevens_B!H118, Klantgegevens_A!I118)</f>
        <v/>
      </c>
      <c r="I119">
        <f>IF(Klantgegevens_B!I118&lt;&gt;"", Klantgegevens_B!I118, SWITCH(Klantgegevens_A!J118, "Zelden", 1, "Af en toe", 4, "Regelmatig", 8, "Vaak", 12))</f>
        <v/>
      </c>
      <c r="J119">
        <f>IF(Klantgegevens_B!J118&lt;&gt;"", Klantgegevens_B!J118, Klantgegevens_A!K118)</f>
        <v/>
      </c>
      <c r="K119">
        <f>IF(Klantgegevens_B!K118&lt;&gt;"", AVERAGE(--(Klantgegevens_B!K118="ja"), --(Klantgegevens_B!L118="ja"), --(Klantgegevens_B!M118="ja"), --(Klantgegevens_B!N118="ja"), --(Klantgegevens_B!O118="ja"))*10, Klantgegevens_A!L118)</f>
        <v/>
      </c>
      <c r="L119">
        <f>IF(Klantgegevens_B!K118&lt;&gt;"", Klantgegevens_B!K118, IF(Klantgegevens_A!L118&gt;=7, "ja", "nee"))</f>
        <v/>
      </c>
      <c r="M119">
        <f>IF(Klantgegevens_B!L118&lt;&gt;"", Klantgegevens_B!L118, IF(Klantgegevens_A!L118&gt;=7, "ja", "nee"))</f>
        <v/>
      </c>
      <c r="N119">
        <f>IF(Klantgegevens_B!M118&lt;&gt;"", Klantgegevens_B!M118, IF(Klantgegevens_A!L118&gt;=7, "ja", "nee"))</f>
        <v/>
      </c>
      <c r="O119">
        <f>IF(Klantgegevens_B!N118&lt;&gt;"", Klantgegevens_B!N118, IF(Klantgegevens_A!L118&gt;=7, "ja", "nee"))</f>
        <v/>
      </c>
      <c r="P119">
        <f>IF(Klantgegevens_B!O118&lt;&gt;"", Klantgegevens_B!O118, IF(Klantgegevens_A!L118&gt;=7, "ja", "nee"))</f>
        <v/>
      </c>
      <c r="Q119">
        <f>IF(Klantgegevens_B!P118&lt;&gt;"", Klantgegevens_B!P118, Klantgegevens_A!M118)</f>
        <v/>
      </c>
      <c r="R119">
        <f>IF(Klantgegevens_B!A118&lt;&gt;"", "B", "A")</f>
        <v/>
      </c>
    </row>
    <row r="120">
      <c r="A120">
        <f>IF(Klantgegevens_B!A119&lt;&gt;"", Klantgegevens_B!A119, MID(Klantgegevens_A!A119, FIND(",", Klantgegevens_A!A119)+2, LEN(Klantgegevens_A!A119)))</f>
        <v/>
      </c>
      <c r="B120">
        <f>IF(Klantgegevens_B!B119&lt;&gt;"", Klantgegevens_B!B119, LEFT(Klantgegevens_A!A119, FIND(",", Klantgegevens_A!A119)-1))</f>
        <v/>
      </c>
      <c r="C120">
        <f>C119 &amp; ", " &amp; B119</f>
        <v/>
      </c>
      <c r="D120">
        <f>IF(Klantgegevens_B!F119&lt;&gt;"", Klantgegevens_B!F119, Klantgegevens_A!D119 &amp; " " &amp; Klantgegevens_A!E119 &amp; ", " &amp; Klantgegevens_A!F119)</f>
        <v/>
      </c>
      <c r="E120">
        <f>IF(Klantgegevens_B!G119&lt;&gt;"", Klantgegevens_B!G119, TEXTJOIN(",", TRUE, REPT("Volwassene,", Klantgegevens_A!G119), REPT("Kind,", Klantgegevens_A!H119)))</f>
        <v/>
      </c>
      <c r="F120">
        <f>IF(Klantgegevens_B!G119&lt;&gt;"", LEN(Klantgegevens_B!G119)-LEN(SUBSTITUTE(Klantgegevens_B!G119, ",", ""))+1, Klantgegevens_A!G119)</f>
        <v/>
      </c>
      <c r="G120">
        <f>IF(Klantgegevens_B!G119&lt;&gt;"", 0, Klantgegevens_A!H119)</f>
        <v/>
      </c>
      <c r="H120">
        <f>IF(Klantgegevens_B!H119&lt;&gt;"", Klantgegevens_B!H119, Klantgegevens_A!I119)</f>
        <v/>
      </c>
      <c r="I120">
        <f>IF(Klantgegevens_B!I119&lt;&gt;"", Klantgegevens_B!I119, SWITCH(Klantgegevens_A!J119, "Zelden", 1, "Af en toe", 4, "Regelmatig", 8, "Vaak", 12))</f>
        <v/>
      </c>
      <c r="J120">
        <f>IF(Klantgegevens_B!J119&lt;&gt;"", Klantgegevens_B!J119, Klantgegevens_A!K119)</f>
        <v/>
      </c>
      <c r="K120">
        <f>IF(Klantgegevens_B!K119&lt;&gt;"", AVERAGE(--(Klantgegevens_B!K119="ja"), --(Klantgegevens_B!L119="ja"), --(Klantgegevens_B!M119="ja"), --(Klantgegevens_B!N119="ja"), --(Klantgegevens_B!O119="ja"))*10, Klantgegevens_A!L119)</f>
        <v/>
      </c>
      <c r="L120">
        <f>IF(Klantgegevens_B!K119&lt;&gt;"", Klantgegevens_B!K119, IF(Klantgegevens_A!L119&gt;=7, "ja", "nee"))</f>
        <v/>
      </c>
      <c r="M120">
        <f>IF(Klantgegevens_B!L119&lt;&gt;"", Klantgegevens_B!L119, IF(Klantgegevens_A!L119&gt;=7, "ja", "nee"))</f>
        <v/>
      </c>
      <c r="N120">
        <f>IF(Klantgegevens_B!M119&lt;&gt;"", Klantgegevens_B!M119, IF(Klantgegevens_A!L119&gt;=7, "ja", "nee"))</f>
        <v/>
      </c>
      <c r="O120">
        <f>IF(Klantgegevens_B!N119&lt;&gt;"", Klantgegevens_B!N119, IF(Klantgegevens_A!L119&gt;=7, "ja", "nee"))</f>
        <v/>
      </c>
      <c r="P120">
        <f>IF(Klantgegevens_B!O119&lt;&gt;"", Klantgegevens_B!O119, IF(Klantgegevens_A!L119&gt;=7, "ja", "nee"))</f>
        <v/>
      </c>
      <c r="Q120">
        <f>IF(Klantgegevens_B!P119&lt;&gt;"", Klantgegevens_B!P119, Klantgegevens_A!M119)</f>
        <v/>
      </c>
      <c r="R120">
        <f>IF(Klantgegevens_B!A119&lt;&gt;"", "B", "A")</f>
        <v/>
      </c>
    </row>
    <row r="121">
      <c r="A121">
        <f>IF(Klantgegevens_B!A120&lt;&gt;"", Klantgegevens_B!A120, MID(Klantgegevens_A!A120, FIND(",", Klantgegevens_A!A120)+2, LEN(Klantgegevens_A!A120)))</f>
        <v/>
      </c>
      <c r="B121">
        <f>IF(Klantgegevens_B!B120&lt;&gt;"", Klantgegevens_B!B120, LEFT(Klantgegevens_A!A120, FIND(",", Klantgegevens_A!A120)-1))</f>
        <v/>
      </c>
      <c r="C121">
        <f>C120 &amp; ", " &amp; B120</f>
        <v/>
      </c>
      <c r="D121">
        <f>IF(Klantgegevens_B!F120&lt;&gt;"", Klantgegevens_B!F120, Klantgegevens_A!D120 &amp; " " &amp; Klantgegevens_A!E120 &amp; ", " &amp; Klantgegevens_A!F120)</f>
        <v/>
      </c>
      <c r="E121">
        <f>IF(Klantgegevens_B!G120&lt;&gt;"", Klantgegevens_B!G120, TEXTJOIN(",", TRUE, REPT("Volwassene,", Klantgegevens_A!G120), REPT("Kind,", Klantgegevens_A!H120)))</f>
        <v/>
      </c>
      <c r="F121">
        <f>IF(Klantgegevens_B!G120&lt;&gt;"", LEN(Klantgegevens_B!G120)-LEN(SUBSTITUTE(Klantgegevens_B!G120, ",", ""))+1, Klantgegevens_A!G120)</f>
        <v/>
      </c>
      <c r="G121">
        <f>IF(Klantgegevens_B!G120&lt;&gt;"", 0, Klantgegevens_A!H120)</f>
        <v/>
      </c>
      <c r="H121">
        <f>IF(Klantgegevens_B!H120&lt;&gt;"", Klantgegevens_B!H120, Klantgegevens_A!I120)</f>
        <v/>
      </c>
      <c r="I121">
        <f>IF(Klantgegevens_B!I120&lt;&gt;"", Klantgegevens_B!I120, SWITCH(Klantgegevens_A!J120, "Zelden", 1, "Af en toe", 4, "Regelmatig", 8, "Vaak", 12))</f>
        <v/>
      </c>
      <c r="J121">
        <f>IF(Klantgegevens_B!J120&lt;&gt;"", Klantgegevens_B!J120, Klantgegevens_A!K120)</f>
        <v/>
      </c>
      <c r="K121">
        <f>IF(Klantgegevens_B!K120&lt;&gt;"", AVERAGE(--(Klantgegevens_B!K120="ja"), --(Klantgegevens_B!L120="ja"), --(Klantgegevens_B!M120="ja"), --(Klantgegevens_B!N120="ja"), --(Klantgegevens_B!O120="ja"))*10, Klantgegevens_A!L120)</f>
        <v/>
      </c>
      <c r="L121">
        <f>IF(Klantgegevens_B!K120&lt;&gt;"", Klantgegevens_B!K120, IF(Klantgegevens_A!L120&gt;=7, "ja", "nee"))</f>
        <v/>
      </c>
      <c r="M121">
        <f>IF(Klantgegevens_B!L120&lt;&gt;"", Klantgegevens_B!L120, IF(Klantgegevens_A!L120&gt;=7, "ja", "nee"))</f>
        <v/>
      </c>
      <c r="N121">
        <f>IF(Klantgegevens_B!M120&lt;&gt;"", Klantgegevens_B!M120, IF(Klantgegevens_A!L120&gt;=7, "ja", "nee"))</f>
        <v/>
      </c>
      <c r="O121">
        <f>IF(Klantgegevens_B!N120&lt;&gt;"", Klantgegevens_B!N120, IF(Klantgegevens_A!L120&gt;=7, "ja", "nee"))</f>
        <v/>
      </c>
      <c r="P121">
        <f>IF(Klantgegevens_B!O120&lt;&gt;"", Klantgegevens_B!O120, IF(Klantgegevens_A!L120&gt;=7, "ja", "nee"))</f>
        <v/>
      </c>
      <c r="Q121">
        <f>IF(Klantgegevens_B!P120&lt;&gt;"", Klantgegevens_B!P120, Klantgegevens_A!M120)</f>
        <v/>
      </c>
      <c r="R121">
        <f>IF(Klantgegevens_B!A120&lt;&gt;"", "B", "A")</f>
        <v/>
      </c>
    </row>
    <row r="122">
      <c r="A122">
        <f>IF(Klantgegevens_B!A121&lt;&gt;"", Klantgegevens_B!A121, MID(Klantgegevens_A!A121, FIND(",", Klantgegevens_A!A121)+2, LEN(Klantgegevens_A!A121)))</f>
        <v/>
      </c>
      <c r="B122">
        <f>IF(Klantgegevens_B!B121&lt;&gt;"", Klantgegevens_B!B121, LEFT(Klantgegevens_A!A121, FIND(",", Klantgegevens_A!A121)-1))</f>
        <v/>
      </c>
      <c r="C122">
        <f>C121 &amp; ", " &amp; B121</f>
        <v/>
      </c>
      <c r="D122">
        <f>IF(Klantgegevens_B!F121&lt;&gt;"", Klantgegevens_B!F121, Klantgegevens_A!D121 &amp; " " &amp; Klantgegevens_A!E121 &amp; ", " &amp; Klantgegevens_A!F121)</f>
        <v/>
      </c>
      <c r="E122">
        <f>IF(Klantgegevens_B!G121&lt;&gt;"", Klantgegevens_B!G121, TEXTJOIN(",", TRUE, REPT("Volwassene,", Klantgegevens_A!G121), REPT("Kind,", Klantgegevens_A!H121)))</f>
        <v/>
      </c>
      <c r="F122">
        <f>IF(Klantgegevens_B!G121&lt;&gt;"", LEN(Klantgegevens_B!G121)-LEN(SUBSTITUTE(Klantgegevens_B!G121, ",", ""))+1, Klantgegevens_A!G121)</f>
        <v/>
      </c>
      <c r="G122">
        <f>IF(Klantgegevens_B!G121&lt;&gt;"", 0, Klantgegevens_A!H121)</f>
        <v/>
      </c>
      <c r="H122">
        <f>IF(Klantgegevens_B!H121&lt;&gt;"", Klantgegevens_B!H121, Klantgegevens_A!I121)</f>
        <v/>
      </c>
      <c r="I122">
        <f>IF(Klantgegevens_B!I121&lt;&gt;"", Klantgegevens_B!I121, SWITCH(Klantgegevens_A!J121, "Zelden", 1, "Af en toe", 4, "Regelmatig", 8, "Vaak", 12))</f>
        <v/>
      </c>
      <c r="J122">
        <f>IF(Klantgegevens_B!J121&lt;&gt;"", Klantgegevens_B!J121, Klantgegevens_A!K121)</f>
        <v/>
      </c>
      <c r="K122">
        <f>IF(Klantgegevens_B!K121&lt;&gt;"", AVERAGE(--(Klantgegevens_B!K121="ja"), --(Klantgegevens_B!L121="ja"), --(Klantgegevens_B!M121="ja"), --(Klantgegevens_B!N121="ja"), --(Klantgegevens_B!O121="ja"))*10, Klantgegevens_A!L121)</f>
        <v/>
      </c>
      <c r="L122">
        <f>IF(Klantgegevens_B!K121&lt;&gt;"", Klantgegevens_B!K121, IF(Klantgegevens_A!L121&gt;=7, "ja", "nee"))</f>
        <v/>
      </c>
      <c r="M122">
        <f>IF(Klantgegevens_B!L121&lt;&gt;"", Klantgegevens_B!L121, IF(Klantgegevens_A!L121&gt;=7, "ja", "nee"))</f>
        <v/>
      </c>
      <c r="N122">
        <f>IF(Klantgegevens_B!M121&lt;&gt;"", Klantgegevens_B!M121, IF(Klantgegevens_A!L121&gt;=7, "ja", "nee"))</f>
        <v/>
      </c>
      <c r="O122">
        <f>IF(Klantgegevens_B!N121&lt;&gt;"", Klantgegevens_B!N121, IF(Klantgegevens_A!L121&gt;=7, "ja", "nee"))</f>
        <v/>
      </c>
      <c r="P122">
        <f>IF(Klantgegevens_B!O121&lt;&gt;"", Klantgegevens_B!O121, IF(Klantgegevens_A!L121&gt;=7, "ja", "nee"))</f>
        <v/>
      </c>
      <c r="Q122">
        <f>IF(Klantgegevens_B!P121&lt;&gt;"", Klantgegevens_B!P121, Klantgegevens_A!M121)</f>
        <v/>
      </c>
      <c r="R122">
        <f>IF(Klantgegevens_B!A121&lt;&gt;"", "B", "A")</f>
        <v/>
      </c>
    </row>
    <row r="123">
      <c r="A123">
        <f>IF(Klantgegevens_B!A122&lt;&gt;"", Klantgegevens_B!A122, MID(Klantgegevens_A!A122, FIND(",", Klantgegevens_A!A122)+2, LEN(Klantgegevens_A!A122)))</f>
        <v/>
      </c>
      <c r="B123">
        <f>IF(Klantgegevens_B!B122&lt;&gt;"", Klantgegevens_B!B122, LEFT(Klantgegevens_A!A122, FIND(",", Klantgegevens_A!A122)-1))</f>
        <v/>
      </c>
      <c r="C123">
        <f>C122 &amp; ", " &amp; B122</f>
        <v/>
      </c>
      <c r="D123">
        <f>IF(Klantgegevens_B!F122&lt;&gt;"", Klantgegevens_B!F122, Klantgegevens_A!D122 &amp; " " &amp; Klantgegevens_A!E122 &amp; ", " &amp; Klantgegevens_A!F122)</f>
        <v/>
      </c>
      <c r="E123">
        <f>IF(Klantgegevens_B!G122&lt;&gt;"", Klantgegevens_B!G122, TEXTJOIN(",", TRUE, REPT("Volwassene,", Klantgegevens_A!G122), REPT("Kind,", Klantgegevens_A!H122)))</f>
        <v/>
      </c>
      <c r="F123">
        <f>IF(Klantgegevens_B!G122&lt;&gt;"", LEN(Klantgegevens_B!G122)-LEN(SUBSTITUTE(Klantgegevens_B!G122, ",", ""))+1, Klantgegevens_A!G122)</f>
        <v/>
      </c>
      <c r="G123">
        <f>IF(Klantgegevens_B!G122&lt;&gt;"", 0, Klantgegevens_A!H122)</f>
        <v/>
      </c>
      <c r="H123">
        <f>IF(Klantgegevens_B!H122&lt;&gt;"", Klantgegevens_B!H122, Klantgegevens_A!I122)</f>
        <v/>
      </c>
      <c r="I123">
        <f>IF(Klantgegevens_B!I122&lt;&gt;"", Klantgegevens_B!I122, SWITCH(Klantgegevens_A!J122, "Zelden", 1, "Af en toe", 4, "Regelmatig", 8, "Vaak", 12))</f>
        <v/>
      </c>
      <c r="J123">
        <f>IF(Klantgegevens_B!J122&lt;&gt;"", Klantgegevens_B!J122, Klantgegevens_A!K122)</f>
        <v/>
      </c>
      <c r="K123">
        <f>IF(Klantgegevens_B!K122&lt;&gt;"", AVERAGE(--(Klantgegevens_B!K122="ja"), --(Klantgegevens_B!L122="ja"), --(Klantgegevens_B!M122="ja"), --(Klantgegevens_B!N122="ja"), --(Klantgegevens_B!O122="ja"))*10, Klantgegevens_A!L122)</f>
        <v/>
      </c>
      <c r="L123">
        <f>IF(Klantgegevens_B!K122&lt;&gt;"", Klantgegevens_B!K122, IF(Klantgegevens_A!L122&gt;=7, "ja", "nee"))</f>
        <v/>
      </c>
      <c r="M123">
        <f>IF(Klantgegevens_B!L122&lt;&gt;"", Klantgegevens_B!L122, IF(Klantgegevens_A!L122&gt;=7, "ja", "nee"))</f>
        <v/>
      </c>
      <c r="N123">
        <f>IF(Klantgegevens_B!M122&lt;&gt;"", Klantgegevens_B!M122, IF(Klantgegevens_A!L122&gt;=7, "ja", "nee"))</f>
        <v/>
      </c>
      <c r="O123">
        <f>IF(Klantgegevens_B!N122&lt;&gt;"", Klantgegevens_B!N122, IF(Klantgegevens_A!L122&gt;=7, "ja", "nee"))</f>
        <v/>
      </c>
      <c r="P123">
        <f>IF(Klantgegevens_B!O122&lt;&gt;"", Klantgegevens_B!O122, IF(Klantgegevens_A!L122&gt;=7, "ja", "nee"))</f>
        <v/>
      </c>
      <c r="Q123">
        <f>IF(Klantgegevens_B!P122&lt;&gt;"", Klantgegevens_B!P122, Klantgegevens_A!M122)</f>
        <v/>
      </c>
      <c r="R123">
        <f>IF(Klantgegevens_B!A122&lt;&gt;"", "B", "A")</f>
        <v/>
      </c>
    </row>
    <row r="124">
      <c r="A124">
        <f>IF(Klantgegevens_B!A123&lt;&gt;"", Klantgegevens_B!A123, MID(Klantgegevens_A!A123, FIND(",", Klantgegevens_A!A123)+2, LEN(Klantgegevens_A!A123)))</f>
        <v/>
      </c>
      <c r="B124">
        <f>IF(Klantgegevens_B!B123&lt;&gt;"", Klantgegevens_B!B123, LEFT(Klantgegevens_A!A123, FIND(",", Klantgegevens_A!A123)-1))</f>
        <v/>
      </c>
      <c r="C124">
        <f>C123 &amp; ", " &amp; B123</f>
        <v/>
      </c>
      <c r="D124">
        <f>IF(Klantgegevens_B!F123&lt;&gt;"", Klantgegevens_B!F123, Klantgegevens_A!D123 &amp; " " &amp; Klantgegevens_A!E123 &amp; ", " &amp; Klantgegevens_A!F123)</f>
        <v/>
      </c>
      <c r="E124">
        <f>IF(Klantgegevens_B!G123&lt;&gt;"", Klantgegevens_B!G123, TEXTJOIN(",", TRUE, REPT("Volwassene,", Klantgegevens_A!G123), REPT("Kind,", Klantgegevens_A!H123)))</f>
        <v/>
      </c>
      <c r="F124">
        <f>IF(Klantgegevens_B!G123&lt;&gt;"", LEN(Klantgegevens_B!G123)-LEN(SUBSTITUTE(Klantgegevens_B!G123, ",", ""))+1, Klantgegevens_A!G123)</f>
        <v/>
      </c>
      <c r="G124">
        <f>IF(Klantgegevens_B!G123&lt;&gt;"", 0, Klantgegevens_A!H123)</f>
        <v/>
      </c>
      <c r="H124">
        <f>IF(Klantgegevens_B!H123&lt;&gt;"", Klantgegevens_B!H123, Klantgegevens_A!I123)</f>
        <v/>
      </c>
      <c r="I124">
        <f>IF(Klantgegevens_B!I123&lt;&gt;"", Klantgegevens_B!I123, SWITCH(Klantgegevens_A!J123, "Zelden", 1, "Af en toe", 4, "Regelmatig", 8, "Vaak", 12))</f>
        <v/>
      </c>
      <c r="J124">
        <f>IF(Klantgegevens_B!J123&lt;&gt;"", Klantgegevens_B!J123, Klantgegevens_A!K123)</f>
        <v/>
      </c>
      <c r="K124">
        <f>IF(Klantgegevens_B!K123&lt;&gt;"", AVERAGE(--(Klantgegevens_B!K123="ja"), --(Klantgegevens_B!L123="ja"), --(Klantgegevens_B!M123="ja"), --(Klantgegevens_B!N123="ja"), --(Klantgegevens_B!O123="ja"))*10, Klantgegevens_A!L123)</f>
        <v/>
      </c>
      <c r="L124">
        <f>IF(Klantgegevens_B!K123&lt;&gt;"", Klantgegevens_B!K123, IF(Klantgegevens_A!L123&gt;=7, "ja", "nee"))</f>
        <v/>
      </c>
      <c r="M124">
        <f>IF(Klantgegevens_B!L123&lt;&gt;"", Klantgegevens_B!L123, IF(Klantgegevens_A!L123&gt;=7, "ja", "nee"))</f>
        <v/>
      </c>
      <c r="N124">
        <f>IF(Klantgegevens_B!M123&lt;&gt;"", Klantgegevens_B!M123, IF(Klantgegevens_A!L123&gt;=7, "ja", "nee"))</f>
        <v/>
      </c>
      <c r="O124">
        <f>IF(Klantgegevens_B!N123&lt;&gt;"", Klantgegevens_B!N123, IF(Klantgegevens_A!L123&gt;=7, "ja", "nee"))</f>
        <v/>
      </c>
      <c r="P124">
        <f>IF(Klantgegevens_B!O123&lt;&gt;"", Klantgegevens_B!O123, IF(Klantgegevens_A!L123&gt;=7, "ja", "nee"))</f>
        <v/>
      </c>
      <c r="Q124">
        <f>IF(Klantgegevens_B!P123&lt;&gt;"", Klantgegevens_B!P123, Klantgegevens_A!M123)</f>
        <v/>
      </c>
      <c r="R124">
        <f>IF(Klantgegevens_B!A123&lt;&gt;"", "B", "A")</f>
        <v/>
      </c>
    </row>
    <row r="125">
      <c r="A125">
        <f>IF(Klantgegevens_B!A124&lt;&gt;"", Klantgegevens_B!A124, MID(Klantgegevens_A!A124, FIND(",", Klantgegevens_A!A124)+2, LEN(Klantgegevens_A!A124)))</f>
        <v/>
      </c>
      <c r="B125">
        <f>IF(Klantgegevens_B!B124&lt;&gt;"", Klantgegevens_B!B124, LEFT(Klantgegevens_A!A124, FIND(",", Klantgegevens_A!A124)-1))</f>
        <v/>
      </c>
      <c r="C125">
        <f>C124 &amp; ", " &amp; B124</f>
        <v/>
      </c>
      <c r="D125">
        <f>IF(Klantgegevens_B!F124&lt;&gt;"", Klantgegevens_B!F124, Klantgegevens_A!D124 &amp; " " &amp; Klantgegevens_A!E124 &amp; ", " &amp; Klantgegevens_A!F124)</f>
        <v/>
      </c>
      <c r="E125">
        <f>IF(Klantgegevens_B!G124&lt;&gt;"", Klantgegevens_B!G124, TEXTJOIN(",", TRUE, REPT("Volwassene,", Klantgegevens_A!G124), REPT("Kind,", Klantgegevens_A!H124)))</f>
        <v/>
      </c>
      <c r="F125">
        <f>IF(Klantgegevens_B!G124&lt;&gt;"", LEN(Klantgegevens_B!G124)-LEN(SUBSTITUTE(Klantgegevens_B!G124, ",", ""))+1, Klantgegevens_A!G124)</f>
        <v/>
      </c>
      <c r="G125">
        <f>IF(Klantgegevens_B!G124&lt;&gt;"", 0, Klantgegevens_A!H124)</f>
        <v/>
      </c>
      <c r="H125">
        <f>IF(Klantgegevens_B!H124&lt;&gt;"", Klantgegevens_B!H124, Klantgegevens_A!I124)</f>
        <v/>
      </c>
      <c r="I125">
        <f>IF(Klantgegevens_B!I124&lt;&gt;"", Klantgegevens_B!I124, SWITCH(Klantgegevens_A!J124, "Zelden", 1, "Af en toe", 4, "Regelmatig", 8, "Vaak", 12))</f>
        <v/>
      </c>
      <c r="J125">
        <f>IF(Klantgegevens_B!J124&lt;&gt;"", Klantgegevens_B!J124, Klantgegevens_A!K124)</f>
        <v/>
      </c>
      <c r="K125">
        <f>IF(Klantgegevens_B!K124&lt;&gt;"", AVERAGE(--(Klantgegevens_B!K124="ja"), --(Klantgegevens_B!L124="ja"), --(Klantgegevens_B!M124="ja"), --(Klantgegevens_B!N124="ja"), --(Klantgegevens_B!O124="ja"))*10, Klantgegevens_A!L124)</f>
        <v/>
      </c>
      <c r="L125">
        <f>IF(Klantgegevens_B!K124&lt;&gt;"", Klantgegevens_B!K124, IF(Klantgegevens_A!L124&gt;=7, "ja", "nee"))</f>
        <v/>
      </c>
      <c r="M125">
        <f>IF(Klantgegevens_B!L124&lt;&gt;"", Klantgegevens_B!L124, IF(Klantgegevens_A!L124&gt;=7, "ja", "nee"))</f>
        <v/>
      </c>
      <c r="N125">
        <f>IF(Klantgegevens_B!M124&lt;&gt;"", Klantgegevens_B!M124, IF(Klantgegevens_A!L124&gt;=7, "ja", "nee"))</f>
        <v/>
      </c>
      <c r="O125">
        <f>IF(Klantgegevens_B!N124&lt;&gt;"", Klantgegevens_B!N124, IF(Klantgegevens_A!L124&gt;=7, "ja", "nee"))</f>
        <v/>
      </c>
      <c r="P125">
        <f>IF(Klantgegevens_B!O124&lt;&gt;"", Klantgegevens_B!O124, IF(Klantgegevens_A!L124&gt;=7, "ja", "nee"))</f>
        <v/>
      </c>
      <c r="Q125">
        <f>IF(Klantgegevens_B!P124&lt;&gt;"", Klantgegevens_B!P124, Klantgegevens_A!M124)</f>
        <v/>
      </c>
      <c r="R125">
        <f>IF(Klantgegevens_B!A124&lt;&gt;"", "B", "A")</f>
        <v/>
      </c>
    </row>
    <row r="126">
      <c r="A126">
        <f>IF(Klantgegevens_B!A125&lt;&gt;"", Klantgegevens_B!A125, MID(Klantgegevens_A!A125, FIND(",", Klantgegevens_A!A125)+2, LEN(Klantgegevens_A!A125)))</f>
        <v/>
      </c>
      <c r="B126">
        <f>IF(Klantgegevens_B!B125&lt;&gt;"", Klantgegevens_B!B125, LEFT(Klantgegevens_A!A125, FIND(",", Klantgegevens_A!A125)-1))</f>
        <v/>
      </c>
      <c r="C126">
        <f>C125 &amp; ", " &amp; B125</f>
        <v/>
      </c>
      <c r="D126">
        <f>IF(Klantgegevens_B!F125&lt;&gt;"", Klantgegevens_B!F125, Klantgegevens_A!D125 &amp; " " &amp; Klantgegevens_A!E125 &amp; ", " &amp; Klantgegevens_A!F125)</f>
        <v/>
      </c>
      <c r="E126">
        <f>IF(Klantgegevens_B!G125&lt;&gt;"", Klantgegevens_B!G125, TEXTJOIN(",", TRUE, REPT("Volwassene,", Klantgegevens_A!G125), REPT("Kind,", Klantgegevens_A!H125)))</f>
        <v/>
      </c>
      <c r="F126">
        <f>IF(Klantgegevens_B!G125&lt;&gt;"", LEN(Klantgegevens_B!G125)-LEN(SUBSTITUTE(Klantgegevens_B!G125, ",", ""))+1, Klantgegevens_A!G125)</f>
        <v/>
      </c>
      <c r="G126">
        <f>IF(Klantgegevens_B!G125&lt;&gt;"", 0, Klantgegevens_A!H125)</f>
        <v/>
      </c>
      <c r="H126">
        <f>IF(Klantgegevens_B!H125&lt;&gt;"", Klantgegevens_B!H125, Klantgegevens_A!I125)</f>
        <v/>
      </c>
      <c r="I126">
        <f>IF(Klantgegevens_B!I125&lt;&gt;"", Klantgegevens_B!I125, SWITCH(Klantgegevens_A!J125, "Zelden", 1, "Af en toe", 4, "Regelmatig", 8, "Vaak", 12))</f>
        <v/>
      </c>
      <c r="J126">
        <f>IF(Klantgegevens_B!J125&lt;&gt;"", Klantgegevens_B!J125, Klantgegevens_A!K125)</f>
        <v/>
      </c>
      <c r="K126">
        <f>IF(Klantgegevens_B!K125&lt;&gt;"", AVERAGE(--(Klantgegevens_B!K125="ja"), --(Klantgegevens_B!L125="ja"), --(Klantgegevens_B!M125="ja"), --(Klantgegevens_B!N125="ja"), --(Klantgegevens_B!O125="ja"))*10, Klantgegevens_A!L125)</f>
        <v/>
      </c>
      <c r="L126">
        <f>IF(Klantgegevens_B!K125&lt;&gt;"", Klantgegevens_B!K125, IF(Klantgegevens_A!L125&gt;=7, "ja", "nee"))</f>
        <v/>
      </c>
      <c r="M126">
        <f>IF(Klantgegevens_B!L125&lt;&gt;"", Klantgegevens_B!L125, IF(Klantgegevens_A!L125&gt;=7, "ja", "nee"))</f>
        <v/>
      </c>
      <c r="N126">
        <f>IF(Klantgegevens_B!M125&lt;&gt;"", Klantgegevens_B!M125, IF(Klantgegevens_A!L125&gt;=7, "ja", "nee"))</f>
        <v/>
      </c>
      <c r="O126">
        <f>IF(Klantgegevens_B!N125&lt;&gt;"", Klantgegevens_B!N125, IF(Klantgegevens_A!L125&gt;=7, "ja", "nee"))</f>
        <v/>
      </c>
      <c r="P126">
        <f>IF(Klantgegevens_B!O125&lt;&gt;"", Klantgegevens_B!O125, IF(Klantgegevens_A!L125&gt;=7, "ja", "nee"))</f>
        <v/>
      </c>
      <c r="Q126">
        <f>IF(Klantgegevens_B!P125&lt;&gt;"", Klantgegevens_B!P125, Klantgegevens_A!M125)</f>
        <v/>
      </c>
      <c r="R126">
        <f>IF(Klantgegevens_B!A125&lt;&gt;"", "B", "A")</f>
        <v/>
      </c>
    </row>
    <row r="127">
      <c r="A127">
        <f>IF(Klantgegevens_B!A126&lt;&gt;"", Klantgegevens_B!A126, MID(Klantgegevens_A!A126, FIND(",", Klantgegevens_A!A126)+2, LEN(Klantgegevens_A!A126)))</f>
        <v/>
      </c>
      <c r="B127">
        <f>IF(Klantgegevens_B!B126&lt;&gt;"", Klantgegevens_B!B126, LEFT(Klantgegevens_A!A126, FIND(",", Klantgegevens_A!A126)-1))</f>
        <v/>
      </c>
      <c r="C127">
        <f>C126 &amp; ", " &amp; B126</f>
        <v/>
      </c>
      <c r="D127">
        <f>IF(Klantgegevens_B!F126&lt;&gt;"", Klantgegevens_B!F126, Klantgegevens_A!D126 &amp; " " &amp; Klantgegevens_A!E126 &amp; ", " &amp; Klantgegevens_A!F126)</f>
        <v/>
      </c>
      <c r="E127">
        <f>IF(Klantgegevens_B!G126&lt;&gt;"", Klantgegevens_B!G126, TEXTJOIN(",", TRUE, REPT("Volwassene,", Klantgegevens_A!G126), REPT("Kind,", Klantgegevens_A!H126)))</f>
        <v/>
      </c>
      <c r="F127">
        <f>IF(Klantgegevens_B!G126&lt;&gt;"", LEN(Klantgegevens_B!G126)-LEN(SUBSTITUTE(Klantgegevens_B!G126, ",", ""))+1, Klantgegevens_A!G126)</f>
        <v/>
      </c>
      <c r="G127">
        <f>IF(Klantgegevens_B!G126&lt;&gt;"", 0, Klantgegevens_A!H126)</f>
        <v/>
      </c>
      <c r="H127">
        <f>IF(Klantgegevens_B!H126&lt;&gt;"", Klantgegevens_B!H126, Klantgegevens_A!I126)</f>
        <v/>
      </c>
      <c r="I127">
        <f>IF(Klantgegevens_B!I126&lt;&gt;"", Klantgegevens_B!I126, SWITCH(Klantgegevens_A!J126, "Zelden", 1, "Af en toe", 4, "Regelmatig", 8, "Vaak", 12))</f>
        <v/>
      </c>
      <c r="J127">
        <f>IF(Klantgegevens_B!J126&lt;&gt;"", Klantgegevens_B!J126, Klantgegevens_A!K126)</f>
        <v/>
      </c>
      <c r="K127">
        <f>IF(Klantgegevens_B!K126&lt;&gt;"", AVERAGE(--(Klantgegevens_B!K126="ja"), --(Klantgegevens_B!L126="ja"), --(Klantgegevens_B!M126="ja"), --(Klantgegevens_B!N126="ja"), --(Klantgegevens_B!O126="ja"))*10, Klantgegevens_A!L126)</f>
        <v/>
      </c>
      <c r="L127">
        <f>IF(Klantgegevens_B!K126&lt;&gt;"", Klantgegevens_B!K126, IF(Klantgegevens_A!L126&gt;=7, "ja", "nee"))</f>
        <v/>
      </c>
      <c r="M127">
        <f>IF(Klantgegevens_B!L126&lt;&gt;"", Klantgegevens_B!L126, IF(Klantgegevens_A!L126&gt;=7, "ja", "nee"))</f>
        <v/>
      </c>
      <c r="N127">
        <f>IF(Klantgegevens_B!M126&lt;&gt;"", Klantgegevens_B!M126, IF(Klantgegevens_A!L126&gt;=7, "ja", "nee"))</f>
        <v/>
      </c>
      <c r="O127">
        <f>IF(Klantgegevens_B!N126&lt;&gt;"", Klantgegevens_B!N126, IF(Klantgegevens_A!L126&gt;=7, "ja", "nee"))</f>
        <v/>
      </c>
      <c r="P127">
        <f>IF(Klantgegevens_B!O126&lt;&gt;"", Klantgegevens_B!O126, IF(Klantgegevens_A!L126&gt;=7, "ja", "nee"))</f>
        <v/>
      </c>
      <c r="Q127">
        <f>IF(Klantgegevens_B!P126&lt;&gt;"", Klantgegevens_B!P126, Klantgegevens_A!M126)</f>
        <v/>
      </c>
      <c r="R127">
        <f>IF(Klantgegevens_B!A126&lt;&gt;"", "B", "A")</f>
        <v/>
      </c>
    </row>
    <row r="128">
      <c r="A128">
        <f>IF(Klantgegevens_B!A127&lt;&gt;"", Klantgegevens_B!A127, MID(Klantgegevens_A!A127, FIND(",", Klantgegevens_A!A127)+2, LEN(Klantgegevens_A!A127)))</f>
        <v/>
      </c>
      <c r="B128">
        <f>IF(Klantgegevens_B!B127&lt;&gt;"", Klantgegevens_B!B127, LEFT(Klantgegevens_A!A127, FIND(",", Klantgegevens_A!A127)-1))</f>
        <v/>
      </c>
      <c r="C128">
        <f>C127 &amp; ", " &amp; B127</f>
        <v/>
      </c>
      <c r="D128">
        <f>IF(Klantgegevens_B!F127&lt;&gt;"", Klantgegevens_B!F127, Klantgegevens_A!D127 &amp; " " &amp; Klantgegevens_A!E127 &amp; ", " &amp; Klantgegevens_A!F127)</f>
        <v/>
      </c>
      <c r="E128">
        <f>IF(Klantgegevens_B!G127&lt;&gt;"", Klantgegevens_B!G127, TEXTJOIN(",", TRUE, REPT("Volwassene,", Klantgegevens_A!G127), REPT("Kind,", Klantgegevens_A!H127)))</f>
        <v/>
      </c>
      <c r="F128">
        <f>IF(Klantgegevens_B!G127&lt;&gt;"", LEN(Klantgegevens_B!G127)-LEN(SUBSTITUTE(Klantgegevens_B!G127, ",", ""))+1, Klantgegevens_A!G127)</f>
        <v/>
      </c>
      <c r="G128">
        <f>IF(Klantgegevens_B!G127&lt;&gt;"", 0, Klantgegevens_A!H127)</f>
        <v/>
      </c>
      <c r="H128">
        <f>IF(Klantgegevens_B!H127&lt;&gt;"", Klantgegevens_B!H127, Klantgegevens_A!I127)</f>
        <v/>
      </c>
      <c r="I128">
        <f>IF(Klantgegevens_B!I127&lt;&gt;"", Klantgegevens_B!I127, SWITCH(Klantgegevens_A!J127, "Zelden", 1, "Af en toe", 4, "Regelmatig", 8, "Vaak", 12))</f>
        <v/>
      </c>
      <c r="J128">
        <f>IF(Klantgegevens_B!J127&lt;&gt;"", Klantgegevens_B!J127, Klantgegevens_A!K127)</f>
        <v/>
      </c>
      <c r="K128">
        <f>IF(Klantgegevens_B!K127&lt;&gt;"", AVERAGE(--(Klantgegevens_B!K127="ja"), --(Klantgegevens_B!L127="ja"), --(Klantgegevens_B!M127="ja"), --(Klantgegevens_B!N127="ja"), --(Klantgegevens_B!O127="ja"))*10, Klantgegevens_A!L127)</f>
        <v/>
      </c>
      <c r="L128">
        <f>IF(Klantgegevens_B!K127&lt;&gt;"", Klantgegevens_B!K127, IF(Klantgegevens_A!L127&gt;=7, "ja", "nee"))</f>
        <v/>
      </c>
      <c r="M128">
        <f>IF(Klantgegevens_B!L127&lt;&gt;"", Klantgegevens_B!L127, IF(Klantgegevens_A!L127&gt;=7, "ja", "nee"))</f>
        <v/>
      </c>
      <c r="N128">
        <f>IF(Klantgegevens_B!M127&lt;&gt;"", Klantgegevens_B!M127, IF(Klantgegevens_A!L127&gt;=7, "ja", "nee"))</f>
        <v/>
      </c>
      <c r="O128">
        <f>IF(Klantgegevens_B!N127&lt;&gt;"", Klantgegevens_B!N127, IF(Klantgegevens_A!L127&gt;=7, "ja", "nee"))</f>
        <v/>
      </c>
      <c r="P128">
        <f>IF(Klantgegevens_B!O127&lt;&gt;"", Klantgegevens_B!O127, IF(Klantgegevens_A!L127&gt;=7, "ja", "nee"))</f>
        <v/>
      </c>
      <c r="Q128">
        <f>IF(Klantgegevens_B!P127&lt;&gt;"", Klantgegevens_B!P127, Klantgegevens_A!M127)</f>
        <v/>
      </c>
      <c r="R128">
        <f>IF(Klantgegevens_B!A127&lt;&gt;"", "B", "A")</f>
        <v/>
      </c>
    </row>
    <row r="129">
      <c r="A129">
        <f>IF(Klantgegevens_B!A128&lt;&gt;"", Klantgegevens_B!A128, MID(Klantgegevens_A!A128, FIND(",", Klantgegevens_A!A128)+2, LEN(Klantgegevens_A!A128)))</f>
        <v/>
      </c>
      <c r="B129">
        <f>IF(Klantgegevens_B!B128&lt;&gt;"", Klantgegevens_B!B128, LEFT(Klantgegevens_A!A128, FIND(",", Klantgegevens_A!A128)-1))</f>
        <v/>
      </c>
      <c r="C129">
        <f>C128 &amp; ", " &amp; B128</f>
        <v/>
      </c>
      <c r="D129">
        <f>IF(Klantgegevens_B!F128&lt;&gt;"", Klantgegevens_B!F128, Klantgegevens_A!D128 &amp; " " &amp; Klantgegevens_A!E128 &amp; ", " &amp; Klantgegevens_A!F128)</f>
        <v/>
      </c>
      <c r="E129">
        <f>IF(Klantgegevens_B!G128&lt;&gt;"", Klantgegevens_B!G128, TEXTJOIN(",", TRUE, REPT("Volwassene,", Klantgegevens_A!G128), REPT("Kind,", Klantgegevens_A!H128)))</f>
        <v/>
      </c>
      <c r="F129">
        <f>IF(Klantgegevens_B!G128&lt;&gt;"", LEN(Klantgegevens_B!G128)-LEN(SUBSTITUTE(Klantgegevens_B!G128, ",", ""))+1, Klantgegevens_A!G128)</f>
        <v/>
      </c>
      <c r="G129">
        <f>IF(Klantgegevens_B!G128&lt;&gt;"", 0, Klantgegevens_A!H128)</f>
        <v/>
      </c>
      <c r="H129">
        <f>IF(Klantgegevens_B!H128&lt;&gt;"", Klantgegevens_B!H128, Klantgegevens_A!I128)</f>
        <v/>
      </c>
      <c r="I129">
        <f>IF(Klantgegevens_B!I128&lt;&gt;"", Klantgegevens_B!I128, SWITCH(Klantgegevens_A!J128, "Zelden", 1, "Af en toe", 4, "Regelmatig", 8, "Vaak", 12))</f>
        <v/>
      </c>
      <c r="J129">
        <f>IF(Klantgegevens_B!J128&lt;&gt;"", Klantgegevens_B!J128, Klantgegevens_A!K128)</f>
        <v/>
      </c>
      <c r="K129">
        <f>IF(Klantgegevens_B!K128&lt;&gt;"", AVERAGE(--(Klantgegevens_B!K128="ja"), --(Klantgegevens_B!L128="ja"), --(Klantgegevens_B!M128="ja"), --(Klantgegevens_B!N128="ja"), --(Klantgegevens_B!O128="ja"))*10, Klantgegevens_A!L128)</f>
        <v/>
      </c>
      <c r="L129">
        <f>IF(Klantgegevens_B!K128&lt;&gt;"", Klantgegevens_B!K128, IF(Klantgegevens_A!L128&gt;=7, "ja", "nee"))</f>
        <v/>
      </c>
      <c r="M129">
        <f>IF(Klantgegevens_B!L128&lt;&gt;"", Klantgegevens_B!L128, IF(Klantgegevens_A!L128&gt;=7, "ja", "nee"))</f>
        <v/>
      </c>
      <c r="N129">
        <f>IF(Klantgegevens_B!M128&lt;&gt;"", Klantgegevens_B!M128, IF(Klantgegevens_A!L128&gt;=7, "ja", "nee"))</f>
        <v/>
      </c>
      <c r="O129">
        <f>IF(Klantgegevens_B!N128&lt;&gt;"", Klantgegevens_B!N128, IF(Klantgegevens_A!L128&gt;=7, "ja", "nee"))</f>
        <v/>
      </c>
      <c r="P129">
        <f>IF(Klantgegevens_B!O128&lt;&gt;"", Klantgegevens_B!O128, IF(Klantgegevens_A!L128&gt;=7, "ja", "nee"))</f>
        <v/>
      </c>
      <c r="Q129">
        <f>IF(Klantgegevens_B!P128&lt;&gt;"", Klantgegevens_B!P128, Klantgegevens_A!M128)</f>
        <v/>
      </c>
      <c r="R129">
        <f>IF(Klantgegevens_B!A128&lt;&gt;"", "B", "A")</f>
        <v/>
      </c>
    </row>
    <row r="130">
      <c r="A130">
        <f>IF(Klantgegevens_B!A129&lt;&gt;"", Klantgegevens_B!A129, MID(Klantgegevens_A!A129, FIND(",", Klantgegevens_A!A129)+2, LEN(Klantgegevens_A!A129)))</f>
        <v/>
      </c>
      <c r="B130">
        <f>IF(Klantgegevens_B!B129&lt;&gt;"", Klantgegevens_B!B129, LEFT(Klantgegevens_A!A129, FIND(",", Klantgegevens_A!A129)-1))</f>
        <v/>
      </c>
      <c r="C130">
        <f>C129 &amp; ", " &amp; B129</f>
        <v/>
      </c>
      <c r="D130">
        <f>IF(Klantgegevens_B!F129&lt;&gt;"", Klantgegevens_B!F129, Klantgegevens_A!D129 &amp; " " &amp; Klantgegevens_A!E129 &amp; ", " &amp; Klantgegevens_A!F129)</f>
        <v/>
      </c>
      <c r="E130">
        <f>IF(Klantgegevens_B!G129&lt;&gt;"", Klantgegevens_B!G129, TEXTJOIN(",", TRUE, REPT("Volwassene,", Klantgegevens_A!G129), REPT("Kind,", Klantgegevens_A!H129)))</f>
        <v/>
      </c>
      <c r="F130">
        <f>IF(Klantgegevens_B!G129&lt;&gt;"", LEN(Klantgegevens_B!G129)-LEN(SUBSTITUTE(Klantgegevens_B!G129, ",", ""))+1, Klantgegevens_A!G129)</f>
        <v/>
      </c>
      <c r="G130">
        <f>IF(Klantgegevens_B!G129&lt;&gt;"", 0, Klantgegevens_A!H129)</f>
        <v/>
      </c>
      <c r="H130">
        <f>IF(Klantgegevens_B!H129&lt;&gt;"", Klantgegevens_B!H129, Klantgegevens_A!I129)</f>
        <v/>
      </c>
      <c r="I130">
        <f>IF(Klantgegevens_B!I129&lt;&gt;"", Klantgegevens_B!I129, SWITCH(Klantgegevens_A!J129, "Zelden", 1, "Af en toe", 4, "Regelmatig", 8, "Vaak", 12))</f>
        <v/>
      </c>
      <c r="J130">
        <f>IF(Klantgegevens_B!J129&lt;&gt;"", Klantgegevens_B!J129, Klantgegevens_A!K129)</f>
        <v/>
      </c>
      <c r="K130">
        <f>IF(Klantgegevens_B!K129&lt;&gt;"", AVERAGE(--(Klantgegevens_B!K129="ja"), --(Klantgegevens_B!L129="ja"), --(Klantgegevens_B!M129="ja"), --(Klantgegevens_B!N129="ja"), --(Klantgegevens_B!O129="ja"))*10, Klantgegevens_A!L129)</f>
        <v/>
      </c>
      <c r="L130">
        <f>IF(Klantgegevens_B!K129&lt;&gt;"", Klantgegevens_B!K129, IF(Klantgegevens_A!L129&gt;=7, "ja", "nee"))</f>
        <v/>
      </c>
      <c r="M130">
        <f>IF(Klantgegevens_B!L129&lt;&gt;"", Klantgegevens_B!L129, IF(Klantgegevens_A!L129&gt;=7, "ja", "nee"))</f>
        <v/>
      </c>
      <c r="N130">
        <f>IF(Klantgegevens_B!M129&lt;&gt;"", Klantgegevens_B!M129, IF(Klantgegevens_A!L129&gt;=7, "ja", "nee"))</f>
        <v/>
      </c>
      <c r="O130">
        <f>IF(Klantgegevens_B!N129&lt;&gt;"", Klantgegevens_B!N129, IF(Klantgegevens_A!L129&gt;=7, "ja", "nee"))</f>
        <v/>
      </c>
      <c r="P130">
        <f>IF(Klantgegevens_B!O129&lt;&gt;"", Klantgegevens_B!O129, IF(Klantgegevens_A!L129&gt;=7, "ja", "nee"))</f>
        <v/>
      </c>
      <c r="Q130">
        <f>IF(Klantgegevens_B!P129&lt;&gt;"", Klantgegevens_B!P129, Klantgegevens_A!M129)</f>
        <v/>
      </c>
      <c r="R130">
        <f>IF(Klantgegevens_B!A129&lt;&gt;"", "B", "A")</f>
        <v/>
      </c>
    </row>
    <row r="131">
      <c r="A131">
        <f>IF(Klantgegevens_B!A130&lt;&gt;"", Klantgegevens_B!A130, MID(Klantgegevens_A!A130, FIND(",", Klantgegevens_A!A130)+2, LEN(Klantgegevens_A!A130)))</f>
        <v/>
      </c>
      <c r="B131">
        <f>IF(Klantgegevens_B!B130&lt;&gt;"", Klantgegevens_B!B130, LEFT(Klantgegevens_A!A130, FIND(",", Klantgegevens_A!A130)-1))</f>
        <v/>
      </c>
      <c r="C131">
        <f>C130 &amp; ", " &amp; B130</f>
        <v/>
      </c>
      <c r="D131">
        <f>IF(Klantgegevens_B!F130&lt;&gt;"", Klantgegevens_B!F130, Klantgegevens_A!D130 &amp; " " &amp; Klantgegevens_A!E130 &amp; ", " &amp; Klantgegevens_A!F130)</f>
        <v/>
      </c>
      <c r="E131">
        <f>IF(Klantgegevens_B!G130&lt;&gt;"", Klantgegevens_B!G130, TEXTJOIN(",", TRUE, REPT("Volwassene,", Klantgegevens_A!G130), REPT("Kind,", Klantgegevens_A!H130)))</f>
        <v/>
      </c>
      <c r="F131">
        <f>IF(Klantgegevens_B!G130&lt;&gt;"", LEN(Klantgegevens_B!G130)-LEN(SUBSTITUTE(Klantgegevens_B!G130, ",", ""))+1, Klantgegevens_A!G130)</f>
        <v/>
      </c>
      <c r="G131">
        <f>IF(Klantgegevens_B!G130&lt;&gt;"", 0, Klantgegevens_A!H130)</f>
        <v/>
      </c>
      <c r="H131">
        <f>IF(Klantgegevens_B!H130&lt;&gt;"", Klantgegevens_B!H130, Klantgegevens_A!I130)</f>
        <v/>
      </c>
      <c r="I131">
        <f>IF(Klantgegevens_B!I130&lt;&gt;"", Klantgegevens_B!I130, SWITCH(Klantgegevens_A!J130, "Zelden", 1, "Af en toe", 4, "Regelmatig", 8, "Vaak", 12))</f>
        <v/>
      </c>
      <c r="J131">
        <f>IF(Klantgegevens_B!J130&lt;&gt;"", Klantgegevens_B!J130, Klantgegevens_A!K130)</f>
        <v/>
      </c>
      <c r="K131">
        <f>IF(Klantgegevens_B!K130&lt;&gt;"", AVERAGE(--(Klantgegevens_B!K130="ja"), --(Klantgegevens_B!L130="ja"), --(Klantgegevens_B!M130="ja"), --(Klantgegevens_B!N130="ja"), --(Klantgegevens_B!O130="ja"))*10, Klantgegevens_A!L130)</f>
        <v/>
      </c>
      <c r="L131">
        <f>IF(Klantgegevens_B!K130&lt;&gt;"", Klantgegevens_B!K130, IF(Klantgegevens_A!L130&gt;=7, "ja", "nee"))</f>
        <v/>
      </c>
      <c r="M131">
        <f>IF(Klantgegevens_B!L130&lt;&gt;"", Klantgegevens_B!L130, IF(Klantgegevens_A!L130&gt;=7, "ja", "nee"))</f>
        <v/>
      </c>
      <c r="N131">
        <f>IF(Klantgegevens_B!M130&lt;&gt;"", Klantgegevens_B!M130, IF(Klantgegevens_A!L130&gt;=7, "ja", "nee"))</f>
        <v/>
      </c>
      <c r="O131">
        <f>IF(Klantgegevens_B!N130&lt;&gt;"", Klantgegevens_B!N130, IF(Klantgegevens_A!L130&gt;=7, "ja", "nee"))</f>
        <v/>
      </c>
      <c r="P131">
        <f>IF(Klantgegevens_B!O130&lt;&gt;"", Klantgegevens_B!O130, IF(Klantgegevens_A!L130&gt;=7, "ja", "nee"))</f>
        <v/>
      </c>
      <c r="Q131">
        <f>IF(Klantgegevens_B!P130&lt;&gt;"", Klantgegevens_B!P130, Klantgegevens_A!M130)</f>
        <v/>
      </c>
      <c r="R131">
        <f>IF(Klantgegevens_B!A130&lt;&gt;"", "B", "A")</f>
        <v/>
      </c>
    </row>
    <row r="132">
      <c r="A132">
        <f>IF(Klantgegevens_B!A131&lt;&gt;"", Klantgegevens_B!A131, MID(Klantgegevens_A!A131, FIND(",", Klantgegevens_A!A131)+2, LEN(Klantgegevens_A!A131)))</f>
        <v/>
      </c>
      <c r="B132">
        <f>IF(Klantgegevens_B!B131&lt;&gt;"", Klantgegevens_B!B131, LEFT(Klantgegevens_A!A131, FIND(",", Klantgegevens_A!A131)-1))</f>
        <v/>
      </c>
      <c r="C132">
        <f>C131 &amp; ", " &amp; B131</f>
        <v/>
      </c>
      <c r="D132">
        <f>IF(Klantgegevens_B!F131&lt;&gt;"", Klantgegevens_B!F131, Klantgegevens_A!D131 &amp; " " &amp; Klantgegevens_A!E131 &amp; ", " &amp; Klantgegevens_A!F131)</f>
        <v/>
      </c>
      <c r="E132">
        <f>IF(Klantgegevens_B!G131&lt;&gt;"", Klantgegevens_B!G131, TEXTJOIN(",", TRUE, REPT("Volwassene,", Klantgegevens_A!G131), REPT("Kind,", Klantgegevens_A!H131)))</f>
        <v/>
      </c>
      <c r="F132">
        <f>IF(Klantgegevens_B!G131&lt;&gt;"", LEN(Klantgegevens_B!G131)-LEN(SUBSTITUTE(Klantgegevens_B!G131, ",", ""))+1, Klantgegevens_A!G131)</f>
        <v/>
      </c>
      <c r="G132">
        <f>IF(Klantgegevens_B!G131&lt;&gt;"", 0, Klantgegevens_A!H131)</f>
        <v/>
      </c>
      <c r="H132">
        <f>IF(Klantgegevens_B!H131&lt;&gt;"", Klantgegevens_B!H131, Klantgegevens_A!I131)</f>
        <v/>
      </c>
      <c r="I132">
        <f>IF(Klantgegevens_B!I131&lt;&gt;"", Klantgegevens_B!I131, SWITCH(Klantgegevens_A!J131, "Zelden", 1, "Af en toe", 4, "Regelmatig", 8, "Vaak", 12))</f>
        <v/>
      </c>
      <c r="J132">
        <f>IF(Klantgegevens_B!J131&lt;&gt;"", Klantgegevens_B!J131, Klantgegevens_A!K131)</f>
        <v/>
      </c>
      <c r="K132">
        <f>IF(Klantgegevens_B!K131&lt;&gt;"", AVERAGE(--(Klantgegevens_B!K131="ja"), --(Klantgegevens_B!L131="ja"), --(Klantgegevens_B!M131="ja"), --(Klantgegevens_B!N131="ja"), --(Klantgegevens_B!O131="ja"))*10, Klantgegevens_A!L131)</f>
        <v/>
      </c>
      <c r="L132">
        <f>IF(Klantgegevens_B!K131&lt;&gt;"", Klantgegevens_B!K131, IF(Klantgegevens_A!L131&gt;=7, "ja", "nee"))</f>
        <v/>
      </c>
      <c r="M132">
        <f>IF(Klantgegevens_B!L131&lt;&gt;"", Klantgegevens_B!L131, IF(Klantgegevens_A!L131&gt;=7, "ja", "nee"))</f>
        <v/>
      </c>
      <c r="N132">
        <f>IF(Klantgegevens_B!M131&lt;&gt;"", Klantgegevens_B!M131, IF(Klantgegevens_A!L131&gt;=7, "ja", "nee"))</f>
        <v/>
      </c>
      <c r="O132">
        <f>IF(Klantgegevens_B!N131&lt;&gt;"", Klantgegevens_B!N131, IF(Klantgegevens_A!L131&gt;=7, "ja", "nee"))</f>
        <v/>
      </c>
      <c r="P132">
        <f>IF(Klantgegevens_B!O131&lt;&gt;"", Klantgegevens_B!O131, IF(Klantgegevens_A!L131&gt;=7, "ja", "nee"))</f>
        <v/>
      </c>
      <c r="Q132">
        <f>IF(Klantgegevens_B!P131&lt;&gt;"", Klantgegevens_B!P131, Klantgegevens_A!M131)</f>
        <v/>
      </c>
      <c r="R132">
        <f>IF(Klantgegevens_B!A131&lt;&gt;"", "B", "A")</f>
        <v/>
      </c>
    </row>
    <row r="133">
      <c r="A133">
        <f>IF(Klantgegevens_B!A132&lt;&gt;"", Klantgegevens_B!A132, MID(Klantgegevens_A!A132, FIND(",", Klantgegevens_A!A132)+2, LEN(Klantgegevens_A!A132)))</f>
        <v/>
      </c>
      <c r="B133">
        <f>IF(Klantgegevens_B!B132&lt;&gt;"", Klantgegevens_B!B132, LEFT(Klantgegevens_A!A132, FIND(",", Klantgegevens_A!A132)-1))</f>
        <v/>
      </c>
      <c r="C133">
        <f>C132 &amp; ", " &amp; B132</f>
        <v/>
      </c>
      <c r="D133">
        <f>IF(Klantgegevens_B!F132&lt;&gt;"", Klantgegevens_B!F132, Klantgegevens_A!D132 &amp; " " &amp; Klantgegevens_A!E132 &amp; ", " &amp; Klantgegevens_A!F132)</f>
        <v/>
      </c>
      <c r="E133">
        <f>IF(Klantgegevens_B!G132&lt;&gt;"", Klantgegevens_B!G132, TEXTJOIN(",", TRUE, REPT("Volwassene,", Klantgegevens_A!G132), REPT("Kind,", Klantgegevens_A!H132)))</f>
        <v/>
      </c>
      <c r="F133">
        <f>IF(Klantgegevens_B!G132&lt;&gt;"", LEN(Klantgegevens_B!G132)-LEN(SUBSTITUTE(Klantgegevens_B!G132, ",", ""))+1, Klantgegevens_A!G132)</f>
        <v/>
      </c>
      <c r="G133">
        <f>IF(Klantgegevens_B!G132&lt;&gt;"", 0, Klantgegevens_A!H132)</f>
        <v/>
      </c>
      <c r="H133">
        <f>IF(Klantgegevens_B!H132&lt;&gt;"", Klantgegevens_B!H132, Klantgegevens_A!I132)</f>
        <v/>
      </c>
      <c r="I133">
        <f>IF(Klantgegevens_B!I132&lt;&gt;"", Klantgegevens_B!I132, SWITCH(Klantgegevens_A!J132, "Zelden", 1, "Af en toe", 4, "Regelmatig", 8, "Vaak", 12))</f>
        <v/>
      </c>
      <c r="J133">
        <f>IF(Klantgegevens_B!J132&lt;&gt;"", Klantgegevens_B!J132, Klantgegevens_A!K132)</f>
        <v/>
      </c>
      <c r="K133">
        <f>IF(Klantgegevens_B!K132&lt;&gt;"", AVERAGE(--(Klantgegevens_B!K132="ja"), --(Klantgegevens_B!L132="ja"), --(Klantgegevens_B!M132="ja"), --(Klantgegevens_B!N132="ja"), --(Klantgegevens_B!O132="ja"))*10, Klantgegevens_A!L132)</f>
        <v/>
      </c>
      <c r="L133">
        <f>IF(Klantgegevens_B!K132&lt;&gt;"", Klantgegevens_B!K132, IF(Klantgegevens_A!L132&gt;=7, "ja", "nee"))</f>
        <v/>
      </c>
      <c r="M133">
        <f>IF(Klantgegevens_B!L132&lt;&gt;"", Klantgegevens_B!L132, IF(Klantgegevens_A!L132&gt;=7, "ja", "nee"))</f>
        <v/>
      </c>
      <c r="N133">
        <f>IF(Klantgegevens_B!M132&lt;&gt;"", Klantgegevens_B!M132, IF(Klantgegevens_A!L132&gt;=7, "ja", "nee"))</f>
        <v/>
      </c>
      <c r="O133">
        <f>IF(Klantgegevens_B!N132&lt;&gt;"", Klantgegevens_B!N132, IF(Klantgegevens_A!L132&gt;=7, "ja", "nee"))</f>
        <v/>
      </c>
      <c r="P133">
        <f>IF(Klantgegevens_B!O132&lt;&gt;"", Klantgegevens_B!O132, IF(Klantgegevens_A!L132&gt;=7, "ja", "nee"))</f>
        <v/>
      </c>
      <c r="Q133">
        <f>IF(Klantgegevens_B!P132&lt;&gt;"", Klantgegevens_B!P132, Klantgegevens_A!M132)</f>
        <v/>
      </c>
      <c r="R133">
        <f>IF(Klantgegevens_B!A132&lt;&gt;"", "B", "A")</f>
        <v/>
      </c>
    </row>
    <row r="134">
      <c r="A134">
        <f>IF(Klantgegevens_B!A133&lt;&gt;"", Klantgegevens_B!A133, MID(Klantgegevens_A!A133, FIND(",", Klantgegevens_A!A133)+2, LEN(Klantgegevens_A!A133)))</f>
        <v/>
      </c>
      <c r="B134">
        <f>IF(Klantgegevens_B!B133&lt;&gt;"", Klantgegevens_B!B133, LEFT(Klantgegevens_A!A133, FIND(",", Klantgegevens_A!A133)-1))</f>
        <v/>
      </c>
      <c r="C134">
        <f>C133 &amp; ", " &amp; B133</f>
        <v/>
      </c>
      <c r="D134">
        <f>IF(Klantgegevens_B!F133&lt;&gt;"", Klantgegevens_B!F133, Klantgegevens_A!D133 &amp; " " &amp; Klantgegevens_A!E133 &amp; ", " &amp; Klantgegevens_A!F133)</f>
        <v/>
      </c>
      <c r="E134">
        <f>IF(Klantgegevens_B!G133&lt;&gt;"", Klantgegevens_B!G133, TEXTJOIN(",", TRUE, REPT("Volwassene,", Klantgegevens_A!G133), REPT("Kind,", Klantgegevens_A!H133)))</f>
        <v/>
      </c>
      <c r="F134">
        <f>IF(Klantgegevens_B!G133&lt;&gt;"", LEN(Klantgegevens_B!G133)-LEN(SUBSTITUTE(Klantgegevens_B!G133, ",", ""))+1, Klantgegevens_A!G133)</f>
        <v/>
      </c>
      <c r="G134">
        <f>IF(Klantgegevens_B!G133&lt;&gt;"", 0, Klantgegevens_A!H133)</f>
        <v/>
      </c>
      <c r="H134">
        <f>IF(Klantgegevens_B!H133&lt;&gt;"", Klantgegevens_B!H133, Klantgegevens_A!I133)</f>
        <v/>
      </c>
      <c r="I134">
        <f>IF(Klantgegevens_B!I133&lt;&gt;"", Klantgegevens_B!I133, SWITCH(Klantgegevens_A!J133, "Zelden", 1, "Af en toe", 4, "Regelmatig", 8, "Vaak", 12))</f>
        <v/>
      </c>
      <c r="J134">
        <f>IF(Klantgegevens_B!J133&lt;&gt;"", Klantgegevens_B!J133, Klantgegevens_A!K133)</f>
        <v/>
      </c>
      <c r="K134">
        <f>IF(Klantgegevens_B!K133&lt;&gt;"", AVERAGE(--(Klantgegevens_B!K133="ja"), --(Klantgegevens_B!L133="ja"), --(Klantgegevens_B!M133="ja"), --(Klantgegevens_B!N133="ja"), --(Klantgegevens_B!O133="ja"))*10, Klantgegevens_A!L133)</f>
        <v/>
      </c>
      <c r="L134">
        <f>IF(Klantgegevens_B!K133&lt;&gt;"", Klantgegevens_B!K133, IF(Klantgegevens_A!L133&gt;=7, "ja", "nee"))</f>
        <v/>
      </c>
      <c r="M134">
        <f>IF(Klantgegevens_B!L133&lt;&gt;"", Klantgegevens_B!L133, IF(Klantgegevens_A!L133&gt;=7, "ja", "nee"))</f>
        <v/>
      </c>
      <c r="N134">
        <f>IF(Klantgegevens_B!M133&lt;&gt;"", Klantgegevens_B!M133, IF(Klantgegevens_A!L133&gt;=7, "ja", "nee"))</f>
        <v/>
      </c>
      <c r="O134">
        <f>IF(Klantgegevens_B!N133&lt;&gt;"", Klantgegevens_B!N133, IF(Klantgegevens_A!L133&gt;=7, "ja", "nee"))</f>
        <v/>
      </c>
      <c r="P134">
        <f>IF(Klantgegevens_B!O133&lt;&gt;"", Klantgegevens_B!O133, IF(Klantgegevens_A!L133&gt;=7, "ja", "nee"))</f>
        <v/>
      </c>
      <c r="Q134">
        <f>IF(Klantgegevens_B!P133&lt;&gt;"", Klantgegevens_B!P133, Klantgegevens_A!M133)</f>
        <v/>
      </c>
      <c r="R134">
        <f>IF(Klantgegevens_B!A133&lt;&gt;"", "B", "A")</f>
        <v/>
      </c>
    </row>
    <row r="135">
      <c r="A135">
        <f>IF(Klantgegevens_B!A134&lt;&gt;"", Klantgegevens_B!A134, MID(Klantgegevens_A!A134, FIND(",", Klantgegevens_A!A134)+2, LEN(Klantgegevens_A!A134)))</f>
        <v/>
      </c>
      <c r="B135">
        <f>IF(Klantgegevens_B!B134&lt;&gt;"", Klantgegevens_B!B134, LEFT(Klantgegevens_A!A134, FIND(",", Klantgegevens_A!A134)-1))</f>
        <v/>
      </c>
      <c r="C135">
        <f>C134 &amp; ", " &amp; B134</f>
        <v/>
      </c>
      <c r="D135">
        <f>IF(Klantgegevens_B!F134&lt;&gt;"", Klantgegevens_B!F134, Klantgegevens_A!D134 &amp; " " &amp; Klantgegevens_A!E134 &amp; ", " &amp; Klantgegevens_A!F134)</f>
        <v/>
      </c>
      <c r="E135">
        <f>IF(Klantgegevens_B!G134&lt;&gt;"", Klantgegevens_B!G134, TEXTJOIN(",", TRUE, REPT("Volwassene,", Klantgegevens_A!G134), REPT("Kind,", Klantgegevens_A!H134)))</f>
        <v/>
      </c>
      <c r="F135">
        <f>IF(Klantgegevens_B!G134&lt;&gt;"", LEN(Klantgegevens_B!G134)-LEN(SUBSTITUTE(Klantgegevens_B!G134, ",", ""))+1, Klantgegevens_A!G134)</f>
        <v/>
      </c>
      <c r="G135">
        <f>IF(Klantgegevens_B!G134&lt;&gt;"", 0, Klantgegevens_A!H134)</f>
        <v/>
      </c>
      <c r="H135">
        <f>IF(Klantgegevens_B!H134&lt;&gt;"", Klantgegevens_B!H134, Klantgegevens_A!I134)</f>
        <v/>
      </c>
      <c r="I135">
        <f>IF(Klantgegevens_B!I134&lt;&gt;"", Klantgegevens_B!I134, SWITCH(Klantgegevens_A!J134, "Zelden", 1, "Af en toe", 4, "Regelmatig", 8, "Vaak", 12))</f>
        <v/>
      </c>
      <c r="J135">
        <f>IF(Klantgegevens_B!J134&lt;&gt;"", Klantgegevens_B!J134, Klantgegevens_A!K134)</f>
        <v/>
      </c>
      <c r="K135">
        <f>IF(Klantgegevens_B!K134&lt;&gt;"", AVERAGE(--(Klantgegevens_B!K134="ja"), --(Klantgegevens_B!L134="ja"), --(Klantgegevens_B!M134="ja"), --(Klantgegevens_B!N134="ja"), --(Klantgegevens_B!O134="ja"))*10, Klantgegevens_A!L134)</f>
        <v/>
      </c>
      <c r="L135">
        <f>IF(Klantgegevens_B!K134&lt;&gt;"", Klantgegevens_B!K134, IF(Klantgegevens_A!L134&gt;=7, "ja", "nee"))</f>
        <v/>
      </c>
      <c r="M135">
        <f>IF(Klantgegevens_B!L134&lt;&gt;"", Klantgegevens_B!L134, IF(Klantgegevens_A!L134&gt;=7, "ja", "nee"))</f>
        <v/>
      </c>
      <c r="N135">
        <f>IF(Klantgegevens_B!M134&lt;&gt;"", Klantgegevens_B!M134, IF(Klantgegevens_A!L134&gt;=7, "ja", "nee"))</f>
        <v/>
      </c>
      <c r="O135">
        <f>IF(Klantgegevens_B!N134&lt;&gt;"", Klantgegevens_B!N134, IF(Klantgegevens_A!L134&gt;=7, "ja", "nee"))</f>
        <v/>
      </c>
      <c r="P135">
        <f>IF(Klantgegevens_B!O134&lt;&gt;"", Klantgegevens_B!O134, IF(Klantgegevens_A!L134&gt;=7, "ja", "nee"))</f>
        <v/>
      </c>
      <c r="Q135">
        <f>IF(Klantgegevens_B!P134&lt;&gt;"", Klantgegevens_B!P134, Klantgegevens_A!M134)</f>
        <v/>
      </c>
      <c r="R135">
        <f>IF(Klantgegevens_B!A134&lt;&gt;"", "B", "A")</f>
        <v/>
      </c>
    </row>
    <row r="136">
      <c r="A136">
        <f>IF(Klantgegevens_B!A135&lt;&gt;"", Klantgegevens_B!A135, MID(Klantgegevens_A!A135, FIND(",", Klantgegevens_A!A135)+2, LEN(Klantgegevens_A!A135)))</f>
        <v/>
      </c>
      <c r="B136">
        <f>IF(Klantgegevens_B!B135&lt;&gt;"", Klantgegevens_B!B135, LEFT(Klantgegevens_A!A135, FIND(",", Klantgegevens_A!A135)-1))</f>
        <v/>
      </c>
      <c r="C136">
        <f>C135 &amp; ", " &amp; B135</f>
        <v/>
      </c>
      <c r="D136">
        <f>IF(Klantgegevens_B!F135&lt;&gt;"", Klantgegevens_B!F135, Klantgegevens_A!D135 &amp; " " &amp; Klantgegevens_A!E135 &amp; ", " &amp; Klantgegevens_A!F135)</f>
        <v/>
      </c>
      <c r="E136">
        <f>IF(Klantgegevens_B!G135&lt;&gt;"", Klantgegevens_B!G135, TEXTJOIN(",", TRUE, REPT("Volwassene,", Klantgegevens_A!G135), REPT("Kind,", Klantgegevens_A!H135)))</f>
        <v/>
      </c>
      <c r="F136">
        <f>IF(Klantgegevens_B!G135&lt;&gt;"", LEN(Klantgegevens_B!G135)-LEN(SUBSTITUTE(Klantgegevens_B!G135, ",", ""))+1, Klantgegevens_A!G135)</f>
        <v/>
      </c>
      <c r="G136">
        <f>IF(Klantgegevens_B!G135&lt;&gt;"", 0, Klantgegevens_A!H135)</f>
        <v/>
      </c>
      <c r="H136">
        <f>IF(Klantgegevens_B!H135&lt;&gt;"", Klantgegevens_B!H135, Klantgegevens_A!I135)</f>
        <v/>
      </c>
      <c r="I136">
        <f>IF(Klantgegevens_B!I135&lt;&gt;"", Klantgegevens_B!I135, SWITCH(Klantgegevens_A!J135, "Zelden", 1, "Af en toe", 4, "Regelmatig", 8, "Vaak", 12))</f>
        <v/>
      </c>
      <c r="J136">
        <f>IF(Klantgegevens_B!J135&lt;&gt;"", Klantgegevens_B!J135, Klantgegevens_A!K135)</f>
        <v/>
      </c>
      <c r="K136">
        <f>IF(Klantgegevens_B!K135&lt;&gt;"", AVERAGE(--(Klantgegevens_B!K135="ja"), --(Klantgegevens_B!L135="ja"), --(Klantgegevens_B!M135="ja"), --(Klantgegevens_B!N135="ja"), --(Klantgegevens_B!O135="ja"))*10, Klantgegevens_A!L135)</f>
        <v/>
      </c>
      <c r="L136">
        <f>IF(Klantgegevens_B!K135&lt;&gt;"", Klantgegevens_B!K135, IF(Klantgegevens_A!L135&gt;=7, "ja", "nee"))</f>
        <v/>
      </c>
      <c r="M136">
        <f>IF(Klantgegevens_B!L135&lt;&gt;"", Klantgegevens_B!L135, IF(Klantgegevens_A!L135&gt;=7, "ja", "nee"))</f>
        <v/>
      </c>
      <c r="N136">
        <f>IF(Klantgegevens_B!M135&lt;&gt;"", Klantgegevens_B!M135, IF(Klantgegevens_A!L135&gt;=7, "ja", "nee"))</f>
        <v/>
      </c>
      <c r="O136">
        <f>IF(Klantgegevens_B!N135&lt;&gt;"", Klantgegevens_B!N135, IF(Klantgegevens_A!L135&gt;=7, "ja", "nee"))</f>
        <v/>
      </c>
      <c r="P136">
        <f>IF(Klantgegevens_B!O135&lt;&gt;"", Klantgegevens_B!O135, IF(Klantgegevens_A!L135&gt;=7, "ja", "nee"))</f>
        <v/>
      </c>
      <c r="Q136">
        <f>IF(Klantgegevens_B!P135&lt;&gt;"", Klantgegevens_B!P135, Klantgegevens_A!M135)</f>
        <v/>
      </c>
      <c r="R136">
        <f>IF(Klantgegevens_B!A135&lt;&gt;"", "B", "A")</f>
        <v/>
      </c>
    </row>
    <row r="137">
      <c r="A137">
        <f>IF(Klantgegevens_B!A136&lt;&gt;"", Klantgegevens_B!A136, MID(Klantgegevens_A!A136, FIND(",", Klantgegevens_A!A136)+2, LEN(Klantgegevens_A!A136)))</f>
        <v/>
      </c>
      <c r="B137">
        <f>IF(Klantgegevens_B!B136&lt;&gt;"", Klantgegevens_B!B136, LEFT(Klantgegevens_A!A136, FIND(",", Klantgegevens_A!A136)-1))</f>
        <v/>
      </c>
      <c r="C137">
        <f>C136 &amp; ", " &amp; B136</f>
        <v/>
      </c>
      <c r="D137">
        <f>IF(Klantgegevens_B!F136&lt;&gt;"", Klantgegevens_B!F136, Klantgegevens_A!D136 &amp; " " &amp; Klantgegevens_A!E136 &amp; ", " &amp; Klantgegevens_A!F136)</f>
        <v/>
      </c>
      <c r="E137">
        <f>IF(Klantgegevens_B!G136&lt;&gt;"", Klantgegevens_B!G136, TEXTJOIN(",", TRUE, REPT("Volwassene,", Klantgegevens_A!G136), REPT("Kind,", Klantgegevens_A!H136)))</f>
        <v/>
      </c>
      <c r="F137">
        <f>IF(Klantgegevens_B!G136&lt;&gt;"", LEN(Klantgegevens_B!G136)-LEN(SUBSTITUTE(Klantgegevens_B!G136, ",", ""))+1, Klantgegevens_A!G136)</f>
        <v/>
      </c>
      <c r="G137">
        <f>IF(Klantgegevens_B!G136&lt;&gt;"", 0, Klantgegevens_A!H136)</f>
        <v/>
      </c>
      <c r="H137">
        <f>IF(Klantgegevens_B!H136&lt;&gt;"", Klantgegevens_B!H136, Klantgegevens_A!I136)</f>
        <v/>
      </c>
      <c r="I137">
        <f>IF(Klantgegevens_B!I136&lt;&gt;"", Klantgegevens_B!I136, SWITCH(Klantgegevens_A!J136, "Zelden", 1, "Af en toe", 4, "Regelmatig", 8, "Vaak", 12))</f>
        <v/>
      </c>
      <c r="J137">
        <f>IF(Klantgegevens_B!J136&lt;&gt;"", Klantgegevens_B!J136, Klantgegevens_A!K136)</f>
        <v/>
      </c>
      <c r="K137">
        <f>IF(Klantgegevens_B!K136&lt;&gt;"", AVERAGE(--(Klantgegevens_B!K136="ja"), --(Klantgegevens_B!L136="ja"), --(Klantgegevens_B!M136="ja"), --(Klantgegevens_B!N136="ja"), --(Klantgegevens_B!O136="ja"))*10, Klantgegevens_A!L136)</f>
        <v/>
      </c>
      <c r="L137">
        <f>IF(Klantgegevens_B!K136&lt;&gt;"", Klantgegevens_B!K136, IF(Klantgegevens_A!L136&gt;=7, "ja", "nee"))</f>
        <v/>
      </c>
      <c r="M137">
        <f>IF(Klantgegevens_B!L136&lt;&gt;"", Klantgegevens_B!L136, IF(Klantgegevens_A!L136&gt;=7, "ja", "nee"))</f>
        <v/>
      </c>
      <c r="N137">
        <f>IF(Klantgegevens_B!M136&lt;&gt;"", Klantgegevens_B!M136, IF(Klantgegevens_A!L136&gt;=7, "ja", "nee"))</f>
        <v/>
      </c>
      <c r="O137">
        <f>IF(Klantgegevens_B!N136&lt;&gt;"", Klantgegevens_B!N136, IF(Klantgegevens_A!L136&gt;=7, "ja", "nee"))</f>
        <v/>
      </c>
      <c r="P137">
        <f>IF(Klantgegevens_B!O136&lt;&gt;"", Klantgegevens_B!O136, IF(Klantgegevens_A!L136&gt;=7, "ja", "nee"))</f>
        <v/>
      </c>
      <c r="Q137">
        <f>IF(Klantgegevens_B!P136&lt;&gt;"", Klantgegevens_B!P136, Klantgegevens_A!M136)</f>
        <v/>
      </c>
      <c r="R137">
        <f>IF(Klantgegevens_B!A136&lt;&gt;"", "B", "A")</f>
        <v/>
      </c>
    </row>
    <row r="138">
      <c r="A138">
        <f>IF(Klantgegevens_B!A137&lt;&gt;"", Klantgegevens_B!A137, MID(Klantgegevens_A!A137, FIND(",", Klantgegevens_A!A137)+2, LEN(Klantgegevens_A!A137)))</f>
        <v/>
      </c>
      <c r="B138">
        <f>IF(Klantgegevens_B!B137&lt;&gt;"", Klantgegevens_B!B137, LEFT(Klantgegevens_A!A137, FIND(",", Klantgegevens_A!A137)-1))</f>
        <v/>
      </c>
      <c r="C138">
        <f>C137 &amp; ", " &amp; B137</f>
        <v/>
      </c>
      <c r="D138">
        <f>IF(Klantgegevens_B!F137&lt;&gt;"", Klantgegevens_B!F137, Klantgegevens_A!D137 &amp; " " &amp; Klantgegevens_A!E137 &amp; ", " &amp; Klantgegevens_A!F137)</f>
        <v/>
      </c>
      <c r="E138">
        <f>IF(Klantgegevens_B!G137&lt;&gt;"", Klantgegevens_B!G137, TEXTJOIN(",", TRUE, REPT("Volwassene,", Klantgegevens_A!G137), REPT("Kind,", Klantgegevens_A!H137)))</f>
        <v/>
      </c>
      <c r="F138">
        <f>IF(Klantgegevens_B!G137&lt;&gt;"", LEN(Klantgegevens_B!G137)-LEN(SUBSTITUTE(Klantgegevens_B!G137, ",", ""))+1, Klantgegevens_A!G137)</f>
        <v/>
      </c>
      <c r="G138">
        <f>IF(Klantgegevens_B!G137&lt;&gt;"", 0, Klantgegevens_A!H137)</f>
        <v/>
      </c>
      <c r="H138">
        <f>IF(Klantgegevens_B!H137&lt;&gt;"", Klantgegevens_B!H137, Klantgegevens_A!I137)</f>
        <v/>
      </c>
      <c r="I138">
        <f>IF(Klantgegevens_B!I137&lt;&gt;"", Klantgegevens_B!I137, SWITCH(Klantgegevens_A!J137, "Zelden", 1, "Af en toe", 4, "Regelmatig", 8, "Vaak", 12))</f>
        <v/>
      </c>
      <c r="J138">
        <f>IF(Klantgegevens_B!J137&lt;&gt;"", Klantgegevens_B!J137, Klantgegevens_A!K137)</f>
        <v/>
      </c>
      <c r="K138">
        <f>IF(Klantgegevens_B!K137&lt;&gt;"", AVERAGE(--(Klantgegevens_B!K137="ja"), --(Klantgegevens_B!L137="ja"), --(Klantgegevens_B!M137="ja"), --(Klantgegevens_B!N137="ja"), --(Klantgegevens_B!O137="ja"))*10, Klantgegevens_A!L137)</f>
        <v/>
      </c>
      <c r="L138">
        <f>IF(Klantgegevens_B!K137&lt;&gt;"", Klantgegevens_B!K137, IF(Klantgegevens_A!L137&gt;=7, "ja", "nee"))</f>
        <v/>
      </c>
      <c r="M138">
        <f>IF(Klantgegevens_B!L137&lt;&gt;"", Klantgegevens_B!L137, IF(Klantgegevens_A!L137&gt;=7, "ja", "nee"))</f>
        <v/>
      </c>
      <c r="N138">
        <f>IF(Klantgegevens_B!M137&lt;&gt;"", Klantgegevens_B!M137, IF(Klantgegevens_A!L137&gt;=7, "ja", "nee"))</f>
        <v/>
      </c>
      <c r="O138">
        <f>IF(Klantgegevens_B!N137&lt;&gt;"", Klantgegevens_B!N137, IF(Klantgegevens_A!L137&gt;=7, "ja", "nee"))</f>
        <v/>
      </c>
      <c r="P138">
        <f>IF(Klantgegevens_B!O137&lt;&gt;"", Klantgegevens_B!O137, IF(Klantgegevens_A!L137&gt;=7, "ja", "nee"))</f>
        <v/>
      </c>
      <c r="Q138">
        <f>IF(Klantgegevens_B!P137&lt;&gt;"", Klantgegevens_B!P137, Klantgegevens_A!M137)</f>
        <v/>
      </c>
      <c r="R138">
        <f>IF(Klantgegevens_B!A137&lt;&gt;"", "B", "A")</f>
        <v/>
      </c>
    </row>
    <row r="139">
      <c r="A139">
        <f>IF(Klantgegevens_B!A138&lt;&gt;"", Klantgegevens_B!A138, MID(Klantgegevens_A!A138, FIND(",", Klantgegevens_A!A138)+2, LEN(Klantgegevens_A!A138)))</f>
        <v/>
      </c>
      <c r="B139">
        <f>IF(Klantgegevens_B!B138&lt;&gt;"", Klantgegevens_B!B138, LEFT(Klantgegevens_A!A138, FIND(",", Klantgegevens_A!A138)-1))</f>
        <v/>
      </c>
      <c r="C139">
        <f>C138 &amp; ", " &amp; B138</f>
        <v/>
      </c>
      <c r="D139">
        <f>IF(Klantgegevens_B!F138&lt;&gt;"", Klantgegevens_B!F138, Klantgegevens_A!D138 &amp; " " &amp; Klantgegevens_A!E138 &amp; ", " &amp; Klantgegevens_A!F138)</f>
        <v/>
      </c>
      <c r="E139">
        <f>IF(Klantgegevens_B!G138&lt;&gt;"", Klantgegevens_B!G138, TEXTJOIN(",", TRUE, REPT("Volwassene,", Klantgegevens_A!G138), REPT("Kind,", Klantgegevens_A!H138)))</f>
        <v/>
      </c>
      <c r="F139">
        <f>IF(Klantgegevens_B!G138&lt;&gt;"", LEN(Klantgegevens_B!G138)-LEN(SUBSTITUTE(Klantgegevens_B!G138, ",", ""))+1, Klantgegevens_A!G138)</f>
        <v/>
      </c>
      <c r="G139">
        <f>IF(Klantgegevens_B!G138&lt;&gt;"", 0, Klantgegevens_A!H138)</f>
        <v/>
      </c>
      <c r="H139">
        <f>IF(Klantgegevens_B!H138&lt;&gt;"", Klantgegevens_B!H138, Klantgegevens_A!I138)</f>
        <v/>
      </c>
      <c r="I139">
        <f>IF(Klantgegevens_B!I138&lt;&gt;"", Klantgegevens_B!I138, SWITCH(Klantgegevens_A!J138, "Zelden", 1, "Af en toe", 4, "Regelmatig", 8, "Vaak", 12))</f>
        <v/>
      </c>
      <c r="J139">
        <f>IF(Klantgegevens_B!J138&lt;&gt;"", Klantgegevens_B!J138, Klantgegevens_A!K138)</f>
        <v/>
      </c>
      <c r="K139">
        <f>IF(Klantgegevens_B!K138&lt;&gt;"", AVERAGE(--(Klantgegevens_B!K138="ja"), --(Klantgegevens_B!L138="ja"), --(Klantgegevens_B!M138="ja"), --(Klantgegevens_B!N138="ja"), --(Klantgegevens_B!O138="ja"))*10, Klantgegevens_A!L138)</f>
        <v/>
      </c>
      <c r="L139">
        <f>IF(Klantgegevens_B!K138&lt;&gt;"", Klantgegevens_B!K138, IF(Klantgegevens_A!L138&gt;=7, "ja", "nee"))</f>
        <v/>
      </c>
      <c r="M139">
        <f>IF(Klantgegevens_B!L138&lt;&gt;"", Klantgegevens_B!L138, IF(Klantgegevens_A!L138&gt;=7, "ja", "nee"))</f>
        <v/>
      </c>
      <c r="N139">
        <f>IF(Klantgegevens_B!M138&lt;&gt;"", Klantgegevens_B!M138, IF(Klantgegevens_A!L138&gt;=7, "ja", "nee"))</f>
        <v/>
      </c>
      <c r="O139">
        <f>IF(Klantgegevens_B!N138&lt;&gt;"", Klantgegevens_B!N138, IF(Klantgegevens_A!L138&gt;=7, "ja", "nee"))</f>
        <v/>
      </c>
      <c r="P139">
        <f>IF(Klantgegevens_B!O138&lt;&gt;"", Klantgegevens_B!O138, IF(Klantgegevens_A!L138&gt;=7, "ja", "nee"))</f>
        <v/>
      </c>
      <c r="Q139">
        <f>IF(Klantgegevens_B!P138&lt;&gt;"", Klantgegevens_B!P138, Klantgegevens_A!M138)</f>
        <v/>
      </c>
      <c r="R139">
        <f>IF(Klantgegevens_B!A138&lt;&gt;"", "B", "A")</f>
        <v/>
      </c>
    </row>
    <row r="140">
      <c r="A140">
        <f>IF(Klantgegevens_B!A139&lt;&gt;"", Klantgegevens_B!A139, MID(Klantgegevens_A!A139, FIND(",", Klantgegevens_A!A139)+2, LEN(Klantgegevens_A!A139)))</f>
        <v/>
      </c>
      <c r="B140">
        <f>IF(Klantgegevens_B!B139&lt;&gt;"", Klantgegevens_B!B139, LEFT(Klantgegevens_A!A139, FIND(",", Klantgegevens_A!A139)-1))</f>
        <v/>
      </c>
      <c r="C140">
        <f>C139 &amp; ", " &amp; B139</f>
        <v/>
      </c>
      <c r="D140">
        <f>IF(Klantgegevens_B!F139&lt;&gt;"", Klantgegevens_B!F139, Klantgegevens_A!D139 &amp; " " &amp; Klantgegevens_A!E139 &amp; ", " &amp; Klantgegevens_A!F139)</f>
        <v/>
      </c>
      <c r="E140">
        <f>IF(Klantgegevens_B!G139&lt;&gt;"", Klantgegevens_B!G139, TEXTJOIN(",", TRUE, REPT("Volwassene,", Klantgegevens_A!G139), REPT("Kind,", Klantgegevens_A!H139)))</f>
        <v/>
      </c>
      <c r="F140">
        <f>IF(Klantgegevens_B!G139&lt;&gt;"", LEN(Klantgegevens_B!G139)-LEN(SUBSTITUTE(Klantgegevens_B!G139, ",", ""))+1, Klantgegevens_A!G139)</f>
        <v/>
      </c>
      <c r="G140">
        <f>IF(Klantgegevens_B!G139&lt;&gt;"", 0, Klantgegevens_A!H139)</f>
        <v/>
      </c>
      <c r="H140">
        <f>IF(Klantgegevens_B!H139&lt;&gt;"", Klantgegevens_B!H139, Klantgegevens_A!I139)</f>
        <v/>
      </c>
      <c r="I140">
        <f>IF(Klantgegevens_B!I139&lt;&gt;"", Klantgegevens_B!I139, SWITCH(Klantgegevens_A!J139, "Zelden", 1, "Af en toe", 4, "Regelmatig", 8, "Vaak", 12))</f>
        <v/>
      </c>
      <c r="J140">
        <f>IF(Klantgegevens_B!J139&lt;&gt;"", Klantgegevens_B!J139, Klantgegevens_A!K139)</f>
        <v/>
      </c>
      <c r="K140">
        <f>IF(Klantgegevens_B!K139&lt;&gt;"", AVERAGE(--(Klantgegevens_B!K139="ja"), --(Klantgegevens_B!L139="ja"), --(Klantgegevens_B!M139="ja"), --(Klantgegevens_B!N139="ja"), --(Klantgegevens_B!O139="ja"))*10, Klantgegevens_A!L139)</f>
        <v/>
      </c>
      <c r="L140">
        <f>IF(Klantgegevens_B!K139&lt;&gt;"", Klantgegevens_B!K139, IF(Klantgegevens_A!L139&gt;=7, "ja", "nee"))</f>
        <v/>
      </c>
      <c r="M140">
        <f>IF(Klantgegevens_B!L139&lt;&gt;"", Klantgegevens_B!L139, IF(Klantgegevens_A!L139&gt;=7, "ja", "nee"))</f>
        <v/>
      </c>
      <c r="N140">
        <f>IF(Klantgegevens_B!M139&lt;&gt;"", Klantgegevens_B!M139, IF(Klantgegevens_A!L139&gt;=7, "ja", "nee"))</f>
        <v/>
      </c>
      <c r="O140">
        <f>IF(Klantgegevens_B!N139&lt;&gt;"", Klantgegevens_B!N139, IF(Klantgegevens_A!L139&gt;=7, "ja", "nee"))</f>
        <v/>
      </c>
      <c r="P140">
        <f>IF(Klantgegevens_B!O139&lt;&gt;"", Klantgegevens_B!O139, IF(Klantgegevens_A!L139&gt;=7, "ja", "nee"))</f>
        <v/>
      </c>
      <c r="Q140">
        <f>IF(Klantgegevens_B!P139&lt;&gt;"", Klantgegevens_B!P139, Klantgegevens_A!M139)</f>
        <v/>
      </c>
      <c r="R140">
        <f>IF(Klantgegevens_B!A139&lt;&gt;"", "B", "A")</f>
        <v/>
      </c>
    </row>
    <row r="141">
      <c r="A141">
        <f>IF(Klantgegevens_B!A140&lt;&gt;"", Klantgegevens_B!A140, MID(Klantgegevens_A!A140, FIND(",", Klantgegevens_A!A140)+2, LEN(Klantgegevens_A!A140)))</f>
        <v/>
      </c>
      <c r="B141">
        <f>IF(Klantgegevens_B!B140&lt;&gt;"", Klantgegevens_B!B140, LEFT(Klantgegevens_A!A140, FIND(",", Klantgegevens_A!A140)-1))</f>
        <v/>
      </c>
      <c r="C141">
        <f>C140 &amp; ", " &amp; B140</f>
        <v/>
      </c>
      <c r="D141">
        <f>IF(Klantgegevens_B!F140&lt;&gt;"", Klantgegevens_B!F140, Klantgegevens_A!D140 &amp; " " &amp; Klantgegevens_A!E140 &amp; ", " &amp; Klantgegevens_A!F140)</f>
        <v/>
      </c>
      <c r="E141">
        <f>IF(Klantgegevens_B!G140&lt;&gt;"", Klantgegevens_B!G140, TEXTJOIN(",", TRUE, REPT("Volwassene,", Klantgegevens_A!G140), REPT("Kind,", Klantgegevens_A!H140)))</f>
        <v/>
      </c>
      <c r="F141">
        <f>IF(Klantgegevens_B!G140&lt;&gt;"", LEN(Klantgegevens_B!G140)-LEN(SUBSTITUTE(Klantgegevens_B!G140, ",", ""))+1, Klantgegevens_A!G140)</f>
        <v/>
      </c>
      <c r="G141">
        <f>IF(Klantgegevens_B!G140&lt;&gt;"", 0, Klantgegevens_A!H140)</f>
        <v/>
      </c>
      <c r="H141">
        <f>IF(Klantgegevens_B!H140&lt;&gt;"", Klantgegevens_B!H140, Klantgegevens_A!I140)</f>
        <v/>
      </c>
      <c r="I141">
        <f>IF(Klantgegevens_B!I140&lt;&gt;"", Klantgegevens_B!I140, SWITCH(Klantgegevens_A!J140, "Zelden", 1, "Af en toe", 4, "Regelmatig", 8, "Vaak", 12))</f>
        <v/>
      </c>
      <c r="J141">
        <f>IF(Klantgegevens_B!J140&lt;&gt;"", Klantgegevens_B!J140, Klantgegevens_A!K140)</f>
        <v/>
      </c>
      <c r="K141">
        <f>IF(Klantgegevens_B!K140&lt;&gt;"", AVERAGE(--(Klantgegevens_B!K140="ja"), --(Klantgegevens_B!L140="ja"), --(Klantgegevens_B!M140="ja"), --(Klantgegevens_B!N140="ja"), --(Klantgegevens_B!O140="ja"))*10, Klantgegevens_A!L140)</f>
        <v/>
      </c>
      <c r="L141">
        <f>IF(Klantgegevens_B!K140&lt;&gt;"", Klantgegevens_B!K140, IF(Klantgegevens_A!L140&gt;=7, "ja", "nee"))</f>
        <v/>
      </c>
      <c r="M141">
        <f>IF(Klantgegevens_B!L140&lt;&gt;"", Klantgegevens_B!L140, IF(Klantgegevens_A!L140&gt;=7, "ja", "nee"))</f>
        <v/>
      </c>
      <c r="N141">
        <f>IF(Klantgegevens_B!M140&lt;&gt;"", Klantgegevens_B!M140, IF(Klantgegevens_A!L140&gt;=7, "ja", "nee"))</f>
        <v/>
      </c>
      <c r="O141">
        <f>IF(Klantgegevens_B!N140&lt;&gt;"", Klantgegevens_B!N140, IF(Klantgegevens_A!L140&gt;=7, "ja", "nee"))</f>
        <v/>
      </c>
      <c r="P141">
        <f>IF(Klantgegevens_B!O140&lt;&gt;"", Klantgegevens_B!O140, IF(Klantgegevens_A!L140&gt;=7, "ja", "nee"))</f>
        <v/>
      </c>
      <c r="Q141">
        <f>IF(Klantgegevens_B!P140&lt;&gt;"", Klantgegevens_B!P140, Klantgegevens_A!M140)</f>
        <v/>
      </c>
      <c r="R141">
        <f>IF(Klantgegevens_B!A140&lt;&gt;"", "B", "A")</f>
        <v/>
      </c>
    </row>
    <row r="142">
      <c r="A142">
        <f>IF(Klantgegevens_B!A141&lt;&gt;"", Klantgegevens_B!A141, MID(Klantgegevens_A!A141, FIND(",", Klantgegevens_A!A141)+2, LEN(Klantgegevens_A!A141)))</f>
        <v/>
      </c>
      <c r="B142">
        <f>IF(Klantgegevens_B!B141&lt;&gt;"", Klantgegevens_B!B141, LEFT(Klantgegevens_A!A141, FIND(",", Klantgegevens_A!A141)-1))</f>
        <v/>
      </c>
      <c r="C142">
        <f>C141 &amp; ", " &amp; B141</f>
        <v/>
      </c>
      <c r="D142">
        <f>IF(Klantgegevens_B!F141&lt;&gt;"", Klantgegevens_B!F141, Klantgegevens_A!D141 &amp; " " &amp; Klantgegevens_A!E141 &amp; ", " &amp; Klantgegevens_A!F141)</f>
        <v/>
      </c>
      <c r="E142">
        <f>IF(Klantgegevens_B!G141&lt;&gt;"", Klantgegevens_B!G141, TEXTJOIN(",", TRUE, REPT("Volwassene,", Klantgegevens_A!G141), REPT("Kind,", Klantgegevens_A!H141)))</f>
        <v/>
      </c>
      <c r="F142">
        <f>IF(Klantgegevens_B!G141&lt;&gt;"", LEN(Klantgegevens_B!G141)-LEN(SUBSTITUTE(Klantgegevens_B!G141, ",", ""))+1, Klantgegevens_A!G141)</f>
        <v/>
      </c>
      <c r="G142">
        <f>IF(Klantgegevens_B!G141&lt;&gt;"", 0, Klantgegevens_A!H141)</f>
        <v/>
      </c>
      <c r="H142">
        <f>IF(Klantgegevens_B!H141&lt;&gt;"", Klantgegevens_B!H141, Klantgegevens_A!I141)</f>
        <v/>
      </c>
      <c r="I142">
        <f>IF(Klantgegevens_B!I141&lt;&gt;"", Klantgegevens_B!I141, SWITCH(Klantgegevens_A!J141, "Zelden", 1, "Af en toe", 4, "Regelmatig", 8, "Vaak", 12))</f>
        <v/>
      </c>
      <c r="J142">
        <f>IF(Klantgegevens_B!J141&lt;&gt;"", Klantgegevens_B!J141, Klantgegevens_A!K141)</f>
        <v/>
      </c>
      <c r="K142">
        <f>IF(Klantgegevens_B!K141&lt;&gt;"", AVERAGE(--(Klantgegevens_B!K141="ja"), --(Klantgegevens_B!L141="ja"), --(Klantgegevens_B!M141="ja"), --(Klantgegevens_B!N141="ja"), --(Klantgegevens_B!O141="ja"))*10, Klantgegevens_A!L141)</f>
        <v/>
      </c>
      <c r="L142">
        <f>IF(Klantgegevens_B!K141&lt;&gt;"", Klantgegevens_B!K141, IF(Klantgegevens_A!L141&gt;=7, "ja", "nee"))</f>
        <v/>
      </c>
      <c r="M142">
        <f>IF(Klantgegevens_B!L141&lt;&gt;"", Klantgegevens_B!L141, IF(Klantgegevens_A!L141&gt;=7, "ja", "nee"))</f>
        <v/>
      </c>
      <c r="N142">
        <f>IF(Klantgegevens_B!M141&lt;&gt;"", Klantgegevens_B!M141, IF(Klantgegevens_A!L141&gt;=7, "ja", "nee"))</f>
        <v/>
      </c>
      <c r="O142">
        <f>IF(Klantgegevens_B!N141&lt;&gt;"", Klantgegevens_B!N141, IF(Klantgegevens_A!L141&gt;=7, "ja", "nee"))</f>
        <v/>
      </c>
      <c r="P142">
        <f>IF(Klantgegevens_B!O141&lt;&gt;"", Klantgegevens_B!O141, IF(Klantgegevens_A!L141&gt;=7, "ja", "nee"))</f>
        <v/>
      </c>
      <c r="Q142">
        <f>IF(Klantgegevens_B!P141&lt;&gt;"", Klantgegevens_B!P141, Klantgegevens_A!M141)</f>
        <v/>
      </c>
      <c r="R142">
        <f>IF(Klantgegevens_B!A141&lt;&gt;"", "B", "A")</f>
        <v/>
      </c>
    </row>
    <row r="143">
      <c r="A143">
        <f>IF(Klantgegevens_B!A142&lt;&gt;"", Klantgegevens_B!A142, MID(Klantgegevens_A!A142, FIND(",", Klantgegevens_A!A142)+2, LEN(Klantgegevens_A!A142)))</f>
        <v/>
      </c>
      <c r="B143">
        <f>IF(Klantgegevens_B!B142&lt;&gt;"", Klantgegevens_B!B142, LEFT(Klantgegevens_A!A142, FIND(",", Klantgegevens_A!A142)-1))</f>
        <v/>
      </c>
      <c r="C143">
        <f>C142 &amp; ", " &amp; B142</f>
        <v/>
      </c>
      <c r="D143">
        <f>IF(Klantgegevens_B!F142&lt;&gt;"", Klantgegevens_B!F142, Klantgegevens_A!D142 &amp; " " &amp; Klantgegevens_A!E142 &amp; ", " &amp; Klantgegevens_A!F142)</f>
        <v/>
      </c>
      <c r="E143">
        <f>IF(Klantgegevens_B!G142&lt;&gt;"", Klantgegevens_B!G142, TEXTJOIN(",", TRUE, REPT("Volwassene,", Klantgegevens_A!G142), REPT("Kind,", Klantgegevens_A!H142)))</f>
        <v/>
      </c>
      <c r="F143">
        <f>IF(Klantgegevens_B!G142&lt;&gt;"", LEN(Klantgegevens_B!G142)-LEN(SUBSTITUTE(Klantgegevens_B!G142, ",", ""))+1, Klantgegevens_A!G142)</f>
        <v/>
      </c>
      <c r="G143">
        <f>IF(Klantgegevens_B!G142&lt;&gt;"", 0, Klantgegevens_A!H142)</f>
        <v/>
      </c>
      <c r="H143">
        <f>IF(Klantgegevens_B!H142&lt;&gt;"", Klantgegevens_B!H142, Klantgegevens_A!I142)</f>
        <v/>
      </c>
      <c r="I143">
        <f>IF(Klantgegevens_B!I142&lt;&gt;"", Klantgegevens_B!I142, SWITCH(Klantgegevens_A!J142, "Zelden", 1, "Af en toe", 4, "Regelmatig", 8, "Vaak", 12))</f>
        <v/>
      </c>
      <c r="J143">
        <f>IF(Klantgegevens_B!J142&lt;&gt;"", Klantgegevens_B!J142, Klantgegevens_A!K142)</f>
        <v/>
      </c>
      <c r="K143">
        <f>IF(Klantgegevens_B!K142&lt;&gt;"", AVERAGE(--(Klantgegevens_B!K142="ja"), --(Klantgegevens_B!L142="ja"), --(Klantgegevens_B!M142="ja"), --(Klantgegevens_B!N142="ja"), --(Klantgegevens_B!O142="ja"))*10, Klantgegevens_A!L142)</f>
        <v/>
      </c>
      <c r="L143">
        <f>IF(Klantgegevens_B!K142&lt;&gt;"", Klantgegevens_B!K142, IF(Klantgegevens_A!L142&gt;=7, "ja", "nee"))</f>
        <v/>
      </c>
      <c r="M143">
        <f>IF(Klantgegevens_B!L142&lt;&gt;"", Klantgegevens_B!L142, IF(Klantgegevens_A!L142&gt;=7, "ja", "nee"))</f>
        <v/>
      </c>
      <c r="N143">
        <f>IF(Klantgegevens_B!M142&lt;&gt;"", Klantgegevens_B!M142, IF(Klantgegevens_A!L142&gt;=7, "ja", "nee"))</f>
        <v/>
      </c>
      <c r="O143">
        <f>IF(Klantgegevens_B!N142&lt;&gt;"", Klantgegevens_B!N142, IF(Klantgegevens_A!L142&gt;=7, "ja", "nee"))</f>
        <v/>
      </c>
      <c r="P143">
        <f>IF(Klantgegevens_B!O142&lt;&gt;"", Klantgegevens_B!O142, IF(Klantgegevens_A!L142&gt;=7, "ja", "nee"))</f>
        <v/>
      </c>
      <c r="Q143">
        <f>IF(Klantgegevens_B!P142&lt;&gt;"", Klantgegevens_B!P142, Klantgegevens_A!M142)</f>
        <v/>
      </c>
      <c r="R143">
        <f>IF(Klantgegevens_B!A142&lt;&gt;"", "B", "A")</f>
        <v/>
      </c>
    </row>
    <row r="144">
      <c r="A144">
        <f>IF(Klantgegevens_B!A143&lt;&gt;"", Klantgegevens_B!A143, MID(Klantgegevens_A!A143, FIND(",", Klantgegevens_A!A143)+2, LEN(Klantgegevens_A!A143)))</f>
        <v/>
      </c>
      <c r="B144">
        <f>IF(Klantgegevens_B!B143&lt;&gt;"", Klantgegevens_B!B143, LEFT(Klantgegevens_A!A143, FIND(",", Klantgegevens_A!A143)-1))</f>
        <v/>
      </c>
      <c r="C144">
        <f>C143 &amp; ", " &amp; B143</f>
        <v/>
      </c>
      <c r="D144">
        <f>IF(Klantgegevens_B!F143&lt;&gt;"", Klantgegevens_B!F143, Klantgegevens_A!D143 &amp; " " &amp; Klantgegevens_A!E143 &amp; ", " &amp; Klantgegevens_A!F143)</f>
        <v/>
      </c>
      <c r="E144">
        <f>IF(Klantgegevens_B!G143&lt;&gt;"", Klantgegevens_B!G143, TEXTJOIN(",", TRUE, REPT("Volwassene,", Klantgegevens_A!G143), REPT("Kind,", Klantgegevens_A!H143)))</f>
        <v/>
      </c>
      <c r="F144">
        <f>IF(Klantgegevens_B!G143&lt;&gt;"", LEN(Klantgegevens_B!G143)-LEN(SUBSTITUTE(Klantgegevens_B!G143, ",", ""))+1, Klantgegevens_A!G143)</f>
        <v/>
      </c>
      <c r="G144">
        <f>IF(Klantgegevens_B!G143&lt;&gt;"", 0, Klantgegevens_A!H143)</f>
        <v/>
      </c>
      <c r="H144">
        <f>IF(Klantgegevens_B!H143&lt;&gt;"", Klantgegevens_B!H143, Klantgegevens_A!I143)</f>
        <v/>
      </c>
      <c r="I144">
        <f>IF(Klantgegevens_B!I143&lt;&gt;"", Klantgegevens_B!I143, SWITCH(Klantgegevens_A!J143, "Zelden", 1, "Af en toe", 4, "Regelmatig", 8, "Vaak", 12))</f>
        <v/>
      </c>
      <c r="J144">
        <f>IF(Klantgegevens_B!J143&lt;&gt;"", Klantgegevens_B!J143, Klantgegevens_A!K143)</f>
        <v/>
      </c>
      <c r="K144">
        <f>IF(Klantgegevens_B!K143&lt;&gt;"", AVERAGE(--(Klantgegevens_B!K143="ja"), --(Klantgegevens_B!L143="ja"), --(Klantgegevens_B!M143="ja"), --(Klantgegevens_B!N143="ja"), --(Klantgegevens_B!O143="ja"))*10, Klantgegevens_A!L143)</f>
        <v/>
      </c>
      <c r="L144">
        <f>IF(Klantgegevens_B!K143&lt;&gt;"", Klantgegevens_B!K143, IF(Klantgegevens_A!L143&gt;=7, "ja", "nee"))</f>
        <v/>
      </c>
      <c r="M144">
        <f>IF(Klantgegevens_B!L143&lt;&gt;"", Klantgegevens_B!L143, IF(Klantgegevens_A!L143&gt;=7, "ja", "nee"))</f>
        <v/>
      </c>
      <c r="N144">
        <f>IF(Klantgegevens_B!M143&lt;&gt;"", Klantgegevens_B!M143, IF(Klantgegevens_A!L143&gt;=7, "ja", "nee"))</f>
        <v/>
      </c>
      <c r="O144">
        <f>IF(Klantgegevens_B!N143&lt;&gt;"", Klantgegevens_B!N143, IF(Klantgegevens_A!L143&gt;=7, "ja", "nee"))</f>
        <v/>
      </c>
      <c r="P144">
        <f>IF(Klantgegevens_B!O143&lt;&gt;"", Klantgegevens_B!O143, IF(Klantgegevens_A!L143&gt;=7, "ja", "nee"))</f>
        <v/>
      </c>
      <c r="Q144">
        <f>IF(Klantgegevens_B!P143&lt;&gt;"", Klantgegevens_B!P143, Klantgegevens_A!M143)</f>
        <v/>
      </c>
      <c r="R144">
        <f>IF(Klantgegevens_B!A143&lt;&gt;"", "B", "A")</f>
        <v/>
      </c>
    </row>
    <row r="145">
      <c r="A145">
        <f>IF(Klantgegevens_B!A144&lt;&gt;"", Klantgegevens_B!A144, MID(Klantgegevens_A!A144, FIND(",", Klantgegevens_A!A144)+2, LEN(Klantgegevens_A!A144)))</f>
        <v/>
      </c>
      <c r="B145">
        <f>IF(Klantgegevens_B!B144&lt;&gt;"", Klantgegevens_B!B144, LEFT(Klantgegevens_A!A144, FIND(",", Klantgegevens_A!A144)-1))</f>
        <v/>
      </c>
      <c r="C145">
        <f>C144 &amp; ", " &amp; B144</f>
        <v/>
      </c>
      <c r="D145">
        <f>IF(Klantgegevens_B!F144&lt;&gt;"", Klantgegevens_B!F144, Klantgegevens_A!D144 &amp; " " &amp; Klantgegevens_A!E144 &amp; ", " &amp; Klantgegevens_A!F144)</f>
        <v/>
      </c>
      <c r="E145">
        <f>IF(Klantgegevens_B!G144&lt;&gt;"", Klantgegevens_B!G144, TEXTJOIN(",", TRUE, REPT("Volwassene,", Klantgegevens_A!G144), REPT("Kind,", Klantgegevens_A!H144)))</f>
        <v/>
      </c>
      <c r="F145">
        <f>IF(Klantgegevens_B!G144&lt;&gt;"", LEN(Klantgegevens_B!G144)-LEN(SUBSTITUTE(Klantgegevens_B!G144, ",", ""))+1, Klantgegevens_A!G144)</f>
        <v/>
      </c>
      <c r="G145">
        <f>IF(Klantgegevens_B!G144&lt;&gt;"", 0, Klantgegevens_A!H144)</f>
        <v/>
      </c>
      <c r="H145">
        <f>IF(Klantgegevens_B!H144&lt;&gt;"", Klantgegevens_B!H144, Klantgegevens_A!I144)</f>
        <v/>
      </c>
      <c r="I145">
        <f>IF(Klantgegevens_B!I144&lt;&gt;"", Klantgegevens_B!I144, SWITCH(Klantgegevens_A!J144, "Zelden", 1, "Af en toe", 4, "Regelmatig", 8, "Vaak", 12))</f>
        <v/>
      </c>
      <c r="J145">
        <f>IF(Klantgegevens_B!J144&lt;&gt;"", Klantgegevens_B!J144, Klantgegevens_A!K144)</f>
        <v/>
      </c>
      <c r="K145">
        <f>IF(Klantgegevens_B!K144&lt;&gt;"", AVERAGE(--(Klantgegevens_B!K144="ja"), --(Klantgegevens_B!L144="ja"), --(Klantgegevens_B!M144="ja"), --(Klantgegevens_B!N144="ja"), --(Klantgegevens_B!O144="ja"))*10, Klantgegevens_A!L144)</f>
        <v/>
      </c>
      <c r="L145">
        <f>IF(Klantgegevens_B!K144&lt;&gt;"", Klantgegevens_B!K144, IF(Klantgegevens_A!L144&gt;=7, "ja", "nee"))</f>
        <v/>
      </c>
      <c r="M145">
        <f>IF(Klantgegevens_B!L144&lt;&gt;"", Klantgegevens_B!L144, IF(Klantgegevens_A!L144&gt;=7, "ja", "nee"))</f>
        <v/>
      </c>
      <c r="N145">
        <f>IF(Klantgegevens_B!M144&lt;&gt;"", Klantgegevens_B!M144, IF(Klantgegevens_A!L144&gt;=7, "ja", "nee"))</f>
        <v/>
      </c>
      <c r="O145">
        <f>IF(Klantgegevens_B!N144&lt;&gt;"", Klantgegevens_B!N144, IF(Klantgegevens_A!L144&gt;=7, "ja", "nee"))</f>
        <v/>
      </c>
      <c r="P145">
        <f>IF(Klantgegevens_B!O144&lt;&gt;"", Klantgegevens_B!O144, IF(Klantgegevens_A!L144&gt;=7, "ja", "nee"))</f>
        <v/>
      </c>
      <c r="Q145">
        <f>IF(Klantgegevens_B!P144&lt;&gt;"", Klantgegevens_B!P144, Klantgegevens_A!M144)</f>
        <v/>
      </c>
      <c r="R145">
        <f>IF(Klantgegevens_B!A144&lt;&gt;"", "B", "A")</f>
        <v/>
      </c>
    </row>
    <row r="146">
      <c r="A146">
        <f>IF(Klantgegevens_B!A145&lt;&gt;"", Klantgegevens_B!A145, MID(Klantgegevens_A!A145, FIND(",", Klantgegevens_A!A145)+2, LEN(Klantgegevens_A!A145)))</f>
        <v/>
      </c>
      <c r="B146">
        <f>IF(Klantgegevens_B!B145&lt;&gt;"", Klantgegevens_B!B145, LEFT(Klantgegevens_A!A145, FIND(",", Klantgegevens_A!A145)-1))</f>
        <v/>
      </c>
      <c r="C146">
        <f>C145 &amp; ", " &amp; B145</f>
        <v/>
      </c>
      <c r="D146">
        <f>IF(Klantgegevens_B!F145&lt;&gt;"", Klantgegevens_B!F145, Klantgegevens_A!D145 &amp; " " &amp; Klantgegevens_A!E145 &amp; ", " &amp; Klantgegevens_A!F145)</f>
        <v/>
      </c>
      <c r="E146">
        <f>IF(Klantgegevens_B!G145&lt;&gt;"", Klantgegevens_B!G145, TEXTJOIN(",", TRUE, REPT("Volwassene,", Klantgegevens_A!G145), REPT("Kind,", Klantgegevens_A!H145)))</f>
        <v/>
      </c>
      <c r="F146">
        <f>IF(Klantgegevens_B!G145&lt;&gt;"", LEN(Klantgegevens_B!G145)-LEN(SUBSTITUTE(Klantgegevens_B!G145, ",", ""))+1, Klantgegevens_A!G145)</f>
        <v/>
      </c>
      <c r="G146">
        <f>IF(Klantgegevens_B!G145&lt;&gt;"", 0, Klantgegevens_A!H145)</f>
        <v/>
      </c>
      <c r="H146">
        <f>IF(Klantgegevens_B!H145&lt;&gt;"", Klantgegevens_B!H145, Klantgegevens_A!I145)</f>
        <v/>
      </c>
      <c r="I146">
        <f>IF(Klantgegevens_B!I145&lt;&gt;"", Klantgegevens_B!I145, SWITCH(Klantgegevens_A!J145, "Zelden", 1, "Af en toe", 4, "Regelmatig", 8, "Vaak", 12))</f>
        <v/>
      </c>
      <c r="J146">
        <f>IF(Klantgegevens_B!J145&lt;&gt;"", Klantgegevens_B!J145, Klantgegevens_A!K145)</f>
        <v/>
      </c>
      <c r="K146">
        <f>IF(Klantgegevens_B!K145&lt;&gt;"", AVERAGE(--(Klantgegevens_B!K145="ja"), --(Klantgegevens_B!L145="ja"), --(Klantgegevens_B!M145="ja"), --(Klantgegevens_B!N145="ja"), --(Klantgegevens_B!O145="ja"))*10, Klantgegevens_A!L145)</f>
        <v/>
      </c>
      <c r="L146">
        <f>IF(Klantgegevens_B!K145&lt;&gt;"", Klantgegevens_B!K145, IF(Klantgegevens_A!L145&gt;=7, "ja", "nee"))</f>
        <v/>
      </c>
      <c r="M146">
        <f>IF(Klantgegevens_B!L145&lt;&gt;"", Klantgegevens_B!L145, IF(Klantgegevens_A!L145&gt;=7, "ja", "nee"))</f>
        <v/>
      </c>
      <c r="N146">
        <f>IF(Klantgegevens_B!M145&lt;&gt;"", Klantgegevens_B!M145, IF(Klantgegevens_A!L145&gt;=7, "ja", "nee"))</f>
        <v/>
      </c>
      <c r="O146">
        <f>IF(Klantgegevens_B!N145&lt;&gt;"", Klantgegevens_B!N145, IF(Klantgegevens_A!L145&gt;=7, "ja", "nee"))</f>
        <v/>
      </c>
      <c r="P146">
        <f>IF(Klantgegevens_B!O145&lt;&gt;"", Klantgegevens_B!O145, IF(Klantgegevens_A!L145&gt;=7, "ja", "nee"))</f>
        <v/>
      </c>
      <c r="Q146">
        <f>IF(Klantgegevens_B!P145&lt;&gt;"", Klantgegevens_B!P145, Klantgegevens_A!M145)</f>
        <v/>
      </c>
      <c r="R146">
        <f>IF(Klantgegevens_B!A145&lt;&gt;"", "B", "A")</f>
        <v/>
      </c>
    </row>
    <row r="147">
      <c r="A147">
        <f>IF(Klantgegevens_B!A146&lt;&gt;"", Klantgegevens_B!A146, MID(Klantgegevens_A!A146, FIND(",", Klantgegevens_A!A146)+2, LEN(Klantgegevens_A!A146)))</f>
        <v/>
      </c>
      <c r="B147">
        <f>IF(Klantgegevens_B!B146&lt;&gt;"", Klantgegevens_B!B146, LEFT(Klantgegevens_A!A146, FIND(",", Klantgegevens_A!A146)-1))</f>
        <v/>
      </c>
      <c r="C147">
        <f>C146 &amp; ", " &amp; B146</f>
        <v/>
      </c>
      <c r="D147">
        <f>IF(Klantgegevens_B!F146&lt;&gt;"", Klantgegevens_B!F146, Klantgegevens_A!D146 &amp; " " &amp; Klantgegevens_A!E146 &amp; ", " &amp; Klantgegevens_A!F146)</f>
        <v/>
      </c>
      <c r="E147">
        <f>IF(Klantgegevens_B!G146&lt;&gt;"", Klantgegevens_B!G146, TEXTJOIN(",", TRUE, REPT("Volwassene,", Klantgegevens_A!G146), REPT("Kind,", Klantgegevens_A!H146)))</f>
        <v/>
      </c>
      <c r="F147">
        <f>IF(Klantgegevens_B!G146&lt;&gt;"", LEN(Klantgegevens_B!G146)-LEN(SUBSTITUTE(Klantgegevens_B!G146, ",", ""))+1, Klantgegevens_A!G146)</f>
        <v/>
      </c>
      <c r="G147">
        <f>IF(Klantgegevens_B!G146&lt;&gt;"", 0, Klantgegevens_A!H146)</f>
        <v/>
      </c>
      <c r="H147">
        <f>IF(Klantgegevens_B!H146&lt;&gt;"", Klantgegevens_B!H146, Klantgegevens_A!I146)</f>
        <v/>
      </c>
      <c r="I147">
        <f>IF(Klantgegevens_B!I146&lt;&gt;"", Klantgegevens_B!I146, SWITCH(Klantgegevens_A!J146, "Zelden", 1, "Af en toe", 4, "Regelmatig", 8, "Vaak", 12))</f>
        <v/>
      </c>
      <c r="J147">
        <f>IF(Klantgegevens_B!J146&lt;&gt;"", Klantgegevens_B!J146, Klantgegevens_A!K146)</f>
        <v/>
      </c>
      <c r="K147">
        <f>IF(Klantgegevens_B!K146&lt;&gt;"", AVERAGE(--(Klantgegevens_B!K146="ja"), --(Klantgegevens_B!L146="ja"), --(Klantgegevens_B!M146="ja"), --(Klantgegevens_B!N146="ja"), --(Klantgegevens_B!O146="ja"))*10, Klantgegevens_A!L146)</f>
        <v/>
      </c>
      <c r="L147">
        <f>IF(Klantgegevens_B!K146&lt;&gt;"", Klantgegevens_B!K146, IF(Klantgegevens_A!L146&gt;=7, "ja", "nee"))</f>
        <v/>
      </c>
      <c r="M147">
        <f>IF(Klantgegevens_B!L146&lt;&gt;"", Klantgegevens_B!L146, IF(Klantgegevens_A!L146&gt;=7, "ja", "nee"))</f>
        <v/>
      </c>
      <c r="N147">
        <f>IF(Klantgegevens_B!M146&lt;&gt;"", Klantgegevens_B!M146, IF(Klantgegevens_A!L146&gt;=7, "ja", "nee"))</f>
        <v/>
      </c>
      <c r="O147">
        <f>IF(Klantgegevens_B!N146&lt;&gt;"", Klantgegevens_B!N146, IF(Klantgegevens_A!L146&gt;=7, "ja", "nee"))</f>
        <v/>
      </c>
      <c r="P147">
        <f>IF(Klantgegevens_B!O146&lt;&gt;"", Klantgegevens_B!O146, IF(Klantgegevens_A!L146&gt;=7, "ja", "nee"))</f>
        <v/>
      </c>
      <c r="Q147">
        <f>IF(Klantgegevens_B!P146&lt;&gt;"", Klantgegevens_B!P146, Klantgegevens_A!M146)</f>
        <v/>
      </c>
      <c r="R147">
        <f>IF(Klantgegevens_B!A146&lt;&gt;"", "B", "A")</f>
        <v/>
      </c>
    </row>
    <row r="148">
      <c r="A148">
        <f>IF(Klantgegevens_B!A147&lt;&gt;"", Klantgegevens_B!A147, MID(Klantgegevens_A!A147, FIND(",", Klantgegevens_A!A147)+2, LEN(Klantgegevens_A!A147)))</f>
        <v/>
      </c>
      <c r="B148">
        <f>IF(Klantgegevens_B!B147&lt;&gt;"", Klantgegevens_B!B147, LEFT(Klantgegevens_A!A147, FIND(",", Klantgegevens_A!A147)-1))</f>
        <v/>
      </c>
      <c r="C148">
        <f>C147 &amp; ", " &amp; B147</f>
        <v/>
      </c>
      <c r="D148">
        <f>IF(Klantgegevens_B!F147&lt;&gt;"", Klantgegevens_B!F147, Klantgegevens_A!D147 &amp; " " &amp; Klantgegevens_A!E147 &amp; ", " &amp; Klantgegevens_A!F147)</f>
        <v/>
      </c>
      <c r="E148">
        <f>IF(Klantgegevens_B!G147&lt;&gt;"", Klantgegevens_B!G147, TEXTJOIN(",", TRUE, REPT("Volwassene,", Klantgegevens_A!G147), REPT("Kind,", Klantgegevens_A!H147)))</f>
        <v/>
      </c>
      <c r="F148">
        <f>IF(Klantgegevens_B!G147&lt;&gt;"", LEN(Klantgegevens_B!G147)-LEN(SUBSTITUTE(Klantgegevens_B!G147, ",", ""))+1, Klantgegevens_A!G147)</f>
        <v/>
      </c>
      <c r="G148">
        <f>IF(Klantgegevens_B!G147&lt;&gt;"", 0, Klantgegevens_A!H147)</f>
        <v/>
      </c>
      <c r="H148">
        <f>IF(Klantgegevens_B!H147&lt;&gt;"", Klantgegevens_B!H147, Klantgegevens_A!I147)</f>
        <v/>
      </c>
      <c r="I148">
        <f>IF(Klantgegevens_B!I147&lt;&gt;"", Klantgegevens_B!I147, SWITCH(Klantgegevens_A!J147, "Zelden", 1, "Af en toe", 4, "Regelmatig", 8, "Vaak", 12))</f>
        <v/>
      </c>
      <c r="J148">
        <f>IF(Klantgegevens_B!J147&lt;&gt;"", Klantgegevens_B!J147, Klantgegevens_A!K147)</f>
        <v/>
      </c>
      <c r="K148">
        <f>IF(Klantgegevens_B!K147&lt;&gt;"", AVERAGE(--(Klantgegevens_B!K147="ja"), --(Klantgegevens_B!L147="ja"), --(Klantgegevens_B!M147="ja"), --(Klantgegevens_B!N147="ja"), --(Klantgegevens_B!O147="ja"))*10, Klantgegevens_A!L147)</f>
        <v/>
      </c>
      <c r="L148">
        <f>IF(Klantgegevens_B!K147&lt;&gt;"", Klantgegevens_B!K147, IF(Klantgegevens_A!L147&gt;=7, "ja", "nee"))</f>
        <v/>
      </c>
      <c r="M148">
        <f>IF(Klantgegevens_B!L147&lt;&gt;"", Klantgegevens_B!L147, IF(Klantgegevens_A!L147&gt;=7, "ja", "nee"))</f>
        <v/>
      </c>
      <c r="N148">
        <f>IF(Klantgegevens_B!M147&lt;&gt;"", Klantgegevens_B!M147, IF(Klantgegevens_A!L147&gt;=7, "ja", "nee"))</f>
        <v/>
      </c>
      <c r="O148">
        <f>IF(Klantgegevens_B!N147&lt;&gt;"", Klantgegevens_B!N147, IF(Klantgegevens_A!L147&gt;=7, "ja", "nee"))</f>
        <v/>
      </c>
      <c r="P148">
        <f>IF(Klantgegevens_B!O147&lt;&gt;"", Klantgegevens_B!O147, IF(Klantgegevens_A!L147&gt;=7, "ja", "nee"))</f>
        <v/>
      </c>
      <c r="Q148">
        <f>IF(Klantgegevens_B!P147&lt;&gt;"", Klantgegevens_B!P147, Klantgegevens_A!M147)</f>
        <v/>
      </c>
      <c r="R148">
        <f>IF(Klantgegevens_B!A147&lt;&gt;"", "B", "A")</f>
        <v/>
      </c>
    </row>
    <row r="149">
      <c r="A149">
        <f>IF(Klantgegevens_B!A148&lt;&gt;"", Klantgegevens_B!A148, MID(Klantgegevens_A!A148, FIND(",", Klantgegevens_A!A148)+2, LEN(Klantgegevens_A!A148)))</f>
        <v/>
      </c>
      <c r="B149">
        <f>IF(Klantgegevens_B!B148&lt;&gt;"", Klantgegevens_B!B148, LEFT(Klantgegevens_A!A148, FIND(",", Klantgegevens_A!A148)-1))</f>
        <v/>
      </c>
      <c r="C149">
        <f>C148 &amp; ", " &amp; B148</f>
        <v/>
      </c>
      <c r="D149">
        <f>IF(Klantgegevens_B!F148&lt;&gt;"", Klantgegevens_B!F148, Klantgegevens_A!D148 &amp; " " &amp; Klantgegevens_A!E148 &amp; ", " &amp; Klantgegevens_A!F148)</f>
        <v/>
      </c>
      <c r="E149">
        <f>IF(Klantgegevens_B!G148&lt;&gt;"", Klantgegevens_B!G148, TEXTJOIN(",", TRUE, REPT("Volwassene,", Klantgegevens_A!G148), REPT("Kind,", Klantgegevens_A!H148)))</f>
        <v/>
      </c>
      <c r="F149">
        <f>IF(Klantgegevens_B!G148&lt;&gt;"", LEN(Klantgegevens_B!G148)-LEN(SUBSTITUTE(Klantgegevens_B!G148, ",", ""))+1, Klantgegevens_A!G148)</f>
        <v/>
      </c>
      <c r="G149">
        <f>IF(Klantgegevens_B!G148&lt;&gt;"", 0, Klantgegevens_A!H148)</f>
        <v/>
      </c>
      <c r="H149">
        <f>IF(Klantgegevens_B!H148&lt;&gt;"", Klantgegevens_B!H148, Klantgegevens_A!I148)</f>
        <v/>
      </c>
      <c r="I149">
        <f>IF(Klantgegevens_B!I148&lt;&gt;"", Klantgegevens_B!I148, SWITCH(Klantgegevens_A!J148, "Zelden", 1, "Af en toe", 4, "Regelmatig", 8, "Vaak", 12))</f>
        <v/>
      </c>
      <c r="J149">
        <f>IF(Klantgegevens_B!J148&lt;&gt;"", Klantgegevens_B!J148, Klantgegevens_A!K148)</f>
        <v/>
      </c>
      <c r="K149">
        <f>IF(Klantgegevens_B!K148&lt;&gt;"", AVERAGE(--(Klantgegevens_B!K148="ja"), --(Klantgegevens_B!L148="ja"), --(Klantgegevens_B!M148="ja"), --(Klantgegevens_B!N148="ja"), --(Klantgegevens_B!O148="ja"))*10, Klantgegevens_A!L148)</f>
        <v/>
      </c>
      <c r="L149">
        <f>IF(Klantgegevens_B!K148&lt;&gt;"", Klantgegevens_B!K148, IF(Klantgegevens_A!L148&gt;=7, "ja", "nee"))</f>
        <v/>
      </c>
      <c r="M149">
        <f>IF(Klantgegevens_B!L148&lt;&gt;"", Klantgegevens_B!L148, IF(Klantgegevens_A!L148&gt;=7, "ja", "nee"))</f>
        <v/>
      </c>
      <c r="N149">
        <f>IF(Klantgegevens_B!M148&lt;&gt;"", Klantgegevens_B!M148, IF(Klantgegevens_A!L148&gt;=7, "ja", "nee"))</f>
        <v/>
      </c>
      <c r="O149">
        <f>IF(Klantgegevens_B!N148&lt;&gt;"", Klantgegevens_B!N148, IF(Klantgegevens_A!L148&gt;=7, "ja", "nee"))</f>
        <v/>
      </c>
      <c r="P149">
        <f>IF(Klantgegevens_B!O148&lt;&gt;"", Klantgegevens_B!O148, IF(Klantgegevens_A!L148&gt;=7, "ja", "nee"))</f>
        <v/>
      </c>
      <c r="Q149">
        <f>IF(Klantgegevens_B!P148&lt;&gt;"", Klantgegevens_B!P148, Klantgegevens_A!M148)</f>
        <v/>
      </c>
      <c r="R149">
        <f>IF(Klantgegevens_B!A148&lt;&gt;"", "B", "A")</f>
        <v/>
      </c>
    </row>
    <row r="150">
      <c r="A150">
        <f>IF(Klantgegevens_B!A149&lt;&gt;"", Klantgegevens_B!A149, MID(Klantgegevens_A!A149, FIND(",", Klantgegevens_A!A149)+2, LEN(Klantgegevens_A!A149)))</f>
        <v/>
      </c>
      <c r="B150">
        <f>IF(Klantgegevens_B!B149&lt;&gt;"", Klantgegevens_B!B149, LEFT(Klantgegevens_A!A149, FIND(",", Klantgegevens_A!A149)-1))</f>
        <v/>
      </c>
      <c r="C150">
        <f>C149 &amp; ", " &amp; B149</f>
        <v/>
      </c>
      <c r="D150">
        <f>IF(Klantgegevens_B!F149&lt;&gt;"", Klantgegevens_B!F149, Klantgegevens_A!D149 &amp; " " &amp; Klantgegevens_A!E149 &amp; ", " &amp; Klantgegevens_A!F149)</f>
        <v/>
      </c>
      <c r="E150">
        <f>IF(Klantgegevens_B!G149&lt;&gt;"", Klantgegevens_B!G149, TEXTJOIN(",", TRUE, REPT("Volwassene,", Klantgegevens_A!G149), REPT("Kind,", Klantgegevens_A!H149)))</f>
        <v/>
      </c>
      <c r="F150">
        <f>IF(Klantgegevens_B!G149&lt;&gt;"", LEN(Klantgegevens_B!G149)-LEN(SUBSTITUTE(Klantgegevens_B!G149, ",", ""))+1, Klantgegevens_A!G149)</f>
        <v/>
      </c>
      <c r="G150">
        <f>IF(Klantgegevens_B!G149&lt;&gt;"", 0, Klantgegevens_A!H149)</f>
        <v/>
      </c>
      <c r="H150">
        <f>IF(Klantgegevens_B!H149&lt;&gt;"", Klantgegevens_B!H149, Klantgegevens_A!I149)</f>
        <v/>
      </c>
      <c r="I150">
        <f>IF(Klantgegevens_B!I149&lt;&gt;"", Klantgegevens_B!I149, SWITCH(Klantgegevens_A!J149, "Zelden", 1, "Af en toe", 4, "Regelmatig", 8, "Vaak", 12))</f>
        <v/>
      </c>
      <c r="J150">
        <f>IF(Klantgegevens_B!J149&lt;&gt;"", Klantgegevens_B!J149, Klantgegevens_A!K149)</f>
        <v/>
      </c>
      <c r="K150">
        <f>IF(Klantgegevens_B!K149&lt;&gt;"", AVERAGE(--(Klantgegevens_B!K149="ja"), --(Klantgegevens_B!L149="ja"), --(Klantgegevens_B!M149="ja"), --(Klantgegevens_B!N149="ja"), --(Klantgegevens_B!O149="ja"))*10, Klantgegevens_A!L149)</f>
        <v/>
      </c>
      <c r="L150">
        <f>IF(Klantgegevens_B!K149&lt;&gt;"", Klantgegevens_B!K149, IF(Klantgegevens_A!L149&gt;=7, "ja", "nee"))</f>
        <v/>
      </c>
      <c r="M150">
        <f>IF(Klantgegevens_B!L149&lt;&gt;"", Klantgegevens_B!L149, IF(Klantgegevens_A!L149&gt;=7, "ja", "nee"))</f>
        <v/>
      </c>
      <c r="N150">
        <f>IF(Klantgegevens_B!M149&lt;&gt;"", Klantgegevens_B!M149, IF(Klantgegevens_A!L149&gt;=7, "ja", "nee"))</f>
        <v/>
      </c>
      <c r="O150">
        <f>IF(Klantgegevens_B!N149&lt;&gt;"", Klantgegevens_B!N149, IF(Klantgegevens_A!L149&gt;=7, "ja", "nee"))</f>
        <v/>
      </c>
      <c r="P150">
        <f>IF(Klantgegevens_B!O149&lt;&gt;"", Klantgegevens_B!O149, IF(Klantgegevens_A!L149&gt;=7, "ja", "nee"))</f>
        <v/>
      </c>
      <c r="Q150">
        <f>IF(Klantgegevens_B!P149&lt;&gt;"", Klantgegevens_B!P149, Klantgegevens_A!M149)</f>
        <v/>
      </c>
      <c r="R150">
        <f>IF(Klantgegevens_B!A149&lt;&gt;"", "B", "A")</f>
        <v/>
      </c>
    </row>
    <row r="151">
      <c r="A151">
        <f>IF(Klantgegevens_B!A150&lt;&gt;"", Klantgegevens_B!A150, MID(Klantgegevens_A!A150, FIND(",", Klantgegevens_A!A150)+2, LEN(Klantgegevens_A!A150)))</f>
        <v/>
      </c>
      <c r="B151">
        <f>IF(Klantgegevens_B!B150&lt;&gt;"", Klantgegevens_B!B150, LEFT(Klantgegevens_A!A150, FIND(",", Klantgegevens_A!A150)-1))</f>
        <v/>
      </c>
      <c r="C151">
        <f>C150 &amp; ", " &amp; B150</f>
        <v/>
      </c>
      <c r="D151">
        <f>IF(Klantgegevens_B!F150&lt;&gt;"", Klantgegevens_B!F150, Klantgegevens_A!D150 &amp; " " &amp; Klantgegevens_A!E150 &amp; ", " &amp; Klantgegevens_A!F150)</f>
        <v/>
      </c>
      <c r="E151">
        <f>IF(Klantgegevens_B!G150&lt;&gt;"", Klantgegevens_B!G150, TEXTJOIN(",", TRUE, REPT("Volwassene,", Klantgegevens_A!G150), REPT("Kind,", Klantgegevens_A!H150)))</f>
        <v/>
      </c>
      <c r="F151">
        <f>IF(Klantgegevens_B!G150&lt;&gt;"", LEN(Klantgegevens_B!G150)-LEN(SUBSTITUTE(Klantgegevens_B!G150, ",", ""))+1, Klantgegevens_A!G150)</f>
        <v/>
      </c>
      <c r="G151">
        <f>IF(Klantgegevens_B!G150&lt;&gt;"", 0, Klantgegevens_A!H150)</f>
        <v/>
      </c>
      <c r="H151">
        <f>IF(Klantgegevens_B!H150&lt;&gt;"", Klantgegevens_B!H150, Klantgegevens_A!I150)</f>
        <v/>
      </c>
      <c r="I151">
        <f>IF(Klantgegevens_B!I150&lt;&gt;"", Klantgegevens_B!I150, SWITCH(Klantgegevens_A!J150, "Zelden", 1, "Af en toe", 4, "Regelmatig", 8, "Vaak", 12))</f>
        <v/>
      </c>
      <c r="J151">
        <f>IF(Klantgegevens_B!J150&lt;&gt;"", Klantgegevens_B!J150, Klantgegevens_A!K150)</f>
        <v/>
      </c>
      <c r="K151">
        <f>IF(Klantgegevens_B!K150&lt;&gt;"", AVERAGE(--(Klantgegevens_B!K150="ja"), --(Klantgegevens_B!L150="ja"), --(Klantgegevens_B!M150="ja"), --(Klantgegevens_B!N150="ja"), --(Klantgegevens_B!O150="ja"))*10, Klantgegevens_A!L150)</f>
        <v/>
      </c>
      <c r="L151">
        <f>IF(Klantgegevens_B!K150&lt;&gt;"", Klantgegevens_B!K150, IF(Klantgegevens_A!L150&gt;=7, "ja", "nee"))</f>
        <v/>
      </c>
      <c r="M151">
        <f>IF(Klantgegevens_B!L150&lt;&gt;"", Klantgegevens_B!L150, IF(Klantgegevens_A!L150&gt;=7, "ja", "nee"))</f>
        <v/>
      </c>
      <c r="N151">
        <f>IF(Klantgegevens_B!M150&lt;&gt;"", Klantgegevens_B!M150, IF(Klantgegevens_A!L150&gt;=7, "ja", "nee"))</f>
        <v/>
      </c>
      <c r="O151">
        <f>IF(Klantgegevens_B!N150&lt;&gt;"", Klantgegevens_B!N150, IF(Klantgegevens_A!L150&gt;=7, "ja", "nee"))</f>
        <v/>
      </c>
      <c r="P151">
        <f>IF(Klantgegevens_B!O150&lt;&gt;"", Klantgegevens_B!O150, IF(Klantgegevens_A!L150&gt;=7, "ja", "nee"))</f>
        <v/>
      </c>
      <c r="Q151">
        <f>IF(Klantgegevens_B!P150&lt;&gt;"", Klantgegevens_B!P150, Klantgegevens_A!M150)</f>
        <v/>
      </c>
      <c r="R151">
        <f>IF(Klantgegevens_B!A150&lt;&gt;"", "B", "A")</f>
        <v/>
      </c>
    </row>
    <row r="152">
      <c r="A152">
        <f>IF(Klantgegevens_B!A151&lt;&gt;"", Klantgegevens_B!A151, MID(Klantgegevens_A!A151, FIND(",", Klantgegevens_A!A151)+2, LEN(Klantgegevens_A!A151)))</f>
        <v/>
      </c>
      <c r="B152">
        <f>IF(Klantgegevens_B!B151&lt;&gt;"", Klantgegevens_B!B151, LEFT(Klantgegevens_A!A151, FIND(",", Klantgegevens_A!A151)-1))</f>
        <v/>
      </c>
      <c r="C152">
        <f>C151 &amp; ", " &amp; B151</f>
        <v/>
      </c>
      <c r="D152">
        <f>IF(Klantgegevens_B!F151&lt;&gt;"", Klantgegevens_B!F151, Klantgegevens_A!D151 &amp; " " &amp; Klantgegevens_A!E151 &amp; ", " &amp; Klantgegevens_A!F151)</f>
        <v/>
      </c>
      <c r="E152">
        <f>IF(Klantgegevens_B!G151&lt;&gt;"", Klantgegevens_B!G151, TEXTJOIN(",", TRUE, REPT("Volwassene,", Klantgegevens_A!G151), REPT("Kind,", Klantgegevens_A!H151)))</f>
        <v/>
      </c>
      <c r="F152">
        <f>IF(Klantgegevens_B!G151&lt;&gt;"", LEN(Klantgegevens_B!G151)-LEN(SUBSTITUTE(Klantgegevens_B!G151, ",", ""))+1, Klantgegevens_A!G151)</f>
        <v/>
      </c>
      <c r="G152">
        <f>IF(Klantgegevens_B!G151&lt;&gt;"", 0, Klantgegevens_A!H151)</f>
        <v/>
      </c>
      <c r="H152">
        <f>IF(Klantgegevens_B!H151&lt;&gt;"", Klantgegevens_B!H151, Klantgegevens_A!I151)</f>
        <v/>
      </c>
      <c r="I152">
        <f>IF(Klantgegevens_B!I151&lt;&gt;"", Klantgegevens_B!I151, SWITCH(Klantgegevens_A!J151, "Zelden", 1, "Af en toe", 4, "Regelmatig", 8, "Vaak", 12))</f>
        <v/>
      </c>
      <c r="J152">
        <f>IF(Klantgegevens_B!J151&lt;&gt;"", Klantgegevens_B!J151, Klantgegevens_A!K151)</f>
        <v/>
      </c>
      <c r="K152">
        <f>IF(Klantgegevens_B!K151&lt;&gt;"", AVERAGE(--(Klantgegevens_B!K151="ja"), --(Klantgegevens_B!L151="ja"), --(Klantgegevens_B!M151="ja"), --(Klantgegevens_B!N151="ja"), --(Klantgegevens_B!O151="ja"))*10, Klantgegevens_A!L151)</f>
        <v/>
      </c>
      <c r="L152">
        <f>IF(Klantgegevens_B!K151&lt;&gt;"", Klantgegevens_B!K151, IF(Klantgegevens_A!L151&gt;=7, "ja", "nee"))</f>
        <v/>
      </c>
      <c r="M152">
        <f>IF(Klantgegevens_B!L151&lt;&gt;"", Klantgegevens_B!L151, IF(Klantgegevens_A!L151&gt;=7, "ja", "nee"))</f>
        <v/>
      </c>
      <c r="N152">
        <f>IF(Klantgegevens_B!M151&lt;&gt;"", Klantgegevens_B!M151, IF(Klantgegevens_A!L151&gt;=7, "ja", "nee"))</f>
        <v/>
      </c>
      <c r="O152">
        <f>IF(Klantgegevens_B!N151&lt;&gt;"", Klantgegevens_B!N151, IF(Klantgegevens_A!L151&gt;=7, "ja", "nee"))</f>
        <v/>
      </c>
      <c r="P152">
        <f>IF(Klantgegevens_B!O151&lt;&gt;"", Klantgegevens_B!O151, IF(Klantgegevens_A!L151&gt;=7, "ja", "nee"))</f>
        <v/>
      </c>
      <c r="Q152">
        <f>IF(Klantgegevens_B!P151&lt;&gt;"", Klantgegevens_B!P151, Klantgegevens_A!M151)</f>
        <v/>
      </c>
      <c r="R152">
        <f>IF(Klantgegevens_B!A151&lt;&gt;"", "B", "A")</f>
        <v/>
      </c>
    </row>
    <row r="153">
      <c r="A153">
        <f>IF(Klantgegevens_B!A152&lt;&gt;"", Klantgegevens_B!A152, MID(Klantgegevens_A!A152, FIND(",", Klantgegevens_A!A152)+2, LEN(Klantgegevens_A!A152)))</f>
        <v/>
      </c>
      <c r="B153">
        <f>IF(Klantgegevens_B!B152&lt;&gt;"", Klantgegevens_B!B152, LEFT(Klantgegevens_A!A152, FIND(",", Klantgegevens_A!A152)-1))</f>
        <v/>
      </c>
      <c r="C153">
        <f>C152 &amp; ", " &amp; B152</f>
        <v/>
      </c>
      <c r="D153">
        <f>IF(Klantgegevens_B!F152&lt;&gt;"", Klantgegevens_B!F152, Klantgegevens_A!D152 &amp; " " &amp; Klantgegevens_A!E152 &amp; ", " &amp; Klantgegevens_A!F152)</f>
        <v/>
      </c>
      <c r="E153">
        <f>IF(Klantgegevens_B!G152&lt;&gt;"", Klantgegevens_B!G152, TEXTJOIN(",", TRUE, REPT("Volwassene,", Klantgegevens_A!G152), REPT("Kind,", Klantgegevens_A!H152)))</f>
        <v/>
      </c>
      <c r="F153">
        <f>IF(Klantgegevens_B!G152&lt;&gt;"", LEN(Klantgegevens_B!G152)-LEN(SUBSTITUTE(Klantgegevens_B!G152, ",", ""))+1, Klantgegevens_A!G152)</f>
        <v/>
      </c>
      <c r="G153">
        <f>IF(Klantgegevens_B!G152&lt;&gt;"", 0, Klantgegevens_A!H152)</f>
        <v/>
      </c>
      <c r="H153">
        <f>IF(Klantgegevens_B!H152&lt;&gt;"", Klantgegevens_B!H152, Klantgegevens_A!I152)</f>
        <v/>
      </c>
      <c r="I153">
        <f>IF(Klantgegevens_B!I152&lt;&gt;"", Klantgegevens_B!I152, SWITCH(Klantgegevens_A!J152, "Zelden", 1, "Af en toe", 4, "Regelmatig", 8, "Vaak", 12))</f>
        <v/>
      </c>
      <c r="J153">
        <f>IF(Klantgegevens_B!J152&lt;&gt;"", Klantgegevens_B!J152, Klantgegevens_A!K152)</f>
        <v/>
      </c>
      <c r="K153">
        <f>IF(Klantgegevens_B!K152&lt;&gt;"", AVERAGE(--(Klantgegevens_B!K152="ja"), --(Klantgegevens_B!L152="ja"), --(Klantgegevens_B!M152="ja"), --(Klantgegevens_B!N152="ja"), --(Klantgegevens_B!O152="ja"))*10, Klantgegevens_A!L152)</f>
        <v/>
      </c>
      <c r="L153">
        <f>IF(Klantgegevens_B!K152&lt;&gt;"", Klantgegevens_B!K152, IF(Klantgegevens_A!L152&gt;=7, "ja", "nee"))</f>
        <v/>
      </c>
      <c r="M153">
        <f>IF(Klantgegevens_B!L152&lt;&gt;"", Klantgegevens_B!L152, IF(Klantgegevens_A!L152&gt;=7, "ja", "nee"))</f>
        <v/>
      </c>
      <c r="N153">
        <f>IF(Klantgegevens_B!M152&lt;&gt;"", Klantgegevens_B!M152, IF(Klantgegevens_A!L152&gt;=7, "ja", "nee"))</f>
        <v/>
      </c>
      <c r="O153">
        <f>IF(Klantgegevens_B!N152&lt;&gt;"", Klantgegevens_B!N152, IF(Klantgegevens_A!L152&gt;=7, "ja", "nee"))</f>
        <v/>
      </c>
      <c r="P153">
        <f>IF(Klantgegevens_B!O152&lt;&gt;"", Klantgegevens_B!O152, IF(Klantgegevens_A!L152&gt;=7, "ja", "nee"))</f>
        <v/>
      </c>
      <c r="Q153">
        <f>IF(Klantgegevens_B!P152&lt;&gt;"", Klantgegevens_B!P152, Klantgegevens_A!M152)</f>
        <v/>
      </c>
      <c r="R153">
        <f>IF(Klantgegevens_B!A152&lt;&gt;"", "B", "A")</f>
        <v/>
      </c>
    </row>
    <row r="154">
      <c r="A154">
        <f>IF(Klantgegevens_B!A153&lt;&gt;"", Klantgegevens_B!A153, MID(Klantgegevens_A!A153, FIND(",", Klantgegevens_A!A153)+2, LEN(Klantgegevens_A!A153)))</f>
        <v/>
      </c>
      <c r="B154">
        <f>IF(Klantgegevens_B!B153&lt;&gt;"", Klantgegevens_B!B153, LEFT(Klantgegevens_A!A153, FIND(",", Klantgegevens_A!A153)-1))</f>
        <v/>
      </c>
      <c r="C154">
        <f>C153 &amp; ", " &amp; B153</f>
        <v/>
      </c>
      <c r="D154">
        <f>IF(Klantgegevens_B!F153&lt;&gt;"", Klantgegevens_B!F153, Klantgegevens_A!D153 &amp; " " &amp; Klantgegevens_A!E153 &amp; ", " &amp; Klantgegevens_A!F153)</f>
        <v/>
      </c>
      <c r="E154">
        <f>IF(Klantgegevens_B!G153&lt;&gt;"", Klantgegevens_B!G153, TEXTJOIN(",", TRUE, REPT("Volwassene,", Klantgegevens_A!G153), REPT("Kind,", Klantgegevens_A!H153)))</f>
        <v/>
      </c>
      <c r="F154">
        <f>IF(Klantgegevens_B!G153&lt;&gt;"", LEN(Klantgegevens_B!G153)-LEN(SUBSTITUTE(Klantgegevens_B!G153, ",", ""))+1, Klantgegevens_A!G153)</f>
        <v/>
      </c>
      <c r="G154">
        <f>IF(Klantgegevens_B!G153&lt;&gt;"", 0, Klantgegevens_A!H153)</f>
        <v/>
      </c>
      <c r="H154">
        <f>IF(Klantgegevens_B!H153&lt;&gt;"", Klantgegevens_B!H153, Klantgegevens_A!I153)</f>
        <v/>
      </c>
      <c r="I154">
        <f>IF(Klantgegevens_B!I153&lt;&gt;"", Klantgegevens_B!I153, SWITCH(Klantgegevens_A!J153, "Zelden", 1, "Af en toe", 4, "Regelmatig", 8, "Vaak", 12))</f>
        <v/>
      </c>
      <c r="J154">
        <f>IF(Klantgegevens_B!J153&lt;&gt;"", Klantgegevens_B!J153, Klantgegevens_A!K153)</f>
        <v/>
      </c>
      <c r="K154">
        <f>IF(Klantgegevens_B!K153&lt;&gt;"", AVERAGE(--(Klantgegevens_B!K153="ja"), --(Klantgegevens_B!L153="ja"), --(Klantgegevens_B!M153="ja"), --(Klantgegevens_B!N153="ja"), --(Klantgegevens_B!O153="ja"))*10, Klantgegevens_A!L153)</f>
        <v/>
      </c>
      <c r="L154">
        <f>IF(Klantgegevens_B!K153&lt;&gt;"", Klantgegevens_B!K153, IF(Klantgegevens_A!L153&gt;=7, "ja", "nee"))</f>
        <v/>
      </c>
      <c r="M154">
        <f>IF(Klantgegevens_B!L153&lt;&gt;"", Klantgegevens_B!L153, IF(Klantgegevens_A!L153&gt;=7, "ja", "nee"))</f>
        <v/>
      </c>
      <c r="N154">
        <f>IF(Klantgegevens_B!M153&lt;&gt;"", Klantgegevens_B!M153, IF(Klantgegevens_A!L153&gt;=7, "ja", "nee"))</f>
        <v/>
      </c>
      <c r="O154">
        <f>IF(Klantgegevens_B!N153&lt;&gt;"", Klantgegevens_B!N153, IF(Klantgegevens_A!L153&gt;=7, "ja", "nee"))</f>
        <v/>
      </c>
      <c r="P154">
        <f>IF(Klantgegevens_B!O153&lt;&gt;"", Klantgegevens_B!O153, IF(Klantgegevens_A!L153&gt;=7, "ja", "nee"))</f>
        <v/>
      </c>
      <c r="Q154">
        <f>IF(Klantgegevens_B!P153&lt;&gt;"", Klantgegevens_B!P153, Klantgegevens_A!M153)</f>
        <v/>
      </c>
      <c r="R154">
        <f>IF(Klantgegevens_B!A153&lt;&gt;"", "B", "A")</f>
        <v/>
      </c>
    </row>
    <row r="155">
      <c r="A155">
        <f>IF(Klantgegevens_B!A154&lt;&gt;"", Klantgegevens_B!A154, MID(Klantgegevens_A!A154, FIND(",", Klantgegevens_A!A154)+2, LEN(Klantgegevens_A!A154)))</f>
        <v/>
      </c>
      <c r="B155">
        <f>IF(Klantgegevens_B!B154&lt;&gt;"", Klantgegevens_B!B154, LEFT(Klantgegevens_A!A154, FIND(",", Klantgegevens_A!A154)-1))</f>
        <v/>
      </c>
      <c r="C155">
        <f>C154 &amp; ", " &amp; B154</f>
        <v/>
      </c>
      <c r="D155">
        <f>IF(Klantgegevens_B!F154&lt;&gt;"", Klantgegevens_B!F154, Klantgegevens_A!D154 &amp; " " &amp; Klantgegevens_A!E154 &amp; ", " &amp; Klantgegevens_A!F154)</f>
        <v/>
      </c>
      <c r="E155">
        <f>IF(Klantgegevens_B!G154&lt;&gt;"", Klantgegevens_B!G154, TEXTJOIN(",", TRUE, REPT("Volwassene,", Klantgegevens_A!G154), REPT("Kind,", Klantgegevens_A!H154)))</f>
        <v/>
      </c>
      <c r="F155">
        <f>IF(Klantgegevens_B!G154&lt;&gt;"", LEN(Klantgegevens_B!G154)-LEN(SUBSTITUTE(Klantgegevens_B!G154, ",", ""))+1, Klantgegevens_A!G154)</f>
        <v/>
      </c>
      <c r="G155">
        <f>IF(Klantgegevens_B!G154&lt;&gt;"", 0, Klantgegevens_A!H154)</f>
        <v/>
      </c>
      <c r="H155">
        <f>IF(Klantgegevens_B!H154&lt;&gt;"", Klantgegevens_B!H154, Klantgegevens_A!I154)</f>
        <v/>
      </c>
      <c r="I155">
        <f>IF(Klantgegevens_B!I154&lt;&gt;"", Klantgegevens_B!I154, SWITCH(Klantgegevens_A!J154, "Zelden", 1, "Af en toe", 4, "Regelmatig", 8, "Vaak", 12))</f>
        <v/>
      </c>
      <c r="J155">
        <f>IF(Klantgegevens_B!J154&lt;&gt;"", Klantgegevens_B!J154, Klantgegevens_A!K154)</f>
        <v/>
      </c>
      <c r="K155">
        <f>IF(Klantgegevens_B!K154&lt;&gt;"", AVERAGE(--(Klantgegevens_B!K154="ja"), --(Klantgegevens_B!L154="ja"), --(Klantgegevens_B!M154="ja"), --(Klantgegevens_B!N154="ja"), --(Klantgegevens_B!O154="ja"))*10, Klantgegevens_A!L154)</f>
        <v/>
      </c>
      <c r="L155">
        <f>IF(Klantgegevens_B!K154&lt;&gt;"", Klantgegevens_B!K154, IF(Klantgegevens_A!L154&gt;=7, "ja", "nee"))</f>
        <v/>
      </c>
      <c r="M155">
        <f>IF(Klantgegevens_B!L154&lt;&gt;"", Klantgegevens_B!L154, IF(Klantgegevens_A!L154&gt;=7, "ja", "nee"))</f>
        <v/>
      </c>
      <c r="N155">
        <f>IF(Klantgegevens_B!M154&lt;&gt;"", Klantgegevens_B!M154, IF(Klantgegevens_A!L154&gt;=7, "ja", "nee"))</f>
        <v/>
      </c>
      <c r="O155">
        <f>IF(Klantgegevens_B!N154&lt;&gt;"", Klantgegevens_B!N154, IF(Klantgegevens_A!L154&gt;=7, "ja", "nee"))</f>
        <v/>
      </c>
      <c r="P155">
        <f>IF(Klantgegevens_B!O154&lt;&gt;"", Klantgegevens_B!O154, IF(Klantgegevens_A!L154&gt;=7, "ja", "nee"))</f>
        <v/>
      </c>
      <c r="Q155">
        <f>IF(Klantgegevens_B!P154&lt;&gt;"", Klantgegevens_B!P154, Klantgegevens_A!M154)</f>
        <v/>
      </c>
      <c r="R155">
        <f>IF(Klantgegevens_B!A154&lt;&gt;"", "B", "A")</f>
        <v/>
      </c>
    </row>
    <row r="156">
      <c r="A156">
        <f>IF(Klantgegevens_B!A155&lt;&gt;"", Klantgegevens_B!A155, MID(Klantgegevens_A!A155, FIND(",", Klantgegevens_A!A155)+2, LEN(Klantgegevens_A!A155)))</f>
        <v/>
      </c>
      <c r="B156">
        <f>IF(Klantgegevens_B!B155&lt;&gt;"", Klantgegevens_B!B155, LEFT(Klantgegevens_A!A155, FIND(",", Klantgegevens_A!A155)-1))</f>
        <v/>
      </c>
      <c r="C156">
        <f>C155 &amp; ", " &amp; B155</f>
        <v/>
      </c>
      <c r="D156">
        <f>IF(Klantgegevens_B!F155&lt;&gt;"", Klantgegevens_B!F155, Klantgegevens_A!D155 &amp; " " &amp; Klantgegevens_A!E155 &amp; ", " &amp; Klantgegevens_A!F155)</f>
        <v/>
      </c>
      <c r="E156">
        <f>IF(Klantgegevens_B!G155&lt;&gt;"", Klantgegevens_B!G155, TEXTJOIN(",", TRUE, REPT("Volwassene,", Klantgegevens_A!G155), REPT("Kind,", Klantgegevens_A!H155)))</f>
        <v/>
      </c>
      <c r="F156">
        <f>IF(Klantgegevens_B!G155&lt;&gt;"", LEN(Klantgegevens_B!G155)-LEN(SUBSTITUTE(Klantgegevens_B!G155, ",", ""))+1, Klantgegevens_A!G155)</f>
        <v/>
      </c>
      <c r="G156">
        <f>IF(Klantgegevens_B!G155&lt;&gt;"", 0, Klantgegevens_A!H155)</f>
        <v/>
      </c>
      <c r="H156">
        <f>IF(Klantgegevens_B!H155&lt;&gt;"", Klantgegevens_B!H155, Klantgegevens_A!I155)</f>
        <v/>
      </c>
      <c r="I156">
        <f>IF(Klantgegevens_B!I155&lt;&gt;"", Klantgegevens_B!I155, SWITCH(Klantgegevens_A!J155, "Zelden", 1, "Af en toe", 4, "Regelmatig", 8, "Vaak", 12))</f>
        <v/>
      </c>
      <c r="J156">
        <f>IF(Klantgegevens_B!J155&lt;&gt;"", Klantgegevens_B!J155, Klantgegevens_A!K155)</f>
        <v/>
      </c>
      <c r="K156">
        <f>IF(Klantgegevens_B!K155&lt;&gt;"", AVERAGE(--(Klantgegevens_B!K155="ja"), --(Klantgegevens_B!L155="ja"), --(Klantgegevens_B!M155="ja"), --(Klantgegevens_B!N155="ja"), --(Klantgegevens_B!O155="ja"))*10, Klantgegevens_A!L155)</f>
        <v/>
      </c>
      <c r="L156">
        <f>IF(Klantgegevens_B!K155&lt;&gt;"", Klantgegevens_B!K155, IF(Klantgegevens_A!L155&gt;=7, "ja", "nee"))</f>
        <v/>
      </c>
      <c r="M156">
        <f>IF(Klantgegevens_B!L155&lt;&gt;"", Klantgegevens_B!L155, IF(Klantgegevens_A!L155&gt;=7, "ja", "nee"))</f>
        <v/>
      </c>
      <c r="N156">
        <f>IF(Klantgegevens_B!M155&lt;&gt;"", Klantgegevens_B!M155, IF(Klantgegevens_A!L155&gt;=7, "ja", "nee"))</f>
        <v/>
      </c>
      <c r="O156">
        <f>IF(Klantgegevens_B!N155&lt;&gt;"", Klantgegevens_B!N155, IF(Klantgegevens_A!L155&gt;=7, "ja", "nee"))</f>
        <v/>
      </c>
      <c r="P156">
        <f>IF(Klantgegevens_B!O155&lt;&gt;"", Klantgegevens_B!O155, IF(Klantgegevens_A!L155&gt;=7, "ja", "nee"))</f>
        <v/>
      </c>
      <c r="Q156">
        <f>IF(Klantgegevens_B!P155&lt;&gt;"", Klantgegevens_B!P155, Klantgegevens_A!M155)</f>
        <v/>
      </c>
      <c r="R156">
        <f>IF(Klantgegevens_B!A155&lt;&gt;"", "B", "A")</f>
        <v/>
      </c>
    </row>
    <row r="157">
      <c r="A157">
        <f>IF(Klantgegevens_B!A156&lt;&gt;"", Klantgegevens_B!A156, MID(Klantgegevens_A!A156, FIND(",", Klantgegevens_A!A156)+2, LEN(Klantgegevens_A!A156)))</f>
        <v/>
      </c>
      <c r="B157">
        <f>IF(Klantgegevens_B!B156&lt;&gt;"", Klantgegevens_B!B156, LEFT(Klantgegevens_A!A156, FIND(",", Klantgegevens_A!A156)-1))</f>
        <v/>
      </c>
      <c r="C157">
        <f>C156 &amp; ", " &amp; B156</f>
        <v/>
      </c>
      <c r="D157">
        <f>IF(Klantgegevens_B!F156&lt;&gt;"", Klantgegevens_B!F156, Klantgegevens_A!D156 &amp; " " &amp; Klantgegevens_A!E156 &amp; ", " &amp; Klantgegevens_A!F156)</f>
        <v/>
      </c>
      <c r="E157">
        <f>IF(Klantgegevens_B!G156&lt;&gt;"", Klantgegevens_B!G156, TEXTJOIN(",", TRUE, REPT("Volwassene,", Klantgegevens_A!G156), REPT("Kind,", Klantgegevens_A!H156)))</f>
        <v/>
      </c>
      <c r="F157">
        <f>IF(Klantgegevens_B!G156&lt;&gt;"", LEN(Klantgegevens_B!G156)-LEN(SUBSTITUTE(Klantgegevens_B!G156, ",", ""))+1, Klantgegevens_A!G156)</f>
        <v/>
      </c>
      <c r="G157">
        <f>IF(Klantgegevens_B!G156&lt;&gt;"", 0, Klantgegevens_A!H156)</f>
        <v/>
      </c>
      <c r="H157">
        <f>IF(Klantgegevens_B!H156&lt;&gt;"", Klantgegevens_B!H156, Klantgegevens_A!I156)</f>
        <v/>
      </c>
      <c r="I157">
        <f>IF(Klantgegevens_B!I156&lt;&gt;"", Klantgegevens_B!I156, SWITCH(Klantgegevens_A!J156, "Zelden", 1, "Af en toe", 4, "Regelmatig", 8, "Vaak", 12))</f>
        <v/>
      </c>
      <c r="J157">
        <f>IF(Klantgegevens_B!J156&lt;&gt;"", Klantgegevens_B!J156, Klantgegevens_A!K156)</f>
        <v/>
      </c>
      <c r="K157">
        <f>IF(Klantgegevens_B!K156&lt;&gt;"", AVERAGE(--(Klantgegevens_B!K156="ja"), --(Klantgegevens_B!L156="ja"), --(Klantgegevens_B!M156="ja"), --(Klantgegevens_B!N156="ja"), --(Klantgegevens_B!O156="ja"))*10, Klantgegevens_A!L156)</f>
        <v/>
      </c>
      <c r="L157">
        <f>IF(Klantgegevens_B!K156&lt;&gt;"", Klantgegevens_B!K156, IF(Klantgegevens_A!L156&gt;=7, "ja", "nee"))</f>
        <v/>
      </c>
      <c r="M157">
        <f>IF(Klantgegevens_B!L156&lt;&gt;"", Klantgegevens_B!L156, IF(Klantgegevens_A!L156&gt;=7, "ja", "nee"))</f>
        <v/>
      </c>
      <c r="N157">
        <f>IF(Klantgegevens_B!M156&lt;&gt;"", Klantgegevens_B!M156, IF(Klantgegevens_A!L156&gt;=7, "ja", "nee"))</f>
        <v/>
      </c>
      <c r="O157">
        <f>IF(Klantgegevens_B!N156&lt;&gt;"", Klantgegevens_B!N156, IF(Klantgegevens_A!L156&gt;=7, "ja", "nee"))</f>
        <v/>
      </c>
      <c r="P157">
        <f>IF(Klantgegevens_B!O156&lt;&gt;"", Klantgegevens_B!O156, IF(Klantgegevens_A!L156&gt;=7, "ja", "nee"))</f>
        <v/>
      </c>
      <c r="Q157">
        <f>IF(Klantgegevens_B!P156&lt;&gt;"", Klantgegevens_B!P156, Klantgegevens_A!M156)</f>
        <v/>
      </c>
      <c r="R157">
        <f>IF(Klantgegevens_B!A156&lt;&gt;"", "B", "A")</f>
        <v/>
      </c>
    </row>
    <row r="158">
      <c r="A158">
        <f>IF(Klantgegevens_B!A157&lt;&gt;"", Klantgegevens_B!A157, MID(Klantgegevens_A!A157, FIND(",", Klantgegevens_A!A157)+2, LEN(Klantgegevens_A!A157)))</f>
        <v/>
      </c>
      <c r="B158">
        <f>IF(Klantgegevens_B!B157&lt;&gt;"", Klantgegevens_B!B157, LEFT(Klantgegevens_A!A157, FIND(",", Klantgegevens_A!A157)-1))</f>
        <v/>
      </c>
      <c r="C158">
        <f>C157 &amp; ", " &amp; B157</f>
        <v/>
      </c>
      <c r="D158">
        <f>IF(Klantgegevens_B!F157&lt;&gt;"", Klantgegevens_B!F157, Klantgegevens_A!D157 &amp; " " &amp; Klantgegevens_A!E157 &amp; ", " &amp; Klantgegevens_A!F157)</f>
        <v/>
      </c>
      <c r="E158">
        <f>IF(Klantgegevens_B!G157&lt;&gt;"", Klantgegevens_B!G157, TEXTJOIN(",", TRUE, REPT("Volwassene,", Klantgegevens_A!G157), REPT("Kind,", Klantgegevens_A!H157)))</f>
        <v/>
      </c>
      <c r="F158">
        <f>IF(Klantgegevens_B!G157&lt;&gt;"", LEN(Klantgegevens_B!G157)-LEN(SUBSTITUTE(Klantgegevens_B!G157, ",", ""))+1, Klantgegevens_A!G157)</f>
        <v/>
      </c>
      <c r="G158">
        <f>IF(Klantgegevens_B!G157&lt;&gt;"", 0, Klantgegevens_A!H157)</f>
        <v/>
      </c>
      <c r="H158">
        <f>IF(Klantgegevens_B!H157&lt;&gt;"", Klantgegevens_B!H157, Klantgegevens_A!I157)</f>
        <v/>
      </c>
      <c r="I158">
        <f>IF(Klantgegevens_B!I157&lt;&gt;"", Klantgegevens_B!I157, SWITCH(Klantgegevens_A!J157, "Zelden", 1, "Af en toe", 4, "Regelmatig", 8, "Vaak", 12))</f>
        <v/>
      </c>
      <c r="J158">
        <f>IF(Klantgegevens_B!J157&lt;&gt;"", Klantgegevens_B!J157, Klantgegevens_A!K157)</f>
        <v/>
      </c>
      <c r="K158">
        <f>IF(Klantgegevens_B!K157&lt;&gt;"", AVERAGE(--(Klantgegevens_B!K157="ja"), --(Klantgegevens_B!L157="ja"), --(Klantgegevens_B!M157="ja"), --(Klantgegevens_B!N157="ja"), --(Klantgegevens_B!O157="ja"))*10, Klantgegevens_A!L157)</f>
        <v/>
      </c>
      <c r="L158">
        <f>IF(Klantgegevens_B!K157&lt;&gt;"", Klantgegevens_B!K157, IF(Klantgegevens_A!L157&gt;=7, "ja", "nee"))</f>
        <v/>
      </c>
      <c r="M158">
        <f>IF(Klantgegevens_B!L157&lt;&gt;"", Klantgegevens_B!L157, IF(Klantgegevens_A!L157&gt;=7, "ja", "nee"))</f>
        <v/>
      </c>
      <c r="N158">
        <f>IF(Klantgegevens_B!M157&lt;&gt;"", Klantgegevens_B!M157, IF(Klantgegevens_A!L157&gt;=7, "ja", "nee"))</f>
        <v/>
      </c>
      <c r="O158">
        <f>IF(Klantgegevens_B!N157&lt;&gt;"", Klantgegevens_B!N157, IF(Klantgegevens_A!L157&gt;=7, "ja", "nee"))</f>
        <v/>
      </c>
      <c r="P158">
        <f>IF(Klantgegevens_B!O157&lt;&gt;"", Klantgegevens_B!O157, IF(Klantgegevens_A!L157&gt;=7, "ja", "nee"))</f>
        <v/>
      </c>
      <c r="Q158">
        <f>IF(Klantgegevens_B!P157&lt;&gt;"", Klantgegevens_B!P157, Klantgegevens_A!M157)</f>
        <v/>
      </c>
      <c r="R158">
        <f>IF(Klantgegevens_B!A157&lt;&gt;"", "B", "A")</f>
        <v/>
      </c>
    </row>
    <row r="159">
      <c r="A159">
        <f>IF(Klantgegevens_B!A158&lt;&gt;"", Klantgegevens_B!A158, MID(Klantgegevens_A!A158, FIND(",", Klantgegevens_A!A158)+2, LEN(Klantgegevens_A!A158)))</f>
        <v/>
      </c>
      <c r="B159">
        <f>IF(Klantgegevens_B!B158&lt;&gt;"", Klantgegevens_B!B158, LEFT(Klantgegevens_A!A158, FIND(",", Klantgegevens_A!A158)-1))</f>
        <v/>
      </c>
      <c r="C159">
        <f>C158 &amp; ", " &amp; B158</f>
        <v/>
      </c>
      <c r="D159">
        <f>IF(Klantgegevens_B!F158&lt;&gt;"", Klantgegevens_B!F158, Klantgegevens_A!D158 &amp; " " &amp; Klantgegevens_A!E158 &amp; ", " &amp; Klantgegevens_A!F158)</f>
        <v/>
      </c>
      <c r="E159">
        <f>IF(Klantgegevens_B!G158&lt;&gt;"", Klantgegevens_B!G158, TEXTJOIN(",", TRUE, REPT("Volwassene,", Klantgegevens_A!G158), REPT("Kind,", Klantgegevens_A!H158)))</f>
        <v/>
      </c>
      <c r="F159">
        <f>IF(Klantgegevens_B!G158&lt;&gt;"", LEN(Klantgegevens_B!G158)-LEN(SUBSTITUTE(Klantgegevens_B!G158, ",", ""))+1, Klantgegevens_A!G158)</f>
        <v/>
      </c>
      <c r="G159">
        <f>IF(Klantgegevens_B!G158&lt;&gt;"", 0, Klantgegevens_A!H158)</f>
        <v/>
      </c>
      <c r="H159">
        <f>IF(Klantgegevens_B!H158&lt;&gt;"", Klantgegevens_B!H158, Klantgegevens_A!I158)</f>
        <v/>
      </c>
      <c r="I159">
        <f>IF(Klantgegevens_B!I158&lt;&gt;"", Klantgegevens_B!I158, SWITCH(Klantgegevens_A!J158, "Zelden", 1, "Af en toe", 4, "Regelmatig", 8, "Vaak", 12))</f>
        <v/>
      </c>
      <c r="J159">
        <f>IF(Klantgegevens_B!J158&lt;&gt;"", Klantgegevens_B!J158, Klantgegevens_A!K158)</f>
        <v/>
      </c>
      <c r="K159">
        <f>IF(Klantgegevens_B!K158&lt;&gt;"", AVERAGE(--(Klantgegevens_B!K158="ja"), --(Klantgegevens_B!L158="ja"), --(Klantgegevens_B!M158="ja"), --(Klantgegevens_B!N158="ja"), --(Klantgegevens_B!O158="ja"))*10, Klantgegevens_A!L158)</f>
        <v/>
      </c>
      <c r="L159">
        <f>IF(Klantgegevens_B!K158&lt;&gt;"", Klantgegevens_B!K158, IF(Klantgegevens_A!L158&gt;=7, "ja", "nee"))</f>
        <v/>
      </c>
      <c r="M159">
        <f>IF(Klantgegevens_B!L158&lt;&gt;"", Klantgegevens_B!L158, IF(Klantgegevens_A!L158&gt;=7, "ja", "nee"))</f>
        <v/>
      </c>
      <c r="N159">
        <f>IF(Klantgegevens_B!M158&lt;&gt;"", Klantgegevens_B!M158, IF(Klantgegevens_A!L158&gt;=7, "ja", "nee"))</f>
        <v/>
      </c>
      <c r="O159">
        <f>IF(Klantgegevens_B!N158&lt;&gt;"", Klantgegevens_B!N158, IF(Klantgegevens_A!L158&gt;=7, "ja", "nee"))</f>
        <v/>
      </c>
      <c r="P159">
        <f>IF(Klantgegevens_B!O158&lt;&gt;"", Klantgegevens_B!O158, IF(Klantgegevens_A!L158&gt;=7, "ja", "nee"))</f>
        <v/>
      </c>
      <c r="Q159">
        <f>IF(Klantgegevens_B!P158&lt;&gt;"", Klantgegevens_B!P158, Klantgegevens_A!M158)</f>
        <v/>
      </c>
      <c r="R159">
        <f>IF(Klantgegevens_B!A158&lt;&gt;"", "B", "A")</f>
        <v/>
      </c>
    </row>
    <row r="160">
      <c r="A160">
        <f>IF(Klantgegevens_B!A159&lt;&gt;"", Klantgegevens_B!A159, MID(Klantgegevens_A!A159, FIND(",", Klantgegevens_A!A159)+2, LEN(Klantgegevens_A!A159)))</f>
        <v/>
      </c>
      <c r="B160">
        <f>IF(Klantgegevens_B!B159&lt;&gt;"", Klantgegevens_B!B159, LEFT(Klantgegevens_A!A159, FIND(",", Klantgegevens_A!A159)-1))</f>
        <v/>
      </c>
      <c r="C160">
        <f>C159 &amp; ", " &amp; B159</f>
        <v/>
      </c>
      <c r="D160">
        <f>IF(Klantgegevens_B!F159&lt;&gt;"", Klantgegevens_B!F159, Klantgegevens_A!D159 &amp; " " &amp; Klantgegevens_A!E159 &amp; ", " &amp; Klantgegevens_A!F159)</f>
        <v/>
      </c>
      <c r="E160">
        <f>IF(Klantgegevens_B!G159&lt;&gt;"", Klantgegevens_B!G159, TEXTJOIN(",", TRUE, REPT("Volwassene,", Klantgegevens_A!G159), REPT("Kind,", Klantgegevens_A!H159)))</f>
        <v/>
      </c>
      <c r="F160">
        <f>IF(Klantgegevens_B!G159&lt;&gt;"", LEN(Klantgegevens_B!G159)-LEN(SUBSTITUTE(Klantgegevens_B!G159, ",", ""))+1, Klantgegevens_A!G159)</f>
        <v/>
      </c>
      <c r="G160">
        <f>IF(Klantgegevens_B!G159&lt;&gt;"", 0, Klantgegevens_A!H159)</f>
        <v/>
      </c>
      <c r="H160">
        <f>IF(Klantgegevens_B!H159&lt;&gt;"", Klantgegevens_B!H159, Klantgegevens_A!I159)</f>
        <v/>
      </c>
      <c r="I160">
        <f>IF(Klantgegevens_B!I159&lt;&gt;"", Klantgegevens_B!I159, SWITCH(Klantgegevens_A!J159, "Zelden", 1, "Af en toe", 4, "Regelmatig", 8, "Vaak", 12))</f>
        <v/>
      </c>
      <c r="J160">
        <f>IF(Klantgegevens_B!J159&lt;&gt;"", Klantgegevens_B!J159, Klantgegevens_A!K159)</f>
        <v/>
      </c>
      <c r="K160">
        <f>IF(Klantgegevens_B!K159&lt;&gt;"", AVERAGE(--(Klantgegevens_B!K159="ja"), --(Klantgegevens_B!L159="ja"), --(Klantgegevens_B!M159="ja"), --(Klantgegevens_B!N159="ja"), --(Klantgegevens_B!O159="ja"))*10, Klantgegevens_A!L159)</f>
        <v/>
      </c>
      <c r="L160">
        <f>IF(Klantgegevens_B!K159&lt;&gt;"", Klantgegevens_B!K159, IF(Klantgegevens_A!L159&gt;=7, "ja", "nee"))</f>
        <v/>
      </c>
      <c r="M160">
        <f>IF(Klantgegevens_B!L159&lt;&gt;"", Klantgegevens_B!L159, IF(Klantgegevens_A!L159&gt;=7, "ja", "nee"))</f>
        <v/>
      </c>
      <c r="N160">
        <f>IF(Klantgegevens_B!M159&lt;&gt;"", Klantgegevens_B!M159, IF(Klantgegevens_A!L159&gt;=7, "ja", "nee"))</f>
        <v/>
      </c>
      <c r="O160">
        <f>IF(Klantgegevens_B!N159&lt;&gt;"", Klantgegevens_B!N159, IF(Klantgegevens_A!L159&gt;=7, "ja", "nee"))</f>
        <v/>
      </c>
      <c r="P160">
        <f>IF(Klantgegevens_B!O159&lt;&gt;"", Klantgegevens_B!O159, IF(Klantgegevens_A!L159&gt;=7, "ja", "nee"))</f>
        <v/>
      </c>
      <c r="Q160">
        <f>IF(Klantgegevens_B!P159&lt;&gt;"", Klantgegevens_B!P159, Klantgegevens_A!M159)</f>
        <v/>
      </c>
      <c r="R160">
        <f>IF(Klantgegevens_B!A159&lt;&gt;"", "B", "A")</f>
        <v/>
      </c>
    </row>
    <row r="161">
      <c r="A161">
        <f>IF(Klantgegevens_B!A160&lt;&gt;"", Klantgegevens_B!A160, MID(Klantgegevens_A!A160, FIND(",", Klantgegevens_A!A160)+2, LEN(Klantgegevens_A!A160)))</f>
        <v/>
      </c>
      <c r="B161">
        <f>IF(Klantgegevens_B!B160&lt;&gt;"", Klantgegevens_B!B160, LEFT(Klantgegevens_A!A160, FIND(",", Klantgegevens_A!A160)-1))</f>
        <v/>
      </c>
      <c r="C161">
        <f>C160 &amp; ", " &amp; B160</f>
        <v/>
      </c>
      <c r="D161">
        <f>IF(Klantgegevens_B!F160&lt;&gt;"", Klantgegevens_B!F160, Klantgegevens_A!D160 &amp; " " &amp; Klantgegevens_A!E160 &amp; ", " &amp; Klantgegevens_A!F160)</f>
        <v/>
      </c>
      <c r="E161">
        <f>IF(Klantgegevens_B!G160&lt;&gt;"", Klantgegevens_B!G160, TEXTJOIN(",", TRUE, REPT("Volwassene,", Klantgegevens_A!G160), REPT("Kind,", Klantgegevens_A!H160)))</f>
        <v/>
      </c>
      <c r="F161">
        <f>IF(Klantgegevens_B!G160&lt;&gt;"", LEN(Klantgegevens_B!G160)-LEN(SUBSTITUTE(Klantgegevens_B!G160, ",", ""))+1, Klantgegevens_A!G160)</f>
        <v/>
      </c>
      <c r="G161">
        <f>IF(Klantgegevens_B!G160&lt;&gt;"", 0, Klantgegevens_A!H160)</f>
        <v/>
      </c>
      <c r="H161">
        <f>IF(Klantgegevens_B!H160&lt;&gt;"", Klantgegevens_B!H160, Klantgegevens_A!I160)</f>
        <v/>
      </c>
      <c r="I161">
        <f>IF(Klantgegevens_B!I160&lt;&gt;"", Klantgegevens_B!I160, SWITCH(Klantgegevens_A!J160, "Zelden", 1, "Af en toe", 4, "Regelmatig", 8, "Vaak", 12))</f>
        <v/>
      </c>
      <c r="J161">
        <f>IF(Klantgegevens_B!J160&lt;&gt;"", Klantgegevens_B!J160, Klantgegevens_A!K160)</f>
        <v/>
      </c>
      <c r="K161">
        <f>IF(Klantgegevens_B!K160&lt;&gt;"", AVERAGE(--(Klantgegevens_B!K160="ja"), --(Klantgegevens_B!L160="ja"), --(Klantgegevens_B!M160="ja"), --(Klantgegevens_B!N160="ja"), --(Klantgegevens_B!O160="ja"))*10, Klantgegevens_A!L160)</f>
        <v/>
      </c>
      <c r="L161">
        <f>IF(Klantgegevens_B!K160&lt;&gt;"", Klantgegevens_B!K160, IF(Klantgegevens_A!L160&gt;=7, "ja", "nee"))</f>
        <v/>
      </c>
      <c r="M161">
        <f>IF(Klantgegevens_B!L160&lt;&gt;"", Klantgegevens_B!L160, IF(Klantgegevens_A!L160&gt;=7, "ja", "nee"))</f>
        <v/>
      </c>
      <c r="N161">
        <f>IF(Klantgegevens_B!M160&lt;&gt;"", Klantgegevens_B!M160, IF(Klantgegevens_A!L160&gt;=7, "ja", "nee"))</f>
        <v/>
      </c>
      <c r="O161">
        <f>IF(Klantgegevens_B!N160&lt;&gt;"", Klantgegevens_B!N160, IF(Klantgegevens_A!L160&gt;=7, "ja", "nee"))</f>
        <v/>
      </c>
      <c r="P161">
        <f>IF(Klantgegevens_B!O160&lt;&gt;"", Klantgegevens_B!O160, IF(Klantgegevens_A!L160&gt;=7, "ja", "nee"))</f>
        <v/>
      </c>
      <c r="Q161">
        <f>IF(Klantgegevens_B!P160&lt;&gt;"", Klantgegevens_B!P160, Klantgegevens_A!M160)</f>
        <v/>
      </c>
      <c r="R161">
        <f>IF(Klantgegevens_B!A160&lt;&gt;"", "B", "A")</f>
        <v/>
      </c>
    </row>
    <row r="162">
      <c r="A162">
        <f>IF(Klantgegevens_B!A161&lt;&gt;"", Klantgegevens_B!A161, MID(Klantgegevens_A!A161, FIND(",", Klantgegevens_A!A161)+2, LEN(Klantgegevens_A!A161)))</f>
        <v/>
      </c>
      <c r="B162">
        <f>IF(Klantgegevens_B!B161&lt;&gt;"", Klantgegevens_B!B161, LEFT(Klantgegevens_A!A161, FIND(",", Klantgegevens_A!A161)-1))</f>
        <v/>
      </c>
      <c r="C162">
        <f>C161 &amp; ", " &amp; B161</f>
        <v/>
      </c>
      <c r="D162">
        <f>IF(Klantgegevens_B!F161&lt;&gt;"", Klantgegevens_B!F161, Klantgegevens_A!D161 &amp; " " &amp; Klantgegevens_A!E161 &amp; ", " &amp; Klantgegevens_A!F161)</f>
        <v/>
      </c>
      <c r="E162">
        <f>IF(Klantgegevens_B!G161&lt;&gt;"", Klantgegevens_B!G161, TEXTJOIN(",", TRUE, REPT("Volwassene,", Klantgegevens_A!G161), REPT("Kind,", Klantgegevens_A!H161)))</f>
        <v/>
      </c>
      <c r="F162">
        <f>IF(Klantgegevens_B!G161&lt;&gt;"", LEN(Klantgegevens_B!G161)-LEN(SUBSTITUTE(Klantgegevens_B!G161, ",", ""))+1, Klantgegevens_A!G161)</f>
        <v/>
      </c>
      <c r="G162">
        <f>IF(Klantgegevens_B!G161&lt;&gt;"", 0, Klantgegevens_A!H161)</f>
        <v/>
      </c>
      <c r="H162">
        <f>IF(Klantgegevens_B!H161&lt;&gt;"", Klantgegevens_B!H161, Klantgegevens_A!I161)</f>
        <v/>
      </c>
      <c r="I162">
        <f>IF(Klantgegevens_B!I161&lt;&gt;"", Klantgegevens_B!I161, SWITCH(Klantgegevens_A!J161, "Zelden", 1, "Af en toe", 4, "Regelmatig", 8, "Vaak", 12))</f>
        <v/>
      </c>
      <c r="J162">
        <f>IF(Klantgegevens_B!J161&lt;&gt;"", Klantgegevens_B!J161, Klantgegevens_A!K161)</f>
        <v/>
      </c>
      <c r="K162">
        <f>IF(Klantgegevens_B!K161&lt;&gt;"", AVERAGE(--(Klantgegevens_B!K161="ja"), --(Klantgegevens_B!L161="ja"), --(Klantgegevens_B!M161="ja"), --(Klantgegevens_B!N161="ja"), --(Klantgegevens_B!O161="ja"))*10, Klantgegevens_A!L161)</f>
        <v/>
      </c>
      <c r="L162">
        <f>IF(Klantgegevens_B!K161&lt;&gt;"", Klantgegevens_B!K161, IF(Klantgegevens_A!L161&gt;=7, "ja", "nee"))</f>
        <v/>
      </c>
      <c r="M162">
        <f>IF(Klantgegevens_B!L161&lt;&gt;"", Klantgegevens_B!L161, IF(Klantgegevens_A!L161&gt;=7, "ja", "nee"))</f>
        <v/>
      </c>
      <c r="N162">
        <f>IF(Klantgegevens_B!M161&lt;&gt;"", Klantgegevens_B!M161, IF(Klantgegevens_A!L161&gt;=7, "ja", "nee"))</f>
        <v/>
      </c>
      <c r="O162">
        <f>IF(Klantgegevens_B!N161&lt;&gt;"", Klantgegevens_B!N161, IF(Klantgegevens_A!L161&gt;=7, "ja", "nee"))</f>
        <v/>
      </c>
      <c r="P162">
        <f>IF(Klantgegevens_B!O161&lt;&gt;"", Klantgegevens_B!O161, IF(Klantgegevens_A!L161&gt;=7, "ja", "nee"))</f>
        <v/>
      </c>
      <c r="Q162">
        <f>IF(Klantgegevens_B!P161&lt;&gt;"", Klantgegevens_B!P161, Klantgegevens_A!M161)</f>
        <v/>
      </c>
      <c r="R162">
        <f>IF(Klantgegevens_B!A161&lt;&gt;"", "B", "A")</f>
        <v/>
      </c>
    </row>
    <row r="163">
      <c r="A163">
        <f>IF(Klantgegevens_B!A162&lt;&gt;"", Klantgegevens_B!A162, MID(Klantgegevens_A!A162, FIND(",", Klantgegevens_A!A162)+2, LEN(Klantgegevens_A!A162)))</f>
        <v/>
      </c>
      <c r="B163">
        <f>IF(Klantgegevens_B!B162&lt;&gt;"", Klantgegevens_B!B162, LEFT(Klantgegevens_A!A162, FIND(",", Klantgegevens_A!A162)-1))</f>
        <v/>
      </c>
      <c r="C163">
        <f>C162 &amp; ", " &amp; B162</f>
        <v/>
      </c>
      <c r="D163">
        <f>IF(Klantgegevens_B!F162&lt;&gt;"", Klantgegevens_B!F162, Klantgegevens_A!D162 &amp; " " &amp; Klantgegevens_A!E162 &amp; ", " &amp; Klantgegevens_A!F162)</f>
        <v/>
      </c>
      <c r="E163">
        <f>IF(Klantgegevens_B!G162&lt;&gt;"", Klantgegevens_B!G162, TEXTJOIN(",", TRUE, REPT("Volwassene,", Klantgegevens_A!G162), REPT("Kind,", Klantgegevens_A!H162)))</f>
        <v/>
      </c>
      <c r="F163">
        <f>IF(Klantgegevens_B!G162&lt;&gt;"", LEN(Klantgegevens_B!G162)-LEN(SUBSTITUTE(Klantgegevens_B!G162, ",", ""))+1, Klantgegevens_A!G162)</f>
        <v/>
      </c>
      <c r="G163">
        <f>IF(Klantgegevens_B!G162&lt;&gt;"", 0, Klantgegevens_A!H162)</f>
        <v/>
      </c>
      <c r="H163">
        <f>IF(Klantgegevens_B!H162&lt;&gt;"", Klantgegevens_B!H162, Klantgegevens_A!I162)</f>
        <v/>
      </c>
      <c r="I163">
        <f>IF(Klantgegevens_B!I162&lt;&gt;"", Klantgegevens_B!I162, SWITCH(Klantgegevens_A!J162, "Zelden", 1, "Af en toe", 4, "Regelmatig", 8, "Vaak", 12))</f>
        <v/>
      </c>
      <c r="J163">
        <f>IF(Klantgegevens_B!J162&lt;&gt;"", Klantgegevens_B!J162, Klantgegevens_A!K162)</f>
        <v/>
      </c>
      <c r="K163">
        <f>IF(Klantgegevens_B!K162&lt;&gt;"", AVERAGE(--(Klantgegevens_B!K162="ja"), --(Klantgegevens_B!L162="ja"), --(Klantgegevens_B!M162="ja"), --(Klantgegevens_B!N162="ja"), --(Klantgegevens_B!O162="ja"))*10, Klantgegevens_A!L162)</f>
        <v/>
      </c>
      <c r="L163">
        <f>IF(Klantgegevens_B!K162&lt;&gt;"", Klantgegevens_B!K162, IF(Klantgegevens_A!L162&gt;=7, "ja", "nee"))</f>
        <v/>
      </c>
      <c r="M163">
        <f>IF(Klantgegevens_B!L162&lt;&gt;"", Klantgegevens_B!L162, IF(Klantgegevens_A!L162&gt;=7, "ja", "nee"))</f>
        <v/>
      </c>
      <c r="N163">
        <f>IF(Klantgegevens_B!M162&lt;&gt;"", Klantgegevens_B!M162, IF(Klantgegevens_A!L162&gt;=7, "ja", "nee"))</f>
        <v/>
      </c>
      <c r="O163">
        <f>IF(Klantgegevens_B!N162&lt;&gt;"", Klantgegevens_B!N162, IF(Klantgegevens_A!L162&gt;=7, "ja", "nee"))</f>
        <v/>
      </c>
      <c r="P163">
        <f>IF(Klantgegevens_B!O162&lt;&gt;"", Klantgegevens_B!O162, IF(Klantgegevens_A!L162&gt;=7, "ja", "nee"))</f>
        <v/>
      </c>
      <c r="Q163">
        <f>IF(Klantgegevens_B!P162&lt;&gt;"", Klantgegevens_B!P162, Klantgegevens_A!M162)</f>
        <v/>
      </c>
      <c r="R163">
        <f>IF(Klantgegevens_B!A162&lt;&gt;"", "B", "A")</f>
        <v/>
      </c>
    </row>
    <row r="164">
      <c r="A164">
        <f>IF(Klantgegevens_B!A163&lt;&gt;"", Klantgegevens_B!A163, MID(Klantgegevens_A!A163, FIND(",", Klantgegevens_A!A163)+2, LEN(Klantgegevens_A!A163)))</f>
        <v/>
      </c>
      <c r="B164">
        <f>IF(Klantgegevens_B!B163&lt;&gt;"", Klantgegevens_B!B163, LEFT(Klantgegevens_A!A163, FIND(",", Klantgegevens_A!A163)-1))</f>
        <v/>
      </c>
      <c r="C164">
        <f>C163 &amp; ", " &amp; B163</f>
        <v/>
      </c>
      <c r="D164">
        <f>IF(Klantgegevens_B!F163&lt;&gt;"", Klantgegevens_B!F163, Klantgegevens_A!D163 &amp; " " &amp; Klantgegevens_A!E163 &amp; ", " &amp; Klantgegevens_A!F163)</f>
        <v/>
      </c>
      <c r="E164">
        <f>IF(Klantgegevens_B!G163&lt;&gt;"", Klantgegevens_B!G163, TEXTJOIN(",", TRUE, REPT("Volwassene,", Klantgegevens_A!G163), REPT("Kind,", Klantgegevens_A!H163)))</f>
        <v/>
      </c>
      <c r="F164">
        <f>IF(Klantgegevens_B!G163&lt;&gt;"", LEN(Klantgegevens_B!G163)-LEN(SUBSTITUTE(Klantgegevens_B!G163, ",", ""))+1, Klantgegevens_A!G163)</f>
        <v/>
      </c>
      <c r="G164">
        <f>IF(Klantgegevens_B!G163&lt;&gt;"", 0, Klantgegevens_A!H163)</f>
        <v/>
      </c>
      <c r="H164">
        <f>IF(Klantgegevens_B!H163&lt;&gt;"", Klantgegevens_B!H163, Klantgegevens_A!I163)</f>
        <v/>
      </c>
      <c r="I164">
        <f>IF(Klantgegevens_B!I163&lt;&gt;"", Klantgegevens_B!I163, SWITCH(Klantgegevens_A!J163, "Zelden", 1, "Af en toe", 4, "Regelmatig", 8, "Vaak", 12))</f>
        <v/>
      </c>
      <c r="J164">
        <f>IF(Klantgegevens_B!J163&lt;&gt;"", Klantgegevens_B!J163, Klantgegevens_A!K163)</f>
        <v/>
      </c>
      <c r="K164">
        <f>IF(Klantgegevens_B!K163&lt;&gt;"", AVERAGE(--(Klantgegevens_B!K163="ja"), --(Klantgegevens_B!L163="ja"), --(Klantgegevens_B!M163="ja"), --(Klantgegevens_B!N163="ja"), --(Klantgegevens_B!O163="ja"))*10, Klantgegevens_A!L163)</f>
        <v/>
      </c>
      <c r="L164">
        <f>IF(Klantgegevens_B!K163&lt;&gt;"", Klantgegevens_B!K163, IF(Klantgegevens_A!L163&gt;=7, "ja", "nee"))</f>
        <v/>
      </c>
      <c r="M164">
        <f>IF(Klantgegevens_B!L163&lt;&gt;"", Klantgegevens_B!L163, IF(Klantgegevens_A!L163&gt;=7, "ja", "nee"))</f>
        <v/>
      </c>
      <c r="N164">
        <f>IF(Klantgegevens_B!M163&lt;&gt;"", Klantgegevens_B!M163, IF(Klantgegevens_A!L163&gt;=7, "ja", "nee"))</f>
        <v/>
      </c>
      <c r="O164">
        <f>IF(Klantgegevens_B!N163&lt;&gt;"", Klantgegevens_B!N163, IF(Klantgegevens_A!L163&gt;=7, "ja", "nee"))</f>
        <v/>
      </c>
      <c r="P164">
        <f>IF(Klantgegevens_B!O163&lt;&gt;"", Klantgegevens_B!O163, IF(Klantgegevens_A!L163&gt;=7, "ja", "nee"))</f>
        <v/>
      </c>
      <c r="Q164">
        <f>IF(Klantgegevens_B!P163&lt;&gt;"", Klantgegevens_B!P163, Klantgegevens_A!M163)</f>
        <v/>
      </c>
      <c r="R164">
        <f>IF(Klantgegevens_B!A163&lt;&gt;"", "B", "A")</f>
        <v/>
      </c>
    </row>
    <row r="165">
      <c r="A165">
        <f>IF(Klantgegevens_B!A164&lt;&gt;"", Klantgegevens_B!A164, MID(Klantgegevens_A!A164, FIND(",", Klantgegevens_A!A164)+2, LEN(Klantgegevens_A!A164)))</f>
        <v/>
      </c>
      <c r="B165">
        <f>IF(Klantgegevens_B!B164&lt;&gt;"", Klantgegevens_B!B164, LEFT(Klantgegevens_A!A164, FIND(",", Klantgegevens_A!A164)-1))</f>
        <v/>
      </c>
      <c r="C165">
        <f>C164 &amp; ", " &amp; B164</f>
        <v/>
      </c>
      <c r="D165">
        <f>IF(Klantgegevens_B!F164&lt;&gt;"", Klantgegevens_B!F164, Klantgegevens_A!D164 &amp; " " &amp; Klantgegevens_A!E164 &amp; ", " &amp; Klantgegevens_A!F164)</f>
        <v/>
      </c>
      <c r="E165">
        <f>IF(Klantgegevens_B!G164&lt;&gt;"", Klantgegevens_B!G164, TEXTJOIN(",", TRUE, REPT("Volwassene,", Klantgegevens_A!G164), REPT("Kind,", Klantgegevens_A!H164)))</f>
        <v/>
      </c>
      <c r="F165">
        <f>IF(Klantgegevens_B!G164&lt;&gt;"", LEN(Klantgegevens_B!G164)-LEN(SUBSTITUTE(Klantgegevens_B!G164, ",", ""))+1, Klantgegevens_A!G164)</f>
        <v/>
      </c>
      <c r="G165">
        <f>IF(Klantgegevens_B!G164&lt;&gt;"", 0, Klantgegevens_A!H164)</f>
        <v/>
      </c>
      <c r="H165">
        <f>IF(Klantgegevens_B!H164&lt;&gt;"", Klantgegevens_B!H164, Klantgegevens_A!I164)</f>
        <v/>
      </c>
      <c r="I165">
        <f>IF(Klantgegevens_B!I164&lt;&gt;"", Klantgegevens_B!I164, SWITCH(Klantgegevens_A!J164, "Zelden", 1, "Af en toe", 4, "Regelmatig", 8, "Vaak", 12))</f>
        <v/>
      </c>
      <c r="J165">
        <f>IF(Klantgegevens_B!J164&lt;&gt;"", Klantgegevens_B!J164, Klantgegevens_A!K164)</f>
        <v/>
      </c>
      <c r="K165">
        <f>IF(Klantgegevens_B!K164&lt;&gt;"", AVERAGE(--(Klantgegevens_B!K164="ja"), --(Klantgegevens_B!L164="ja"), --(Klantgegevens_B!M164="ja"), --(Klantgegevens_B!N164="ja"), --(Klantgegevens_B!O164="ja"))*10, Klantgegevens_A!L164)</f>
        <v/>
      </c>
      <c r="L165">
        <f>IF(Klantgegevens_B!K164&lt;&gt;"", Klantgegevens_B!K164, IF(Klantgegevens_A!L164&gt;=7, "ja", "nee"))</f>
        <v/>
      </c>
      <c r="M165">
        <f>IF(Klantgegevens_B!L164&lt;&gt;"", Klantgegevens_B!L164, IF(Klantgegevens_A!L164&gt;=7, "ja", "nee"))</f>
        <v/>
      </c>
      <c r="N165">
        <f>IF(Klantgegevens_B!M164&lt;&gt;"", Klantgegevens_B!M164, IF(Klantgegevens_A!L164&gt;=7, "ja", "nee"))</f>
        <v/>
      </c>
      <c r="O165">
        <f>IF(Klantgegevens_B!N164&lt;&gt;"", Klantgegevens_B!N164, IF(Klantgegevens_A!L164&gt;=7, "ja", "nee"))</f>
        <v/>
      </c>
      <c r="P165">
        <f>IF(Klantgegevens_B!O164&lt;&gt;"", Klantgegevens_B!O164, IF(Klantgegevens_A!L164&gt;=7, "ja", "nee"))</f>
        <v/>
      </c>
      <c r="Q165">
        <f>IF(Klantgegevens_B!P164&lt;&gt;"", Klantgegevens_B!P164, Klantgegevens_A!M164)</f>
        <v/>
      </c>
      <c r="R165">
        <f>IF(Klantgegevens_B!A164&lt;&gt;"", "B", "A")</f>
        <v/>
      </c>
    </row>
    <row r="166">
      <c r="A166">
        <f>IF(Klantgegevens_B!A165&lt;&gt;"", Klantgegevens_B!A165, MID(Klantgegevens_A!A165, FIND(",", Klantgegevens_A!A165)+2, LEN(Klantgegevens_A!A165)))</f>
        <v/>
      </c>
      <c r="B166">
        <f>IF(Klantgegevens_B!B165&lt;&gt;"", Klantgegevens_B!B165, LEFT(Klantgegevens_A!A165, FIND(",", Klantgegevens_A!A165)-1))</f>
        <v/>
      </c>
      <c r="C166">
        <f>C165 &amp; ", " &amp; B165</f>
        <v/>
      </c>
      <c r="D166">
        <f>IF(Klantgegevens_B!F165&lt;&gt;"", Klantgegevens_B!F165, Klantgegevens_A!D165 &amp; " " &amp; Klantgegevens_A!E165 &amp; ", " &amp; Klantgegevens_A!F165)</f>
        <v/>
      </c>
      <c r="E166">
        <f>IF(Klantgegevens_B!G165&lt;&gt;"", Klantgegevens_B!G165, TEXTJOIN(",", TRUE, REPT("Volwassene,", Klantgegevens_A!G165), REPT("Kind,", Klantgegevens_A!H165)))</f>
        <v/>
      </c>
      <c r="F166">
        <f>IF(Klantgegevens_B!G165&lt;&gt;"", LEN(Klantgegevens_B!G165)-LEN(SUBSTITUTE(Klantgegevens_B!G165, ",", ""))+1, Klantgegevens_A!G165)</f>
        <v/>
      </c>
      <c r="G166">
        <f>IF(Klantgegevens_B!G165&lt;&gt;"", 0, Klantgegevens_A!H165)</f>
        <v/>
      </c>
      <c r="H166">
        <f>IF(Klantgegevens_B!H165&lt;&gt;"", Klantgegevens_B!H165, Klantgegevens_A!I165)</f>
        <v/>
      </c>
      <c r="I166">
        <f>IF(Klantgegevens_B!I165&lt;&gt;"", Klantgegevens_B!I165, SWITCH(Klantgegevens_A!J165, "Zelden", 1, "Af en toe", 4, "Regelmatig", 8, "Vaak", 12))</f>
        <v/>
      </c>
      <c r="J166">
        <f>IF(Klantgegevens_B!J165&lt;&gt;"", Klantgegevens_B!J165, Klantgegevens_A!K165)</f>
        <v/>
      </c>
      <c r="K166">
        <f>IF(Klantgegevens_B!K165&lt;&gt;"", AVERAGE(--(Klantgegevens_B!K165="ja"), --(Klantgegevens_B!L165="ja"), --(Klantgegevens_B!M165="ja"), --(Klantgegevens_B!N165="ja"), --(Klantgegevens_B!O165="ja"))*10, Klantgegevens_A!L165)</f>
        <v/>
      </c>
      <c r="L166">
        <f>IF(Klantgegevens_B!K165&lt;&gt;"", Klantgegevens_B!K165, IF(Klantgegevens_A!L165&gt;=7, "ja", "nee"))</f>
        <v/>
      </c>
      <c r="M166">
        <f>IF(Klantgegevens_B!L165&lt;&gt;"", Klantgegevens_B!L165, IF(Klantgegevens_A!L165&gt;=7, "ja", "nee"))</f>
        <v/>
      </c>
      <c r="N166">
        <f>IF(Klantgegevens_B!M165&lt;&gt;"", Klantgegevens_B!M165, IF(Klantgegevens_A!L165&gt;=7, "ja", "nee"))</f>
        <v/>
      </c>
      <c r="O166">
        <f>IF(Klantgegevens_B!N165&lt;&gt;"", Klantgegevens_B!N165, IF(Klantgegevens_A!L165&gt;=7, "ja", "nee"))</f>
        <v/>
      </c>
      <c r="P166">
        <f>IF(Klantgegevens_B!O165&lt;&gt;"", Klantgegevens_B!O165, IF(Klantgegevens_A!L165&gt;=7, "ja", "nee"))</f>
        <v/>
      </c>
      <c r="Q166">
        <f>IF(Klantgegevens_B!P165&lt;&gt;"", Klantgegevens_B!P165, Klantgegevens_A!M165)</f>
        <v/>
      </c>
      <c r="R166">
        <f>IF(Klantgegevens_B!A165&lt;&gt;"", "B", "A")</f>
        <v/>
      </c>
    </row>
    <row r="167">
      <c r="A167">
        <f>IF(Klantgegevens_B!A166&lt;&gt;"", Klantgegevens_B!A166, MID(Klantgegevens_A!A166, FIND(",", Klantgegevens_A!A166)+2, LEN(Klantgegevens_A!A166)))</f>
        <v/>
      </c>
      <c r="B167">
        <f>IF(Klantgegevens_B!B166&lt;&gt;"", Klantgegevens_B!B166, LEFT(Klantgegevens_A!A166, FIND(",", Klantgegevens_A!A166)-1))</f>
        <v/>
      </c>
      <c r="C167">
        <f>C166 &amp; ", " &amp; B166</f>
        <v/>
      </c>
      <c r="D167">
        <f>IF(Klantgegevens_B!F166&lt;&gt;"", Klantgegevens_B!F166, Klantgegevens_A!D166 &amp; " " &amp; Klantgegevens_A!E166 &amp; ", " &amp; Klantgegevens_A!F166)</f>
        <v/>
      </c>
      <c r="E167">
        <f>IF(Klantgegevens_B!G166&lt;&gt;"", Klantgegevens_B!G166, TEXTJOIN(",", TRUE, REPT("Volwassene,", Klantgegevens_A!G166), REPT("Kind,", Klantgegevens_A!H166)))</f>
        <v/>
      </c>
      <c r="F167">
        <f>IF(Klantgegevens_B!G166&lt;&gt;"", LEN(Klantgegevens_B!G166)-LEN(SUBSTITUTE(Klantgegevens_B!G166, ",", ""))+1, Klantgegevens_A!G166)</f>
        <v/>
      </c>
      <c r="G167">
        <f>IF(Klantgegevens_B!G166&lt;&gt;"", 0, Klantgegevens_A!H166)</f>
        <v/>
      </c>
      <c r="H167">
        <f>IF(Klantgegevens_B!H166&lt;&gt;"", Klantgegevens_B!H166, Klantgegevens_A!I166)</f>
        <v/>
      </c>
      <c r="I167">
        <f>IF(Klantgegevens_B!I166&lt;&gt;"", Klantgegevens_B!I166, SWITCH(Klantgegevens_A!J166, "Zelden", 1, "Af en toe", 4, "Regelmatig", 8, "Vaak", 12))</f>
        <v/>
      </c>
      <c r="J167">
        <f>IF(Klantgegevens_B!J166&lt;&gt;"", Klantgegevens_B!J166, Klantgegevens_A!K166)</f>
        <v/>
      </c>
      <c r="K167">
        <f>IF(Klantgegevens_B!K166&lt;&gt;"", AVERAGE(--(Klantgegevens_B!K166="ja"), --(Klantgegevens_B!L166="ja"), --(Klantgegevens_B!M166="ja"), --(Klantgegevens_B!N166="ja"), --(Klantgegevens_B!O166="ja"))*10, Klantgegevens_A!L166)</f>
        <v/>
      </c>
      <c r="L167">
        <f>IF(Klantgegevens_B!K166&lt;&gt;"", Klantgegevens_B!K166, IF(Klantgegevens_A!L166&gt;=7, "ja", "nee"))</f>
        <v/>
      </c>
      <c r="M167">
        <f>IF(Klantgegevens_B!L166&lt;&gt;"", Klantgegevens_B!L166, IF(Klantgegevens_A!L166&gt;=7, "ja", "nee"))</f>
        <v/>
      </c>
      <c r="N167">
        <f>IF(Klantgegevens_B!M166&lt;&gt;"", Klantgegevens_B!M166, IF(Klantgegevens_A!L166&gt;=7, "ja", "nee"))</f>
        <v/>
      </c>
      <c r="O167">
        <f>IF(Klantgegevens_B!N166&lt;&gt;"", Klantgegevens_B!N166, IF(Klantgegevens_A!L166&gt;=7, "ja", "nee"))</f>
        <v/>
      </c>
      <c r="P167">
        <f>IF(Klantgegevens_B!O166&lt;&gt;"", Klantgegevens_B!O166, IF(Klantgegevens_A!L166&gt;=7, "ja", "nee"))</f>
        <v/>
      </c>
      <c r="Q167">
        <f>IF(Klantgegevens_B!P166&lt;&gt;"", Klantgegevens_B!P166, Klantgegevens_A!M166)</f>
        <v/>
      </c>
      <c r="R167">
        <f>IF(Klantgegevens_B!A166&lt;&gt;"", "B", "A")</f>
        <v/>
      </c>
    </row>
    <row r="168">
      <c r="A168">
        <f>IF(Klantgegevens_B!A167&lt;&gt;"", Klantgegevens_B!A167, MID(Klantgegevens_A!A167, FIND(",", Klantgegevens_A!A167)+2, LEN(Klantgegevens_A!A167)))</f>
        <v/>
      </c>
      <c r="B168">
        <f>IF(Klantgegevens_B!B167&lt;&gt;"", Klantgegevens_B!B167, LEFT(Klantgegevens_A!A167, FIND(",", Klantgegevens_A!A167)-1))</f>
        <v/>
      </c>
      <c r="C168">
        <f>C167 &amp; ", " &amp; B167</f>
        <v/>
      </c>
      <c r="D168">
        <f>IF(Klantgegevens_B!F167&lt;&gt;"", Klantgegevens_B!F167, Klantgegevens_A!D167 &amp; " " &amp; Klantgegevens_A!E167 &amp; ", " &amp; Klantgegevens_A!F167)</f>
        <v/>
      </c>
      <c r="E168">
        <f>IF(Klantgegevens_B!G167&lt;&gt;"", Klantgegevens_B!G167, TEXTJOIN(",", TRUE, REPT("Volwassene,", Klantgegevens_A!G167), REPT("Kind,", Klantgegevens_A!H167)))</f>
        <v/>
      </c>
      <c r="F168">
        <f>IF(Klantgegevens_B!G167&lt;&gt;"", LEN(Klantgegevens_B!G167)-LEN(SUBSTITUTE(Klantgegevens_B!G167, ",", ""))+1, Klantgegevens_A!G167)</f>
        <v/>
      </c>
      <c r="G168">
        <f>IF(Klantgegevens_B!G167&lt;&gt;"", 0, Klantgegevens_A!H167)</f>
        <v/>
      </c>
      <c r="H168">
        <f>IF(Klantgegevens_B!H167&lt;&gt;"", Klantgegevens_B!H167, Klantgegevens_A!I167)</f>
        <v/>
      </c>
      <c r="I168">
        <f>IF(Klantgegevens_B!I167&lt;&gt;"", Klantgegevens_B!I167, SWITCH(Klantgegevens_A!J167, "Zelden", 1, "Af en toe", 4, "Regelmatig", 8, "Vaak", 12))</f>
        <v/>
      </c>
      <c r="J168">
        <f>IF(Klantgegevens_B!J167&lt;&gt;"", Klantgegevens_B!J167, Klantgegevens_A!K167)</f>
        <v/>
      </c>
      <c r="K168">
        <f>IF(Klantgegevens_B!K167&lt;&gt;"", AVERAGE(--(Klantgegevens_B!K167="ja"), --(Klantgegevens_B!L167="ja"), --(Klantgegevens_B!M167="ja"), --(Klantgegevens_B!N167="ja"), --(Klantgegevens_B!O167="ja"))*10, Klantgegevens_A!L167)</f>
        <v/>
      </c>
      <c r="L168">
        <f>IF(Klantgegevens_B!K167&lt;&gt;"", Klantgegevens_B!K167, IF(Klantgegevens_A!L167&gt;=7, "ja", "nee"))</f>
        <v/>
      </c>
      <c r="M168">
        <f>IF(Klantgegevens_B!L167&lt;&gt;"", Klantgegevens_B!L167, IF(Klantgegevens_A!L167&gt;=7, "ja", "nee"))</f>
        <v/>
      </c>
      <c r="N168">
        <f>IF(Klantgegevens_B!M167&lt;&gt;"", Klantgegevens_B!M167, IF(Klantgegevens_A!L167&gt;=7, "ja", "nee"))</f>
        <v/>
      </c>
      <c r="O168">
        <f>IF(Klantgegevens_B!N167&lt;&gt;"", Klantgegevens_B!N167, IF(Klantgegevens_A!L167&gt;=7, "ja", "nee"))</f>
        <v/>
      </c>
      <c r="P168">
        <f>IF(Klantgegevens_B!O167&lt;&gt;"", Klantgegevens_B!O167, IF(Klantgegevens_A!L167&gt;=7, "ja", "nee"))</f>
        <v/>
      </c>
      <c r="Q168">
        <f>IF(Klantgegevens_B!P167&lt;&gt;"", Klantgegevens_B!P167, Klantgegevens_A!M167)</f>
        <v/>
      </c>
      <c r="R168">
        <f>IF(Klantgegevens_B!A167&lt;&gt;"", "B", "A")</f>
        <v/>
      </c>
    </row>
    <row r="169">
      <c r="A169">
        <f>IF(Klantgegevens_B!A168&lt;&gt;"", Klantgegevens_B!A168, MID(Klantgegevens_A!A168, FIND(",", Klantgegevens_A!A168)+2, LEN(Klantgegevens_A!A168)))</f>
        <v/>
      </c>
      <c r="B169">
        <f>IF(Klantgegevens_B!B168&lt;&gt;"", Klantgegevens_B!B168, LEFT(Klantgegevens_A!A168, FIND(",", Klantgegevens_A!A168)-1))</f>
        <v/>
      </c>
      <c r="C169">
        <f>C168 &amp; ", " &amp; B168</f>
        <v/>
      </c>
      <c r="D169">
        <f>IF(Klantgegevens_B!F168&lt;&gt;"", Klantgegevens_B!F168, Klantgegevens_A!D168 &amp; " " &amp; Klantgegevens_A!E168 &amp; ", " &amp; Klantgegevens_A!F168)</f>
        <v/>
      </c>
      <c r="E169">
        <f>IF(Klantgegevens_B!G168&lt;&gt;"", Klantgegevens_B!G168, TEXTJOIN(",", TRUE, REPT("Volwassene,", Klantgegevens_A!G168), REPT("Kind,", Klantgegevens_A!H168)))</f>
        <v/>
      </c>
      <c r="F169">
        <f>IF(Klantgegevens_B!G168&lt;&gt;"", LEN(Klantgegevens_B!G168)-LEN(SUBSTITUTE(Klantgegevens_B!G168, ",", ""))+1, Klantgegevens_A!G168)</f>
        <v/>
      </c>
      <c r="G169">
        <f>IF(Klantgegevens_B!G168&lt;&gt;"", 0, Klantgegevens_A!H168)</f>
        <v/>
      </c>
      <c r="H169">
        <f>IF(Klantgegevens_B!H168&lt;&gt;"", Klantgegevens_B!H168, Klantgegevens_A!I168)</f>
        <v/>
      </c>
      <c r="I169">
        <f>IF(Klantgegevens_B!I168&lt;&gt;"", Klantgegevens_B!I168, SWITCH(Klantgegevens_A!J168, "Zelden", 1, "Af en toe", 4, "Regelmatig", 8, "Vaak", 12))</f>
        <v/>
      </c>
      <c r="J169">
        <f>IF(Klantgegevens_B!J168&lt;&gt;"", Klantgegevens_B!J168, Klantgegevens_A!K168)</f>
        <v/>
      </c>
      <c r="K169">
        <f>IF(Klantgegevens_B!K168&lt;&gt;"", AVERAGE(--(Klantgegevens_B!K168="ja"), --(Klantgegevens_B!L168="ja"), --(Klantgegevens_B!M168="ja"), --(Klantgegevens_B!N168="ja"), --(Klantgegevens_B!O168="ja"))*10, Klantgegevens_A!L168)</f>
        <v/>
      </c>
      <c r="L169">
        <f>IF(Klantgegevens_B!K168&lt;&gt;"", Klantgegevens_B!K168, IF(Klantgegevens_A!L168&gt;=7, "ja", "nee"))</f>
        <v/>
      </c>
      <c r="M169">
        <f>IF(Klantgegevens_B!L168&lt;&gt;"", Klantgegevens_B!L168, IF(Klantgegevens_A!L168&gt;=7, "ja", "nee"))</f>
        <v/>
      </c>
      <c r="N169">
        <f>IF(Klantgegevens_B!M168&lt;&gt;"", Klantgegevens_B!M168, IF(Klantgegevens_A!L168&gt;=7, "ja", "nee"))</f>
        <v/>
      </c>
      <c r="O169">
        <f>IF(Klantgegevens_B!N168&lt;&gt;"", Klantgegevens_B!N168, IF(Klantgegevens_A!L168&gt;=7, "ja", "nee"))</f>
        <v/>
      </c>
      <c r="P169">
        <f>IF(Klantgegevens_B!O168&lt;&gt;"", Klantgegevens_B!O168, IF(Klantgegevens_A!L168&gt;=7, "ja", "nee"))</f>
        <v/>
      </c>
      <c r="Q169">
        <f>IF(Klantgegevens_B!P168&lt;&gt;"", Klantgegevens_B!P168, Klantgegevens_A!M168)</f>
        <v/>
      </c>
      <c r="R169">
        <f>IF(Klantgegevens_B!A168&lt;&gt;"", "B", "A")</f>
        <v/>
      </c>
    </row>
    <row r="170">
      <c r="A170">
        <f>IF(Klantgegevens_B!A169&lt;&gt;"", Klantgegevens_B!A169, MID(Klantgegevens_A!A169, FIND(",", Klantgegevens_A!A169)+2, LEN(Klantgegevens_A!A169)))</f>
        <v/>
      </c>
      <c r="B170">
        <f>IF(Klantgegevens_B!B169&lt;&gt;"", Klantgegevens_B!B169, LEFT(Klantgegevens_A!A169, FIND(",", Klantgegevens_A!A169)-1))</f>
        <v/>
      </c>
      <c r="C170">
        <f>C169 &amp; ", " &amp; B169</f>
        <v/>
      </c>
      <c r="D170">
        <f>IF(Klantgegevens_B!F169&lt;&gt;"", Klantgegevens_B!F169, Klantgegevens_A!D169 &amp; " " &amp; Klantgegevens_A!E169 &amp; ", " &amp; Klantgegevens_A!F169)</f>
        <v/>
      </c>
      <c r="E170">
        <f>IF(Klantgegevens_B!G169&lt;&gt;"", Klantgegevens_B!G169, TEXTJOIN(",", TRUE, REPT("Volwassene,", Klantgegevens_A!G169), REPT("Kind,", Klantgegevens_A!H169)))</f>
        <v/>
      </c>
      <c r="F170">
        <f>IF(Klantgegevens_B!G169&lt;&gt;"", LEN(Klantgegevens_B!G169)-LEN(SUBSTITUTE(Klantgegevens_B!G169, ",", ""))+1, Klantgegevens_A!G169)</f>
        <v/>
      </c>
      <c r="G170">
        <f>IF(Klantgegevens_B!G169&lt;&gt;"", 0, Klantgegevens_A!H169)</f>
        <v/>
      </c>
      <c r="H170">
        <f>IF(Klantgegevens_B!H169&lt;&gt;"", Klantgegevens_B!H169, Klantgegevens_A!I169)</f>
        <v/>
      </c>
      <c r="I170">
        <f>IF(Klantgegevens_B!I169&lt;&gt;"", Klantgegevens_B!I169, SWITCH(Klantgegevens_A!J169, "Zelden", 1, "Af en toe", 4, "Regelmatig", 8, "Vaak", 12))</f>
        <v/>
      </c>
      <c r="J170">
        <f>IF(Klantgegevens_B!J169&lt;&gt;"", Klantgegevens_B!J169, Klantgegevens_A!K169)</f>
        <v/>
      </c>
      <c r="K170">
        <f>IF(Klantgegevens_B!K169&lt;&gt;"", AVERAGE(--(Klantgegevens_B!K169="ja"), --(Klantgegevens_B!L169="ja"), --(Klantgegevens_B!M169="ja"), --(Klantgegevens_B!N169="ja"), --(Klantgegevens_B!O169="ja"))*10, Klantgegevens_A!L169)</f>
        <v/>
      </c>
      <c r="L170">
        <f>IF(Klantgegevens_B!K169&lt;&gt;"", Klantgegevens_B!K169, IF(Klantgegevens_A!L169&gt;=7, "ja", "nee"))</f>
        <v/>
      </c>
      <c r="M170">
        <f>IF(Klantgegevens_B!L169&lt;&gt;"", Klantgegevens_B!L169, IF(Klantgegevens_A!L169&gt;=7, "ja", "nee"))</f>
        <v/>
      </c>
      <c r="N170">
        <f>IF(Klantgegevens_B!M169&lt;&gt;"", Klantgegevens_B!M169, IF(Klantgegevens_A!L169&gt;=7, "ja", "nee"))</f>
        <v/>
      </c>
      <c r="O170">
        <f>IF(Klantgegevens_B!N169&lt;&gt;"", Klantgegevens_B!N169, IF(Klantgegevens_A!L169&gt;=7, "ja", "nee"))</f>
        <v/>
      </c>
      <c r="P170">
        <f>IF(Klantgegevens_B!O169&lt;&gt;"", Klantgegevens_B!O169, IF(Klantgegevens_A!L169&gt;=7, "ja", "nee"))</f>
        <v/>
      </c>
      <c r="Q170">
        <f>IF(Klantgegevens_B!P169&lt;&gt;"", Klantgegevens_B!P169, Klantgegevens_A!M169)</f>
        <v/>
      </c>
      <c r="R170">
        <f>IF(Klantgegevens_B!A169&lt;&gt;"", "B", "A")</f>
        <v/>
      </c>
    </row>
    <row r="171">
      <c r="A171">
        <f>IF(Klantgegevens_B!A170&lt;&gt;"", Klantgegevens_B!A170, MID(Klantgegevens_A!A170, FIND(",", Klantgegevens_A!A170)+2, LEN(Klantgegevens_A!A170)))</f>
        <v/>
      </c>
      <c r="B171">
        <f>IF(Klantgegevens_B!B170&lt;&gt;"", Klantgegevens_B!B170, LEFT(Klantgegevens_A!A170, FIND(",", Klantgegevens_A!A170)-1))</f>
        <v/>
      </c>
      <c r="C171">
        <f>C170 &amp; ", " &amp; B170</f>
        <v/>
      </c>
      <c r="D171">
        <f>IF(Klantgegevens_B!F170&lt;&gt;"", Klantgegevens_B!F170, Klantgegevens_A!D170 &amp; " " &amp; Klantgegevens_A!E170 &amp; ", " &amp; Klantgegevens_A!F170)</f>
        <v/>
      </c>
      <c r="E171">
        <f>IF(Klantgegevens_B!G170&lt;&gt;"", Klantgegevens_B!G170, TEXTJOIN(",", TRUE, REPT("Volwassene,", Klantgegevens_A!G170), REPT("Kind,", Klantgegevens_A!H170)))</f>
        <v/>
      </c>
      <c r="F171">
        <f>IF(Klantgegevens_B!G170&lt;&gt;"", LEN(Klantgegevens_B!G170)-LEN(SUBSTITUTE(Klantgegevens_B!G170, ",", ""))+1, Klantgegevens_A!G170)</f>
        <v/>
      </c>
      <c r="G171">
        <f>IF(Klantgegevens_B!G170&lt;&gt;"", 0, Klantgegevens_A!H170)</f>
        <v/>
      </c>
      <c r="H171">
        <f>IF(Klantgegevens_B!H170&lt;&gt;"", Klantgegevens_B!H170, Klantgegevens_A!I170)</f>
        <v/>
      </c>
      <c r="I171">
        <f>IF(Klantgegevens_B!I170&lt;&gt;"", Klantgegevens_B!I170, SWITCH(Klantgegevens_A!J170, "Zelden", 1, "Af en toe", 4, "Regelmatig", 8, "Vaak", 12))</f>
        <v/>
      </c>
      <c r="J171">
        <f>IF(Klantgegevens_B!J170&lt;&gt;"", Klantgegevens_B!J170, Klantgegevens_A!K170)</f>
        <v/>
      </c>
      <c r="K171">
        <f>IF(Klantgegevens_B!K170&lt;&gt;"", AVERAGE(--(Klantgegevens_B!K170="ja"), --(Klantgegevens_B!L170="ja"), --(Klantgegevens_B!M170="ja"), --(Klantgegevens_B!N170="ja"), --(Klantgegevens_B!O170="ja"))*10, Klantgegevens_A!L170)</f>
        <v/>
      </c>
      <c r="L171">
        <f>IF(Klantgegevens_B!K170&lt;&gt;"", Klantgegevens_B!K170, IF(Klantgegevens_A!L170&gt;=7, "ja", "nee"))</f>
        <v/>
      </c>
      <c r="M171">
        <f>IF(Klantgegevens_B!L170&lt;&gt;"", Klantgegevens_B!L170, IF(Klantgegevens_A!L170&gt;=7, "ja", "nee"))</f>
        <v/>
      </c>
      <c r="N171">
        <f>IF(Klantgegevens_B!M170&lt;&gt;"", Klantgegevens_B!M170, IF(Klantgegevens_A!L170&gt;=7, "ja", "nee"))</f>
        <v/>
      </c>
      <c r="O171">
        <f>IF(Klantgegevens_B!N170&lt;&gt;"", Klantgegevens_B!N170, IF(Klantgegevens_A!L170&gt;=7, "ja", "nee"))</f>
        <v/>
      </c>
      <c r="P171">
        <f>IF(Klantgegevens_B!O170&lt;&gt;"", Klantgegevens_B!O170, IF(Klantgegevens_A!L170&gt;=7, "ja", "nee"))</f>
        <v/>
      </c>
      <c r="Q171">
        <f>IF(Klantgegevens_B!P170&lt;&gt;"", Klantgegevens_B!P170, Klantgegevens_A!M170)</f>
        <v/>
      </c>
      <c r="R171">
        <f>IF(Klantgegevens_B!A170&lt;&gt;"", "B", "A")</f>
        <v/>
      </c>
    </row>
    <row r="172">
      <c r="A172">
        <f>IF(Klantgegevens_B!A171&lt;&gt;"", Klantgegevens_B!A171, MID(Klantgegevens_A!A171, FIND(",", Klantgegevens_A!A171)+2, LEN(Klantgegevens_A!A171)))</f>
        <v/>
      </c>
      <c r="B172">
        <f>IF(Klantgegevens_B!B171&lt;&gt;"", Klantgegevens_B!B171, LEFT(Klantgegevens_A!A171, FIND(",", Klantgegevens_A!A171)-1))</f>
        <v/>
      </c>
      <c r="C172">
        <f>C171 &amp; ", " &amp; B171</f>
        <v/>
      </c>
      <c r="D172">
        <f>IF(Klantgegevens_B!F171&lt;&gt;"", Klantgegevens_B!F171, Klantgegevens_A!D171 &amp; " " &amp; Klantgegevens_A!E171 &amp; ", " &amp; Klantgegevens_A!F171)</f>
        <v/>
      </c>
      <c r="E172">
        <f>IF(Klantgegevens_B!G171&lt;&gt;"", Klantgegevens_B!G171, TEXTJOIN(",", TRUE, REPT("Volwassene,", Klantgegevens_A!G171), REPT("Kind,", Klantgegevens_A!H171)))</f>
        <v/>
      </c>
      <c r="F172">
        <f>IF(Klantgegevens_B!G171&lt;&gt;"", LEN(Klantgegevens_B!G171)-LEN(SUBSTITUTE(Klantgegevens_B!G171, ",", ""))+1, Klantgegevens_A!G171)</f>
        <v/>
      </c>
      <c r="G172">
        <f>IF(Klantgegevens_B!G171&lt;&gt;"", 0, Klantgegevens_A!H171)</f>
        <v/>
      </c>
      <c r="H172">
        <f>IF(Klantgegevens_B!H171&lt;&gt;"", Klantgegevens_B!H171, Klantgegevens_A!I171)</f>
        <v/>
      </c>
      <c r="I172">
        <f>IF(Klantgegevens_B!I171&lt;&gt;"", Klantgegevens_B!I171, SWITCH(Klantgegevens_A!J171, "Zelden", 1, "Af en toe", 4, "Regelmatig", 8, "Vaak", 12))</f>
        <v/>
      </c>
      <c r="J172">
        <f>IF(Klantgegevens_B!J171&lt;&gt;"", Klantgegevens_B!J171, Klantgegevens_A!K171)</f>
        <v/>
      </c>
      <c r="K172">
        <f>IF(Klantgegevens_B!K171&lt;&gt;"", AVERAGE(--(Klantgegevens_B!K171="ja"), --(Klantgegevens_B!L171="ja"), --(Klantgegevens_B!M171="ja"), --(Klantgegevens_B!N171="ja"), --(Klantgegevens_B!O171="ja"))*10, Klantgegevens_A!L171)</f>
        <v/>
      </c>
      <c r="L172">
        <f>IF(Klantgegevens_B!K171&lt;&gt;"", Klantgegevens_B!K171, IF(Klantgegevens_A!L171&gt;=7, "ja", "nee"))</f>
        <v/>
      </c>
      <c r="M172">
        <f>IF(Klantgegevens_B!L171&lt;&gt;"", Klantgegevens_B!L171, IF(Klantgegevens_A!L171&gt;=7, "ja", "nee"))</f>
        <v/>
      </c>
      <c r="N172">
        <f>IF(Klantgegevens_B!M171&lt;&gt;"", Klantgegevens_B!M171, IF(Klantgegevens_A!L171&gt;=7, "ja", "nee"))</f>
        <v/>
      </c>
      <c r="O172">
        <f>IF(Klantgegevens_B!N171&lt;&gt;"", Klantgegevens_B!N171, IF(Klantgegevens_A!L171&gt;=7, "ja", "nee"))</f>
        <v/>
      </c>
      <c r="P172">
        <f>IF(Klantgegevens_B!O171&lt;&gt;"", Klantgegevens_B!O171, IF(Klantgegevens_A!L171&gt;=7, "ja", "nee"))</f>
        <v/>
      </c>
      <c r="Q172">
        <f>IF(Klantgegevens_B!P171&lt;&gt;"", Klantgegevens_B!P171, Klantgegevens_A!M171)</f>
        <v/>
      </c>
      <c r="R172">
        <f>IF(Klantgegevens_B!A171&lt;&gt;"", "B", "A")</f>
        <v/>
      </c>
    </row>
    <row r="173">
      <c r="A173">
        <f>IF(Klantgegevens_B!A172&lt;&gt;"", Klantgegevens_B!A172, MID(Klantgegevens_A!A172, FIND(",", Klantgegevens_A!A172)+2, LEN(Klantgegevens_A!A172)))</f>
        <v/>
      </c>
      <c r="B173">
        <f>IF(Klantgegevens_B!B172&lt;&gt;"", Klantgegevens_B!B172, LEFT(Klantgegevens_A!A172, FIND(",", Klantgegevens_A!A172)-1))</f>
        <v/>
      </c>
      <c r="C173">
        <f>C172 &amp; ", " &amp; B172</f>
        <v/>
      </c>
      <c r="D173">
        <f>IF(Klantgegevens_B!F172&lt;&gt;"", Klantgegevens_B!F172, Klantgegevens_A!D172 &amp; " " &amp; Klantgegevens_A!E172 &amp; ", " &amp; Klantgegevens_A!F172)</f>
        <v/>
      </c>
      <c r="E173">
        <f>IF(Klantgegevens_B!G172&lt;&gt;"", Klantgegevens_B!G172, TEXTJOIN(",", TRUE, REPT("Volwassene,", Klantgegevens_A!G172), REPT("Kind,", Klantgegevens_A!H172)))</f>
        <v/>
      </c>
      <c r="F173">
        <f>IF(Klantgegevens_B!G172&lt;&gt;"", LEN(Klantgegevens_B!G172)-LEN(SUBSTITUTE(Klantgegevens_B!G172, ",", ""))+1, Klantgegevens_A!G172)</f>
        <v/>
      </c>
      <c r="G173">
        <f>IF(Klantgegevens_B!G172&lt;&gt;"", 0, Klantgegevens_A!H172)</f>
        <v/>
      </c>
      <c r="H173">
        <f>IF(Klantgegevens_B!H172&lt;&gt;"", Klantgegevens_B!H172, Klantgegevens_A!I172)</f>
        <v/>
      </c>
      <c r="I173">
        <f>IF(Klantgegevens_B!I172&lt;&gt;"", Klantgegevens_B!I172, SWITCH(Klantgegevens_A!J172, "Zelden", 1, "Af en toe", 4, "Regelmatig", 8, "Vaak", 12))</f>
        <v/>
      </c>
      <c r="J173">
        <f>IF(Klantgegevens_B!J172&lt;&gt;"", Klantgegevens_B!J172, Klantgegevens_A!K172)</f>
        <v/>
      </c>
      <c r="K173">
        <f>IF(Klantgegevens_B!K172&lt;&gt;"", AVERAGE(--(Klantgegevens_B!K172="ja"), --(Klantgegevens_B!L172="ja"), --(Klantgegevens_B!M172="ja"), --(Klantgegevens_B!N172="ja"), --(Klantgegevens_B!O172="ja"))*10, Klantgegevens_A!L172)</f>
        <v/>
      </c>
      <c r="L173">
        <f>IF(Klantgegevens_B!K172&lt;&gt;"", Klantgegevens_B!K172, IF(Klantgegevens_A!L172&gt;=7, "ja", "nee"))</f>
        <v/>
      </c>
      <c r="M173">
        <f>IF(Klantgegevens_B!L172&lt;&gt;"", Klantgegevens_B!L172, IF(Klantgegevens_A!L172&gt;=7, "ja", "nee"))</f>
        <v/>
      </c>
      <c r="N173">
        <f>IF(Klantgegevens_B!M172&lt;&gt;"", Klantgegevens_B!M172, IF(Klantgegevens_A!L172&gt;=7, "ja", "nee"))</f>
        <v/>
      </c>
      <c r="O173">
        <f>IF(Klantgegevens_B!N172&lt;&gt;"", Klantgegevens_B!N172, IF(Klantgegevens_A!L172&gt;=7, "ja", "nee"))</f>
        <v/>
      </c>
      <c r="P173">
        <f>IF(Klantgegevens_B!O172&lt;&gt;"", Klantgegevens_B!O172, IF(Klantgegevens_A!L172&gt;=7, "ja", "nee"))</f>
        <v/>
      </c>
      <c r="Q173">
        <f>IF(Klantgegevens_B!P172&lt;&gt;"", Klantgegevens_B!P172, Klantgegevens_A!M172)</f>
        <v/>
      </c>
      <c r="R173">
        <f>IF(Klantgegevens_B!A172&lt;&gt;"", "B", "A")</f>
        <v/>
      </c>
    </row>
    <row r="174">
      <c r="A174">
        <f>IF(Klantgegevens_B!A173&lt;&gt;"", Klantgegevens_B!A173, MID(Klantgegevens_A!A173, FIND(",", Klantgegevens_A!A173)+2, LEN(Klantgegevens_A!A173)))</f>
        <v/>
      </c>
      <c r="B174">
        <f>IF(Klantgegevens_B!B173&lt;&gt;"", Klantgegevens_B!B173, LEFT(Klantgegevens_A!A173, FIND(",", Klantgegevens_A!A173)-1))</f>
        <v/>
      </c>
      <c r="C174">
        <f>C173 &amp; ", " &amp; B173</f>
        <v/>
      </c>
      <c r="D174">
        <f>IF(Klantgegevens_B!F173&lt;&gt;"", Klantgegevens_B!F173, Klantgegevens_A!D173 &amp; " " &amp; Klantgegevens_A!E173 &amp; ", " &amp; Klantgegevens_A!F173)</f>
        <v/>
      </c>
      <c r="E174">
        <f>IF(Klantgegevens_B!G173&lt;&gt;"", Klantgegevens_B!G173, TEXTJOIN(",", TRUE, REPT("Volwassene,", Klantgegevens_A!G173), REPT("Kind,", Klantgegevens_A!H173)))</f>
        <v/>
      </c>
      <c r="F174">
        <f>IF(Klantgegevens_B!G173&lt;&gt;"", LEN(Klantgegevens_B!G173)-LEN(SUBSTITUTE(Klantgegevens_B!G173, ",", ""))+1, Klantgegevens_A!G173)</f>
        <v/>
      </c>
      <c r="G174">
        <f>IF(Klantgegevens_B!G173&lt;&gt;"", 0, Klantgegevens_A!H173)</f>
        <v/>
      </c>
      <c r="H174">
        <f>IF(Klantgegevens_B!H173&lt;&gt;"", Klantgegevens_B!H173, Klantgegevens_A!I173)</f>
        <v/>
      </c>
      <c r="I174">
        <f>IF(Klantgegevens_B!I173&lt;&gt;"", Klantgegevens_B!I173, SWITCH(Klantgegevens_A!J173, "Zelden", 1, "Af en toe", 4, "Regelmatig", 8, "Vaak", 12))</f>
        <v/>
      </c>
      <c r="J174">
        <f>IF(Klantgegevens_B!J173&lt;&gt;"", Klantgegevens_B!J173, Klantgegevens_A!K173)</f>
        <v/>
      </c>
      <c r="K174">
        <f>IF(Klantgegevens_B!K173&lt;&gt;"", AVERAGE(--(Klantgegevens_B!K173="ja"), --(Klantgegevens_B!L173="ja"), --(Klantgegevens_B!M173="ja"), --(Klantgegevens_B!N173="ja"), --(Klantgegevens_B!O173="ja"))*10, Klantgegevens_A!L173)</f>
        <v/>
      </c>
      <c r="L174">
        <f>IF(Klantgegevens_B!K173&lt;&gt;"", Klantgegevens_B!K173, IF(Klantgegevens_A!L173&gt;=7, "ja", "nee"))</f>
        <v/>
      </c>
      <c r="M174">
        <f>IF(Klantgegevens_B!L173&lt;&gt;"", Klantgegevens_B!L173, IF(Klantgegevens_A!L173&gt;=7, "ja", "nee"))</f>
        <v/>
      </c>
      <c r="N174">
        <f>IF(Klantgegevens_B!M173&lt;&gt;"", Klantgegevens_B!M173, IF(Klantgegevens_A!L173&gt;=7, "ja", "nee"))</f>
        <v/>
      </c>
      <c r="O174">
        <f>IF(Klantgegevens_B!N173&lt;&gt;"", Klantgegevens_B!N173, IF(Klantgegevens_A!L173&gt;=7, "ja", "nee"))</f>
        <v/>
      </c>
      <c r="P174">
        <f>IF(Klantgegevens_B!O173&lt;&gt;"", Klantgegevens_B!O173, IF(Klantgegevens_A!L173&gt;=7, "ja", "nee"))</f>
        <v/>
      </c>
      <c r="Q174">
        <f>IF(Klantgegevens_B!P173&lt;&gt;"", Klantgegevens_B!P173, Klantgegevens_A!M173)</f>
        <v/>
      </c>
      <c r="R174">
        <f>IF(Klantgegevens_B!A173&lt;&gt;"", "B", "A")</f>
        <v/>
      </c>
    </row>
    <row r="175">
      <c r="A175">
        <f>IF(Klantgegevens_B!A174&lt;&gt;"", Klantgegevens_B!A174, MID(Klantgegevens_A!A174, FIND(",", Klantgegevens_A!A174)+2, LEN(Klantgegevens_A!A174)))</f>
        <v/>
      </c>
      <c r="B175">
        <f>IF(Klantgegevens_B!B174&lt;&gt;"", Klantgegevens_B!B174, LEFT(Klantgegevens_A!A174, FIND(",", Klantgegevens_A!A174)-1))</f>
        <v/>
      </c>
      <c r="C175">
        <f>C174 &amp; ", " &amp; B174</f>
        <v/>
      </c>
      <c r="D175">
        <f>IF(Klantgegevens_B!F174&lt;&gt;"", Klantgegevens_B!F174, Klantgegevens_A!D174 &amp; " " &amp; Klantgegevens_A!E174 &amp; ", " &amp; Klantgegevens_A!F174)</f>
        <v/>
      </c>
      <c r="E175">
        <f>IF(Klantgegevens_B!G174&lt;&gt;"", Klantgegevens_B!G174, TEXTJOIN(",", TRUE, REPT("Volwassene,", Klantgegevens_A!G174), REPT("Kind,", Klantgegevens_A!H174)))</f>
        <v/>
      </c>
      <c r="F175">
        <f>IF(Klantgegevens_B!G174&lt;&gt;"", LEN(Klantgegevens_B!G174)-LEN(SUBSTITUTE(Klantgegevens_B!G174, ",", ""))+1, Klantgegevens_A!G174)</f>
        <v/>
      </c>
      <c r="G175">
        <f>IF(Klantgegevens_B!G174&lt;&gt;"", 0, Klantgegevens_A!H174)</f>
        <v/>
      </c>
      <c r="H175">
        <f>IF(Klantgegevens_B!H174&lt;&gt;"", Klantgegevens_B!H174, Klantgegevens_A!I174)</f>
        <v/>
      </c>
      <c r="I175">
        <f>IF(Klantgegevens_B!I174&lt;&gt;"", Klantgegevens_B!I174, SWITCH(Klantgegevens_A!J174, "Zelden", 1, "Af en toe", 4, "Regelmatig", 8, "Vaak", 12))</f>
        <v/>
      </c>
      <c r="J175">
        <f>IF(Klantgegevens_B!J174&lt;&gt;"", Klantgegevens_B!J174, Klantgegevens_A!K174)</f>
        <v/>
      </c>
      <c r="K175">
        <f>IF(Klantgegevens_B!K174&lt;&gt;"", AVERAGE(--(Klantgegevens_B!K174="ja"), --(Klantgegevens_B!L174="ja"), --(Klantgegevens_B!M174="ja"), --(Klantgegevens_B!N174="ja"), --(Klantgegevens_B!O174="ja"))*10, Klantgegevens_A!L174)</f>
        <v/>
      </c>
      <c r="L175">
        <f>IF(Klantgegevens_B!K174&lt;&gt;"", Klantgegevens_B!K174, IF(Klantgegevens_A!L174&gt;=7, "ja", "nee"))</f>
        <v/>
      </c>
      <c r="M175">
        <f>IF(Klantgegevens_B!L174&lt;&gt;"", Klantgegevens_B!L174, IF(Klantgegevens_A!L174&gt;=7, "ja", "nee"))</f>
        <v/>
      </c>
      <c r="N175">
        <f>IF(Klantgegevens_B!M174&lt;&gt;"", Klantgegevens_B!M174, IF(Klantgegevens_A!L174&gt;=7, "ja", "nee"))</f>
        <v/>
      </c>
      <c r="O175">
        <f>IF(Klantgegevens_B!N174&lt;&gt;"", Klantgegevens_B!N174, IF(Klantgegevens_A!L174&gt;=7, "ja", "nee"))</f>
        <v/>
      </c>
      <c r="P175">
        <f>IF(Klantgegevens_B!O174&lt;&gt;"", Klantgegevens_B!O174, IF(Klantgegevens_A!L174&gt;=7, "ja", "nee"))</f>
        <v/>
      </c>
      <c r="Q175">
        <f>IF(Klantgegevens_B!P174&lt;&gt;"", Klantgegevens_B!P174, Klantgegevens_A!M174)</f>
        <v/>
      </c>
      <c r="R175">
        <f>IF(Klantgegevens_B!A174&lt;&gt;"", "B", "A")</f>
        <v/>
      </c>
    </row>
    <row r="176">
      <c r="A176">
        <f>IF(Klantgegevens_B!A175&lt;&gt;"", Klantgegevens_B!A175, MID(Klantgegevens_A!A175, FIND(",", Klantgegevens_A!A175)+2, LEN(Klantgegevens_A!A175)))</f>
        <v/>
      </c>
      <c r="B176">
        <f>IF(Klantgegevens_B!B175&lt;&gt;"", Klantgegevens_B!B175, LEFT(Klantgegevens_A!A175, FIND(",", Klantgegevens_A!A175)-1))</f>
        <v/>
      </c>
      <c r="C176">
        <f>C175 &amp; ", " &amp; B175</f>
        <v/>
      </c>
      <c r="D176">
        <f>IF(Klantgegevens_B!F175&lt;&gt;"", Klantgegevens_B!F175, Klantgegevens_A!D175 &amp; " " &amp; Klantgegevens_A!E175 &amp; ", " &amp; Klantgegevens_A!F175)</f>
        <v/>
      </c>
      <c r="E176">
        <f>IF(Klantgegevens_B!G175&lt;&gt;"", Klantgegevens_B!G175, TEXTJOIN(",", TRUE, REPT("Volwassene,", Klantgegevens_A!G175), REPT("Kind,", Klantgegevens_A!H175)))</f>
        <v/>
      </c>
      <c r="F176">
        <f>IF(Klantgegevens_B!G175&lt;&gt;"", LEN(Klantgegevens_B!G175)-LEN(SUBSTITUTE(Klantgegevens_B!G175, ",", ""))+1, Klantgegevens_A!G175)</f>
        <v/>
      </c>
      <c r="G176">
        <f>IF(Klantgegevens_B!G175&lt;&gt;"", 0, Klantgegevens_A!H175)</f>
        <v/>
      </c>
      <c r="H176">
        <f>IF(Klantgegevens_B!H175&lt;&gt;"", Klantgegevens_B!H175, Klantgegevens_A!I175)</f>
        <v/>
      </c>
      <c r="I176">
        <f>IF(Klantgegevens_B!I175&lt;&gt;"", Klantgegevens_B!I175, SWITCH(Klantgegevens_A!J175, "Zelden", 1, "Af en toe", 4, "Regelmatig", 8, "Vaak", 12))</f>
        <v/>
      </c>
      <c r="J176">
        <f>IF(Klantgegevens_B!J175&lt;&gt;"", Klantgegevens_B!J175, Klantgegevens_A!K175)</f>
        <v/>
      </c>
      <c r="K176">
        <f>IF(Klantgegevens_B!K175&lt;&gt;"", AVERAGE(--(Klantgegevens_B!K175="ja"), --(Klantgegevens_B!L175="ja"), --(Klantgegevens_B!M175="ja"), --(Klantgegevens_B!N175="ja"), --(Klantgegevens_B!O175="ja"))*10, Klantgegevens_A!L175)</f>
        <v/>
      </c>
      <c r="L176">
        <f>IF(Klantgegevens_B!K175&lt;&gt;"", Klantgegevens_B!K175, IF(Klantgegevens_A!L175&gt;=7, "ja", "nee"))</f>
        <v/>
      </c>
      <c r="M176">
        <f>IF(Klantgegevens_B!L175&lt;&gt;"", Klantgegevens_B!L175, IF(Klantgegevens_A!L175&gt;=7, "ja", "nee"))</f>
        <v/>
      </c>
      <c r="N176">
        <f>IF(Klantgegevens_B!M175&lt;&gt;"", Klantgegevens_B!M175, IF(Klantgegevens_A!L175&gt;=7, "ja", "nee"))</f>
        <v/>
      </c>
      <c r="O176">
        <f>IF(Klantgegevens_B!N175&lt;&gt;"", Klantgegevens_B!N175, IF(Klantgegevens_A!L175&gt;=7, "ja", "nee"))</f>
        <v/>
      </c>
      <c r="P176">
        <f>IF(Klantgegevens_B!O175&lt;&gt;"", Klantgegevens_B!O175, IF(Klantgegevens_A!L175&gt;=7, "ja", "nee"))</f>
        <v/>
      </c>
      <c r="Q176">
        <f>IF(Klantgegevens_B!P175&lt;&gt;"", Klantgegevens_B!P175, Klantgegevens_A!M175)</f>
        <v/>
      </c>
      <c r="R176">
        <f>IF(Klantgegevens_B!A175&lt;&gt;"", "B", "A")</f>
        <v/>
      </c>
    </row>
    <row r="177">
      <c r="A177">
        <f>IF(Klantgegevens_B!A176&lt;&gt;"", Klantgegevens_B!A176, MID(Klantgegevens_A!A176, FIND(",", Klantgegevens_A!A176)+2, LEN(Klantgegevens_A!A176)))</f>
        <v/>
      </c>
      <c r="B177">
        <f>IF(Klantgegevens_B!B176&lt;&gt;"", Klantgegevens_B!B176, LEFT(Klantgegevens_A!A176, FIND(",", Klantgegevens_A!A176)-1))</f>
        <v/>
      </c>
      <c r="C177">
        <f>C176 &amp; ", " &amp; B176</f>
        <v/>
      </c>
      <c r="D177">
        <f>IF(Klantgegevens_B!F176&lt;&gt;"", Klantgegevens_B!F176, Klantgegevens_A!D176 &amp; " " &amp; Klantgegevens_A!E176 &amp; ", " &amp; Klantgegevens_A!F176)</f>
        <v/>
      </c>
      <c r="E177">
        <f>IF(Klantgegevens_B!G176&lt;&gt;"", Klantgegevens_B!G176, TEXTJOIN(",", TRUE, REPT("Volwassene,", Klantgegevens_A!G176), REPT("Kind,", Klantgegevens_A!H176)))</f>
        <v/>
      </c>
      <c r="F177">
        <f>IF(Klantgegevens_B!G176&lt;&gt;"", LEN(Klantgegevens_B!G176)-LEN(SUBSTITUTE(Klantgegevens_B!G176, ",", ""))+1, Klantgegevens_A!G176)</f>
        <v/>
      </c>
      <c r="G177">
        <f>IF(Klantgegevens_B!G176&lt;&gt;"", 0, Klantgegevens_A!H176)</f>
        <v/>
      </c>
      <c r="H177">
        <f>IF(Klantgegevens_B!H176&lt;&gt;"", Klantgegevens_B!H176, Klantgegevens_A!I176)</f>
        <v/>
      </c>
      <c r="I177">
        <f>IF(Klantgegevens_B!I176&lt;&gt;"", Klantgegevens_B!I176, SWITCH(Klantgegevens_A!J176, "Zelden", 1, "Af en toe", 4, "Regelmatig", 8, "Vaak", 12))</f>
        <v/>
      </c>
      <c r="J177">
        <f>IF(Klantgegevens_B!J176&lt;&gt;"", Klantgegevens_B!J176, Klantgegevens_A!K176)</f>
        <v/>
      </c>
      <c r="K177">
        <f>IF(Klantgegevens_B!K176&lt;&gt;"", AVERAGE(--(Klantgegevens_B!K176="ja"), --(Klantgegevens_B!L176="ja"), --(Klantgegevens_B!M176="ja"), --(Klantgegevens_B!N176="ja"), --(Klantgegevens_B!O176="ja"))*10, Klantgegevens_A!L176)</f>
        <v/>
      </c>
      <c r="L177">
        <f>IF(Klantgegevens_B!K176&lt;&gt;"", Klantgegevens_B!K176, IF(Klantgegevens_A!L176&gt;=7, "ja", "nee"))</f>
        <v/>
      </c>
      <c r="M177">
        <f>IF(Klantgegevens_B!L176&lt;&gt;"", Klantgegevens_B!L176, IF(Klantgegevens_A!L176&gt;=7, "ja", "nee"))</f>
        <v/>
      </c>
      <c r="N177">
        <f>IF(Klantgegevens_B!M176&lt;&gt;"", Klantgegevens_B!M176, IF(Klantgegevens_A!L176&gt;=7, "ja", "nee"))</f>
        <v/>
      </c>
      <c r="O177">
        <f>IF(Klantgegevens_B!N176&lt;&gt;"", Klantgegevens_B!N176, IF(Klantgegevens_A!L176&gt;=7, "ja", "nee"))</f>
        <v/>
      </c>
      <c r="P177">
        <f>IF(Klantgegevens_B!O176&lt;&gt;"", Klantgegevens_B!O176, IF(Klantgegevens_A!L176&gt;=7, "ja", "nee"))</f>
        <v/>
      </c>
      <c r="Q177">
        <f>IF(Klantgegevens_B!P176&lt;&gt;"", Klantgegevens_B!P176, Klantgegevens_A!M176)</f>
        <v/>
      </c>
      <c r="R177">
        <f>IF(Klantgegevens_B!A176&lt;&gt;"", "B", "A")</f>
        <v/>
      </c>
    </row>
    <row r="178">
      <c r="A178">
        <f>IF(Klantgegevens_B!A177&lt;&gt;"", Klantgegevens_B!A177, MID(Klantgegevens_A!A177, FIND(",", Klantgegevens_A!A177)+2, LEN(Klantgegevens_A!A177)))</f>
        <v/>
      </c>
      <c r="B178">
        <f>IF(Klantgegevens_B!B177&lt;&gt;"", Klantgegevens_B!B177, LEFT(Klantgegevens_A!A177, FIND(",", Klantgegevens_A!A177)-1))</f>
        <v/>
      </c>
      <c r="C178">
        <f>C177 &amp; ", " &amp; B177</f>
        <v/>
      </c>
      <c r="D178">
        <f>IF(Klantgegevens_B!F177&lt;&gt;"", Klantgegevens_B!F177, Klantgegevens_A!D177 &amp; " " &amp; Klantgegevens_A!E177 &amp; ", " &amp; Klantgegevens_A!F177)</f>
        <v/>
      </c>
      <c r="E178">
        <f>IF(Klantgegevens_B!G177&lt;&gt;"", Klantgegevens_B!G177, TEXTJOIN(",", TRUE, REPT("Volwassene,", Klantgegevens_A!G177), REPT("Kind,", Klantgegevens_A!H177)))</f>
        <v/>
      </c>
      <c r="F178">
        <f>IF(Klantgegevens_B!G177&lt;&gt;"", LEN(Klantgegevens_B!G177)-LEN(SUBSTITUTE(Klantgegevens_B!G177, ",", ""))+1, Klantgegevens_A!G177)</f>
        <v/>
      </c>
      <c r="G178">
        <f>IF(Klantgegevens_B!G177&lt;&gt;"", 0, Klantgegevens_A!H177)</f>
        <v/>
      </c>
      <c r="H178">
        <f>IF(Klantgegevens_B!H177&lt;&gt;"", Klantgegevens_B!H177, Klantgegevens_A!I177)</f>
        <v/>
      </c>
      <c r="I178">
        <f>IF(Klantgegevens_B!I177&lt;&gt;"", Klantgegevens_B!I177, SWITCH(Klantgegevens_A!J177, "Zelden", 1, "Af en toe", 4, "Regelmatig", 8, "Vaak", 12))</f>
        <v/>
      </c>
      <c r="J178">
        <f>IF(Klantgegevens_B!J177&lt;&gt;"", Klantgegevens_B!J177, Klantgegevens_A!K177)</f>
        <v/>
      </c>
      <c r="K178">
        <f>IF(Klantgegevens_B!K177&lt;&gt;"", AVERAGE(--(Klantgegevens_B!K177="ja"), --(Klantgegevens_B!L177="ja"), --(Klantgegevens_B!M177="ja"), --(Klantgegevens_B!N177="ja"), --(Klantgegevens_B!O177="ja"))*10, Klantgegevens_A!L177)</f>
        <v/>
      </c>
      <c r="L178">
        <f>IF(Klantgegevens_B!K177&lt;&gt;"", Klantgegevens_B!K177, IF(Klantgegevens_A!L177&gt;=7, "ja", "nee"))</f>
        <v/>
      </c>
      <c r="M178">
        <f>IF(Klantgegevens_B!L177&lt;&gt;"", Klantgegevens_B!L177, IF(Klantgegevens_A!L177&gt;=7, "ja", "nee"))</f>
        <v/>
      </c>
      <c r="N178">
        <f>IF(Klantgegevens_B!M177&lt;&gt;"", Klantgegevens_B!M177, IF(Klantgegevens_A!L177&gt;=7, "ja", "nee"))</f>
        <v/>
      </c>
      <c r="O178">
        <f>IF(Klantgegevens_B!N177&lt;&gt;"", Klantgegevens_B!N177, IF(Klantgegevens_A!L177&gt;=7, "ja", "nee"))</f>
        <v/>
      </c>
      <c r="P178">
        <f>IF(Klantgegevens_B!O177&lt;&gt;"", Klantgegevens_B!O177, IF(Klantgegevens_A!L177&gt;=7, "ja", "nee"))</f>
        <v/>
      </c>
      <c r="Q178">
        <f>IF(Klantgegevens_B!P177&lt;&gt;"", Klantgegevens_B!P177, Klantgegevens_A!M177)</f>
        <v/>
      </c>
      <c r="R178">
        <f>IF(Klantgegevens_B!A177&lt;&gt;"", "B", "A")</f>
        <v/>
      </c>
    </row>
    <row r="179">
      <c r="A179">
        <f>IF(Klantgegevens_B!A178&lt;&gt;"", Klantgegevens_B!A178, MID(Klantgegevens_A!A178, FIND(",", Klantgegevens_A!A178)+2, LEN(Klantgegevens_A!A178)))</f>
        <v/>
      </c>
      <c r="B179">
        <f>IF(Klantgegevens_B!B178&lt;&gt;"", Klantgegevens_B!B178, LEFT(Klantgegevens_A!A178, FIND(",", Klantgegevens_A!A178)-1))</f>
        <v/>
      </c>
      <c r="C179">
        <f>C178 &amp; ", " &amp; B178</f>
        <v/>
      </c>
      <c r="D179">
        <f>IF(Klantgegevens_B!F178&lt;&gt;"", Klantgegevens_B!F178, Klantgegevens_A!D178 &amp; " " &amp; Klantgegevens_A!E178 &amp; ", " &amp; Klantgegevens_A!F178)</f>
        <v/>
      </c>
      <c r="E179">
        <f>IF(Klantgegevens_B!G178&lt;&gt;"", Klantgegevens_B!G178, TEXTJOIN(",", TRUE, REPT("Volwassene,", Klantgegevens_A!G178), REPT("Kind,", Klantgegevens_A!H178)))</f>
        <v/>
      </c>
      <c r="F179">
        <f>IF(Klantgegevens_B!G178&lt;&gt;"", LEN(Klantgegevens_B!G178)-LEN(SUBSTITUTE(Klantgegevens_B!G178, ",", ""))+1, Klantgegevens_A!G178)</f>
        <v/>
      </c>
      <c r="G179">
        <f>IF(Klantgegevens_B!G178&lt;&gt;"", 0, Klantgegevens_A!H178)</f>
        <v/>
      </c>
      <c r="H179">
        <f>IF(Klantgegevens_B!H178&lt;&gt;"", Klantgegevens_B!H178, Klantgegevens_A!I178)</f>
        <v/>
      </c>
      <c r="I179">
        <f>IF(Klantgegevens_B!I178&lt;&gt;"", Klantgegevens_B!I178, SWITCH(Klantgegevens_A!J178, "Zelden", 1, "Af en toe", 4, "Regelmatig", 8, "Vaak", 12))</f>
        <v/>
      </c>
      <c r="J179">
        <f>IF(Klantgegevens_B!J178&lt;&gt;"", Klantgegevens_B!J178, Klantgegevens_A!K178)</f>
        <v/>
      </c>
      <c r="K179">
        <f>IF(Klantgegevens_B!K178&lt;&gt;"", AVERAGE(--(Klantgegevens_B!K178="ja"), --(Klantgegevens_B!L178="ja"), --(Klantgegevens_B!M178="ja"), --(Klantgegevens_B!N178="ja"), --(Klantgegevens_B!O178="ja"))*10, Klantgegevens_A!L178)</f>
        <v/>
      </c>
      <c r="L179">
        <f>IF(Klantgegevens_B!K178&lt;&gt;"", Klantgegevens_B!K178, IF(Klantgegevens_A!L178&gt;=7, "ja", "nee"))</f>
        <v/>
      </c>
      <c r="M179">
        <f>IF(Klantgegevens_B!L178&lt;&gt;"", Klantgegevens_B!L178, IF(Klantgegevens_A!L178&gt;=7, "ja", "nee"))</f>
        <v/>
      </c>
      <c r="N179">
        <f>IF(Klantgegevens_B!M178&lt;&gt;"", Klantgegevens_B!M178, IF(Klantgegevens_A!L178&gt;=7, "ja", "nee"))</f>
        <v/>
      </c>
      <c r="O179">
        <f>IF(Klantgegevens_B!N178&lt;&gt;"", Klantgegevens_B!N178, IF(Klantgegevens_A!L178&gt;=7, "ja", "nee"))</f>
        <v/>
      </c>
      <c r="P179">
        <f>IF(Klantgegevens_B!O178&lt;&gt;"", Klantgegevens_B!O178, IF(Klantgegevens_A!L178&gt;=7, "ja", "nee"))</f>
        <v/>
      </c>
      <c r="Q179">
        <f>IF(Klantgegevens_B!P178&lt;&gt;"", Klantgegevens_B!P178, Klantgegevens_A!M178)</f>
        <v/>
      </c>
      <c r="R179">
        <f>IF(Klantgegevens_B!A178&lt;&gt;"", "B", "A")</f>
        <v/>
      </c>
    </row>
    <row r="180">
      <c r="A180">
        <f>IF(Klantgegevens_B!A179&lt;&gt;"", Klantgegevens_B!A179, MID(Klantgegevens_A!A179, FIND(",", Klantgegevens_A!A179)+2, LEN(Klantgegevens_A!A179)))</f>
        <v/>
      </c>
      <c r="B180">
        <f>IF(Klantgegevens_B!B179&lt;&gt;"", Klantgegevens_B!B179, LEFT(Klantgegevens_A!A179, FIND(",", Klantgegevens_A!A179)-1))</f>
        <v/>
      </c>
      <c r="C180">
        <f>C179 &amp; ", " &amp; B179</f>
        <v/>
      </c>
      <c r="D180">
        <f>IF(Klantgegevens_B!F179&lt;&gt;"", Klantgegevens_B!F179, Klantgegevens_A!D179 &amp; " " &amp; Klantgegevens_A!E179 &amp; ", " &amp; Klantgegevens_A!F179)</f>
        <v/>
      </c>
      <c r="E180">
        <f>IF(Klantgegevens_B!G179&lt;&gt;"", Klantgegevens_B!G179, TEXTJOIN(",", TRUE, REPT("Volwassene,", Klantgegevens_A!G179), REPT("Kind,", Klantgegevens_A!H179)))</f>
        <v/>
      </c>
      <c r="F180">
        <f>IF(Klantgegevens_B!G179&lt;&gt;"", LEN(Klantgegevens_B!G179)-LEN(SUBSTITUTE(Klantgegevens_B!G179, ",", ""))+1, Klantgegevens_A!G179)</f>
        <v/>
      </c>
      <c r="G180">
        <f>IF(Klantgegevens_B!G179&lt;&gt;"", 0, Klantgegevens_A!H179)</f>
        <v/>
      </c>
      <c r="H180">
        <f>IF(Klantgegevens_B!H179&lt;&gt;"", Klantgegevens_B!H179, Klantgegevens_A!I179)</f>
        <v/>
      </c>
      <c r="I180">
        <f>IF(Klantgegevens_B!I179&lt;&gt;"", Klantgegevens_B!I179, SWITCH(Klantgegevens_A!J179, "Zelden", 1, "Af en toe", 4, "Regelmatig", 8, "Vaak", 12))</f>
        <v/>
      </c>
      <c r="J180">
        <f>IF(Klantgegevens_B!J179&lt;&gt;"", Klantgegevens_B!J179, Klantgegevens_A!K179)</f>
        <v/>
      </c>
      <c r="K180">
        <f>IF(Klantgegevens_B!K179&lt;&gt;"", AVERAGE(--(Klantgegevens_B!K179="ja"), --(Klantgegevens_B!L179="ja"), --(Klantgegevens_B!M179="ja"), --(Klantgegevens_B!N179="ja"), --(Klantgegevens_B!O179="ja"))*10, Klantgegevens_A!L179)</f>
        <v/>
      </c>
      <c r="L180">
        <f>IF(Klantgegevens_B!K179&lt;&gt;"", Klantgegevens_B!K179, IF(Klantgegevens_A!L179&gt;=7, "ja", "nee"))</f>
        <v/>
      </c>
      <c r="M180">
        <f>IF(Klantgegevens_B!L179&lt;&gt;"", Klantgegevens_B!L179, IF(Klantgegevens_A!L179&gt;=7, "ja", "nee"))</f>
        <v/>
      </c>
      <c r="N180">
        <f>IF(Klantgegevens_B!M179&lt;&gt;"", Klantgegevens_B!M179, IF(Klantgegevens_A!L179&gt;=7, "ja", "nee"))</f>
        <v/>
      </c>
      <c r="O180">
        <f>IF(Klantgegevens_B!N179&lt;&gt;"", Klantgegevens_B!N179, IF(Klantgegevens_A!L179&gt;=7, "ja", "nee"))</f>
        <v/>
      </c>
      <c r="P180">
        <f>IF(Klantgegevens_B!O179&lt;&gt;"", Klantgegevens_B!O179, IF(Klantgegevens_A!L179&gt;=7, "ja", "nee"))</f>
        <v/>
      </c>
      <c r="Q180">
        <f>IF(Klantgegevens_B!P179&lt;&gt;"", Klantgegevens_B!P179, Klantgegevens_A!M179)</f>
        <v/>
      </c>
      <c r="R180">
        <f>IF(Klantgegevens_B!A179&lt;&gt;"", "B", "A")</f>
        <v/>
      </c>
    </row>
    <row r="181">
      <c r="A181">
        <f>IF(Klantgegevens_B!A180&lt;&gt;"", Klantgegevens_B!A180, MID(Klantgegevens_A!A180, FIND(",", Klantgegevens_A!A180)+2, LEN(Klantgegevens_A!A180)))</f>
        <v/>
      </c>
      <c r="B181">
        <f>IF(Klantgegevens_B!B180&lt;&gt;"", Klantgegevens_B!B180, LEFT(Klantgegevens_A!A180, FIND(",", Klantgegevens_A!A180)-1))</f>
        <v/>
      </c>
      <c r="C181">
        <f>C180 &amp; ", " &amp; B180</f>
        <v/>
      </c>
      <c r="D181">
        <f>IF(Klantgegevens_B!F180&lt;&gt;"", Klantgegevens_B!F180, Klantgegevens_A!D180 &amp; " " &amp; Klantgegevens_A!E180 &amp; ", " &amp; Klantgegevens_A!F180)</f>
        <v/>
      </c>
      <c r="E181">
        <f>IF(Klantgegevens_B!G180&lt;&gt;"", Klantgegevens_B!G180, TEXTJOIN(",", TRUE, REPT("Volwassene,", Klantgegevens_A!G180), REPT("Kind,", Klantgegevens_A!H180)))</f>
        <v/>
      </c>
      <c r="F181">
        <f>IF(Klantgegevens_B!G180&lt;&gt;"", LEN(Klantgegevens_B!G180)-LEN(SUBSTITUTE(Klantgegevens_B!G180, ",", ""))+1, Klantgegevens_A!G180)</f>
        <v/>
      </c>
      <c r="G181">
        <f>IF(Klantgegevens_B!G180&lt;&gt;"", 0, Klantgegevens_A!H180)</f>
        <v/>
      </c>
      <c r="H181">
        <f>IF(Klantgegevens_B!H180&lt;&gt;"", Klantgegevens_B!H180, Klantgegevens_A!I180)</f>
        <v/>
      </c>
      <c r="I181">
        <f>IF(Klantgegevens_B!I180&lt;&gt;"", Klantgegevens_B!I180, SWITCH(Klantgegevens_A!J180, "Zelden", 1, "Af en toe", 4, "Regelmatig", 8, "Vaak", 12))</f>
        <v/>
      </c>
      <c r="J181">
        <f>IF(Klantgegevens_B!J180&lt;&gt;"", Klantgegevens_B!J180, Klantgegevens_A!K180)</f>
        <v/>
      </c>
      <c r="K181">
        <f>IF(Klantgegevens_B!K180&lt;&gt;"", AVERAGE(--(Klantgegevens_B!K180="ja"), --(Klantgegevens_B!L180="ja"), --(Klantgegevens_B!M180="ja"), --(Klantgegevens_B!N180="ja"), --(Klantgegevens_B!O180="ja"))*10, Klantgegevens_A!L180)</f>
        <v/>
      </c>
      <c r="L181">
        <f>IF(Klantgegevens_B!K180&lt;&gt;"", Klantgegevens_B!K180, IF(Klantgegevens_A!L180&gt;=7, "ja", "nee"))</f>
        <v/>
      </c>
      <c r="M181">
        <f>IF(Klantgegevens_B!L180&lt;&gt;"", Klantgegevens_B!L180, IF(Klantgegevens_A!L180&gt;=7, "ja", "nee"))</f>
        <v/>
      </c>
      <c r="N181">
        <f>IF(Klantgegevens_B!M180&lt;&gt;"", Klantgegevens_B!M180, IF(Klantgegevens_A!L180&gt;=7, "ja", "nee"))</f>
        <v/>
      </c>
      <c r="O181">
        <f>IF(Klantgegevens_B!N180&lt;&gt;"", Klantgegevens_B!N180, IF(Klantgegevens_A!L180&gt;=7, "ja", "nee"))</f>
        <v/>
      </c>
      <c r="P181">
        <f>IF(Klantgegevens_B!O180&lt;&gt;"", Klantgegevens_B!O180, IF(Klantgegevens_A!L180&gt;=7, "ja", "nee"))</f>
        <v/>
      </c>
      <c r="Q181">
        <f>IF(Klantgegevens_B!P180&lt;&gt;"", Klantgegevens_B!P180, Klantgegevens_A!M180)</f>
        <v/>
      </c>
      <c r="R181">
        <f>IF(Klantgegevens_B!A180&lt;&gt;"", "B", "A")</f>
        <v/>
      </c>
    </row>
    <row r="182">
      <c r="A182">
        <f>IF(Klantgegevens_B!A181&lt;&gt;"", Klantgegevens_B!A181, MID(Klantgegevens_A!A181, FIND(",", Klantgegevens_A!A181)+2, LEN(Klantgegevens_A!A181)))</f>
        <v/>
      </c>
      <c r="B182">
        <f>IF(Klantgegevens_B!B181&lt;&gt;"", Klantgegevens_B!B181, LEFT(Klantgegevens_A!A181, FIND(",", Klantgegevens_A!A181)-1))</f>
        <v/>
      </c>
      <c r="C182">
        <f>C181 &amp; ", " &amp; B181</f>
        <v/>
      </c>
      <c r="D182">
        <f>IF(Klantgegevens_B!F181&lt;&gt;"", Klantgegevens_B!F181, Klantgegevens_A!D181 &amp; " " &amp; Klantgegevens_A!E181 &amp; ", " &amp; Klantgegevens_A!F181)</f>
        <v/>
      </c>
      <c r="E182">
        <f>IF(Klantgegevens_B!G181&lt;&gt;"", Klantgegevens_B!G181, TEXTJOIN(",", TRUE, REPT("Volwassene,", Klantgegevens_A!G181), REPT("Kind,", Klantgegevens_A!H181)))</f>
        <v/>
      </c>
      <c r="F182">
        <f>IF(Klantgegevens_B!G181&lt;&gt;"", LEN(Klantgegevens_B!G181)-LEN(SUBSTITUTE(Klantgegevens_B!G181, ",", ""))+1, Klantgegevens_A!G181)</f>
        <v/>
      </c>
      <c r="G182">
        <f>IF(Klantgegevens_B!G181&lt;&gt;"", 0, Klantgegevens_A!H181)</f>
        <v/>
      </c>
      <c r="H182">
        <f>IF(Klantgegevens_B!H181&lt;&gt;"", Klantgegevens_B!H181, Klantgegevens_A!I181)</f>
        <v/>
      </c>
      <c r="I182">
        <f>IF(Klantgegevens_B!I181&lt;&gt;"", Klantgegevens_B!I181, SWITCH(Klantgegevens_A!J181, "Zelden", 1, "Af en toe", 4, "Regelmatig", 8, "Vaak", 12))</f>
        <v/>
      </c>
      <c r="J182">
        <f>IF(Klantgegevens_B!J181&lt;&gt;"", Klantgegevens_B!J181, Klantgegevens_A!K181)</f>
        <v/>
      </c>
      <c r="K182">
        <f>IF(Klantgegevens_B!K181&lt;&gt;"", AVERAGE(--(Klantgegevens_B!K181="ja"), --(Klantgegevens_B!L181="ja"), --(Klantgegevens_B!M181="ja"), --(Klantgegevens_B!N181="ja"), --(Klantgegevens_B!O181="ja"))*10, Klantgegevens_A!L181)</f>
        <v/>
      </c>
      <c r="L182">
        <f>IF(Klantgegevens_B!K181&lt;&gt;"", Klantgegevens_B!K181, IF(Klantgegevens_A!L181&gt;=7, "ja", "nee"))</f>
        <v/>
      </c>
      <c r="M182">
        <f>IF(Klantgegevens_B!L181&lt;&gt;"", Klantgegevens_B!L181, IF(Klantgegevens_A!L181&gt;=7, "ja", "nee"))</f>
        <v/>
      </c>
      <c r="N182">
        <f>IF(Klantgegevens_B!M181&lt;&gt;"", Klantgegevens_B!M181, IF(Klantgegevens_A!L181&gt;=7, "ja", "nee"))</f>
        <v/>
      </c>
      <c r="O182">
        <f>IF(Klantgegevens_B!N181&lt;&gt;"", Klantgegevens_B!N181, IF(Klantgegevens_A!L181&gt;=7, "ja", "nee"))</f>
        <v/>
      </c>
      <c r="P182">
        <f>IF(Klantgegevens_B!O181&lt;&gt;"", Klantgegevens_B!O181, IF(Klantgegevens_A!L181&gt;=7, "ja", "nee"))</f>
        <v/>
      </c>
      <c r="Q182">
        <f>IF(Klantgegevens_B!P181&lt;&gt;"", Klantgegevens_B!P181, Klantgegevens_A!M181)</f>
        <v/>
      </c>
      <c r="R182">
        <f>IF(Klantgegevens_B!A181&lt;&gt;"", "B", "A")</f>
        <v/>
      </c>
    </row>
    <row r="183">
      <c r="A183">
        <f>IF(Klantgegevens_B!A182&lt;&gt;"", Klantgegevens_B!A182, MID(Klantgegevens_A!A182, FIND(",", Klantgegevens_A!A182)+2, LEN(Klantgegevens_A!A182)))</f>
        <v/>
      </c>
      <c r="B183">
        <f>IF(Klantgegevens_B!B182&lt;&gt;"", Klantgegevens_B!B182, LEFT(Klantgegevens_A!A182, FIND(",", Klantgegevens_A!A182)-1))</f>
        <v/>
      </c>
      <c r="C183">
        <f>C182 &amp; ", " &amp; B182</f>
        <v/>
      </c>
      <c r="D183">
        <f>IF(Klantgegevens_B!F182&lt;&gt;"", Klantgegevens_B!F182, Klantgegevens_A!D182 &amp; " " &amp; Klantgegevens_A!E182 &amp; ", " &amp; Klantgegevens_A!F182)</f>
        <v/>
      </c>
      <c r="E183">
        <f>IF(Klantgegevens_B!G182&lt;&gt;"", Klantgegevens_B!G182, TEXTJOIN(",", TRUE, REPT("Volwassene,", Klantgegevens_A!G182), REPT("Kind,", Klantgegevens_A!H182)))</f>
        <v/>
      </c>
      <c r="F183">
        <f>IF(Klantgegevens_B!G182&lt;&gt;"", LEN(Klantgegevens_B!G182)-LEN(SUBSTITUTE(Klantgegevens_B!G182, ",", ""))+1, Klantgegevens_A!G182)</f>
        <v/>
      </c>
      <c r="G183">
        <f>IF(Klantgegevens_B!G182&lt;&gt;"", 0, Klantgegevens_A!H182)</f>
        <v/>
      </c>
      <c r="H183">
        <f>IF(Klantgegevens_B!H182&lt;&gt;"", Klantgegevens_B!H182, Klantgegevens_A!I182)</f>
        <v/>
      </c>
      <c r="I183">
        <f>IF(Klantgegevens_B!I182&lt;&gt;"", Klantgegevens_B!I182, SWITCH(Klantgegevens_A!J182, "Zelden", 1, "Af en toe", 4, "Regelmatig", 8, "Vaak", 12))</f>
        <v/>
      </c>
      <c r="J183">
        <f>IF(Klantgegevens_B!J182&lt;&gt;"", Klantgegevens_B!J182, Klantgegevens_A!K182)</f>
        <v/>
      </c>
      <c r="K183">
        <f>IF(Klantgegevens_B!K182&lt;&gt;"", AVERAGE(--(Klantgegevens_B!K182="ja"), --(Klantgegevens_B!L182="ja"), --(Klantgegevens_B!M182="ja"), --(Klantgegevens_B!N182="ja"), --(Klantgegevens_B!O182="ja"))*10, Klantgegevens_A!L182)</f>
        <v/>
      </c>
      <c r="L183">
        <f>IF(Klantgegevens_B!K182&lt;&gt;"", Klantgegevens_B!K182, IF(Klantgegevens_A!L182&gt;=7, "ja", "nee"))</f>
        <v/>
      </c>
      <c r="M183">
        <f>IF(Klantgegevens_B!L182&lt;&gt;"", Klantgegevens_B!L182, IF(Klantgegevens_A!L182&gt;=7, "ja", "nee"))</f>
        <v/>
      </c>
      <c r="N183">
        <f>IF(Klantgegevens_B!M182&lt;&gt;"", Klantgegevens_B!M182, IF(Klantgegevens_A!L182&gt;=7, "ja", "nee"))</f>
        <v/>
      </c>
      <c r="O183">
        <f>IF(Klantgegevens_B!N182&lt;&gt;"", Klantgegevens_B!N182, IF(Klantgegevens_A!L182&gt;=7, "ja", "nee"))</f>
        <v/>
      </c>
      <c r="P183">
        <f>IF(Klantgegevens_B!O182&lt;&gt;"", Klantgegevens_B!O182, IF(Klantgegevens_A!L182&gt;=7, "ja", "nee"))</f>
        <v/>
      </c>
      <c r="Q183">
        <f>IF(Klantgegevens_B!P182&lt;&gt;"", Klantgegevens_B!P182, Klantgegevens_A!M182)</f>
        <v/>
      </c>
      <c r="R183">
        <f>IF(Klantgegevens_B!A182&lt;&gt;"", "B", "A")</f>
        <v/>
      </c>
    </row>
    <row r="184">
      <c r="A184">
        <f>IF(Klantgegevens_B!A183&lt;&gt;"", Klantgegevens_B!A183, MID(Klantgegevens_A!A183, FIND(",", Klantgegevens_A!A183)+2, LEN(Klantgegevens_A!A183)))</f>
        <v/>
      </c>
      <c r="B184">
        <f>IF(Klantgegevens_B!B183&lt;&gt;"", Klantgegevens_B!B183, LEFT(Klantgegevens_A!A183, FIND(",", Klantgegevens_A!A183)-1))</f>
        <v/>
      </c>
      <c r="C184">
        <f>C183 &amp; ", " &amp; B183</f>
        <v/>
      </c>
      <c r="D184">
        <f>IF(Klantgegevens_B!F183&lt;&gt;"", Klantgegevens_B!F183, Klantgegevens_A!D183 &amp; " " &amp; Klantgegevens_A!E183 &amp; ", " &amp; Klantgegevens_A!F183)</f>
        <v/>
      </c>
      <c r="E184">
        <f>IF(Klantgegevens_B!G183&lt;&gt;"", Klantgegevens_B!G183, TEXTJOIN(",", TRUE, REPT("Volwassene,", Klantgegevens_A!G183), REPT("Kind,", Klantgegevens_A!H183)))</f>
        <v/>
      </c>
      <c r="F184">
        <f>IF(Klantgegevens_B!G183&lt;&gt;"", LEN(Klantgegevens_B!G183)-LEN(SUBSTITUTE(Klantgegevens_B!G183, ",", ""))+1, Klantgegevens_A!G183)</f>
        <v/>
      </c>
      <c r="G184">
        <f>IF(Klantgegevens_B!G183&lt;&gt;"", 0, Klantgegevens_A!H183)</f>
        <v/>
      </c>
      <c r="H184">
        <f>IF(Klantgegevens_B!H183&lt;&gt;"", Klantgegevens_B!H183, Klantgegevens_A!I183)</f>
        <v/>
      </c>
      <c r="I184">
        <f>IF(Klantgegevens_B!I183&lt;&gt;"", Klantgegevens_B!I183, SWITCH(Klantgegevens_A!J183, "Zelden", 1, "Af en toe", 4, "Regelmatig", 8, "Vaak", 12))</f>
        <v/>
      </c>
      <c r="J184">
        <f>IF(Klantgegevens_B!J183&lt;&gt;"", Klantgegevens_B!J183, Klantgegevens_A!K183)</f>
        <v/>
      </c>
      <c r="K184">
        <f>IF(Klantgegevens_B!K183&lt;&gt;"", AVERAGE(--(Klantgegevens_B!K183="ja"), --(Klantgegevens_B!L183="ja"), --(Klantgegevens_B!M183="ja"), --(Klantgegevens_B!N183="ja"), --(Klantgegevens_B!O183="ja"))*10, Klantgegevens_A!L183)</f>
        <v/>
      </c>
      <c r="L184">
        <f>IF(Klantgegevens_B!K183&lt;&gt;"", Klantgegevens_B!K183, IF(Klantgegevens_A!L183&gt;=7, "ja", "nee"))</f>
        <v/>
      </c>
      <c r="M184">
        <f>IF(Klantgegevens_B!L183&lt;&gt;"", Klantgegevens_B!L183, IF(Klantgegevens_A!L183&gt;=7, "ja", "nee"))</f>
        <v/>
      </c>
      <c r="N184">
        <f>IF(Klantgegevens_B!M183&lt;&gt;"", Klantgegevens_B!M183, IF(Klantgegevens_A!L183&gt;=7, "ja", "nee"))</f>
        <v/>
      </c>
      <c r="O184">
        <f>IF(Klantgegevens_B!N183&lt;&gt;"", Klantgegevens_B!N183, IF(Klantgegevens_A!L183&gt;=7, "ja", "nee"))</f>
        <v/>
      </c>
      <c r="P184">
        <f>IF(Klantgegevens_B!O183&lt;&gt;"", Klantgegevens_B!O183, IF(Klantgegevens_A!L183&gt;=7, "ja", "nee"))</f>
        <v/>
      </c>
      <c r="Q184">
        <f>IF(Klantgegevens_B!P183&lt;&gt;"", Klantgegevens_B!P183, Klantgegevens_A!M183)</f>
        <v/>
      </c>
      <c r="R184">
        <f>IF(Klantgegevens_B!A183&lt;&gt;"", "B", "A")</f>
        <v/>
      </c>
    </row>
    <row r="185">
      <c r="A185">
        <f>IF(Klantgegevens_B!A184&lt;&gt;"", Klantgegevens_B!A184, MID(Klantgegevens_A!A184, FIND(",", Klantgegevens_A!A184)+2, LEN(Klantgegevens_A!A184)))</f>
        <v/>
      </c>
      <c r="B185">
        <f>IF(Klantgegevens_B!B184&lt;&gt;"", Klantgegevens_B!B184, LEFT(Klantgegevens_A!A184, FIND(",", Klantgegevens_A!A184)-1))</f>
        <v/>
      </c>
      <c r="C185">
        <f>C184 &amp; ", " &amp; B184</f>
        <v/>
      </c>
      <c r="D185">
        <f>IF(Klantgegevens_B!F184&lt;&gt;"", Klantgegevens_B!F184, Klantgegevens_A!D184 &amp; " " &amp; Klantgegevens_A!E184 &amp; ", " &amp; Klantgegevens_A!F184)</f>
        <v/>
      </c>
      <c r="E185">
        <f>IF(Klantgegevens_B!G184&lt;&gt;"", Klantgegevens_B!G184, TEXTJOIN(",", TRUE, REPT("Volwassene,", Klantgegevens_A!G184), REPT("Kind,", Klantgegevens_A!H184)))</f>
        <v/>
      </c>
      <c r="F185">
        <f>IF(Klantgegevens_B!G184&lt;&gt;"", LEN(Klantgegevens_B!G184)-LEN(SUBSTITUTE(Klantgegevens_B!G184, ",", ""))+1, Klantgegevens_A!G184)</f>
        <v/>
      </c>
      <c r="G185">
        <f>IF(Klantgegevens_B!G184&lt;&gt;"", 0, Klantgegevens_A!H184)</f>
        <v/>
      </c>
      <c r="H185">
        <f>IF(Klantgegevens_B!H184&lt;&gt;"", Klantgegevens_B!H184, Klantgegevens_A!I184)</f>
        <v/>
      </c>
      <c r="I185">
        <f>IF(Klantgegevens_B!I184&lt;&gt;"", Klantgegevens_B!I184, SWITCH(Klantgegevens_A!J184, "Zelden", 1, "Af en toe", 4, "Regelmatig", 8, "Vaak", 12))</f>
        <v/>
      </c>
      <c r="J185">
        <f>IF(Klantgegevens_B!J184&lt;&gt;"", Klantgegevens_B!J184, Klantgegevens_A!K184)</f>
        <v/>
      </c>
      <c r="K185">
        <f>IF(Klantgegevens_B!K184&lt;&gt;"", AVERAGE(--(Klantgegevens_B!K184="ja"), --(Klantgegevens_B!L184="ja"), --(Klantgegevens_B!M184="ja"), --(Klantgegevens_B!N184="ja"), --(Klantgegevens_B!O184="ja"))*10, Klantgegevens_A!L184)</f>
        <v/>
      </c>
      <c r="L185">
        <f>IF(Klantgegevens_B!K184&lt;&gt;"", Klantgegevens_B!K184, IF(Klantgegevens_A!L184&gt;=7, "ja", "nee"))</f>
        <v/>
      </c>
      <c r="M185">
        <f>IF(Klantgegevens_B!L184&lt;&gt;"", Klantgegevens_B!L184, IF(Klantgegevens_A!L184&gt;=7, "ja", "nee"))</f>
        <v/>
      </c>
      <c r="N185">
        <f>IF(Klantgegevens_B!M184&lt;&gt;"", Klantgegevens_B!M184, IF(Klantgegevens_A!L184&gt;=7, "ja", "nee"))</f>
        <v/>
      </c>
      <c r="O185">
        <f>IF(Klantgegevens_B!N184&lt;&gt;"", Klantgegevens_B!N184, IF(Klantgegevens_A!L184&gt;=7, "ja", "nee"))</f>
        <v/>
      </c>
      <c r="P185">
        <f>IF(Klantgegevens_B!O184&lt;&gt;"", Klantgegevens_B!O184, IF(Klantgegevens_A!L184&gt;=7, "ja", "nee"))</f>
        <v/>
      </c>
      <c r="Q185">
        <f>IF(Klantgegevens_B!P184&lt;&gt;"", Klantgegevens_B!P184, Klantgegevens_A!M184)</f>
        <v/>
      </c>
      <c r="R185">
        <f>IF(Klantgegevens_B!A184&lt;&gt;"", "B", "A")</f>
        <v/>
      </c>
    </row>
    <row r="186">
      <c r="A186">
        <f>IF(Klantgegevens_B!A185&lt;&gt;"", Klantgegevens_B!A185, MID(Klantgegevens_A!A185, FIND(",", Klantgegevens_A!A185)+2, LEN(Klantgegevens_A!A185)))</f>
        <v/>
      </c>
      <c r="B186">
        <f>IF(Klantgegevens_B!B185&lt;&gt;"", Klantgegevens_B!B185, LEFT(Klantgegevens_A!A185, FIND(",", Klantgegevens_A!A185)-1))</f>
        <v/>
      </c>
      <c r="C186">
        <f>C185 &amp; ", " &amp; B185</f>
        <v/>
      </c>
      <c r="D186">
        <f>IF(Klantgegevens_B!F185&lt;&gt;"", Klantgegevens_B!F185, Klantgegevens_A!D185 &amp; " " &amp; Klantgegevens_A!E185 &amp; ", " &amp; Klantgegevens_A!F185)</f>
        <v/>
      </c>
      <c r="E186">
        <f>IF(Klantgegevens_B!G185&lt;&gt;"", Klantgegevens_B!G185, TEXTJOIN(",", TRUE, REPT("Volwassene,", Klantgegevens_A!G185), REPT("Kind,", Klantgegevens_A!H185)))</f>
        <v/>
      </c>
      <c r="F186">
        <f>IF(Klantgegevens_B!G185&lt;&gt;"", LEN(Klantgegevens_B!G185)-LEN(SUBSTITUTE(Klantgegevens_B!G185, ",", ""))+1, Klantgegevens_A!G185)</f>
        <v/>
      </c>
      <c r="G186">
        <f>IF(Klantgegevens_B!G185&lt;&gt;"", 0, Klantgegevens_A!H185)</f>
        <v/>
      </c>
      <c r="H186">
        <f>IF(Klantgegevens_B!H185&lt;&gt;"", Klantgegevens_B!H185, Klantgegevens_A!I185)</f>
        <v/>
      </c>
      <c r="I186">
        <f>IF(Klantgegevens_B!I185&lt;&gt;"", Klantgegevens_B!I185, SWITCH(Klantgegevens_A!J185, "Zelden", 1, "Af en toe", 4, "Regelmatig", 8, "Vaak", 12))</f>
        <v/>
      </c>
      <c r="J186">
        <f>IF(Klantgegevens_B!J185&lt;&gt;"", Klantgegevens_B!J185, Klantgegevens_A!K185)</f>
        <v/>
      </c>
      <c r="K186">
        <f>IF(Klantgegevens_B!K185&lt;&gt;"", AVERAGE(--(Klantgegevens_B!K185="ja"), --(Klantgegevens_B!L185="ja"), --(Klantgegevens_B!M185="ja"), --(Klantgegevens_B!N185="ja"), --(Klantgegevens_B!O185="ja"))*10, Klantgegevens_A!L185)</f>
        <v/>
      </c>
      <c r="L186">
        <f>IF(Klantgegevens_B!K185&lt;&gt;"", Klantgegevens_B!K185, IF(Klantgegevens_A!L185&gt;=7, "ja", "nee"))</f>
        <v/>
      </c>
      <c r="M186">
        <f>IF(Klantgegevens_B!L185&lt;&gt;"", Klantgegevens_B!L185, IF(Klantgegevens_A!L185&gt;=7, "ja", "nee"))</f>
        <v/>
      </c>
      <c r="N186">
        <f>IF(Klantgegevens_B!M185&lt;&gt;"", Klantgegevens_B!M185, IF(Klantgegevens_A!L185&gt;=7, "ja", "nee"))</f>
        <v/>
      </c>
      <c r="O186">
        <f>IF(Klantgegevens_B!N185&lt;&gt;"", Klantgegevens_B!N185, IF(Klantgegevens_A!L185&gt;=7, "ja", "nee"))</f>
        <v/>
      </c>
      <c r="P186">
        <f>IF(Klantgegevens_B!O185&lt;&gt;"", Klantgegevens_B!O185, IF(Klantgegevens_A!L185&gt;=7, "ja", "nee"))</f>
        <v/>
      </c>
      <c r="Q186">
        <f>IF(Klantgegevens_B!P185&lt;&gt;"", Klantgegevens_B!P185, Klantgegevens_A!M185)</f>
        <v/>
      </c>
      <c r="R186">
        <f>IF(Klantgegevens_B!A185&lt;&gt;"", "B", "A")</f>
        <v/>
      </c>
    </row>
    <row r="187">
      <c r="A187">
        <f>IF(Klantgegevens_B!A186&lt;&gt;"", Klantgegevens_B!A186, MID(Klantgegevens_A!A186, FIND(",", Klantgegevens_A!A186)+2, LEN(Klantgegevens_A!A186)))</f>
        <v/>
      </c>
      <c r="B187">
        <f>IF(Klantgegevens_B!B186&lt;&gt;"", Klantgegevens_B!B186, LEFT(Klantgegevens_A!A186, FIND(",", Klantgegevens_A!A186)-1))</f>
        <v/>
      </c>
      <c r="C187">
        <f>C186 &amp; ", " &amp; B186</f>
        <v/>
      </c>
      <c r="D187">
        <f>IF(Klantgegevens_B!F186&lt;&gt;"", Klantgegevens_B!F186, Klantgegevens_A!D186 &amp; " " &amp; Klantgegevens_A!E186 &amp; ", " &amp; Klantgegevens_A!F186)</f>
        <v/>
      </c>
      <c r="E187">
        <f>IF(Klantgegevens_B!G186&lt;&gt;"", Klantgegevens_B!G186, TEXTJOIN(",", TRUE, REPT("Volwassene,", Klantgegevens_A!G186), REPT("Kind,", Klantgegevens_A!H186)))</f>
        <v/>
      </c>
      <c r="F187">
        <f>IF(Klantgegevens_B!G186&lt;&gt;"", LEN(Klantgegevens_B!G186)-LEN(SUBSTITUTE(Klantgegevens_B!G186, ",", ""))+1, Klantgegevens_A!G186)</f>
        <v/>
      </c>
      <c r="G187">
        <f>IF(Klantgegevens_B!G186&lt;&gt;"", 0, Klantgegevens_A!H186)</f>
        <v/>
      </c>
      <c r="H187">
        <f>IF(Klantgegevens_B!H186&lt;&gt;"", Klantgegevens_B!H186, Klantgegevens_A!I186)</f>
        <v/>
      </c>
      <c r="I187">
        <f>IF(Klantgegevens_B!I186&lt;&gt;"", Klantgegevens_B!I186, SWITCH(Klantgegevens_A!J186, "Zelden", 1, "Af en toe", 4, "Regelmatig", 8, "Vaak", 12))</f>
        <v/>
      </c>
      <c r="J187">
        <f>IF(Klantgegevens_B!J186&lt;&gt;"", Klantgegevens_B!J186, Klantgegevens_A!K186)</f>
        <v/>
      </c>
      <c r="K187">
        <f>IF(Klantgegevens_B!K186&lt;&gt;"", AVERAGE(--(Klantgegevens_B!K186="ja"), --(Klantgegevens_B!L186="ja"), --(Klantgegevens_B!M186="ja"), --(Klantgegevens_B!N186="ja"), --(Klantgegevens_B!O186="ja"))*10, Klantgegevens_A!L186)</f>
        <v/>
      </c>
      <c r="L187">
        <f>IF(Klantgegevens_B!K186&lt;&gt;"", Klantgegevens_B!K186, IF(Klantgegevens_A!L186&gt;=7, "ja", "nee"))</f>
        <v/>
      </c>
      <c r="M187">
        <f>IF(Klantgegevens_B!L186&lt;&gt;"", Klantgegevens_B!L186, IF(Klantgegevens_A!L186&gt;=7, "ja", "nee"))</f>
        <v/>
      </c>
      <c r="N187">
        <f>IF(Klantgegevens_B!M186&lt;&gt;"", Klantgegevens_B!M186, IF(Klantgegevens_A!L186&gt;=7, "ja", "nee"))</f>
        <v/>
      </c>
      <c r="O187">
        <f>IF(Klantgegevens_B!N186&lt;&gt;"", Klantgegevens_B!N186, IF(Klantgegevens_A!L186&gt;=7, "ja", "nee"))</f>
        <v/>
      </c>
      <c r="P187">
        <f>IF(Klantgegevens_B!O186&lt;&gt;"", Klantgegevens_B!O186, IF(Klantgegevens_A!L186&gt;=7, "ja", "nee"))</f>
        <v/>
      </c>
      <c r="Q187">
        <f>IF(Klantgegevens_B!P186&lt;&gt;"", Klantgegevens_B!P186, Klantgegevens_A!M186)</f>
        <v/>
      </c>
      <c r="R187">
        <f>IF(Klantgegevens_B!A186&lt;&gt;"", "B", "A")</f>
        <v/>
      </c>
    </row>
    <row r="188">
      <c r="A188">
        <f>IF(Klantgegevens_B!A187&lt;&gt;"", Klantgegevens_B!A187, MID(Klantgegevens_A!A187, FIND(",", Klantgegevens_A!A187)+2, LEN(Klantgegevens_A!A187)))</f>
        <v/>
      </c>
      <c r="B188">
        <f>IF(Klantgegevens_B!B187&lt;&gt;"", Klantgegevens_B!B187, LEFT(Klantgegevens_A!A187, FIND(",", Klantgegevens_A!A187)-1))</f>
        <v/>
      </c>
      <c r="C188">
        <f>C187 &amp; ", " &amp; B187</f>
        <v/>
      </c>
      <c r="D188">
        <f>IF(Klantgegevens_B!F187&lt;&gt;"", Klantgegevens_B!F187, Klantgegevens_A!D187 &amp; " " &amp; Klantgegevens_A!E187 &amp; ", " &amp; Klantgegevens_A!F187)</f>
        <v/>
      </c>
      <c r="E188">
        <f>IF(Klantgegevens_B!G187&lt;&gt;"", Klantgegevens_B!G187, TEXTJOIN(",", TRUE, REPT("Volwassene,", Klantgegevens_A!G187), REPT("Kind,", Klantgegevens_A!H187)))</f>
        <v/>
      </c>
      <c r="F188">
        <f>IF(Klantgegevens_B!G187&lt;&gt;"", LEN(Klantgegevens_B!G187)-LEN(SUBSTITUTE(Klantgegevens_B!G187, ",", ""))+1, Klantgegevens_A!G187)</f>
        <v/>
      </c>
      <c r="G188">
        <f>IF(Klantgegevens_B!G187&lt;&gt;"", 0, Klantgegevens_A!H187)</f>
        <v/>
      </c>
      <c r="H188">
        <f>IF(Klantgegevens_B!H187&lt;&gt;"", Klantgegevens_B!H187, Klantgegevens_A!I187)</f>
        <v/>
      </c>
      <c r="I188">
        <f>IF(Klantgegevens_B!I187&lt;&gt;"", Klantgegevens_B!I187, SWITCH(Klantgegevens_A!J187, "Zelden", 1, "Af en toe", 4, "Regelmatig", 8, "Vaak", 12))</f>
        <v/>
      </c>
      <c r="J188">
        <f>IF(Klantgegevens_B!J187&lt;&gt;"", Klantgegevens_B!J187, Klantgegevens_A!K187)</f>
        <v/>
      </c>
      <c r="K188">
        <f>IF(Klantgegevens_B!K187&lt;&gt;"", AVERAGE(--(Klantgegevens_B!K187="ja"), --(Klantgegevens_B!L187="ja"), --(Klantgegevens_B!M187="ja"), --(Klantgegevens_B!N187="ja"), --(Klantgegevens_B!O187="ja"))*10, Klantgegevens_A!L187)</f>
        <v/>
      </c>
      <c r="L188">
        <f>IF(Klantgegevens_B!K187&lt;&gt;"", Klantgegevens_B!K187, IF(Klantgegevens_A!L187&gt;=7, "ja", "nee"))</f>
        <v/>
      </c>
      <c r="M188">
        <f>IF(Klantgegevens_B!L187&lt;&gt;"", Klantgegevens_B!L187, IF(Klantgegevens_A!L187&gt;=7, "ja", "nee"))</f>
        <v/>
      </c>
      <c r="N188">
        <f>IF(Klantgegevens_B!M187&lt;&gt;"", Klantgegevens_B!M187, IF(Klantgegevens_A!L187&gt;=7, "ja", "nee"))</f>
        <v/>
      </c>
      <c r="O188">
        <f>IF(Klantgegevens_B!N187&lt;&gt;"", Klantgegevens_B!N187, IF(Klantgegevens_A!L187&gt;=7, "ja", "nee"))</f>
        <v/>
      </c>
      <c r="P188">
        <f>IF(Klantgegevens_B!O187&lt;&gt;"", Klantgegevens_B!O187, IF(Klantgegevens_A!L187&gt;=7, "ja", "nee"))</f>
        <v/>
      </c>
      <c r="Q188">
        <f>IF(Klantgegevens_B!P187&lt;&gt;"", Klantgegevens_B!P187, Klantgegevens_A!M187)</f>
        <v/>
      </c>
      <c r="R188">
        <f>IF(Klantgegevens_B!A187&lt;&gt;"", "B", "A")</f>
        <v/>
      </c>
    </row>
    <row r="189">
      <c r="A189">
        <f>IF(Klantgegevens_B!A188&lt;&gt;"", Klantgegevens_B!A188, MID(Klantgegevens_A!A188, FIND(",", Klantgegevens_A!A188)+2, LEN(Klantgegevens_A!A188)))</f>
        <v/>
      </c>
      <c r="B189">
        <f>IF(Klantgegevens_B!B188&lt;&gt;"", Klantgegevens_B!B188, LEFT(Klantgegevens_A!A188, FIND(",", Klantgegevens_A!A188)-1))</f>
        <v/>
      </c>
      <c r="C189">
        <f>C188 &amp; ", " &amp; B188</f>
        <v/>
      </c>
      <c r="D189">
        <f>IF(Klantgegevens_B!F188&lt;&gt;"", Klantgegevens_B!F188, Klantgegevens_A!D188 &amp; " " &amp; Klantgegevens_A!E188 &amp; ", " &amp; Klantgegevens_A!F188)</f>
        <v/>
      </c>
      <c r="E189">
        <f>IF(Klantgegevens_B!G188&lt;&gt;"", Klantgegevens_B!G188, TEXTJOIN(",", TRUE, REPT("Volwassene,", Klantgegevens_A!G188), REPT("Kind,", Klantgegevens_A!H188)))</f>
        <v/>
      </c>
      <c r="F189">
        <f>IF(Klantgegevens_B!G188&lt;&gt;"", LEN(Klantgegevens_B!G188)-LEN(SUBSTITUTE(Klantgegevens_B!G188, ",", ""))+1, Klantgegevens_A!G188)</f>
        <v/>
      </c>
      <c r="G189">
        <f>IF(Klantgegevens_B!G188&lt;&gt;"", 0, Klantgegevens_A!H188)</f>
        <v/>
      </c>
      <c r="H189">
        <f>IF(Klantgegevens_B!H188&lt;&gt;"", Klantgegevens_B!H188, Klantgegevens_A!I188)</f>
        <v/>
      </c>
      <c r="I189">
        <f>IF(Klantgegevens_B!I188&lt;&gt;"", Klantgegevens_B!I188, SWITCH(Klantgegevens_A!J188, "Zelden", 1, "Af en toe", 4, "Regelmatig", 8, "Vaak", 12))</f>
        <v/>
      </c>
      <c r="J189">
        <f>IF(Klantgegevens_B!J188&lt;&gt;"", Klantgegevens_B!J188, Klantgegevens_A!K188)</f>
        <v/>
      </c>
      <c r="K189">
        <f>IF(Klantgegevens_B!K188&lt;&gt;"", AVERAGE(--(Klantgegevens_B!K188="ja"), --(Klantgegevens_B!L188="ja"), --(Klantgegevens_B!M188="ja"), --(Klantgegevens_B!N188="ja"), --(Klantgegevens_B!O188="ja"))*10, Klantgegevens_A!L188)</f>
        <v/>
      </c>
      <c r="L189">
        <f>IF(Klantgegevens_B!K188&lt;&gt;"", Klantgegevens_B!K188, IF(Klantgegevens_A!L188&gt;=7, "ja", "nee"))</f>
        <v/>
      </c>
      <c r="M189">
        <f>IF(Klantgegevens_B!L188&lt;&gt;"", Klantgegevens_B!L188, IF(Klantgegevens_A!L188&gt;=7, "ja", "nee"))</f>
        <v/>
      </c>
      <c r="N189">
        <f>IF(Klantgegevens_B!M188&lt;&gt;"", Klantgegevens_B!M188, IF(Klantgegevens_A!L188&gt;=7, "ja", "nee"))</f>
        <v/>
      </c>
      <c r="O189">
        <f>IF(Klantgegevens_B!N188&lt;&gt;"", Klantgegevens_B!N188, IF(Klantgegevens_A!L188&gt;=7, "ja", "nee"))</f>
        <v/>
      </c>
      <c r="P189">
        <f>IF(Klantgegevens_B!O188&lt;&gt;"", Klantgegevens_B!O188, IF(Klantgegevens_A!L188&gt;=7, "ja", "nee"))</f>
        <v/>
      </c>
      <c r="Q189">
        <f>IF(Klantgegevens_B!P188&lt;&gt;"", Klantgegevens_B!P188, Klantgegevens_A!M188)</f>
        <v/>
      </c>
      <c r="R189">
        <f>IF(Klantgegevens_B!A188&lt;&gt;"", "B", "A")</f>
        <v/>
      </c>
    </row>
    <row r="190">
      <c r="A190">
        <f>IF(Klantgegevens_B!A189&lt;&gt;"", Klantgegevens_B!A189, MID(Klantgegevens_A!A189, FIND(",", Klantgegevens_A!A189)+2, LEN(Klantgegevens_A!A189)))</f>
        <v/>
      </c>
      <c r="B190">
        <f>IF(Klantgegevens_B!B189&lt;&gt;"", Klantgegevens_B!B189, LEFT(Klantgegevens_A!A189, FIND(",", Klantgegevens_A!A189)-1))</f>
        <v/>
      </c>
      <c r="C190">
        <f>C189 &amp; ", " &amp; B189</f>
        <v/>
      </c>
      <c r="D190">
        <f>IF(Klantgegevens_B!F189&lt;&gt;"", Klantgegevens_B!F189, Klantgegevens_A!D189 &amp; " " &amp; Klantgegevens_A!E189 &amp; ", " &amp; Klantgegevens_A!F189)</f>
        <v/>
      </c>
      <c r="E190">
        <f>IF(Klantgegevens_B!G189&lt;&gt;"", Klantgegevens_B!G189, TEXTJOIN(",", TRUE, REPT("Volwassene,", Klantgegevens_A!G189), REPT("Kind,", Klantgegevens_A!H189)))</f>
        <v/>
      </c>
      <c r="F190">
        <f>IF(Klantgegevens_B!G189&lt;&gt;"", LEN(Klantgegevens_B!G189)-LEN(SUBSTITUTE(Klantgegevens_B!G189, ",", ""))+1, Klantgegevens_A!G189)</f>
        <v/>
      </c>
      <c r="G190">
        <f>IF(Klantgegevens_B!G189&lt;&gt;"", 0, Klantgegevens_A!H189)</f>
        <v/>
      </c>
      <c r="H190">
        <f>IF(Klantgegevens_B!H189&lt;&gt;"", Klantgegevens_B!H189, Klantgegevens_A!I189)</f>
        <v/>
      </c>
      <c r="I190">
        <f>IF(Klantgegevens_B!I189&lt;&gt;"", Klantgegevens_B!I189, SWITCH(Klantgegevens_A!J189, "Zelden", 1, "Af en toe", 4, "Regelmatig", 8, "Vaak", 12))</f>
        <v/>
      </c>
      <c r="J190">
        <f>IF(Klantgegevens_B!J189&lt;&gt;"", Klantgegevens_B!J189, Klantgegevens_A!K189)</f>
        <v/>
      </c>
      <c r="K190">
        <f>IF(Klantgegevens_B!K189&lt;&gt;"", AVERAGE(--(Klantgegevens_B!K189="ja"), --(Klantgegevens_B!L189="ja"), --(Klantgegevens_B!M189="ja"), --(Klantgegevens_B!N189="ja"), --(Klantgegevens_B!O189="ja"))*10, Klantgegevens_A!L189)</f>
        <v/>
      </c>
      <c r="L190">
        <f>IF(Klantgegevens_B!K189&lt;&gt;"", Klantgegevens_B!K189, IF(Klantgegevens_A!L189&gt;=7, "ja", "nee"))</f>
        <v/>
      </c>
      <c r="M190">
        <f>IF(Klantgegevens_B!L189&lt;&gt;"", Klantgegevens_B!L189, IF(Klantgegevens_A!L189&gt;=7, "ja", "nee"))</f>
        <v/>
      </c>
      <c r="N190">
        <f>IF(Klantgegevens_B!M189&lt;&gt;"", Klantgegevens_B!M189, IF(Klantgegevens_A!L189&gt;=7, "ja", "nee"))</f>
        <v/>
      </c>
      <c r="O190">
        <f>IF(Klantgegevens_B!N189&lt;&gt;"", Klantgegevens_B!N189, IF(Klantgegevens_A!L189&gt;=7, "ja", "nee"))</f>
        <v/>
      </c>
      <c r="P190">
        <f>IF(Klantgegevens_B!O189&lt;&gt;"", Klantgegevens_B!O189, IF(Klantgegevens_A!L189&gt;=7, "ja", "nee"))</f>
        <v/>
      </c>
      <c r="Q190">
        <f>IF(Klantgegevens_B!P189&lt;&gt;"", Klantgegevens_B!P189, Klantgegevens_A!M189)</f>
        <v/>
      </c>
      <c r="R190">
        <f>IF(Klantgegevens_B!A189&lt;&gt;"", "B", "A")</f>
        <v/>
      </c>
    </row>
    <row r="191">
      <c r="A191">
        <f>IF(Klantgegevens_B!A190&lt;&gt;"", Klantgegevens_B!A190, MID(Klantgegevens_A!A190, FIND(",", Klantgegevens_A!A190)+2, LEN(Klantgegevens_A!A190)))</f>
        <v/>
      </c>
      <c r="B191">
        <f>IF(Klantgegevens_B!B190&lt;&gt;"", Klantgegevens_B!B190, LEFT(Klantgegevens_A!A190, FIND(",", Klantgegevens_A!A190)-1))</f>
        <v/>
      </c>
      <c r="C191">
        <f>C190 &amp; ", " &amp; B190</f>
        <v/>
      </c>
      <c r="D191">
        <f>IF(Klantgegevens_B!F190&lt;&gt;"", Klantgegevens_B!F190, Klantgegevens_A!D190 &amp; " " &amp; Klantgegevens_A!E190 &amp; ", " &amp; Klantgegevens_A!F190)</f>
        <v/>
      </c>
      <c r="E191">
        <f>IF(Klantgegevens_B!G190&lt;&gt;"", Klantgegevens_B!G190, TEXTJOIN(",", TRUE, REPT("Volwassene,", Klantgegevens_A!G190), REPT("Kind,", Klantgegevens_A!H190)))</f>
        <v/>
      </c>
      <c r="F191">
        <f>IF(Klantgegevens_B!G190&lt;&gt;"", LEN(Klantgegevens_B!G190)-LEN(SUBSTITUTE(Klantgegevens_B!G190, ",", ""))+1, Klantgegevens_A!G190)</f>
        <v/>
      </c>
      <c r="G191">
        <f>IF(Klantgegevens_B!G190&lt;&gt;"", 0, Klantgegevens_A!H190)</f>
        <v/>
      </c>
      <c r="H191">
        <f>IF(Klantgegevens_B!H190&lt;&gt;"", Klantgegevens_B!H190, Klantgegevens_A!I190)</f>
        <v/>
      </c>
      <c r="I191">
        <f>IF(Klantgegevens_B!I190&lt;&gt;"", Klantgegevens_B!I190, SWITCH(Klantgegevens_A!J190, "Zelden", 1, "Af en toe", 4, "Regelmatig", 8, "Vaak", 12))</f>
        <v/>
      </c>
      <c r="J191">
        <f>IF(Klantgegevens_B!J190&lt;&gt;"", Klantgegevens_B!J190, Klantgegevens_A!K190)</f>
        <v/>
      </c>
      <c r="K191">
        <f>IF(Klantgegevens_B!K190&lt;&gt;"", AVERAGE(--(Klantgegevens_B!K190="ja"), --(Klantgegevens_B!L190="ja"), --(Klantgegevens_B!M190="ja"), --(Klantgegevens_B!N190="ja"), --(Klantgegevens_B!O190="ja"))*10, Klantgegevens_A!L190)</f>
        <v/>
      </c>
      <c r="L191">
        <f>IF(Klantgegevens_B!K190&lt;&gt;"", Klantgegevens_B!K190, IF(Klantgegevens_A!L190&gt;=7, "ja", "nee"))</f>
        <v/>
      </c>
      <c r="M191">
        <f>IF(Klantgegevens_B!L190&lt;&gt;"", Klantgegevens_B!L190, IF(Klantgegevens_A!L190&gt;=7, "ja", "nee"))</f>
        <v/>
      </c>
      <c r="N191">
        <f>IF(Klantgegevens_B!M190&lt;&gt;"", Klantgegevens_B!M190, IF(Klantgegevens_A!L190&gt;=7, "ja", "nee"))</f>
        <v/>
      </c>
      <c r="O191">
        <f>IF(Klantgegevens_B!N190&lt;&gt;"", Klantgegevens_B!N190, IF(Klantgegevens_A!L190&gt;=7, "ja", "nee"))</f>
        <v/>
      </c>
      <c r="P191">
        <f>IF(Klantgegevens_B!O190&lt;&gt;"", Klantgegevens_B!O190, IF(Klantgegevens_A!L190&gt;=7, "ja", "nee"))</f>
        <v/>
      </c>
      <c r="Q191">
        <f>IF(Klantgegevens_B!P190&lt;&gt;"", Klantgegevens_B!P190, Klantgegevens_A!M190)</f>
        <v/>
      </c>
      <c r="R191">
        <f>IF(Klantgegevens_B!A190&lt;&gt;"", "B", "A")</f>
        <v/>
      </c>
    </row>
    <row r="192">
      <c r="A192">
        <f>IF(Klantgegevens_B!A191&lt;&gt;"", Klantgegevens_B!A191, MID(Klantgegevens_A!A191, FIND(",", Klantgegevens_A!A191)+2, LEN(Klantgegevens_A!A191)))</f>
        <v/>
      </c>
      <c r="B192">
        <f>IF(Klantgegevens_B!B191&lt;&gt;"", Klantgegevens_B!B191, LEFT(Klantgegevens_A!A191, FIND(",", Klantgegevens_A!A191)-1))</f>
        <v/>
      </c>
      <c r="C192">
        <f>C191 &amp; ", " &amp; B191</f>
        <v/>
      </c>
      <c r="D192">
        <f>IF(Klantgegevens_B!F191&lt;&gt;"", Klantgegevens_B!F191, Klantgegevens_A!D191 &amp; " " &amp; Klantgegevens_A!E191 &amp; ", " &amp; Klantgegevens_A!F191)</f>
        <v/>
      </c>
      <c r="E192">
        <f>IF(Klantgegevens_B!G191&lt;&gt;"", Klantgegevens_B!G191, TEXTJOIN(",", TRUE, REPT("Volwassene,", Klantgegevens_A!G191), REPT("Kind,", Klantgegevens_A!H191)))</f>
        <v/>
      </c>
      <c r="F192">
        <f>IF(Klantgegevens_B!G191&lt;&gt;"", LEN(Klantgegevens_B!G191)-LEN(SUBSTITUTE(Klantgegevens_B!G191, ",", ""))+1, Klantgegevens_A!G191)</f>
        <v/>
      </c>
      <c r="G192">
        <f>IF(Klantgegevens_B!G191&lt;&gt;"", 0, Klantgegevens_A!H191)</f>
        <v/>
      </c>
      <c r="H192">
        <f>IF(Klantgegevens_B!H191&lt;&gt;"", Klantgegevens_B!H191, Klantgegevens_A!I191)</f>
        <v/>
      </c>
      <c r="I192">
        <f>IF(Klantgegevens_B!I191&lt;&gt;"", Klantgegevens_B!I191, SWITCH(Klantgegevens_A!J191, "Zelden", 1, "Af en toe", 4, "Regelmatig", 8, "Vaak", 12))</f>
        <v/>
      </c>
      <c r="J192">
        <f>IF(Klantgegevens_B!J191&lt;&gt;"", Klantgegevens_B!J191, Klantgegevens_A!K191)</f>
        <v/>
      </c>
      <c r="K192">
        <f>IF(Klantgegevens_B!K191&lt;&gt;"", AVERAGE(--(Klantgegevens_B!K191="ja"), --(Klantgegevens_B!L191="ja"), --(Klantgegevens_B!M191="ja"), --(Klantgegevens_B!N191="ja"), --(Klantgegevens_B!O191="ja"))*10, Klantgegevens_A!L191)</f>
        <v/>
      </c>
      <c r="L192">
        <f>IF(Klantgegevens_B!K191&lt;&gt;"", Klantgegevens_B!K191, IF(Klantgegevens_A!L191&gt;=7, "ja", "nee"))</f>
        <v/>
      </c>
      <c r="M192">
        <f>IF(Klantgegevens_B!L191&lt;&gt;"", Klantgegevens_B!L191, IF(Klantgegevens_A!L191&gt;=7, "ja", "nee"))</f>
        <v/>
      </c>
      <c r="N192">
        <f>IF(Klantgegevens_B!M191&lt;&gt;"", Klantgegevens_B!M191, IF(Klantgegevens_A!L191&gt;=7, "ja", "nee"))</f>
        <v/>
      </c>
      <c r="O192">
        <f>IF(Klantgegevens_B!N191&lt;&gt;"", Klantgegevens_B!N191, IF(Klantgegevens_A!L191&gt;=7, "ja", "nee"))</f>
        <v/>
      </c>
      <c r="P192">
        <f>IF(Klantgegevens_B!O191&lt;&gt;"", Klantgegevens_B!O191, IF(Klantgegevens_A!L191&gt;=7, "ja", "nee"))</f>
        <v/>
      </c>
      <c r="Q192">
        <f>IF(Klantgegevens_B!P191&lt;&gt;"", Klantgegevens_B!P191, Klantgegevens_A!M191)</f>
        <v/>
      </c>
      <c r="R192">
        <f>IF(Klantgegevens_B!A191&lt;&gt;"", "B", "A")</f>
        <v/>
      </c>
    </row>
    <row r="193">
      <c r="A193">
        <f>IF(Klantgegevens_B!A192&lt;&gt;"", Klantgegevens_B!A192, MID(Klantgegevens_A!A192, FIND(",", Klantgegevens_A!A192)+2, LEN(Klantgegevens_A!A192)))</f>
        <v/>
      </c>
      <c r="B193">
        <f>IF(Klantgegevens_B!B192&lt;&gt;"", Klantgegevens_B!B192, LEFT(Klantgegevens_A!A192, FIND(",", Klantgegevens_A!A192)-1))</f>
        <v/>
      </c>
      <c r="C193">
        <f>C192 &amp; ", " &amp; B192</f>
        <v/>
      </c>
      <c r="D193">
        <f>IF(Klantgegevens_B!F192&lt;&gt;"", Klantgegevens_B!F192, Klantgegevens_A!D192 &amp; " " &amp; Klantgegevens_A!E192 &amp; ", " &amp; Klantgegevens_A!F192)</f>
        <v/>
      </c>
      <c r="E193">
        <f>IF(Klantgegevens_B!G192&lt;&gt;"", Klantgegevens_B!G192, TEXTJOIN(",", TRUE, REPT("Volwassene,", Klantgegevens_A!G192), REPT("Kind,", Klantgegevens_A!H192)))</f>
        <v/>
      </c>
      <c r="F193">
        <f>IF(Klantgegevens_B!G192&lt;&gt;"", LEN(Klantgegevens_B!G192)-LEN(SUBSTITUTE(Klantgegevens_B!G192, ",", ""))+1, Klantgegevens_A!G192)</f>
        <v/>
      </c>
      <c r="G193">
        <f>IF(Klantgegevens_B!G192&lt;&gt;"", 0, Klantgegevens_A!H192)</f>
        <v/>
      </c>
      <c r="H193">
        <f>IF(Klantgegevens_B!H192&lt;&gt;"", Klantgegevens_B!H192, Klantgegevens_A!I192)</f>
        <v/>
      </c>
      <c r="I193">
        <f>IF(Klantgegevens_B!I192&lt;&gt;"", Klantgegevens_B!I192, SWITCH(Klantgegevens_A!J192, "Zelden", 1, "Af en toe", 4, "Regelmatig", 8, "Vaak", 12))</f>
        <v/>
      </c>
      <c r="J193">
        <f>IF(Klantgegevens_B!J192&lt;&gt;"", Klantgegevens_B!J192, Klantgegevens_A!K192)</f>
        <v/>
      </c>
      <c r="K193">
        <f>IF(Klantgegevens_B!K192&lt;&gt;"", AVERAGE(--(Klantgegevens_B!K192="ja"), --(Klantgegevens_B!L192="ja"), --(Klantgegevens_B!M192="ja"), --(Klantgegevens_B!N192="ja"), --(Klantgegevens_B!O192="ja"))*10, Klantgegevens_A!L192)</f>
        <v/>
      </c>
      <c r="L193">
        <f>IF(Klantgegevens_B!K192&lt;&gt;"", Klantgegevens_B!K192, IF(Klantgegevens_A!L192&gt;=7, "ja", "nee"))</f>
        <v/>
      </c>
      <c r="M193">
        <f>IF(Klantgegevens_B!L192&lt;&gt;"", Klantgegevens_B!L192, IF(Klantgegevens_A!L192&gt;=7, "ja", "nee"))</f>
        <v/>
      </c>
      <c r="N193">
        <f>IF(Klantgegevens_B!M192&lt;&gt;"", Klantgegevens_B!M192, IF(Klantgegevens_A!L192&gt;=7, "ja", "nee"))</f>
        <v/>
      </c>
      <c r="O193">
        <f>IF(Klantgegevens_B!N192&lt;&gt;"", Klantgegevens_B!N192, IF(Klantgegevens_A!L192&gt;=7, "ja", "nee"))</f>
        <v/>
      </c>
      <c r="P193">
        <f>IF(Klantgegevens_B!O192&lt;&gt;"", Klantgegevens_B!O192, IF(Klantgegevens_A!L192&gt;=7, "ja", "nee"))</f>
        <v/>
      </c>
      <c r="Q193">
        <f>IF(Klantgegevens_B!P192&lt;&gt;"", Klantgegevens_B!P192, Klantgegevens_A!M192)</f>
        <v/>
      </c>
      <c r="R193">
        <f>IF(Klantgegevens_B!A192&lt;&gt;"", "B", "A")</f>
        <v/>
      </c>
    </row>
    <row r="194">
      <c r="A194">
        <f>IF(Klantgegevens_B!A193&lt;&gt;"", Klantgegevens_B!A193, MID(Klantgegevens_A!A193, FIND(",", Klantgegevens_A!A193)+2, LEN(Klantgegevens_A!A193)))</f>
        <v/>
      </c>
      <c r="B194">
        <f>IF(Klantgegevens_B!B193&lt;&gt;"", Klantgegevens_B!B193, LEFT(Klantgegevens_A!A193, FIND(",", Klantgegevens_A!A193)-1))</f>
        <v/>
      </c>
      <c r="C194">
        <f>C193 &amp; ", " &amp; B193</f>
        <v/>
      </c>
      <c r="D194">
        <f>IF(Klantgegevens_B!F193&lt;&gt;"", Klantgegevens_B!F193, Klantgegevens_A!D193 &amp; " " &amp; Klantgegevens_A!E193 &amp; ", " &amp; Klantgegevens_A!F193)</f>
        <v/>
      </c>
      <c r="E194">
        <f>IF(Klantgegevens_B!G193&lt;&gt;"", Klantgegevens_B!G193, TEXTJOIN(",", TRUE, REPT("Volwassene,", Klantgegevens_A!G193), REPT("Kind,", Klantgegevens_A!H193)))</f>
        <v/>
      </c>
      <c r="F194">
        <f>IF(Klantgegevens_B!G193&lt;&gt;"", LEN(Klantgegevens_B!G193)-LEN(SUBSTITUTE(Klantgegevens_B!G193, ",", ""))+1, Klantgegevens_A!G193)</f>
        <v/>
      </c>
      <c r="G194">
        <f>IF(Klantgegevens_B!G193&lt;&gt;"", 0, Klantgegevens_A!H193)</f>
        <v/>
      </c>
      <c r="H194">
        <f>IF(Klantgegevens_B!H193&lt;&gt;"", Klantgegevens_B!H193, Klantgegevens_A!I193)</f>
        <v/>
      </c>
      <c r="I194">
        <f>IF(Klantgegevens_B!I193&lt;&gt;"", Klantgegevens_B!I193, SWITCH(Klantgegevens_A!J193, "Zelden", 1, "Af en toe", 4, "Regelmatig", 8, "Vaak", 12))</f>
        <v/>
      </c>
      <c r="J194">
        <f>IF(Klantgegevens_B!J193&lt;&gt;"", Klantgegevens_B!J193, Klantgegevens_A!K193)</f>
        <v/>
      </c>
      <c r="K194">
        <f>IF(Klantgegevens_B!K193&lt;&gt;"", AVERAGE(--(Klantgegevens_B!K193="ja"), --(Klantgegevens_B!L193="ja"), --(Klantgegevens_B!M193="ja"), --(Klantgegevens_B!N193="ja"), --(Klantgegevens_B!O193="ja"))*10, Klantgegevens_A!L193)</f>
        <v/>
      </c>
      <c r="L194">
        <f>IF(Klantgegevens_B!K193&lt;&gt;"", Klantgegevens_B!K193, IF(Klantgegevens_A!L193&gt;=7, "ja", "nee"))</f>
        <v/>
      </c>
      <c r="M194">
        <f>IF(Klantgegevens_B!L193&lt;&gt;"", Klantgegevens_B!L193, IF(Klantgegevens_A!L193&gt;=7, "ja", "nee"))</f>
        <v/>
      </c>
      <c r="N194">
        <f>IF(Klantgegevens_B!M193&lt;&gt;"", Klantgegevens_B!M193, IF(Klantgegevens_A!L193&gt;=7, "ja", "nee"))</f>
        <v/>
      </c>
      <c r="O194">
        <f>IF(Klantgegevens_B!N193&lt;&gt;"", Klantgegevens_B!N193, IF(Klantgegevens_A!L193&gt;=7, "ja", "nee"))</f>
        <v/>
      </c>
      <c r="P194">
        <f>IF(Klantgegevens_B!O193&lt;&gt;"", Klantgegevens_B!O193, IF(Klantgegevens_A!L193&gt;=7, "ja", "nee"))</f>
        <v/>
      </c>
      <c r="Q194">
        <f>IF(Klantgegevens_B!P193&lt;&gt;"", Klantgegevens_B!P193, Klantgegevens_A!M193)</f>
        <v/>
      </c>
      <c r="R194">
        <f>IF(Klantgegevens_B!A193&lt;&gt;"", "B", "A")</f>
        <v/>
      </c>
    </row>
    <row r="195">
      <c r="A195">
        <f>IF(Klantgegevens_B!A194&lt;&gt;"", Klantgegevens_B!A194, MID(Klantgegevens_A!A194, FIND(",", Klantgegevens_A!A194)+2, LEN(Klantgegevens_A!A194)))</f>
        <v/>
      </c>
      <c r="B195">
        <f>IF(Klantgegevens_B!B194&lt;&gt;"", Klantgegevens_B!B194, LEFT(Klantgegevens_A!A194, FIND(",", Klantgegevens_A!A194)-1))</f>
        <v/>
      </c>
      <c r="C195">
        <f>C194 &amp; ", " &amp; B194</f>
        <v/>
      </c>
      <c r="D195">
        <f>IF(Klantgegevens_B!F194&lt;&gt;"", Klantgegevens_B!F194, Klantgegevens_A!D194 &amp; " " &amp; Klantgegevens_A!E194 &amp; ", " &amp; Klantgegevens_A!F194)</f>
        <v/>
      </c>
      <c r="E195">
        <f>IF(Klantgegevens_B!G194&lt;&gt;"", Klantgegevens_B!G194, TEXTJOIN(",", TRUE, REPT("Volwassene,", Klantgegevens_A!G194), REPT("Kind,", Klantgegevens_A!H194)))</f>
        <v/>
      </c>
      <c r="F195">
        <f>IF(Klantgegevens_B!G194&lt;&gt;"", LEN(Klantgegevens_B!G194)-LEN(SUBSTITUTE(Klantgegevens_B!G194, ",", ""))+1, Klantgegevens_A!G194)</f>
        <v/>
      </c>
      <c r="G195">
        <f>IF(Klantgegevens_B!G194&lt;&gt;"", 0, Klantgegevens_A!H194)</f>
        <v/>
      </c>
      <c r="H195">
        <f>IF(Klantgegevens_B!H194&lt;&gt;"", Klantgegevens_B!H194, Klantgegevens_A!I194)</f>
        <v/>
      </c>
      <c r="I195">
        <f>IF(Klantgegevens_B!I194&lt;&gt;"", Klantgegevens_B!I194, SWITCH(Klantgegevens_A!J194, "Zelden", 1, "Af en toe", 4, "Regelmatig", 8, "Vaak", 12))</f>
        <v/>
      </c>
      <c r="J195">
        <f>IF(Klantgegevens_B!J194&lt;&gt;"", Klantgegevens_B!J194, Klantgegevens_A!K194)</f>
        <v/>
      </c>
      <c r="K195">
        <f>IF(Klantgegevens_B!K194&lt;&gt;"", AVERAGE(--(Klantgegevens_B!K194="ja"), --(Klantgegevens_B!L194="ja"), --(Klantgegevens_B!M194="ja"), --(Klantgegevens_B!N194="ja"), --(Klantgegevens_B!O194="ja"))*10, Klantgegevens_A!L194)</f>
        <v/>
      </c>
      <c r="L195">
        <f>IF(Klantgegevens_B!K194&lt;&gt;"", Klantgegevens_B!K194, IF(Klantgegevens_A!L194&gt;=7, "ja", "nee"))</f>
        <v/>
      </c>
      <c r="M195">
        <f>IF(Klantgegevens_B!L194&lt;&gt;"", Klantgegevens_B!L194, IF(Klantgegevens_A!L194&gt;=7, "ja", "nee"))</f>
        <v/>
      </c>
      <c r="N195">
        <f>IF(Klantgegevens_B!M194&lt;&gt;"", Klantgegevens_B!M194, IF(Klantgegevens_A!L194&gt;=7, "ja", "nee"))</f>
        <v/>
      </c>
      <c r="O195">
        <f>IF(Klantgegevens_B!N194&lt;&gt;"", Klantgegevens_B!N194, IF(Klantgegevens_A!L194&gt;=7, "ja", "nee"))</f>
        <v/>
      </c>
      <c r="P195">
        <f>IF(Klantgegevens_B!O194&lt;&gt;"", Klantgegevens_B!O194, IF(Klantgegevens_A!L194&gt;=7, "ja", "nee"))</f>
        <v/>
      </c>
      <c r="Q195">
        <f>IF(Klantgegevens_B!P194&lt;&gt;"", Klantgegevens_B!P194, Klantgegevens_A!M194)</f>
        <v/>
      </c>
      <c r="R195">
        <f>IF(Klantgegevens_B!A194&lt;&gt;"", "B", "A")</f>
        <v/>
      </c>
    </row>
    <row r="196">
      <c r="A196">
        <f>IF(Klantgegevens_B!A195&lt;&gt;"", Klantgegevens_B!A195, MID(Klantgegevens_A!A195, FIND(",", Klantgegevens_A!A195)+2, LEN(Klantgegevens_A!A195)))</f>
        <v/>
      </c>
      <c r="B196">
        <f>IF(Klantgegevens_B!B195&lt;&gt;"", Klantgegevens_B!B195, LEFT(Klantgegevens_A!A195, FIND(",", Klantgegevens_A!A195)-1))</f>
        <v/>
      </c>
      <c r="C196">
        <f>C195 &amp; ", " &amp; B195</f>
        <v/>
      </c>
      <c r="D196">
        <f>IF(Klantgegevens_B!F195&lt;&gt;"", Klantgegevens_B!F195, Klantgegevens_A!D195 &amp; " " &amp; Klantgegevens_A!E195 &amp; ", " &amp; Klantgegevens_A!F195)</f>
        <v/>
      </c>
      <c r="E196">
        <f>IF(Klantgegevens_B!G195&lt;&gt;"", Klantgegevens_B!G195, TEXTJOIN(",", TRUE, REPT("Volwassene,", Klantgegevens_A!G195), REPT("Kind,", Klantgegevens_A!H195)))</f>
        <v/>
      </c>
      <c r="F196">
        <f>IF(Klantgegevens_B!G195&lt;&gt;"", LEN(Klantgegevens_B!G195)-LEN(SUBSTITUTE(Klantgegevens_B!G195, ",", ""))+1, Klantgegevens_A!G195)</f>
        <v/>
      </c>
      <c r="G196">
        <f>IF(Klantgegevens_B!G195&lt;&gt;"", 0, Klantgegevens_A!H195)</f>
        <v/>
      </c>
      <c r="H196">
        <f>IF(Klantgegevens_B!H195&lt;&gt;"", Klantgegevens_B!H195, Klantgegevens_A!I195)</f>
        <v/>
      </c>
      <c r="I196">
        <f>IF(Klantgegevens_B!I195&lt;&gt;"", Klantgegevens_B!I195, SWITCH(Klantgegevens_A!J195, "Zelden", 1, "Af en toe", 4, "Regelmatig", 8, "Vaak", 12))</f>
        <v/>
      </c>
      <c r="J196">
        <f>IF(Klantgegevens_B!J195&lt;&gt;"", Klantgegevens_B!J195, Klantgegevens_A!K195)</f>
        <v/>
      </c>
      <c r="K196">
        <f>IF(Klantgegevens_B!K195&lt;&gt;"", AVERAGE(--(Klantgegevens_B!K195="ja"), --(Klantgegevens_B!L195="ja"), --(Klantgegevens_B!M195="ja"), --(Klantgegevens_B!N195="ja"), --(Klantgegevens_B!O195="ja"))*10, Klantgegevens_A!L195)</f>
        <v/>
      </c>
      <c r="L196">
        <f>IF(Klantgegevens_B!K195&lt;&gt;"", Klantgegevens_B!K195, IF(Klantgegevens_A!L195&gt;=7, "ja", "nee"))</f>
        <v/>
      </c>
      <c r="M196">
        <f>IF(Klantgegevens_B!L195&lt;&gt;"", Klantgegevens_B!L195, IF(Klantgegevens_A!L195&gt;=7, "ja", "nee"))</f>
        <v/>
      </c>
      <c r="N196">
        <f>IF(Klantgegevens_B!M195&lt;&gt;"", Klantgegevens_B!M195, IF(Klantgegevens_A!L195&gt;=7, "ja", "nee"))</f>
        <v/>
      </c>
      <c r="O196">
        <f>IF(Klantgegevens_B!N195&lt;&gt;"", Klantgegevens_B!N195, IF(Klantgegevens_A!L195&gt;=7, "ja", "nee"))</f>
        <v/>
      </c>
      <c r="P196">
        <f>IF(Klantgegevens_B!O195&lt;&gt;"", Klantgegevens_B!O195, IF(Klantgegevens_A!L195&gt;=7, "ja", "nee"))</f>
        <v/>
      </c>
      <c r="Q196">
        <f>IF(Klantgegevens_B!P195&lt;&gt;"", Klantgegevens_B!P195, Klantgegevens_A!M195)</f>
        <v/>
      </c>
      <c r="R196">
        <f>IF(Klantgegevens_B!A195&lt;&gt;"", "B", "A")</f>
        <v/>
      </c>
    </row>
    <row r="197">
      <c r="A197">
        <f>IF(Klantgegevens_B!A196&lt;&gt;"", Klantgegevens_B!A196, MID(Klantgegevens_A!A196, FIND(",", Klantgegevens_A!A196)+2, LEN(Klantgegevens_A!A196)))</f>
        <v/>
      </c>
      <c r="B197">
        <f>IF(Klantgegevens_B!B196&lt;&gt;"", Klantgegevens_B!B196, LEFT(Klantgegevens_A!A196, FIND(",", Klantgegevens_A!A196)-1))</f>
        <v/>
      </c>
      <c r="C197">
        <f>C196 &amp; ", " &amp; B196</f>
        <v/>
      </c>
      <c r="D197">
        <f>IF(Klantgegevens_B!F196&lt;&gt;"", Klantgegevens_B!F196, Klantgegevens_A!D196 &amp; " " &amp; Klantgegevens_A!E196 &amp; ", " &amp; Klantgegevens_A!F196)</f>
        <v/>
      </c>
      <c r="E197">
        <f>IF(Klantgegevens_B!G196&lt;&gt;"", Klantgegevens_B!G196, TEXTJOIN(",", TRUE, REPT("Volwassene,", Klantgegevens_A!G196), REPT("Kind,", Klantgegevens_A!H196)))</f>
        <v/>
      </c>
      <c r="F197">
        <f>IF(Klantgegevens_B!G196&lt;&gt;"", LEN(Klantgegevens_B!G196)-LEN(SUBSTITUTE(Klantgegevens_B!G196, ",", ""))+1, Klantgegevens_A!G196)</f>
        <v/>
      </c>
      <c r="G197">
        <f>IF(Klantgegevens_B!G196&lt;&gt;"", 0, Klantgegevens_A!H196)</f>
        <v/>
      </c>
      <c r="H197">
        <f>IF(Klantgegevens_B!H196&lt;&gt;"", Klantgegevens_B!H196, Klantgegevens_A!I196)</f>
        <v/>
      </c>
      <c r="I197">
        <f>IF(Klantgegevens_B!I196&lt;&gt;"", Klantgegevens_B!I196, SWITCH(Klantgegevens_A!J196, "Zelden", 1, "Af en toe", 4, "Regelmatig", 8, "Vaak", 12))</f>
        <v/>
      </c>
      <c r="J197">
        <f>IF(Klantgegevens_B!J196&lt;&gt;"", Klantgegevens_B!J196, Klantgegevens_A!K196)</f>
        <v/>
      </c>
      <c r="K197">
        <f>IF(Klantgegevens_B!K196&lt;&gt;"", AVERAGE(--(Klantgegevens_B!K196="ja"), --(Klantgegevens_B!L196="ja"), --(Klantgegevens_B!M196="ja"), --(Klantgegevens_B!N196="ja"), --(Klantgegevens_B!O196="ja"))*10, Klantgegevens_A!L196)</f>
        <v/>
      </c>
      <c r="L197">
        <f>IF(Klantgegevens_B!K196&lt;&gt;"", Klantgegevens_B!K196, IF(Klantgegevens_A!L196&gt;=7, "ja", "nee"))</f>
        <v/>
      </c>
      <c r="M197">
        <f>IF(Klantgegevens_B!L196&lt;&gt;"", Klantgegevens_B!L196, IF(Klantgegevens_A!L196&gt;=7, "ja", "nee"))</f>
        <v/>
      </c>
      <c r="N197">
        <f>IF(Klantgegevens_B!M196&lt;&gt;"", Klantgegevens_B!M196, IF(Klantgegevens_A!L196&gt;=7, "ja", "nee"))</f>
        <v/>
      </c>
      <c r="O197">
        <f>IF(Klantgegevens_B!N196&lt;&gt;"", Klantgegevens_B!N196, IF(Klantgegevens_A!L196&gt;=7, "ja", "nee"))</f>
        <v/>
      </c>
      <c r="P197">
        <f>IF(Klantgegevens_B!O196&lt;&gt;"", Klantgegevens_B!O196, IF(Klantgegevens_A!L196&gt;=7, "ja", "nee"))</f>
        <v/>
      </c>
      <c r="Q197">
        <f>IF(Klantgegevens_B!P196&lt;&gt;"", Klantgegevens_B!P196, Klantgegevens_A!M196)</f>
        <v/>
      </c>
      <c r="R197">
        <f>IF(Klantgegevens_B!A196&lt;&gt;"", "B", "A")</f>
        <v/>
      </c>
    </row>
    <row r="198">
      <c r="A198">
        <f>IF(Klantgegevens_B!A197&lt;&gt;"", Klantgegevens_B!A197, MID(Klantgegevens_A!A197, FIND(",", Klantgegevens_A!A197)+2, LEN(Klantgegevens_A!A197)))</f>
        <v/>
      </c>
      <c r="B198">
        <f>IF(Klantgegevens_B!B197&lt;&gt;"", Klantgegevens_B!B197, LEFT(Klantgegevens_A!A197, FIND(",", Klantgegevens_A!A197)-1))</f>
        <v/>
      </c>
      <c r="C198">
        <f>C197 &amp; ", " &amp; B197</f>
        <v/>
      </c>
      <c r="D198">
        <f>IF(Klantgegevens_B!F197&lt;&gt;"", Klantgegevens_B!F197, Klantgegevens_A!D197 &amp; " " &amp; Klantgegevens_A!E197 &amp; ", " &amp; Klantgegevens_A!F197)</f>
        <v/>
      </c>
      <c r="E198">
        <f>IF(Klantgegevens_B!G197&lt;&gt;"", Klantgegevens_B!G197, TEXTJOIN(",", TRUE, REPT("Volwassene,", Klantgegevens_A!G197), REPT("Kind,", Klantgegevens_A!H197)))</f>
        <v/>
      </c>
      <c r="F198">
        <f>IF(Klantgegevens_B!G197&lt;&gt;"", LEN(Klantgegevens_B!G197)-LEN(SUBSTITUTE(Klantgegevens_B!G197, ",", ""))+1, Klantgegevens_A!G197)</f>
        <v/>
      </c>
      <c r="G198">
        <f>IF(Klantgegevens_B!G197&lt;&gt;"", 0, Klantgegevens_A!H197)</f>
        <v/>
      </c>
      <c r="H198">
        <f>IF(Klantgegevens_B!H197&lt;&gt;"", Klantgegevens_B!H197, Klantgegevens_A!I197)</f>
        <v/>
      </c>
      <c r="I198">
        <f>IF(Klantgegevens_B!I197&lt;&gt;"", Klantgegevens_B!I197, SWITCH(Klantgegevens_A!J197, "Zelden", 1, "Af en toe", 4, "Regelmatig", 8, "Vaak", 12))</f>
        <v/>
      </c>
      <c r="J198">
        <f>IF(Klantgegevens_B!J197&lt;&gt;"", Klantgegevens_B!J197, Klantgegevens_A!K197)</f>
        <v/>
      </c>
      <c r="K198">
        <f>IF(Klantgegevens_B!K197&lt;&gt;"", AVERAGE(--(Klantgegevens_B!K197="ja"), --(Klantgegevens_B!L197="ja"), --(Klantgegevens_B!M197="ja"), --(Klantgegevens_B!N197="ja"), --(Klantgegevens_B!O197="ja"))*10, Klantgegevens_A!L197)</f>
        <v/>
      </c>
      <c r="L198">
        <f>IF(Klantgegevens_B!K197&lt;&gt;"", Klantgegevens_B!K197, IF(Klantgegevens_A!L197&gt;=7, "ja", "nee"))</f>
        <v/>
      </c>
      <c r="M198">
        <f>IF(Klantgegevens_B!L197&lt;&gt;"", Klantgegevens_B!L197, IF(Klantgegevens_A!L197&gt;=7, "ja", "nee"))</f>
        <v/>
      </c>
      <c r="N198">
        <f>IF(Klantgegevens_B!M197&lt;&gt;"", Klantgegevens_B!M197, IF(Klantgegevens_A!L197&gt;=7, "ja", "nee"))</f>
        <v/>
      </c>
      <c r="O198">
        <f>IF(Klantgegevens_B!N197&lt;&gt;"", Klantgegevens_B!N197, IF(Klantgegevens_A!L197&gt;=7, "ja", "nee"))</f>
        <v/>
      </c>
      <c r="P198">
        <f>IF(Klantgegevens_B!O197&lt;&gt;"", Klantgegevens_B!O197, IF(Klantgegevens_A!L197&gt;=7, "ja", "nee"))</f>
        <v/>
      </c>
      <c r="Q198">
        <f>IF(Klantgegevens_B!P197&lt;&gt;"", Klantgegevens_B!P197, Klantgegevens_A!M197)</f>
        <v/>
      </c>
      <c r="R198">
        <f>IF(Klantgegevens_B!A197&lt;&gt;"", "B", "A")</f>
        <v/>
      </c>
    </row>
    <row r="199">
      <c r="A199">
        <f>IF(Klantgegevens_B!A198&lt;&gt;"", Klantgegevens_B!A198, MID(Klantgegevens_A!A198, FIND(",", Klantgegevens_A!A198)+2, LEN(Klantgegevens_A!A198)))</f>
        <v/>
      </c>
      <c r="B199">
        <f>IF(Klantgegevens_B!B198&lt;&gt;"", Klantgegevens_B!B198, LEFT(Klantgegevens_A!A198, FIND(",", Klantgegevens_A!A198)-1))</f>
        <v/>
      </c>
      <c r="C199">
        <f>C198 &amp; ", " &amp; B198</f>
        <v/>
      </c>
      <c r="D199">
        <f>IF(Klantgegevens_B!F198&lt;&gt;"", Klantgegevens_B!F198, Klantgegevens_A!D198 &amp; " " &amp; Klantgegevens_A!E198 &amp; ", " &amp; Klantgegevens_A!F198)</f>
        <v/>
      </c>
      <c r="E199">
        <f>IF(Klantgegevens_B!G198&lt;&gt;"", Klantgegevens_B!G198, TEXTJOIN(",", TRUE, REPT("Volwassene,", Klantgegevens_A!G198), REPT("Kind,", Klantgegevens_A!H198)))</f>
        <v/>
      </c>
      <c r="F199">
        <f>IF(Klantgegevens_B!G198&lt;&gt;"", LEN(Klantgegevens_B!G198)-LEN(SUBSTITUTE(Klantgegevens_B!G198, ",", ""))+1, Klantgegevens_A!G198)</f>
        <v/>
      </c>
      <c r="G199">
        <f>IF(Klantgegevens_B!G198&lt;&gt;"", 0, Klantgegevens_A!H198)</f>
        <v/>
      </c>
      <c r="H199">
        <f>IF(Klantgegevens_B!H198&lt;&gt;"", Klantgegevens_B!H198, Klantgegevens_A!I198)</f>
        <v/>
      </c>
      <c r="I199">
        <f>IF(Klantgegevens_B!I198&lt;&gt;"", Klantgegevens_B!I198, SWITCH(Klantgegevens_A!J198, "Zelden", 1, "Af en toe", 4, "Regelmatig", 8, "Vaak", 12))</f>
        <v/>
      </c>
      <c r="J199">
        <f>IF(Klantgegevens_B!J198&lt;&gt;"", Klantgegevens_B!J198, Klantgegevens_A!K198)</f>
        <v/>
      </c>
      <c r="K199">
        <f>IF(Klantgegevens_B!K198&lt;&gt;"", AVERAGE(--(Klantgegevens_B!K198="ja"), --(Klantgegevens_B!L198="ja"), --(Klantgegevens_B!M198="ja"), --(Klantgegevens_B!N198="ja"), --(Klantgegevens_B!O198="ja"))*10, Klantgegevens_A!L198)</f>
        <v/>
      </c>
      <c r="L199">
        <f>IF(Klantgegevens_B!K198&lt;&gt;"", Klantgegevens_B!K198, IF(Klantgegevens_A!L198&gt;=7, "ja", "nee"))</f>
        <v/>
      </c>
      <c r="M199">
        <f>IF(Klantgegevens_B!L198&lt;&gt;"", Klantgegevens_B!L198, IF(Klantgegevens_A!L198&gt;=7, "ja", "nee"))</f>
        <v/>
      </c>
      <c r="N199">
        <f>IF(Klantgegevens_B!M198&lt;&gt;"", Klantgegevens_B!M198, IF(Klantgegevens_A!L198&gt;=7, "ja", "nee"))</f>
        <v/>
      </c>
      <c r="O199">
        <f>IF(Klantgegevens_B!N198&lt;&gt;"", Klantgegevens_B!N198, IF(Klantgegevens_A!L198&gt;=7, "ja", "nee"))</f>
        <v/>
      </c>
      <c r="P199">
        <f>IF(Klantgegevens_B!O198&lt;&gt;"", Klantgegevens_B!O198, IF(Klantgegevens_A!L198&gt;=7, "ja", "nee"))</f>
        <v/>
      </c>
      <c r="Q199">
        <f>IF(Klantgegevens_B!P198&lt;&gt;"", Klantgegevens_B!P198, Klantgegevens_A!M198)</f>
        <v/>
      </c>
      <c r="R199">
        <f>IF(Klantgegevens_B!A198&lt;&gt;"", "B", "A")</f>
        <v/>
      </c>
    </row>
    <row r="200">
      <c r="A200">
        <f>IF(Klantgegevens_B!A199&lt;&gt;"", Klantgegevens_B!A199, MID(Klantgegevens_A!A199, FIND(",", Klantgegevens_A!A199)+2, LEN(Klantgegevens_A!A199)))</f>
        <v/>
      </c>
      <c r="B200">
        <f>IF(Klantgegevens_B!B199&lt;&gt;"", Klantgegevens_B!B199, LEFT(Klantgegevens_A!A199, FIND(",", Klantgegevens_A!A199)-1))</f>
        <v/>
      </c>
      <c r="C200">
        <f>C199 &amp; ", " &amp; B199</f>
        <v/>
      </c>
      <c r="D200">
        <f>IF(Klantgegevens_B!F199&lt;&gt;"", Klantgegevens_B!F199, Klantgegevens_A!D199 &amp; " " &amp; Klantgegevens_A!E199 &amp; ", " &amp; Klantgegevens_A!F199)</f>
        <v/>
      </c>
      <c r="E200">
        <f>IF(Klantgegevens_B!G199&lt;&gt;"", Klantgegevens_B!G199, TEXTJOIN(",", TRUE, REPT("Volwassene,", Klantgegevens_A!G199), REPT("Kind,", Klantgegevens_A!H199)))</f>
        <v/>
      </c>
      <c r="F200">
        <f>IF(Klantgegevens_B!G199&lt;&gt;"", LEN(Klantgegevens_B!G199)-LEN(SUBSTITUTE(Klantgegevens_B!G199, ",", ""))+1, Klantgegevens_A!G199)</f>
        <v/>
      </c>
      <c r="G200">
        <f>IF(Klantgegevens_B!G199&lt;&gt;"", 0, Klantgegevens_A!H199)</f>
        <v/>
      </c>
      <c r="H200">
        <f>IF(Klantgegevens_B!H199&lt;&gt;"", Klantgegevens_B!H199, Klantgegevens_A!I199)</f>
        <v/>
      </c>
      <c r="I200">
        <f>IF(Klantgegevens_B!I199&lt;&gt;"", Klantgegevens_B!I199, SWITCH(Klantgegevens_A!J199, "Zelden", 1, "Af en toe", 4, "Regelmatig", 8, "Vaak", 12))</f>
        <v/>
      </c>
      <c r="J200">
        <f>IF(Klantgegevens_B!J199&lt;&gt;"", Klantgegevens_B!J199, Klantgegevens_A!K199)</f>
        <v/>
      </c>
      <c r="K200">
        <f>IF(Klantgegevens_B!K199&lt;&gt;"", AVERAGE(--(Klantgegevens_B!K199="ja"), --(Klantgegevens_B!L199="ja"), --(Klantgegevens_B!M199="ja"), --(Klantgegevens_B!N199="ja"), --(Klantgegevens_B!O199="ja"))*10, Klantgegevens_A!L199)</f>
        <v/>
      </c>
      <c r="L200">
        <f>IF(Klantgegevens_B!K199&lt;&gt;"", Klantgegevens_B!K199, IF(Klantgegevens_A!L199&gt;=7, "ja", "nee"))</f>
        <v/>
      </c>
      <c r="M200">
        <f>IF(Klantgegevens_B!L199&lt;&gt;"", Klantgegevens_B!L199, IF(Klantgegevens_A!L199&gt;=7, "ja", "nee"))</f>
        <v/>
      </c>
      <c r="N200">
        <f>IF(Klantgegevens_B!M199&lt;&gt;"", Klantgegevens_B!M199, IF(Klantgegevens_A!L199&gt;=7, "ja", "nee"))</f>
        <v/>
      </c>
      <c r="O200">
        <f>IF(Klantgegevens_B!N199&lt;&gt;"", Klantgegevens_B!N199, IF(Klantgegevens_A!L199&gt;=7, "ja", "nee"))</f>
        <v/>
      </c>
      <c r="P200">
        <f>IF(Klantgegevens_B!O199&lt;&gt;"", Klantgegevens_B!O199, IF(Klantgegevens_A!L199&gt;=7, "ja", "nee"))</f>
        <v/>
      </c>
      <c r="Q200">
        <f>IF(Klantgegevens_B!P199&lt;&gt;"", Klantgegevens_B!P199, Klantgegevens_A!M199)</f>
        <v/>
      </c>
      <c r="R200">
        <f>IF(Klantgegevens_B!A199&lt;&gt;"", "B", "A")</f>
        <v/>
      </c>
    </row>
    <row r="201">
      <c r="A201">
        <f>IF(Klantgegevens_B!A200&lt;&gt;"", Klantgegevens_B!A200, MID(Klantgegevens_A!A200, FIND(",", Klantgegevens_A!A200)+2, LEN(Klantgegevens_A!A200)))</f>
        <v/>
      </c>
      <c r="B201">
        <f>IF(Klantgegevens_B!B200&lt;&gt;"", Klantgegevens_B!B200, LEFT(Klantgegevens_A!A200, FIND(",", Klantgegevens_A!A200)-1))</f>
        <v/>
      </c>
      <c r="C201">
        <f>C200 &amp; ", " &amp; B200</f>
        <v/>
      </c>
      <c r="D201">
        <f>IF(Klantgegevens_B!F200&lt;&gt;"", Klantgegevens_B!F200, Klantgegevens_A!D200 &amp; " " &amp; Klantgegevens_A!E200 &amp; ", " &amp; Klantgegevens_A!F200)</f>
        <v/>
      </c>
      <c r="E201">
        <f>IF(Klantgegevens_B!G200&lt;&gt;"", Klantgegevens_B!G200, TEXTJOIN(",", TRUE, REPT("Volwassene,", Klantgegevens_A!G200), REPT("Kind,", Klantgegevens_A!H200)))</f>
        <v/>
      </c>
      <c r="F201">
        <f>IF(Klantgegevens_B!G200&lt;&gt;"", LEN(Klantgegevens_B!G200)-LEN(SUBSTITUTE(Klantgegevens_B!G200, ",", ""))+1, Klantgegevens_A!G200)</f>
        <v/>
      </c>
      <c r="G201">
        <f>IF(Klantgegevens_B!G200&lt;&gt;"", 0, Klantgegevens_A!H200)</f>
        <v/>
      </c>
      <c r="H201">
        <f>IF(Klantgegevens_B!H200&lt;&gt;"", Klantgegevens_B!H200, Klantgegevens_A!I200)</f>
        <v/>
      </c>
      <c r="I201">
        <f>IF(Klantgegevens_B!I200&lt;&gt;"", Klantgegevens_B!I200, SWITCH(Klantgegevens_A!J200, "Zelden", 1, "Af en toe", 4, "Regelmatig", 8, "Vaak", 12))</f>
        <v/>
      </c>
      <c r="J201">
        <f>IF(Klantgegevens_B!J200&lt;&gt;"", Klantgegevens_B!J200, Klantgegevens_A!K200)</f>
        <v/>
      </c>
      <c r="K201">
        <f>IF(Klantgegevens_B!K200&lt;&gt;"", AVERAGE(--(Klantgegevens_B!K200="ja"), --(Klantgegevens_B!L200="ja"), --(Klantgegevens_B!M200="ja"), --(Klantgegevens_B!N200="ja"), --(Klantgegevens_B!O200="ja"))*10, Klantgegevens_A!L200)</f>
        <v/>
      </c>
      <c r="L201">
        <f>IF(Klantgegevens_B!K200&lt;&gt;"", Klantgegevens_B!K200, IF(Klantgegevens_A!L200&gt;=7, "ja", "nee"))</f>
        <v/>
      </c>
      <c r="M201">
        <f>IF(Klantgegevens_B!L200&lt;&gt;"", Klantgegevens_B!L200, IF(Klantgegevens_A!L200&gt;=7, "ja", "nee"))</f>
        <v/>
      </c>
      <c r="N201">
        <f>IF(Klantgegevens_B!M200&lt;&gt;"", Klantgegevens_B!M200, IF(Klantgegevens_A!L200&gt;=7, "ja", "nee"))</f>
        <v/>
      </c>
      <c r="O201">
        <f>IF(Klantgegevens_B!N200&lt;&gt;"", Klantgegevens_B!N200, IF(Klantgegevens_A!L200&gt;=7, "ja", "nee"))</f>
        <v/>
      </c>
      <c r="P201">
        <f>IF(Klantgegevens_B!O200&lt;&gt;"", Klantgegevens_B!O200, IF(Klantgegevens_A!L200&gt;=7, "ja", "nee"))</f>
        <v/>
      </c>
      <c r="Q201">
        <f>IF(Klantgegevens_B!P200&lt;&gt;"", Klantgegevens_B!P200, Klantgegevens_A!M200)</f>
        <v/>
      </c>
      <c r="R201">
        <f>IF(Klantgegevens_B!A200&lt;&gt;"", "B", "A")</f>
        <v/>
      </c>
    </row>
    <row r="202">
      <c r="A202">
        <f>IF(Klantgegevens_B!A201&lt;&gt;"", Klantgegevens_B!A201, MID(Klantgegevens_A!A201, FIND(",", Klantgegevens_A!A201)+2, LEN(Klantgegevens_A!A201)))</f>
        <v/>
      </c>
      <c r="B202">
        <f>IF(Klantgegevens_B!B201&lt;&gt;"", Klantgegevens_B!B201, LEFT(Klantgegevens_A!A201, FIND(",", Klantgegevens_A!A201)-1))</f>
        <v/>
      </c>
      <c r="C202">
        <f>C201 &amp; ", " &amp; B201</f>
        <v/>
      </c>
      <c r="D202">
        <f>IF(Klantgegevens_B!F201&lt;&gt;"", Klantgegevens_B!F201, Klantgegevens_A!D201 &amp; " " &amp; Klantgegevens_A!E201 &amp; ", " &amp; Klantgegevens_A!F201)</f>
        <v/>
      </c>
      <c r="E202">
        <f>IF(Klantgegevens_B!G201&lt;&gt;"", Klantgegevens_B!G201, TEXTJOIN(",", TRUE, REPT("Volwassene,", Klantgegevens_A!G201), REPT("Kind,", Klantgegevens_A!H201)))</f>
        <v/>
      </c>
      <c r="F202">
        <f>IF(Klantgegevens_B!G201&lt;&gt;"", LEN(Klantgegevens_B!G201)-LEN(SUBSTITUTE(Klantgegevens_B!G201, ",", ""))+1, Klantgegevens_A!G201)</f>
        <v/>
      </c>
      <c r="G202">
        <f>IF(Klantgegevens_B!G201&lt;&gt;"", 0, Klantgegevens_A!H201)</f>
        <v/>
      </c>
      <c r="H202">
        <f>IF(Klantgegevens_B!H201&lt;&gt;"", Klantgegevens_B!H201, Klantgegevens_A!I201)</f>
        <v/>
      </c>
      <c r="I202">
        <f>IF(Klantgegevens_B!I201&lt;&gt;"", Klantgegevens_B!I201, SWITCH(Klantgegevens_A!J201, "Zelden", 1, "Af en toe", 4, "Regelmatig", 8, "Vaak", 12))</f>
        <v/>
      </c>
      <c r="J202">
        <f>IF(Klantgegevens_B!J201&lt;&gt;"", Klantgegevens_B!J201, Klantgegevens_A!K201)</f>
        <v/>
      </c>
      <c r="K202">
        <f>IF(Klantgegevens_B!K201&lt;&gt;"", AVERAGE(--(Klantgegevens_B!K201="ja"), --(Klantgegevens_B!L201="ja"), --(Klantgegevens_B!M201="ja"), --(Klantgegevens_B!N201="ja"), --(Klantgegevens_B!O201="ja"))*10, Klantgegevens_A!L201)</f>
        <v/>
      </c>
      <c r="L202">
        <f>IF(Klantgegevens_B!K201&lt;&gt;"", Klantgegevens_B!K201, IF(Klantgegevens_A!L201&gt;=7, "ja", "nee"))</f>
        <v/>
      </c>
      <c r="M202">
        <f>IF(Klantgegevens_B!L201&lt;&gt;"", Klantgegevens_B!L201, IF(Klantgegevens_A!L201&gt;=7, "ja", "nee"))</f>
        <v/>
      </c>
      <c r="N202">
        <f>IF(Klantgegevens_B!M201&lt;&gt;"", Klantgegevens_B!M201, IF(Klantgegevens_A!L201&gt;=7, "ja", "nee"))</f>
        <v/>
      </c>
      <c r="O202">
        <f>IF(Klantgegevens_B!N201&lt;&gt;"", Klantgegevens_B!N201, IF(Klantgegevens_A!L201&gt;=7, "ja", "nee"))</f>
        <v/>
      </c>
      <c r="P202">
        <f>IF(Klantgegevens_B!O201&lt;&gt;"", Klantgegevens_B!O201, IF(Klantgegevens_A!L201&gt;=7, "ja", "nee"))</f>
        <v/>
      </c>
      <c r="Q202">
        <f>IF(Klantgegevens_B!P201&lt;&gt;"", Klantgegevens_B!P201, Klantgegevens_A!M201)</f>
        <v/>
      </c>
      <c r="R202">
        <f>IF(Klantgegevens_B!A201&lt;&gt;"", "B", "A")</f>
        <v/>
      </c>
    </row>
    <row r="203">
      <c r="A203">
        <f>IF(Klantgegevens_B!A202&lt;&gt;"", Klantgegevens_B!A202, MID(Klantgegevens_A!A202, FIND(",", Klantgegevens_A!A202)+2, LEN(Klantgegevens_A!A202)))</f>
        <v/>
      </c>
      <c r="B203">
        <f>IF(Klantgegevens_B!B202&lt;&gt;"", Klantgegevens_B!B202, LEFT(Klantgegevens_A!A202, FIND(",", Klantgegevens_A!A202)-1))</f>
        <v/>
      </c>
      <c r="C203">
        <f>C202 &amp; ", " &amp; B202</f>
        <v/>
      </c>
      <c r="D203">
        <f>IF(Klantgegevens_B!F202&lt;&gt;"", Klantgegevens_B!F202, Klantgegevens_A!D202 &amp; " " &amp; Klantgegevens_A!E202 &amp; ", " &amp; Klantgegevens_A!F202)</f>
        <v/>
      </c>
      <c r="E203">
        <f>IF(Klantgegevens_B!G202&lt;&gt;"", Klantgegevens_B!G202, TEXTJOIN(",", TRUE, REPT("Volwassene,", Klantgegevens_A!G202), REPT("Kind,", Klantgegevens_A!H202)))</f>
        <v/>
      </c>
      <c r="F203">
        <f>IF(Klantgegevens_B!G202&lt;&gt;"", LEN(Klantgegevens_B!G202)-LEN(SUBSTITUTE(Klantgegevens_B!G202, ",", ""))+1, Klantgegevens_A!G202)</f>
        <v/>
      </c>
      <c r="G203">
        <f>IF(Klantgegevens_B!G202&lt;&gt;"", 0, Klantgegevens_A!H202)</f>
        <v/>
      </c>
      <c r="H203">
        <f>IF(Klantgegevens_B!H202&lt;&gt;"", Klantgegevens_B!H202, Klantgegevens_A!I202)</f>
        <v/>
      </c>
      <c r="I203">
        <f>IF(Klantgegevens_B!I202&lt;&gt;"", Klantgegevens_B!I202, SWITCH(Klantgegevens_A!J202, "Zelden", 1, "Af en toe", 4, "Regelmatig", 8, "Vaak", 12))</f>
        <v/>
      </c>
      <c r="J203">
        <f>IF(Klantgegevens_B!J202&lt;&gt;"", Klantgegevens_B!J202, Klantgegevens_A!K202)</f>
        <v/>
      </c>
      <c r="K203">
        <f>IF(Klantgegevens_B!K202&lt;&gt;"", AVERAGE(--(Klantgegevens_B!K202="ja"), --(Klantgegevens_B!L202="ja"), --(Klantgegevens_B!M202="ja"), --(Klantgegevens_B!N202="ja"), --(Klantgegevens_B!O202="ja"))*10, Klantgegevens_A!L202)</f>
        <v/>
      </c>
      <c r="L203">
        <f>IF(Klantgegevens_B!K202&lt;&gt;"", Klantgegevens_B!K202, IF(Klantgegevens_A!L202&gt;=7, "ja", "nee"))</f>
        <v/>
      </c>
      <c r="M203">
        <f>IF(Klantgegevens_B!L202&lt;&gt;"", Klantgegevens_B!L202, IF(Klantgegevens_A!L202&gt;=7, "ja", "nee"))</f>
        <v/>
      </c>
      <c r="N203">
        <f>IF(Klantgegevens_B!M202&lt;&gt;"", Klantgegevens_B!M202, IF(Klantgegevens_A!L202&gt;=7, "ja", "nee"))</f>
        <v/>
      </c>
      <c r="O203">
        <f>IF(Klantgegevens_B!N202&lt;&gt;"", Klantgegevens_B!N202, IF(Klantgegevens_A!L202&gt;=7, "ja", "nee"))</f>
        <v/>
      </c>
      <c r="P203">
        <f>IF(Klantgegevens_B!O202&lt;&gt;"", Klantgegevens_B!O202, IF(Klantgegevens_A!L202&gt;=7, "ja", "nee"))</f>
        <v/>
      </c>
      <c r="Q203">
        <f>IF(Klantgegevens_B!P202&lt;&gt;"", Klantgegevens_B!P202, Klantgegevens_A!M202)</f>
        <v/>
      </c>
      <c r="R203">
        <f>IF(Klantgegevens_B!A202&lt;&gt;"", "B", "A")</f>
        <v/>
      </c>
    </row>
    <row r="204">
      <c r="A204">
        <f>IF(Klantgegevens_B!A203&lt;&gt;"", Klantgegevens_B!A203, MID(Klantgegevens_A!A203, FIND(",", Klantgegevens_A!A203)+2, LEN(Klantgegevens_A!A203)))</f>
        <v/>
      </c>
      <c r="B204">
        <f>IF(Klantgegevens_B!B203&lt;&gt;"", Klantgegevens_B!B203, LEFT(Klantgegevens_A!A203, FIND(",", Klantgegevens_A!A203)-1))</f>
        <v/>
      </c>
      <c r="C204">
        <f>C203 &amp; ", " &amp; B203</f>
        <v/>
      </c>
      <c r="D204">
        <f>IF(Klantgegevens_B!F203&lt;&gt;"", Klantgegevens_B!F203, Klantgegevens_A!D203 &amp; " " &amp; Klantgegevens_A!E203 &amp; ", " &amp; Klantgegevens_A!F203)</f>
        <v/>
      </c>
      <c r="E204">
        <f>IF(Klantgegevens_B!G203&lt;&gt;"", Klantgegevens_B!G203, TEXTJOIN(",", TRUE, REPT("Volwassene,", Klantgegevens_A!G203), REPT("Kind,", Klantgegevens_A!H203)))</f>
        <v/>
      </c>
      <c r="F204">
        <f>IF(Klantgegevens_B!G203&lt;&gt;"", LEN(Klantgegevens_B!G203)-LEN(SUBSTITUTE(Klantgegevens_B!G203, ",", ""))+1, Klantgegevens_A!G203)</f>
        <v/>
      </c>
      <c r="G204">
        <f>IF(Klantgegevens_B!G203&lt;&gt;"", 0, Klantgegevens_A!H203)</f>
        <v/>
      </c>
      <c r="H204">
        <f>IF(Klantgegevens_B!H203&lt;&gt;"", Klantgegevens_B!H203, Klantgegevens_A!I203)</f>
        <v/>
      </c>
      <c r="I204">
        <f>IF(Klantgegevens_B!I203&lt;&gt;"", Klantgegevens_B!I203, SWITCH(Klantgegevens_A!J203, "Zelden", 1, "Af en toe", 4, "Regelmatig", 8, "Vaak", 12))</f>
        <v/>
      </c>
      <c r="J204">
        <f>IF(Klantgegevens_B!J203&lt;&gt;"", Klantgegevens_B!J203, Klantgegevens_A!K203)</f>
        <v/>
      </c>
      <c r="K204">
        <f>IF(Klantgegevens_B!K203&lt;&gt;"", AVERAGE(--(Klantgegevens_B!K203="ja"), --(Klantgegevens_B!L203="ja"), --(Klantgegevens_B!M203="ja"), --(Klantgegevens_B!N203="ja"), --(Klantgegevens_B!O203="ja"))*10, Klantgegevens_A!L203)</f>
        <v/>
      </c>
      <c r="L204">
        <f>IF(Klantgegevens_B!K203&lt;&gt;"", Klantgegevens_B!K203, IF(Klantgegevens_A!L203&gt;=7, "ja", "nee"))</f>
        <v/>
      </c>
      <c r="M204">
        <f>IF(Klantgegevens_B!L203&lt;&gt;"", Klantgegevens_B!L203, IF(Klantgegevens_A!L203&gt;=7, "ja", "nee"))</f>
        <v/>
      </c>
      <c r="N204">
        <f>IF(Klantgegevens_B!M203&lt;&gt;"", Klantgegevens_B!M203, IF(Klantgegevens_A!L203&gt;=7, "ja", "nee"))</f>
        <v/>
      </c>
      <c r="O204">
        <f>IF(Klantgegevens_B!N203&lt;&gt;"", Klantgegevens_B!N203, IF(Klantgegevens_A!L203&gt;=7, "ja", "nee"))</f>
        <v/>
      </c>
      <c r="P204">
        <f>IF(Klantgegevens_B!O203&lt;&gt;"", Klantgegevens_B!O203, IF(Klantgegevens_A!L203&gt;=7, "ja", "nee"))</f>
        <v/>
      </c>
      <c r="Q204">
        <f>IF(Klantgegevens_B!P203&lt;&gt;"", Klantgegevens_B!P203, Klantgegevens_A!M203)</f>
        <v/>
      </c>
      <c r="R204">
        <f>IF(Klantgegevens_B!A203&lt;&gt;"", "B", "A")</f>
        <v/>
      </c>
    </row>
    <row r="205">
      <c r="A205">
        <f>IF(Klantgegevens_B!A204&lt;&gt;"", Klantgegevens_B!A204, MID(Klantgegevens_A!A204, FIND(",", Klantgegevens_A!A204)+2, LEN(Klantgegevens_A!A204)))</f>
        <v/>
      </c>
      <c r="B205">
        <f>IF(Klantgegevens_B!B204&lt;&gt;"", Klantgegevens_B!B204, LEFT(Klantgegevens_A!A204, FIND(",", Klantgegevens_A!A204)-1))</f>
        <v/>
      </c>
      <c r="C205">
        <f>C204 &amp; ", " &amp; B204</f>
        <v/>
      </c>
      <c r="D205">
        <f>IF(Klantgegevens_B!F204&lt;&gt;"", Klantgegevens_B!F204, Klantgegevens_A!D204 &amp; " " &amp; Klantgegevens_A!E204 &amp; ", " &amp; Klantgegevens_A!F204)</f>
        <v/>
      </c>
      <c r="E205">
        <f>IF(Klantgegevens_B!G204&lt;&gt;"", Klantgegevens_B!G204, TEXTJOIN(",", TRUE, REPT("Volwassene,", Klantgegevens_A!G204), REPT("Kind,", Klantgegevens_A!H204)))</f>
        <v/>
      </c>
      <c r="F205">
        <f>IF(Klantgegevens_B!G204&lt;&gt;"", LEN(Klantgegevens_B!G204)-LEN(SUBSTITUTE(Klantgegevens_B!G204, ",", ""))+1, Klantgegevens_A!G204)</f>
        <v/>
      </c>
      <c r="G205">
        <f>IF(Klantgegevens_B!G204&lt;&gt;"", 0, Klantgegevens_A!H204)</f>
        <v/>
      </c>
      <c r="H205">
        <f>IF(Klantgegevens_B!H204&lt;&gt;"", Klantgegevens_B!H204, Klantgegevens_A!I204)</f>
        <v/>
      </c>
      <c r="I205">
        <f>IF(Klantgegevens_B!I204&lt;&gt;"", Klantgegevens_B!I204, SWITCH(Klantgegevens_A!J204, "Zelden", 1, "Af en toe", 4, "Regelmatig", 8, "Vaak", 12))</f>
        <v/>
      </c>
      <c r="J205">
        <f>IF(Klantgegevens_B!J204&lt;&gt;"", Klantgegevens_B!J204, Klantgegevens_A!K204)</f>
        <v/>
      </c>
      <c r="K205">
        <f>IF(Klantgegevens_B!K204&lt;&gt;"", AVERAGE(--(Klantgegevens_B!K204="ja"), --(Klantgegevens_B!L204="ja"), --(Klantgegevens_B!M204="ja"), --(Klantgegevens_B!N204="ja"), --(Klantgegevens_B!O204="ja"))*10, Klantgegevens_A!L204)</f>
        <v/>
      </c>
      <c r="L205">
        <f>IF(Klantgegevens_B!K204&lt;&gt;"", Klantgegevens_B!K204, IF(Klantgegevens_A!L204&gt;=7, "ja", "nee"))</f>
        <v/>
      </c>
      <c r="M205">
        <f>IF(Klantgegevens_B!L204&lt;&gt;"", Klantgegevens_B!L204, IF(Klantgegevens_A!L204&gt;=7, "ja", "nee"))</f>
        <v/>
      </c>
      <c r="N205">
        <f>IF(Klantgegevens_B!M204&lt;&gt;"", Klantgegevens_B!M204, IF(Klantgegevens_A!L204&gt;=7, "ja", "nee"))</f>
        <v/>
      </c>
      <c r="O205">
        <f>IF(Klantgegevens_B!N204&lt;&gt;"", Klantgegevens_B!N204, IF(Klantgegevens_A!L204&gt;=7, "ja", "nee"))</f>
        <v/>
      </c>
      <c r="P205">
        <f>IF(Klantgegevens_B!O204&lt;&gt;"", Klantgegevens_B!O204, IF(Klantgegevens_A!L204&gt;=7, "ja", "nee"))</f>
        <v/>
      </c>
      <c r="Q205">
        <f>IF(Klantgegevens_B!P204&lt;&gt;"", Klantgegevens_B!P204, Klantgegevens_A!M204)</f>
        <v/>
      </c>
      <c r="R205">
        <f>IF(Klantgegevens_B!A204&lt;&gt;"", "B", "A")</f>
        <v/>
      </c>
    </row>
    <row r="206">
      <c r="A206">
        <f>IF(Klantgegevens_B!A205&lt;&gt;"", Klantgegevens_B!A205, MID(Klantgegevens_A!A205, FIND(",", Klantgegevens_A!A205)+2, LEN(Klantgegevens_A!A205)))</f>
        <v/>
      </c>
      <c r="B206">
        <f>IF(Klantgegevens_B!B205&lt;&gt;"", Klantgegevens_B!B205, LEFT(Klantgegevens_A!A205, FIND(",", Klantgegevens_A!A205)-1))</f>
        <v/>
      </c>
      <c r="C206">
        <f>C205 &amp; ", " &amp; B205</f>
        <v/>
      </c>
      <c r="D206">
        <f>IF(Klantgegevens_B!F205&lt;&gt;"", Klantgegevens_B!F205, Klantgegevens_A!D205 &amp; " " &amp; Klantgegevens_A!E205 &amp; ", " &amp; Klantgegevens_A!F205)</f>
        <v/>
      </c>
      <c r="E206">
        <f>IF(Klantgegevens_B!G205&lt;&gt;"", Klantgegevens_B!G205, TEXTJOIN(",", TRUE, REPT("Volwassene,", Klantgegevens_A!G205), REPT("Kind,", Klantgegevens_A!H205)))</f>
        <v/>
      </c>
      <c r="F206">
        <f>IF(Klantgegevens_B!G205&lt;&gt;"", LEN(Klantgegevens_B!G205)-LEN(SUBSTITUTE(Klantgegevens_B!G205, ",", ""))+1, Klantgegevens_A!G205)</f>
        <v/>
      </c>
      <c r="G206">
        <f>IF(Klantgegevens_B!G205&lt;&gt;"", 0, Klantgegevens_A!H205)</f>
        <v/>
      </c>
      <c r="H206">
        <f>IF(Klantgegevens_B!H205&lt;&gt;"", Klantgegevens_B!H205, Klantgegevens_A!I205)</f>
        <v/>
      </c>
      <c r="I206">
        <f>IF(Klantgegevens_B!I205&lt;&gt;"", Klantgegevens_B!I205, SWITCH(Klantgegevens_A!J205, "Zelden", 1, "Af en toe", 4, "Regelmatig", 8, "Vaak", 12))</f>
        <v/>
      </c>
      <c r="J206">
        <f>IF(Klantgegevens_B!J205&lt;&gt;"", Klantgegevens_B!J205, Klantgegevens_A!K205)</f>
        <v/>
      </c>
      <c r="K206">
        <f>IF(Klantgegevens_B!K205&lt;&gt;"", AVERAGE(--(Klantgegevens_B!K205="ja"), --(Klantgegevens_B!L205="ja"), --(Klantgegevens_B!M205="ja"), --(Klantgegevens_B!N205="ja"), --(Klantgegevens_B!O205="ja"))*10, Klantgegevens_A!L205)</f>
        <v/>
      </c>
      <c r="L206">
        <f>IF(Klantgegevens_B!K205&lt;&gt;"", Klantgegevens_B!K205, IF(Klantgegevens_A!L205&gt;=7, "ja", "nee"))</f>
        <v/>
      </c>
      <c r="M206">
        <f>IF(Klantgegevens_B!L205&lt;&gt;"", Klantgegevens_B!L205, IF(Klantgegevens_A!L205&gt;=7, "ja", "nee"))</f>
        <v/>
      </c>
      <c r="N206">
        <f>IF(Klantgegevens_B!M205&lt;&gt;"", Klantgegevens_B!M205, IF(Klantgegevens_A!L205&gt;=7, "ja", "nee"))</f>
        <v/>
      </c>
      <c r="O206">
        <f>IF(Klantgegevens_B!N205&lt;&gt;"", Klantgegevens_B!N205, IF(Klantgegevens_A!L205&gt;=7, "ja", "nee"))</f>
        <v/>
      </c>
      <c r="P206">
        <f>IF(Klantgegevens_B!O205&lt;&gt;"", Klantgegevens_B!O205, IF(Klantgegevens_A!L205&gt;=7, "ja", "nee"))</f>
        <v/>
      </c>
      <c r="Q206">
        <f>IF(Klantgegevens_B!P205&lt;&gt;"", Klantgegevens_B!P205, Klantgegevens_A!M205)</f>
        <v/>
      </c>
      <c r="R206">
        <f>IF(Klantgegevens_B!A205&lt;&gt;"", "B", "A")</f>
        <v/>
      </c>
    </row>
    <row r="207">
      <c r="A207">
        <f>IF(Klantgegevens_B!A206&lt;&gt;"", Klantgegevens_B!A206, MID(Klantgegevens_A!A206, FIND(",", Klantgegevens_A!A206)+2, LEN(Klantgegevens_A!A206)))</f>
        <v/>
      </c>
      <c r="B207">
        <f>IF(Klantgegevens_B!B206&lt;&gt;"", Klantgegevens_B!B206, LEFT(Klantgegevens_A!A206, FIND(",", Klantgegevens_A!A206)-1))</f>
        <v/>
      </c>
      <c r="C207">
        <f>C206 &amp; ", " &amp; B206</f>
        <v/>
      </c>
      <c r="D207">
        <f>IF(Klantgegevens_B!F206&lt;&gt;"", Klantgegevens_B!F206, Klantgegevens_A!D206 &amp; " " &amp; Klantgegevens_A!E206 &amp; ", " &amp; Klantgegevens_A!F206)</f>
        <v/>
      </c>
      <c r="E207">
        <f>IF(Klantgegevens_B!G206&lt;&gt;"", Klantgegevens_B!G206, TEXTJOIN(",", TRUE, REPT("Volwassene,", Klantgegevens_A!G206), REPT("Kind,", Klantgegevens_A!H206)))</f>
        <v/>
      </c>
      <c r="F207">
        <f>IF(Klantgegevens_B!G206&lt;&gt;"", LEN(Klantgegevens_B!G206)-LEN(SUBSTITUTE(Klantgegevens_B!G206, ",", ""))+1, Klantgegevens_A!G206)</f>
        <v/>
      </c>
      <c r="G207">
        <f>IF(Klantgegevens_B!G206&lt;&gt;"", 0, Klantgegevens_A!H206)</f>
        <v/>
      </c>
      <c r="H207">
        <f>IF(Klantgegevens_B!H206&lt;&gt;"", Klantgegevens_B!H206, Klantgegevens_A!I206)</f>
        <v/>
      </c>
      <c r="I207">
        <f>IF(Klantgegevens_B!I206&lt;&gt;"", Klantgegevens_B!I206, SWITCH(Klantgegevens_A!J206, "Zelden", 1, "Af en toe", 4, "Regelmatig", 8, "Vaak", 12))</f>
        <v/>
      </c>
      <c r="J207">
        <f>IF(Klantgegevens_B!J206&lt;&gt;"", Klantgegevens_B!J206, Klantgegevens_A!K206)</f>
        <v/>
      </c>
      <c r="K207">
        <f>IF(Klantgegevens_B!K206&lt;&gt;"", AVERAGE(--(Klantgegevens_B!K206="ja"), --(Klantgegevens_B!L206="ja"), --(Klantgegevens_B!M206="ja"), --(Klantgegevens_B!N206="ja"), --(Klantgegevens_B!O206="ja"))*10, Klantgegevens_A!L206)</f>
        <v/>
      </c>
      <c r="L207">
        <f>IF(Klantgegevens_B!K206&lt;&gt;"", Klantgegevens_B!K206, IF(Klantgegevens_A!L206&gt;=7, "ja", "nee"))</f>
        <v/>
      </c>
      <c r="M207">
        <f>IF(Klantgegevens_B!L206&lt;&gt;"", Klantgegevens_B!L206, IF(Klantgegevens_A!L206&gt;=7, "ja", "nee"))</f>
        <v/>
      </c>
      <c r="N207">
        <f>IF(Klantgegevens_B!M206&lt;&gt;"", Klantgegevens_B!M206, IF(Klantgegevens_A!L206&gt;=7, "ja", "nee"))</f>
        <v/>
      </c>
      <c r="O207">
        <f>IF(Klantgegevens_B!N206&lt;&gt;"", Klantgegevens_B!N206, IF(Klantgegevens_A!L206&gt;=7, "ja", "nee"))</f>
        <v/>
      </c>
      <c r="P207">
        <f>IF(Klantgegevens_B!O206&lt;&gt;"", Klantgegevens_B!O206, IF(Klantgegevens_A!L206&gt;=7, "ja", "nee"))</f>
        <v/>
      </c>
      <c r="Q207">
        <f>IF(Klantgegevens_B!P206&lt;&gt;"", Klantgegevens_B!P206, Klantgegevens_A!M206)</f>
        <v/>
      </c>
      <c r="R207">
        <f>IF(Klantgegevens_B!A206&lt;&gt;"", "B", "A")</f>
        <v/>
      </c>
    </row>
    <row r="208">
      <c r="A208">
        <f>IF(Klantgegevens_B!A207&lt;&gt;"", Klantgegevens_B!A207, MID(Klantgegevens_A!A207, FIND(",", Klantgegevens_A!A207)+2, LEN(Klantgegevens_A!A207)))</f>
        <v/>
      </c>
      <c r="B208">
        <f>IF(Klantgegevens_B!B207&lt;&gt;"", Klantgegevens_B!B207, LEFT(Klantgegevens_A!A207, FIND(",", Klantgegevens_A!A207)-1))</f>
        <v/>
      </c>
      <c r="C208">
        <f>C207 &amp; ", " &amp; B207</f>
        <v/>
      </c>
      <c r="D208">
        <f>IF(Klantgegevens_B!F207&lt;&gt;"", Klantgegevens_B!F207, Klantgegevens_A!D207 &amp; " " &amp; Klantgegevens_A!E207 &amp; ", " &amp; Klantgegevens_A!F207)</f>
        <v/>
      </c>
      <c r="E208">
        <f>IF(Klantgegevens_B!G207&lt;&gt;"", Klantgegevens_B!G207, TEXTJOIN(",", TRUE, REPT("Volwassene,", Klantgegevens_A!G207), REPT("Kind,", Klantgegevens_A!H207)))</f>
        <v/>
      </c>
      <c r="F208">
        <f>IF(Klantgegevens_B!G207&lt;&gt;"", LEN(Klantgegevens_B!G207)-LEN(SUBSTITUTE(Klantgegevens_B!G207, ",", ""))+1, Klantgegevens_A!G207)</f>
        <v/>
      </c>
      <c r="G208">
        <f>IF(Klantgegevens_B!G207&lt;&gt;"", 0, Klantgegevens_A!H207)</f>
        <v/>
      </c>
      <c r="H208">
        <f>IF(Klantgegevens_B!H207&lt;&gt;"", Klantgegevens_B!H207, Klantgegevens_A!I207)</f>
        <v/>
      </c>
      <c r="I208">
        <f>IF(Klantgegevens_B!I207&lt;&gt;"", Klantgegevens_B!I207, SWITCH(Klantgegevens_A!J207, "Zelden", 1, "Af en toe", 4, "Regelmatig", 8, "Vaak", 12))</f>
        <v/>
      </c>
      <c r="J208">
        <f>IF(Klantgegevens_B!J207&lt;&gt;"", Klantgegevens_B!J207, Klantgegevens_A!K207)</f>
        <v/>
      </c>
      <c r="K208">
        <f>IF(Klantgegevens_B!K207&lt;&gt;"", AVERAGE(--(Klantgegevens_B!K207="ja"), --(Klantgegevens_B!L207="ja"), --(Klantgegevens_B!M207="ja"), --(Klantgegevens_B!N207="ja"), --(Klantgegevens_B!O207="ja"))*10, Klantgegevens_A!L207)</f>
        <v/>
      </c>
      <c r="L208">
        <f>IF(Klantgegevens_B!K207&lt;&gt;"", Klantgegevens_B!K207, IF(Klantgegevens_A!L207&gt;=7, "ja", "nee"))</f>
        <v/>
      </c>
      <c r="M208">
        <f>IF(Klantgegevens_B!L207&lt;&gt;"", Klantgegevens_B!L207, IF(Klantgegevens_A!L207&gt;=7, "ja", "nee"))</f>
        <v/>
      </c>
      <c r="N208">
        <f>IF(Klantgegevens_B!M207&lt;&gt;"", Klantgegevens_B!M207, IF(Klantgegevens_A!L207&gt;=7, "ja", "nee"))</f>
        <v/>
      </c>
      <c r="O208">
        <f>IF(Klantgegevens_B!N207&lt;&gt;"", Klantgegevens_B!N207, IF(Klantgegevens_A!L207&gt;=7, "ja", "nee"))</f>
        <v/>
      </c>
      <c r="P208">
        <f>IF(Klantgegevens_B!O207&lt;&gt;"", Klantgegevens_B!O207, IF(Klantgegevens_A!L207&gt;=7, "ja", "nee"))</f>
        <v/>
      </c>
      <c r="Q208">
        <f>IF(Klantgegevens_B!P207&lt;&gt;"", Klantgegevens_B!P207, Klantgegevens_A!M207)</f>
        <v/>
      </c>
      <c r="R208">
        <f>IF(Klantgegevens_B!A207&lt;&gt;"", "B", "A")</f>
        <v/>
      </c>
    </row>
    <row r="209">
      <c r="A209">
        <f>IF(Klantgegevens_B!A208&lt;&gt;"", Klantgegevens_B!A208, MID(Klantgegevens_A!A208, FIND(",", Klantgegevens_A!A208)+2, LEN(Klantgegevens_A!A208)))</f>
        <v/>
      </c>
      <c r="B209">
        <f>IF(Klantgegevens_B!B208&lt;&gt;"", Klantgegevens_B!B208, LEFT(Klantgegevens_A!A208, FIND(",", Klantgegevens_A!A208)-1))</f>
        <v/>
      </c>
      <c r="C209">
        <f>C208 &amp; ", " &amp; B208</f>
        <v/>
      </c>
      <c r="D209">
        <f>IF(Klantgegevens_B!F208&lt;&gt;"", Klantgegevens_B!F208, Klantgegevens_A!D208 &amp; " " &amp; Klantgegevens_A!E208 &amp; ", " &amp; Klantgegevens_A!F208)</f>
        <v/>
      </c>
      <c r="E209">
        <f>IF(Klantgegevens_B!G208&lt;&gt;"", Klantgegevens_B!G208, TEXTJOIN(",", TRUE, REPT("Volwassene,", Klantgegevens_A!G208), REPT("Kind,", Klantgegevens_A!H208)))</f>
        <v/>
      </c>
      <c r="F209">
        <f>IF(Klantgegevens_B!G208&lt;&gt;"", LEN(Klantgegevens_B!G208)-LEN(SUBSTITUTE(Klantgegevens_B!G208, ",", ""))+1, Klantgegevens_A!G208)</f>
        <v/>
      </c>
      <c r="G209">
        <f>IF(Klantgegevens_B!G208&lt;&gt;"", 0, Klantgegevens_A!H208)</f>
        <v/>
      </c>
      <c r="H209">
        <f>IF(Klantgegevens_B!H208&lt;&gt;"", Klantgegevens_B!H208, Klantgegevens_A!I208)</f>
        <v/>
      </c>
      <c r="I209">
        <f>IF(Klantgegevens_B!I208&lt;&gt;"", Klantgegevens_B!I208, SWITCH(Klantgegevens_A!J208, "Zelden", 1, "Af en toe", 4, "Regelmatig", 8, "Vaak", 12))</f>
        <v/>
      </c>
      <c r="J209">
        <f>IF(Klantgegevens_B!J208&lt;&gt;"", Klantgegevens_B!J208, Klantgegevens_A!K208)</f>
        <v/>
      </c>
      <c r="K209">
        <f>IF(Klantgegevens_B!K208&lt;&gt;"", AVERAGE(--(Klantgegevens_B!K208="ja"), --(Klantgegevens_B!L208="ja"), --(Klantgegevens_B!M208="ja"), --(Klantgegevens_B!N208="ja"), --(Klantgegevens_B!O208="ja"))*10, Klantgegevens_A!L208)</f>
        <v/>
      </c>
      <c r="L209">
        <f>IF(Klantgegevens_B!K208&lt;&gt;"", Klantgegevens_B!K208, IF(Klantgegevens_A!L208&gt;=7, "ja", "nee"))</f>
        <v/>
      </c>
      <c r="M209">
        <f>IF(Klantgegevens_B!L208&lt;&gt;"", Klantgegevens_B!L208, IF(Klantgegevens_A!L208&gt;=7, "ja", "nee"))</f>
        <v/>
      </c>
      <c r="N209">
        <f>IF(Klantgegevens_B!M208&lt;&gt;"", Klantgegevens_B!M208, IF(Klantgegevens_A!L208&gt;=7, "ja", "nee"))</f>
        <v/>
      </c>
      <c r="O209">
        <f>IF(Klantgegevens_B!N208&lt;&gt;"", Klantgegevens_B!N208, IF(Klantgegevens_A!L208&gt;=7, "ja", "nee"))</f>
        <v/>
      </c>
      <c r="P209">
        <f>IF(Klantgegevens_B!O208&lt;&gt;"", Klantgegevens_B!O208, IF(Klantgegevens_A!L208&gt;=7, "ja", "nee"))</f>
        <v/>
      </c>
      <c r="Q209">
        <f>IF(Klantgegevens_B!P208&lt;&gt;"", Klantgegevens_B!P208, Klantgegevens_A!M208)</f>
        <v/>
      </c>
      <c r="R209">
        <f>IF(Klantgegevens_B!A208&lt;&gt;"", "B", "A")</f>
        <v/>
      </c>
    </row>
    <row r="210">
      <c r="A210">
        <f>IF(Klantgegevens_B!A209&lt;&gt;"", Klantgegevens_B!A209, MID(Klantgegevens_A!A209, FIND(",", Klantgegevens_A!A209)+2, LEN(Klantgegevens_A!A209)))</f>
        <v/>
      </c>
      <c r="B210">
        <f>IF(Klantgegevens_B!B209&lt;&gt;"", Klantgegevens_B!B209, LEFT(Klantgegevens_A!A209, FIND(",", Klantgegevens_A!A209)-1))</f>
        <v/>
      </c>
      <c r="C210">
        <f>C209 &amp; ", " &amp; B209</f>
        <v/>
      </c>
      <c r="D210">
        <f>IF(Klantgegevens_B!F209&lt;&gt;"", Klantgegevens_B!F209, Klantgegevens_A!D209 &amp; " " &amp; Klantgegevens_A!E209 &amp; ", " &amp; Klantgegevens_A!F209)</f>
        <v/>
      </c>
      <c r="E210">
        <f>IF(Klantgegevens_B!G209&lt;&gt;"", Klantgegevens_B!G209, TEXTJOIN(",", TRUE, REPT("Volwassene,", Klantgegevens_A!G209), REPT("Kind,", Klantgegevens_A!H209)))</f>
        <v/>
      </c>
      <c r="F210">
        <f>IF(Klantgegevens_B!G209&lt;&gt;"", LEN(Klantgegevens_B!G209)-LEN(SUBSTITUTE(Klantgegevens_B!G209, ",", ""))+1, Klantgegevens_A!G209)</f>
        <v/>
      </c>
      <c r="G210">
        <f>IF(Klantgegevens_B!G209&lt;&gt;"", 0, Klantgegevens_A!H209)</f>
        <v/>
      </c>
      <c r="H210">
        <f>IF(Klantgegevens_B!H209&lt;&gt;"", Klantgegevens_B!H209, Klantgegevens_A!I209)</f>
        <v/>
      </c>
      <c r="I210">
        <f>IF(Klantgegevens_B!I209&lt;&gt;"", Klantgegevens_B!I209, SWITCH(Klantgegevens_A!J209, "Zelden", 1, "Af en toe", 4, "Regelmatig", 8, "Vaak", 12))</f>
        <v/>
      </c>
      <c r="J210">
        <f>IF(Klantgegevens_B!J209&lt;&gt;"", Klantgegevens_B!J209, Klantgegevens_A!K209)</f>
        <v/>
      </c>
      <c r="K210">
        <f>IF(Klantgegevens_B!K209&lt;&gt;"", AVERAGE(--(Klantgegevens_B!K209="ja"), --(Klantgegevens_B!L209="ja"), --(Klantgegevens_B!M209="ja"), --(Klantgegevens_B!N209="ja"), --(Klantgegevens_B!O209="ja"))*10, Klantgegevens_A!L209)</f>
        <v/>
      </c>
      <c r="L210">
        <f>IF(Klantgegevens_B!K209&lt;&gt;"", Klantgegevens_B!K209, IF(Klantgegevens_A!L209&gt;=7, "ja", "nee"))</f>
        <v/>
      </c>
      <c r="M210">
        <f>IF(Klantgegevens_B!L209&lt;&gt;"", Klantgegevens_B!L209, IF(Klantgegevens_A!L209&gt;=7, "ja", "nee"))</f>
        <v/>
      </c>
      <c r="N210">
        <f>IF(Klantgegevens_B!M209&lt;&gt;"", Klantgegevens_B!M209, IF(Klantgegevens_A!L209&gt;=7, "ja", "nee"))</f>
        <v/>
      </c>
      <c r="O210">
        <f>IF(Klantgegevens_B!N209&lt;&gt;"", Klantgegevens_B!N209, IF(Klantgegevens_A!L209&gt;=7, "ja", "nee"))</f>
        <v/>
      </c>
      <c r="P210">
        <f>IF(Klantgegevens_B!O209&lt;&gt;"", Klantgegevens_B!O209, IF(Klantgegevens_A!L209&gt;=7, "ja", "nee"))</f>
        <v/>
      </c>
      <c r="Q210">
        <f>IF(Klantgegevens_B!P209&lt;&gt;"", Klantgegevens_B!P209, Klantgegevens_A!M209)</f>
        <v/>
      </c>
      <c r="R210">
        <f>IF(Klantgegevens_B!A209&lt;&gt;"", "B", "A")</f>
        <v/>
      </c>
    </row>
    <row r="211">
      <c r="A211">
        <f>IF(Klantgegevens_B!A210&lt;&gt;"", Klantgegevens_B!A210, MID(Klantgegevens_A!A210, FIND(",", Klantgegevens_A!A210)+2, LEN(Klantgegevens_A!A210)))</f>
        <v/>
      </c>
      <c r="B211">
        <f>IF(Klantgegevens_B!B210&lt;&gt;"", Klantgegevens_B!B210, LEFT(Klantgegevens_A!A210, FIND(",", Klantgegevens_A!A210)-1))</f>
        <v/>
      </c>
      <c r="C211">
        <f>C210 &amp; ", " &amp; B210</f>
        <v/>
      </c>
      <c r="D211">
        <f>IF(Klantgegevens_B!F210&lt;&gt;"", Klantgegevens_B!F210, Klantgegevens_A!D210 &amp; " " &amp; Klantgegevens_A!E210 &amp; ", " &amp; Klantgegevens_A!F210)</f>
        <v/>
      </c>
      <c r="E211">
        <f>IF(Klantgegevens_B!G210&lt;&gt;"", Klantgegevens_B!G210, TEXTJOIN(",", TRUE, REPT("Volwassene,", Klantgegevens_A!G210), REPT("Kind,", Klantgegevens_A!H210)))</f>
        <v/>
      </c>
      <c r="F211">
        <f>IF(Klantgegevens_B!G210&lt;&gt;"", LEN(Klantgegevens_B!G210)-LEN(SUBSTITUTE(Klantgegevens_B!G210, ",", ""))+1, Klantgegevens_A!G210)</f>
        <v/>
      </c>
      <c r="G211">
        <f>IF(Klantgegevens_B!G210&lt;&gt;"", 0, Klantgegevens_A!H210)</f>
        <v/>
      </c>
      <c r="H211">
        <f>IF(Klantgegevens_B!H210&lt;&gt;"", Klantgegevens_B!H210, Klantgegevens_A!I210)</f>
        <v/>
      </c>
      <c r="I211">
        <f>IF(Klantgegevens_B!I210&lt;&gt;"", Klantgegevens_B!I210, SWITCH(Klantgegevens_A!J210, "Zelden", 1, "Af en toe", 4, "Regelmatig", 8, "Vaak", 12))</f>
        <v/>
      </c>
      <c r="J211">
        <f>IF(Klantgegevens_B!J210&lt;&gt;"", Klantgegevens_B!J210, Klantgegevens_A!K210)</f>
        <v/>
      </c>
      <c r="K211">
        <f>IF(Klantgegevens_B!K210&lt;&gt;"", AVERAGE(--(Klantgegevens_B!K210="ja"), --(Klantgegevens_B!L210="ja"), --(Klantgegevens_B!M210="ja"), --(Klantgegevens_B!N210="ja"), --(Klantgegevens_B!O210="ja"))*10, Klantgegevens_A!L210)</f>
        <v/>
      </c>
      <c r="L211">
        <f>IF(Klantgegevens_B!K210&lt;&gt;"", Klantgegevens_B!K210, IF(Klantgegevens_A!L210&gt;=7, "ja", "nee"))</f>
        <v/>
      </c>
      <c r="M211">
        <f>IF(Klantgegevens_B!L210&lt;&gt;"", Klantgegevens_B!L210, IF(Klantgegevens_A!L210&gt;=7, "ja", "nee"))</f>
        <v/>
      </c>
      <c r="N211">
        <f>IF(Klantgegevens_B!M210&lt;&gt;"", Klantgegevens_B!M210, IF(Klantgegevens_A!L210&gt;=7, "ja", "nee"))</f>
        <v/>
      </c>
      <c r="O211">
        <f>IF(Klantgegevens_B!N210&lt;&gt;"", Klantgegevens_B!N210, IF(Klantgegevens_A!L210&gt;=7, "ja", "nee"))</f>
        <v/>
      </c>
      <c r="P211">
        <f>IF(Klantgegevens_B!O210&lt;&gt;"", Klantgegevens_B!O210, IF(Klantgegevens_A!L210&gt;=7, "ja", "nee"))</f>
        <v/>
      </c>
      <c r="Q211">
        <f>IF(Klantgegevens_B!P210&lt;&gt;"", Klantgegevens_B!P210, Klantgegevens_A!M210)</f>
        <v/>
      </c>
      <c r="R211">
        <f>IF(Klantgegevens_B!A210&lt;&gt;"", "B", "A")</f>
        <v/>
      </c>
    </row>
    <row r="212">
      <c r="A212">
        <f>IF(Klantgegevens_B!A211&lt;&gt;"", Klantgegevens_B!A211, MID(Klantgegevens_A!A211, FIND(",", Klantgegevens_A!A211)+2, LEN(Klantgegevens_A!A211)))</f>
        <v/>
      </c>
      <c r="B212">
        <f>IF(Klantgegevens_B!B211&lt;&gt;"", Klantgegevens_B!B211, LEFT(Klantgegevens_A!A211, FIND(",", Klantgegevens_A!A211)-1))</f>
        <v/>
      </c>
      <c r="C212">
        <f>C211 &amp; ", " &amp; B211</f>
        <v/>
      </c>
      <c r="D212">
        <f>IF(Klantgegevens_B!F211&lt;&gt;"", Klantgegevens_B!F211, Klantgegevens_A!D211 &amp; " " &amp; Klantgegevens_A!E211 &amp; ", " &amp; Klantgegevens_A!F211)</f>
        <v/>
      </c>
      <c r="E212">
        <f>IF(Klantgegevens_B!G211&lt;&gt;"", Klantgegevens_B!G211, TEXTJOIN(",", TRUE, REPT("Volwassene,", Klantgegevens_A!G211), REPT("Kind,", Klantgegevens_A!H211)))</f>
        <v/>
      </c>
      <c r="F212">
        <f>IF(Klantgegevens_B!G211&lt;&gt;"", LEN(Klantgegevens_B!G211)-LEN(SUBSTITUTE(Klantgegevens_B!G211, ",", ""))+1, Klantgegevens_A!G211)</f>
        <v/>
      </c>
      <c r="G212">
        <f>IF(Klantgegevens_B!G211&lt;&gt;"", 0, Klantgegevens_A!H211)</f>
        <v/>
      </c>
      <c r="H212">
        <f>IF(Klantgegevens_B!H211&lt;&gt;"", Klantgegevens_B!H211, Klantgegevens_A!I211)</f>
        <v/>
      </c>
      <c r="I212">
        <f>IF(Klantgegevens_B!I211&lt;&gt;"", Klantgegevens_B!I211, SWITCH(Klantgegevens_A!J211, "Zelden", 1, "Af en toe", 4, "Regelmatig", 8, "Vaak", 12))</f>
        <v/>
      </c>
      <c r="J212">
        <f>IF(Klantgegevens_B!J211&lt;&gt;"", Klantgegevens_B!J211, Klantgegevens_A!K211)</f>
        <v/>
      </c>
      <c r="K212">
        <f>IF(Klantgegevens_B!K211&lt;&gt;"", AVERAGE(--(Klantgegevens_B!K211="ja"), --(Klantgegevens_B!L211="ja"), --(Klantgegevens_B!M211="ja"), --(Klantgegevens_B!N211="ja"), --(Klantgegevens_B!O211="ja"))*10, Klantgegevens_A!L211)</f>
        <v/>
      </c>
      <c r="L212">
        <f>IF(Klantgegevens_B!K211&lt;&gt;"", Klantgegevens_B!K211, IF(Klantgegevens_A!L211&gt;=7, "ja", "nee"))</f>
        <v/>
      </c>
      <c r="M212">
        <f>IF(Klantgegevens_B!L211&lt;&gt;"", Klantgegevens_B!L211, IF(Klantgegevens_A!L211&gt;=7, "ja", "nee"))</f>
        <v/>
      </c>
      <c r="N212">
        <f>IF(Klantgegevens_B!M211&lt;&gt;"", Klantgegevens_B!M211, IF(Klantgegevens_A!L211&gt;=7, "ja", "nee"))</f>
        <v/>
      </c>
      <c r="O212">
        <f>IF(Klantgegevens_B!N211&lt;&gt;"", Klantgegevens_B!N211, IF(Klantgegevens_A!L211&gt;=7, "ja", "nee"))</f>
        <v/>
      </c>
      <c r="P212">
        <f>IF(Klantgegevens_B!O211&lt;&gt;"", Klantgegevens_B!O211, IF(Klantgegevens_A!L211&gt;=7, "ja", "nee"))</f>
        <v/>
      </c>
      <c r="Q212">
        <f>IF(Klantgegevens_B!P211&lt;&gt;"", Klantgegevens_B!P211, Klantgegevens_A!M211)</f>
        <v/>
      </c>
      <c r="R212">
        <f>IF(Klantgegevens_B!A211&lt;&gt;"", "B", "A")</f>
        <v/>
      </c>
    </row>
    <row r="213">
      <c r="A213">
        <f>IF(Klantgegevens_B!A212&lt;&gt;"", Klantgegevens_B!A212, MID(Klantgegevens_A!A212, FIND(",", Klantgegevens_A!A212)+2, LEN(Klantgegevens_A!A212)))</f>
        <v/>
      </c>
      <c r="B213">
        <f>IF(Klantgegevens_B!B212&lt;&gt;"", Klantgegevens_B!B212, LEFT(Klantgegevens_A!A212, FIND(",", Klantgegevens_A!A212)-1))</f>
        <v/>
      </c>
      <c r="C213">
        <f>C212 &amp; ", " &amp; B212</f>
        <v/>
      </c>
      <c r="D213">
        <f>IF(Klantgegevens_B!F212&lt;&gt;"", Klantgegevens_B!F212, Klantgegevens_A!D212 &amp; " " &amp; Klantgegevens_A!E212 &amp; ", " &amp; Klantgegevens_A!F212)</f>
        <v/>
      </c>
      <c r="E213">
        <f>IF(Klantgegevens_B!G212&lt;&gt;"", Klantgegevens_B!G212, TEXTJOIN(",", TRUE, REPT("Volwassene,", Klantgegevens_A!G212), REPT("Kind,", Klantgegevens_A!H212)))</f>
        <v/>
      </c>
      <c r="F213">
        <f>IF(Klantgegevens_B!G212&lt;&gt;"", LEN(Klantgegevens_B!G212)-LEN(SUBSTITUTE(Klantgegevens_B!G212, ",", ""))+1, Klantgegevens_A!G212)</f>
        <v/>
      </c>
      <c r="G213">
        <f>IF(Klantgegevens_B!G212&lt;&gt;"", 0, Klantgegevens_A!H212)</f>
        <v/>
      </c>
      <c r="H213">
        <f>IF(Klantgegevens_B!H212&lt;&gt;"", Klantgegevens_B!H212, Klantgegevens_A!I212)</f>
        <v/>
      </c>
      <c r="I213">
        <f>IF(Klantgegevens_B!I212&lt;&gt;"", Klantgegevens_B!I212, SWITCH(Klantgegevens_A!J212, "Zelden", 1, "Af en toe", 4, "Regelmatig", 8, "Vaak", 12))</f>
        <v/>
      </c>
      <c r="J213">
        <f>IF(Klantgegevens_B!J212&lt;&gt;"", Klantgegevens_B!J212, Klantgegevens_A!K212)</f>
        <v/>
      </c>
      <c r="K213">
        <f>IF(Klantgegevens_B!K212&lt;&gt;"", AVERAGE(--(Klantgegevens_B!K212="ja"), --(Klantgegevens_B!L212="ja"), --(Klantgegevens_B!M212="ja"), --(Klantgegevens_B!N212="ja"), --(Klantgegevens_B!O212="ja"))*10, Klantgegevens_A!L212)</f>
        <v/>
      </c>
      <c r="L213">
        <f>IF(Klantgegevens_B!K212&lt;&gt;"", Klantgegevens_B!K212, IF(Klantgegevens_A!L212&gt;=7, "ja", "nee"))</f>
        <v/>
      </c>
      <c r="M213">
        <f>IF(Klantgegevens_B!L212&lt;&gt;"", Klantgegevens_B!L212, IF(Klantgegevens_A!L212&gt;=7, "ja", "nee"))</f>
        <v/>
      </c>
      <c r="N213">
        <f>IF(Klantgegevens_B!M212&lt;&gt;"", Klantgegevens_B!M212, IF(Klantgegevens_A!L212&gt;=7, "ja", "nee"))</f>
        <v/>
      </c>
      <c r="O213">
        <f>IF(Klantgegevens_B!N212&lt;&gt;"", Klantgegevens_B!N212, IF(Klantgegevens_A!L212&gt;=7, "ja", "nee"))</f>
        <v/>
      </c>
      <c r="P213">
        <f>IF(Klantgegevens_B!O212&lt;&gt;"", Klantgegevens_B!O212, IF(Klantgegevens_A!L212&gt;=7, "ja", "nee"))</f>
        <v/>
      </c>
      <c r="Q213">
        <f>IF(Klantgegevens_B!P212&lt;&gt;"", Klantgegevens_B!P212, Klantgegevens_A!M212)</f>
        <v/>
      </c>
      <c r="R213">
        <f>IF(Klantgegevens_B!A212&lt;&gt;"", "B", "A")</f>
        <v/>
      </c>
    </row>
    <row r="214">
      <c r="A214">
        <f>IF(Klantgegevens_B!A213&lt;&gt;"", Klantgegevens_B!A213, MID(Klantgegevens_A!A213, FIND(",", Klantgegevens_A!A213)+2, LEN(Klantgegevens_A!A213)))</f>
        <v/>
      </c>
      <c r="B214">
        <f>IF(Klantgegevens_B!B213&lt;&gt;"", Klantgegevens_B!B213, LEFT(Klantgegevens_A!A213, FIND(",", Klantgegevens_A!A213)-1))</f>
        <v/>
      </c>
      <c r="C214">
        <f>C213 &amp; ", " &amp; B213</f>
        <v/>
      </c>
      <c r="D214">
        <f>IF(Klantgegevens_B!F213&lt;&gt;"", Klantgegevens_B!F213, Klantgegevens_A!D213 &amp; " " &amp; Klantgegevens_A!E213 &amp; ", " &amp; Klantgegevens_A!F213)</f>
        <v/>
      </c>
      <c r="E214">
        <f>IF(Klantgegevens_B!G213&lt;&gt;"", Klantgegevens_B!G213, TEXTJOIN(",", TRUE, REPT("Volwassene,", Klantgegevens_A!G213), REPT("Kind,", Klantgegevens_A!H213)))</f>
        <v/>
      </c>
      <c r="F214">
        <f>IF(Klantgegevens_B!G213&lt;&gt;"", LEN(Klantgegevens_B!G213)-LEN(SUBSTITUTE(Klantgegevens_B!G213, ",", ""))+1, Klantgegevens_A!G213)</f>
        <v/>
      </c>
      <c r="G214">
        <f>IF(Klantgegevens_B!G213&lt;&gt;"", 0, Klantgegevens_A!H213)</f>
        <v/>
      </c>
      <c r="H214">
        <f>IF(Klantgegevens_B!H213&lt;&gt;"", Klantgegevens_B!H213, Klantgegevens_A!I213)</f>
        <v/>
      </c>
      <c r="I214">
        <f>IF(Klantgegevens_B!I213&lt;&gt;"", Klantgegevens_B!I213, SWITCH(Klantgegevens_A!J213, "Zelden", 1, "Af en toe", 4, "Regelmatig", 8, "Vaak", 12))</f>
        <v/>
      </c>
      <c r="J214">
        <f>IF(Klantgegevens_B!J213&lt;&gt;"", Klantgegevens_B!J213, Klantgegevens_A!K213)</f>
        <v/>
      </c>
      <c r="K214">
        <f>IF(Klantgegevens_B!K213&lt;&gt;"", AVERAGE(--(Klantgegevens_B!K213="ja"), --(Klantgegevens_B!L213="ja"), --(Klantgegevens_B!M213="ja"), --(Klantgegevens_B!N213="ja"), --(Klantgegevens_B!O213="ja"))*10, Klantgegevens_A!L213)</f>
        <v/>
      </c>
      <c r="L214">
        <f>IF(Klantgegevens_B!K213&lt;&gt;"", Klantgegevens_B!K213, IF(Klantgegevens_A!L213&gt;=7, "ja", "nee"))</f>
        <v/>
      </c>
      <c r="M214">
        <f>IF(Klantgegevens_B!L213&lt;&gt;"", Klantgegevens_B!L213, IF(Klantgegevens_A!L213&gt;=7, "ja", "nee"))</f>
        <v/>
      </c>
      <c r="N214">
        <f>IF(Klantgegevens_B!M213&lt;&gt;"", Klantgegevens_B!M213, IF(Klantgegevens_A!L213&gt;=7, "ja", "nee"))</f>
        <v/>
      </c>
      <c r="O214">
        <f>IF(Klantgegevens_B!N213&lt;&gt;"", Klantgegevens_B!N213, IF(Klantgegevens_A!L213&gt;=7, "ja", "nee"))</f>
        <v/>
      </c>
      <c r="P214">
        <f>IF(Klantgegevens_B!O213&lt;&gt;"", Klantgegevens_B!O213, IF(Klantgegevens_A!L213&gt;=7, "ja", "nee"))</f>
        <v/>
      </c>
      <c r="Q214">
        <f>IF(Klantgegevens_B!P213&lt;&gt;"", Klantgegevens_B!P213, Klantgegevens_A!M213)</f>
        <v/>
      </c>
      <c r="R214">
        <f>IF(Klantgegevens_B!A213&lt;&gt;"", "B", "A")</f>
        <v/>
      </c>
    </row>
    <row r="215">
      <c r="A215">
        <f>IF(Klantgegevens_B!A214&lt;&gt;"", Klantgegevens_B!A214, MID(Klantgegevens_A!A214, FIND(",", Klantgegevens_A!A214)+2, LEN(Klantgegevens_A!A214)))</f>
        <v/>
      </c>
      <c r="B215">
        <f>IF(Klantgegevens_B!B214&lt;&gt;"", Klantgegevens_B!B214, LEFT(Klantgegevens_A!A214, FIND(",", Klantgegevens_A!A214)-1))</f>
        <v/>
      </c>
      <c r="C215">
        <f>C214 &amp; ", " &amp; B214</f>
        <v/>
      </c>
      <c r="D215">
        <f>IF(Klantgegevens_B!F214&lt;&gt;"", Klantgegevens_B!F214, Klantgegevens_A!D214 &amp; " " &amp; Klantgegevens_A!E214 &amp; ", " &amp; Klantgegevens_A!F214)</f>
        <v/>
      </c>
      <c r="E215">
        <f>IF(Klantgegevens_B!G214&lt;&gt;"", Klantgegevens_B!G214, TEXTJOIN(",", TRUE, REPT("Volwassene,", Klantgegevens_A!G214), REPT("Kind,", Klantgegevens_A!H214)))</f>
        <v/>
      </c>
      <c r="F215">
        <f>IF(Klantgegevens_B!G214&lt;&gt;"", LEN(Klantgegevens_B!G214)-LEN(SUBSTITUTE(Klantgegevens_B!G214, ",", ""))+1, Klantgegevens_A!G214)</f>
        <v/>
      </c>
      <c r="G215">
        <f>IF(Klantgegevens_B!G214&lt;&gt;"", 0, Klantgegevens_A!H214)</f>
        <v/>
      </c>
      <c r="H215">
        <f>IF(Klantgegevens_B!H214&lt;&gt;"", Klantgegevens_B!H214, Klantgegevens_A!I214)</f>
        <v/>
      </c>
      <c r="I215">
        <f>IF(Klantgegevens_B!I214&lt;&gt;"", Klantgegevens_B!I214, SWITCH(Klantgegevens_A!J214, "Zelden", 1, "Af en toe", 4, "Regelmatig", 8, "Vaak", 12))</f>
        <v/>
      </c>
      <c r="J215">
        <f>IF(Klantgegevens_B!J214&lt;&gt;"", Klantgegevens_B!J214, Klantgegevens_A!K214)</f>
        <v/>
      </c>
      <c r="K215">
        <f>IF(Klantgegevens_B!K214&lt;&gt;"", AVERAGE(--(Klantgegevens_B!K214="ja"), --(Klantgegevens_B!L214="ja"), --(Klantgegevens_B!M214="ja"), --(Klantgegevens_B!N214="ja"), --(Klantgegevens_B!O214="ja"))*10, Klantgegevens_A!L214)</f>
        <v/>
      </c>
      <c r="L215">
        <f>IF(Klantgegevens_B!K214&lt;&gt;"", Klantgegevens_B!K214, IF(Klantgegevens_A!L214&gt;=7, "ja", "nee"))</f>
        <v/>
      </c>
      <c r="M215">
        <f>IF(Klantgegevens_B!L214&lt;&gt;"", Klantgegevens_B!L214, IF(Klantgegevens_A!L214&gt;=7, "ja", "nee"))</f>
        <v/>
      </c>
      <c r="N215">
        <f>IF(Klantgegevens_B!M214&lt;&gt;"", Klantgegevens_B!M214, IF(Klantgegevens_A!L214&gt;=7, "ja", "nee"))</f>
        <v/>
      </c>
      <c r="O215">
        <f>IF(Klantgegevens_B!N214&lt;&gt;"", Klantgegevens_B!N214, IF(Klantgegevens_A!L214&gt;=7, "ja", "nee"))</f>
        <v/>
      </c>
      <c r="P215">
        <f>IF(Klantgegevens_B!O214&lt;&gt;"", Klantgegevens_B!O214, IF(Klantgegevens_A!L214&gt;=7, "ja", "nee"))</f>
        <v/>
      </c>
      <c r="Q215">
        <f>IF(Klantgegevens_B!P214&lt;&gt;"", Klantgegevens_B!P214, Klantgegevens_A!M214)</f>
        <v/>
      </c>
      <c r="R215">
        <f>IF(Klantgegevens_B!A214&lt;&gt;"", "B", "A")</f>
        <v/>
      </c>
    </row>
    <row r="216">
      <c r="A216">
        <f>IF(Klantgegevens_B!A215&lt;&gt;"", Klantgegevens_B!A215, MID(Klantgegevens_A!A215, FIND(",", Klantgegevens_A!A215)+2, LEN(Klantgegevens_A!A215)))</f>
        <v/>
      </c>
      <c r="B216">
        <f>IF(Klantgegevens_B!B215&lt;&gt;"", Klantgegevens_B!B215, LEFT(Klantgegevens_A!A215, FIND(",", Klantgegevens_A!A215)-1))</f>
        <v/>
      </c>
      <c r="C216">
        <f>C215 &amp; ", " &amp; B215</f>
        <v/>
      </c>
      <c r="D216">
        <f>IF(Klantgegevens_B!F215&lt;&gt;"", Klantgegevens_B!F215, Klantgegevens_A!D215 &amp; " " &amp; Klantgegevens_A!E215 &amp; ", " &amp; Klantgegevens_A!F215)</f>
        <v/>
      </c>
      <c r="E216">
        <f>IF(Klantgegevens_B!G215&lt;&gt;"", Klantgegevens_B!G215, TEXTJOIN(",", TRUE, REPT("Volwassene,", Klantgegevens_A!G215), REPT("Kind,", Klantgegevens_A!H215)))</f>
        <v/>
      </c>
      <c r="F216">
        <f>IF(Klantgegevens_B!G215&lt;&gt;"", LEN(Klantgegevens_B!G215)-LEN(SUBSTITUTE(Klantgegevens_B!G215, ",", ""))+1, Klantgegevens_A!G215)</f>
        <v/>
      </c>
      <c r="G216">
        <f>IF(Klantgegevens_B!G215&lt;&gt;"", 0, Klantgegevens_A!H215)</f>
        <v/>
      </c>
      <c r="H216">
        <f>IF(Klantgegevens_B!H215&lt;&gt;"", Klantgegevens_B!H215, Klantgegevens_A!I215)</f>
        <v/>
      </c>
      <c r="I216">
        <f>IF(Klantgegevens_B!I215&lt;&gt;"", Klantgegevens_B!I215, SWITCH(Klantgegevens_A!J215, "Zelden", 1, "Af en toe", 4, "Regelmatig", 8, "Vaak", 12))</f>
        <v/>
      </c>
      <c r="J216">
        <f>IF(Klantgegevens_B!J215&lt;&gt;"", Klantgegevens_B!J215, Klantgegevens_A!K215)</f>
        <v/>
      </c>
      <c r="K216">
        <f>IF(Klantgegevens_B!K215&lt;&gt;"", AVERAGE(--(Klantgegevens_B!K215="ja"), --(Klantgegevens_B!L215="ja"), --(Klantgegevens_B!M215="ja"), --(Klantgegevens_B!N215="ja"), --(Klantgegevens_B!O215="ja"))*10, Klantgegevens_A!L215)</f>
        <v/>
      </c>
      <c r="L216">
        <f>IF(Klantgegevens_B!K215&lt;&gt;"", Klantgegevens_B!K215, IF(Klantgegevens_A!L215&gt;=7, "ja", "nee"))</f>
        <v/>
      </c>
      <c r="M216">
        <f>IF(Klantgegevens_B!L215&lt;&gt;"", Klantgegevens_B!L215, IF(Klantgegevens_A!L215&gt;=7, "ja", "nee"))</f>
        <v/>
      </c>
      <c r="N216">
        <f>IF(Klantgegevens_B!M215&lt;&gt;"", Klantgegevens_B!M215, IF(Klantgegevens_A!L215&gt;=7, "ja", "nee"))</f>
        <v/>
      </c>
      <c r="O216">
        <f>IF(Klantgegevens_B!N215&lt;&gt;"", Klantgegevens_B!N215, IF(Klantgegevens_A!L215&gt;=7, "ja", "nee"))</f>
        <v/>
      </c>
      <c r="P216">
        <f>IF(Klantgegevens_B!O215&lt;&gt;"", Klantgegevens_B!O215, IF(Klantgegevens_A!L215&gt;=7, "ja", "nee"))</f>
        <v/>
      </c>
      <c r="Q216">
        <f>IF(Klantgegevens_B!P215&lt;&gt;"", Klantgegevens_B!P215, Klantgegevens_A!M215)</f>
        <v/>
      </c>
      <c r="R216">
        <f>IF(Klantgegevens_B!A215&lt;&gt;"", "B", "A")</f>
        <v/>
      </c>
    </row>
    <row r="217">
      <c r="A217">
        <f>IF(Klantgegevens_B!A216&lt;&gt;"", Klantgegevens_B!A216, MID(Klantgegevens_A!A216, FIND(",", Klantgegevens_A!A216)+2, LEN(Klantgegevens_A!A216)))</f>
        <v/>
      </c>
      <c r="B217">
        <f>IF(Klantgegevens_B!B216&lt;&gt;"", Klantgegevens_B!B216, LEFT(Klantgegevens_A!A216, FIND(",", Klantgegevens_A!A216)-1))</f>
        <v/>
      </c>
      <c r="C217">
        <f>C216 &amp; ", " &amp; B216</f>
        <v/>
      </c>
      <c r="D217">
        <f>IF(Klantgegevens_B!F216&lt;&gt;"", Klantgegevens_B!F216, Klantgegevens_A!D216 &amp; " " &amp; Klantgegevens_A!E216 &amp; ", " &amp; Klantgegevens_A!F216)</f>
        <v/>
      </c>
      <c r="E217">
        <f>IF(Klantgegevens_B!G216&lt;&gt;"", Klantgegevens_B!G216, TEXTJOIN(",", TRUE, REPT("Volwassene,", Klantgegevens_A!G216), REPT("Kind,", Klantgegevens_A!H216)))</f>
        <v/>
      </c>
      <c r="F217">
        <f>IF(Klantgegevens_B!G216&lt;&gt;"", LEN(Klantgegevens_B!G216)-LEN(SUBSTITUTE(Klantgegevens_B!G216, ",", ""))+1, Klantgegevens_A!G216)</f>
        <v/>
      </c>
      <c r="G217">
        <f>IF(Klantgegevens_B!G216&lt;&gt;"", 0, Klantgegevens_A!H216)</f>
        <v/>
      </c>
      <c r="H217">
        <f>IF(Klantgegevens_B!H216&lt;&gt;"", Klantgegevens_B!H216, Klantgegevens_A!I216)</f>
        <v/>
      </c>
      <c r="I217">
        <f>IF(Klantgegevens_B!I216&lt;&gt;"", Klantgegevens_B!I216, SWITCH(Klantgegevens_A!J216, "Zelden", 1, "Af en toe", 4, "Regelmatig", 8, "Vaak", 12))</f>
        <v/>
      </c>
      <c r="J217">
        <f>IF(Klantgegevens_B!J216&lt;&gt;"", Klantgegevens_B!J216, Klantgegevens_A!K216)</f>
        <v/>
      </c>
      <c r="K217">
        <f>IF(Klantgegevens_B!K216&lt;&gt;"", AVERAGE(--(Klantgegevens_B!K216="ja"), --(Klantgegevens_B!L216="ja"), --(Klantgegevens_B!M216="ja"), --(Klantgegevens_B!N216="ja"), --(Klantgegevens_B!O216="ja"))*10, Klantgegevens_A!L216)</f>
        <v/>
      </c>
      <c r="L217">
        <f>IF(Klantgegevens_B!K216&lt;&gt;"", Klantgegevens_B!K216, IF(Klantgegevens_A!L216&gt;=7, "ja", "nee"))</f>
        <v/>
      </c>
      <c r="M217">
        <f>IF(Klantgegevens_B!L216&lt;&gt;"", Klantgegevens_B!L216, IF(Klantgegevens_A!L216&gt;=7, "ja", "nee"))</f>
        <v/>
      </c>
      <c r="N217">
        <f>IF(Klantgegevens_B!M216&lt;&gt;"", Klantgegevens_B!M216, IF(Klantgegevens_A!L216&gt;=7, "ja", "nee"))</f>
        <v/>
      </c>
      <c r="O217">
        <f>IF(Klantgegevens_B!N216&lt;&gt;"", Klantgegevens_B!N216, IF(Klantgegevens_A!L216&gt;=7, "ja", "nee"))</f>
        <v/>
      </c>
      <c r="P217">
        <f>IF(Klantgegevens_B!O216&lt;&gt;"", Klantgegevens_B!O216, IF(Klantgegevens_A!L216&gt;=7, "ja", "nee"))</f>
        <v/>
      </c>
      <c r="Q217">
        <f>IF(Klantgegevens_B!P216&lt;&gt;"", Klantgegevens_B!P216, Klantgegevens_A!M216)</f>
        <v/>
      </c>
      <c r="R217">
        <f>IF(Klantgegevens_B!A216&lt;&gt;"", "B", "A")</f>
        <v/>
      </c>
    </row>
    <row r="218">
      <c r="A218">
        <f>IF(Klantgegevens_B!A217&lt;&gt;"", Klantgegevens_B!A217, MID(Klantgegevens_A!A217, FIND(",", Klantgegevens_A!A217)+2, LEN(Klantgegevens_A!A217)))</f>
        <v/>
      </c>
      <c r="B218">
        <f>IF(Klantgegevens_B!B217&lt;&gt;"", Klantgegevens_B!B217, LEFT(Klantgegevens_A!A217, FIND(",", Klantgegevens_A!A217)-1))</f>
        <v/>
      </c>
      <c r="C218">
        <f>C217 &amp; ", " &amp; B217</f>
        <v/>
      </c>
      <c r="D218">
        <f>IF(Klantgegevens_B!F217&lt;&gt;"", Klantgegevens_B!F217, Klantgegevens_A!D217 &amp; " " &amp; Klantgegevens_A!E217 &amp; ", " &amp; Klantgegevens_A!F217)</f>
        <v/>
      </c>
      <c r="E218">
        <f>IF(Klantgegevens_B!G217&lt;&gt;"", Klantgegevens_B!G217, TEXTJOIN(",", TRUE, REPT("Volwassene,", Klantgegevens_A!G217), REPT("Kind,", Klantgegevens_A!H217)))</f>
        <v/>
      </c>
      <c r="F218">
        <f>IF(Klantgegevens_B!G217&lt;&gt;"", LEN(Klantgegevens_B!G217)-LEN(SUBSTITUTE(Klantgegevens_B!G217, ",", ""))+1, Klantgegevens_A!G217)</f>
        <v/>
      </c>
      <c r="G218">
        <f>IF(Klantgegevens_B!G217&lt;&gt;"", 0, Klantgegevens_A!H217)</f>
        <v/>
      </c>
      <c r="H218">
        <f>IF(Klantgegevens_B!H217&lt;&gt;"", Klantgegevens_B!H217, Klantgegevens_A!I217)</f>
        <v/>
      </c>
      <c r="I218">
        <f>IF(Klantgegevens_B!I217&lt;&gt;"", Klantgegevens_B!I217, SWITCH(Klantgegevens_A!J217, "Zelden", 1, "Af en toe", 4, "Regelmatig", 8, "Vaak", 12))</f>
        <v/>
      </c>
      <c r="J218">
        <f>IF(Klantgegevens_B!J217&lt;&gt;"", Klantgegevens_B!J217, Klantgegevens_A!K217)</f>
        <v/>
      </c>
      <c r="K218">
        <f>IF(Klantgegevens_B!K217&lt;&gt;"", AVERAGE(--(Klantgegevens_B!K217="ja"), --(Klantgegevens_B!L217="ja"), --(Klantgegevens_B!M217="ja"), --(Klantgegevens_B!N217="ja"), --(Klantgegevens_B!O217="ja"))*10, Klantgegevens_A!L217)</f>
        <v/>
      </c>
      <c r="L218">
        <f>IF(Klantgegevens_B!K217&lt;&gt;"", Klantgegevens_B!K217, IF(Klantgegevens_A!L217&gt;=7, "ja", "nee"))</f>
        <v/>
      </c>
      <c r="M218">
        <f>IF(Klantgegevens_B!L217&lt;&gt;"", Klantgegevens_B!L217, IF(Klantgegevens_A!L217&gt;=7, "ja", "nee"))</f>
        <v/>
      </c>
      <c r="N218">
        <f>IF(Klantgegevens_B!M217&lt;&gt;"", Klantgegevens_B!M217, IF(Klantgegevens_A!L217&gt;=7, "ja", "nee"))</f>
        <v/>
      </c>
      <c r="O218">
        <f>IF(Klantgegevens_B!N217&lt;&gt;"", Klantgegevens_B!N217, IF(Klantgegevens_A!L217&gt;=7, "ja", "nee"))</f>
        <v/>
      </c>
      <c r="P218">
        <f>IF(Klantgegevens_B!O217&lt;&gt;"", Klantgegevens_B!O217, IF(Klantgegevens_A!L217&gt;=7, "ja", "nee"))</f>
        <v/>
      </c>
      <c r="Q218">
        <f>IF(Klantgegevens_B!P217&lt;&gt;"", Klantgegevens_B!P217, Klantgegevens_A!M217)</f>
        <v/>
      </c>
      <c r="R218">
        <f>IF(Klantgegevens_B!A217&lt;&gt;"", "B", "A")</f>
        <v/>
      </c>
    </row>
    <row r="219">
      <c r="A219">
        <f>IF(Klantgegevens_B!A218&lt;&gt;"", Klantgegevens_B!A218, MID(Klantgegevens_A!A218, FIND(",", Klantgegevens_A!A218)+2, LEN(Klantgegevens_A!A218)))</f>
        <v/>
      </c>
      <c r="B219">
        <f>IF(Klantgegevens_B!B218&lt;&gt;"", Klantgegevens_B!B218, LEFT(Klantgegevens_A!A218, FIND(",", Klantgegevens_A!A218)-1))</f>
        <v/>
      </c>
      <c r="C219">
        <f>C218 &amp; ", " &amp; B218</f>
        <v/>
      </c>
      <c r="D219">
        <f>IF(Klantgegevens_B!F218&lt;&gt;"", Klantgegevens_B!F218, Klantgegevens_A!D218 &amp; " " &amp; Klantgegevens_A!E218 &amp; ", " &amp; Klantgegevens_A!F218)</f>
        <v/>
      </c>
      <c r="E219">
        <f>IF(Klantgegevens_B!G218&lt;&gt;"", Klantgegevens_B!G218, TEXTJOIN(",", TRUE, REPT("Volwassene,", Klantgegevens_A!G218), REPT("Kind,", Klantgegevens_A!H218)))</f>
        <v/>
      </c>
      <c r="F219">
        <f>IF(Klantgegevens_B!G218&lt;&gt;"", LEN(Klantgegevens_B!G218)-LEN(SUBSTITUTE(Klantgegevens_B!G218, ",", ""))+1, Klantgegevens_A!G218)</f>
        <v/>
      </c>
      <c r="G219">
        <f>IF(Klantgegevens_B!G218&lt;&gt;"", 0, Klantgegevens_A!H218)</f>
        <v/>
      </c>
      <c r="H219">
        <f>IF(Klantgegevens_B!H218&lt;&gt;"", Klantgegevens_B!H218, Klantgegevens_A!I218)</f>
        <v/>
      </c>
      <c r="I219">
        <f>IF(Klantgegevens_B!I218&lt;&gt;"", Klantgegevens_B!I218, SWITCH(Klantgegevens_A!J218, "Zelden", 1, "Af en toe", 4, "Regelmatig", 8, "Vaak", 12))</f>
        <v/>
      </c>
      <c r="J219">
        <f>IF(Klantgegevens_B!J218&lt;&gt;"", Klantgegevens_B!J218, Klantgegevens_A!K218)</f>
        <v/>
      </c>
      <c r="K219">
        <f>IF(Klantgegevens_B!K218&lt;&gt;"", AVERAGE(--(Klantgegevens_B!K218="ja"), --(Klantgegevens_B!L218="ja"), --(Klantgegevens_B!M218="ja"), --(Klantgegevens_B!N218="ja"), --(Klantgegevens_B!O218="ja"))*10, Klantgegevens_A!L218)</f>
        <v/>
      </c>
      <c r="L219">
        <f>IF(Klantgegevens_B!K218&lt;&gt;"", Klantgegevens_B!K218, IF(Klantgegevens_A!L218&gt;=7, "ja", "nee"))</f>
        <v/>
      </c>
      <c r="M219">
        <f>IF(Klantgegevens_B!L218&lt;&gt;"", Klantgegevens_B!L218, IF(Klantgegevens_A!L218&gt;=7, "ja", "nee"))</f>
        <v/>
      </c>
      <c r="N219">
        <f>IF(Klantgegevens_B!M218&lt;&gt;"", Klantgegevens_B!M218, IF(Klantgegevens_A!L218&gt;=7, "ja", "nee"))</f>
        <v/>
      </c>
      <c r="O219">
        <f>IF(Klantgegevens_B!N218&lt;&gt;"", Klantgegevens_B!N218, IF(Klantgegevens_A!L218&gt;=7, "ja", "nee"))</f>
        <v/>
      </c>
      <c r="P219">
        <f>IF(Klantgegevens_B!O218&lt;&gt;"", Klantgegevens_B!O218, IF(Klantgegevens_A!L218&gt;=7, "ja", "nee"))</f>
        <v/>
      </c>
      <c r="Q219">
        <f>IF(Klantgegevens_B!P218&lt;&gt;"", Klantgegevens_B!P218, Klantgegevens_A!M218)</f>
        <v/>
      </c>
      <c r="R219">
        <f>IF(Klantgegevens_B!A218&lt;&gt;"", "B", "A")</f>
        <v/>
      </c>
    </row>
    <row r="220">
      <c r="A220">
        <f>IF(Klantgegevens_B!A219&lt;&gt;"", Klantgegevens_B!A219, MID(Klantgegevens_A!A219, FIND(",", Klantgegevens_A!A219)+2, LEN(Klantgegevens_A!A219)))</f>
        <v/>
      </c>
      <c r="B220">
        <f>IF(Klantgegevens_B!B219&lt;&gt;"", Klantgegevens_B!B219, LEFT(Klantgegevens_A!A219, FIND(",", Klantgegevens_A!A219)-1))</f>
        <v/>
      </c>
      <c r="C220">
        <f>C219 &amp; ", " &amp; B219</f>
        <v/>
      </c>
      <c r="D220">
        <f>IF(Klantgegevens_B!F219&lt;&gt;"", Klantgegevens_B!F219, Klantgegevens_A!D219 &amp; " " &amp; Klantgegevens_A!E219 &amp; ", " &amp; Klantgegevens_A!F219)</f>
        <v/>
      </c>
      <c r="E220">
        <f>IF(Klantgegevens_B!G219&lt;&gt;"", Klantgegevens_B!G219, TEXTJOIN(",", TRUE, REPT("Volwassene,", Klantgegevens_A!G219), REPT("Kind,", Klantgegevens_A!H219)))</f>
        <v/>
      </c>
      <c r="F220">
        <f>IF(Klantgegevens_B!G219&lt;&gt;"", LEN(Klantgegevens_B!G219)-LEN(SUBSTITUTE(Klantgegevens_B!G219, ",", ""))+1, Klantgegevens_A!G219)</f>
        <v/>
      </c>
      <c r="G220">
        <f>IF(Klantgegevens_B!G219&lt;&gt;"", 0, Klantgegevens_A!H219)</f>
        <v/>
      </c>
      <c r="H220">
        <f>IF(Klantgegevens_B!H219&lt;&gt;"", Klantgegevens_B!H219, Klantgegevens_A!I219)</f>
        <v/>
      </c>
      <c r="I220">
        <f>IF(Klantgegevens_B!I219&lt;&gt;"", Klantgegevens_B!I219, SWITCH(Klantgegevens_A!J219, "Zelden", 1, "Af en toe", 4, "Regelmatig", 8, "Vaak", 12))</f>
        <v/>
      </c>
      <c r="J220">
        <f>IF(Klantgegevens_B!J219&lt;&gt;"", Klantgegevens_B!J219, Klantgegevens_A!K219)</f>
        <v/>
      </c>
      <c r="K220">
        <f>IF(Klantgegevens_B!K219&lt;&gt;"", AVERAGE(--(Klantgegevens_B!K219="ja"), --(Klantgegevens_B!L219="ja"), --(Klantgegevens_B!M219="ja"), --(Klantgegevens_B!N219="ja"), --(Klantgegevens_B!O219="ja"))*10, Klantgegevens_A!L219)</f>
        <v/>
      </c>
      <c r="L220">
        <f>IF(Klantgegevens_B!K219&lt;&gt;"", Klantgegevens_B!K219, IF(Klantgegevens_A!L219&gt;=7, "ja", "nee"))</f>
        <v/>
      </c>
      <c r="M220">
        <f>IF(Klantgegevens_B!L219&lt;&gt;"", Klantgegevens_B!L219, IF(Klantgegevens_A!L219&gt;=7, "ja", "nee"))</f>
        <v/>
      </c>
      <c r="N220">
        <f>IF(Klantgegevens_B!M219&lt;&gt;"", Klantgegevens_B!M219, IF(Klantgegevens_A!L219&gt;=7, "ja", "nee"))</f>
        <v/>
      </c>
      <c r="O220">
        <f>IF(Klantgegevens_B!N219&lt;&gt;"", Klantgegevens_B!N219, IF(Klantgegevens_A!L219&gt;=7, "ja", "nee"))</f>
        <v/>
      </c>
      <c r="P220">
        <f>IF(Klantgegevens_B!O219&lt;&gt;"", Klantgegevens_B!O219, IF(Klantgegevens_A!L219&gt;=7, "ja", "nee"))</f>
        <v/>
      </c>
      <c r="Q220">
        <f>IF(Klantgegevens_B!P219&lt;&gt;"", Klantgegevens_B!P219, Klantgegevens_A!M219)</f>
        <v/>
      </c>
      <c r="R220">
        <f>IF(Klantgegevens_B!A219&lt;&gt;"", "B", "A")</f>
        <v/>
      </c>
    </row>
    <row r="221">
      <c r="A221">
        <f>IF(Klantgegevens_B!A220&lt;&gt;"", Klantgegevens_B!A220, MID(Klantgegevens_A!A220, FIND(",", Klantgegevens_A!A220)+2, LEN(Klantgegevens_A!A220)))</f>
        <v/>
      </c>
      <c r="B221">
        <f>IF(Klantgegevens_B!B220&lt;&gt;"", Klantgegevens_B!B220, LEFT(Klantgegevens_A!A220, FIND(",", Klantgegevens_A!A220)-1))</f>
        <v/>
      </c>
      <c r="C221">
        <f>C220 &amp; ", " &amp; B220</f>
        <v/>
      </c>
      <c r="D221">
        <f>IF(Klantgegevens_B!F220&lt;&gt;"", Klantgegevens_B!F220, Klantgegevens_A!D220 &amp; " " &amp; Klantgegevens_A!E220 &amp; ", " &amp; Klantgegevens_A!F220)</f>
        <v/>
      </c>
      <c r="E221">
        <f>IF(Klantgegevens_B!G220&lt;&gt;"", Klantgegevens_B!G220, TEXTJOIN(",", TRUE, REPT("Volwassene,", Klantgegevens_A!G220), REPT("Kind,", Klantgegevens_A!H220)))</f>
        <v/>
      </c>
      <c r="F221">
        <f>IF(Klantgegevens_B!G220&lt;&gt;"", LEN(Klantgegevens_B!G220)-LEN(SUBSTITUTE(Klantgegevens_B!G220, ",", ""))+1, Klantgegevens_A!G220)</f>
        <v/>
      </c>
      <c r="G221">
        <f>IF(Klantgegevens_B!G220&lt;&gt;"", 0, Klantgegevens_A!H220)</f>
        <v/>
      </c>
      <c r="H221">
        <f>IF(Klantgegevens_B!H220&lt;&gt;"", Klantgegevens_B!H220, Klantgegevens_A!I220)</f>
        <v/>
      </c>
      <c r="I221">
        <f>IF(Klantgegevens_B!I220&lt;&gt;"", Klantgegevens_B!I220, SWITCH(Klantgegevens_A!J220, "Zelden", 1, "Af en toe", 4, "Regelmatig", 8, "Vaak", 12))</f>
        <v/>
      </c>
      <c r="J221">
        <f>IF(Klantgegevens_B!J220&lt;&gt;"", Klantgegevens_B!J220, Klantgegevens_A!K220)</f>
        <v/>
      </c>
      <c r="K221">
        <f>IF(Klantgegevens_B!K220&lt;&gt;"", AVERAGE(--(Klantgegevens_B!K220="ja"), --(Klantgegevens_B!L220="ja"), --(Klantgegevens_B!M220="ja"), --(Klantgegevens_B!N220="ja"), --(Klantgegevens_B!O220="ja"))*10, Klantgegevens_A!L220)</f>
        <v/>
      </c>
      <c r="L221">
        <f>IF(Klantgegevens_B!K220&lt;&gt;"", Klantgegevens_B!K220, IF(Klantgegevens_A!L220&gt;=7, "ja", "nee"))</f>
        <v/>
      </c>
      <c r="M221">
        <f>IF(Klantgegevens_B!L220&lt;&gt;"", Klantgegevens_B!L220, IF(Klantgegevens_A!L220&gt;=7, "ja", "nee"))</f>
        <v/>
      </c>
      <c r="N221">
        <f>IF(Klantgegevens_B!M220&lt;&gt;"", Klantgegevens_B!M220, IF(Klantgegevens_A!L220&gt;=7, "ja", "nee"))</f>
        <v/>
      </c>
      <c r="O221">
        <f>IF(Klantgegevens_B!N220&lt;&gt;"", Klantgegevens_B!N220, IF(Klantgegevens_A!L220&gt;=7, "ja", "nee"))</f>
        <v/>
      </c>
      <c r="P221">
        <f>IF(Klantgegevens_B!O220&lt;&gt;"", Klantgegevens_B!O220, IF(Klantgegevens_A!L220&gt;=7, "ja", "nee"))</f>
        <v/>
      </c>
      <c r="Q221">
        <f>IF(Klantgegevens_B!P220&lt;&gt;"", Klantgegevens_B!P220, Klantgegevens_A!M220)</f>
        <v/>
      </c>
      <c r="R221">
        <f>IF(Klantgegevens_B!A220&lt;&gt;"", "B", "A")</f>
        <v/>
      </c>
    </row>
    <row r="222">
      <c r="A222">
        <f>IF(Klantgegevens_B!A221&lt;&gt;"", Klantgegevens_B!A221, MID(Klantgegevens_A!A221, FIND(",", Klantgegevens_A!A221)+2, LEN(Klantgegevens_A!A221)))</f>
        <v/>
      </c>
      <c r="B222">
        <f>IF(Klantgegevens_B!B221&lt;&gt;"", Klantgegevens_B!B221, LEFT(Klantgegevens_A!A221, FIND(",", Klantgegevens_A!A221)-1))</f>
        <v/>
      </c>
      <c r="C222">
        <f>C221 &amp; ", " &amp; B221</f>
        <v/>
      </c>
      <c r="D222">
        <f>IF(Klantgegevens_B!F221&lt;&gt;"", Klantgegevens_B!F221, Klantgegevens_A!D221 &amp; " " &amp; Klantgegevens_A!E221 &amp; ", " &amp; Klantgegevens_A!F221)</f>
        <v/>
      </c>
      <c r="E222">
        <f>IF(Klantgegevens_B!G221&lt;&gt;"", Klantgegevens_B!G221, TEXTJOIN(",", TRUE, REPT("Volwassene,", Klantgegevens_A!G221), REPT("Kind,", Klantgegevens_A!H221)))</f>
        <v/>
      </c>
      <c r="F222">
        <f>IF(Klantgegevens_B!G221&lt;&gt;"", LEN(Klantgegevens_B!G221)-LEN(SUBSTITUTE(Klantgegevens_B!G221, ",", ""))+1, Klantgegevens_A!G221)</f>
        <v/>
      </c>
      <c r="G222">
        <f>IF(Klantgegevens_B!G221&lt;&gt;"", 0, Klantgegevens_A!H221)</f>
        <v/>
      </c>
      <c r="H222">
        <f>IF(Klantgegevens_B!H221&lt;&gt;"", Klantgegevens_B!H221, Klantgegevens_A!I221)</f>
        <v/>
      </c>
      <c r="I222">
        <f>IF(Klantgegevens_B!I221&lt;&gt;"", Klantgegevens_B!I221, SWITCH(Klantgegevens_A!J221, "Zelden", 1, "Af en toe", 4, "Regelmatig", 8, "Vaak", 12))</f>
        <v/>
      </c>
      <c r="J222">
        <f>IF(Klantgegevens_B!J221&lt;&gt;"", Klantgegevens_B!J221, Klantgegevens_A!K221)</f>
        <v/>
      </c>
      <c r="K222">
        <f>IF(Klantgegevens_B!K221&lt;&gt;"", AVERAGE(--(Klantgegevens_B!K221="ja"), --(Klantgegevens_B!L221="ja"), --(Klantgegevens_B!M221="ja"), --(Klantgegevens_B!N221="ja"), --(Klantgegevens_B!O221="ja"))*10, Klantgegevens_A!L221)</f>
        <v/>
      </c>
      <c r="L222">
        <f>IF(Klantgegevens_B!K221&lt;&gt;"", Klantgegevens_B!K221, IF(Klantgegevens_A!L221&gt;=7, "ja", "nee"))</f>
        <v/>
      </c>
      <c r="M222">
        <f>IF(Klantgegevens_B!L221&lt;&gt;"", Klantgegevens_B!L221, IF(Klantgegevens_A!L221&gt;=7, "ja", "nee"))</f>
        <v/>
      </c>
      <c r="N222">
        <f>IF(Klantgegevens_B!M221&lt;&gt;"", Klantgegevens_B!M221, IF(Klantgegevens_A!L221&gt;=7, "ja", "nee"))</f>
        <v/>
      </c>
      <c r="O222">
        <f>IF(Klantgegevens_B!N221&lt;&gt;"", Klantgegevens_B!N221, IF(Klantgegevens_A!L221&gt;=7, "ja", "nee"))</f>
        <v/>
      </c>
      <c r="P222">
        <f>IF(Klantgegevens_B!O221&lt;&gt;"", Klantgegevens_B!O221, IF(Klantgegevens_A!L221&gt;=7, "ja", "nee"))</f>
        <v/>
      </c>
      <c r="Q222">
        <f>IF(Klantgegevens_B!P221&lt;&gt;"", Klantgegevens_B!P221, Klantgegevens_A!M221)</f>
        <v/>
      </c>
      <c r="R222">
        <f>IF(Klantgegevens_B!A221&lt;&gt;"", "B", "A")</f>
        <v/>
      </c>
    </row>
    <row r="223">
      <c r="A223">
        <f>IF(Klantgegevens_B!A222&lt;&gt;"", Klantgegevens_B!A222, MID(Klantgegevens_A!A222, FIND(",", Klantgegevens_A!A222)+2, LEN(Klantgegevens_A!A222)))</f>
        <v/>
      </c>
      <c r="B223">
        <f>IF(Klantgegevens_B!B222&lt;&gt;"", Klantgegevens_B!B222, LEFT(Klantgegevens_A!A222, FIND(",", Klantgegevens_A!A222)-1))</f>
        <v/>
      </c>
      <c r="C223">
        <f>C222 &amp; ", " &amp; B222</f>
        <v/>
      </c>
      <c r="D223">
        <f>IF(Klantgegevens_B!F222&lt;&gt;"", Klantgegevens_B!F222, Klantgegevens_A!D222 &amp; " " &amp; Klantgegevens_A!E222 &amp; ", " &amp; Klantgegevens_A!F222)</f>
        <v/>
      </c>
      <c r="E223">
        <f>IF(Klantgegevens_B!G222&lt;&gt;"", Klantgegevens_B!G222, TEXTJOIN(",", TRUE, REPT("Volwassene,", Klantgegevens_A!G222), REPT("Kind,", Klantgegevens_A!H222)))</f>
        <v/>
      </c>
      <c r="F223">
        <f>IF(Klantgegevens_B!G222&lt;&gt;"", LEN(Klantgegevens_B!G222)-LEN(SUBSTITUTE(Klantgegevens_B!G222, ",", ""))+1, Klantgegevens_A!G222)</f>
        <v/>
      </c>
      <c r="G223">
        <f>IF(Klantgegevens_B!G222&lt;&gt;"", 0, Klantgegevens_A!H222)</f>
        <v/>
      </c>
      <c r="H223">
        <f>IF(Klantgegevens_B!H222&lt;&gt;"", Klantgegevens_B!H222, Klantgegevens_A!I222)</f>
        <v/>
      </c>
      <c r="I223">
        <f>IF(Klantgegevens_B!I222&lt;&gt;"", Klantgegevens_B!I222, SWITCH(Klantgegevens_A!J222, "Zelden", 1, "Af en toe", 4, "Regelmatig", 8, "Vaak", 12))</f>
        <v/>
      </c>
      <c r="J223">
        <f>IF(Klantgegevens_B!J222&lt;&gt;"", Klantgegevens_B!J222, Klantgegevens_A!K222)</f>
        <v/>
      </c>
      <c r="K223">
        <f>IF(Klantgegevens_B!K222&lt;&gt;"", AVERAGE(--(Klantgegevens_B!K222="ja"), --(Klantgegevens_B!L222="ja"), --(Klantgegevens_B!M222="ja"), --(Klantgegevens_B!N222="ja"), --(Klantgegevens_B!O222="ja"))*10, Klantgegevens_A!L222)</f>
        <v/>
      </c>
      <c r="L223">
        <f>IF(Klantgegevens_B!K222&lt;&gt;"", Klantgegevens_B!K222, IF(Klantgegevens_A!L222&gt;=7, "ja", "nee"))</f>
        <v/>
      </c>
      <c r="M223">
        <f>IF(Klantgegevens_B!L222&lt;&gt;"", Klantgegevens_B!L222, IF(Klantgegevens_A!L222&gt;=7, "ja", "nee"))</f>
        <v/>
      </c>
      <c r="N223">
        <f>IF(Klantgegevens_B!M222&lt;&gt;"", Klantgegevens_B!M222, IF(Klantgegevens_A!L222&gt;=7, "ja", "nee"))</f>
        <v/>
      </c>
      <c r="O223">
        <f>IF(Klantgegevens_B!N222&lt;&gt;"", Klantgegevens_B!N222, IF(Klantgegevens_A!L222&gt;=7, "ja", "nee"))</f>
        <v/>
      </c>
      <c r="P223">
        <f>IF(Klantgegevens_B!O222&lt;&gt;"", Klantgegevens_B!O222, IF(Klantgegevens_A!L222&gt;=7, "ja", "nee"))</f>
        <v/>
      </c>
      <c r="Q223">
        <f>IF(Klantgegevens_B!P222&lt;&gt;"", Klantgegevens_B!P222, Klantgegevens_A!M222)</f>
        <v/>
      </c>
      <c r="R223">
        <f>IF(Klantgegevens_B!A222&lt;&gt;"", "B", "A")</f>
        <v/>
      </c>
    </row>
    <row r="224">
      <c r="A224">
        <f>IF(Klantgegevens_B!A223&lt;&gt;"", Klantgegevens_B!A223, MID(Klantgegevens_A!A223, FIND(",", Klantgegevens_A!A223)+2, LEN(Klantgegevens_A!A223)))</f>
        <v/>
      </c>
      <c r="B224">
        <f>IF(Klantgegevens_B!B223&lt;&gt;"", Klantgegevens_B!B223, LEFT(Klantgegevens_A!A223, FIND(",", Klantgegevens_A!A223)-1))</f>
        <v/>
      </c>
      <c r="C224">
        <f>C223 &amp; ", " &amp; B223</f>
        <v/>
      </c>
      <c r="D224">
        <f>IF(Klantgegevens_B!F223&lt;&gt;"", Klantgegevens_B!F223, Klantgegevens_A!D223 &amp; " " &amp; Klantgegevens_A!E223 &amp; ", " &amp; Klantgegevens_A!F223)</f>
        <v/>
      </c>
      <c r="E224">
        <f>IF(Klantgegevens_B!G223&lt;&gt;"", Klantgegevens_B!G223, TEXTJOIN(",", TRUE, REPT("Volwassene,", Klantgegevens_A!G223), REPT("Kind,", Klantgegevens_A!H223)))</f>
        <v/>
      </c>
      <c r="F224">
        <f>IF(Klantgegevens_B!G223&lt;&gt;"", LEN(Klantgegevens_B!G223)-LEN(SUBSTITUTE(Klantgegevens_B!G223, ",", ""))+1, Klantgegevens_A!G223)</f>
        <v/>
      </c>
      <c r="G224">
        <f>IF(Klantgegevens_B!G223&lt;&gt;"", 0, Klantgegevens_A!H223)</f>
        <v/>
      </c>
      <c r="H224">
        <f>IF(Klantgegevens_B!H223&lt;&gt;"", Klantgegevens_B!H223, Klantgegevens_A!I223)</f>
        <v/>
      </c>
      <c r="I224">
        <f>IF(Klantgegevens_B!I223&lt;&gt;"", Klantgegevens_B!I223, SWITCH(Klantgegevens_A!J223, "Zelden", 1, "Af en toe", 4, "Regelmatig", 8, "Vaak", 12))</f>
        <v/>
      </c>
      <c r="J224">
        <f>IF(Klantgegevens_B!J223&lt;&gt;"", Klantgegevens_B!J223, Klantgegevens_A!K223)</f>
        <v/>
      </c>
      <c r="K224">
        <f>IF(Klantgegevens_B!K223&lt;&gt;"", AVERAGE(--(Klantgegevens_B!K223="ja"), --(Klantgegevens_B!L223="ja"), --(Klantgegevens_B!M223="ja"), --(Klantgegevens_B!N223="ja"), --(Klantgegevens_B!O223="ja"))*10, Klantgegevens_A!L223)</f>
        <v/>
      </c>
      <c r="L224">
        <f>IF(Klantgegevens_B!K223&lt;&gt;"", Klantgegevens_B!K223, IF(Klantgegevens_A!L223&gt;=7, "ja", "nee"))</f>
        <v/>
      </c>
      <c r="M224">
        <f>IF(Klantgegevens_B!L223&lt;&gt;"", Klantgegevens_B!L223, IF(Klantgegevens_A!L223&gt;=7, "ja", "nee"))</f>
        <v/>
      </c>
      <c r="N224">
        <f>IF(Klantgegevens_B!M223&lt;&gt;"", Klantgegevens_B!M223, IF(Klantgegevens_A!L223&gt;=7, "ja", "nee"))</f>
        <v/>
      </c>
      <c r="O224">
        <f>IF(Klantgegevens_B!N223&lt;&gt;"", Klantgegevens_B!N223, IF(Klantgegevens_A!L223&gt;=7, "ja", "nee"))</f>
        <v/>
      </c>
      <c r="P224">
        <f>IF(Klantgegevens_B!O223&lt;&gt;"", Klantgegevens_B!O223, IF(Klantgegevens_A!L223&gt;=7, "ja", "nee"))</f>
        <v/>
      </c>
      <c r="Q224">
        <f>IF(Klantgegevens_B!P223&lt;&gt;"", Klantgegevens_B!P223, Klantgegevens_A!M223)</f>
        <v/>
      </c>
      <c r="R224">
        <f>IF(Klantgegevens_B!A223&lt;&gt;"", "B", "A")</f>
        <v/>
      </c>
    </row>
    <row r="225">
      <c r="A225">
        <f>IF(Klantgegevens_B!A224&lt;&gt;"", Klantgegevens_B!A224, MID(Klantgegevens_A!A224, FIND(",", Klantgegevens_A!A224)+2, LEN(Klantgegevens_A!A224)))</f>
        <v/>
      </c>
      <c r="B225">
        <f>IF(Klantgegevens_B!B224&lt;&gt;"", Klantgegevens_B!B224, LEFT(Klantgegevens_A!A224, FIND(",", Klantgegevens_A!A224)-1))</f>
        <v/>
      </c>
      <c r="C225">
        <f>C224 &amp; ", " &amp; B224</f>
        <v/>
      </c>
      <c r="D225">
        <f>IF(Klantgegevens_B!F224&lt;&gt;"", Klantgegevens_B!F224, Klantgegevens_A!D224 &amp; " " &amp; Klantgegevens_A!E224 &amp; ", " &amp; Klantgegevens_A!F224)</f>
        <v/>
      </c>
      <c r="E225">
        <f>IF(Klantgegevens_B!G224&lt;&gt;"", Klantgegevens_B!G224, TEXTJOIN(",", TRUE, REPT("Volwassene,", Klantgegevens_A!G224), REPT("Kind,", Klantgegevens_A!H224)))</f>
        <v/>
      </c>
      <c r="F225">
        <f>IF(Klantgegevens_B!G224&lt;&gt;"", LEN(Klantgegevens_B!G224)-LEN(SUBSTITUTE(Klantgegevens_B!G224, ",", ""))+1, Klantgegevens_A!G224)</f>
        <v/>
      </c>
      <c r="G225">
        <f>IF(Klantgegevens_B!G224&lt;&gt;"", 0, Klantgegevens_A!H224)</f>
        <v/>
      </c>
      <c r="H225">
        <f>IF(Klantgegevens_B!H224&lt;&gt;"", Klantgegevens_B!H224, Klantgegevens_A!I224)</f>
        <v/>
      </c>
      <c r="I225">
        <f>IF(Klantgegevens_B!I224&lt;&gt;"", Klantgegevens_B!I224, SWITCH(Klantgegevens_A!J224, "Zelden", 1, "Af en toe", 4, "Regelmatig", 8, "Vaak", 12))</f>
        <v/>
      </c>
      <c r="J225">
        <f>IF(Klantgegevens_B!J224&lt;&gt;"", Klantgegevens_B!J224, Klantgegevens_A!K224)</f>
        <v/>
      </c>
      <c r="K225">
        <f>IF(Klantgegevens_B!K224&lt;&gt;"", AVERAGE(--(Klantgegevens_B!K224="ja"), --(Klantgegevens_B!L224="ja"), --(Klantgegevens_B!M224="ja"), --(Klantgegevens_B!N224="ja"), --(Klantgegevens_B!O224="ja"))*10, Klantgegevens_A!L224)</f>
        <v/>
      </c>
      <c r="L225">
        <f>IF(Klantgegevens_B!K224&lt;&gt;"", Klantgegevens_B!K224, IF(Klantgegevens_A!L224&gt;=7, "ja", "nee"))</f>
        <v/>
      </c>
      <c r="M225">
        <f>IF(Klantgegevens_B!L224&lt;&gt;"", Klantgegevens_B!L224, IF(Klantgegevens_A!L224&gt;=7, "ja", "nee"))</f>
        <v/>
      </c>
      <c r="N225">
        <f>IF(Klantgegevens_B!M224&lt;&gt;"", Klantgegevens_B!M224, IF(Klantgegevens_A!L224&gt;=7, "ja", "nee"))</f>
        <v/>
      </c>
      <c r="O225">
        <f>IF(Klantgegevens_B!N224&lt;&gt;"", Klantgegevens_B!N224, IF(Klantgegevens_A!L224&gt;=7, "ja", "nee"))</f>
        <v/>
      </c>
      <c r="P225">
        <f>IF(Klantgegevens_B!O224&lt;&gt;"", Klantgegevens_B!O224, IF(Klantgegevens_A!L224&gt;=7, "ja", "nee"))</f>
        <v/>
      </c>
      <c r="Q225">
        <f>IF(Klantgegevens_B!P224&lt;&gt;"", Klantgegevens_B!P224, Klantgegevens_A!M224)</f>
        <v/>
      </c>
      <c r="R225">
        <f>IF(Klantgegevens_B!A224&lt;&gt;"", "B", "A")</f>
        <v/>
      </c>
    </row>
    <row r="226">
      <c r="A226">
        <f>IF(Klantgegevens_B!A225&lt;&gt;"", Klantgegevens_B!A225, MID(Klantgegevens_A!A225, FIND(",", Klantgegevens_A!A225)+2, LEN(Klantgegevens_A!A225)))</f>
        <v/>
      </c>
      <c r="B226">
        <f>IF(Klantgegevens_B!B225&lt;&gt;"", Klantgegevens_B!B225, LEFT(Klantgegevens_A!A225, FIND(",", Klantgegevens_A!A225)-1))</f>
        <v/>
      </c>
      <c r="C226">
        <f>C225 &amp; ", " &amp; B225</f>
        <v/>
      </c>
      <c r="D226">
        <f>IF(Klantgegevens_B!F225&lt;&gt;"", Klantgegevens_B!F225, Klantgegevens_A!D225 &amp; " " &amp; Klantgegevens_A!E225 &amp; ", " &amp; Klantgegevens_A!F225)</f>
        <v/>
      </c>
      <c r="E226">
        <f>IF(Klantgegevens_B!G225&lt;&gt;"", Klantgegevens_B!G225, TEXTJOIN(",", TRUE, REPT("Volwassene,", Klantgegevens_A!G225), REPT("Kind,", Klantgegevens_A!H225)))</f>
        <v/>
      </c>
      <c r="F226">
        <f>IF(Klantgegevens_B!G225&lt;&gt;"", LEN(Klantgegevens_B!G225)-LEN(SUBSTITUTE(Klantgegevens_B!G225, ",", ""))+1, Klantgegevens_A!G225)</f>
        <v/>
      </c>
      <c r="G226">
        <f>IF(Klantgegevens_B!G225&lt;&gt;"", 0, Klantgegevens_A!H225)</f>
        <v/>
      </c>
      <c r="H226">
        <f>IF(Klantgegevens_B!H225&lt;&gt;"", Klantgegevens_B!H225, Klantgegevens_A!I225)</f>
        <v/>
      </c>
      <c r="I226">
        <f>IF(Klantgegevens_B!I225&lt;&gt;"", Klantgegevens_B!I225, SWITCH(Klantgegevens_A!J225, "Zelden", 1, "Af en toe", 4, "Regelmatig", 8, "Vaak", 12))</f>
        <v/>
      </c>
      <c r="J226">
        <f>IF(Klantgegevens_B!J225&lt;&gt;"", Klantgegevens_B!J225, Klantgegevens_A!K225)</f>
        <v/>
      </c>
      <c r="K226">
        <f>IF(Klantgegevens_B!K225&lt;&gt;"", AVERAGE(--(Klantgegevens_B!K225="ja"), --(Klantgegevens_B!L225="ja"), --(Klantgegevens_B!M225="ja"), --(Klantgegevens_B!N225="ja"), --(Klantgegevens_B!O225="ja"))*10, Klantgegevens_A!L225)</f>
        <v/>
      </c>
      <c r="L226">
        <f>IF(Klantgegevens_B!K225&lt;&gt;"", Klantgegevens_B!K225, IF(Klantgegevens_A!L225&gt;=7, "ja", "nee"))</f>
        <v/>
      </c>
      <c r="M226">
        <f>IF(Klantgegevens_B!L225&lt;&gt;"", Klantgegevens_B!L225, IF(Klantgegevens_A!L225&gt;=7, "ja", "nee"))</f>
        <v/>
      </c>
      <c r="N226">
        <f>IF(Klantgegevens_B!M225&lt;&gt;"", Klantgegevens_B!M225, IF(Klantgegevens_A!L225&gt;=7, "ja", "nee"))</f>
        <v/>
      </c>
      <c r="O226">
        <f>IF(Klantgegevens_B!N225&lt;&gt;"", Klantgegevens_B!N225, IF(Klantgegevens_A!L225&gt;=7, "ja", "nee"))</f>
        <v/>
      </c>
      <c r="P226">
        <f>IF(Klantgegevens_B!O225&lt;&gt;"", Klantgegevens_B!O225, IF(Klantgegevens_A!L225&gt;=7, "ja", "nee"))</f>
        <v/>
      </c>
      <c r="Q226">
        <f>IF(Klantgegevens_B!P225&lt;&gt;"", Klantgegevens_B!P225, Klantgegevens_A!M225)</f>
        <v/>
      </c>
      <c r="R226">
        <f>IF(Klantgegevens_B!A225&lt;&gt;"", "B", "A")</f>
        <v/>
      </c>
    </row>
    <row r="227">
      <c r="A227">
        <f>IF(Klantgegevens_B!A226&lt;&gt;"", Klantgegevens_B!A226, MID(Klantgegevens_A!A226, FIND(",", Klantgegevens_A!A226)+2, LEN(Klantgegevens_A!A226)))</f>
        <v/>
      </c>
      <c r="B227">
        <f>IF(Klantgegevens_B!B226&lt;&gt;"", Klantgegevens_B!B226, LEFT(Klantgegevens_A!A226, FIND(",", Klantgegevens_A!A226)-1))</f>
        <v/>
      </c>
      <c r="C227">
        <f>C226 &amp; ", " &amp; B226</f>
        <v/>
      </c>
      <c r="D227">
        <f>IF(Klantgegevens_B!F226&lt;&gt;"", Klantgegevens_B!F226, Klantgegevens_A!D226 &amp; " " &amp; Klantgegevens_A!E226 &amp; ", " &amp; Klantgegevens_A!F226)</f>
        <v/>
      </c>
      <c r="E227">
        <f>IF(Klantgegevens_B!G226&lt;&gt;"", Klantgegevens_B!G226, TEXTJOIN(",", TRUE, REPT("Volwassene,", Klantgegevens_A!G226), REPT("Kind,", Klantgegevens_A!H226)))</f>
        <v/>
      </c>
      <c r="F227">
        <f>IF(Klantgegevens_B!G226&lt;&gt;"", LEN(Klantgegevens_B!G226)-LEN(SUBSTITUTE(Klantgegevens_B!G226, ",", ""))+1, Klantgegevens_A!G226)</f>
        <v/>
      </c>
      <c r="G227">
        <f>IF(Klantgegevens_B!G226&lt;&gt;"", 0, Klantgegevens_A!H226)</f>
        <v/>
      </c>
      <c r="H227">
        <f>IF(Klantgegevens_B!H226&lt;&gt;"", Klantgegevens_B!H226, Klantgegevens_A!I226)</f>
        <v/>
      </c>
      <c r="I227">
        <f>IF(Klantgegevens_B!I226&lt;&gt;"", Klantgegevens_B!I226, SWITCH(Klantgegevens_A!J226, "Zelden", 1, "Af en toe", 4, "Regelmatig", 8, "Vaak", 12))</f>
        <v/>
      </c>
      <c r="J227">
        <f>IF(Klantgegevens_B!J226&lt;&gt;"", Klantgegevens_B!J226, Klantgegevens_A!K226)</f>
        <v/>
      </c>
      <c r="K227">
        <f>IF(Klantgegevens_B!K226&lt;&gt;"", AVERAGE(--(Klantgegevens_B!K226="ja"), --(Klantgegevens_B!L226="ja"), --(Klantgegevens_B!M226="ja"), --(Klantgegevens_B!N226="ja"), --(Klantgegevens_B!O226="ja"))*10, Klantgegevens_A!L226)</f>
        <v/>
      </c>
      <c r="L227">
        <f>IF(Klantgegevens_B!K226&lt;&gt;"", Klantgegevens_B!K226, IF(Klantgegevens_A!L226&gt;=7, "ja", "nee"))</f>
        <v/>
      </c>
      <c r="M227">
        <f>IF(Klantgegevens_B!L226&lt;&gt;"", Klantgegevens_B!L226, IF(Klantgegevens_A!L226&gt;=7, "ja", "nee"))</f>
        <v/>
      </c>
      <c r="N227">
        <f>IF(Klantgegevens_B!M226&lt;&gt;"", Klantgegevens_B!M226, IF(Klantgegevens_A!L226&gt;=7, "ja", "nee"))</f>
        <v/>
      </c>
      <c r="O227">
        <f>IF(Klantgegevens_B!N226&lt;&gt;"", Klantgegevens_B!N226, IF(Klantgegevens_A!L226&gt;=7, "ja", "nee"))</f>
        <v/>
      </c>
      <c r="P227">
        <f>IF(Klantgegevens_B!O226&lt;&gt;"", Klantgegevens_B!O226, IF(Klantgegevens_A!L226&gt;=7, "ja", "nee"))</f>
        <v/>
      </c>
      <c r="Q227">
        <f>IF(Klantgegevens_B!P226&lt;&gt;"", Klantgegevens_B!P226, Klantgegevens_A!M226)</f>
        <v/>
      </c>
      <c r="R227">
        <f>IF(Klantgegevens_B!A226&lt;&gt;"", "B", "A")</f>
        <v/>
      </c>
    </row>
    <row r="228">
      <c r="A228">
        <f>IF(Klantgegevens_B!A227&lt;&gt;"", Klantgegevens_B!A227, MID(Klantgegevens_A!A227, FIND(",", Klantgegevens_A!A227)+2, LEN(Klantgegevens_A!A227)))</f>
        <v/>
      </c>
      <c r="B228">
        <f>IF(Klantgegevens_B!B227&lt;&gt;"", Klantgegevens_B!B227, LEFT(Klantgegevens_A!A227, FIND(",", Klantgegevens_A!A227)-1))</f>
        <v/>
      </c>
      <c r="C228">
        <f>C227 &amp; ", " &amp; B227</f>
        <v/>
      </c>
      <c r="D228">
        <f>IF(Klantgegevens_B!F227&lt;&gt;"", Klantgegevens_B!F227, Klantgegevens_A!D227 &amp; " " &amp; Klantgegevens_A!E227 &amp; ", " &amp; Klantgegevens_A!F227)</f>
        <v/>
      </c>
      <c r="E228">
        <f>IF(Klantgegevens_B!G227&lt;&gt;"", Klantgegevens_B!G227, TEXTJOIN(",", TRUE, REPT("Volwassene,", Klantgegevens_A!G227), REPT("Kind,", Klantgegevens_A!H227)))</f>
        <v/>
      </c>
      <c r="F228">
        <f>IF(Klantgegevens_B!G227&lt;&gt;"", LEN(Klantgegevens_B!G227)-LEN(SUBSTITUTE(Klantgegevens_B!G227, ",", ""))+1, Klantgegevens_A!G227)</f>
        <v/>
      </c>
      <c r="G228">
        <f>IF(Klantgegevens_B!G227&lt;&gt;"", 0, Klantgegevens_A!H227)</f>
        <v/>
      </c>
      <c r="H228">
        <f>IF(Klantgegevens_B!H227&lt;&gt;"", Klantgegevens_B!H227, Klantgegevens_A!I227)</f>
        <v/>
      </c>
      <c r="I228">
        <f>IF(Klantgegevens_B!I227&lt;&gt;"", Klantgegevens_B!I227, SWITCH(Klantgegevens_A!J227, "Zelden", 1, "Af en toe", 4, "Regelmatig", 8, "Vaak", 12))</f>
        <v/>
      </c>
      <c r="J228">
        <f>IF(Klantgegevens_B!J227&lt;&gt;"", Klantgegevens_B!J227, Klantgegevens_A!K227)</f>
        <v/>
      </c>
      <c r="K228">
        <f>IF(Klantgegevens_B!K227&lt;&gt;"", AVERAGE(--(Klantgegevens_B!K227="ja"), --(Klantgegevens_B!L227="ja"), --(Klantgegevens_B!M227="ja"), --(Klantgegevens_B!N227="ja"), --(Klantgegevens_B!O227="ja"))*10, Klantgegevens_A!L227)</f>
        <v/>
      </c>
      <c r="L228">
        <f>IF(Klantgegevens_B!K227&lt;&gt;"", Klantgegevens_B!K227, IF(Klantgegevens_A!L227&gt;=7, "ja", "nee"))</f>
        <v/>
      </c>
      <c r="M228">
        <f>IF(Klantgegevens_B!L227&lt;&gt;"", Klantgegevens_B!L227, IF(Klantgegevens_A!L227&gt;=7, "ja", "nee"))</f>
        <v/>
      </c>
      <c r="N228">
        <f>IF(Klantgegevens_B!M227&lt;&gt;"", Klantgegevens_B!M227, IF(Klantgegevens_A!L227&gt;=7, "ja", "nee"))</f>
        <v/>
      </c>
      <c r="O228">
        <f>IF(Klantgegevens_B!N227&lt;&gt;"", Klantgegevens_B!N227, IF(Klantgegevens_A!L227&gt;=7, "ja", "nee"))</f>
        <v/>
      </c>
      <c r="P228">
        <f>IF(Klantgegevens_B!O227&lt;&gt;"", Klantgegevens_B!O227, IF(Klantgegevens_A!L227&gt;=7, "ja", "nee"))</f>
        <v/>
      </c>
      <c r="Q228">
        <f>IF(Klantgegevens_B!P227&lt;&gt;"", Klantgegevens_B!P227, Klantgegevens_A!M227)</f>
        <v/>
      </c>
      <c r="R228">
        <f>IF(Klantgegevens_B!A227&lt;&gt;"", "B", "A")</f>
        <v/>
      </c>
    </row>
    <row r="229">
      <c r="A229">
        <f>IF(Klantgegevens_B!A228&lt;&gt;"", Klantgegevens_B!A228, MID(Klantgegevens_A!A228, FIND(",", Klantgegevens_A!A228)+2, LEN(Klantgegevens_A!A228)))</f>
        <v/>
      </c>
      <c r="B229">
        <f>IF(Klantgegevens_B!B228&lt;&gt;"", Klantgegevens_B!B228, LEFT(Klantgegevens_A!A228, FIND(",", Klantgegevens_A!A228)-1))</f>
        <v/>
      </c>
      <c r="C229">
        <f>C228 &amp; ", " &amp; B228</f>
        <v/>
      </c>
      <c r="D229">
        <f>IF(Klantgegevens_B!F228&lt;&gt;"", Klantgegevens_B!F228, Klantgegevens_A!D228 &amp; " " &amp; Klantgegevens_A!E228 &amp; ", " &amp; Klantgegevens_A!F228)</f>
        <v/>
      </c>
      <c r="E229">
        <f>IF(Klantgegevens_B!G228&lt;&gt;"", Klantgegevens_B!G228, TEXTJOIN(",", TRUE, REPT("Volwassene,", Klantgegevens_A!G228), REPT("Kind,", Klantgegevens_A!H228)))</f>
        <v/>
      </c>
      <c r="F229">
        <f>IF(Klantgegevens_B!G228&lt;&gt;"", LEN(Klantgegevens_B!G228)-LEN(SUBSTITUTE(Klantgegevens_B!G228, ",", ""))+1, Klantgegevens_A!G228)</f>
        <v/>
      </c>
      <c r="G229">
        <f>IF(Klantgegevens_B!G228&lt;&gt;"", 0, Klantgegevens_A!H228)</f>
        <v/>
      </c>
      <c r="H229">
        <f>IF(Klantgegevens_B!H228&lt;&gt;"", Klantgegevens_B!H228, Klantgegevens_A!I228)</f>
        <v/>
      </c>
      <c r="I229">
        <f>IF(Klantgegevens_B!I228&lt;&gt;"", Klantgegevens_B!I228, SWITCH(Klantgegevens_A!J228, "Zelden", 1, "Af en toe", 4, "Regelmatig", 8, "Vaak", 12))</f>
        <v/>
      </c>
      <c r="J229">
        <f>IF(Klantgegevens_B!J228&lt;&gt;"", Klantgegevens_B!J228, Klantgegevens_A!K228)</f>
        <v/>
      </c>
      <c r="K229">
        <f>IF(Klantgegevens_B!K228&lt;&gt;"", AVERAGE(--(Klantgegevens_B!K228="ja"), --(Klantgegevens_B!L228="ja"), --(Klantgegevens_B!M228="ja"), --(Klantgegevens_B!N228="ja"), --(Klantgegevens_B!O228="ja"))*10, Klantgegevens_A!L228)</f>
        <v/>
      </c>
      <c r="L229">
        <f>IF(Klantgegevens_B!K228&lt;&gt;"", Klantgegevens_B!K228, IF(Klantgegevens_A!L228&gt;=7, "ja", "nee"))</f>
        <v/>
      </c>
      <c r="M229">
        <f>IF(Klantgegevens_B!L228&lt;&gt;"", Klantgegevens_B!L228, IF(Klantgegevens_A!L228&gt;=7, "ja", "nee"))</f>
        <v/>
      </c>
      <c r="N229">
        <f>IF(Klantgegevens_B!M228&lt;&gt;"", Klantgegevens_B!M228, IF(Klantgegevens_A!L228&gt;=7, "ja", "nee"))</f>
        <v/>
      </c>
      <c r="O229">
        <f>IF(Klantgegevens_B!N228&lt;&gt;"", Klantgegevens_B!N228, IF(Klantgegevens_A!L228&gt;=7, "ja", "nee"))</f>
        <v/>
      </c>
      <c r="P229">
        <f>IF(Klantgegevens_B!O228&lt;&gt;"", Klantgegevens_B!O228, IF(Klantgegevens_A!L228&gt;=7, "ja", "nee"))</f>
        <v/>
      </c>
      <c r="Q229">
        <f>IF(Klantgegevens_B!P228&lt;&gt;"", Klantgegevens_B!P228, Klantgegevens_A!M228)</f>
        <v/>
      </c>
      <c r="R229">
        <f>IF(Klantgegevens_B!A228&lt;&gt;"", "B", "A")</f>
        <v/>
      </c>
    </row>
    <row r="230">
      <c r="A230">
        <f>IF(Klantgegevens_B!A229&lt;&gt;"", Klantgegevens_B!A229, MID(Klantgegevens_A!A229, FIND(",", Klantgegevens_A!A229)+2, LEN(Klantgegevens_A!A229)))</f>
        <v/>
      </c>
      <c r="B230">
        <f>IF(Klantgegevens_B!B229&lt;&gt;"", Klantgegevens_B!B229, LEFT(Klantgegevens_A!A229, FIND(",", Klantgegevens_A!A229)-1))</f>
        <v/>
      </c>
      <c r="C230">
        <f>C229 &amp; ", " &amp; B229</f>
        <v/>
      </c>
      <c r="D230">
        <f>IF(Klantgegevens_B!F229&lt;&gt;"", Klantgegevens_B!F229, Klantgegevens_A!D229 &amp; " " &amp; Klantgegevens_A!E229 &amp; ", " &amp; Klantgegevens_A!F229)</f>
        <v/>
      </c>
      <c r="E230">
        <f>IF(Klantgegevens_B!G229&lt;&gt;"", Klantgegevens_B!G229, TEXTJOIN(",", TRUE, REPT("Volwassene,", Klantgegevens_A!G229), REPT("Kind,", Klantgegevens_A!H229)))</f>
        <v/>
      </c>
      <c r="F230">
        <f>IF(Klantgegevens_B!G229&lt;&gt;"", LEN(Klantgegevens_B!G229)-LEN(SUBSTITUTE(Klantgegevens_B!G229, ",", ""))+1, Klantgegevens_A!G229)</f>
        <v/>
      </c>
      <c r="G230">
        <f>IF(Klantgegevens_B!G229&lt;&gt;"", 0, Klantgegevens_A!H229)</f>
        <v/>
      </c>
      <c r="H230">
        <f>IF(Klantgegevens_B!H229&lt;&gt;"", Klantgegevens_B!H229, Klantgegevens_A!I229)</f>
        <v/>
      </c>
      <c r="I230">
        <f>IF(Klantgegevens_B!I229&lt;&gt;"", Klantgegevens_B!I229, SWITCH(Klantgegevens_A!J229, "Zelden", 1, "Af en toe", 4, "Regelmatig", 8, "Vaak", 12))</f>
        <v/>
      </c>
      <c r="J230">
        <f>IF(Klantgegevens_B!J229&lt;&gt;"", Klantgegevens_B!J229, Klantgegevens_A!K229)</f>
        <v/>
      </c>
      <c r="K230">
        <f>IF(Klantgegevens_B!K229&lt;&gt;"", AVERAGE(--(Klantgegevens_B!K229="ja"), --(Klantgegevens_B!L229="ja"), --(Klantgegevens_B!M229="ja"), --(Klantgegevens_B!N229="ja"), --(Klantgegevens_B!O229="ja"))*10, Klantgegevens_A!L229)</f>
        <v/>
      </c>
      <c r="L230">
        <f>IF(Klantgegevens_B!K229&lt;&gt;"", Klantgegevens_B!K229, IF(Klantgegevens_A!L229&gt;=7, "ja", "nee"))</f>
        <v/>
      </c>
      <c r="M230">
        <f>IF(Klantgegevens_B!L229&lt;&gt;"", Klantgegevens_B!L229, IF(Klantgegevens_A!L229&gt;=7, "ja", "nee"))</f>
        <v/>
      </c>
      <c r="N230">
        <f>IF(Klantgegevens_B!M229&lt;&gt;"", Klantgegevens_B!M229, IF(Klantgegevens_A!L229&gt;=7, "ja", "nee"))</f>
        <v/>
      </c>
      <c r="O230">
        <f>IF(Klantgegevens_B!N229&lt;&gt;"", Klantgegevens_B!N229, IF(Klantgegevens_A!L229&gt;=7, "ja", "nee"))</f>
        <v/>
      </c>
      <c r="P230">
        <f>IF(Klantgegevens_B!O229&lt;&gt;"", Klantgegevens_B!O229, IF(Klantgegevens_A!L229&gt;=7, "ja", "nee"))</f>
        <v/>
      </c>
      <c r="Q230">
        <f>IF(Klantgegevens_B!P229&lt;&gt;"", Klantgegevens_B!P229, Klantgegevens_A!M229)</f>
        <v/>
      </c>
      <c r="R230">
        <f>IF(Klantgegevens_B!A229&lt;&gt;"", "B", "A")</f>
        <v/>
      </c>
    </row>
    <row r="231">
      <c r="A231">
        <f>IF(Klantgegevens_B!A230&lt;&gt;"", Klantgegevens_B!A230, MID(Klantgegevens_A!A230, FIND(",", Klantgegevens_A!A230)+2, LEN(Klantgegevens_A!A230)))</f>
        <v/>
      </c>
      <c r="B231">
        <f>IF(Klantgegevens_B!B230&lt;&gt;"", Klantgegevens_B!B230, LEFT(Klantgegevens_A!A230, FIND(",", Klantgegevens_A!A230)-1))</f>
        <v/>
      </c>
      <c r="C231">
        <f>C230 &amp; ", " &amp; B230</f>
        <v/>
      </c>
      <c r="D231">
        <f>IF(Klantgegevens_B!F230&lt;&gt;"", Klantgegevens_B!F230, Klantgegevens_A!D230 &amp; " " &amp; Klantgegevens_A!E230 &amp; ", " &amp; Klantgegevens_A!F230)</f>
        <v/>
      </c>
      <c r="E231">
        <f>IF(Klantgegevens_B!G230&lt;&gt;"", Klantgegevens_B!G230, TEXTJOIN(",", TRUE, REPT("Volwassene,", Klantgegevens_A!G230), REPT("Kind,", Klantgegevens_A!H230)))</f>
        <v/>
      </c>
      <c r="F231">
        <f>IF(Klantgegevens_B!G230&lt;&gt;"", LEN(Klantgegevens_B!G230)-LEN(SUBSTITUTE(Klantgegevens_B!G230, ",", ""))+1, Klantgegevens_A!G230)</f>
        <v/>
      </c>
      <c r="G231">
        <f>IF(Klantgegevens_B!G230&lt;&gt;"", 0, Klantgegevens_A!H230)</f>
        <v/>
      </c>
      <c r="H231">
        <f>IF(Klantgegevens_B!H230&lt;&gt;"", Klantgegevens_B!H230, Klantgegevens_A!I230)</f>
        <v/>
      </c>
      <c r="I231">
        <f>IF(Klantgegevens_B!I230&lt;&gt;"", Klantgegevens_B!I230, SWITCH(Klantgegevens_A!J230, "Zelden", 1, "Af en toe", 4, "Regelmatig", 8, "Vaak", 12))</f>
        <v/>
      </c>
      <c r="J231">
        <f>IF(Klantgegevens_B!J230&lt;&gt;"", Klantgegevens_B!J230, Klantgegevens_A!K230)</f>
        <v/>
      </c>
      <c r="K231">
        <f>IF(Klantgegevens_B!K230&lt;&gt;"", AVERAGE(--(Klantgegevens_B!K230="ja"), --(Klantgegevens_B!L230="ja"), --(Klantgegevens_B!M230="ja"), --(Klantgegevens_B!N230="ja"), --(Klantgegevens_B!O230="ja"))*10, Klantgegevens_A!L230)</f>
        <v/>
      </c>
      <c r="L231">
        <f>IF(Klantgegevens_B!K230&lt;&gt;"", Klantgegevens_B!K230, IF(Klantgegevens_A!L230&gt;=7, "ja", "nee"))</f>
        <v/>
      </c>
      <c r="M231">
        <f>IF(Klantgegevens_B!L230&lt;&gt;"", Klantgegevens_B!L230, IF(Klantgegevens_A!L230&gt;=7, "ja", "nee"))</f>
        <v/>
      </c>
      <c r="N231">
        <f>IF(Klantgegevens_B!M230&lt;&gt;"", Klantgegevens_B!M230, IF(Klantgegevens_A!L230&gt;=7, "ja", "nee"))</f>
        <v/>
      </c>
      <c r="O231">
        <f>IF(Klantgegevens_B!N230&lt;&gt;"", Klantgegevens_B!N230, IF(Klantgegevens_A!L230&gt;=7, "ja", "nee"))</f>
        <v/>
      </c>
      <c r="P231">
        <f>IF(Klantgegevens_B!O230&lt;&gt;"", Klantgegevens_B!O230, IF(Klantgegevens_A!L230&gt;=7, "ja", "nee"))</f>
        <v/>
      </c>
      <c r="Q231">
        <f>IF(Klantgegevens_B!P230&lt;&gt;"", Klantgegevens_B!P230, Klantgegevens_A!M230)</f>
        <v/>
      </c>
      <c r="R231">
        <f>IF(Klantgegevens_B!A230&lt;&gt;"", "B", "A")</f>
        <v/>
      </c>
    </row>
    <row r="232">
      <c r="A232">
        <f>IF(Klantgegevens_B!A231&lt;&gt;"", Klantgegevens_B!A231, MID(Klantgegevens_A!A231, FIND(",", Klantgegevens_A!A231)+2, LEN(Klantgegevens_A!A231)))</f>
        <v/>
      </c>
      <c r="B232">
        <f>IF(Klantgegevens_B!B231&lt;&gt;"", Klantgegevens_B!B231, LEFT(Klantgegevens_A!A231, FIND(",", Klantgegevens_A!A231)-1))</f>
        <v/>
      </c>
      <c r="C232">
        <f>C231 &amp; ", " &amp; B231</f>
        <v/>
      </c>
      <c r="D232">
        <f>IF(Klantgegevens_B!F231&lt;&gt;"", Klantgegevens_B!F231, Klantgegevens_A!D231 &amp; " " &amp; Klantgegevens_A!E231 &amp; ", " &amp; Klantgegevens_A!F231)</f>
        <v/>
      </c>
      <c r="E232">
        <f>IF(Klantgegevens_B!G231&lt;&gt;"", Klantgegevens_B!G231, TEXTJOIN(",", TRUE, REPT("Volwassene,", Klantgegevens_A!G231), REPT("Kind,", Klantgegevens_A!H231)))</f>
        <v/>
      </c>
      <c r="F232">
        <f>IF(Klantgegevens_B!G231&lt;&gt;"", LEN(Klantgegevens_B!G231)-LEN(SUBSTITUTE(Klantgegevens_B!G231, ",", ""))+1, Klantgegevens_A!G231)</f>
        <v/>
      </c>
      <c r="G232">
        <f>IF(Klantgegevens_B!G231&lt;&gt;"", 0, Klantgegevens_A!H231)</f>
        <v/>
      </c>
      <c r="H232">
        <f>IF(Klantgegevens_B!H231&lt;&gt;"", Klantgegevens_B!H231, Klantgegevens_A!I231)</f>
        <v/>
      </c>
      <c r="I232">
        <f>IF(Klantgegevens_B!I231&lt;&gt;"", Klantgegevens_B!I231, SWITCH(Klantgegevens_A!J231, "Zelden", 1, "Af en toe", 4, "Regelmatig", 8, "Vaak", 12))</f>
        <v/>
      </c>
      <c r="J232">
        <f>IF(Klantgegevens_B!J231&lt;&gt;"", Klantgegevens_B!J231, Klantgegevens_A!K231)</f>
        <v/>
      </c>
      <c r="K232">
        <f>IF(Klantgegevens_B!K231&lt;&gt;"", AVERAGE(--(Klantgegevens_B!K231="ja"), --(Klantgegevens_B!L231="ja"), --(Klantgegevens_B!M231="ja"), --(Klantgegevens_B!N231="ja"), --(Klantgegevens_B!O231="ja"))*10, Klantgegevens_A!L231)</f>
        <v/>
      </c>
      <c r="L232">
        <f>IF(Klantgegevens_B!K231&lt;&gt;"", Klantgegevens_B!K231, IF(Klantgegevens_A!L231&gt;=7, "ja", "nee"))</f>
        <v/>
      </c>
      <c r="M232">
        <f>IF(Klantgegevens_B!L231&lt;&gt;"", Klantgegevens_B!L231, IF(Klantgegevens_A!L231&gt;=7, "ja", "nee"))</f>
        <v/>
      </c>
      <c r="N232">
        <f>IF(Klantgegevens_B!M231&lt;&gt;"", Klantgegevens_B!M231, IF(Klantgegevens_A!L231&gt;=7, "ja", "nee"))</f>
        <v/>
      </c>
      <c r="O232">
        <f>IF(Klantgegevens_B!N231&lt;&gt;"", Klantgegevens_B!N231, IF(Klantgegevens_A!L231&gt;=7, "ja", "nee"))</f>
        <v/>
      </c>
      <c r="P232">
        <f>IF(Klantgegevens_B!O231&lt;&gt;"", Klantgegevens_B!O231, IF(Klantgegevens_A!L231&gt;=7, "ja", "nee"))</f>
        <v/>
      </c>
      <c r="Q232">
        <f>IF(Klantgegevens_B!P231&lt;&gt;"", Klantgegevens_B!P231, Klantgegevens_A!M231)</f>
        <v/>
      </c>
      <c r="R232">
        <f>IF(Klantgegevens_B!A231&lt;&gt;"", "B", "A")</f>
        <v/>
      </c>
    </row>
    <row r="233">
      <c r="A233">
        <f>IF(Klantgegevens_B!A232&lt;&gt;"", Klantgegevens_B!A232, MID(Klantgegevens_A!A232, FIND(",", Klantgegevens_A!A232)+2, LEN(Klantgegevens_A!A232)))</f>
        <v/>
      </c>
      <c r="B233">
        <f>IF(Klantgegevens_B!B232&lt;&gt;"", Klantgegevens_B!B232, LEFT(Klantgegevens_A!A232, FIND(",", Klantgegevens_A!A232)-1))</f>
        <v/>
      </c>
      <c r="C233">
        <f>C232 &amp; ", " &amp; B232</f>
        <v/>
      </c>
      <c r="D233">
        <f>IF(Klantgegevens_B!F232&lt;&gt;"", Klantgegevens_B!F232, Klantgegevens_A!D232 &amp; " " &amp; Klantgegevens_A!E232 &amp; ", " &amp; Klantgegevens_A!F232)</f>
        <v/>
      </c>
      <c r="E233">
        <f>IF(Klantgegevens_B!G232&lt;&gt;"", Klantgegevens_B!G232, TEXTJOIN(",", TRUE, REPT("Volwassene,", Klantgegevens_A!G232), REPT("Kind,", Klantgegevens_A!H232)))</f>
        <v/>
      </c>
      <c r="F233">
        <f>IF(Klantgegevens_B!G232&lt;&gt;"", LEN(Klantgegevens_B!G232)-LEN(SUBSTITUTE(Klantgegevens_B!G232, ",", ""))+1, Klantgegevens_A!G232)</f>
        <v/>
      </c>
      <c r="G233">
        <f>IF(Klantgegevens_B!G232&lt;&gt;"", 0, Klantgegevens_A!H232)</f>
        <v/>
      </c>
      <c r="H233">
        <f>IF(Klantgegevens_B!H232&lt;&gt;"", Klantgegevens_B!H232, Klantgegevens_A!I232)</f>
        <v/>
      </c>
      <c r="I233">
        <f>IF(Klantgegevens_B!I232&lt;&gt;"", Klantgegevens_B!I232, SWITCH(Klantgegevens_A!J232, "Zelden", 1, "Af en toe", 4, "Regelmatig", 8, "Vaak", 12))</f>
        <v/>
      </c>
      <c r="J233">
        <f>IF(Klantgegevens_B!J232&lt;&gt;"", Klantgegevens_B!J232, Klantgegevens_A!K232)</f>
        <v/>
      </c>
      <c r="K233">
        <f>IF(Klantgegevens_B!K232&lt;&gt;"", AVERAGE(--(Klantgegevens_B!K232="ja"), --(Klantgegevens_B!L232="ja"), --(Klantgegevens_B!M232="ja"), --(Klantgegevens_B!N232="ja"), --(Klantgegevens_B!O232="ja"))*10, Klantgegevens_A!L232)</f>
        <v/>
      </c>
      <c r="L233">
        <f>IF(Klantgegevens_B!K232&lt;&gt;"", Klantgegevens_B!K232, IF(Klantgegevens_A!L232&gt;=7, "ja", "nee"))</f>
        <v/>
      </c>
      <c r="M233">
        <f>IF(Klantgegevens_B!L232&lt;&gt;"", Klantgegevens_B!L232, IF(Klantgegevens_A!L232&gt;=7, "ja", "nee"))</f>
        <v/>
      </c>
      <c r="N233">
        <f>IF(Klantgegevens_B!M232&lt;&gt;"", Klantgegevens_B!M232, IF(Klantgegevens_A!L232&gt;=7, "ja", "nee"))</f>
        <v/>
      </c>
      <c r="O233">
        <f>IF(Klantgegevens_B!N232&lt;&gt;"", Klantgegevens_B!N232, IF(Klantgegevens_A!L232&gt;=7, "ja", "nee"))</f>
        <v/>
      </c>
      <c r="P233">
        <f>IF(Klantgegevens_B!O232&lt;&gt;"", Klantgegevens_B!O232, IF(Klantgegevens_A!L232&gt;=7, "ja", "nee"))</f>
        <v/>
      </c>
      <c r="Q233">
        <f>IF(Klantgegevens_B!P232&lt;&gt;"", Klantgegevens_B!P232, Klantgegevens_A!M232)</f>
        <v/>
      </c>
      <c r="R233">
        <f>IF(Klantgegevens_B!A232&lt;&gt;"", "B", "A")</f>
        <v/>
      </c>
    </row>
    <row r="234">
      <c r="A234">
        <f>IF(Klantgegevens_B!A233&lt;&gt;"", Klantgegevens_B!A233, MID(Klantgegevens_A!A233, FIND(",", Klantgegevens_A!A233)+2, LEN(Klantgegevens_A!A233)))</f>
        <v/>
      </c>
      <c r="B234">
        <f>IF(Klantgegevens_B!B233&lt;&gt;"", Klantgegevens_B!B233, LEFT(Klantgegevens_A!A233, FIND(",", Klantgegevens_A!A233)-1))</f>
        <v/>
      </c>
      <c r="C234">
        <f>C233 &amp; ", " &amp; B233</f>
        <v/>
      </c>
      <c r="D234">
        <f>IF(Klantgegevens_B!F233&lt;&gt;"", Klantgegevens_B!F233, Klantgegevens_A!D233 &amp; " " &amp; Klantgegevens_A!E233 &amp; ", " &amp; Klantgegevens_A!F233)</f>
        <v/>
      </c>
      <c r="E234">
        <f>IF(Klantgegevens_B!G233&lt;&gt;"", Klantgegevens_B!G233, TEXTJOIN(",", TRUE, REPT("Volwassene,", Klantgegevens_A!G233), REPT("Kind,", Klantgegevens_A!H233)))</f>
        <v/>
      </c>
      <c r="F234">
        <f>IF(Klantgegevens_B!G233&lt;&gt;"", LEN(Klantgegevens_B!G233)-LEN(SUBSTITUTE(Klantgegevens_B!G233, ",", ""))+1, Klantgegevens_A!G233)</f>
        <v/>
      </c>
      <c r="G234">
        <f>IF(Klantgegevens_B!G233&lt;&gt;"", 0, Klantgegevens_A!H233)</f>
        <v/>
      </c>
      <c r="H234">
        <f>IF(Klantgegevens_B!H233&lt;&gt;"", Klantgegevens_B!H233, Klantgegevens_A!I233)</f>
        <v/>
      </c>
      <c r="I234">
        <f>IF(Klantgegevens_B!I233&lt;&gt;"", Klantgegevens_B!I233, SWITCH(Klantgegevens_A!J233, "Zelden", 1, "Af en toe", 4, "Regelmatig", 8, "Vaak", 12))</f>
        <v/>
      </c>
      <c r="J234">
        <f>IF(Klantgegevens_B!J233&lt;&gt;"", Klantgegevens_B!J233, Klantgegevens_A!K233)</f>
        <v/>
      </c>
      <c r="K234">
        <f>IF(Klantgegevens_B!K233&lt;&gt;"", AVERAGE(--(Klantgegevens_B!K233="ja"), --(Klantgegevens_B!L233="ja"), --(Klantgegevens_B!M233="ja"), --(Klantgegevens_B!N233="ja"), --(Klantgegevens_B!O233="ja"))*10, Klantgegevens_A!L233)</f>
        <v/>
      </c>
      <c r="L234">
        <f>IF(Klantgegevens_B!K233&lt;&gt;"", Klantgegevens_B!K233, IF(Klantgegevens_A!L233&gt;=7, "ja", "nee"))</f>
        <v/>
      </c>
      <c r="M234">
        <f>IF(Klantgegevens_B!L233&lt;&gt;"", Klantgegevens_B!L233, IF(Klantgegevens_A!L233&gt;=7, "ja", "nee"))</f>
        <v/>
      </c>
      <c r="N234">
        <f>IF(Klantgegevens_B!M233&lt;&gt;"", Klantgegevens_B!M233, IF(Klantgegevens_A!L233&gt;=7, "ja", "nee"))</f>
        <v/>
      </c>
      <c r="O234">
        <f>IF(Klantgegevens_B!N233&lt;&gt;"", Klantgegevens_B!N233, IF(Klantgegevens_A!L233&gt;=7, "ja", "nee"))</f>
        <v/>
      </c>
      <c r="P234">
        <f>IF(Klantgegevens_B!O233&lt;&gt;"", Klantgegevens_B!O233, IF(Klantgegevens_A!L233&gt;=7, "ja", "nee"))</f>
        <v/>
      </c>
      <c r="Q234">
        <f>IF(Klantgegevens_B!P233&lt;&gt;"", Klantgegevens_B!P233, Klantgegevens_A!M233)</f>
        <v/>
      </c>
      <c r="R234">
        <f>IF(Klantgegevens_B!A233&lt;&gt;"", "B", "A")</f>
        <v/>
      </c>
    </row>
    <row r="235">
      <c r="A235">
        <f>IF(Klantgegevens_B!A234&lt;&gt;"", Klantgegevens_B!A234, MID(Klantgegevens_A!A234, FIND(",", Klantgegevens_A!A234)+2, LEN(Klantgegevens_A!A234)))</f>
        <v/>
      </c>
      <c r="B235">
        <f>IF(Klantgegevens_B!B234&lt;&gt;"", Klantgegevens_B!B234, LEFT(Klantgegevens_A!A234, FIND(",", Klantgegevens_A!A234)-1))</f>
        <v/>
      </c>
      <c r="C235">
        <f>C234 &amp; ", " &amp; B234</f>
        <v/>
      </c>
      <c r="D235">
        <f>IF(Klantgegevens_B!F234&lt;&gt;"", Klantgegevens_B!F234, Klantgegevens_A!D234 &amp; " " &amp; Klantgegevens_A!E234 &amp; ", " &amp; Klantgegevens_A!F234)</f>
        <v/>
      </c>
      <c r="E235">
        <f>IF(Klantgegevens_B!G234&lt;&gt;"", Klantgegevens_B!G234, TEXTJOIN(",", TRUE, REPT("Volwassene,", Klantgegevens_A!G234), REPT("Kind,", Klantgegevens_A!H234)))</f>
        <v/>
      </c>
      <c r="F235">
        <f>IF(Klantgegevens_B!G234&lt;&gt;"", LEN(Klantgegevens_B!G234)-LEN(SUBSTITUTE(Klantgegevens_B!G234, ",", ""))+1, Klantgegevens_A!G234)</f>
        <v/>
      </c>
      <c r="G235">
        <f>IF(Klantgegevens_B!G234&lt;&gt;"", 0, Klantgegevens_A!H234)</f>
        <v/>
      </c>
      <c r="H235">
        <f>IF(Klantgegevens_B!H234&lt;&gt;"", Klantgegevens_B!H234, Klantgegevens_A!I234)</f>
        <v/>
      </c>
      <c r="I235">
        <f>IF(Klantgegevens_B!I234&lt;&gt;"", Klantgegevens_B!I234, SWITCH(Klantgegevens_A!J234, "Zelden", 1, "Af en toe", 4, "Regelmatig", 8, "Vaak", 12))</f>
        <v/>
      </c>
      <c r="J235">
        <f>IF(Klantgegevens_B!J234&lt;&gt;"", Klantgegevens_B!J234, Klantgegevens_A!K234)</f>
        <v/>
      </c>
      <c r="K235">
        <f>IF(Klantgegevens_B!K234&lt;&gt;"", AVERAGE(--(Klantgegevens_B!K234="ja"), --(Klantgegevens_B!L234="ja"), --(Klantgegevens_B!M234="ja"), --(Klantgegevens_B!N234="ja"), --(Klantgegevens_B!O234="ja"))*10, Klantgegevens_A!L234)</f>
        <v/>
      </c>
      <c r="L235">
        <f>IF(Klantgegevens_B!K234&lt;&gt;"", Klantgegevens_B!K234, IF(Klantgegevens_A!L234&gt;=7, "ja", "nee"))</f>
        <v/>
      </c>
      <c r="M235">
        <f>IF(Klantgegevens_B!L234&lt;&gt;"", Klantgegevens_B!L234, IF(Klantgegevens_A!L234&gt;=7, "ja", "nee"))</f>
        <v/>
      </c>
      <c r="N235">
        <f>IF(Klantgegevens_B!M234&lt;&gt;"", Klantgegevens_B!M234, IF(Klantgegevens_A!L234&gt;=7, "ja", "nee"))</f>
        <v/>
      </c>
      <c r="O235">
        <f>IF(Klantgegevens_B!N234&lt;&gt;"", Klantgegevens_B!N234, IF(Klantgegevens_A!L234&gt;=7, "ja", "nee"))</f>
        <v/>
      </c>
      <c r="P235">
        <f>IF(Klantgegevens_B!O234&lt;&gt;"", Klantgegevens_B!O234, IF(Klantgegevens_A!L234&gt;=7, "ja", "nee"))</f>
        <v/>
      </c>
      <c r="Q235">
        <f>IF(Klantgegevens_B!P234&lt;&gt;"", Klantgegevens_B!P234, Klantgegevens_A!M234)</f>
        <v/>
      </c>
      <c r="R235">
        <f>IF(Klantgegevens_B!A234&lt;&gt;"", "B", "A")</f>
        <v/>
      </c>
    </row>
    <row r="236">
      <c r="A236">
        <f>IF(Klantgegevens_B!A235&lt;&gt;"", Klantgegevens_B!A235, MID(Klantgegevens_A!A235, FIND(",", Klantgegevens_A!A235)+2, LEN(Klantgegevens_A!A235)))</f>
        <v/>
      </c>
      <c r="B236">
        <f>IF(Klantgegevens_B!B235&lt;&gt;"", Klantgegevens_B!B235, LEFT(Klantgegevens_A!A235, FIND(",", Klantgegevens_A!A235)-1))</f>
        <v/>
      </c>
      <c r="C236">
        <f>C235 &amp; ", " &amp; B235</f>
        <v/>
      </c>
      <c r="D236">
        <f>IF(Klantgegevens_B!F235&lt;&gt;"", Klantgegevens_B!F235, Klantgegevens_A!D235 &amp; " " &amp; Klantgegevens_A!E235 &amp; ", " &amp; Klantgegevens_A!F235)</f>
        <v/>
      </c>
      <c r="E236">
        <f>IF(Klantgegevens_B!G235&lt;&gt;"", Klantgegevens_B!G235, TEXTJOIN(",", TRUE, REPT("Volwassene,", Klantgegevens_A!G235), REPT("Kind,", Klantgegevens_A!H235)))</f>
        <v/>
      </c>
      <c r="F236">
        <f>IF(Klantgegevens_B!G235&lt;&gt;"", LEN(Klantgegevens_B!G235)-LEN(SUBSTITUTE(Klantgegevens_B!G235, ",", ""))+1, Klantgegevens_A!G235)</f>
        <v/>
      </c>
      <c r="G236">
        <f>IF(Klantgegevens_B!G235&lt;&gt;"", 0, Klantgegevens_A!H235)</f>
        <v/>
      </c>
      <c r="H236">
        <f>IF(Klantgegevens_B!H235&lt;&gt;"", Klantgegevens_B!H235, Klantgegevens_A!I235)</f>
        <v/>
      </c>
      <c r="I236">
        <f>IF(Klantgegevens_B!I235&lt;&gt;"", Klantgegevens_B!I235, SWITCH(Klantgegevens_A!J235, "Zelden", 1, "Af en toe", 4, "Regelmatig", 8, "Vaak", 12))</f>
        <v/>
      </c>
      <c r="J236">
        <f>IF(Klantgegevens_B!J235&lt;&gt;"", Klantgegevens_B!J235, Klantgegevens_A!K235)</f>
        <v/>
      </c>
      <c r="K236">
        <f>IF(Klantgegevens_B!K235&lt;&gt;"", AVERAGE(--(Klantgegevens_B!K235="ja"), --(Klantgegevens_B!L235="ja"), --(Klantgegevens_B!M235="ja"), --(Klantgegevens_B!N235="ja"), --(Klantgegevens_B!O235="ja"))*10, Klantgegevens_A!L235)</f>
        <v/>
      </c>
      <c r="L236">
        <f>IF(Klantgegevens_B!K235&lt;&gt;"", Klantgegevens_B!K235, IF(Klantgegevens_A!L235&gt;=7, "ja", "nee"))</f>
        <v/>
      </c>
      <c r="M236">
        <f>IF(Klantgegevens_B!L235&lt;&gt;"", Klantgegevens_B!L235, IF(Klantgegevens_A!L235&gt;=7, "ja", "nee"))</f>
        <v/>
      </c>
      <c r="N236">
        <f>IF(Klantgegevens_B!M235&lt;&gt;"", Klantgegevens_B!M235, IF(Klantgegevens_A!L235&gt;=7, "ja", "nee"))</f>
        <v/>
      </c>
      <c r="O236">
        <f>IF(Klantgegevens_B!N235&lt;&gt;"", Klantgegevens_B!N235, IF(Klantgegevens_A!L235&gt;=7, "ja", "nee"))</f>
        <v/>
      </c>
      <c r="P236">
        <f>IF(Klantgegevens_B!O235&lt;&gt;"", Klantgegevens_B!O235, IF(Klantgegevens_A!L235&gt;=7, "ja", "nee"))</f>
        <v/>
      </c>
      <c r="Q236">
        <f>IF(Klantgegevens_B!P235&lt;&gt;"", Klantgegevens_B!P235, Klantgegevens_A!M235)</f>
        <v/>
      </c>
      <c r="R236">
        <f>IF(Klantgegevens_B!A235&lt;&gt;"", "B", "A")</f>
        <v/>
      </c>
    </row>
    <row r="237">
      <c r="A237">
        <f>IF(Klantgegevens_B!A236&lt;&gt;"", Klantgegevens_B!A236, MID(Klantgegevens_A!A236, FIND(",", Klantgegevens_A!A236)+2, LEN(Klantgegevens_A!A236)))</f>
        <v/>
      </c>
      <c r="B237">
        <f>IF(Klantgegevens_B!B236&lt;&gt;"", Klantgegevens_B!B236, LEFT(Klantgegevens_A!A236, FIND(",", Klantgegevens_A!A236)-1))</f>
        <v/>
      </c>
      <c r="C237">
        <f>C236 &amp; ", " &amp; B236</f>
        <v/>
      </c>
      <c r="D237">
        <f>IF(Klantgegevens_B!F236&lt;&gt;"", Klantgegevens_B!F236, Klantgegevens_A!D236 &amp; " " &amp; Klantgegevens_A!E236 &amp; ", " &amp; Klantgegevens_A!F236)</f>
        <v/>
      </c>
      <c r="E237">
        <f>IF(Klantgegevens_B!G236&lt;&gt;"", Klantgegevens_B!G236, TEXTJOIN(",", TRUE, REPT("Volwassene,", Klantgegevens_A!G236), REPT("Kind,", Klantgegevens_A!H236)))</f>
        <v/>
      </c>
      <c r="F237">
        <f>IF(Klantgegevens_B!G236&lt;&gt;"", LEN(Klantgegevens_B!G236)-LEN(SUBSTITUTE(Klantgegevens_B!G236, ",", ""))+1, Klantgegevens_A!G236)</f>
        <v/>
      </c>
      <c r="G237">
        <f>IF(Klantgegevens_B!G236&lt;&gt;"", 0, Klantgegevens_A!H236)</f>
        <v/>
      </c>
      <c r="H237">
        <f>IF(Klantgegevens_B!H236&lt;&gt;"", Klantgegevens_B!H236, Klantgegevens_A!I236)</f>
        <v/>
      </c>
      <c r="I237">
        <f>IF(Klantgegevens_B!I236&lt;&gt;"", Klantgegevens_B!I236, SWITCH(Klantgegevens_A!J236, "Zelden", 1, "Af en toe", 4, "Regelmatig", 8, "Vaak", 12))</f>
        <v/>
      </c>
      <c r="J237">
        <f>IF(Klantgegevens_B!J236&lt;&gt;"", Klantgegevens_B!J236, Klantgegevens_A!K236)</f>
        <v/>
      </c>
      <c r="K237">
        <f>IF(Klantgegevens_B!K236&lt;&gt;"", AVERAGE(--(Klantgegevens_B!K236="ja"), --(Klantgegevens_B!L236="ja"), --(Klantgegevens_B!M236="ja"), --(Klantgegevens_B!N236="ja"), --(Klantgegevens_B!O236="ja"))*10, Klantgegevens_A!L236)</f>
        <v/>
      </c>
      <c r="L237">
        <f>IF(Klantgegevens_B!K236&lt;&gt;"", Klantgegevens_B!K236, IF(Klantgegevens_A!L236&gt;=7, "ja", "nee"))</f>
        <v/>
      </c>
      <c r="M237">
        <f>IF(Klantgegevens_B!L236&lt;&gt;"", Klantgegevens_B!L236, IF(Klantgegevens_A!L236&gt;=7, "ja", "nee"))</f>
        <v/>
      </c>
      <c r="N237">
        <f>IF(Klantgegevens_B!M236&lt;&gt;"", Klantgegevens_B!M236, IF(Klantgegevens_A!L236&gt;=7, "ja", "nee"))</f>
        <v/>
      </c>
      <c r="O237">
        <f>IF(Klantgegevens_B!N236&lt;&gt;"", Klantgegevens_B!N236, IF(Klantgegevens_A!L236&gt;=7, "ja", "nee"))</f>
        <v/>
      </c>
      <c r="P237">
        <f>IF(Klantgegevens_B!O236&lt;&gt;"", Klantgegevens_B!O236, IF(Klantgegevens_A!L236&gt;=7, "ja", "nee"))</f>
        <v/>
      </c>
      <c r="Q237">
        <f>IF(Klantgegevens_B!P236&lt;&gt;"", Klantgegevens_B!P236, Klantgegevens_A!M236)</f>
        <v/>
      </c>
      <c r="R237">
        <f>IF(Klantgegevens_B!A236&lt;&gt;"", "B", "A")</f>
        <v/>
      </c>
    </row>
    <row r="238">
      <c r="A238">
        <f>IF(Klantgegevens_B!A237&lt;&gt;"", Klantgegevens_B!A237, MID(Klantgegevens_A!A237, FIND(",", Klantgegevens_A!A237)+2, LEN(Klantgegevens_A!A237)))</f>
        <v/>
      </c>
      <c r="B238">
        <f>IF(Klantgegevens_B!B237&lt;&gt;"", Klantgegevens_B!B237, LEFT(Klantgegevens_A!A237, FIND(",", Klantgegevens_A!A237)-1))</f>
        <v/>
      </c>
      <c r="C238">
        <f>C237 &amp; ", " &amp; B237</f>
        <v/>
      </c>
      <c r="D238">
        <f>IF(Klantgegevens_B!F237&lt;&gt;"", Klantgegevens_B!F237, Klantgegevens_A!D237 &amp; " " &amp; Klantgegevens_A!E237 &amp; ", " &amp; Klantgegevens_A!F237)</f>
        <v/>
      </c>
      <c r="E238">
        <f>IF(Klantgegevens_B!G237&lt;&gt;"", Klantgegevens_B!G237, TEXTJOIN(",", TRUE, REPT("Volwassene,", Klantgegevens_A!G237), REPT("Kind,", Klantgegevens_A!H237)))</f>
        <v/>
      </c>
      <c r="F238">
        <f>IF(Klantgegevens_B!G237&lt;&gt;"", LEN(Klantgegevens_B!G237)-LEN(SUBSTITUTE(Klantgegevens_B!G237, ",", ""))+1, Klantgegevens_A!G237)</f>
        <v/>
      </c>
      <c r="G238">
        <f>IF(Klantgegevens_B!G237&lt;&gt;"", 0, Klantgegevens_A!H237)</f>
        <v/>
      </c>
      <c r="H238">
        <f>IF(Klantgegevens_B!H237&lt;&gt;"", Klantgegevens_B!H237, Klantgegevens_A!I237)</f>
        <v/>
      </c>
      <c r="I238">
        <f>IF(Klantgegevens_B!I237&lt;&gt;"", Klantgegevens_B!I237, SWITCH(Klantgegevens_A!J237, "Zelden", 1, "Af en toe", 4, "Regelmatig", 8, "Vaak", 12))</f>
        <v/>
      </c>
      <c r="J238">
        <f>IF(Klantgegevens_B!J237&lt;&gt;"", Klantgegevens_B!J237, Klantgegevens_A!K237)</f>
        <v/>
      </c>
      <c r="K238">
        <f>IF(Klantgegevens_B!K237&lt;&gt;"", AVERAGE(--(Klantgegevens_B!K237="ja"), --(Klantgegevens_B!L237="ja"), --(Klantgegevens_B!M237="ja"), --(Klantgegevens_B!N237="ja"), --(Klantgegevens_B!O237="ja"))*10, Klantgegevens_A!L237)</f>
        <v/>
      </c>
      <c r="L238">
        <f>IF(Klantgegevens_B!K237&lt;&gt;"", Klantgegevens_B!K237, IF(Klantgegevens_A!L237&gt;=7, "ja", "nee"))</f>
        <v/>
      </c>
      <c r="M238">
        <f>IF(Klantgegevens_B!L237&lt;&gt;"", Klantgegevens_B!L237, IF(Klantgegevens_A!L237&gt;=7, "ja", "nee"))</f>
        <v/>
      </c>
      <c r="N238">
        <f>IF(Klantgegevens_B!M237&lt;&gt;"", Klantgegevens_B!M237, IF(Klantgegevens_A!L237&gt;=7, "ja", "nee"))</f>
        <v/>
      </c>
      <c r="O238">
        <f>IF(Klantgegevens_B!N237&lt;&gt;"", Klantgegevens_B!N237, IF(Klantgegevens_A!L237&gt;=7, "ja", "nee"))</f>
        <v/>
      </c>
      <c r="P238">
        <f>IF(Klantgegevens_B!O237&lt;&gt;"", Klantgegevens_B!O237, IF(Klantgegevens_A!L237&gt;=7, "ja", "nee"))</f>
        <v/>
      </c>
      <c r="Q238">
        <f>IF(Klantgegevens_B!P237&lt;&gt;"", Klantgegevens_B!P237, Klantgegevens_A!M237)</f>
        <v/>
      </c>
      <c r="R238">
        <f>IF(Klantgegevens_B!A237&lt;&gt;"", "B", "A")</f>
        <v/>
      </c>
    </row>
    <row r="239">
      <c r="A239">
        <f>IF(Klantgegevens_B!A238&lt;&gt;"", Klantgegevens_B!A238, MID(Klantgegevens_A!A238, FIND(",", Klantgegevens_A!A238)+2, LEN(Klantgegevens_A!A238)))</f>
        <v/>
      </c>
      <c r="B239">
        <f>IF(Klantgegevens_B!B238&lt;&gt;"", Klantgegevens_B!B238, LEFT(Klantgegevens_A!A238, FIND(",", Klantgegevens_A!A238)-1))</f>
        <v/>
      </c>
      <c r="C239">
        <f>C238 &amp; ", " &amp; B238</f>
        <v/>
      </c>
      <c r="D239">
        <f>IF(Klantgegevens_B!F238&lt;&gt;"", Klantgegevens_B!F238, Klantgegevens_A!D238 &amp; " " &amp; Klantgegevens_A!E238 &amp; ", " &amp; Klantgegevens_A!F238)</f>
        <v/>
      </c>
      <c r="E239">
        <f>IF(Klantgegevens_B!G238&lt;&gt;"", Klantgegevens_B!G238, TEXTJOIN(",", TRUE, REPT("Volwassene,", Klantgegevens_A!G238), REPT("Kind,", Klantgegevens_A!H238)))</f>
        <v/>
      </c>
      <c r="F239">
        <f>IF(Klantgegevens_B!G238&lt;&gt;"", LEN(Klantgegevens_B!G238)-LEN(SUBSTITUTE(Klantgegevens_B!G238, ",", ""))+1, Klantgegevens_A!G238)</f>
        <v/>
      </c>
      <c r="G239">
        <f>IF(Klantgegevens_B!G238&lt;&gt;"", 0, Klantgegevens_A!H238)</f>
        <v/>
      </c>
      <c r="H239">
        <f>IF(Klantgegevens_B!H238&lt;&gt;"", Klantgegevens_B!H238, Klantgegevens_A!I238)</f>
        <v/>
      </c>
      <c r="I239">
        <f>IF(Klantgegevens_B!I238&lt;&gt;"", Klantgegevens_B!I238, SWITCH(Klantgegevens_A!J238, "Zelden", 1, "Af en toe", 4, "Regelmatig", 8, "Vaak", 12))</f>
        <v/>
      </c>
      <c r="J239">
        <f>IF(Klantgegevens_B!J238&lt;&gt;"", Klantgegevens_B!J238, Klantgegevens_A!K238)</f>
        <v/>
      </c>
      <c r="K239">
        <f>IF(Klantgegevens_B!K238&lt;&gt;"", AVERAGE(--(Klantgegevens_B!K238="ja"), --(Klantgegevens_B!L238="ja"), --(Klantgegevens_B!M238="ja"), --(Klantgegevens_B!N238="ja"), --(Klantgegevens_B!O238="ja"))*10, Klantgegevens_A!L238)</f>
        <v/>
      </c>
      <c r="L239">
        <f>IF(Klantgegevens_B!K238&lt;&gt;"", Klantgegevens_B!K238, IF(Klantgegevens_A!L238&gt;=7, "ja", "nee"))</f>
        <v/>
      </c>
      <c r="M239">
        <f>IF(Klantgegevens_B!L238&lt;&gt;"", Klantgegevens_B!L238, IF(Klantgegevens_A!L238&gt;=7, "ja", "nee"))</f>
        <v/>
      </c>
      <c r="N239">
        <f>IF(Klantgegevens_B!M238&lt;&gt;"", Klantgegevens_B!M238, IF(Klantgegevens_A!L238&gt;=7, "ja", "nee"))</f>
        <v/>
      </c>
      <c r="O239">
        <f>IF(Klantgegevens_B!N238&lt;&gt;"", Klantgegevens_B!N238, IF(Klantgegevens_A!L238&gt;=7, "ja", "nee"))</f>
        <v/>
      </c>
      <c r="P239">
        <f>IF(Klantgegevens_B!O238&lt;&gt;"", Klantgegevens_B!O238, IF(Klantgegevens_A!L238&gt;=7, "ja", "nee"))</f>
        <v/>
      </c>
      <c r="Q239">
        <f>IF(Klantgegevens_B!P238&lt;&gt;"", Klantgegevens_B!P238, Klantgegevens_A!M238)</f>
        <v/>
      </c>
      <c r="R239">
        <f>IF(Klantgegevens_B!A238&lt;&gt;"", "B", "A")</f>
        <v/>
      </c>
    </row>
    <row r="240">
      <c r="A240">
        <f>IF(Klantgegevens_B!A239&lt;&gt;"", Klantgegevens_B!A239, MID(Klantgegevens_A!A239, FIND(",", Klantgegevens_A!A239)+2, LEN(Klantgegevens_A!A239)))</f>
        <v/>
      </c>
      <c r="B240">
        <f>IF(Klantgegevens_B!B239&lt;&gt;"", Klantgegevens_B!B239, LEFT(Klantgegevens_A!A239, FIND(",", Klantgegevens_A!A239)-1))</f>
        <v/>
      </c>
      <c r="C240">
        <f>C239 &amp; ", " &amp; B239</f>
        <v/>
      </c>
      <c r="D240">
        <f>IF(Klantgegevens_B!F239&lt;&gt;"", Klantgegevens_B!F239, Klantgegevens_A!D239 &amp; " " &amp; Klantgegevens_A!E239 &amp; ", " &amp; Klantgegevens_A!F239)</f>
        <v/>
      </c>
      <c r="E240">
        <f>IF(Klantgegevens_B!G239&lt;&gt;"", Klantgegevens_B!G239, TEXTJOIN(",", TRUE, REPT("Volwassene,", Klantgegevens_A!G239), REPT("Kind,", Klantgegevens_A!H239)))</f>
        <v/>
      </c>
      <c r="F240">
        <f>IF(Klantgegevens_B!G239&lt;&gt;"", LEN(Klantgegevens_B!G239)-LEN(SUBSTITUTE(Klantgegevens_B!G239, ",", ""))+1, Klantgegevens_A!G239)</f>
        <v/>
      </c>
      <c r="G240">
        <f>IF(Klantgegevens_B!G239&lt;&gt;"", 0, Klantgegevens_A!H239)</f>
        <v/>
      </c>
      <c r="H240">
        <f>IF(Klantgegevens_B!H239&lt;&gt;"", Klantgegevens_B!H239, Klantgegevens_A!I239)</f>
        <v/>
      </c>
      <c r="I240">
        <f>IF(Klantgegevens_B!I239&lt;&gt;"", Klantgegevens_B!I239, SWITCH(Klantgegevens_A!J239, "Zelden", 1, "Af en toe", 4, "Regelmatig", 8, "Vaak", 12))</f>
        <v/>
      </c>
      <c r="J240">
        <f>IF(Klantgegevens_B!J239&lt;&gt;"", Klantgegevens_B!J239, Klantgegevens_A!K239)</f>
        <v/>
      </c>
      <c r="K240">
        <f>IF(Klantgegevens_B!K239&lt;&gt;"", AVERAGE(--(Klantgegevens_B!K239="ja"), --(Klantgegevens_B!L239="ja"), --(Klantgegevens_B!M239="ja"), --(Klantgegevens_B!N239="ja"), --(Klantgegevens_B!O239="ja"))*10, Klantgegevens_A!L239)</f>
        <v/>
      </c>
      <c r="L240">
        <f>IF(Klantgegevens_B!K239&lt;&gt;"", Klantgegevens_B!K239, IF(Klantgegevens_A!L239&gt;=7, "ja", "nee"))</f>
        <v/>
      </c>
      <c r="M240">
        <f>IF(Klantgegevens_B!L239&lt;&gt;"", Klantgegevens_B!L239, IF(Klantgegevens_A!L239&gt;=7, "ja", "nee"))</f>
        <v/>
      </c>
      <c r="N240">
        <f>IF(Klantgegevens_B!M239&lt;&gt;"", Klantgegevens_B!M239, IF(Klantgegevens_A!L239&gt;=7, "ja", "nee"))</f>
        <v/>
      </c>
      <c r="O240">
        <f>IF(Klantgegevens_B!N239&lt;&gt;"", Klantgegevens_B!N239, IF(Klantgegevens_A!L239&gt;=7, "ja", "nee"))</f>
        <v/>
      </c>
      <c r="P240">
        <f>IF(Klantgegevens_B!O239&lt;&gt;"", Klantgegevens_B!O239, IF(Klantgegevens_A!L239&gt;=7, "ja", "nee"))</f>
        <v/>
      </c>
      <c r="Q240">
        <f>IF(Klantgegevens_B!P239&lt;&gt;"", Klantgegevens_B!P239, Klantgegevens_A!M239)</f>
        <v/>
      </c>
      <c r="R240">
        <f>IF(Klantgegevens_B!A239&lt;&gt;"", "B", "A")</f>
        <v/>
      </c>
    </row>
    <row r="241">
      <c r="A241">
        <f>IF(Klantgegevens_B!A240&lt;&gt;"", Klantgegevens_B!A240, MID(Klantgegevens_A!A240, FIND(",", Klantgegevens_A!A240)+2, LEN(Klantgegevens_A!A240)))</f>
        <v/>
      </c>
      <c r="B241">
        <f>IF(Klantgegevens_B!B240&lt;&gt;"", Klantgegevens_B!B240, LEFT(Klantgegevens_A!A240, FIND(",", Klantgegevens_A!A240)-1))</f>
        <v/>
      </c>
      <c r="C241">
        <f>C240 &amp; ", " &amp; B240</f>
        <v/>
      </c>
      <c r="D241">
        <f>IF(Klantgegevens_B!F240&lt;&gt;"", Klantgegevens_B!F240, Klantgegevens_A!D240 &amp; " " &amp; Klantgegevens_A!E240 &amp; ", " &amp; Klantgegevens_A!F240)</f>
        <v/>
      </c>
      <c r="E241">
        <f>IF(Klantgegevens_B!G240&lt;&gt;"", Klantgegevens_B!G240, TEXTJOIN(",", TRUE, REPT("Volwassene,", Klantgegevens_A!G240), REPT("Kind,", Klantgegevens_A!H240)))</f>
        <v/>
      </c>
      <c r="F241">
        <f>IF(Klantgegevens_B!G240&lt;&gt;"", LEN(Klantgegevens_B!G240)-LEN(SUBSTITUTE(Klantgegevens_B!G240, ",", ""))+1, Klantgegevens_A!G240)</f>
        <v/>
      </c>
      <c r="G241">
        <f>IF(Klantgegevens_B!G240&lt;&gt;"", 0, Klantgegevens_A!H240)</f>
        <v/>
      </c>
      <c r="H241">
        <f>IF(Klantgegevens_B!H240&lt;&gt;"", Klantgegevens_B!H240, Klantgegevens_A!I240)</f>
        <v/>
      </c>
      <c r="I241">
        <f>IF(Klantgegevens_B!I240&lt;&gt;"", Klantgegevens_B!I240, SWITCH(Klantgegevens_A!J240, "Zelden", 1, "Af en toe", 4, "Regelmatig", 8, "Vaak", 12))</f>
        <v/>
      </c>
      <c r="J241">
        <f>IF(Klantgegevens_B!J240&lt;&gt;"", Klantgegevens_B!J240, Klantgegevens_A!K240)</f>
        <v/>
      </c>
      <c r="K241">
        <f>IF(Klantgegevens_B!K240&lt;&gt;"", AVERAGE(--(Klantgegevens_B!K240="ja"), --(Klantgegevens_B!L240="ja"), --(Klantgegevens_B!M240="ja"), --(Klantgegevens_B!N240="ja"), --(Klantgegevens_B!O240="ja"))*10, Klantgegevens_A!L240)</f>
        <v/>
      </c>
      <c r="L241">
        <f>IF(Klantgegevens_B!K240&lt;&gt;"", Klantgegevens_B!K240, IF(Klantgegevens_A!L240&gt;=7, "ja", "nee"))</f>
        <v/>
      </c>
      <c r="M241">
        <f>IF(Klantgegevens_B!L240&lt;&gt;"", Klantgegevens_B!L240, IF(Klantgegevens_A!L240&gt;=7, "ja", "nee"))</f>
        <v/>
      </c>
      <c r="N241">
        <f>IF(Klantgegevens_B!M240&lt;&gt;"", Klantgegevens_B!M240, IF(Klantgegevens_A!L240&gt;=7, "ja", "nee"))</f>
        <v/>
      </c>
      <c r="O241">
        <f>IF(Klantgegevens_B!N240&lt;&gt;"", Klantgegevens_B!N240, IF(Klantgegevens_A!L240&gt;=7, "ja", "nee"))</f>
        <v/>
      </c>
      <c r="P241">
        <f>IF(Klantgegevens_B!O240&lt;&gt;"", Klantgegevens_B!O240, IF(Klantgegevens_A!L240&gt;=7, "ja", "nee"))</f>
        <v/>
      </c>
      <c r="Q241">
        <f>IF(Klantgegevens_B!P240&lt;&gt;"", Klantgegevens_B!P240, Klantgegevens_A!M240)</f>
        <v/>
      </c>
      <c r="R241">
        <f>IF(Klantgegevens_B!A240&lt;&gt;"", "B", "A")</f>
        <v/>
      </c>
    </row>
    <row r="242">
      <c r="A242">
        <f>IF(Klantgegevens_B!A241&lt;&gt;"", Klantgegevens_B!A241, MID(Klantgegevens_A!A241, FIND(",", Klantgegevens_A!A241)+2, LEN(Klantgegevens_A!A241)))</f>
        <v/>
      </c>
      <c r="B242">
        <f>IF(Klantgegevens_B!B241&lt;&gt;"", Klantgegevens_B!B241, LEFT(Klantgegevens_A!A241, FIND(",", Klantgegevens_A!A241)-1))</f>
        <v/>
      </c>
      <c r="C242">
        <f>C241 &amp; ", " &amp; B241</f>
        <v/>
      </c>
      <c r="D242">
        <f>IF(Klantgegevens_B!F241&lt;&gt;"", Klantgegevens_B!F241, Klantgegevens_A!D241 &amp; " " &amp; Klantgegevens_A!E241 &amp; ", " &amp; Klantgegevens_A!F241)</f>
        <v/>
      </c>
      <c r="E242">
        <f>IF(Klantgegevens_B!G241&lt;&gt;"", Klantgegevens_B!G241, TEXTJOIN(",", TRUE, REPT("Volwassene,", Klantgegevens_A!G241), REPT("Kind,", Klantgegevens_A!H241)))</f>
        <v/>
      </c>
      <c r="F242">
        <f>IF(Klantgegevens_B!G241&lt;&gt;"", LEN(Klantgegevens_B!G241)-LEN(SUBSTITUTE(Klantgegevens_B!G241, ",", ""))+1, Klantgegevens_A!G241)</f>
        <v/>
      </c>
      <c r="G242">
        <f>IF(Klantgegevens_B!G241&lt;&gt;"", 0, Klantgegevens_A!H241)</f>
        <v/>
      </c>
      <c r="H242">
        <f>IF(Klantgegevens_B!H241&lt;&gt;"", Klantgegevens_B!H241, Klantgegevens_A!I241)</f>
        <v/>
      </c>
      <c r="I242">
        <f>IF(Klantgegevens_B!I241&lt;&gt;"", Klantgegevens_B!I241, SWITCH(Klantgegevens_A!J241, "Zelden", 1, "Af en toe", 4, "Regelmatig", 8, "Vaak", 12))</f>
        <v/>
      </c>
      <c r="J242">
        <f>IF(Klantgegevens_B!J241&lt;&gt;"", Klantgegevens_B!J241, Klantgegevens_A!K241)</f>
        <v/>
      </c>
      <c r="K242">
        <f>IF(Klantgegevens_B!K241&lt;&gt;"", AVERAGE(--(Klantgegevens_B!K241="ja"), --(Klantgegevens_B!L241="ja"), --(Klantgegevens_B!M241="ja"), --(Klantgegevens_B!N241="ja"), --(Klantgegevens_B!O241="ja"))*10, Klantgegevens_A!L241)</f>
        <v/>
      </c>
      <c r="L242">
        <f>IF(Klantgegevens_B!K241&lt;&gt;"", Klantgegevens_B!K241, IF(Klantgegevens_A!L241&gt;=7, "ja", "nee"))</f>
        <v/>
      </c>
      <c r="M242">
        <f>IF(Klantgegevens_B!L241&lt;&gt;"", Klantgegevens_B!L241, IF(Klantgegevens_A!L241&gt;=7, "ja", "nee"))</f>
        <v/>
      </c>
      <c r="N242">
        <f>IF(Klantgegevens_B!M241&lt;&gt;"", Klantgegevens_B!M241, IF(Klantgegevens_A!L241&gt;=7, "ja", "nee"))</f>
        <v/>
      </c>
      <c r="O242">
        <f>IF(Klantgegevens_B!N241&lt;&gt;"", Klantgegevens_B!N241, IF(Klantgegevens_A!L241&gt;=7, "ja", "nee"))</f>
        <v/>
      </c>
      <c r="P242">
        <f>IF(Klantgegevens_B!O241&lt;&gt;"", Klantgegevens_B!O241, IF(Klantgegevens_A!L241&gt;=7, "ja", "nee"))</f>
        <v/>
      </c>
      <c r="Q242">
        <f>IF(Klantgegevens_B!P241&lt;&gt;"", Klantgegevens_B!P241, Klantgegevens_A!M241)</f>
        <v/>
      </c>
      <c r="R242">
        <f>IF(Klantgegevens_B!A241&lt;&gt;"", "B", "A")</f>
        <v/>
      </c>
    </row>
    <row r="243">
      <c r="A243">
        <f>IF(Klantgegevens_B!A242&lt;&gt;"", Klantgegevens_B!A242, MID(Klantgegevens_A!A242, FIND(",", Klantgegevens_A!A242)+2, LEN(Klantgegevens_A!A242)))</f>
        <v/>
      </c>
      <c r="B243">
        <f>IF(Klantgegevens_B!B242&lt;&gt;"", Klantgegevens_B!B242, LEFT(Klantgegevens_A!A242, FIND(",", Klantgegevens_A!A242)-1))</f>
        <v/>
      </c>
      <c r="C243">
        <f>C242 &amp; ", " &amp; B242</f>
        <v/>
      </c>
      <c r="D243">
        <f>IF(Klantgegevens_B!F242&lt;&gt;"", Klantgegevens_B!F242, Klantgegevens_A!D242 &amp; " " &amp; Klantgegevens_A!E242 &amp; ", " &amp; Klantgegevens_A!F242)</f>
        <v/>
      </c>
      <c r="E243">
        <f>IF(Klantgegevens_B!G242&lt;&gt;"", Klantgegevens_B!G242, TEXTJOIN(",", TRUE, REPT("Volwassene,", Klantgegevens_A!G242), REPT("Kind,", Klantgegevens_A!H242)))</f>
        <v/>
      </c>
      <c r="F243">
        <f>IF(Klantgegevens_B!G242&lt;&gt;"", LEN(Klantgegevens_B!G242)-LEN(SUBSTITUTE(Klantgegevens_B!G242, ",", ""))+1, Klantgegevens_A!G242)</f>
        <v/>
      </c>
      <c r="G243">
        <f>IF(Klantgegevens_B!G242&lt;&gt;"", 0, Klantgegevens_A!H242)</f>
        <v/>
      </c>
      <c r="H243">
        <f>IF(Klantgegevens_B!H242&lt;&gt;"", Klantgegevens_B!H242, Klantgegevens_A!I242)</f>
        <v/>
      </c>
      <c r="I243">
        <f>IF(Klantgegevens_B!I242&lt;&gt;"", Klantgegevens_B!I242, SWITCH(Klantgegevens_A!J242, "Zelden", 1, "Af en toe", 4, "Regelmatig", 8, "Vaak", 12))</f>
        <v/>
      </c>
      <c r="J243">
        <f>IF(Klantgegevens_B!J242&lt;&gt;"", Klantgegevens_B!J242, Klantgegevens_A!K242)</f>
        <v/>
      </c>
      <c r="K243">
        <f>IF(Klantgegevens_B!K242&lt;&gt;"", AVERAGE(--(Klantgegevens_B!K242="ja"), --(Klantgegevens_B!L242="ja"), --(Klantgegevens_B!M242="ja"), --(Klantgegevens_B!N242="ja"), --(Klantgegevens_B!O242="ja"))*10, Klantgegevens_A!L242)</f>
        <v/>
      </c>
      <c r="L243">
        <f>IF(Klantgegevens_B!K242&lt;&gt;"", Klantgegevens_B!K242, IF(Klantgegevens_A!L242&gt;=7, "ja", "nee"))</f>
        <v/>
      </c>
      <c r="M243">
        <f>IF(Klantgegevens_B!L242&lt;&gt;"", Klantgegevens_B!L242, IF(Klantgegevens_A!L242&gt;=7, "ja", "nee"))</f>
        <v/>
      </c>
      <c r="N243">
        <f>IF(Klantgegevens_B!M242&lt;&gt;"", Klantgegevens_B!M242, IF(Klantgegevens_A!L242&gt;=7, "ja", "nee"))</f>
        <v/>
      </c>
      <c r="O243">
        <f>IF(Klantgegevens_B!N242&lt;&gt;"", Klantgegevens_B!N242, IF(Klantgegevens_A!L242&gt;=7, "ja", "nee"))</f>
        <v/>
      </c>
      <c r="P243">
        <f>IF(Klantgegevens_B!O242&lt;&gt;"", Klantgegevens_B!O242, IF(Klantgegevens_A!L242&gt;=7, "ja", "nee"))</f>
        <v/>
      </c>
      <c r="Q243">
        <f>IF(Klantgegevens_B!P242&lt;&gt;"", Klantgegevens_B!P242, Klantgegevens_A!M242)</f>
        <v/>
      </c>
      <c r="R243">
        <f>IF(Klantgegevens_B!A242&lt;&gt;"", "B", "A")</f>
        <v/>
      </c>
    </row>
    <row r="244">
      <c r="A244">
        <f>IF(Klantgegevens_B!A243&lt;&gt;"", Klantgegevens_B!A243, MID(Klantgegevens_A!A243, FIND(",", Klantgegevens_A!A243)+2, LEN(Klantgegevens_A!A243)))</f>
        <v/>
      </c>
      <c r="B244">
        <f>IF(Klantgegevens_B!B243&lt;&gt;"", Klantgegevens_B!B243, LEFT(Klantgegevens_A!A243, FIND(",", Klantgegevens_A!A243)-1))</f>
        <v/>
      </c>
      <c r="C244">
        <f>C243 &amp; ", " &amp; B243</f>
        <v/>
      </c>
      <c r="D244">
        <f>IF(Klantgegevens_B!F243&lt;&gt;"", Klantgegevens_B!F243, Klantgegevens_A!D243 &amp; " " &amp; Klantgegevens_A!E243 &amp; ", " &amp; Klantgegevens_A!F243)</f>
        <v/>
      </c>
      <c r="E244">
        <f>IF(Klantgegevens_B!G243&lt;&gt;"", Klantgegevens_B!G243, TEXTJOIN(",", TRUE, REPT("Volwassene,", Klantgegevens_A!G243), REPT("Kind,", Klantgegevens_A!H243)))</f>
        <v/>
      </c>
      <c r="F244">
        <f>IF(Klantgegevens_B!G243&lt;&gt;"", LEN(Klantgegevens_B!G243)-LEN(SUBSTITUTE(Klantgegevens_B!G243, ",", ""))+1, Klantgegevens_A!G243)</f>
        <v/>
      </c>
      <c r="G244">
        <f>IF(Klantgegevens_B!G243&lt;&gt;"", 0, Klantgegevens_A!H243)</f>
        <v/>
      </c>
      <c r="H244">
        <f>IF(Klantgegevens_B!H243&lt;&gt;"", Klantgegevens_B!H243, Klantgegevens_A!I243)</f>
        <v/>
      </c>
      <c r="I244">
        <f>IF(Klantgegevens_B!I243&lt;&gt;"", Klantgegevens_B!I243, SWITCH(Klantgegevens_A!J243, "Zelden", 1, "Af en toe", 4, "Regelmatig", 8, "Vaak", 12))</f>
        <v/>
      </c>
      <c r="J244">
        <f>IF(Klantgegevens_B!J243&lt;&gt;"", Klantgegevens_B!J243, Klantgegevens_A!K243)</f>
        <v/>
      </c>
      <c r="K244">
        <f>IF(Klantgegevens_B!K243&lt;&gt;"", AVERAGE(--(Klantgegevens_B!K243="ja"), --(Klantgegevens_B!L243="ja"), --(Klantgegevens_B!M243="ja"), --(Klantgegevens_B!N243="ja"), --(Klantgegevens_B!O243="ja"))*10, Klantgegevens_A!L243)</f>
        <v/>
      </c>
      <c r="L244">
        <f>IF(Klantgegevens_B!K243&lt;&gt;"", Klantgegevens_B!K243, IF(Klantgegevens_A!L243&gt;=7, "ja", "nee"))</f>
        <v/>
      </c>
      <c r="M244">
        <f>IF(Klantgegevens_B!L243&lt;&gt;"", Klantgegevens_B!L243, IF(Klantgegevens_A!L243&gt;=7, "ja", "nee"))</f>
        <v/>
      </c>
      <c r="N244">
        <f>IF(Klantgegevens_B!M243&lt;&gt;"", Klantgegevens_B!M243, IF(Klantgegevens_A!L243&gt;=7, "ja", "nee"))</f>
        <v/>
      </c>
      <c r="O244">
        <f>IF(Klantgegevens_B!N243&lt;&gt;"", Klantgegevens_B!N243, IF(Klantgegevens_A!L243&gt;=7, "ja", "nee"))</f>
        <v/>
      </c>
      <c r="P244">
        <f>IF(Klantgegevens_B!O243&lt;&gt;"", Klantgegevens_B!O243, IF(Klantgegevens_A!L243&gt;=7, "ja", "nee"))</f>
        <v/>
      </c>
      <c r="Q244">
        <f>IF(Klantgegevens_B!P243&lt;&gt;"", Klantgegevens_B!P243, Klantgegevens_A!M243)</f>
        <v/>
      </c>
      <c r="R244">
        <f>IF(Klantgegevens_B!A243&lt;&gt;"", "B", "A")</f>
        <v/>
      </c>
    </row>
    <row r="245">
      <c r="A245">
        <f>IF(Klantgegevens_B!A244&lt;&gt;"", Klantgegevens_B!A244, MID(Klantgegevens_A!A244, FIND(",", Klantgegevens_A!A244)+2, LEN(Klantgegevens_A!A244)))</f>
        <v/>
      </c>
      <c r="B245">
        <f>IF(Klantgegevens_B!B244&lt;&gt;"", Klantgegevens_B!B244, LEFT(Klantgegevens_A!A244, FIND(",", Klantgegevens_A!A244)-1))</f>
        <v/>
      </c>
      <c r="C245">
        <f>C244 &amp; ", " &amp; B244</f>
        <v/>
      </c>
      <c r="D245">
        <f>IF(Klantgegevens_B!F244&lt;&gt;"", Klantgegevens_B!F244, Klantgegevens_A!D244 &amp; " " &amp; Klantgegevens_A!E244 &amp; ", " &amp; Klantgegevens_A!F244)</f>
        <v/>
      </c>
      <c r="E245">
        <f>IF(Klantgegevens_B!G244&lt;&gt;"", Klantgegevens_B!G244, TEXTJOIN(",", TRUE, REPT("Volwassene,", Klantgegevens_A!G244), REPT("Kind,", Klantgegevens_A!H244)))</f>
        <v/>
      </c>
      <c r="F245">
        <f>IF(Klantgegevens_B!G244&lt;&gt;"", LEN(Klantgegevens_B!G244)-LEN(SUBSTITUTE(Klantgegevens_B!G244, ",", ""))+1, Klantgegevens_A!G244)</f>
        <v/>
      </c>
      <c r="G245">
        <f>IF(Klantgegevens_B!G244&lt;&gt;"", 0, Klantgegevens_A!H244)</f>
        <v/>
      </c>
      <c r="H245">
        <f>IF(Klantgegevens_B!H244&lt;&gt;"", Klantgegevens_B!H244, Klantgegevens_A!I244)</f>
        <v/>
      </c>
      <c r="I245">
        <f>IF(Klantgegevens_B!I244&lt;&gt;"", Klantgegevens_B!I244, SWITCH(Klantgegevens_A!J244, "Zelden", 1, "Af en toe", 4, "Regelmatig", 8, "Vaak", 12))</f>
        <v/>
      </c>
      <c r="J245">
        <f>IF(Klantgegevens_B!J244&lt;&gt;"", Klantgegevens_B!J244, Klantgegevens_A!K244)</f>
        <v/>
      </c>
      <c r="K245">
        <f>IF(Klantgegevens_B!K244&lt;&gt;"", AVERAGE(--(Klantgegevens_B!K244="ja"), --(Klantgegevens_B!L244="ja"), --(Klantgegevens_B!M244="ja"), --(Klantgegevens_B!N244="ja"), --(Klantgegevens_B!O244="ja"))*10, Klantgegevens_A!L244)</f>
        <v/>
      </c>
      <c r="L245">
        <f>IF(Klantgegevens_B!K244&lt;&gt;"", Klantgegevens_B!K244, IF(Klantgegevens_A!L244&gt;=7, "ja", "nee"))</f>
        <v/>
      </c>
      <c r="M245">
        <f>IF(Klantgegevens_B!L244&lt;&gt;"", Klantgegevens_B!L244, IF(Klantgegevens_A!L244&gt;=7, "ja", "nee"))</f>
        <v/>
      </c>
      <c r="N245">
        <f>IF(Klantgegevens_B!M244&lt;&gt;"", Klantgegevens_B!M244, IF(Klantgegevens_A!L244&gt;=7, "ja", "nee"))</f>
        <v/>
      </c>
      <c r="O245">
        <f>IF(Klantgegevens_B!N244&lt;&gt;"", Klantgegevens_B!N244, IF(Klantgegevens_A!L244&gt;=7, "ja", "nee"))</f>
        <v/>
      </c>
      <c r="P245">
        <f>IF(Klantgegevens_B!O244&lt;&gt;"", Klantgegevens_B!O244, IF(Klantgegevens_A!L244&gt;=7, "ja", "nee"))</f>
        <v/>
      </c>
      <c r="Q245">
        <f>IF(Klantgegevens_B!P244&lt;&gt;"", Klantgegevens_B!P244, Klantgegevens_A!M244)</f>
        <v/>
      </c>
      <c r="R245">
        <f>IF(Klantgegevens_B!A244&lt;&gt;"", "B", "A")</f>
        <v/>
      </c>
    </row>
    <row r="246">
      <c r="A246">
        <f>IF(Klantgegevens_B!A245&lt;&gt;"", Klantgegevens_B!A245, MID(Klantgegevens_A!A245, FIND(",", Klantgegevens_A!A245)+2, LEN(Klantgegevens_A!A245)))</f>
        <v/>
      </c>
      <c r="B246">
        <f>IF(Klantgegevens_B!B245&lt;&gt;"", Klantgegevens_B!B245, LEFT(Klantgegevens_A!A245, FIND(",", Klantgegevens_A!A245)-1))</f>
        <v/>
      </c>
      <c r="C246">
        <f>C245 &amp; ", " &amp; B245</f>
        <v/>
      </c>
      <c r="D246">
        <f>IF(Klantgegevens_B!F245&lt;&gt;"", Klantgegevens_B!F245, Klantgegevens_A!D245 &amp; " " &amp; Klantgegevens_A!E245 &amp; ", " &amp; Klantgegevens_A!F245)</f>
        <v/>
      </c>
      <c r="E246">
        <f>IF(Klantgegevens_B!G245&lt;&gt;"", Klantgegevens_B!G245, TEXTJOIN(",", TRUE, REPT("Volwassene,", Klantgegevens_A!G245), REPT("Kind,", Klantgegevens_A!H245)))</f>
        <v/>
      </c>
      <c r="F246">
        <f>IF(Klantgegevens_B!G245&lt;&gt;"", LEN(Klantgegevens_B!G245)-LEN(SUBSTITUTE(Klantgegevens_B!G245, ",", ""))+1, Klantgegevens_A!G245)</f>
        <v/>
      </c>
      <c r="G246">
        <f>IF(Klantgegevens_B!G245&lt;&gt;"", 0, Klantgegevens_A!H245)</f>
        <v/>
      </c>
      <c r="H246">
        <f>IF(Klantgegevens_B!H245&lt;&gt;"", Klantgegevens_B!H245, Klantgegevens_A!I245)</f>
        <v/>
      </c>
      <c r="I246">
        <f>IF(Klantgegevens_B!I245&lt;&gt;"", Klantgegevens_B!I245, SWITCH(Klantgegevens_A!J245, "Zelden", 1, "Af en toe", 4, "Regelmatig", 8, "Vaak", 12))</f>
        <v/>
      </c>
      <c r="J246">
        <f>IF(Klantgegevens_B!J245&lt;&gt;"", Klantgegevens_B!J245, Klantgegevens_A!K245)</f>
        <v/>
      </c>
      <c r="K246">
        <f>IF(Klantgegevens_B!K245&lt;&gt;"", AVERAGE(--(Klantgegevens_B!K245="ja"), --(Klantgegevens_B!L245="ja"), --(Klantgegevens_B!M245="ja"), --(Klantgegevens_B!N245="ja"), --(Klantgegevens_B!O245="ja"))*10, Klantgegevens_A!L245)</f>
        <v/>
      </c>
      <c r="L246">
        <f>IF(Klantgegevens_B!K245&lt;&gt;"", Klantgegevens_B!K245, IF(Klantgegevens_A!L245&gt;=7, "ja", "nee"))</f>
        <v/>
      </c>
      <c r="M246">
        <f>IF(Klantgegevens_B!L245&lt;&gt;"", Klantgegevens_B!L245, IF(Klantgegevens_A!L245&gt;=7, "ja", "nee"))</f>
        <v/>
      </c>
      <c r="N246">
        <f>IF(Klantgegevens_B!M245&lt;&gt;"", Klantgegevens_B!M245, IF(Klantgegevens_A!L245&gt;=7, "ja", "nee"))</f>
        <v/>
      </c>
      <c r="O246">
        <f>IF(Klantgegevens_B!N245&lt;&gt;"", Klantgegevens_B!N245, IF(Klantgegevens_A!L245&gt;=7, "ja", "nee"))</f>
        <v/>
      </c>
      <c r="P246">
        <f>IF(Klantgegevens_B!O245&lt;&gt;"", Klantgegevens_B!O245, IF(Klantgegevens_A!L245&gt;=7, "ja", "nee"))</f>
        <v/>
      </c>
      <c r="Q246">
        <f>IF(Klantgegevens_B!P245&lt;&gt;"", Klantgegevens_B!P245, Klantgegevens_A!M245)</f>
        <v/>
      </c>
      <c r="R246">
        <f>IF(Klantgegevens_B!A245&lt;&gt;"", "B", "A")</f>
        <v/>
      </c>
    </row>
    <row r="247">
      <c r="A247">
        <f>IF(Klantgegevens_B!A246&lt;&gt;"", Klantgegevens_B!A246, MID(Klantgegevens_A!A246, FIND(",", Klantgegevens_A!A246)+2, LEN(Klantgegevens_A!A246)))</f>
        <v/>
      </c>
      <c r="B247">
        <f>IF(Klantgegevens_B!B246&lt;&gt;"", Klantgegevens_B!B246, LEFT(Klantgegevens_A!A246, FIND(",", Klantgegevens_A!A246)-1))</f>
        <v/>
      </c>
      <c r="C247">
        <f>C246 &amp; ", " &amp; B246</f>
        <v/>
      </c>
      <c r="D247">
        <f>IF(Klantgegevens_B!F246&lt;&gt;"", Klantgegevens_B!F246, Klantgegevens_A!D246 &amp; " " &amp; Klantgegevens_A!E246 &amp; ", " &amp; Klantgegevens_A!F246)</f>
        <v/>
      </c>
      <c r="E247">
        <f>IF(Klantgegevens_B!G246&lt;&gt;"", Klantgegevens_B!G246, TEXTJOIN(",", TRUE, REPT("Volwassene,", Klantgegevens_A!G246), REPT("Kind,", Klantgegevens_A!H246)))</f>
        <v/>
      </c>
      <c r="F247">
        <f>IF(Klantgegevens_B!G246&lt;&gt;"", LEN(Klantgegevens_B!G246)-LEN(SUBSTITUTE(Klantgegevens_B!G246, ",", ""))+1, Klantgegevens_A!G246)</f>
        <v/>
      </c>
      <c r="G247">
        <f>IF(Klantgegevens_B!G246&lt;&gt;"", 0, Klantgegevens_A!H246)</f>
        <v/>
      </c>
      <c r="H247">
        <f>IF(Klantgegevens_B!H246&lt;&gt;"", Klantgegevens_B!H246, Klantgegevens_A!I246)</f>
        <v/>
      </c>
      <c r="I247">
        <f>IF(Klantgegevens_B!I246&lt;&gt;"", Klantgegevens_B!I246, SWITCH(Klantgegevens_A!J246, "Zelden", 1, "Af en toe", 4, "Regelmatig", 8, "Vaak", 12))</f>
        <v/>
      </c>
      <c r="J247">
        <f>IF(Klantgegevens_B!J246&lt;&gt;"", Klantgegevens_B!J246, Klantgegevens_A!K246)</f>
        <v/>
      </c>
      <c r="K247">
        <f>IF(Klantgegevens_B!K246&lt;&gt;"", AVERAGE(--(Klantgegevens_B!K246="ja"), --(Klantgegevens_B!L246="ja"), --(Klantgegevens_B!M246="ja"), --(Klantgegevens_B!N246="ja"), --(Klantgegevens_B!O246="ja"))*10, Klantgegevens_A!L246)</f>
        <v/>
      </c>
      <c r="L247">
        <f>IF(Klantgegevens_B!K246&lt;&gt;"", Klantgegevens_B!K246, IF(Klantgegevens_A!L246&gt;=7, "ja", "nee"))</f>
        <v/>
      </c>
      <c r="M247">
        <f>IF(Klantgegevens_B!L246&lt;&gt;"", Klantgegevens_B!L246, IF(Klantgegevens_A!L246&gt;=7, "ja", "nee"))</f>
        <v/>
      </c>
      <c r="N247">
        <f>IF(Klantgegevens_B!M246&lt;&gt;"", Klantgegevens_B!M246, IF(Klantgegevens_A!L246&gt;=7, "ja", "nee"))</f>
        <v/>
      </c>
      <c r="O247">
        <f>IF(Klantgegevens_B!N246&lt;&gt;"", Klantgegevens_B!N246, IF(Klantgegevens_A!L246&gt;=7, "ja", "nee"))</f>
        <v/>
      </c>
      <c r="P247">
        <f>IF(Klantgegevens_B!O246&lt;&gt;"", Klantgegevens_B!O246, IF(Klantgegevens_A!L246&gt;=7, "ja", "nee"))</f>
        <v/>
      </c>
      <c r="Q247">
        <f>IF(Klantgegevens_B!P246&lt;&gt;"", Klantgegevens_B!P246, Klantgegevens_A!M246)</f>
        <v/>
      </c>
      <c r="R247">
        <f>IF(Klantgegevens_B!A246&lt;&gt;"", "B", "A")</f>
        <v/>
      </c>
    </row>
    <row r="248">
      <c r="A248">
        <f>IF(Klantgegevens_B!A247&lt;&gt;"", Klantgegevens_B!A247, MID(Klantgegevens_A!A247, FIND(",", Klantgegevens_A!A247)+2, LEN(Klantgegevens_A!A247)))</f>
        <v/>
      </c>
      <c r="B248">
        <f>IF(Klantgegevens_B!B247&lt;&gt;"", Klantgegevens_B!B247, LEFT(Klantgegevens_A!A247, FIND(",", Klantgegevens_A!A247)-1))</f>
        <v/>
      </c>
      <c r="C248">
        <f>C247 &amp; ", " &amp; B247</f>
        <v/>
      </c>
      <c r="D248">
        <f>IF(Klantgegevens_B!F247&lt;&gt;"", Klantgegevens_B!F247, Klantgegevens_A!D247 &amp; " " &amp; Klantgegevens_A!E247 &amp; ", " &amp; Klantgegevens_A!F247)</f>
        <v/>
      </c>
      <c r="E248">
        <f>IF(Klantgegevens_B!G247&lt;&gt;"", Klantgegevens_B!G247, TEXTJOIN(",", TRUE, REPT("Volwassene,", Klantgegevens_A!G247), REPT("Kind,", Klantgegevens_A!H247)))</f>
        <v/>
      </c>
      <c r="F248">
        <f>IF(Klantgegevens_B!G247&lt;&gt;"", LEN(Klantgegevens_B!G247)-LEN(SUBSTITUTE(Klantgegevens_B!G247, ",", ""))+1, Klantgegevens_A!G247)</f>
        <v/>
      </c>
      <c r="G248">
        <f>IF(Klantgegevens_B!G247&lt;&gt;"", 0, Klantgegevens_A!H247)</f>
        <v/>
      </c>
      <c r="H248">
        <f>IF(Klantgegevens_B!H247&lt;&gt;"", Klantgegevens_B!H247, Klantgegevens_A!I247)</f>
        <v/>
      </c>
      <c r="I248">
        <f>IF(Klantgegevens_B!I247&lt;&gt;"", Klantgegevens_B!I247, SWITCH(Klantgegevens_A!J247, "Zelden", 1, "Af en toe", 4, "Regelmatig", 8, "Vaak", 12))</f>
        <v/>
      </c>
      <c r="J248">
        <f>IF(Klantgegevens_B!J247&lt;&gt;"", Klantgegevens_B!J247, Klantgegevens_A!K247)</f>
        <v/>
      </c>
      <c r="K248">
        <f>IF(Klantgegevens_B!K247&lt;&gt;"", AVERAGE(--(Klantgegevens_B!K247="ja"), --(Klantgegevens_B!L247="ja"), --(Klantgegevens_B!M247="ja"), --(Klantgegevens_B!N247="ja"), --(Klantgegevens_B!O247="ja"))*10, Klantgegevens_A!L247)</f>
        <v/>
      </c>
      <c r="L248">
        <f>IF(Klantgegevens_B!K247&lt;&gt;"", Klantgegevens_B!K247, IF(Klantgegevens_A!L247&gt;=7, "ja", "nee"))</f>
        <v/>
      </c>
      <c r="M248">
        <f>IF(Klantgegevens_B!L247&lt;&gt;"", Klantgegevens_B!L247, IF(Klantgegevens_A!L247&gt;=7, "ja", "nee"))</f>
        <v/>
      </c>
      <c r="N248">
        <f>IF(Klantgegevens_B!M247&lt;&gt;"", Klantgegevens_B!M247, IF(Klantgegevens_A!L247&gt;=7, "ja", "nee"))</f>
        <v/>
      </c>
      <c r="O248">
        <f>IF(Klantgegevens_B!N247&lt;&gt;"", Klantgegevens_B!N247, IF(Klantgegevens_A!L247&gt;=7, "ja", "nee"))</f>
        <v/>
      </c>
      <c r="P248">
        <f>IF(Klantgegevens_B!O247&lt;&gt;"", Klantgegevens_B!O247, IF(Klantgegevens_A!L247&gt;=7, "ja", "nee"))</f>
        <v/>
      </c>
      <c r="Q248">
        <f>IF(Klantgegevens_B!P247&lt;&gt;"", Klantgegevens_B!P247, Klantgegevens_A!M247)</f>
        <v/>
      </c>
      <c r="R248">
        <f>IF(Klantgegevens_B!A247&lt;&gt;"", "B", "A")</f>
        <v/>
      </c>
    </row>
    <row r="249">
      <c r="A249">
        <f>IF(Klantgegevens_B!A248&lt;&gt;"", Klantgegevens_B!A248, MID(Klantgegevens_A!A248, FIND(",", Klantgegevens_A!A248)+2, LEN(Klantgegevens_A!A248)))</f>
        <v/>
      </c>
      <c r="B249">
        <f>IF(Klantgegevens_B!B248&lt;&gt;"", Klantgegevens_B!B248, LEFT(Klantgegevens_A!A248, FIND(",", Klantgegevens_A!A248)-1))</f>
        <v/>
      </c>
      <c r="C249">
        <f>C248 &amp; ", " &amp; B248</f>
        <v/>
      </c>
      <c r="D249">
        <f>IF(Klantgegevens_B!F248&lt;&gt;"", Klantgegevens_B!F248, Klantgegevens_A!D248 &amp; " " &amp; Klantgegevens_A!E248 &amp; ", " &amp; Klantgegevens_A!F248)</f>
        <v/>
      </c>
      <c r="E249">
        <f>IF(Klantgegevens_B!G248&lt;&gt;"", Klantgegevens_B!G248, TEXTJOIN(",", TRUE, REPT("Volwassene,", Klantgegevens_A!G248), REPT("Kind,", Klantgegevens_A!H248)))</f>
        <v/>
      </c>
      <c r="F249">
        <f>IF(Klantgegevens_B!G248&lt;&gt;"", LEN(Klantgegevens_B!G248)-LEN(SUBSTITUTE(Klantgegevens_B!G248, ",", ""))+1, Klantgegevens_A!G248)</f>
        <v/>
      </c>
      <c r="G249">
        <f>IF(Klantgegevens_B!G248&lt;&gt;"", 0, Klantgegevens_A!H248)</f>
        <v/>
      </c>
      <c r="H249">
        <f>IF(Klantgegevens_B!H248&lt;&gt;"", Klantgegevens_B!H248, Klantgegevens_A!I248)</f>
        <v/>
      </c>
      <c r="I249">
        <f>IF(Klantgegevens_B!I248&lt;&gt;"", Klantgegevens_B!I248, SWITCH(Klantgegevens_A!J248, "Zelden", 1, "Af en toe", 4, "Regelmatig", 8, "Vaak", 12))</f>
        <v/>
      </c>
      <c r="J249">
        <f>IF(Klantgegevens_B!J248&lt;&gt;"", Klantgegevens_B!J248, Klantgegevens_A!K248)</f>
        <v/>
      </c>
      <c r="K249">
        <f>IF(Klantgegevens_B!K248&lt;&gt;"", AVERAGE(--(Klantgegevens_B!K248="ja"), --(Klantgegevens_B!L248="ja"), --(Klantgegevens_B!M248="ja"), --(Klantgegevens_B!N248="ja"), --(Klantgegevens_B!O248="ja"))*10, Klantgegevens_A!L248)</f>
        <v/>
      </c>
      <c r="L249">
        <f>IF(Klantgegevens_B!K248&lt;&gt;"", Klantgegevens_B!K248, IF(Klantgegevens_A!L248&gt;=7, "ja", "nee"))</f>
        <v/>
      </c>
      <c r="M249">
        <f>IF(Klantgegevens_B!L248&lt;&gt;"", Klantgegevens_B!L248, IF(Klantgegevens_A!L248&gt;=7, "ja", "nee"))</f>
        <v/>
      </c>
      <c r="N249">
        <f>IF(Klantgegevens_B!M248&lt;&gt;"", Klantgegevens_B!M248, IF(Klantgegevens_A!L248&gt;=7, "ja", "nee"))</f>
        <v/>
      </c>
      <c r="O249">
        <f>IF(Klantgegevens_B!N248&lt;&gt;"", Klantgegevens_B!N248, IF(Klantgegevens_A!L248&gt;=7, "ja", "nee"))</f>
        <v/>
      </c>
      <c r="P249">
        <f>IF(Klantgegevens_B!O248&lt;&gt;"", Klantgegevens_B!O248, IF(Klantgegevens_A!L248&gt;=7, "ja", "nee"))</f>
        <v/>
      </c>
      <c r="Q249">
        <f>IF(Klantgegevens_B!P248&lt;&gt;"", Klantgegevens_B!P248, Klantgegevens_A!M248)</f>
        <v/>
      </c>
      <c r="R249">
        <f>IF(Klantgegevens_B!A248&lt;&gt;"", "B", "A")</f>
        <v/>
      </c>
    </row>
    <row r="250">
      <c r="A250">
        <f>IF(Klantgegevens_B!A249&lt;&gt;"", Klantgegevens_B!A249, MID(Klantgegevens_A!A249, FIND(",", Klantgegevens_A!A249)+2, LEN(Klantgegevens_A!A249)))</f>
        <v/>
      </c>
      <c r="B250">
        <f>IF(Klantgegevens_B!B249&lt;&gt;"", Klantgegevens_B!B249, LEFT(Klantgegevens_A!A249, FIND(",", Klantgegevens_A!A249)-1))</f>
        <v/>
      </c>
      <c r="C250">
        <f>C249 &amp; ", " &amp; B249</f>
        <v/>
      </c>
      <c r="D250">
        <f>IF(Klantgegevens_B!F249&lt;&gt;"", Klantgegevens_B!F249, Klantgegevens_A!D249 &amp; " " &amp; Klantgegevens_A!E249 &amp; ", " &amp; Klantgegevens_A!F249)</f>
        <v/>
      </c>
      <c r="E250">
        <f>IF(Klantgegevens_B!G249&lt;&gt;"", Klantgegevens_B!G249, TEXTJOIN(",", TRUE, REPT("Volwassene,", Klantgegevens_A!G249), REPT("Kind,", Klantgegevens_A!H249)))</f>
        <v/>
      </c>
      <c r="F250">
        <f>IF(Klantgegevens_B!G249&lt;&gt;"", LEN(Klantgegevens_B!G249)-LEN(SUBSTITUTE(Klantgegevens_B!G249, ",", ""))+1, Klantgegevens_A!G249)</f>
        <v/>
      </c>
      <c r="G250">
        <f>IF(Klantgegevens_B!G249&lt;&gt;"", 0, Klantgegevens_A!H249)</f>
        <v/>
      </c>
      <c r="H250">
        <f>IF(Klantgegevens_B!H249&lt;&gt;"", Klantgegevens_B!H249, Klantgegevens_A!I249)</f>
        <v/>
      </c>
      <c r="I250">
        <f>IF(Klantgegevens_B!I249&lt;&gt;"", Klantgegevens_B!I249, SWITCH(Klantgegevens_A!J249, "Zelden", 1, "Af en toe", 4, "Regelmatig", 8, "Vaak", 12))</f>
        <v/>
      </c>
      <c r="J250">
        <f>IF(Klantgegevens_B!J249&lt;&gt;"", Klantgegevens_B!J249, Klantgegevens_A!K249)</f>
        <v/>
      </c>
      <c r="K250">
        <f>IF(Klantgegevens_B!K249&lt;&gt;"", AVERAGE(--(Klantgegevens_B!K249="ja"), --(Klantgegevens_B!L249="ja"), --(Klantgegevens_B!M249="ja"), --(Klantgegevens_B!N249="ja"), --(Klantgegevens_B!O249="ja"))*10, Klantgegevens_A!L249)</f>
        <v/>
      </c>
      <c r="L250">
        <f>IF(Klantgegevens_B!K249&lt;&gt;"", Klantgegevens_B!K249, IF(Klantgegevens_A!L249&gt;=7, "ja", "nee"))</f>
        <v/>
      </c>
      <c r="M250">
        <f>IF(Klantgegevens_B!L249&lt;&gt;"", Klantgegevens_B!L249, IF(Klantgegevens_A!L249&gt;=7, "ja", "nee"))</f>
        <v/>
      </c>
      <c r="N250">
        <f>IF(Klantgegevens_B!M249&lt;&gt;"", Klantgegevens_B!M249, IF(Klantgegevens_A!L249&gt;=7, "ja", "nee"))</f>
        <v/>
      </c>
      <c r="O250">
        <f>IF(Klantgegevens_B!N249&lt;&gt;"", Klantgegevens_B!N249, IF(Klantgegevens_A!L249&gt;=7, "ja", "nee"))</f>
        <v/>
      </c>
      <c r="P250">
        <f>IF(Klantgegevens_B!O249&lt;&gt;"", Klantgegevens_B!O249, IF(Klantgegevens_A!L249&gt;=7, "ja", "nee"))</f>
        <v/>
      </c>
      <c r="Q250">
        <f>IF(Klantgegevens_B!P249&lt;&gt;"", Klantgegevens_B!P249, Klantgegevens_A!M249)</f>
        <v/>
      </c>
      <c r="R250">
        <f>IF(Klantgegevens_B!A249&lt;&gt;"", "B", "A")</f>
        <v/>
      </c>
    </row>
    <row r="251">
      <c r="A251">
        <f>IF(Klantgegevens_B!A250&lt;&gt;"", Klantgegevens_B!A250, MID(Klantgegevens_A!A250, FIND(",", Klantgegevens_A!A250)+2, LEN(Klantgegevens_A!A250)))</f>
        <v/>
      </c>
      <c r="B251">
        <f>IF(Klantgegevens_B!B250&lt;&gt;"", Klantgegevens_B!B250, LEFT(Klantgegevens_A!A250, FIND(",", Klantgegevens_A!A250)-1))</f>
        <v/>
      </c>
      <c r="C251">
        <f>C250 &amp; ", " &amp; B250</f>
        <v/>
      </c>
      <c r="D251">
        <f>IF(Klantgegevens_B!F250&lt;&gt;"", Klantgegevens_B!F250, Klantgegevens_A!D250 &amp; " " &amp; Klantgegevens_A!E250 &amp; ", " &amp; Klantgegevens_A!F250)</f>
        <v/>
      </c>
      <c r="E251">
        <f>IF(Klantgegevens_B!G250&lt;&gt;"", Klantgegevens_B!G250, TEXTJOIN(",", TRUE, REPT("Volwassene,", Klantgegevens_A!G250), REPT("Kind,", Klantgegevens_A!H250)))</f>
        <v/>
      </c>
      <c r="F251">
        <f>IF(Klantgegevens_B!G250&lt;&gt;"", LEN(Klantgegevens_B!G250)-LEN(SUBSTITUTE(Klantgegevens_B!G250, ",", ""))+1, Klantgegevens_A!G250)</f>
        <v/>
      </c>
      <c r="G251">
        <f>IF(Klantgegevens_B!G250&lt;&gt;"", 0, Klantgegevens_A!H250)</f>
        <v/>
      </c>
      <c r="H251">
        <f>IF(Klantgegevens_B!H250&lt;&gt;"", Klantgegevens_B!H250, Klantgegevens_A!I250)</f>
        <v/>
      </c>
      <c r="I251">
        <f>IF(Klantgegevens_B!I250&lt;&gt;"", Klantgegevens_B!I250, SWITCH(Klantgegevens_A!J250, "Zelden", 1, "Af en toe", 4, "Regelmatig", 8, "Vaak", 12))</f>
        <v/>
      </c>
      <c r="J251">
        <f>IF(Klantgegevens_B!J250&lt;&gt;"", Klantgegevens_B!J250, Klantgegevens_A!K250)</f>
        <v/>
      </c>
      <c r="K251">
        <f>IF(Klantgegevens_B!K250&lt;&gt;"", AVERAGE(--(Klantgegevens_B!K250="ja"), --(Klantgegevens_B!L250="ja"), --(Klantgegevens_B!M250="ja"), --(Klantgegevens_B!N250="ja"), --(Klantgegevens_B!O250="ja"))*10, Klantgegevens_A!L250)</f>
        <v/>
      </c>
      <c r="L251">
        <f>IF(Klantgegevens_B!K250&lt;&gt;"", Klantgegevens_B!K250, IF(Klantgegevens_A!L250&gt;=7, "ja", "nee"))</f>
        <v/>
      </c>
      <c r="M251">
        <f>IF(Klantgegevens_B!L250&lt;&gt;"", Klantgegevens_B!L250, IF(Klantgegevens_A!L250&gt;=7, "ja", "nee"))</f>
        <v/>
      </c>
      <c r="N251">
        <f>IF(Klantgegevens_B!M250&lt;&gt;"", Klantgegevens_B!M250, IF(Klantgegevens_A!L250&gt;=7, "ja", "nee"))</f>
        <v/>
      </c>
      <c r="O251">
        <f>IF(Klantgegevens_B!N250&lt;&gt;"", Klantgegevens_B!N250, IF(Klantgegevens_A!L250&gt;=7, "ja", "nee"))</f>
        <v/>
      </c>
      <c r="P251">
        <f>IF(Klantgegevens_B!O250&lt;&gt;"", Klantgegevens_B!O250, IF(Klantgegevens_A!L250&gt;=7, "ja", "nee"))</f>
        <v/>
      </c>
      <c r="Q251">
        <f>IF(Klantgegevens_B!P250&lt;&gt;"", Klantgegevens_B!P250, Klantgegevens_A!M250)</f>
        <v/>
      </c>
      <c r="R251">
        <f>IF(Klantgegevens_B!A250&lt;&gt;"", "B", "A")</f>
        <v/>
      </c>
    </row>
    <row r="252">
      <c r="A252">
        <f>IF(Klantgegevens_B!A251&lt;&gt;"", Klantgegevens_B!A251, MID(Klantgegevens_A!A251, FIND(",", Klantgegevens_A!A251)+2, LEN(Klantgegevens_A!A251)))</f>
        <v/>
      </c>
      <c r="B252">
        <f>IF(Klantgegevens_B!B251&lt;&gt;"", Klantgegevens_B!B251, LEFT(Klantgegevens_A!A251, FIND(",", Klantgegevens_A!A251)-1))</f>
        <v/>
      </c>
      <c r="C252">
        <f>C251 &amp; ", " &amp; B251</f>
        <v/>
      </c>
      <c r="D252">
        <f>IF(Klantgegevens_B!F251&lt;&gt;"", Klantgegevens_B!F251, Klantgegevens_A!D251 &amp; " " &amp; Klantgegevens_A!E251 &amp; ", " &amp; Klantgegevens_A!F251)</f>
        <v/>
      </c>
      <c r="E252">
        <f>IF(Klantgegevens_B!G251&lt;&gt;"", Klantgegevens_B!G251, TEXTJOIN(",", TRUE, REPT("Volwassene,", Klantgegevens_A!G251), REPT("Kind,", Klantgegevens_A!H251)))</f>
        <v/>
      </c>
      <c r="F252">
        <f>IF(Klantgegevens_B!G251&lt;&gt;"", LEN(Klantgegevens_B!G251)-LEN(SUBSTITUTE(Klantgegevens_B!G251, ",", ""))+1, Klantgegevens_A!G251)</f>
        <v/>
      </c>
      <c r="G252">
        <f>IF(Klantgegevens_B!G251&lt;&gt;"", 0, Klantgegevens_A!H251)</f>
        <v/>
      </c>
      <c r="H252">
        <f>IF(Klantgegevens_B!H251&lt;&gt;"", Klantgegevens_B!H251, Klantgegevens_A!I251)</f>
        <v/>
      </c>
      <c r="I252">
        <f>IF(Klantgegevens_B!I251&lt;&gt;"", Klantgegevens_B!I251, SWITCH(Klantgegevens_A!J251, "Zelden", 1, "Af en toe", 4, "Regelmatig", 8, "Vaak", 12))</f>
        <v/>
      </c>
      <c r="J252">
        <f>IF(Klantgegevens_B!J251&lt;&gt;"", Klantgegevens_B!J251, Klantgegevens_A!K251)</f>
        <v/>
      </c>
      <c r="K252">
        <f>IF(Klantgegevens_B!K251&lt;&gt;"", AVERAGE(--(Klantgegevens_B!K251="ja"), --(Klantgegevens_B!L251="ja"), --(Klantgegevens_B!M251="ja"), --(Klantgegevens_B!N251="ja"), --(Klantgegevens_B!O251="ja"))*10, Klantgegevens_A!L251)</f>
        <v/>
      </c>
      <c r="L252">
        <f>IF(Klantgegevens_B!K251&lt;&gt;"", Klantgegevens_B!K251, IF(Klantgegevens_A!L251&gt;=7, "ja", "nee"))</f>
        <v/>
      </c>
      <c r="M252">
        <f>IF(Klantgegevens_B!L251&lt;&gt;"", Klantgegevens_B!L251, IF(Klantgegevens_A!L251&gt;=7, "ja", "nee"))</f>
        <v/>
      </c>
      <c r="N252">
        <f>IF(Klantgegevens_B!M251&lt;&gt;"", Klantgegevens_B!M251, IF(Klantgegevens_A!L251&gt;=7, "ja", "nee"))</f>
        <v/>
      </c>
      <c r="O252">
        <f>IF(Klantgegevens_B!N251&lt;&gt;"", Klantgegevens_B!N251, IF(Klantgegevens_A!L251&gt;=7, "ja", "nee"))</f>
        <v/>
      </c>
      <c r="P252">
        <f>IF(Klantgegevens_B!O251&lt;&gt;"", Klantgegevens_B!O251, IF(Klantgegevens_A!L251&gt;=7, "ja", "nee"))</f>
        <v/>
      </c>
      <c r="Q252">
        <f>IF(Klantgegevens_B!P251&lt;&gt;"", Klantgegevens_B!P251, Klantgegevens_A!M251)</f>
        <v/>
      </c>
      <c r="R252">
        <f>IF(Klantgegevens_B!A251&lt;&gt;"", "B", "A")</f>
        <v/>
      </c>
    </row>
    <row r="253">
      <c r="A253">
        <f>IF(Klantgegevens_B!A252&lt;&gt;"", Klantgegevens_B!A252, MID(Klantgegevens_A!A252, FIND(",", Klantgegevens_A!A252)+2, LEN(Klantgegevens_A!A252)))</f>
        <v/>
      </c>
      <c r="B253">
        <f>IF(Klantgegevens_B!B252&lt;&gt;"", Klantgegevens_B!B252, LEFT(Klantgegevens_A!A252, FIND(",", Klantgegevens_A!A252)-1))</f>
        <v/>
      </c>
      <c r="C253">
        <f>C252 &amp; ", " &amp; B252</f>
        <v/>
      </c>
      <c r="D253">
        <f>IF(Klantgegevens_B!F252&lt;&gt;"", Klantgegevens_B!F252, Klantgegevens_A!D252 &amp; " " &amp; Klantgegevens_A!E252 &amp; ", " &amp; Klantgegevens_A!F252)</f>
        <v/>
      </c>
      <c r="E253">
        <f>IF(Klantgegevens_B!G252&lt;&gt;"", Klantgegevens_B!G252, TEXTJOIN(",", TRUE, REPT("Volwassene,", Klantgegevens_A!G252), REPT("Kind,", Klantgegevens_A!H252)))</f>
        <v/>
      </c>
      <c r="F253">
        <f>IF(Klantgegevens_B!G252&lt;&gt;"", LEN(Klantgegevens_B!G252)-LEN(SUBSTITUTE(Klantgegevens_B!G252, ",", ""))+1, Klantgegevens_A!G252)</f>
        <v/>
      </c>
      <c r="G253">
        <f>IF(Klantgegevens_B!G252&lt;&gt;"", 0, Klantgegevens_A!H252)</f>
        <v/>
      </c>
      <c r="H253">
        <f>IF(Klantgegevens_B!H252&lt;&gt;"", Klantgegevens_B!H252, Klantgegevens_A!I252)</f>
        <v/>
      </c>
      <c r="I253">
        <f>IF(Klantgegevens_B!I252&lt;&gt;"", Klantgegevens_B!I252, SWITCH(Klantgegevens_A!J252, "Zelden", 1, "Af en toe", 4, "Regelmatig", 8, "Vaak", 12))</f>
        <v/>
      </c>
      <c r="J253">
        <f>IF(Klantgegevens_B!J252&lt;&gt;"", Klantgegevens_B!J252, Klantgegevens_A!K252)</f>
        <v/>
      </c>
      <c r="K253">
        <f>IF(Klantgegevens_B!K252&lt;&gt;"", AVERAGE(--(Klantgegevens_B!K252="ja"), --(Klantgegevens_B!L252="ja"), --(Klantgegevens_B!M252="ja"), --(Klantgegevens_B!N252="ja"), --(Klantgegevens_B!O252="ja"))*10, Klantgegevens_A!L252)</f>
        <v/>
      </c>
      <c r="L253">
        <f>IF(Klantgegevens_B!K252&lt;&gt;"", Klantgegevens_B!K252, IF(Klantgegevens_A!L252&gt;=7, "ja", "nee"))</f>
        <v/>
      </c>
      <c r="M253">
        <f>IF(Klantgegevens_B!L252&lt;&gt;"", Klantgegevens_B!L252, IF(Klantgegevens_A!L252&gt;=7, "ja", "nee"))</f>
        <v/>
      </c>
      <c r="N253">
        <f>IF(Klantgegevens_B!M252&lt;&gt;"", Klantgegevens_B!M252, IF(Klantgegevens_A!L252&gt;=7, "ja", "nee"))</f>
        <v/>
      </c>
      <c r="O253">
        <f>IF(Klantgegevens_B!N252&lt;&gt;"", Klantgegevens_B!N252, IF(Klantgegevens_A!L252&gt;=7, "ja", "nee"))</f>
        <v/>
      </c>
      <c r="P253">
        <f>IF(Klantgegevens_B!O252&lt;&gt;"", Klantgegevens_B!O252, IF(Klantgegevens_A!L252&gt;=7, "ja", "nee"))</f>
        <v/>
      </c>
      <c r="Q253">
        <f>IF(Klantgegevens_B!P252&lt;&gt;"", Klantgegevens_B!P252, Klantgegevens_A!M252)</f>
        <v/>
      </c>
      <c r="R253">
        <f>IF(Klantgegevens_B!A252&lt;&gt;"", "B", "A")</f>
        <v/>
      </c>
    </row>
    <row r="254">
      <c r="A254">
        <f>IF(Klantgegevens_B!A253&lt;&gt;"", Klantgegevens_B!A253, MID(Klantgegevens_A!A253, FIND(",", Klantgegevens_A!A253)+2, LEN(Klantgegevens_A!A253)))</f>
        <v/>
      </c>
      <c r="B254">
        <f>IF(Klantgegevens_B!B253&lt;&gt;"", Klantgegevens_B!B253, LEFT(Klantgegevens_A!A253, FIND(",", Klantgegevens_A!A253)-1))</f>
        <v/>
      </c>
      <c r="C254">
        <f>C253 &amp; ", " &amp; B253</f>
        <v/>
      </c>
      <c r="D254">
        <f>IF(Klantgegevens_B!F253&lt;&gt;"", Klantgegevens_B!F253, Klantgegevens_A!D253 &amp; " " &amp; Klantgegevens_A!E253 &amp; ", " &amp; Klantgegevens_A!F253)</f>
        <v/>
      </c>
      <c r="E254">
        <f>IF(Klantgegevens_B!G253&lt;&gt;"", Klantgegevens_B!G253, TEXTJOIN(",", TRUE, REPT("Volwassene,", Klantgegevens_A!G253), REPT("Kind,", Klantgegevens_A!H253)))</f>
        <v/>
      </c>
      <c r="F254">
        <f>IF(Klantgegevens_B!G253&lt;&gt;"", LEN(Klantgegevens_B!G253)-LEN(SUBSTITUTE(Klantgegevens_B!G253, ",", ""))+1, Klantgegevens_A!G253)</f>
        <v/>
      </c>
      <c r="G254">
        <f>IF(Klantgegevens_B!G253&lt;&gt;"", 0, Klantgegevens_A!H253)</f>
        <v/>
      </c>
      <c r="H254">
        <f>IF(Klantgegevens_B!H253&lt;&gt;"", Klantgegevens_B!H253, Klantgegevens_A!I253)</f>
        <v/>
      </c>
      <c r="I254">
        <f>IF(Klantgegevens_B!I253&lt;&gt;"", Klantgegevens_B!I253, SWITCH(Klantgegevens_A!J253, "Zelden", 1, "Af en toe", 4, "Regelmatig", 8, "Vaak", 12))</f>
        <v/>
      </c>
      <c r="J254">
        <f>IF(Klantgegevens_B!J253&lt;&gt;"", Klantgegevens_B!J253, Klantgegevens_A!K253)</f>
        <v/>
      </c>
      <c r="K254">
        <f>IF(Klantgegevens_B!K253&lt;&gt;"", AVERAGE(--(Klantgegevens_B!K253="ja"), --(Klantgegevens_B!L253="ja"), --(Klantgegevens_B!M253="ja"), --(Klantgegevens_B!N253="ja"), --(Klantgegevens_B!O253="ja"))*10, Klantgegevens_A!L253)</f>
        <v/>
      </c>
      <c r="L254">
        <f>IF(Klantgegevens_B!K253&lt;&gt;"", Klantgegevens_B!K253, IF(Klantgegevens_A!L253&gt;=7, "ja", "nee"))</f>
        <v/>
      </c>
      <c r="M254">
        <f>IF(Klantgegevens_B!L253&lt;&gt;"", Klantgegevens_B!L253, IF(Klantgegevens_A!L253&gt;=7, "ja", "nee"))</f>
        <v/>
      </c>
      <c r="N254">
        <f>IF(Klantgegevens_B!M253&lt;&gt;"", Klantgegevens_B!M253, IF(Klantgegevens_A!L253&gt;=7, "ja", "nee"))</f>
        <v/>
      </c>
      <c r="O254">
        <f>IF(Klantgegevens_B!N253&lt;&gt;"", Klantgegevens_B!N253, IF(Klantgegevens_A!L253&gt;=7, "ja", "nee"))</f>
        <v/>
      </c>
      <c r="P254">
        <f>IF(Klantgegevens_B!O253&lt;&gt;"", Klantgegevens_B!O253, IF(Klantgegevens_A!L253&gt;=7, "ja", "nee"))</f>
        <v/>
      </c>
      <c r="Q254">
        <f>IF(Klantgegevens_B!P253&lt;&gt;"", Klantgegevens_B!P253, Klantgegevens_A!M253)</f>
        <v/>
      </c>
      <c r="R254">
        <f>IF(Klantgegevens_B!A253&lt;&gt;"", "B", "A")</f>
        <v/>
      </c>
    </row>
    <row r="255">
      <c r="A255">
        <f>IF(Klantgegevens_B!A254&lt;&gt;"", Klantgegevens_B!A254, MID(Klantgegevens_A!A254, FIND(",", Klantgegevens_A!A254)+2, LEN(Klantgegevens_A!A254)))</f>
        <v/>
      </c>
      <c r="B255">
        <f>IF(Klantgegevens_B!B254&lt;&gt;"", Klantgegevens_B!B254, LEFT(Klantgegevens_A!A254, FIND(",", Klantgegevens_A!A254)-1))</f>
        <v/>
      </c>
      <c r="C255">
        <f>C254 &amp; ", " &amp; B254</f>
        <v/>
      </c>
      <c r="D255">
        <f>IF(Klantgegevens_B!F254&lt;&gt;"", Klantgegevens_B!F254, Klantgegevens_A!D254 &amp; " " &amp; Klantgegevens_A!E254 &amp; ", " &amp; Klantgegevens_A!F254)</f>
        <v/>
      </c>
      <c r="E255">
        <f>IF(Klantgegevens_B!G254&lt;&gt;"", Klantgegevens_B!G254, TEXTJOIN(",", TRUE, REPT("Volwassene,", Klantgegevens_A!G254), REPT("Kind,", Klantgegevens_A!H254)))</f>
        <v/>
      </c>
      <c r="F255">
        <f>IF(Klantgegevens_B!G254&lt;&gt;"", LEN(Klantgegevens_B!G254)-LEN(SUBSTITUTE(Klantgegevens_B!G254, ",", ""))+1, Klantgegevens_A!G254)</f>
        <v/>
      </c>
      <c r="G255">
        <f>IF(Klantgegevens_B!G254&lt;&gt;"", 0, Klantgegevens_A!H254)</f>
        <v/>
      </c>
      <c r="H255">
        <f>IF(Klantgegevens_B!H254&lt;&gt;"", Klantgegevens_B!H254, Klantgegevens_A!I254)</f>
        <v/>
      </c>
      <c r="I255">
        <f>IF(Klantgegevens_B!I254&lt;&gt;"", Klantgegevens_B!I254, SWITCH(Klantgegevens_A!J254, "Zelden", 1, "Af en toe", 4, "Regelmatig", 8, "Vaak", 12))</f>
        <v/>
      </c>
      <c r="J255">
        <f>IF(Klantgegevens_B!J254&lt;&gt;"", Klantgegevens_B!J254, Klantgegevens_A!K254)</f>
        <v/>
      </c>
      <c r="K255">
        <f>IF(Klantgegevens_B!K254&lt;&gt;"", AVERAGE(--(Klantgegevens_B!K254="ja"), --(Klantgegevens_B!L254="ja"), --(Klantgegevens_B!M254="ja"), --(Klantgegevens_B!N254="ja"), --(Klantgegevens_B!O254="ja"))*10, Klantgegevens_A!L254)</f>
        <v/>
      </c>
      <c r="L255">
        <f>IF(Klantgegevens_B!K254&lt;&gt;"", Klantgegevens_B!K254, IF(Klantgegevens_A!L254&gt;=7, "ja", "nee"))</f>
        <v/>
      </c>
      <c r="M255">
        <f>IF(Klantgegevens_B!L254&lt;&gt;"", Klantgegevens_B!L254, IF(Klantgegevens_A!L254&gt;=7, "ja", "nee"))</f>
        <v/>
      </c>
      <c r="N255">
        <f>IF(Klantgegevens_B!M254&lt;&gt;"", Klantgegevens_B!M254, IF(Klantgegevens_A!L254&gt;=7, "ja", "nee"))</f>
        <v/>
      </c>
      <c r="O255">
        <f>IF(Klantgegevens_B!N254&lt;&gt;"", Klantgegevens_B!N254, IF(Klantgegevens_A!L254&gt;=7, "ja", "nee"))</f>
        <v/>
      </c>
      <c r="P255">
        <f>IF(Klantgegevens_B!O254&lt;&gt;"", Klantgegevens_B!O254, IF(Klantgegevens_A!L254&gt;=7, "ja", "nee"))</f>
        <v/>
      </c>
      <c r="Q255">
        <f>IF(Klantgegevens_B!P254&lt;&gt;"", Klantgegevens_B!P254, Klantgegevens_A!M254)</f>
        <v/>
      </c>
      <c r="R255">
        <f>IF(Klantgegevens_B!A254&lt;&gt;"", "B", "A")</f>
        <v/>
      </c>
    </row>
    <row r="256">
      <c r="A256">
        <f>IF(Klantgegevens_B!A255&lt;&gt;"", Klantgegevens_B!A255, MID(Klantgegevens_A!A255, FIND(",", Klantgegevens_A!A255)+2, LEN(Klantgegevens_A!A255)))</f>
        <v/>
      </c>
      <c r="B256">
        <f>IF(Klantgegevens_B!B255&lt;&gt;"", Klantgegevens_B!B255, LEFT(Klantgegevens_A!A255, FIND(",", Klantgegevens_A!A255)-1))</f>
        <v/>
      </c>
      <c r="C256">
        <f>C255 &amp; ", " &amp; B255</f>
        <v/>
      </c>
      <c r="D256">
        <f>IF(Klantgegevens_B!F255&lt;&gt;"", Klantgegevens_B!F255, Klantgegevens_A!D255 &amp; " " &amp; Klantgegevens_A!E255 &amp; ", " &amp; Klantgegevens_A!F255)</f>
        <v/>
      </c>
      <c r="E256">
        <f>IF(Klantgegevens_B!G255&lt;&gt;"", Klantgegevens_B!G255, TEXTJOIN(",", TRUE, REPT("Volwassene,", Klantgegevens_A!G255), REPT("Kind,", Klantgegevens_A!H255)))</f>
        <v/>
      </c>
      <c r="F256">
        <f>IF(Klantgegevens_B!G255&lt;&gt;"", LEN(Klantgegevens_B!G255)-LEN(SUBSTITUTE(Klantgegevens_B!G255, ",", ""))+1, Klantgegevens_A!G255)</f>
        <v/>
      </c>
      <c r="G256">
        <f>IF(Klantgegevens_B!G255&lt;&gt;"", 0, Klantgegevens_A!H255)</f>
        <v/>
      </c>
      <c r="H256">
        <f>IF(Klantgegevens_B!H255&lt;&gt;"", Klantgegevens_B!H255, Klantgegevens_A!I255)</f>
        <v/>
      </c>
      <c r="I256">
        <f>IF(Klantgegevens_B!I255&lt;&gt;"", Klantgegevens_B!I255, SWITCH(Klantgegevens_A!J255, "Zelden", 1, "Af en toe", 4, "Regelmatig", 8, "Vaak", 12))</f>
        <v/>
      </c>
      <c r="J256">
        <f>IF(Klantgegevens_B!J255&lt;&gt;"", Klantgegevens_B!J255, Klantgegevens_A!K255)</f>
        <v/>
      </c>
      <c r="K256">
        <f>IF(Klantgegevens_B!K255&lt;&gt;"", AVERAGE(--(Klantgegevens_B!K255="ja"), --(Klantgegevens_B!L255="ja"), --(Klantgegevens_B!M255="ja"), --(Klantgegevens_B!N255="ja"), --(Klantgegevens_B!O255="ja"))*10, Klantgegevens_A!L255)</f>
        <v/>
      </c>
      <c r="L256">
        <f>IF(Klantgegevens_B!K255&lt;&gt;"", Klantgegevens_B!K255, IF(Klantgegevens_A!L255&gt;=7, "ja", "nee"))</f>
        <v/>
      </c>
      <c r="M256">
        <f>IF(Klantgegevens_B!L255&lt;&gt;"", Klantgegevens_B!L255, IF(Klantgegevens_A!L255&gt;=7, "ja", "nee"))</f>
        <v/>
      </c>
      <c r="N256">
        <f>IF(Klantgegevens_B!M255&lt;&gt;"", Klantgegevens_B!M255, IF(Klantgegevens_A!L255&gt;=7, "ja", "nee"))</f>
        <v/>
      </c>
      <c r="O256">
        <f>IF(Klantgegevens_B!N255&lt;&gt;"", Klantgegevens_B!N255, IF(Klantgegevens_A!L255&gt;=7, "ja", "nee"))</f>
        <v/>
      </c>
      <c r="P256">
        <f>IF(Klantgegevens_B!O255&lt;&gt;"", Klantgegevens_B!O255, IF(Klantgegevens_A!L255&gt;=7, "ja", "nee"))</f>
        <v/>
      </c>
      <c r="Q256">
        <f>IF(Klantgegevens_B!P255&lt;&gt;"", Klantgegevens_B!P255, Klantgegevens_A!M255)</f>
        <v/>
      </c>
      <c r="R256">
        <f>IF(Klantgegevens_B!A255&lt;&gt;"", "B", "A")</f>
        <v/>
      </c>
    </row>
    <row r="257">
      <c r="A257">
        <f>IF(Klantgegevens_B!A256&lt;&gt;"", Klantgegevens_B!A256, MID(Klantgegevens_A!A256, FIND(",", Klantgegevens_A!A256)+2, LEN(Klantgegevens_A!A256)))</f>
        <v/>
      </c>
      <c r="B257">
        <f>IF(Klantgegevens_B!B256&lt;&gt;"", Klantgegevens_B!B256, LEFT(Klantgegevens_A!A256, FIND(",", Klantgegevens_A!A256)-1))</f>
        <v/>
      </c>
      <c r="C257">
        <f>C256 &amp; ", " &amp; B256</f>
        <v/>
      </c>
      <c r="D257">
        <f>IF(Klantgegevens_B!F256&lt;&gt;"", Klantgegevens_B!F256, Klantgegevens_A!D256 &amp; " " &amp; Klantgegevens_A!E256 &amp; ", " &amp; Klantgegevens_A!F256)</f>
        <v/>
      </c>
      <c r="E257">
        <f>IF(Klantgegevens_B!G256&lt;&gt;"", Klantgegevens_B!G256, TEXTJOIN(",", TRUE, REPT("Volwassene,", Klantgegevens_A!G256), REPT("Kind,", Klantgegevens_A!H256)))</f>
        <v/>
      </c>
      <c r="F257">
        <f>IF(Klantgegevens_B!G256&lt;&gt;"", LEN(Klantgegevens_B!G256)-LEN(SUBSTITUTE(Klantgegevens_B!G256, ",", ""))+1, Klantgegevens_A!G256)</f>
        <v/>
      </c>
      <c r="G257">
        <f>IF(Klantgegevens_B!G256&lt;&gt;"", 0, Klantgegevens_A!H256)</f>
        <v/>
      </c>
      <c r="H257">
        <f>IF(Klantgegevens_B!H256&lt;&gt;"", Klantgegevens_B!H256, Klantgegevens_A!I256)</f>
        <v/>
      </c>
      <c r="I257">
        <f>IF(Klantgegevens_B!I256&lt;&gt;"", Klantgegevens_B!I256, SWITCH(Klantgegevens_A!J256, "Zelden", 1, "Af en toe", 4, "Regelmatig", 8, "Vaak", 12))</f>
        <v/>
      </c>
      <c r="J257">
        <f>IF(Klantgegevens_B!J256&lt;&gt;"", Klantgegevens_B!J256, Klantgegevens_A!K256)</f>
        <v/>
      </c>
      <c r="K257">
        <f>IF(Klantgegevens_B!K256&lt;&gt;"", AVERAGE(--(Klantgegevens_B!K256="ja"), --(Klantgegevens_B!L256="ja"), --(Klantgegevens_B!M256="ja"), --(Klantgegevens_B!N256="ja"), --(Klantgegevens_B!O256="ja"))*10, Klantgegevens_A!L256)</f>
        <v/>
      </c>
      <c r="L257">
        <f>IF(Klantgegevens_B!K256&lt;&gt;"", Klantgegevens_B!K256, IF(Klantgegevens_A!L256&gt;=7, "ja", "nee"))</f>
        <v/>
      </c>
      <c r="M257">
        <f>IF(Klantgegevens_B!L256&lt;&gt;"", Klantgegevens_B!L256, IF(Klantgegevens_A!L256&gt;=7, "ja", "nee"))</f>
        <v/>
      </c>
      <c r="N257">
        <f>IF(Klantgegevens_B!M256&lt;&gt;"", Klantgegevens_B!M256, IF(Klantgegevens_A!L256&gt;=7, "ja", "nee"))</f>
        <v/>
      </c>
      <c r="O257">
        <f>IF(Klantgegevens_B!N256&lt;&gt;"", Klantgegevens_B!N256, IF(Klantgegevens_A!L256&gt;=7, "ja", "nee"))</f>
        <v/>
      </c>
      <c r="P257">
        <f>IF(Klantgegevens_B!O256&lt;&gt;"", Klantgegevens_B!O256, IF(Klantgegevens_A!L256&gt;=7, "ja", "nee"))</f>
        <v/>
      </c>
      <c r="Q257">
        <f>IF(Klantgegevens_B!P256&lt;&gt;"", Klantgegevens_B!P256, Klantgegevens_A!M256)</f>
        <v/>
      </c>
      <c r="R257">
        <f>IF(Klantgegevens_B!A256&lt;&gt;"", "B", "A")</f>
        <v/>
      </c>
    </row>
    <row r="258">
      <c r="A258">
        <f>IF(Klantgegevens_B!A257&lt;&gt;"", Klantgegevens_B!A257, MID(Klantgegevens_A!A257, FIND(",", Klantgegevens_A!A257)+2, LEN(Klantgegevens_A!A257)))</f>
        <v/>
      </c>
      <c r="B258">
        <f>IF(Klantgegevens_B!B257&lt;&gt;"", Klantgegevens_B!B257, LEFT(Klantgegevens_A!A257, FIND(",", Klantgegevens_A!A257)-1))</f>
        <v/>
      </c>
      <c r="C258">
        <f>C257 &amp; ", " &amp; B257</f>
        <v/>
      </c>
      <c r="D258">
        <f>IF(Klantgegevens_B!F257&lt;&gt;"", Klantgegevens_B!F257, Klantgegevens_A!D257 &amp; " " &amp; Klantgegevens_A!E257 &amp; ", " &amp; Klantgegevens_A!F257)</f>
        <v/>
      </c>
      <c r="E258">
        <f>IF(Klantgegevens_B!G257&lt;&gt;"", Klantgegevens_B!G257, TEXTJOIN(",", TRUE, REPT("Volwassene,", Klantgegevens_A!G257), REPT("Kind,", Klantgegevens_A!H257)))</f>
        <v/>
      </c>
      <c r="F258">
        <f>IF(Klantgegevens_B!G257&lt;&gt;"", LEN(Klantgegevens_B!G257)-LEN(SUBSTITUTE(Klantgegevens_B!G257, ",", ""))+1, Klantgegevens_A!G257)</f>
        <v/>
      </c>
      <c r="G258">
        <f>IF(Klantgegevens_B!G257&lt;&gt;"", 0, Klantgegevens_A!H257)</f>
        <v/>
      </c>
      <c r="H258">
        <f>IF(Klantgegevens_B!H257&lt;&gt;"", Klantgegevens_B!H257, Klantgegevens_A!I257)</f>
        <v/>
      </c>
      <c r="I258">
        <f>IF(Klantgegevens_B!I257&lt;&gt;"", Klantgegevens_B!I257, SWITCH(Klantgegevens_A!J257, "Zelden", 1, "Af en toe", 4, "Regelmatig", 8, "Vaak", 12))</f>
        <v/>
      </c>
      <c r="J258">
        <f>IF(Klantgegevens_B!J257&lt;&gt;"", Klantgegevens_B!J257, Klantgegevens_A!K257)</f>
        <v/>
      </c>
      <c r="K258">
        <f>IF(Klantgegevens_B!K257&lt;&gt;"", AVERAGE(--(Klantgegevens_B!K257="ja"), --(Klantgegevens_B!L257="ja"), --(Klantgegevens_B!M257="ja"), --(Klantgegevens_B!N257="ja"), --(Klantgegevens_B!O257="ja"))*10, Klantgegevens_A!L257)</f>
        <v/>
      </c>
      <c r="L258">
        <f>IF(Klantgegevens_B!K257&lt;&gt;"", Klantgegevens_B!K257, IF(Klantgegevens_A!L257&gt;=7, "ja", "nee"))</f>
        <v/>
      </c>
      <c r="M258">
        <f>IF(Klantgegevens_B!L257&lt;&gt;"", Klantgegevens_B!L257, IF(Klantgegevens_A!L257&gt;=7, "ja", "nee"))</f>
        <v/>
      </c>
      <c r="N258">
        <f>IF(Klantgegevens_B!M257&lt;&gt;"", Klantgegevens_B!M257, IF(Klantgegevens_A!L257&gt;=7, "ja", "nee"))</f>
        <v/>
      </c>
      <c r="O258">
        <f>IF(Klantgegevens_B!N257&lt;&gt;"", Klantgegevens_B!N257, IF(Klantgegevens_A!L257&gt;=7, "ja", "nee"))</f>
        <v/>
      </c>
      <c r="P258">
        <f>IF(Klantgegevens_B!O257&lt;&gt;"", Klantgegevens_B!O257, IF(Klantgegevens_A!L257&gt;=7, "ja", "nee"))</f>
        <v/>
      </c>
      <c r="Q258">
        <f>IF(Klantgegevens_B!P257&lt;&gt;"", Klantgegevens_B!P257, Klantgegevens_A!M257)</f>
        <v/>
      </c>
      <c r="R258">
        <f>IF(Klantgegevens_B!A257&lt;&gt;"", "B", "A")</f>
        <v/>
      </c>
    </row>
    <row r="259">
      <c r="A259">
        <f>IF(Klantgegevens_B!A258&lt;&gt;"", Klantgegevens_B!A258, MID(Klantgegevens_A!A258, FIND(",", Klantgegevens_A!A258)+2, LEN(Klantgegevens_A!A258)))</f>
        <v/>
      </c>
      <c r="B259">
        <f>IF(Klantgegevens_B!B258&lt;&gt;"", Klantgegevens_B!B258, LEFT(Klantgegevens_A!A258, FIND(",", Klantgegevens_A!A258)-1))</f>
        <v/>
      </c>
      <c r="C259">
        <f>C258 &amp; ", " &amp; B258</f>
        <v/>
      </c>
      <c r="D259">
        <f>IF(Klantgegevens_B!F258&lt;&gt;"", Klantgegevens_B!F258, Klantgegevens_A!D258 &amp; " " &amp; Klantgegevens_A!E258 &amp; ", " &amp; Klantgegevens_A!F258)</f>
        <v/>
      </c>
      <c r="E259">
        <f>IF(Klantgegevens_B!G258&lt;&gt;"", Klantgegevens_B!G258, TEXTJOIN(",", TRUE, REPT("Volwassene,", Klantgegevens_A!G258), REPT("Kind,", Klantgegevens_A!H258)))</f>
        <v/>
      </c>
      <c r="F259">
        <f>IF(Klantgegevens_B!G258&lt;&gt;"", LEN(Klantgegevens_B!G258)-LEN(SUBSTITUTE(Klantgegevens_B!G258, ",", ""))+1, Klantgegevens_A!G258)</f>
        <v/>
      </c>
      <c r="G259">
        <f>IF(Klantgegevens_B!G258&lt;&gt;"", 0, Klantgegevens_A!H258)</f>
        <v/>
      </c>
      <c r="H259">
        <f>IF(Klantgegevens_B!H258&lt;&gt;"", Klantgegevens_B!H258, Klantgegevens_A!I258)</f>
        <v/>
      </c>
      <c r="I259">
        <f>IF(Klantgegevens_B!I258&lt;&gt;"", Klantgegevens_B!I258, SWITCH(Klantgegevens_A!J258, "Zelden", 1, "Af en toe", 4, "Regelmatig", 8, "Vaak", 12))</f>
        <v/>
      </c>
      <c r="J259">
        <f>IF(Klantgegevens_B!J258&lt;&gt;"", Klantgegevens_B!J258, Klantgegevens_A!K258)</f>
        <v/>
      </c>
      <c r="K259">
        <f>IF(Klantgegevens_B!K258&lt;&gt;"", AVERAGE(--(Klantgegevens_B!K258="ja"), --(Klantgegevens_B!L258="ja"), --(Klantgegevens_B!M258="ja"), --(Klantgegevens_B!N258="ja"), --(Klantgegevens_B!O258="ja"))*10, Klantgegevens_A!L258)</f>
        <v/>
      </c>
      <c r="L259">
        <f>IF(Klantgegevens_B!K258&lt;&gt;"", Klantgegevens_B!K258, IF(Klantgegevens_A!L258&gt;=7, "ja", "nee"))</f>
        <v/>
      </c>
      <c r="M259">
        <f>IF(Klantgegevens_B!L258&lt;&gt;"", Klantgegevens_B!L258, IF(Klantgegevens_A!L258&gt;=7, "ja", "nee"))</f>
        <v/>
      </c>
      <c r="N259">
        <f>IF(Klantgegevens_B!M258&lt;&gt;"", Klantgegevens_B!M258, IF(Klantgegevens_A!L258&gt;=7, "ja", "nee"))</f>
        <v/>
      </c>
      <c r="O259">
        <f>IF(Klantgegevens_B!N258&lt;&gt;"", Klantgegevens_B!N258, IF(Klantgegevens_A!L258&gt;=7, "ja", "nee"))</f>
        <v/>
      </c>
      <c r="P259">
        <f>IF(Klantgegevens_B!O258&lt;&gt;"", Klantgegevens_B!O258, IF(Klantgegevens_A!L258&gt;=7, "ja", "nee"))</f>
        <v/>
      </c>
      <c r="Q259">
        <f>IF(Klantgegevens_B!P258&lt;&gt;"", Klantgegevens_B!P258, Klantgegevens_A!M258)</f>
        <v/>
      </c>
      <c r="R259">
        <f>IF(Klantgegevens_B!A258&lt;&gt;"", "B", "A")</f>
        <v/>
      </c>
    </row>
    <row r="260">
      <c r="A260">
        <f>IF(Klantgegevens_B!A259&lt;&gt;"", Klantgegevens_B!A259, MID(Klantgegevens_A!A259, FIND(",", Klantgegevens_A!A259)+2, LEN(Klantgegevens_A!A259)))</f>
        <v/>
      </c>
      <c r="B260">
        <f>IF(Klantgegevens_B!B259&lt;&gt;"", Klantgegevens_B!B259, LEFT(Klantgegevens_A!A259, FIND(",", Klantgegevens_A!A259)-1))</f>
        <v/>
      </c>
      <c r="C260">
        <f>C259 &amp; ", " &amp; B259</f>
        <v/>
      </c>
      <c r="D260">
        <f>IF(Klantgegevens_B!F259&lt;&gt;"", Klantgegevens_B!F259, Klantgegevens_A!D259 &amp; " " &amp; Klantgegevens_A!E259 &amp; ", " &amp; Klantgegevens_A!F259)</f>
        <v/>
      </c>
      <c r="E260">
        <f>IF(Klantgegevens_B!G259&lt;&gt;"", Klantgegevens_B!G259, TEXTJOIN(",", TRUE, REPT("Volwassene,", Klantgegevens_A!G259), REPT("Kind,", Klantgegevens_A!H259)))</f>
        <v/>
      </c>
      <c r="F260">
        <f>IF(Klantgegevens_B!G259&lt;&gt;"", LEN(Klantgegevens_B!G259)-LEN(SUBSTITUTE(Klantgegevens_B!G259, ",", ""))+1, Klantgegevens_A!G259)</f>
        <v/>
      </c>
      <c r="G260">
        <f>IF(Klantgegevens_B!G259&lt;&gt;"", 0, Klantgegevens_A!H259)</f>
        <v/>
      </c>
      <c r="H260">
        <f>IF(Klantgegevens_B!H259&lt;&gt;"", Klantgegevens_B!H259, Klantgegevens_A!I259)</f>
        <v/>
      </c>
      <c r="I260">
        <f>IF(Klantgegevens_B!I259&lt;&gt;"", Klantgegevens_B!I259, SWITCH(Klantgegevens_A!J259, "Zelden", 1, "Af en toe", 4, "Regelmatig", 8, "Vaak", 12))</f>
        <v/>
      </c>
      <c r="J260">
        <f>IF(Klantgegevens_B!J259&lt;&gt;"", Klantgegevens_B!J259, Klantgegevens_A!K259)</f>
        <v/>
      </c>
      <c r="K260">
        <f>IF(Klantgegevens_B!K259&lt;&gt;"", AVERAGE(--(Klantgegevens_B!K259="ja"), --(Klantgegevens_B!L259="ja"), --(Klantgegevens_B!M259="ja"), --(Klantgegevens_B!N259="ja"), --(Klantgegevens_B!O259="ja"))*10, Klantgegevens_A!L259)</f>
        <v/>
      </c>
      <c r="L260">
        <f>IF(Klantgegevens_B!K259&lt;&gt;"", Klantgegevens_B!K259, IF(Klantgegevens_A!L259&gt;=7, "ja", "nee"))</f>
        <v/>
      </c>
      <c r="M260">
        <f>IF(Klantgegevens_B!L259&lt;&gt;"", Klantgegevens_B!L259, IF(Klantgegevens_A!L259&gt;=7, "ja", "nee"))</f>
        <v/>
      </c>
      <c r="N260">
        <f>IF(Klantgegevens_B!M259&lt;&gt;"", Klantgegevens_B!M259, IF(Klantgegevens_A!L259&gt;=7, "ja", "nee"))</f>
        <v/>
      </c>
      <c r="O260">
        <f>IF(Klantgegevens_B!N259&lt;&gt;"", Klantgegevens_B!N259, IF(Klantgegevens_A!L259&gt;=7, "ja", "nee"))</f>
        <v/>
      </c>
      <c r="P260">
        <f>IF(Klantgegevens_B!O259&lt;&gt;"", Klantgegevens_B!O259, IF(Klantgegevens_A!L259&gt;=7, "ja", "nee"))</f>
        <v/>
      </c>
      <c r="Q260">
        <f>IF(Klantgegevens_B!P259&lt;&gt;"", Klantgegevens_B!P259, Klantgegevens_A!M259)</f>
        <v/>
      </c>
      <c r="R260">
        <f>IF(Klantgegevens_B!A259&lt;&gt;"", "B", "A")</f>
        <v/>
      </c>
    </row>
    <row r="261">
      <c r="A261">
        <f>IF(Klantgegevens_B!A260&lt;&gt;"", Klantgegevens_B!A260, MID(Klantgegevens_A!A260, FIND(",", Klantgegevens_A!A260)+2, LEN(Klantgegevens_A!A260)))</f>
        <v/>
      </c>
      <c r="B261">
        <f>IF(Klantgegevens_B!B260&lt;&gt;"", Klantgegevens_B!B260, LEFT(Klantgegevens_A!A260, FIND(",", Klantgegevens_A!A260)-1))</f>
        <v/>
      </c>
      <c r="C261">
        <f>C260 &amp; ", " &amp; B260</f>
        <v/>
      </c>
      <c r="D261">
        <f>IF(Klantgegevens_B!F260&lt;&gt;"", Klantgegevens_B!F260, Klantgegevens_A!D260 &amp; " " &amp; Klantgegevens_A!E260 &amp; ", " &amp; Klantgegevens_A!F260)</f>
        <v/>
      </c>
      <c r="E261">
        <f>IF(Klantgegevens_B!G260&lt;&gt;"", Klantgegevens_B!G260, TEXTJOIN(",", TRUE, REPT("Volwassene,", Klantgegevens_A!G260), REPT("Kind,", Klantgegevens_A!H260)))</f>
        <v/>
      </c>
      <c r="F261">
        <f>IF(Klantgegevens_B!G260&lt;&gt;"", LEN(Klantgegevens_B!G260)-LEN(SUBSTITUTE(Klantgegevens_B!G260, ",", ""))+1, Klantgegevens_A!G260)</f>
        <v/>
      </c>
      <c r="G261">
        <f>IF(Klantgegevens_B!G260&lt;&gt;"", 0, Klantgegevens_A!H260)</f>
        <v/>
      </c>
      <c r="H261">
        <f>IF(Klantgegevens_B!H260&lt;&gt;"", Klantgegevens_B!H260, Klantgegevens_A!I260)</f>
        <v/>
      </c>
      <c r="I261">
        <f>IF(Klantgegevens_B!I260&lt;&gt;"", Klantgegevens_B!I260, SWITCH(Klantgegevens_A!J260, "Zelden", 1, "Af en toe", 4, "Regelmatig", 8, "Vaak", 12))</f>
        <v/>
      </c>
      <c r="J261">
        <f>IF(Klantgegevens_B!J260&lt;&gt;"", Klantgegevens_B!J260, Klantgegevens_A!K260)</f>
        <v/>
      </c>
      <c r="K261">
        <f>IF(Klantgegevens_B!K260&lt;&gt;"", AVERAGE(--(Klantgegevens_B!K260="ja"), --(Klantgegevens_B!L260="ja"), --(Klantgegevens_B!M260="ja"), --(Klantgegevens_B!N260="ja"), --(Klantgegevens_B!O260="ja"))*10, Klantgegevens_A!L260)</f>
        <v/>
      </c>
      <c r="L261">
        <f>IF(Klantgegevens_B!K260&lt;&gt;"", Klantgegevens_B!K260, IF(Klantgegevens_A!L260&gt;=7, "ja", "nee"))</f>
        <v/>
      </c>
      <c r="M261">
        <f>IF(Klantgegevens_B!L260&lt;&gt;"", Klantgegevens_B!L260, IF(Klantgegevens_A!L260&gt;=7, "ja", "nee"))</f>
        <v/>
      </c>
      <c r="N261">
        <f>IF(Klantgegevens_B!M260&lt;&gt;"", Klantgegevens_B!M260, IF(Klantgegevens_A!L260&gt;=7, "ja", "nee"))</f>
        <v/>
      </c>
      <c r="O261">
        <f>IF(Klantgegevens_B!N260&lt;&gt;"", Klantgegevens_B!N260, IF(Klantgegevens_A!L260&gt;=7, "ja", "nee"))</f>
        <v/>
      </c>
      <c r="P261">
        <f>IF(Klantgegevens_B!O260&lt;&gt;"", Klantgegevens_B!O260, IF(Klantgegevens_A!L260&gt;=7, "ja", "nee"))</f>
        <v/>
      </c>
      <c r="Q261">
        <f>IF(Klantgegevens_B!P260&lt;&gt;"", Klantgegevens_B!P260, Klantgegevens_A!M260)</f>
        <v/>
      </c>
      <c r="R261">
        <f>IF(Klantgegevens_B!A260&lt;&gt;"", "B", "A")</f>
        <v/>
      </c>
    </row>
    <row r="262">
      <c r="A262">
        <f>IF(Klantgegevens_B!A261&lt;&gt;"", Klantgegevens_B!A261, MID(Klantgegevens_A!A261, FIND(",", Klantgegevens_A!A261)+2, LEN(Klantgegevens_A!A261)))</f>
        <v/>
      </c>
      <c r="B262">
        <f>IF(Klantgegevens_B!B261&lt;&gt;"", Klantgegevens_B!B261, LEFT(Klantgegevens_A!A261, FIND(",", Klantgegevens_A!A261)-1))</f>
        <v/>
      </c>
      <c r="C262">
        <f>C261 &amp; ", " &amp; B261</f>
        <v/>
      </c>
      <c r="D262">
        <f>IF(Klantgegevens_B!F261&lt;&gt;"", Klantgegevens_B!F261, Klantgegevens_A!D261 &amp; " " &amp; Klantgegevens_A!E261 &amp; ", " &amp; Klantgegevens_A!F261)</f>
        <v/>
      </c>
      <c r="E262">
        <f>IF(Klantgegevens_B!G261&lt;&gt;"", Klantgegevens_B!G261, TEXTJOIN(",", TRUE, REPT("Volwassene,", Klantgegevens_A!G261), REPT("Kind,", Klantgegevens_A!H261)))</f>
        <v/>
      </c>
      <c r="F262">
        <f>IF(Klantgegevens_B!G261&lt;&gt;"", LEN(Klantgegevens_B!G261)-LEN(SUBSTITUTE(Klantgegevens_B!G261, ",", ""))+1, Klantgegevens_A!G261)</f>
        <v/>
      </c>
      <c r="G262">
        <f>IF(Klantgegevens_B!G261&lt;&gt;"", 0, Klantgegevens_A!H261)</f>
        <v/>
      </c>
      <c r="H262">
        <f>IF(Klantgegevens_B!H261&lt;&gt;"", Klantgegevens_B!H261, Klantgegevens_A!I261)</f>
        <v/>
      </c>
      <c r="I262">
        <f>IF(Klantgegevens_B!I261&lt;&gt;"", Klantgegevens_B!I261, SWITCH(Klantgegevens_A!J261, "Zelden", 1, "Af en toe", 4, "Regelmatig", 8, "Vaak", 12))</f>
        <v/>
      </c>
      <c r="J262">
        <f>IF(Klantgegevens_B!J261&lt;&gt;"", Klantgegevens_B!J261, Klantgegevens_A!K261)</f>
        <v/>
      </c>
      <c r="K262">
        <f>IF(Klantgegevens_B!K261&lt;&gt;"", AVERAGE(--(Klantgegevens_B!K261="ja"), --(Klantgegevens_B!L261="ja"), --(Klantgegevens_B!M261="ja"), --(Klantgegevens_B!N261="ja"), --(Klantgegevens_B!O261="ja"))*10, Klantgegevens_A!L261)</f>
        <v/>
      </c>
      <c r="L262">
        <f>IF(Klantgegevens_B!K261&lt;&gt;"", Klantgegevens_B!K261, IF(Klantgegevens_A!L261&gt;=7, "ja", "nee"))</f>
        <v/>
      </c>
      <c r="M262">
        <f>IF(Klantgegevens_B!L261&lt;&gt;"", Klantgegevens_B!L261, IF(Klantgegevens_A!L261&gt;=7, "ja", "nee"))</f>
        <v/>
      </c>
      <c r="N262">
        <f>IF(Klantgegevens_B!M261&lt;&gt;"", Klantgegevens_B!M261, IF(Klantgegevens_A!L261&gt;=7, "ja", "nee"))</f>
        <v/>
      </c>
      <c r="O262">
        <f>IF(Klantgegevens_B!N261&lt;&gt;"", Klantgegevens_B!N261, IF(Klantgegevens_A!L261&gt;=7, "ja", "nee"))</f>
        <v/>
      </c>
      <c r="P262">
        <f>IF(Klantgegevens_B!O261&lt;&gt;"", Klantgegevens_B!O261, IF(Klantgegevens_A!L261&gt;=7, "ja", "nee"))</f>
        <v/>
      </c>
      <c r="Q262">
        <f>IF(Klantgegevens_B!P261&lt;&gt;"", Klantgegevens_B!P261, Klantgegevens_A!M261)</f>
        <v/>
      </c>
      <c r="R262">
        <f>IF(Klantgegevens_B!A261&lt;&gt;"", "B", "A")</f>
        <v/>
      </c>
    </row>
    <row r="263">
      <c r="A263">
        <f>IF(Klantgegevens_B!A262&lt;&gt;"", Klantgegevens_B!A262, MID(Klantgegevens_A!A262, FIND(",", Klantgegevens_A!A262)+2, LEN(Klantgegevens_A!A262)))</f>
        <v/>
      </c>
      <c r="B263">
        <f>IF(Klantgegevens_B!B262&lt;&gt;"", Klantgegevens_B!B262, LEFT(Klantgegevens_A!A262, FIND(",", Klantgegevens_A!A262)-1))</f>
        <v/>
      </c>
      <c r="C263">
        <f>C262 &amp; ", " &amp; B262</f>
        <v/>
      </c>
      <c r="D263">
        <f>IF(Klantgegevens_B!F262&lt;&gt;"", Klantgegevens_B!F262, Klantgegevens_A!D262 &amp; " " &amp; Klantgegevens_A!E262 &amp; ", " &amp; Klantgegevens_A!F262)</f>
        <v/>
      </c>
      <c r="E263">
        <f>IF(Klantgegevens_B!G262&lt;&gt;"", Klantgegevens_B!G262, TEXTJOIN(",", TRUE, REPT("Volwassene,", Klantgegevens_A!G262), REPT("Kind,", Klantgegevens_A!H262)))</f>
        <v/>
      </c>
      <c r="F263">
        <f>IF(Klantgegevens_B!G262&lt;&gt;"", LEN(Klantgegevens_B!G262)-LEN(SUBSTITUTE(Klantgegevens_B!G262, ",", ""))+1, Klantgegevens_A!G262)</f>
        <v/>
      </c>
      <c r="G263">
        <f>IF(Klantgegevens_B!G262&lt;&gt;"", 0, Klantgegevens_A!H262)</f>
        <v/>
      </c>
      <c r="H263">
        <f>IF(Klantgegevens_B!H262&lt;&gt;"", Klantgegevens_B!H262, Klantgegevens_A!I262)</f>
        <v/>
      </c>
      <c r="I263">
        <f>IF(Klantgegevens_B!I262&lt;&gt;"", Klantgegevens_B!I262, SWITCH(Klantgegevens_A!J262, "Zelden", 1, "Af en toe", 4, "Regelmatig", 8, "Vaak", 12))</f>
        <v/>
      </c>
      <c r="J263">
        <f>IF(Klantgegevens_B!J262&lt;&gt;"", Klantgegevens_B!J262, Klantgegevens_A!K262)</f>
        <v/>
      </c>
      <c r="K263">
        <f>IF(Klantgegevens_B!K262&lt;&gt;"", AVERAGE(--(Klantgegevens_B!K262="ja"), --(Klantgegevens_B!L262="ja"), --(Klantgegevens_B!M262="ja"), --(Klantgegevens_B!N262="ja"), --(Klantgegevens_B!O262="ja"))*10, Klantgegevens_A!L262)</f>
        <v/>
      </c>
      <c r="L263">
        <f>IF(Klantgegevens_B!K262&lt;&gt;"", Klantgegevens_B!K262, IF(Klantgegevens_A!L262&gt;=7, "ja", "nee"))</f>
        <v/>
      </c>
      <c r="M263">
        <f>IF(Klantgegevens_B!L262&lt;&gt;"", Klantgegevens_B!L262, IF(Klantgegevens_A!L262&gt;=7, "ja", "nee"))</f>
        <v/>
      </c>
      <c r="N263">
        <f>IF(Klantgegevens_B!M262&lt;&gt;"", Klantgegevens_B!M262, IF(Klantgegevens_A!L262&gt;=7, "ja", "nee"))</f>
        <v/>
      </c>
      <c r="O263">
        <f>IF(Klantgegevens_B!N262&lt;&gt;"", Klantgegevens_B!N262, IF(Klantgegevens_A!L262&gt;=7, "ja", "nee"))</f>
        <v/>
      </c>
      <c r="P263">
        <f>IF(Klantgegevens_B!O262&lt;&gt;"", Klantgegevens_B!O262, IF(Klantgegevens_A!L262&gt;=7, "ja", "nee"))</f>
        <v/>
      </c>
      <c r="Q263">
        <f>IF(Klantgegevens_B!P262&lt;&gt;"", Klantgegevens_B!P262, Klantgegevens_A!M262)</f>
        <v/>
      </c>
      <c r="R263">
        <f>IF(Klantgegevens_B!A262&lt;&gt;"", "B", "A")</f>
        <v/>
      </c>
    </row>
    <row r="264">
      <c r="A264">
        <f>IF(Klantgegevens_B!A263&lt;&gt;"", Klantgegevens_B!A263, MID(Klantgegevens_A!A263, FIND(",", Klantgegevens_A!A263)+2, LEN(Klantgegevens_A!A263)))</f>
        <v/>
      </c>
      <c r="B264">
        <f>IF(Klantgegevens_B!B263&lt;&gt;"", Klantgegevens_B!B263, LEFT(Klantgegevens_A!A263, FIND(",", Klantgegevens_A!A263)-1))</f>
        <v/>
      </c>
      <c r="C264">
        <f>C263 &amp; ", " &amp; B263</f>
        <v/>
      </c>
      <c r="D264">
        <f>IF(Klantgegevens_B!F263&lt;&gt;"", Klantgegevens_B!F263, Klantgegevens_A!D263 &amp; " " &amp; Klantgegevens_A!E263 &amp; ", " &amp; Klantgegevens_A!F263)</f>
        <v/>
      </c>
      <c r="E264">
        <f>IF(Klantgegevens_B!G263&lt;&gt;"", Klantgegevens_B!G263, TEXTJOIN(",", TRUE, REPT("Volwassene,", Klantgegevens_A!G263), REPT("Kind,", Klantgegevens_A!H263)))</f>
        <v/>
      </c>
      <c r="F264">
        <f>IF(Klantgegevens_B!G263&lt;&gt;"", LEN(Klantgegevens_B!G263)-LEN(SUBSTITUTE(Klantgegevens_B!G263, ",", ""))+1, Klantgegevens_A!G263)</f>
        <v/>
      </c>
      <c r="G264">
        <f>IF(Klantgegevens_B!G263&lt;&gt;"", 0, Klantgegevens_A!H263)</f>
        <v/>
      </c>
      <c r="H264">
        <f>IF(Klantgegevens_B!H263&lt;&gt;"", Klantgegevens_B!H263, Klantgegevens_A!I263)</f>
        <v/>
      </c>
      <c r="I264">
        <f>IF(Klantgegevens_B!I263&lt;&gt;"", Klantgegevens_B!I263, SWITCH(Klantgegevens_A!J263, "Zelden", 1, "Af en toe", 4, "Regelmatig", 8, "Vaak", 12))</f>
        <v/>
      </c>
      <c r="J264">
        <f>IF(Klantgegevens_B!J263&lt;&gt;"", Klantgegevens_B!J263, Klantgegevens_A!K263)</f>
        <v/>
      </c>
      <c r="K264">
        <f>IF(Klantgegevens_B!K263&lt;&gt;"", AVERAGE(--(Klantgegevens_B!K263="ja"), --(Klantgegevens_B!L263="ja"), --(Klantgegevens_B!M263="ja"), --(Klantgegevens_B!N263="ja"), --(Klantgegevens_B!O263="ja"))*10, Klantgegevens_A!L263)</f>
        <v/>
      </c>
      <c r="L264">
        <f>IF(Klantgegevens_B!K263&lt;&gt;"", Klantgegevens_B!K263, IF(Klantgegevens_A!L263&gt;=7, "ja", "nee"))</f>
        <v/>
      </c>
      <c r="M264">
        <f>IF(Klantgegevens_B!L263&lt;&gt;"", Klantgegevens_B!L263, IF(Klantgegevens_A!L263&gt;=7, "ja", "nee"))</f>
        <v/>
      </c>
      <c r="N264">
        <f>IF(Klantgegevens_B!M263&lt;&gt;"", Klantgegevens_B!M263, IF(Klantgegevens_A!L263&gt;=7, "ja", "nee"))</f>
        <v/>
      </c>
      <c r="O264">
        <f>IF(Klantgegevens_B!N263&lt;&gt;"", Klantgegevens_B!N263, IF(Klantgegevens_A!L263&gt;=7, "ja", "nee"))</f>
        <v/>
      </c>
      <c r="P264">
        <f>IF(Klantgegevens_B!O263&lt;&gt;"", Klantgegevens_B!O263, IF(Klantgegevens_A!L263&gt;=7, "ja", "nee"))</f>
        <v/>
      </c>
      <c r="Q264">
        <f>IF(Klantgegevens_B!P263&lt;&gt;"", Klantgegevens_B!P263, Klantgegevens_A!M263)</f>
        <v/>
      </c>
      <c r="R264">
        <f>IF(Klantgegevens_B!A263&lt;&gt;"", "B", "A")</f>
        <v/>
      </c>
    </row>
    <row r="265">
      <c r="A265">
        <f>IF(Klantgegevens_B!A264&lt;&gt;"", Klantgegevens_B!A264, MID(Klantgegevens_A!A264, FIND(",", Klantgegevens_A!A264)+2, LEN(Klantgegevens_A!A264)))</f>
        <v/>
      </c>
      <c r="B265">
        <f>IF(Klantgegevens_B!B264&lt;&gt;"", Klantgegevens_B!B264, LEFT(Klantgegevens_A!A264, FIND(",", Klantgegevens_A!A264)-1))</f>
        <v/>
      </c>
      <c r="C265">
        <f>C264 &amp; ", " &amp; B264</f>
        <v/>
      </c>
      <c r="D265">
        <f>IF(Klantgegevens_B!F264&lt;&gt;"", Klantgegevens_B!F264, Klantgegevens_A!D264 &amp; " " &amp; Klantgegevens_A!E264 &amp; ", " &amp; Klantgegevens_A!F264)</f>
        <v/>
      </c>
      <c r="E265">
        <f>IF(Klantgegevens_B!G264&lt;&gt;"", Klantgegevens_B!G264, TEXTJOIN(",", TRUE, REPT("Volwassene,", Klantgegevens_A!G264), REPT("Kind,", Klantgegevens_A!H264)))</f>
        <v/>
      </c>
      <c r="F265">
        <f>IF(Klantgegevens_B!G264&lt;&gt;"", LEN(Klantgegevens_B!G264)-LEN(SUBSTITUTE(Klantgegevens_B!G264, ",", ""))+1, Klantgegevens_A!G264)</f>
        <v/>
      </c>
      <c r="G265">
        <f>IF(Klantgegevens_B!G264&lt;&gt;"", 0, Klantgegevens_A!H264)</f>
        <v/>
      </c>
      <c r="H265">
        <f>IF(Klantgegevens_B!H264&lt;&gt;"", Klantgegevens_B!H264, Klantgegevens_A!I264)</f>
        <v/>
      </c>
      <c r="I265">
        <f>IF(Klantgegevens_B!I264&lt;&gt;"", Klantgegevens_B!I264, SWITCH(Klantgegevens_A!J264, "Zelden", 1, "Af en toe", 4, "Regelmatig", 8, "Vaak", 12))</f>
        <v/>
      </c>
      <c r="J265">
        <f>IF(Klantgegevens_B!J264&lt;&gt;"", Klantgegevens_B!J264, Klantgegevens_A!K264)</f>
        <v/>
      </c>
      <c r="K265">
        <f>IF(Klantgegevens_B!K264&lt;&gt;"", AVERAGE(--(Klantgegevens_B!K264="ja"), --(Klantgegevens_B!L264="ja"), --(Klantgegevens_B!M264="ja"), --(Klantgegevens_B!N264="ja"), --(Klantgegevens_B!O264="ja"))*10, Klantgegevens_A!L264)</f>
        <v/>
      </c>
      <c r="L265">
        <f>IF(Klantgegevens_B!K264&lt;&gt;"", Klantgegevens_B!K264, IF(Klantgegevens_A!L264&gt;=7, "ja", "nee"))</f>
        <v/>
      </c>
      <c r="M265">
        <f>IF(Klantgegevens_B!L264&lt;&gt;"", Klantgegevens_B!L264, IF(Klantgegevens_A!L264&gt;=7, "ja", "nee"))</f>
        <v/>
      </c>
      <c r="N265">
        <f>IF(Klantgegevens_B!M264&lt;&gt;"", Klantgegevens_B!M264, IF(Klantgegevens_A!L264&gt;=7, "ja", "nee"))</f>
        <v/>
      </c>
      <c r="O265">
        <f>IF(Klantgegevens_B!N264&lt;&gt;"", Klantgegevens_B!N264, IF(Klantgegevens_A!L264&gt;=7, "ja", "nee"))</f>
        <v/>
      </c>
      <c r="P265">
        <f>IF(Klantgegevens_B!O264&lt;&gt;"", Klantgegevens_B!O264, IF(Klantgegevens_A!L264&gt;=7, "ja", "nee"))</f>
        <v/>
      </c>
      <c r="Q265">
        <f>IF(Klantgegevens_B!P264&lt;&gt;"", Klantgegevens_B!P264, Klantgegevens_A!M264)</f>
        <v/>
      </c>
      <c r="R265">
        <f>IF(Klantgegevens_B!A264&lt;&gt;"", "B", "A")</f>
        <v/>
      </c>
    </row>
    <row r="266">
      <c r="A266">
        <f>IF(Klantgegevens_B!A265&lt;&gt;"", Klantgegevens_B!A265, MID(Klantgegevens_A!A265, FIND(",", Klantgegevens_A!A265)+2, LEN(Klantgegevens_A!A265)))</f>
        <v/>
      </c>
      <c r="B266">
        <f>IF(Klantgegevens_B!B265&lt;&gt;"", Klantgegevens_B!B265, LEFT(Klantgegevens_A!A265, FIND(",", Klantgegevens_A!A265)-1))</f>
        <v/>
      </c>
      <c r="C266">
        <f>C265 &amp; ", " &amp; B265</f>
        <v/>
      </c>
      <c r="D266">
        <f>IF(Klantgegevens_B!F265&lt;&gt;"", Klantgegevens_B!F265, Klantgegevens_A!D265 &amp; " " &amp; Klantgegevens_A!E265 &amp; ", " &amp; Klantgegevens_A!F265)</f>
        <v/>
      </c>
      <c r="E266">
        <f>IF(Klantgegevens_B!G265&lt;&gt;"", Klantgegevens_B!G265, TEXTJOIN(",", TRUE, REPT("Volwassene,", Klantgegevens_A!G265), REPT("Kind,", Klantgegevens_A!H265)))</f>
        <v/>
      </c>
      <c r="F266">
        <f>IF(Klantgegevens_B!G265&lt;&gt;"", LEN(Klantgegevens_B!G265)-LEN(SUBSTITUTE(Klantgegevens_B!G265, ",", ""))+1, Klantgegevens_A!G265)</f>
        <v/>
      </c>
      <c r="G266">
        <f>IF(Klantgegevens_B!G265&lt;&gt;"", 0, Klantgegevens_A!H265)</f>
        <v/>
      </c>
      <c r="H266">
        <f>IF(Klantgegevens_B!H265&lt;&gt;"", Klantgegevens_B!H265, Klantgegevens_A!I265)</f>
        <v/>
      </c>
      <c r="I266">
        <f>IF(Klantgegevens_B!I265&lt;&gt;"", Klantgegevens_B!I265, SWITCH(Klantgegevens_A!J265, "Zelden", 1, "Af en toe", 4, "Regelmatig", 8, "Vaak", 12))</f>
        <v/>
      </c>
      <c r="J266">
        <f>IF(Klantgegevens_B!J265&lt;&gt;"", Klantgegevens_B!J265, Klantgegevens_A!K265)</f>
        <v/>
      </c>
      <c r="K266">
        <f>IF(Klantgegevens_B!K265&lt;&gt;"", AVERAGE(--(Klantgegevens_B!K265="ja"), --(Klantgegevens_B!L265="ja"), --(Klantgegevens_B!M265="ja"), --(Klantgegevens_B!N265="ja"), --(Klantgegevens_B!O265="ja"))*10, Klantgegevens_A!L265)</f>
        <v/>
      </c>
      <c r="L266">
        <f>IF(Klantgegevens_B!K265&lt;&gt;"", Klantgegevens_B!K265, IF(Klantgegevens_A!L265&gt;=7, "ja", "nee"))</f>
        <v/>
      </c>
      <c r="M266">
        <f>IF(Klantgegevens_B!L265&lt;&gt;"", Klantgegevens_B!L265, IF(Klantgegevens_A!L265&gt;=7, "ja", "nee"))</f>
        <v/>
      </c>
      <c r="N266">
        <f>IF(Klantgegevens_B!M265&lt;&gt;"", Klantgegevens_B!M265, IF(Klantgegevens_A!L265&gt;=7, "ja", "nee"))</f>
        <v/>
      </c>
      <c r="O266">
        <f>IF(Klantgegevens_B!N265&lt;&gt;"", Klantgegevens_B!N265, IF(Klantgegevens_A!L265&gt;=7, "ja", "nee"))</f>
        <v/>
      </c>
      <c r="P266">
        <f>IF(Klantgegevens_B!O265&lt;&gt;"", Klantgegevens_B!O265, IF(Klantgegevens_A!L265&gt;=7, "ja", "nee"))</f>
        <v/>
      </c>
      <c r="Q266">
        <f>IF(Klantgegevens_B!P265&lt;&gt;"", Klantgegevens_B!P265, Klantgegevens_A!M265)</f>
        <v/>
      </c>
      <c r="R266">
        <f>IF(Klantgegevens_B!A265&lt;&gt;"", "B", "A")</f>
        <v/>
      </c>
    </row>
    <row r="267">
      <c r="A267">
        <f>IF(Klantgegevens_B!A266&lt;&gt;"", Klantgegevens_B!A266, MID(Klantgegevens_A!A266, FIND(",", Klantgegevens_A!A266)+2, LEN(Klantgegevens_A!A266)))</f>
        <v/>
      </c>
      <c r="B267">
        <f>IF(Klantgegevens_B!B266&lt;&gt;"", Klantgegevens_B!B266, LEFT(Klantgegevens_A!A266, FIND(",", Klantgegevens_A!A266)-1))</f>
        <v/>
      </c>
      <c r="C267">
        <f>C266 &amp; ", " &amp; B266</f>
        <v/>
      </c>
      <c r="D267">
        <f>IF(Klantgegevens_B!F266&lt;&gt;"", Klantgegevens_B!F266, Klantgegevens_A!D266 &amp; " " &amp; Klantgegevens_A!E266 &amp; ", " &amp; Klantgegevens_A!F266)</f>
        <v/>
      </c>
      <c r="E267">
        <f>IF(Klantgegevens_B!G266&lt;&gt;"", Klantgegevens_B!G266, TEXTJOIN(",", TRUE, REPT("Volwassene,", Klantgegevens_A!G266), REPT("Kind,", Klantgegevens_A!H266)))</f>
        <v/>
      </c>
      <c r="F267">
        <f>IF(Klantgegevens_B!G266&lt;&gt;"", LEN(Klantgegevens_B!G266)-LEN(SUBSTITUTE(Klantgegevens_B!G266, ",", ""))+1, Klantgegevens_A!G266)</f>
        <v/>
      </c>
      <c r="G267">
        <f>IF(Klantgegevens_B!G266&lt;&gt;"", 0, Klantgegevens_A!H266)</f>
        <v/>
      </c>
      <c r="H267">
        <f>IF(Klantgegevens_B!H266&lt;&gt;"", Klantgegevens_B!H266, Klantgegevens_A!I266)</f>
        <v/>
      </c>
      <c r="I267">
        <f>IF(Klantgegevens_B!I266&lt;&gt;"", Klantgegevens_B!I266, SWITCH(Klantgegevens_A!J266, "Zelden", 1, "Af en toe", 4, "Regelmatig", 8, "Vaak", 12))</f>
        <v/>
      </c>
      <c r="J267">
        <f>IF(Klantgegevens_B!J266&lt;&gt;"", Klantgegevens_B!J266, Klantgegevens_A!K266)</f>
        <v/>
      </c>
      <c r="K267">
        <f>IF(Klantgegevens_B!K266&lt;&gt;"", AVERAGE(--(Klantgegevens_B!K266="ja"), --(Klantgegevens_B!L266="ja"), --(Klantgegevens_B!M266="ja"), --(Klantgegevens_B!N266="ja"), --(Klantgegevens_B!O266="ja"))*10, Klantgegevens_A!L266)</f>
        <v/>
      </c>
      <c r="L267">
        <f>IF(Klantgegevens_B!K266&lt;&gt;"", Klantgegevens_B!K266, IF(Klantgegevens_A!L266&gt;=7, "ja", "nee"))</f>
        <v/>
      </c>
      <c r="M267">
        <f>IF(Klantgegevens_B!L266&lt;&gt;"", Klantgegevens_B!L266, IF(Klantgegevens_A!L266&gt;=7, "ja", "nee"))</f>
        <v/>
      </c>
      <c r="N267">
        <f>IF(Klantgegevens_B!M266&lt;&gt;"", Klantgegevens_B!M266, IF(Klantgegevens_A!L266&gt;=7, "ja", "nee"))</f>
        <v/>
      </c>
      <c r="O267">
        <f>IF(Klantgegevens_B!N266&lt;&gt;"", Klantgegevens_B!N266, IF(Klantgegevens_A!L266&gt;=7, "ja", "nee"))</f>
        <v/>
      </c>
      <c r="P267">
        <f>IF(Klantgegevens_B!O266&lt;&gt;"", Klantgegevens_B!O266, IF(Klantgegevens_A!L266&gt;=7, "ja", "nee"))</f>
        <v/>
      </c>
      <c r="Q267">
        <f>IF(Klantgegevens_B!P266&lt;&gt;"", Klantgegevens_B!P266, Klantgegevens_A!M266)</f>
        <v/>
      </c>
      <c r="R267">
        <f>IF(Klantgegevens_B!A266&lt;&gt;"", "B", "A")</f>
        <v/>
      </c>
    </row>
    <row r="268">
      <c r="A268">
        <f>IF(Klantgegevens_B!A267&lt;&gt;"", Klantgegevens_B!A267, MID(Klantgegevens_A!A267, FIND(",", Klantgegevens_A!A267)+2, LEN(Klantgegevens_A!A267)))</f>
        <v/>
      </c>
      <c r="B268">
        <f>IF(Klantgegevens_B!B267&lt;&gt;"", Klantgegevens_B!B267, LEFT(Klantgegevens_A!A267, FIND(",", Klantgegevens_A!A267)-1))</f>
        <v/>
      </c>
      <c r="C268">
        <f>C267 &amp; ", " &amp; B267</f>
        <v/>
      </c>
      <c r="D268">
        <f>IF(Klantgegevens_B!F267&lt;&gt;"", Klantgegevens_B!F267, Klantgegevens_A!D267 &amp; " " &amp; Klantgegevens_A!E267 &amp; ", " &amp; Klantgegevens_A!F267)</f>
        <v/>
      </c>
      <c r="E268">
        <f>IF(Klantgegevens_B!G267&lt;&gt;"", Klantgegevens_B!G267, TEXTJOIN(",", TRUE, REPT("Volwassene,", Klantgegevens_A!G267), REPT("Kind,", Klantgegevens_A!H267)))</f>
        <v/>
      </c>
      <c r="F268">
        <f>IF(Klantgegevens_B!G267&lt;&gt;"", LEN(Klantgegevens_B!G267)-LEN(SUBSTITUTE(Klantgegevens_B!G267, ",", ""))+1, Klantgegevens_A!G267)</f>
        <v/>
      </c>
      <c r="G268">
        <f>IF(Klantgegevens_B!G267&lt;&gt;"", 0, Klantgegevens_A!H267)</f>
        <v/>
      </c>
      <c r="H268">
        <f>IF(Klantgegevens_B!H267&lt;&gt;"", Klantgegevens_B!H267, Klantgegevens_A!I267)</f>
        <v/>
      </c>
      <c r="I268">
        <f>IF(Klantgegevens_B!I267&lt;&gt;"", Klantgegevens_B!I267, SWITCH(Klantgegevens_A!J267, "Zelden", 1, "Af en toe", 4, "Regelmatig", 8, "Vaak", 12))</f>
        <v/>
      </c>
      <c r="J268">
        <f>IF(Klantgegevens_B!J267&lt;&gt;"", Klantgegevens_B!J267, Klantgegevens_A!K267)</f>
        <v/>
      </c>
      <c r="K268">
        <f>IF(Klantgegevens_B!K267&lt;&gt;"", AVERAGE(--(Klantgegevens_B!K267="ja"), --(Klantgegevens_B!L267="ja"), --(Klantgegevens_B!M267="ja"), --(Klantgegevens_B!N267="ja"), --(Klantgegevens_B!O267="ja"))*10, Klantgegevens_A!L267)</f>
        <v/>
      </c>
      <c r="L268">
        <f>IF(Klantgegevens_B!K267&lt;&gt;"", Klantgegevens_B!K267, IF(Klantgegevens_A!L267&gt;=7, "ja", "nee"))</f>
        <v/>
      </c>
      <c r="M268">
        <f>IF(Klantgegevens_B!L267&lt;&gt;"", Klantgegevens_B!L267, IF(Klantgegevens_A!L267&gt;=7, "ja", "nee"))</f>
        <v/>
      </c>
      <c r="N268">
        <f>IF(Klantgegevens_B!M267&lt;&gt;"", Klantgegevens_B!M267, IF(Klantgegevens_A!L267&gt;=7, "ja", "nee"))</f>
        <v/>
      </c>
      <c r="O268">
        <f>IF(Klantgegevens_B!N267&lt;&gt;"", Klantgegevens_B!N267, IF(Klantgegevens_A!L267&gt;=7, "ja", "nee"))</f>
        <v/>
      </c>
      <c r="P268">
        <f>IF(Klantgegevens_B!O267&lt;&gt;"", Klantgegevens_B!O267, IF(Klantgegevens_A!L267&gt;=7, "ja", "nee"))</f>
        <v/>
      </c>
      <c r="Q268">
        <f>IF(Klantgegevens_B!P267&lt;&gt;"", Klantgegevens_B!P267, Klantgegevens_A!M267)</f>
        <v/>
      </c>
      <c r="R268">
        <f>IF(Klantgegevens_B!A267&lt;&gt;"", "B", "A")</f>
        <v/>
      </c>
    </row>
    <row r="269">
      <c r="A269">
        <f>IF(Klantgegevens_B!A268&lt;&gt;"", Klantgegevens_B!A268, MID(Klantgegevens_A!A268, FIND(",", Klantgegevens_A!A268)+2, LEN(Klantgegevens_A!A268)))</f>
        <v/>
      </c>
      <c r="B269">
        <f>IF(Klantgegevens_B!B268&lt;&gt;"", Klantgegevens_B!B268, LEFT(Klantgegevens_A!A268, FIND(",", Klantgegevens_A!A268)-1))</f>
        <v/>
      </c>
      <c r="C269">
        <f>C268 &amp; ", " &amp; B268</f>
        <v/>
      </c>
      <c r="D269">
        <f>IF(Klantgegevens_B!F268&lt;&gt;"", Klantgegevens_B!F268, Klantgegevens_A!D268 &amp; " " &amp; Klantgegevens_A!E268 &amp; ", " &amp; Klantgegevens_A!F268)</f>
        <v/>
      </c>
      <c r="E269">
        <f>IF(Klantgegevens_B!G268&lt;&gt;"", Klantgegevens_B!G268, TEXTJOIN(",", TRUE, REPT("Volwassene,", Klantgegevens_A!G268), REPT("Kind,", Klantgegevens_A!H268)))</f>
        <v/>
      </c>
      <c r="F269">
        <f>IF(Klantgegevens_B!G268&lt;&gt;"", LEN(Klantgegevens_B!G268)-LEN(SUBSTITUTE(Klantgegevens_B!G268, ",", ""))+1, Klantgegevens_A!G268)</f>
        <v/>
      </c>
      <c r="G269">
        <f>IF(Klantgegevens_B!G268&lt;&gt;"", 0, Klantgegevens_A!H268)</f>
        <v/>
      </c>
      <c r="H269">
        <f>IF(Klantgegevens_B!H268&lt;&gt;"", Klantgegevens_B!H268, Klantgegevens_A!I268)</f>
        <v/>
      </c>
      <c r="I269">
        <f>IF(Klantgegevens_B!I268&lt;&gt;"", Klantgegevens_B!I268, SWITCH(Klantgegevens_A!J268, "Zelden", 1, "Af en toe", 4, "Regelmatig", 8, "Vaak", 12))</f>
        <v/>
      </c>
      <c r="J269">
        <f>IF(Klantgegevens_B!J268&lt;&gt;"", Klantgegevens_B!J268, Klantgegevens_A!K268)</f>
        <v/>
      </c>
      <c r="K269">
        <f>IF(Klantgegevens_B!K268&lt;&gt;"", AVERAGE(--(Klantgegevens_B!K268="ja"), --(Klantgegevens_B!L268="ja"), --(Klantgegevens_B!M268="ja"), --(Klantgegevens_B!N268="ja"), --(Klantgegevens_B!O268="ja"))*10, Klantgegevens_A!L268)</f>
        <v/>
      </c>
      <c r="L269">
        <f>IF(Klantgegevens_B!K268&lt;&gt;"", Klantgegevens_B!K268, IF(Klantgegevens_A!L268&gt;=7, "ja", "nee"))</f>
        <v/>
      </c>
      <c r="M269">
        <f>IF(Klantgegevens_B!L268&lt;&gt;"", Klantgegevens_B!L268, IF(Klantgegevens_A!L268&gt;=7, "ja", "nee"))</f>
        <v/>
      </c>
      <c r="N269">
        <f>IF(Klantgegevens_B!M268&lt;&gt;"", Klantgegevens_B!M268, IF(Klantgegevens_A!L268&gt;=7, "ja", "nee"))</f>
        <v/>
      </c>
      <c r="O269">
        <f>IF(Klantgegevens_B!N268&lt;&gt;"", Klantgegevens_B!N268, IF(Klantgegevens_A!L268&gt;=7, "ja", "nee"))</f>
        <v/>
      </c>
      <c r="P269">
        <f>IF(Klantgegevens_B!O268&lt;&gt;"", Klantgegevens_B!O268, IF(Klantgegevens_A!L268&gt;=7, "ja", "nee"))</f>
        <v/>
      </c>
      <c r="Q269">
        <f>IF(Klantgegevens_B!P268&lt;&gt;"", Klantgegevens_B!P268, Klantgegevens_A!M268)</f>
        <v/>
      </c>
      <c r="R269">
        <f>IF(Klantgegevens_B!A268&lt;&gt;"", "B", "A")</f>
        <v/>
      </c>
    </row>
    <row r="270">
      <c r="A270">
        <f>IF(Klantgegevens_B!A269&lt;&gt;"", Klantgegevens_B!A269, MID(Klantgegevens_A!A269, FIND(",", Klantgegevens_A!A269)+2, LEN(Klantgegevens_A!A269)))</f>
        <v/>
      </c>
      <c r="B270">
        <f>IF(Klantgegevens_B!B269&lt;&gt;"", Klantgegevens_B!B269, LEFT(Klantgegevens_A!A269, FIND(",", Klantgegevens_A!A269)-1))</f>
        <v/>
      </c>
      <c r="C270">
        <f>C269 &amp; ", " &amp; B269</f>
        <v/>
      </c>
      <c r="D270">
        <f>IF(Klantgegevens_B!F269&lt;&gt;"", Klantgegevens_B!F269, Klantgegevens_A!D269 &amp; " " &amp; Klantgegevens_A!E269 &amp; ", " &amp; Klantgegevens_A!F269)</f>
        <v/>
      </c>
      <c r="E270">
        <f>IF(Klantgegevens_B!G269&lt;&gt;"", Klantgegevens_B!G269, TEXTJOIN(",", TRUE, REPT("Volwassene,", Klantgegevens_A!G269), REPT("Kind,", Klantgegevens_A!H269)))</f>
        <v/>
      </c>
      <c r="F270">
        <f>IF(Klantgegevens_B!G269&lt;&gt;"", LEN(Klantgegevens_B!G269)-LEN(SUBSTITUTE(Klantgegevens_B!G269, ",", ""))+1, Klantgegevens_A!G269)</f>
        <v/>
      </c>
      <c r="G270">
        <f>IF(Klantgegevens_B!G269&lt;&gt;"", 0, Klantgegevens_A!H269)</f>
        <v/>
      </c>
      <c r="H270">
        <f>IF(Klantgegevens_B!H269&lt;&gt;"", Klantgegevens_B!H269, Klantgegevens_A!I269)</f>
        <v/>
      </c>
      <c r="I270">
        <f>IF(Klantgegevens_B!I269&lt;&gt;"", Klantgegevens_B!I269, SWITCH(Klantgegevens_A!J269, "Zelden", 1, "Af en toe", 4, "Regelmatig", 8, "Vaak", 12))</f>
        <v/>
      </c>
      <c r="J270">
        <f>IF(Klantgegevens_B!J269&lt;&gt;"", Klantgegevens_B!J269, Klantgegevens_A!K269)</f>
        <v/>
      </c>
      <c r="K270">
        <f>IF(Klantgegevens_B!K269&lt;&gt;"", AVERAGE(--(Klantgegevens_B!K269="ja"), --(Klantgegevens_B!L269="ja"), --(Klantgegevens_B!M269="ja"), --(Klantgegevens_B!N269="ja"), --(Klantgegevens_B!O269="ja"))*10, Klantgegevens_A!L269)</f>
        <v/>
      </c>
      <c r="L270">
        <f>IF(Klantgegevens_B!K269&lt;&gt;"", Klantgegevens_B!K269, IF(Klantgegevens_A!L269&gt;=7, "ja", "nee"))</f>
        <v/>
      </c>
      <c r="M270">
        <f>IF(Klantgegevens_B!L269&lt;&gt;"", Klantgegevens_B!L269, IF(Klantgegevens_A!L269&gt;=7, "ja", "nee"))</f>
        <v/>
      </c>
      <c r="N270">
        <f>IF(Klantgegevens_B!M269&lt;&gt;"", Klantgegevens_B!M269, IF(Klantgegevens_A!L269&gt;=7, "ja", "nee"))</f>
        <v/>
      </c>
      <c r="O270">
        <f>IF(Klantgegevens_B!N269&lt;&gt;"", Klantgegevens_B!N269, IF(Klantgegevens_A!L269&gt;=7, "ja", "nee"))</f>
        <v/>
      </c>
      <c r="P270">
        <f>IF(Klantgegevens_B!O269&lt;&gt;"", Klantgegevens_B!O269, IF(Klantgegevens_A!L269&gt;=7, "ja", "nee"))</f>
        <v/>
      </c>
      <c r="Q270">
        <f>IF(Klantgegevens_B!P269&lt;&gt;"", Klantgegevens_B!P269, Klantgegevens_A!M269)</f>
        <v/>
      </c>
      <c r="R270">
        <f>IF(Klantgegevens_B!A269&lt;&gt;"", "B", "A")</f>
        <v/>
      </c>
    </row>
    <row r="271">
      <c r="A271">
        <f>IF(Klantgegevens_B!A270&lt;&gt;"", Klantgegevens_B!A270, MID(Klantgegevens_A!A270, FIND(",", Klantgegevens_A!A270)+2, LEN(Klantgegevens_A!A270)))</f>
        <v/>
      </c>
      <c r="B271">
        <f>IF(Klantgegevens_B!B270&lt;&gt;"", Klantgegevens_B!B270, LEFT(Klantgegevens_A!A270, FIND(",", Klantgegevens_A!A270)-1))</f>
        <v/>
      </c>
      <c r="C271">
        <f>C270 &amp; ", " &amp; B270</f>
        <v/>
      </c>
      <c r="D271">
        <f>IF(Klantgegevens_B!F270&lt;&gt;"", Klantgegevens_B!F270, Klantgegevens_A!D270 &amp; " " &amp; Klantgegevens_A!E270 &amp; ", " &amp; Klantgegevens_A!F270)</f>
        <v/>
      </c>
      <c r="E271">
        <f>IF(Klantgegevens_B!G270&lt;&gt;"", Klantgegevens_B!G270, TEXTJOIN(",", TRUE, REPT("Volwassene,", Klantgegevens_A!G270), REPT("Kind,", Klantgegevens_A!H270)))</f>
        <v/>
      </c>
      <c r="F271">
        <f>IF(Klantgegevens_B!G270&lt;&gt;"", LEN(Klantgegevens_B!G270)-LEN(SUBSTITUTE(Klantgegevens_B!G270, ",", ""))+1, Klantgegevens_A!G270)</f>
        <v/>
      </c>
      <c r="G271">
        <f>IF(Klantgegevens_B!G270&lt;&gt;"", 0, Klantgegevens_A!H270)</f>
        <v/>
      </c>
      <c r="H271">
        <f>IF(Klantgegevens_B!H270&lt;&gt;"", Klantgegevens_B!H270, Klantgegevens_A!I270)</f>
        <v/>
      </c>
      <c r="I271">
        <f>IF(Klantgegevens_B!I270&lt;&gt;"", Klantgegevens_B!I270, SWITCH(Klantgegevens_A!J270, "Zelden", 1, "Af en toe", 4, "Regelmatig", 8, "Vaak", 12))</f>
        <v/>
      </c>
      <c r="J271">
        <f>IF(Klantgegevens_B!J270&lt;&gt;"", Klantgegevens_B!J270, Klantgegevens_A!K270)</f>
        <v/>
      </c>
      <c r="K271">
        <f>IF(Klantgegevens_B!K270&lt;&gt;"", AVERAGE(--(Klantgegevens_B!K270="ja"), --(Klantgegevens_B!L270="ja"), --(Klantgegevens_B!M270="ja"), --(Klantgegevens_B!N270="ja"), --(Klantgegevens_B!O270="ja"))*10, Klantgegevens_A!L270)</f>
        <v/>
      </c>
      <c r="L271">
        <f>IF(Klantgegevens_B!K270&lt;&gt;"", Klantgegevens_B!K270, IF(Klantgegevens_A!L270&gt;=7, "ja", "nee"))</f>
        <v/>
      </c>
      <c r="M271">
        <f>IF(Klantgegevens_B!L270&lt;&gt;"", Klantgegevens_B!L270, IF(Klantgegevens_A!L270&gt;=7, "ja", "nee"))</f>
        <v/>
      </c>
      <c r="N271">
        <f>IF(Klantgegevens_B!M270&lt;&gt;"", Klantgegevens_B!M270, IF(Klantgegevens_A!L270&gt;=7, "ja", "nee"))</f>
        <v/>
      </c>
      <c r="O271">
        <f>IF(Klantgegevens_B!N270&lt;&gt;"", Klantgegevens_B!N270, IF(Klantgegevens_A!L270&gt;=7, "ja", "nee"))</f>
        <v/>
      </c>
      <c r="P271">
        <f>IF(Klantgegevens_B!O270&lt;&gt;"", Klantgegevens_B!O270, IF(Klantgegevens_A!L270&gt;=7, "ja", "nee"))</f>
        <v/>
      </c>
      <c r="Q271">
        <f>IF(Klantgegevens_B!P270&lt;&gt;"", Klantgegevens_B!P270, Klantgegevens_A!M270)</f>
        <v/>
      </c>
      <c r="R271">
        <f>IF(Klantgegevens_B!A270&lt;&gt;"", "B", "A")</f>
        <v/>
      </c>
    </row>
    <row r="272">
      <c r="A272">
        <f>IF(Klantgegevens_B!A271&lt;&gt;"", Klantgegevens_B!A271, MID(Klantgegevens_A!A271, FIND(",", Klantgegevens_A!A271)+2, LEN(Klantgegevens_A!A271)))</f>
        <v/>
      </c>
      <c r="B272">
        <f>IF(Klantgegevens_B!B271&lt;&gt;"", Klantgegevens_B!B271, LEFT(Klantgegevens_A!A271, FIND(",", Klantgegevens_A!A271)-1))</f>
        <v/>
      </c>
      <c r="C272">
        <f>C271 &amp; ", " &amp; B271</f>
        <v/>
      </c>
      <c r="D272">
        <f>IF(Klantgegevens_B!F271&lt;&gt;"", Klantgegevens_B!F271, Klantgegevens_A!D271 &amp; " " &amp; Klantgegevens_A!E271 &amp; ", " &amp; Klantgegevens_A!F271)</f>
        <v/>
      </c>
      <c r="E272">
        <f>IF(Klantgegevens_B!G271&lt;&gt;"", Klantgegevens_B!G271, TEXTJOIN(",", TRUE, REPT("Volwassene,", Klantgegevens_A!G271), REPT("Kind,", Klantgegevens_A!H271)))</f>
        <v/>
      </c>
      <c r="F272">
        <f>IF(Klantgegevens_B!G271&lt;&gt;"", LEN(Klantgegevens_B!G271)-LEN(SUBSTITUTE(Klantgegevens_B!G271, ",", ""))+1, Klantgegevens_A!G271)</f>
        <v/>
      </c>
      <c r="G272">
        <f>IF(Klantgegevens_B!G271&lt;&gt;"", 0, Klantgegevens_A!H271)</f>
        <v/>
      </c>
      <c r="H272">
        <f>IF(Klantgegevens_B!H271&lt;&gt;"", Klantgegevens_B!H271, Klantgegevens_A!I271)</f>
        <v/>
      </c>
      <c r="I272">
        <f>IF(Klantgegevens_B!I271&lt;&gt;"", Klantgegevens_B!I271, SWITCH(Klantgegevens_A!J271, "Zelden", 1, "Af en toe", 4, "Regelmatig", 8, "Vaak", 12))</f>
        <v/>
      </c>
      <c r="J272">
        <f>IF(Klantgegevens_B!J271&lt;&gt;"", Klantgegevens_B!J271, Klantgegevens_A!K271)</f>
        <v/>
      </c>
      <c r="K272">
        <f>IF(Klantgegevens_B!K271&lt;&gt;"", AVERAGE(--(Klantgegevens_B!K271="ja"), --(Klantgegevens_B!L271="ja"), --(Klantgegevens_B!M271="ja"), --(Klantgegevens_B!N271="ja"), --(Klantgegevens_B!O271="ja"))*10, Klantgegevens_A!L271)</f>
        <v/>
      </c>
      <c r="L272">
        <f>IF(Klantgegevens_B!K271&lt;&gt;"", Klantgegevens_B!K271, IF(Klantgegevens_A!L271&gt;=7, "ja", "nee"))</f>
        <v/>
      </c>
      <c r="M272">
        <f>IF(Klantgegevens_B!L271&lt;&gt;"", Klantgegevens_B!L271, IF(Klantgegevens_A!L271&gt;=7, "ja", "nee"))</f>
        <v/>
      </c>
      <c r="N272">
        <f>IF(Klantgegevens_B!M271&lt;&gt;"", Klantgegevens_B!M271, IF(Klantgegevens_A!L271&gt;=7, "ja", "nee"))</f>
        <v/>
      </c>
      <c r="O272">
        <f>IF(Klantgegevens_B!N271&lt;&gt;"", Klantgegevens_B!N271, IF(Klantgegevens_A!L271&gt;=7, "ja", "nee"))</f>
        <v/>
      </c>
      <c r="P272">
        <f>IF(Klantgegevens_B!O271&lt;&gt;"", Klantgegevens_B!O271, IF(Klantgegevens_A!L271&gt;=7, "ja", "nee"))</f>
        <v/>
      </c>
      <c r="Q272">
        <f>IF(Klantgegevens_B!P271&lt;&gt;"", Klantgegevens_B!P271, Klantgegevens_A!M271)</f>
        <v/>
      </c>
      <c r="R272">
        <f>IF(Klantgegevens_B!A271&lt;&gt;"", "B", "A")</f>
        <v/>
      </c>
    </row>
    <row r="273">
      <c r="A273">
        <f>IF(Klantgegevens_B!A272&lt;&gt;"", Klantgegevens_B!A272, MID(Klantgegevens_A!A272, FIND(",", Klantgegevens_A!A272)+2, LEN(Klantgegevens_A!A272)))</f>
        <v/>
      </c>
      <c r="B273">
        <f>IF(Klantgegevens_B!B272&lt;&gt;"", Klantgegevens_B!B272, LEFT(Klantgegevens_A!A272, FIND(",", Klantgegevens_A!A272)-1))</f>
        <v/>
      </c>
      <c r="C273">
        <f>C272 &amp; ", " &amp; B272</f>
        <v/>
      </c>
      <c r="D273">
        <f>IF(Klantgegevens_B!F272&lt;&gt;"", Klantgegevens_B!F272, Klantgegevens_A!D272 &amp; " " &amp; Klantgegevens_A!E272 &amp; ", " &amp; Klantgegevens_A!F272)</f>
        <v/>
      </c>
      <c r="E273">
        <f>IF(Klantgegevens_B!G272&lt;&gt;"", Klantgegevens_B!G272, TEXTJOIN(",", TRUE, REPT("Volwassene,", Klantgegevens_A!G272), REPT("Kind,", Klantgegevens_A!H272)))</f>
        <v/>
      </c>
      <c r="F273">
        <f>IF(Klantgegevens_B!G272&lt;&gt;"", LEN(Klantgegevens_B!G272)-LEN(SUBSTITUTE(Klantgegevens_B!G272, ",", ""))+1, Klantgegevens_A!G272)</f>
        <v/>
      </c>
      <c r="G273">
        <f>IF(Klantgegevens_B!G272&lt;&gt;"", 0, Klantgegevens_A!H272)</f>
        <v/>
      </c>
      <c r="H273">
        <f>IF(Klantgegevens_B!H272&lt;&gt;"", Klantgegevens_B!H272, Klantgegevens_A!I272)</f>
        <v/>
      </c>
      <c r="I273">
        <f>IF(Klantgegevens_B!I272&lt;&gt;"", Klantgegevens_B!I272, SWITCH(Klantgegevens_A!J272, "Zelden", 1, "Af en toe", 4, "Regelmatig", 8, "Vaak", 12))</f>
        <v/>
      </c>
      <c r="J273">
        <f>IF(Klantgegevens_B!J272&lt;&gt;"", Klantgegevens_B!J272, Klantgegevens_A!K272)</f>
        <v/>
      </c>
      <c r="K273">
        <f>IF(Klantgegevens_B!K272&lt;&gt;"", AVERAGE(--(Klantgegevens_B!K272="ja"), --(Klantgegevens_B!L272="ja"), --(Klantgegevens_B!M272="ja"), --(Klantgegevens_B!N272="ja"), --(Klantgegevens_B!O272="ja"))*10, Klantgegevens_A!L272)</f>
        <v/>
      </c>
      <c r="L273">
        <f>IF(Klantgegevens_B!K272&lt;&gt;"", Klantgegevens_B!K272, IF(Klantgegevens_A!L272&gt;=7, "ja", "nee"))</f>
        <v/>
      </c>
      <c r="M273">
        <f>IF(Klantgegevens_B!L272&lt;&gt;"", Klantgegevens_B!L272, IF(Klantgegevens_A!L272&gt;=7, "ja", "nee"))</f>
        <v/>
      </c>
      <c r="N273">
        <f>IF(Klantgegevens_B!M272&lt;&gt;"", Klantgegevens_B!M272, IF(Klantgegevens_A!L272&gt;=7, "ja", "nee"))</f>
        <v/>
      </c>
      <c r="O273">
        <f>IF(Klantgegevens_B!N272&lt;&gt;"", Klantgegevens_B!N272, IF(Klantgegevens_A!L272&gt;=7, "ja", "nee"))</f>
        <v/>
      </c>
      <c r="P273">
        <f>IF(Klantgegevens_B!O272&lt;&gt;"", Klantgegevens_B!O272, IF(Klantgegevens_A!L272&gt;=7, "ja", "nee"))</f>
        <v/>
      </c>
      <c r="Q273">
        <f>IF(Klantgegevens_B!P272&lt;&gt;"", Klantgegevens_B!P272, Klantgegevens_A!M272)</f>
        <v/>
      </c>
      <c r="R273">
        <f>IF(Klantgegevens_B!A272&lt;&gt;"", "B", "A")</f>
        <v/>
      </c>
    </row>
    <row r="274">
      <c r="A274">
        <f>IF(Klantgegevens_B!A273&lt;&gt;"", Klantgegevens_B!A273, MID(Klantgegevens_A!A273, FIND(",", Klantgegevens_A!A273)+2, LEN(Klantgegevens_A!A273)))</f>
        <v/>
      </c>
      <c r="B274">
        <f>IF(Klantgegevens_B!B273&lt;&gt;"", Klantgegevens_B!B273, LEFT(Klantgegevens_A!A273, FIND(",", Klantgegevens_A!A273)-1))</f>
        <v/>
      </c>
      <c r="C274">
        <f>C273 &amp; ", " &amp; B273</f>
        <v/>
      </c>
      <c r="D274">
        <f>IF(Klantgegevens_B!F273&lt;&gt;"", Klantgegevens_B!F273, Klantgegevens_A!D273 &amp; " " &amp; Klantgegevens_A!E273 &amp; ", " &amp; Klantgegevens_A!F273)</f>
        <v/>
      </c>
      <c r="E274">
        <f>IF(Klantgegevens_B!G273&lt;&gt;"", Klantgegevens_B!G273, TEXTJOIN(",", TRUE, REPT("Volwassene,", Klantgegevens_A!G273), REPT("Kind,", Klantgegevens_A!H273)))</f>
        <v/>
      </c>
      <c r="F274">
        <f>IF(Klantgegevens_B!G273&lt;&gt;"", LEN(Klantgegevens_B!G273)-LEN(SUBSTITUTE(Klantgegevens_B!G273, ",", ""))+1, Klantgegevens_A!G273)</f>
        <v/>
      </c>
      <c r="G274">
        <f>IF(Klantgegevens_B!G273&lt;&gt;"", 0, Klantgegevens_A!H273)</f>
        <v/>
      </c>
      <c r="H274">
        <f>IF(Klantgegevens_B!H273&lt;&gt;"", Klantgegevens_B!H273, Klantgegevens_A!I273)</f>
        <v/>
      </c>
      <c r="I274">
        <f>IF(Klantgegevens_B!I273&lt;&gt;"", Klantgegevens_B!I273, SWITCH(Klantgegevens_A!J273, "Zelden", 1, "Af en toe", 4, "Regelmatig", 8, "Vaak", 12))</f>
        <v/>
      </c>
      <c r="J274">
        <f>IF(Klantgegevens_B!J273&lt;&gt;"", Klantgegevens_B!J273, Klantgegevens_A!K273)</f>
        <v/>
      </c>
      <c r="K274">
        <f>IF(Klantgegevens_B!K273&lt;&gt;"", AVERAGE(--(Klantgegevens_B!K273="ja"), --(Klantgegevens_B!L273="ja"), --(Klantgegevens_B!M273="ja"), --(Klantgegevens_B!N273="ja"), --(Klantgegevens_B!O273="ja"))*10, Klantgegevens_A!L273)</f>
        <v/>
      </c>
      <c r="L274">
        <f>IF(Klantgegevens_B!K273&lt;&gt;"", Klantgegevens_B!K273, IF(Klantgegevens_A!L273&gt;=7, "ja", "nee"))</f>
        <v/>
      </c>
      <c r="M274">
        <f>IF(Klantgegevens_B!L273&lt;&gt;"", Klantgegevens_B!L273, IF(Klantgegevens_A!L273&gt;=7, "ja", "nee"))</f>
        <v/>
      </c>
      <c r="N274">
        <f>IF(Klantgegevens_B!M273&lt;&gt;"", Klantgegevens_B!M273, IF(Klantgegevens_A!L273&gt;=7, "ja", "nee"))</f>
        <v/>
      </c>
      <c r="O274">
        <f>IF(Klantgegevens_B!N273&lt;&gt;"", Klantgegevens_B!N273, IF(Klantgegevens_A!L273&gt;=7, "ja", "nee"))</f>
        <v/>
      </c>
      <c r="P274">
        <f>IF(Klantgegevens_B!O273&lt;&gt;"", Klantgegevens_B!O273, IF(Klantgegevens_A!L273&gt;=7, "ja", "nee"))</f>
        <v/>
      </c>
      <c r="Q274">
        <f>IF(Klantgegevens_B!P273&lt;&gt;"", Klantgegevens_B!P273, Klantgegevens_A!M273)</f>
        <v/>
      </c>
      <c r="R274">
        <f>IF(Klantgegevens_B!A273&lt;&gt;"", "B", "A")</f>
        <v/>
      </c>
    </row>
    <row r="275">
      <c r="A275">
        <f>IF(Klantgegevens_B!A274&lt;&gt;"", Klantgegevens_B!A274, MID(Klantgegevens_A!A274, FIND(",", Klantgegevens_A!A274)+2, LEN(Klantgegevens_A!A274)))</f>
        <v/>
      </c>
      <c r="B275">
        <f>IF(Klantgegevens_B!B274&lt;&gt;"", Klantgegevens_B!B274, LEFT(Klantgegevens_A!A274, FIND(",", Klantgegevens_A!A274)-1))</f>
        <v/>
      </c>
      <c r="C275">
        <f>C274 &amp; ", " &amp; B274</f>
        <v/>
      </c>
      <c r="D275">
        <f>IF(Klantgegevens_B!F274&lt;&gt;"", Klantgegevens_B!F274, Klantgegevens_A!D274 &amp; " " &amp; Klantgegevens_A!E274 &amp; ", " &amp; Klantgegevens_A!F274)</f>
        <v/>
      </c>
      <c r="E275">
        <f>IF(Klantgegevens_B!G274&lt;&gt;"", Klantgegevens_B!G274, TEXTJOIN(",", TRUE, REPT("Volwassene,", Klantgegevens_A!G274), REPT("Kind,", Klantgegevens_A!H274)))</f>
        <v/>
      </c>
      <c r="F275">
        <f>IF(Klantgegevens_B!G274&lt;&gt;"", LEN(Klantgegevens_B!G274)-LEN(SUBSTITUTE(Klantgegevens_B!G274, ",", ""))+1, Klantgegevens_A!G274)</f>
        <v/>
      </c>
      <c r="G275">
        <f>IF(Klantgegevens_B!G274&lt;&gt;"", 0, Klantgegevens_A!H274)</f>
        <v/>
      </c>
      <c r="H275">
        <f>IF(Klantgegevens_B!H274&lt;&gt;"", Klantgegevens_B!H274, Klantgegevens_A!I274)</f>
        <v/>
      </c>
      <c r="I275">
        <f>IF(Klantgegevens_B!I274&lt;&gt;"", Klantgegevens_B!I274, SWITCH(Klantgegevens_A!J274, "Zelden", 1, "Af en toe", 4, "Regelmatig", 8, "Vaak", 12))</f>
        <v/>
      </c>
      <c r="J275">
        <f>IF(Klantgegevens_B!J274&lt;&gt;"", Klantgegevens_B!J274, Klantgegevens_A!K274)</f>
        <v/>
      </c>
      <c r="K275">
        <f>IF(Klantgegevens_B!K274&lt;&gt;"", AVERAGE(--(Klantgegevens_B!K274="ja"), --(Klantgegevens_B!L274="ja"), --(Klantgegevens_B!M274="ja"), --(Klantgegevens_B!N274="ja"), --(Klantgegevens_B!O274="ja"))*10, Klantgegevens_A!L274)</f>
        <v/>
      </c>
      <c r="L275">
        <f>IF(Klantgegevens_B!K274&lt;&gt;"", Klantgegevens_B!K274, IF(Klantgegevens_A!L274&gt;=7, "ja", "nee"))</f>
        <v/>
      </c>
      <c r="M275">
        <f>IF(Klantgegevens_B!L274&lt;&gt;"", Klantgegevens_B!L274, IF(Klantgegevens_A!L274&gt;=7, "ja", "nee"))</f>
        <v/>
      </c>
      <c r="N275">
        <f>IF(Klantgegevens_B!M274&lt;&gt;"", Klantgegevens_B!M274, IF(Klantgegevens_A!L274&gt;=7, "ja", "nee"))</f>
        <v/>
      </c>
      <c r="O275">
        <f>IF(Klantgegevens_B!N274&lt;&gt;"", Klantgegevens_B!N274, IF(Klantgegevens_A!L274&gt;=7, "ja", "nee"))</f>
        <v/>
      </c>
      <c r="P275">
        <f>IF(Klantgegevens_B!O274&lt;&gt;"", Klantgegevens_B!O274, IF(Klantgegevens_A!L274&gt;=7, "ja", "nee"))</f>
        <v/>
      </c>
      <c r="Q275">
        <f>IF(Klantgegevens_B!P274&lt;&gt;"", Klantgegevens_B!P274, Klantgegevens_A!M274)</f>
        <v/>
      </c>
      <c r="R275">
        <f>IF(Klantgegevens_B!A274&lt;&gt;"", "B", "A")</f>
        <v/>
      </c>
    </row>
    <row r="276">
      <c r="A276">
        <f>IF(Klantgegevens_B!A275&lt;&gt;"", Klantgegevens_B!A275, MID(Klantgegevens_A!A275, FIND(",", Klantgegevens_A!A275)+2, LEN(Klantgegevens_A!A275)))</f>
        <v/>
      </c>
      <c r="B276">
        <f>IF(Klantgegevens_B!B275&lt;&gt;"", Klantgegevens_B!B275, LEFT(Klantgegevens_A!A275, FIND(",", Klantgegevens_A!A275)-1))</f>
        <v/>
      </c>
      <c r="C276">
        <f>C275 &amp; ", " &amp; B275</f>
        <v/>
      </c>
      <c r="D276">
        <f>IF(Klantgegevens_B!F275&lt;&gt;"", Klantgegevens_B!F275, Klantgegevens_A!D275 &amp; " " &amp; Klantgegevens_A!E275 &amp; ", " &amp; Klantgegevens_A!F275)</f>
        <v/>
      </c>
      <c r="E276">
        <f>IF(Klantgegevens_B!G275&lt;&gt;"", Klantgegevens_B!G275, TEXTJOIN(",", TRUE, REPT("Volwassene,", Klantgegevens_A!G275), REPT("Kind,", Klantgegevens_A!H275)))</f>
        <v/>
      </c>
      <c r="F276">
        <f>IF(Klantgegevens_B!G275&lt;&gt;"", LEN(Klantgegevens_B!G275)-LEN(SUBSTITUTE(Klantgegevens_B!G275, ",", ""))+1, Klantgegevens_A!G275)</f>
        <v/>
      </c>
      <c r="G276">
        <f>IF(Klantgegevens_B!G275&lt;&gt;"", 0, Klantgegevens_A!H275)</f>
        <v/>
      </c>
      <c r="H276">
        <f>IF(Klantgegevens_B!H275&lt;&gt;"", Klantgegevens_B!H275, Klantgegevens_A!I275)</f>
        <v/>
      </c>
      <c r="I276">
        <f>IF(Klantgegevens_B!I275&lt;&gt;"", Klantgegevens_B!I275, SWITCH(Klantgegevens_A!J275, "Zelden", 1, "Af en toe", 4, "Regelmatig", 8, "Vaak", 12))</f>
        <v/>
      </c>
      <c r="J276">
        <f>IF(Klantgegevens_B!J275&lt;&gt;"", Klantgegevens_B!J275, Klantgegevens_A!K275)</f>
        <v/>
      </c>
      <c r="K276">
        <f>IF(Klantgegevens_B!K275&lt;&gt;"", AVERAGE(--(Klantgegevens_B!K275="ja"), --(Klantgegevens_B!L275="ja"), --(Klantgegevens_B!M275="ja"), --(Klantgegevens_B!N275="ja"), --(Klantgegevens_B!O275="ja"))*10, Klantgegevens_A!L275)</f>
        <v/>
      </c>
      <c r="L276">
        <f>IF(Klantgegevens_B!K275&lt;&gt;"", Klantgegevens_B!K275, IF(Klantgegevens_A!L275&gt;=7, "ja", "nee"))</f>
        <v/>
      </c>
      <c r="M276">
        <f>IF(Klantgegevens_B!L275&lt;&gt;"", Klantgegevens_B!L275, IF(Klantgegevens_A!L275&gt;=7, "ja", "nee"))</f>
        <v/>
      </c>
      <c r="N276">
        <f>IF(Klantgegevens_B!M275&lt;&gt;"", Klantgegevens_B!M275, IF(Klantgegevens_A!L275&gt;=7, "ja", "nee"))</f>
        <v/>
      </c>
      <c r="O276">
        <f>IF(Klantgegevens_B!N275&lt;&gt;"", Klantgegevens_B!N275, IF(Klantgegevens_A!L275&gt;=7, "ja", "nee"))</f>
        <v/>
      </c>
      <c r="P276">
        <f>IF(Klantgegevens_B!O275&lt;&gt;"", Klantgegevens_B!O275, IF(Klantgegevens_A!L275&gt;=7, "ja", "nee"))</f>
        <v/>
      </c>
      <c r="Q276">
        <f>IF(Klantgegevens_B!P275&lt;&gt;"", Klantgegevens_B!P275, Klantgegevens_A!M275)</f>
        <v/>
      </c>
      <c r="R276">
        <f>IF(Klantgegevens_B!A275&lt;&gt;"", "B", "A")</f>
        <v/>
      </c>
    </row>
    <row r="277">
      <c r="A277">
        <f>IF(Klantgegevens_B!A276&lt;&gt;"", Klantgegevens_B!A276, MID(Klantgegevens_A!A276, FIND(",", Klantgegevens_A!A276)+2, LEN(Klantgegevens_A!A276)))</f>
        <v/>
      </c>
      <c r="B277">
        <f>IF(Klantgegevens_B!B276&lt;&gt;"", Klantgegevens_B!B276, LEFT(Klantgegevens_A!A276, FIND(",", Klantgegevens_A!A276)-1))</f>
        <v/>
      </c>
      <c r="C277">
        <f>C276 &amp; ", " &amp; B276</f>
        <v/>
      </c>
      <c r="D277">
        <f>IF(Klantgegevens_B!F276&lt;&gt;"", Klantgegevens_B!F276, Klantgegevens_A!D276 &amp; " " &amp; Klantgegevens_A!E276 &amp; ", " &amp; Klantgegevens_A!F276)</f>
        <v/>
      </c>
      <c r="E277">
        <f>IF(Klantgegevens_B!G276&lt;&gt;"", Klantgegevens_B!G276, TEXTJOIN(",", TRUE, REPT("Volwassene,", Klantgegevens_A!G276), REPT("Kind,", Klantgegevens_A!H276)))</f>
        <v/>
      </c>
      <c r="F277">
        <f>IF(Klantgegevens_B!G276&lt;&gt;"", LEN(Klantgegevens_B!G276)-LEN(SUBSTITUTE(Klantgegevens_B!G276, ",", ""))+1, Klantgegevens_A!G276)</f>
        <v/>
      </c>
      <c r="G277">
        <f>IF(Klantgegevens_B!G276&lt;&gt;"", 0, Klantgegevens_A!H276)</f>
        <v/>
      </c>
      <c r="H277">
        <f>IF(Klantgegevens_B!H276&lt;&gt;"", Klantgegevens_B!H276, Klantgegevens_A!I276)</f>
        <v/>
      </c>
      <c r="I277">
        <f>IF(Klantgegevens_B!I276&lt;&gt;"", Klantgegevens_B!I276, SWITCH(Klantgegevens_A!J276, "Zelden", 1, "Af en toe", 4, "Regelmatig", 8, "Vaak", 12))</f>
        <v/>
      </c>
      <c r="J277">
        <f>IF(Klantgegevens_B!J276&lt;&gt;"", Klantgegevens_B!J276, Klantgegevens_A!K276)</f>
        <v/>
      </c>
      <c r="K277">
        <f>IF(Klantgegevens_B!K276&lt;&gt;"", AVERAGE(--(Klantgegevens_B!K276="ja"), --(Klantgegevens_B!L276="ja"), --(Klantgegevens_B!M276="ja"), --(Klantgegevens_B!N276="ja"), --(Klantgegevens_B!O276="ja"))*10, Klantgegevens_A!L276)</f>
        <v/>
      </c>
      <c r="L277">
        <f>IF(Klantgegevens_B!K276&lt;&gt;"", Klantgegevens_B!K276, IF(Klantgegevens_A!L276&gt;=7, "ja", "nee"))</f>
        <v/>
      </c>
      <c r="M277">
        <f>IF(Klantgegevens_B!L276&lt;&gt;"", Klantgegevens_B!L276, IF(Klantgegevens_A!L276&gt;=7, "ja", "nee"))</f>
        <v/>
      </c>
      <c r="N277">
        <f>IF(Klantgegevens_B!M276&lt;&gt;"", Klantgegevens_B!M276, IF(Klantgegevens_A!L276&gt;=7, "ja", "nee"))</f>
        <v/>
      </c>
      <c r="O277">
        <f>IF(Klantgegevens_B!N276&lt;&gt;"", Klantgegevens_B!N276, IF(Klantgegevens_A!L276&gt;=7, "ja", "nee"))</f>
        <v/>
      </c>
      <c r="P277">
        <f>IF(Klantgegevens_B!O276&lt;&gt;"", Klantgegevens_B!O276, IF(Klantgegevens_A!L276&gt;=7, "ja", "nee"))</f>
        <v/>
      </c>
      <c r="Q277">
        <f>IF(Klantgegevens_B!P276&lt;&gt;"", Klantgegevens_B!P276, Klantgegevens_A!M276)</f>
        <v/>
      </c>
      <c r="R277">
        <f>IF(Klantgegevens_B!A276&lt;&gt;"", "B", "A")</f>
        <v/>
      </c>
    </row>
    <row r="278">
      <c r="A278">
        <f>IF(Klantgegevens_B!A277&lt;&gt;"", Klantgegevens_B!A277, MID(Klantgegevens_A!A277, FIND(",", Klantgegevens_A!A277)+2, LEN(Klantgegevens_A!A277)))</f>
        <v/>
      </c>
      <c r="B278">
        <f>IF(Klantgegevens_B!B277&lt;&gt;"", Klantgegevens_B!B277, LEFT(Klantgegevens_A!A277, FIND(",", Klantgegevens_A!A277)-1))</f>
        <v/>
      </c>
      <c r="C278">
        <f>C277 &amp; ", " &amp; B277</f>
        <v/>
      </c>
      <c r="D278">
        <f>IF(Klantgegevens_B!F277&lt;&gt;"", Klantgegevens_B!F277, Klantgegevens_A!D277 &amp; " " &amp; Klantgegevens_A!E277 &amp; ", " &amp; Klantgegevens_A!F277)</f>
        <v/>
      </c>
      <c r="E278">
        <f>IF(Klantgegevens_B!G277&lt;&gt;"", Klantgegevens_B!G277, TEXTJOIN(",", TRUE, REPT("Volwassene,", Klantgegevens_A!G277), REPT("Kind,", Klantgegevens_A!H277)))</f>
        <v/>
      </c>
      <c r="F278">
        <f>IF(Klantgegevens_B!G277&lt;&gt;"", LEN(Klantgegevens_B!G277)-LEN(SUBSTITUTE(Klantgegevens_B!G277, ",", ""))+1, Klantgegevens_A!G277)</f>
        <v/>
      </c>
      <c r="G278">
        <f>IF(Klantgegevens_B!G277&lt;&gt;"", 0, Klantgegevens_A!H277)</f>
        <v/>
      </c>
      <c r="H278">
        <f>IF(Klantgegevens_B!H277&lt;&gt;"", Klantgegevens_B!H277, Klantgegevens_A!I277)</f>
        <v/>
      </c>
      <c r="I278">
        <f>IF(Klantgegevens_B!I277&lt;&gt;"", Klantgegevens_B!I277, SWITCH(Klantgegevens_A!J277, "Zelden", 1, "Af en toe", 4, "Regelmatig", 8, "Vaak", 12))</f>
        <v/>
      </c>
      <c r="J278">
        <f>IF(Klantgegevens_B!J277&lt;&gt;"", Klantgegevens_B!J277, Klantgegevens_A!K277)</f>
        <v/>
      </c>
      <c r="K278">
        <f>IF(Klantgegevens_B!K277&lt;&gt;"", AVERAGE(--(Klantgegevens_B!K277="ja"), --(Klantgegevens_B!L277="ja"), --(Klantgegevens_B!M277="ja"), --(Klantgegevens_B!N277="ja"), --(Klantgegevens_B!O277="ja"))*10, Klantgegevens_A!L277)</f>
        <v/>
      </c>
      <c r="L278">
        <f>IF(Klantgegevens_B!K277&lt;&gt;"", Klantgegevens_B!K277, IF(Klantgegevens_A!L277&gt;=7, "ja", "nee"))</f>
        <v/>
      </c>
      <c r="M278">
        <f>IF(Klantgegevens_B!L277&lt;&gt;"", Klantgegevens_B!L277, IF(Klantgegevens_A!L277&gt;=7, "ja", "nee"))</f>
        <v/>
      </c>
      <c r="N278">
        <f>IF(Klantgegevens_B!M277&lt;&gt;"", Klantgegevens_B!M277, IF(Klantgegevens_A!L277&gt;=7, "ja", "nee"))</f>
        <v/>
      </c>
      <c r="O278">
        <f>IF(Klantgegevens_B!N277&lt;&gt;"", Klantgegevens_B!N277, IF(Klantgegevens_A!L277&gt;=7, "ja", "nee"))</f>
        <v/>
      </c>
      <c r="P278">
        <f>IF(Klantgegevens_B!O277&lt;&gt;"", Klantgegevens_B!O277, IF(Klantgegevens_A!L277&gt;=7, "ja", "nee"))</f>
        <v/>
      </c>
      <c r="Q278">
        <f>IF(Klantgegevens_B!P277&lt;&gt;"", Klantgegevens_B!P277, Klantgegevens_A!M277)</f>
        <v/>
      </c>
      <c r="R278">
        <f>IF(Klantgegevens_B!A277&lt;&gt;"", "B", "A")</f>
        <v/>
      </c>
    </row>
    <row r="279">
      <c r="A279">
        <f>IF(Klantgegevens_B!A278&lt;&gt;"", Klantgegevens_B!A278, MID(Klantgegevens_A!A278, FIND(",", Klantgegevens_A!A278)+2, LEN(Klantgegevens_A!A278)))</f>
        <v/>
      </c>
      <c r="B279">
        <f>IF(Klantgegevens_B!B278&lt;&gt;"", Klantgegevens_B!B278, LEFT(Klantgegevens_A!A278, FIND(",", Klantgegevens_A!A278)-1))</f>
        <v/>
      </c>
      <c r="C279">
        <f>C278 &amp; ", " &amp; B278</f>
        <v/>
      </c>
      <c r="D279">
        <f>IF(Klantgegevens_B!F278&lt;&gt;"", Klantgegevens_B!F278, Klantgegevens_A!D278 &amp; " " &amp; Klantgegevens_A!E278 &amp; ", " &amp; Klantgegevens_A!F278)</f>
        <v/>
      </c>
      <c r="E279">
        <f>IF(Klantgegevens_B!G278&lt;&gt;"", Klantgegevens_B!G278, TEXTJOIN(",", TRUE, REPT("Volwassene,", Klantgegevens_A!G278), REPT("Kind,", Klantgegevens_A!H278)))</f>
        <v/>
      </c>
      <c r="F279">
        <f>IF(Klantgegevens_B!G278&lt;&gt;"", LEN(Klantgegevens_B!G278)-LEN(SUBSTITUTE(Klantgegevens_B!G278, ",", ""))+1, Klantgegevens_A!G278)</f>
        <v/>
      </c>
      <c r="G279">
        <f>IF(Klantgegevens_B!G278&lt;&gt;"", 0, Klantgegevens_A!H278)</f>
        <v/>
      </c>
      <c r="H279">
        <f>IF(Klantgegevens_B!H278&lt;&gt;"", Klantgegevens_B!H278, Klantgegevens_A!I278)</f>
        <v/>
      </c>
      <c r="I279">
        <f>IF(Klantgegevens_B!I278&lt;&gt;"", Klantgegevens_B!I278, SWITCH(Klantgegevens_A!J278, "Zelden", 1, "Af en toe", 4, "Regelmatig", 8, "Vaak", 12))</f>
        <v/>
      </c>
      <c r="J279">
        <f>IF(Klantgegevens_B!J278&lt;&gt;"", Klantgegevens_B!J278, Klantgegevens_A!K278)</f>
        <v/>
      </c>
      <c r="K279">
        <f>IF(Klantgegevens_B!K278&lt;&gt;"", AVERAGE(--(Klantgegevens_B!K278="ja"), --(Klantgegevens_B!L278="ja"), --(Klantgegevens_B!M278="ja"), --(Klantgegevens_B!N278="ja"), --(Klantgegevens_B!O278="ja"))*10, Klantgegevens_A!L278)</f>
        <v/>
      </c>
      <c r="L279">
        <f>IF(Klantgegevens_B!K278&lt;&gt;"", Klantgegevens_B!K278, IF(Klantgegevens_A!L278&gt;=7, "ja", "nee"))</f>
        <v/>
      </c>
      <c r="M279">
        <f>IF(Klantgegevens_B!L278&lt;&gt;"", Klantgegevens_B!L278, IF(Klantgegevens_A!L278&gt;=7, "ja", "nee"))</f>
        <v/>
      </c>
      <c r="N279">
        <f>IF(Klantgegevens_B!M278&lt;&gt;"", Klantgegevens_B!M278, IF(Klantgegevens_A!L278&gt;=7, "ja", "nee"))</f>
        <v/>
      </c>
      <c r="O279">
        <f>IF(Klantgegevens_B!N278&lt;&gt;"", Klantgegevens_B!N278, IF(Klantgegevens_A!L278&gt;=7, "ja", "nee"))</f>
        <v/>
      </c>
      <c r="P279">
        <f>IF(Klantgegevens_B!O278&lt;&gt;"", Klantgegevens_B!O278, IF(Klantgegevens_A!L278&gt;=7, "ja", "nee"))</f>
        <v/>
      </c>
      <c r="Q279">
        <f>IF(Klantgegevens_B!P278&lt;&gt;"", Klantgegevens_B!P278, Klantgegevens_A!M278)</f>
        <v/>
      </c>
      <c r="R279">
        <f>IF(Klantgegevens_B!A278&lt;&gt;"", "B", "A")</f>
        <v/>
      </c>
    </row>
    <row r="280">
      <c r="A280">
        <f>IF(Klantgegevens_B!A279&lt;&gt;"", Klantgegevens_B!A279, MID(Klantgegevens_A!A279, FIND(",", Klantgegevens_A!A279)+2, LEN(Klantgegevens_A!A279)))</f>
        <v/>
      </c>
      <c r="B280">
        <f>IF(Klantgegevens_B!B279&lt;&gt;"", Klantgegevens_B!B279, LEFT(Klantgegevens_A!A279, FIND(",", Klantgegevens_A!A279)-1))</f>
        <v/>
      </c>
      <c r="C280">
        <f>C279 &amp; ", " &amp; B279</f>
        <v/>
      </c>
      <c r="D280">
        <f>IF(Klantgegevens_B!F279&lt;&gt;"", Klantgegevens_B!F279, Klantgegevens_A!D279 &amp; " " &amp; Klantgegevens_A!E279 &amp; ", " &amp; Klantgegevens_A!F279)</f>
        <v/>
      </c>
      <c r="E280">
        <f>IF(Klantgegevens_B!G279&lt;&gt;"", Klantgegevens_B!G279, TEXTJOIN(",", TRUE, REPT("Volwassene,", Klantgegevens_A!G279), REPT("Kind,", Klantgegevens_A!H279)))</f>
        <v/>
      </c>
      <c r="F280">
        <f>IF(Klantgegevens_B!G279&lt;&gt;"", LEN(Klantgegevens_B!G279)-LEN(SUBSTITUTE(Klantgegevens_B!G279, ",", ""))+1, Klantgegevens_A!G279)</f>
        <v/>
      </c>
      <c r="G280">
        <f>IF(Klantgegevens_B!G279&lt;&gt;"", 0, Klantgegevens_A!H279)</f>
        <v/>
      </c>
      <c r="H280">
        <f>IF(Klantgegevens_B!H279&lt;&gt;"", Klantgegevens_B!H279, Klantgegevens_A!I279)</f>
        <v/>
      </c>
      <c r="I280">
        <f>IF(Klantgegevens_B!I279&lt;&gt;"", Klantgegevens_B!I279, SWITCH(Klantgegevens_A!J279, "Zelden", 1, "Af en toe", 4, "Regelmatig", 8, "Vaak", 12))</f>
        <v/>
      </c>
      <c r="J280">
        <f>IF(Klantgegevens_B!J279&lt;&gt;"", Klantgegevens_B!J279, Klantgegevens_A!K279)</f>
        <v/>
      </c>
      <c r="K280">
        <f>IF(Klantgegevens_B!K279&lt;&gt;"", AVERAGE(--(Klantgegevens_B!K279="ja"), --(Klantgegevens_B!L279="ja"), --(Klantgegevens_B!M279="ja"), --(Klantgegevens_B!N279="ja"), --(Klantgegevens_B!O279="ja"))*10, Klantgegevens_A!L279)</f>
        <v/>
      </c>
      <c r="L280">
        <f>IF(Klantgegevens_B!K279&lt;&gt;"", Klantgegevens_B!K279, IF(Klantgegevens_A!L279&gt;=7, "ja", "nee"))</f>
        <v/>
      </c>
      <c r="M280">
        <f>IF(Klantgegevens_B!L279&lt;&gt;"", Klantgegevens_B!L279, IF(Klantgegevens_A!L279&gt;=7, "ja", "nee"))</f>
        <v/>
      </c>
      <c r="N280">
        <f>IF(Klantgegevens_B!M279&lt;&gt;"", Klantgegevens_B!M279, IF(Klantgegevens_A!L279&gt;=7, "ja", "nee"))</f>
        <v/>
      </c>
      <c r="O280">
        <f>IF(Klantgegevens_B!N279&lt;&gt;"", Klantgegevens_B!N279, IF(Klantgegevens_A!L279&gt;=7, "ja", "nee"))</f>
        <v/>
      </c>
      <c r="P280">
        <f>IF(Klantgegevens_B!O279&lt;&gt;"", Klantgegevens_B!O279, IF(Klantgegevens_A!L279&gt;=7, "ja", "nee"))</f>
        <v/>
      </c>
      <c r="Q280">
        <f>IF(Klantgegevens_B!P279&lt;&gt;"", Klantgegevens_B!P279, Klantgegevens_A!M279)</f>
        <v/>
      </c>
      <c r="R280">
        <f>IF(Klantgegevens_B!A279&lt;&gt;"", "B", "A")</f>
        <v/>
      </c>
    </row>
    <row r="281">
      <c r="A281">
        <f>IF(Klantgegevens_B!A280&lt;&gt;"", Klantgegevens_B!A280, MID(Klantgegevens_A!A280, FIND(",", Klantgegevens_A!A280)+2, LEN(Klantgegevens_A!A280)))</f>
        <v/>
      </c>
      <c r="B281">
        <f>IF(Klantgegevens_B!B280&lt;&gt;"", Klantgegevens_B!B280, LEFT(Klantgegevens_A!A280, FIND(",", Klantgegevens_A!A280)-1))</f>
        <v/>
      </c>
      <c r="C281">
        <f>C280 &amp; ", " &amp; B280</f>
        <v/>
      </c>
      <c r="D281">
        <f>IF(Klantgegevens_B!F280&lt;&gt;"", Klantgegevens_B!F280, Klantgegevens_A!D280 &amp; " " &amp; Klantgegevens_A!E280 &amp; ", " &amp; Klantgegevens_A!F280)</f>
        <v/>
      </c>
      <c r="E281">
        <f>IF(Klantgegevens_B!G280&lt;&gt;"", Klantgegevens_B!G280, TEXTJOIN(",", TRUE, REPT("Volwassene,", Klantgegevens_A!G280), REPT("Kind,", Klantgegevens_A!H280)))</f>
        <v/>
      </c>
      <c r="F281">
        <f>IF(Klantgegevens_B!G280&lt;&gt;"", LEN(Klantgegevens_B!G280)-LEN(SUBSTITUTE(Klantgegevens_B!G280, ",", ""))+1, Klantgegevens_A!G280)</f>
        <v/>
      </c>
      <c r="G281">
        <f>IF(Klantgegevens_B!G280&lt;&gt;"", 0, Klantgegevens_A!H280)</f>
        <v/>
      </c>
      <c r="H281">
        <f>IF(Klantgegevens_B!H280&lt;&gt;"", Klantgegevens_B!H280, Klantgegevens_A!I280)</f>
        <v/>
      </c>
      <c r="I281">
        <f>IF(Klantgegevens_B!I280&lt;&gt;"", Klantgegevens_B!I280, SWITCH(Klantgegevens_A!J280, "Zelden", 1, "Af en toe", 4, "Regelmatig", 8, "Vaak", 12))</f>
        <v/>
      </c>
      <c r="J281">
        <f>IF(Klantgegevens_B!J280&lt;&gt;"", Klantgegevens_B!J280, Klantgegevens_A!K280)</f>
        <v/>
      </c>
      <c r="K281">
        <f>IF(Klantgegevens_B!K280&lt;&gt;"", AVERAGE(--(Klantgegevens_B!K280="ja"), --(Klantgegevens_B!L280="ja"), --(Klantgegevens_B!M280="ja"), --(Klantgegevens_B!N280="ja"), --(Klantgegevens_B!O280="ja"))*10, Klantgegevens_A!L280)</f>
        <v/>
      </c>
      <c r="L281">
        <f>IF(Klantgegevens_B!K280&lt;&gt;"", Klantgegevens_B!K280, IF(Klantgegevens_A!L280&gt;=7, "ja", "nee"))</f>
        <v/>
      </c>
      <c r="M281">
        <f>IF(Klantgegevens_B!L280&lt;&gt;"", Klantgegevens_B!L280, IF(Klantgegevens_A!L280&gt;=7, "ja", "nee"))</f>
        <v/>
      </c>
      <c r="N281">
        <f>IF(Klantgegevens_B!M280&lt;&gt;"", Klantgegevens_B!M280, IF(Klantgegevens_A!L280&gt;=7, "ja", "nee"))</f>
        <v/>
      </c>
      <c r="O281">
        <f>IF(Klantgegevens_B!N280&lt;&gt;"", Klantgegevens_B!N280, IF(Klantgegevens_A!L280&gt;=7, "ja", "nee"))</f>
        <v/>
      </c>
      <c r="P281">
        <f>IF(Klantgegevens_B!O280&lt;&gt;"", Klantgegevens_B!O280, IF(Klantgegevens_A!L280&gt;=7, "ja", "nee"))</f>
        <v/>
      </c>
      <c r="Q281">
        <f>IF(Klantgegevens_B!P280&lt;&gt;"", Klantgegevens_B!P280, Klantgegevens_A!M280)</f>
        <v/>
      </c>
      <c r="R281">
        <f>IF(Klantgegevens_B!A280&lt;&gt;"", "B", "A")</f>
        <v/>
      </c>
    </row>
    <row r="282">
      <c r="A282">
        <f>IF(Klantgegevens_B!A281&lt;&gt;"", Klantgegevens_B!A281, MID(Klantgegevens_A!A281, FIND(",", Klantgegevens_A!A281)+2, LEN(Klantgegevens_A!A281)))</f>
        <v/>
      </c>
      <c r="B282">
        <f>IF(Klantgegevens_B!B281&lt;&gt;"", Klantgegevens_B!B281, LEFT(Klantgegevens_A!A281, FIND(",", Klantgegevens_A!A281)-1))</f>
        <v/>
      </c>
      <c r="C282">
        <f>C281 &amp; ", " &amp; B281</f>
        <v/>
      </c>
      <c r="D282">
        <f>IF(Klantgegevens_B!F281&lt;&gt;"", Klantgegevens_B!F281, Klantgegevens_A!D281 &amp; " " &amp; Klantgegevens_A!E281 &amp; ", " &amp; Klantgegevens_A!F281)</f>
        <v/>
      </c>
      <c r="E282">
        <f>IF(Klantgegevens_B!G281&lt;&gt;"", Klantgegevens_B!G281, TEXTJOIN(",", TRUE, REPT("Volwassene,", Klantgegevens_A!G281), REPT("Kind,", Klantgegevens_A!H281)))</f>
        <v/>
      </c>
      <c r="F282">
        <f>IF(Klantgegevens_B!G281&lt;&gt;"", LEN(Klantgegevens_B!G281)-LEN(SUBSTITUTE(Klantgegevens_B!G281, ",", ""))+1, Klantgegevens_A!G281)</f>
        <v/>
      </c>
      <c r="G282">
        <f>IF(Klantgegevens_B!G281&lt;&gt;"", 0, Klantgegevens_A!H281)</f>
        <v/>
      </c>
      <c r="H282">
        <f>IF(Klantgegevens_B!H281&lt;&gt;"", Klantgegevens_B!H281, Klantgegevens_A!I281)</f>
        <v/>
      </c>
      <c r="I282">
        <f>IF(Klantgegevens_B!I281&lt;&gt;"", Klantgegevens_B!I281, SWITCH(Klantgegevens_A!J281, "Zelden", 1, "Af en toe", 4, "Regelmatig", 8, "Vaak", 12))</f>
        <v/>
      </c>
      <c r="J282">
        <f>IF(Klantgegevens_B!J281&lt;&gt;"", Klantgegevens_B!J281, Klantgegevens_A!K281)</f>
        <v/>
      </c>
      <c r="K282">
        <f>IF(Klantgegevens_B!K281&lt;&gt;"", AVERAGE(--(Klantgegevens_B!K281="ja"), --(Klantgegevens_B!L281="ja"), --(Klantgegevens_B!M281="ja"), --(Klantgegevens_B!N281="ja"), --(Klantgegevens_B!O281="ja"))*10, Klantgegevens_A!L281)</f>
        <v/>
      </c>
      <c r="L282">
        <f>IF(Klantgegevens_B!K281&lt;&gt;"", Klantgegevens_B!K281, IF(Klantgegevens_A!L281&gt;=7, "ja", "nee"))</f>
        <v/>
      </c>
      <c r="M282">
        <f>IF(Klantgegevens_B!L281&lt;&gt;"", Klantgegevens_B!L281, IF(Klantgegevens_A!L281&gt;=7, "ja", "nee"))</f>
        <v/>
      </c>
      <c r="N282">
        <f>IF(Klantgegevens_B!M281&lt;&gt;"", Klantgegevens_B!M281, IF(Klantgegevens_A!L281&gt;=7, "ja", "nee"))</f>
        <v/>
      </c>
      <c r="O282">
        <f>IF(Klantgegevens_B!N281&lt;&gt;"", Klantgegevens_B!N281, IF(Klantgegevens_A!L281&gt;=7, "ja", "nee"))</f>
        <v/>
      </c>
      <c r="P282">
        <f>IF(Klantgegevens_B!O281&lt;&gt;"", Klantgegevens_B!O281, IF(Klantgegevens_A!L281&gt;=7, "ja", "nee"))</f>
        <v/>
      </c>
      <c r="Q282">
        <f>IF(Klantgegevens_B!P281&lt;&gt;"", Klantgegevens_B!P281, Klantgegevens_A!M281)</f>
        <v/>
      </c>
      <c r="R282">
        <f>IF(Klantgegevens_B!A281&lt;&gt;"", "B", "A")</f>
        <v/>
      </c>
    </row>
    <row r="283">
      <c r="A283">
        <f>IF(Klantgegevens_B!A282&lt;&gt;"", Klantgegevens_B!A282, MID(Klantgegevens_A!A282, FIND(",", Klantgegevens_A!A282)+2, LEN(Klantgegevens_A!A282)))</f>
        <v/>
      </c>
      <c r="B283">
        <f>IF(Klantgegevens_B!B282&lt;&gt;"", Klantgegevens_B!B282, LEFT(Klantgegevens_A!A282, FIND(",", Klantgegevens_A!A282)-1))</f>
        <v/>
      </c>
      <c r="C283">
        <f>C282 &amp; ", " &amp; B282</f>
        <v/>
      </c>
      <c r="D283">
        <f>IF(Klantgegevens_B!F282&lt;&gt;"", Klantgegevens_B!F282, Klantgegevens_A!D282 &amp; " " &amp; Klantgegevens_A!E282 &amp; ", " &amp; Klantgegevens_A!F282)</f>
        <v/>
      </c>
      <c r="E283">
        <f>IF(Klantgegevens_B!G282&lt;&gt;"", Klantgegevens_B!G282, TEXTJOIN(",", TRUE, REPT("Volwassene,", Klantgegevens_A!G282), REPT("Kind,", Klantgegevens_A!H282)))</f>
        <v/>
      </c>
      <c r="F283">
        <f>IF(Klantgegevens_B!G282&lt;&gt;"", LEN(Klantgegevens_B!G282)-LEN(SUBSTITUTE(Klantgegevens_B!G282, ",", ""))+1, Klantgegevens_A!G282)</f>
        <v/>
      </c>
      <c r="G283">
        <f>IF(Klantgegevens_B!G282&lt;&gt;"", 0, Klantgegevens_A!H282)</f>
        <v/>
      </c>
      <c r="H283">
        <f>IF(Klantgegevens_B!H282&lt;&gt;"", Klantgegevens_B!H282, Klantgegevens_A!I282)</f>
        <v/>
      </c>
      <c r="I283">
        <f>IF(Klantgegevens_B!I282&lt;&gt;"", Klantgegevens_B!I282, SWITCH(Klantgegevens_A!J282, "Zelden", 1, "Af en toe", 4, "Regelmatig", 8, "Vaak", 12))</f>
        <v/>
      </c>
      <c r="J283">
        <f>IF(Klantgegevens_B!J282&lt;&gt;"", Klantgegevens_B!J282, Klantgegevens_A!K282)</f>
        <v/>
      </c>
      <c r="K283">
        <f>IF(Klantgegevens_B!K282&lt;&gt;"", AVERAGE(--(Klantgegevens_B!K282="ja"), --(Klantgegevens_B!L282="ja"), --(Klantgegevens_B!M282="ja"), --(Klantgegevens_B!N282="ja"), --(Klantgegevens_B!O282="ja"))*10, Klantgegevens_A!L282)</f>
        <v/>
      </c>
      <c r="L283">
        <f>IF(Klantgegevens_B!K282&lt;&gt;"", Klantgegevens_B!K282, IF(Klantgegevens_A!L282&gt;=7, "ja", "nee"))</f>
        <v/>
      </c>
      <c r="M283">
        <f>IF(Klantgegevens_B!L282&lt;&gt;"", Klantgegevens_B!L282, IF(Klantgegevens_A!L282&gt;=7, "ja", "nee"))</f>
        <v/>
      </c>
      <c r="N283">
        <f>IF(Klantgegevens_B!M282&lt;&gt;"", Klantgegevens_B!M282, IF(Klantgegevens_A!L282&gt;=7, "ja", "nee"))</f>
        <v/>
      </c>
      <c r="O283">
        <f>IF(Klantgegevens_B!N282&lt;&gt;"", Klantgegevens_B!N282, IF(Klantgegevens_A!L282&gt;=7, "ja", "nee"))</f>
        <v/>
      </c>
      <c r="P283">
        <f>IF(Klantgegevens_B!O282&lt;&gt;"", Klantgegevens_B!O282, IF(Klantgegevens_A!L282&gt;=7, "ja", "nee"))</f>
        <v/>
      </c>
      <c r="Q283">
        <f>IF(Klantgegevens_B!P282&lt;&gt;"", Klantgegevens_B!P282, Klantgegevens_A!M282)</f>
        <v/>
      </c>
      <c r="R283">
        <f>IF(Klantgegevens_B!A282&lt;&gt;"", "B", "A")</f>
        <v/>
      </c>
    </row>
    <row r="284">
      <c r="A284">
        <f>IF(Klantgegevens_B!A283&lt;&gt;"", Klantgegevens_B!A283, MID(Klantgegevens_A!A283, FIND(",", Klantgegevens_A!A283)+2, LEN(Klantgegevens_A!A283)))</f>
        <v/>
      </c>
      <c r="B284">
        <f>IF(Klantgegevens_B!B283&lt;&gt;"", Klantgegevens_B!B283, LEFT(Klantgegevens_A!A283, FIND(",", Klantgegevens_A!A283)-1))</f>
        <v/>
      </c>
      <c r="C284">
        <f>C283 &amp; ", " &amp; B283</f>
        <v/>
      </c>
      <c r="D284">
        <f>IF(Klantgegevens_B!F283&lt;&gt;"", Klantgegevens_B!F283, Klantgegevens_A!D283 &amp; " " &amp; Klantgegevens_A!E283 &amp; ", " &amp; Klantgegevens_A!F283)</f>
        <v/>
      </c>
      <c r="E284">
        <f>IF(Klantgegevens_B!G283&lt;&gt;"", Klantgegevens_B!G283, TEXTJOIN(",", TRUE, REPT("Volwassene,", Klantgegevens_A!G283), REPT("Kind,", Klantgegevens_A!H283)))</f>
        <v/>
      </c>
      <c r="F284">
        <f>IF(Klantgegevens_B!G283&lt;&gt;"", LEN(Klantgegevens_B!G283)-LEN(SUBSTITUTE(Klantgegevens_B!G283, ",", ""))+1, Klantgegevens_A!G283)</f>
        <v/>
      </c>
      <c r="G284">
        <f>IF(Klantgegevens_B!G283&lt;&gt;"", 0, Klantgegevens_A!H283)</f>
        <v/>
      </c>
      <c r="H284">
        <f>IF(Klantgegevens_B!H283&lt;&gt;"", Klantgegevens_B!H283, Klantgegevens_A!I283)</f>
        <v/>
      </c>
      <c r="I284">
        <f>IF(Klantgegevens_B!I283&lt;&gt;"", Klantgegevens_B!I283, SWITCH(Klantgegevens_A!J283, "Zelden", 1, "Af en toe", 4, "Regelmatig", 8, "Vaak", 12))</f>
        <v/>
      </c>
      <c r="J284">
        <f>IF(Klantgegevens_B!J283&lt;&gt;"", Klantgegevens_B!J283, Klantgegevens_A!K283)</f>
        <v/>
      </c>
      <c r="K284">
        <f>IF(Klantgegevens_B!K283&lt;&gt;"", AVERAGE(--(Klantgegevens_B!K283="ja"), --(Klantgegevens_B!L283="ja"), --(Klantgegevens_B!M283="ja"), --(Klantgegevens_B!N283="ja"), --(Klantgegevens_B!O283="ja"))*10, Klantgegevens_A!L283)</f>
        <v/>
      </c>
      <c r="L284">
        <f>IF(Klantgegevens_B!K283&lt;&gt;"", Klantgegevens_B!K283, IF(Klantgegevens_A!L283&gt;=7, "ja", "nee"))</f>
        <v/>
      </c>
      <c r="M284">
        <f>IF(Klantgegevens_B!L283&lt;&gt;"", Klantgegevens_B!L283, IF(Klantgegevens_A!L283&gt;=7, "ja", "nee"))</f>
        <v/>
      </c>
      <c r="N284">
        <f>IF(Klantgegevens_B!M283&lt;&gt;"", Klantgegevens_B!M283, IF(Klantgegevens_A!L283&gt;=7, "ja", "nee"))</f>
        <v/>
      </c>
      <c r="O284">
        <f>IF(Klantgegevens_B!N283&lt;&gt;"", Klantgegevens_B!N283, IF(Klantgegevens_A!L283&gt;=7, "ja", "nee"))</f>
        <v/>
      </c>
      <c r="P284">
        <f>IF(Klantgegevens_B!O283&lt;&gt;"", Klantgegevens_B!O283, IF(Klantgegevens_A!L283&gt;=7, "ja", "nee"))</f>
        <v/>
      </c>
      <c r="Q284">
        <f>IF(Klantgegevens_B!P283&lt;&gt;"", Klantgegevens_B!P283, Klantgegevens_A!M283)</f>
        <v/>
      </c>
      <c r="R284">
        <f>IF(Klantgegevens_B!A283&lt;&gt;"", "B", "A")</f>
        <v/>
      </c>
    </row>
    <row r="285">
      <c r="A285">
        <f>IF(Klantgegevens_B!A284&lt;&gt;"", Klantgegevens_B!A284, MID(Klantgegevens_A!A284, FIND(",", Klantgegevens_A!A284)+2, LEN(Klantgegevens_A!A284)))</f>
        <v/>
      </c>
      <c r="B285">
        <f>IF(Klantgegevens_B!B284&lt;&gt;"", Klantgegevens_B!B284, LEFT(Klantgegevens_A!A284, FIND(",", Klantgegevens_A!A284)-1))</f>
        <v/>
      </c>
      <c r="C285">
        <f>C284 &amp; ", " &amp; B284</f>
        <v/>
      </c>
      <c r="D285">
        <f>IF(Klantgegevens_B!F284&lt;&gt;"", Klantgegevens_B!F284, Klantgegevens_A!D284 &amp; " " &amp; Klantgegevens_A!E284 &amp; ", " &amp; Klantgegevens_A!F284)</f>
        <v/>
      </c>
      <c r="E285">
        <f>IF(Klantgegevens_B!G284&lt;&gt;"", Klantgegevens_B!G284, TEXTJOIN(",", TRUE, REPT("Volwassene,", Klantgegevens_A!G284), REPT("Kind,", Klantgegevens_A!H284)))</f>
        <v/>
      </c>
      <c r="F285">
        <f>IF(Klantgegevens_B!G284&lt;&gt;"", LEN(Klantgegevens_B!G284)-LEN(SUBSTITUTE(Klantgegevens_B!G284, ",", ""))+1, Klantgegevens_A!G284)</f>
        <v/>
      </c>
      <c r="G285">
        <f>IF(Klantgegevens_B!G284&lt;&gt;"", 0, Klantgegevens_A!H284)</f>
        <v/>
      </c>
      <c r="H285">
        <f>IF(Klantgegevens_B!H284&lt;&gt;"", Klantgegevens_B!H284, Klantgegevens_A!I284)</f>
        <v/>
      </c>
      <c r="I285">
        <f>IF(Klantgegevens_B!I284&lt;&gt;"", Klantgegevens_B!I284, SWITCH(Klantgegevens_A!J284, "Zelden", 1, "Af en toe", 4, "Regelmatig", 8, "Vaak", 12))</f>
        <v/>
      </c>
      <c r="J285">
        <f>IF(Klantgegevens_B!J284&lt;&gt;"", Klantgegevens_B!J284, Klantgegevens_A!K284)</f>
        <v/>
      </c>
      <c r="K285">
        <f>IF(Klantgegevens_B!K284&lt;&gt;"", AVERAGE(--(Klantgegevens_B!K284="ja"), --(Klantgegevens_B!L284="ja"), --(Klantgegevens_B!M284="ja"), --(Klantgegevens_B!N284="ja"), --(Klantgegevens_B!O284="ja"))*10, Klantgegevens_A!L284)</f>
        <v/>
      </c>
      <c r="L285">
        <f>IF(Klantgegevens_B!K284&lt;&gt;"", Klantgegevens_B!K284, IF(Klantgegevens_A!L284&gt;=7, "ja", "nee"))</f>
        <v/>
      </c>
      <c r="M285">
        <f>IF(Klantgegevens_B!L284&lt;&gt;"", Klantgegevens_B!L284, IF(Klantgegevens_A!L284&gt;=7, "ja", "nee"))</f>
        <v/>
      </c>
      <c r="N285">
        <f>IF(Klantgegevens_B!M284&lt;&gt;"", Klantgegevens_B!M284, IF(Klantgegevens_A!L284&gt;=7, "ja", "nee"))</f>
        <v/>
      </c>
      <c r="O285">
        <f>IF(Klantgegevens_B!N284&lt;&gt;"", Klantgegevens_B!N284, IF(Klantgegevens_A!L284&gt;=7, "ja", "nee"))</f>
        <v/>
      </c>
      <c r="P285">
        <f>IF(Klantgegevens_B!O284&lt;&gt;"", Klantgegevens_B!O284, IF(Klantgegevens_A!L284&gt;=7, "ja", "nee"))</f>
        <v/>
      </c>
      <c r="Q285">
        <f>IF(Klantgegevens_B!P284&lt;&gt;"", Klantgegevens_B!P284, Klantgegevens_A!M284)</f>
        <v/>
      </c>
      <c r="R285">
        <f>IF(Klantgegevens_B!A284&lt;&gt;"", "B", "A")</f>
        <v/>
      </c>
    </row>
    <row r="286">
      <c r="A286">
        <f>IF(Klantgegevens_B!A285&lt;&gt;"", Klantgegevens_B!A285, MID(Klantgegevens_A!A285, FIND(",", Klantgegevens_A!A285)+2, LEN(Klantgegevens_A!A285)))</f>
        <v/>
      </c>
      <c r="B286">
        <f>IF(Klantgegevens_B!B285&lt;&gt;"", Klantgegevens_B!B285, LEFT(Klantgegevens_A!A285, FIND(",", Klantgegevens_A!A285)-1))</f>
        <v/>
      </c>
      <c r="C286">
        <f>C285 &amp; ", " &amp; B285</f>
        <v/>
      </c>
      <c r="D286">
        <f>IF(Klantgegevens_B!F285&lt;&gt;"", Klantgegevens_B!F285, Klantgegevens_A!D285 &amp; " " &amp; Klantgegevens_A!E285 &amp; ", " &amp; Klantgegevens_A!F285)</f>
        <v/>
      </c>
      <c r="E286">
        <f>IF(Klantgegevens_B!G285&lt;&gt;"", Klantgegevens_B!G285, TEXTJOIN(",", TRUE, REPT("Volwassene,", Klantgegevens_A!G285), REPT("Kind,", Klantgegevens_A!H285)))</f>
        <v/>
      </c>
      <c r="F286">
        <f>IF(Klantgegevens_B!G285&lt;&gt;"", LEN(Klantgegevens_B!G285)-LEN(SUBSTITUTE(Klantgegevens_B!G285, ",", ""))+1, Klantgegevens_A!G285)</f>
        <v/>
      </c>
      <c r="G286">
        <f>IF(Klantgegevens_B!G285&lt;&gt;"", 0, Klantgegevens_A!H285)</f>
        <v/>
      </c>
      <c r="H286">
        <f>IF(Klantgegevens_B!H285&lt;&gt;"", Klantgegevens_B!H285, Klantgegevens_A!I285)</f>
        <v/>
      </c>
      <c r="I286">
        <f>IF(Klantgegevens_B!I285&lt;&gt;"", Klantgegevens_B!I285, SWITCH(Klantgegevens_A!J285, "Zelden", 1, "Af en toe", 4, "Regelmatig", 8, "Vaak", 12))</f>
        <v/>
      </c>
      <c r="J286">
        <f>IF(Klantgegevens_B!J285&lt;&gt;"", Klantgegevens_B!J285, Klantgegevens_A!K285)</f>
        <v/>
      </c>
      <c r="K286">
        <f>IF(Klantgegevens_B!K285&lt;&gt;"", AVERAGE(--(Klantgegevens_B!K285="ja"), --(Klantgegevens_B!L285="ja"), --(Klantgegevens_B!M285="ja"), --(Klantgegevens_B!N285="ja"), --(Klantgegevens_B!O285="ja"))*10, Klantgegevens_A!L285)</f>
        <v/>
      </c>
      <c r="L286">
        <f>IF(Klantgegevens_B!K285&lt;&gt;"", Klantgegevens_B!K285, IF(Klantgegevens_A!L285&gt;=7, "ja", "nee"))</f>
        <v/>
      </c>
      <c r="M286">
        <f>IF(Klantgegevens_B!L285&lt;&gt;"", Klantgegevens_B!L285, IF(Klantgegevens_A!L285&gt;=7, "ja", "nee"))</f>
        <v/>
      </c>
      <c r="N286">
        <f>IF(Klantgegevens_B!M285&lt;&gt;"", Klantgegevens_B!M285, IF(Klantgegevens_A!L285&gt;=7, "ja", "nee"))</f>
        <v/>
      </c>
      <c r="O286">
        <f>IF(Klantgegevens_B!N285&lt;&gt;"", Klantgegevens_B!N285, IF(Klantgegevens_A!L285&gt;=7, "ja", "nee"))</f>
        <v/>
      </c>
      <c r="P286">
        <f>IF(Klantgegevens_B!O285&lt;&gt;"", Klantgegevens_B!O285, IF(Klantgegevens_A!L285&gt;=7, "ja", "nee"))</f>
        <v/>
      </c>
      <c r="Q286">
        <f>IF(Klantgegevens_B!P285&lt;&gt;"", Klantgegevens_B!P285, Klantgegevens_A!M285)</f>
        <v/>
      </c>
      <c r="R286">
        <f>IF(Klantgegevens_B!A285&lt;&gt;"", "B", "A")</f>
        <v/>
      </c>
    </row>
    <row r="287">
      <c r="A287">
        <f>IF(Klantgegevens_B!A286&lt;&gt;"", Klantgegevens_B!A286, MID(Klantgegevens_A!A286, FIND(",", Klantgegevens_A!A286)+2, LEN(Klantgegevens_A!A286)))</f>
        <v/>
      </c>
      <c r="B287">
        <f>IF(Klantgegevens_B!B286&lt;&gt;"", Klantgegevens_B!B286, LEFT(Klantgegevens_A!A286, FIND(",", Klantgegevens_A!A286)-1))</f>
        <v/>
      </c>
      <c r="C287">
        <f>C286 &amp; ", " &amp; B286</f>
        <v/>
      </c>
      <c r="D287">
        <f>IF(Klantgegevens_B!F286&lt;&gt;"", Klantgegevens_B!F286, Klantgegevens_A!D286 &amp; " " &amp; Klantgegevens_A!E286 &amp; ", " &amp; Klantgegevens_A!F286)</f>
        <v/>
      </c>
      <c r="E287">
        <f>IF(Klantgegevens_B!G286&lt;&gt;"", Klantgegevens_B!G286, TEXTJOIN(",", TRUE, REPT("Volwassene,", Klantgegevens_A!G286), REPT("Kind,", Klantgegevens_A!H286)))</f>
        <v/>
      </c>
      <c r="F287">
        <f>IF(Klantgegevens_B!G286&lt;&gt;"", LEN(Klantgegevens_B!G286)-LEN(SUBSTITUTE(Klantgegevens_B!G286, ",", ""))+1, Klantgegevens_A!G286)</f>
        <v/>
      </c>
      <c r="G287">
        <f>IF(Klantgegevens_B!G286&lt;&gt;"", 0, Klantgegevens_A!H286)</f>
        <v/>
      </c>
      <c r="H287">
        <f>IF(Klantgegevens_B!H286&lt;&gt;"", Klantgegevens_B!H286, Klantgegevens_A!I286)</f>
        <v/>
      </c>
      <c r="I287">
        <f>IF(Klantgegevens_B!I286&lt;&gt;"", Klantgegevens_B!I286, SWITCH(Klantgegevens_A!J286, "Zelden", 1, "Af en toe", 4, "Regelmatig", 8, "Vaak", 12))</f>
        <v/>
      </c>
      <c r="J287">
        <f>IF(Klantgegevens_B!J286&lt;&gt;"", Klantgegevens_B!J286, Klantgegevens_A!K286)</f>
        <v/>
      </c>
      <c r="K287">
        <f>IF(Klantgegevens_B!K286&lt;&gt;"", AVERAGE(--(Klantgegevens_B!K286="ja"), --(Klantgegevens_B!L286="ja"), --(Klantgegevens_B!M286="ja"), --(Klantgegevens_B!N286="ja"), --(Klantgegevens_B!O286="ja"))*10, Klantgegevens_A!L286)</f>
        <v/>
      </c>
      <c r="L287">
        <f>IF(Klantgegevens_B!K286&lt;&gt;"", Klantgegevens_B!K286, IF(Klantgegevens_A!L286&gt;=7, "ja", "nee"))</f>
        <v/>
      </c>
      <c r="M287">
        <f>IF(Klantgegevens_B!L286&lt;&gt;"", Klantgegevens_B!L286, IF(Klantgegevens_A!L286&gt;=7, "ja", "nee"))</f>
        <v/>
      </c>
      <c r="N287">
        <f>IF(Klantgegevens_B!M286&lt;&gt;"", Klantgegevens_B!M286, IF(Klantgegevens_A!L286&gt;=7, "ja", "nee"))</f>
        <v/>
      </c>
      <c r="O287">
        <f>IF(Klantgegevens_B!N286&lt;&gt;"", Klantgegevens_B!N286, IF(Klantgegevens_A!L286&gt;=7, "ja", "nee"))</f>
        <v/>
      </c>
      <c r="P287">
        <f>IF(Klantgegevens_B!O286&lt;&gt;"", Klantgegevens_B!O286, IF(Klantgegevens_A!L286&gt;=7, "ja", "nee"))</f>
        <v/>
      </c>
      <c r="Q287">
        <f>IF(Klantgegevens_B!P286&lt;&gt;"", Klantgegevens_B!P286, Klantgegevens_A!M286)</f>
        <v/>
      </c>
      <c r="R287">
        <f>IF(Klantgegevens_B!A286&lt;&gt;"", "B", "A")</f>
        <v/>
      </c>
    </row>
    <row r="288">
      <c r="A288">
        <f>IF(Klantgegevens_B!A287&lt;&gt;"", Klantgegevens_B!A287, MID(Klantgegevens_A!A287, FIND(",", Klantgegevens_A!A287)+2, LEN(Klantgegevens_A!A287)))</f>
        <v/>
      </c>
      <c r="B288">
        <f>IF(Klantgegevens_B!B287&lt;&gt;"", Klantgegevens_B!B287, LEFT(Klantgegevens_A!A287, FIND(",", Klantgegevens_A!A287)-1))</f>
        <v/>
      </c>
      <c r="C288">
        <f>C287 &amp; ", " &amp; B287</f>
        <v/>
      </c>
      <c r="D288">
        <f>IF(Klantgegevens_B!F287&lt;&gt;"", Klantgegevens_B!F287, Klantgegevens_A!D287 &amp; " " &amp; Klantgegevens_A!E287 &amp; ", " &amp; Klantgegevens_A!F287)</f>
        <v/>
      </c>
      <c r="E288">
        <f>IF(Klantgegevens_B!G287&lt;&gt;"", Klantgegevens_B!G287, TEXTJOIN(",", TRUE, REPT("Volwassene,", Klantgegevens_A!G287), REPT("Kind,", Klantgegevens_A!H287)))</f>
        <v/>
      </c>
      <c r="F288">
        <f>IF(Klantgegevens_B!G287&lt;&gt;"", LEN(Klantgegevens_B!G287)-LEN(SUBSTITUTE(Klantgegevens_B!G287, ",", ""))+1, Klantgegevens_A!G287)</f>
        <v/>
      </c>
      <c r="G288">
        <f>IF(Klantgegevens_B!G287&lt;&gt;"", 0, Klantgegevens_A!H287)</f>
        <v/>
      </c>
      <c r="H288">
        <f>IF(Klantgegevens_B!H287&lt;&gt;"", Klantgegevens_B!H287, Klantgegevens_A!I287)</f>
        <v/>
      </c>
      <c r="I288">
        <f>IF(Klantgegevens_B!I287&lt;&gt;"", Klantgegevens_B!I287, SWITCH(Klantgegevens_A!J287, "Zelden", 1, "Af en toe", 4, "Regelmatig", 8, "Vaak", 12))</f>
        <v/>
      </c>
      <c r="J288">
        <f>IF(Klantgegevens_B!J287&lt;&gt;"", Klantgegevens_B!J287, Klantgegevens_A!K287)</f>
        <v/>
      </c>
      <c r="K288">
        <f>IF(Klantgegevens_B!K287&lt;&gt;"", AVERAGE(--(Klantgegevens_B!K287="ja"), --(Klantgegevens_B!L287="ja"), --(Klantgegevens_B!M287="ja"), --(Klantgegevens_B!N287="ja"), --(Klantgegevens_B!O287="ja"))*10, Klantgegevens_A!L287)</f>
        <v/>
      </c>
      <c r="L288">
        <f>IF(Klantgegevens_B!K287&lt;&gt;"", Klantgegevens_B!K287, IF(Klantgegevens_A!L287&gt;=7, "ja", "nee"))</f>
        <v/>
      </c>
      <c r="M288">
        <f>IF(Klantgegevens_B!L287&lt;&gt;"", Klantgegevens_B!L287, IF(Klantgegevens_A!L287&gt;=7, "ja", "nee"))</f>
        <v/>
      </c>
      <c r="N288">
        <f>IF(Klantgegevens_B!M287&lt;&gt;"", Klantgegevens_B!M287, IF(Klantgegevens_A!L287&gt;=7, "ja", "nee"))</f>
        <v/>
      </c>
      <c r="O288">
        <f>IF(Klantgegevens_B!N287&lt;&gt;"", Klantgegevens_B!N287, IF(Klantgegevens_A!L287&gt;=7, "ja", "nee"))</f>
        <v/>
      </c>
      <c r="P288">
        <f>IF(Klantgegevens_B!O287&lt;&gt;"", Klantgegevens_B!O287, IF(Klantgegevens_A!L287&gt;=7, "ja", "nee"))</f>
        <v/>
      </c>
      <c r="Q288">
        <f>IF(Klantgegevens_B!P287&lt;&gt;"", Klantgegevens_B!P287, Klantgegevens_A!M287)</f>
        <v/>
      </c>
      <c r="R288">
        <f>IF(Klantgegevens_B!A287&lt;&gt;"", "B", "A")</f>
        <v/>
      </c>
    </row>
    <row r="289">
      <c r="A289">
        <f>IF(Klantgegevens_B!A288&lt;&gt;"", Klantgegevens_B!A288, MID(Klantgegevens_A!A288, FIND(",", Klantgegevens_A!A288)+2, LEN(Klantgegevens_A!A288)))</f>
        <v/>
      </c>
      <c r="B289">
        <f>IF(Klantgegevens_B!B288&lt;&gt;"", Klantgegevens_B!B288, LEFT(Klantgegevens_A!A288, FIND(",", Klantgegevens_A!A288)-1))</f>
        <v/>
      </c>
      <c r="C289">
        <f>C288 &amp; ", " &amp; B288</f>
        <v/>
      </c>
      <c r="D289">
        <f>IF(Klantgegevens_B!F288&lt;&gt;"", Klantgegevens_B!F288, Klantgegevens_A!D288 &amp; " " &amp; Klantgegevens_A!E288 &amp; ", " &amp; Klantgegevens_A!F288)</f>
        <v/>
      </c>
      <c r="E289">
        <f>IF(Klantgegevens_B!G288&lt;&gt;"", Klantgegevens_B!G288, TEXTJOIN(",", TRUE, REPT("Volwassene,", Klantgegevens_A!G288), REPT("Kind,", Klantgegevens_A!H288)))</f>
        <v/>
      </c>
      <c r="F289">
        <f>IF(Klantgegevens_B!G288&lt;&gt;"", LEN(Klantgegevens_B!G288)-LEN(SUBSTITUTE(Klantgegevens_B!G288, ",", ""))+1, Klantgegevens_A!G288)</f>
        <v/>
      </c>
      <c r="G289">
        <f>IF(Klantgegevens_B!G288&lt;&gt;"", 0, Klantgegevens_A!H288)</f>
        <v/>
      </c>
      <c r="H289">
        <f>IF(Klantgegevens_B!H288&lt;&gt;"", Klantgegevens_B!H288, Klantgegevens_A!I288)</f>
        <v/>
      </c>
      <c r="I289">
        <f>IF(Klantgegevens_B!I288&lt;&gt;"", Klantgegevens_B!I288, SWITCH(Klantgegevens_A!J288, "Zelden", 1, "Af en toe", 4, "Regelmatig", 8, "Vaak", 12))</f>
        <v/>
      </c>
      <c r="J289">
        <f>IF(Klantgegevens_B!J288&lt;&gt;"", Klantgegevens_B!J288, Klantgegevens_A!K288)</f>
        <v/>
      </c>
      <c r="K289">
        <f>IF(Klantgegevens_B!K288&lt;&gt;"", AVERAGE(--(Klantgegevens_B!K288="ja"), --(Klantgegevens_B!L288="ja"), --(Klantgegevens_B!M288="ja"), --(Klantgegevens_B!N288="ja"), --(Klantgegevens_B!O288="ja"))*10, Klantgegevens_A!L288)</f>
        <v/>
      </c>
      <c r="L289">
        <f>IF(Klantgegevens_B!K288&lt;&gt;"", Klantgegevens_B!K288, IF(Klantgegevens_A!L288&gt;=7, "ja", "nee"))</f>
        <v/>
      </c>
      <c r="M289">
        <f>IF(Klantgegevens_B!L288&lt;&gt;"", Klantgegevens_B!L288, IF(Klantgegevens_A!L288&gt;=7, "ja", "nee"))</f>
        <v/>
      </c>
      <c r="N289">
        <f>IF(Klantgegevens_B!M288&lt;&gt;"", Klantgegevens_B!M288, IF(Klantgegevens_A!L288&gt;=7, "ja", "nee"))</f>
        <v/>
      </c>
      <c r="O289">
        <f>IF(Klantgegevens_B!N288&lt;&gt;"", Klantgegevens_B!N288, IF(Klantgegevens_A!L288&gt;=7, "ja", "nee"))</f>
        <v/>
      </c>
      <c r="P289">
        <f>IF(Klantgegevens_B!O288&lt;&gt;"", Klantgegevens_B!O288, IF(Klantgegevens_A!L288&gt;=7, "ja", "nee"))</f>
        <v/>
      </c>
      <c r="Q289">
        <f>IF(Klantgegevens_B!P288&lt;&gt;"", Klantgegevens_B!P288, Klantgegevens_A!M288)</f>
        <v/>
      </c>
      <c r="R289">
        <f>IF(Klantgegevens_B!A288&lt;&gt;"", "B", "A")</f>
        <v/>
      </c>
    </row>
    <row r="290">
      <c r="A290">
        <f>IF(Klantgegevens_B!A289&lt;&gt;"", Klantgegevens_B!A289, MID(Klantgegevens_A!A289, FIND(",", Klantgegevens_A!A289)+2, LEN(Klantgegevens_A!A289)))</f>
        <v/>
      </c>
      <c r="B290">
        <f>IF(Klantgegevens_B!B289&lt;&gt;"", Klantgegevens_B!B289, LEFT(Klantgegevens_A!A289, FIND(",", Klantgegevens_A!A289)-1))</f>
        <v/>
      </c>
      <c r="C290">
        <f>C289 &amp; ", " &amp; B289</f>
        <v/>
      </c>
      <c r="D290">
        <f>IF(Klantgegevens_B!F289&lt;&gt;"", Klantgegevens_B!F289, Klantgegevens_A!D289 &amp; " " &amp; Klantgegevens_A!E289 &amp; ", " &amp; Klantgegevens_A!F289)</f>
        <v/>
      </c>
      <c r="E290">
        <f>IF(Klantgegevens_B!G289&lt;&gt;"", Klantgegevens_B!G289, TEXTJOIN(",", TRUE, REPT("Volwassene,", Klantgegevens_A!G289), REPT("Kind,", Klantgegevens_A!H289)))</f>
        <v/>
      </c>
      <c r="F290">
        <f>IF(Klantgegevens_B!G289&lt;&gt;"", LEN(Klantgegevens_B!G289)-LEN(SUBSTITUTE(Klantgegevens_B!G289, ",", ""))+1, Klantgegevens_A!G289)</f>
        <v/>
      </c>
      <c r="G290">
        <f>IF(Klantgegevens_B!G289&lt;&gt;"", 0, Klantgegevens_A!H289)</f>
        <v/>
      </c>
      <c r="H290">
        <f>IF(Klantgegevens_B!H289&lt;&gt;"", Klantgegevens_B!H289, Klantgegevens_A!I289)</f>
        <v/>
      </c>
      <c r="I290">
        <f>IF(Klantgegevens_B!I289&lt;&gt;"", Klantgegevens_B!I289, SWITCH(Klantgegevens_A!J289, "Zelden", 1, "Af en toe", 4, "Regelmatig", 8, "Vaak", 12))</f>
        <v/>
      </c>
      <c r="J290">
        <f>IF(Klantgegevens_B!J289&lt;&gt;"", Klantgegevens_B!J289, Klantgegevens_A!K289)</f>
        <v/>
      </c>
      <c r="K290">
        <f>IF(Klantgegevens_B!K289&lt;&gt;"", AVERAGE(--(Klantgegevens_B!K289="ja"), --(Klantgegevens_B!L289="ja"), --(Klantgegevens_B!M289="ja"), --(Klantgegevens_B!N289="ja"), --(Klantgegevens_B!O289="ja"))*10, Klantgegevens_A!L289)</f>
        <v/>
      </c>
      <c r="L290">
        <f>IF(Klantgegevens_B!K289&lt;&gt;"", Klantgegevens_B!K289, IF(Klantgegevens_A!L289&gt;=7, "ja", "nee"))</f>
        <v/>
      </c>
      <c r="M290">
        <f>IF(Klantgegevens_B!L289&lt;&gt;"", Klantgegevens_B!L289, IF(Klantgegevens_A!L289&gt;=7, "ja", "nee"))</f>
        <v/>
      </c>
      <c r="N290">
        <f>IF(Klantgegevens_B!M289&lt;&gt;"", Klantgegevens_B!M289, IF(Klantgegevens_A!L289&gt;=7, "ja", "nee"))</f>
        <v/>
      </c>
      <c r="O290">
        <f>IF(Klantgegevens_B!N289&lt;&gt;"", Klantgegevens_B!N289, IF(Klantgegevens_A!L289&gt;=7, "ja", "nee"))</f>
        <v/>
      </c>
      <c r="P290">
        <f>IF(Klantgegevens_B!O289&lt;&gt;"", Klantgegevens_B!O289, IF(Klantgegevens_A!L289&gt;=7, "ja", "nee"))</f>
        <v/>
      </c>
      <c r="Q290">
        <f>IF(Klantgegevens_B!P289&lt;&gt;"", Klantgegevens_B!P289, Klantgegevens_A!M289)</f>
        <v/>
      </c>
      <c r="R290">
        <f>IF(Klantgegevens_B!A289&lt;&gt;"", "B", "A")</f>
        <v/>
      </c>
    </row>
    <row r="291">
      <c r="A291">
        <f>IF(Klantgegevens_B!A290&lt;&gt;"", Klantgegevens_B!A290, MID(Klantgegevens_A!A290, FIND(",", Klantgegevens_A!A290)+2, LEN(Klantgegevens_A!A290)))</f>
        <v/>
      </c>
      <c r="B291">
        <f>IF(Klantgegevens_B!B290&lt;&gt;"", Klantgegevens_B!B290, LEFT(Klantgegevens_A!A290, FIND(",", Klantgegevens_A!A290)-1))</f>
        <v/>
      </c>
      <c r="C291">
        <f>C290 &amp; ", " &amp; B290</f>
        <v/>
      </c>
      <c r="D291">
        <f>IF(Klantgegevens_B!F290&lt;&gt;"", Klantgegevens_B!F290, Klantgegevens_A!D290 &amp; " " &amp; Klantgegevens_A!E290 &amp; ", " &amp; Klantgegevens_A!F290)</f>
        <v/>
      </c>
      <c r="E291">
        <f>IF(Klantgegevens_B!G290&lt;&gt;"", Klantgegevens_B!G290, TEXTJOIN(",", TRUE, REPT("Volwassene,", Klantgegevens_A!G290), REPT("Kind,", Klantgegevens_A!H290)))</f>
        <v/>
      </c>
      <c r="F291">
        <f>IF(Klantgegevens_B!G290&lt;&gt;"", LEN(Klantgegevens_B!G290)-LEN(SUBSTITUTE(Klantgegevens_B!G290, ",", ""))+1, Klantgegevens_A!G290)</f>
        <v/>
      </c>
      <c r="G291">
        <f>IF(Klantgegevens_B!G290&lt;&gt;"", 0, Klantgegevens_A!H290)</f>
        <v/>
      </c>
      <c r="H291">
        <f>IF(Klantgegevens_B!H290&lt;&gt;"", Klantgegevens_B!H290, Klantgegevens_A!I290)</f>
        <v/>
      </c>
      <c r="I291">
        <f>IF(Klantgegevens_B!I290&lt;&gt;"", Klantgegevens_B!I290, SWITCH(Klantgegevens_A!J290, "Zelden", 1, "Af en toe", 4, "Regelmatig", 8, "Vaak", 12))</f>
        <v/>
      </c>
      <c r="J291">
        <f>IF(Klantgegevens_B!J290&lt;&gt;"", Klantgegevens_B!J290, Klantgegevens_A!K290)</f>
        <v/>
      </c>
      <c r="K291">
        <f>IF(Klantgegevens_B!K290&lt;&gt;"", AVERAGE(--(Klantgegevens_B!K290="ja"), --(Klantgegevens_B!L290="ja"), --(Klantgegevens_B!M290="ja"), --(Klantgegevens_B!N290="ja"), --(Klantgegevens_B!O290="ja"))*10, Klantgegevens_A!L290)</f>
        <v/>
      </c>
      <c r="L291">
        <f>IF(Klantgegevens_B!K290&lt;&gt;"", Klantgegevens_B!K290, IF(Klantgegevens_A!L290&gt;=7, "ja", "nee"))</f>
        <v/>
      </c>
      <c r="M291">
        <f>IF(Klantgegevens_B!L290&lt;&gt;"", Klantgegevens_B!L290, IF(Klantgegevens_A!L290&gt;=7, "ja", "nee"))</f>
        <v/>
      </c>
      <c r="N291">
        <f>IF(Klantgegevens_B!M290&lt;&gt;"", Klantgegevens_B!M290, IF(Klantgegevens_A!L290&gt;=7, "ja", "nee"))</f>
        <v/>
      </c>
      <c r="O291">
        <f>IF(Klantgegevens_B!N290&lt;&gt;"", Klantgegevens_B!N290, IF(Klantgegevens_A!L290&gt;=7, "ja", "nee"))</f>
        <v/>
      </c>
      <c r="P291">
        <f>IF(Klantgegevens_B!O290&lt;&gt;"", Klantgegevens_B!O290, IF(Klantgegevens_A!L290&gt;=7, "ja", "nee"))</f>
        <v/>
      </c>
      <c r="Q291">
        <f>IF(Klantgegevens_B!P290&lt;&gt;"", Klantgegevens_B!P290, Klantgegevens_A!M290)</f>
        <v/>
      </c>
      <c r="R291">
        <f>IF(Klantgegevens_B!A290&lt;&gt;"", "B", "A")</f>
        <v/>
      </c>
    </row>
    <row r="292">
      <c r="A292">
        <f>IF(Klantgegevens_B!A291&lt;&gt;"", Klantgegevens_B!A291, MID(Klantgegevens_A!A291, FIND(",", Klantgegevens_A!A291)+2, LEN(Klantgegevens_A!A291)))</f>
        <v/>
      </c>
      <c r="B292">
        <f>IF(Klantgegevens_B!B291&lt;&gt;"", Klantgegevens_B!B291, LEFT(Klantgegevens_A!A291, FIND(",", Klantgegevens_A!A291)-1))</f>
        <v/>
      </c>
      <c r="C292">
        <f>C291 &amp; ", " &amp; B291</f>
        <v/>
      </c>
      <c r="D292">
        <f>IF(Klantgegevens_B!F291&lt;&gt;"", Klantgegevens_B!F291, Klantgegevens_A!D291 &amp; " " &amp; Klantgegevens_A!E291 &amp; ", " &amp; Klantgegevens_A!F291)</f>
        <v/>
      </c>
      <c r="E292">
        <f>IF(Klantgegevens_B!G291&lt;&gt;"", Klantgegevens_B!G291, TEXTJOIN(",", TRUE, REPT("Volwassene,", Klantgegevens_A!G291), REPT("Kind,", Klantgegevens_A!H291)))</f>
        <v/>
      </c>
      <c r="F292">
        <f>IF(Klantgegevens_B!G291&lt;&gt;"", LEN(Klantgegevens_B!G291)-LEN(SUBSTITUTE(Klantgegevens_B!G291, ",", ""))+1, Klantgegevens_A!G291)</f>
        <v/>
      </c>
      <c r="G292">
        <f>IF(Klantgegevens_B!G291&lt;&gt;"", 0, Klantgegevens_A!H291)</f>
        <v/>
      </c>
      <c r="H292">
        <f>IF(Klantgegevens_B!H291&lt;&gt;"", Klantgegevens_B!H291, Klantgegevens_A!I291)</f>
        <v/>
      </c>
      <c r="I292">
        <f>IF(Klantgegevens_B!I291&lt;&gt;"", Klantgegevens_B!I291, SWITCH(Klantgegevens_A!J291, "Zelden", 1, "Af en toe", 4, "Regelmatig", 8, "Vaak", 12))</f>
        <v/>
      </c>
      <c r="J292">
        <f>IF(Klantgegevens_B!J291&lt;&gt;"", Klantgegevens_B!J291, Klantgegevens_A!K291)</f>
        <v/>
      </c>
      <c r="K292">
        <f>IF(Klantgegevens_B!K291&lt;&gt;"", AVERAGE(--(Klantgegevens_B!K291="ja"), --(Klantgegevens_B!L291="ja"), --(Klantgegevens_B!M291="ja"), --(Klantgegevens_B!N291="ja"), --(Klantgegevens_B!O291="ja"))*10, Klantgegevens_A!L291)</f>
        <v/>
      </c>
      <c r="L292">
        <f>IF(Klantgegevens_B!K291&lt;&gt;"", Klantgegevens_B!K291, IF(Klantgegevens_A!L291&gt;=7, "ja", "nee"))</f>
        <v/>
      </c>
      <c r="M292">
        <f>IF(Klantgegevens_B!L291&lt;&gt;"", Klantgegevens_B!L291, IF(Klantgegevens_A!L291&gt;=7, "ja", "nee"))</f>
        <v/>
      </c>
      <c r="N292">
        <f>IF(Klantgegevens_B!M291&lt;&gt;"", Klantgegevens_B!M291, IF(Klantgegevens_A!L291&gt;=7, "ja", "nee"))</f>
        <v/>
      </c>
      <c r="O292">
        <f>IF(Klantgegevens_B!N291&lt;&gt;"", Klantgegevens_B!N291, IF(Klantgegevens_A!L291&gt;=7, "ja", "nee"))</f>
        <v/>
      </c>
      <c r="P292">
        <f>IF(Klantgegevens_B!O291&lt;&gt;"", Klantgegevens_B!O291, IF(Klantgegevens_A!L291&gt;=7, "ja", "nee"))</f>
        <v/>
      </c>
      <c r="Q292">
        <f>IF(Klantgegevens_B!P291&lt;&gt;"", Klantgegevens_B!P291, Klantgegevens_A!M291)</f>
        <v/>
      </c>
      <c r="R292">
        <f>IF(Klantgegevens_B!A291&lt;&gt;"", "B", "A")</f>
        <v/>
      </c>
    </row>
    <row r="293">
      <c r="A293">
        <f>IF(Klantgegevens_B!A292&lt;&gt;"", Klantgegevens_B!A292, MID(Klantgegevens_A!A292, FIND(",", Klantgegevens_A!A292)+2, LEN(Klantgegevens_A!A292)))</f>
        <v/>
      </c>
      <c r="B293">
        <f>IF(Klantgegevens_B!B292&lt;&gt;"", Klantgegevens_B!B292, LEFT(Klantgegevens_A!A292, FIND(",", Klantgegevens_A!A292)-1))</f>
        <v/>
      </c>
      <c r="C293">
        <f>C292 &amp; ", " &amp; B292</f>
        <v/>
      </c>
      <c r="D293">
        <f>IF(Klantgegevens_B!F292&lt;&gt;"", Klantgegevens_B!F292, Klantgegevens_A!D292 &amp; " " &amp; Klantgegevens_A!E292 &amp; ", " &amp; Klantgegevens_A!F292)</f>
        <v/>
      </c>
      <c r="E293">
        <f>IF(Klantgegevens_B!G292&lt;&gt;"", Klantgegevens_B!G292, TEXTJOIN(",", TRUE, REPT("Volwassene,", Klantgegevens_A!G292), REPT("Kind,", Klantgegevens_A!H292)))</f>
        <v/>
      </c>
      <c r="F293">
        <f>IF(Klantgegevens_B!G292&lt;&gt;"", LEN(Klantgegevens_B!G292)-LEN(SUBSTITUTE(Klantgegevens_B!G292, ",", ""))+1, Klantgegevens_A!G292)</f>
        <v/>
      </c>
      <c r="G293">
        <f>IF(Klantgegevens_B!G292&lt;&gt;"", 0, Klantgegevens_A!H292)</f>
        <v/>
      </c>
      <c r="H293">
        <f>IF(Klantgegevens_B!H292&lt;&gt;"", Klantgegevens_B!H292, Klantgegevens_A!I292)</f>
        <v/>
      </c>
      <c r="I293">
        <f>IF(Klantgegevens_B!I292&lt;&gt;"", Klantgegevens_B!I292, SWITCH(Klantgegevens_A!J292, "Zelden", 1, "Af en toe", 4, "Regelmatig", 8, "Vaak", 12))</f>
        <v/>
      </c>
      <c r="J293">
        <f>IF(Klantgegevens_B!J292&lt;&gt;"", Klantgegevens_B!J292, Klantgegevens_A!K292)</f>
        <v/>
      </c>
      <c r="K293">
        <f>IF(Klantgegevens_B!K292&lt;&gt;"", AVERAGE(--(Klantgegevens_B!K292="ja"), --(Klantgegevens_B!L292="ja"), --(Klantgegevens_B!M292="ja"), --(Klantgegevens_B!N292="ja"), --(Klantgegevens_B!O292="ja"))*10, Klantgegevens_A!L292)</f>
        <v/>
      </c>
      <c r="L293">
        <f>IF(Klantgegevens_B!K292&lt;&gt;"", Klantgegevens_B!K292, IF(Klantgegevens_A!L292&gt;=7, "ja", "nee"))</f>
        <v/>
      </c>
      <c r="M293">
        <f>IF(Klantgegevens_B!L292&lt;&gt;"", Klantgegevens_B!L292, IF(Klantgegevens_A!L292&gt;=7, "ja", "nee"))</f>
        <v/>
      </c>
      <c r="N293">
        <f>IF(Klantgegevens_B!M292&lt;&gt;"", Klantgegevens_B!M292, IF(Klantgegevens_A!L292&gt;=7, "ja", "nee"))</f>
        <v/>
      </c>
      <c r="O293">
        <f>IF(Klantgegevens_B!N292&lt;&gt;"", Klantgegevens_B!N292, IF(Klantgegevens_A!L292&gt;=7, "ja", "nee"))</f>
        <v/>
      </c>
      <c r="P293">
        <f>IF(Klantgegevens_B!O292&lt;&gt;"", Klantgegevens_B!O292, IF(Klantgegevens_A!L292&gt;=7, "ja", "nee"))</f>
        <v/>
      </c>
      <c r="Q293">
        <f>IF(Klantgegevens_B!P292&lt;&gt;"", Klantgegevens_B!P292, Klantgegevens_A!M292)</f>
        <v/>
      </c>
      <c r="R293">
        <f>IF(Klantgegevens_B!A292&lt;&gt;"", "B", "A")</f>
        <v/>
      </c>
    </row>
    <row r="294">
      <c r="A294">
        <f>IF(Klantgegevens_B!A293&lt;&gt;"", Klantgegevens_B!A293, MID(Klantgegevens_A!A293, FIND(",", Klantgegevens_A!A293)+2, LEN(Klantgegevens_A!A293)))</f>
        <v/>
      </c>
      <c r="B294">
        <f>IF(Klantgegevens_B!B293&lt;&gt;"", Klantgegevens_B!B293, LEFT(Klantgegevens_A!A293, FIND(",", Klantgegevens_A!A293)-1))</f>
        <v/>
      </c>
      <c r="C294">
        <f>C293 &amp; ", " &amp; B293</f>
        <v/>
      </c>
      <c r="D294">
        <f>IF(Klantgegevens_B!F293&lt;&gt;"", Klantgegevens_B!F293, Klantgegevens_A!D293 &amp; " " &amp; Klantgegevens_A!E293 &amp; ", " &amp; Klantgegevens_A!F293)</f>
        <v/>
      </c>
      <c r="E294">
        <f>IF(Klantgegevens_B!G293&lt;&gt;"", Klantgegevens_B!G293, TEXTJOIN(",", TRUE, REPT("Volwassene,", Klantgegevens_A!G293), REPT("Kind,", Klantgegevens_A!H293)))</f>
        <v/>
      </c>
      <c r="F294">
        <f>IF(Klantgegevens_B!G293&lt;&gt;"", LEN(Klantgegevens_B!G293)-LEN(SUBSTITUTE(Klantgegevens_B!G293, ",", ""))+1, Klantgegevens_A!G293)</f>
        <v/>
      </c>
      <c r="G294">
        <f>IF(Klantgegevens_B!G293&lt;&gt;"", 0, Klantgegevens_A!H293)</f>
        <v/>
      </c>
      <c r="H294">
        <f>IF(Klantgegevens_B!H293&lt;&gt;"", Klantgegevens_B!H293, Klantgegevens_A!I293)</f>
        <v/>
      </c>
      <c r="I294">
        <f>IF(Klantgegevens_B!I293&lt;&gt;"", Klantgegevens_B!I293, SWITCH(Klantgegevens_A!J293, "Zelden", 1, "Af en toe", 4, "Regelmatig", 8, "Vaak", 12))</f>
        <v/>
      </c>
      <c r="J294">
        <f>IF(Klantgegevens_B!J293&lt;&gt;"", Klantgegevens_B!J293, Klantgegevens_A!K293)</f>
        <v/>
      </c>
      <c r="K294">
        <f>IF(Klantgegevens_B!K293&lt;&gt;"", AVERAGE(--(Klantgegevens_B!K293="ja"), --(Klantgegevens_B!L293="ja"), --(Klantgegevens_B!M293="ja"), --(Klantgegevens_B!N293="ja"), --(Klantgegevens_B!O293="ja"))*10, Klantgegevens_A!L293)</f>
        <v/>
      </c>
      <c r="L294">
        <f>IF(Klantgegevens_B!K293&lt;&gt;"", Klantgegevens_B!K293, IF(Klantgegevens_A!L293&gt;=7, "ja", "nee"))</f>
        <v/>
      </c>
      <c r="M294">
        <f>IF(Klantgegevens_B!L293&lt;&gt;"", Klantgegevens_B!L293, IF(Klantgegevens_A!L293&gt;=7, "ja", "nee"))</f>
        <v/>
      </c>
      <c r="N294">
        <f>IF(Klantgegevens_B!M293&lt;&gt;"", Klantgegevens_B!M293, IF(Klantgegevens_A!L293&gt;=7, "ja", "nee"))</f>
        <v/>
      </c>
      <c r="O294">
        <f>IF(Klantgegevens_B!N293&lt;&gt;"", Klantgegevens_B!N293, IF(Klantgegevens_A!L293&gt;=7, "ja", "nee"))</f>
        <v/>
      </c>
      <c r="P294">
        <f>IF(Klantgegevens_B!O293&lt;&gt;"", Klantgegevens_B!O293, IF(Klantgegevens_A!L293&gt;=7, "ja", "nee"))</f>
        <v/>
      </c>
      <c r="Q294">
        <f>IF(Klantgegevens_B!P293&lt;&gt;"", Klantgegevens_B!P293, Klantgegevens_A!M293)</f>
        <v/>
      </c>
      <c r="R294">
        <f>IF(Klantgegevens_B!A293&lt;&gt;"", "B", "A")</f>
        <v/>
      </c>
    </row>
    <row r="295">
      <c r="A295">
        <f>IF(Klantgegevens_B!A294&lt;&gt;"", Klantgegevens_B!A294, MID(Klantgegevens_A!A294, FIND(",", Klantgegevens_A!A294)+2, LEN(Klantgegevens_A!A294)))</f>
        <v/>
      </c>
      <c r="B295">
        <f>IF(Klantgegevens_B!B294&lt;&gt;"", Klantgegevens_B!B294, LEFT(Klantgegevens_A!A294, FIND(",", Klantgegevens_A!A294)-1))</f>
        <v/>
      </c>
      <c r="C295">
        <f>C294 &amp; ", " &amp; B294</f>
        <v/>
      </c>
      <c r="D295">
        <f>IF(Klantgegevens_B!F294&lt;&gt;"", Klantgegevens_B!F294, Klantgegevens_A!D294 &amp; " " &amp; Klantgegevens_A!E294 &amp; ", " &amp; Klantgegevens_A!F294)</f>
        <v/>
      </c>
      <c r="E295">
        <f>IF(Klantgegevens_B!G294&lt;&gt;"", Klantgegevens_B!G294, TEXTJOIN(",", TRUE, REPT("Volwassene,", Klantgegevens_A!G294), REPT("Kind,", Klantgegevens_A!H294)))</f>
        <v/>
      </c>
      <c r="F295">
        <f>IF(Klantgegevens_B!G294&lt;&gt;"", LEN(Klantgegevens_B!G294)-LEN(SUBSTITUTE(Klantgegevens_B!G294, ",", ""))+1, Klantgegevens_A!G294)</f>
        <v/>
      </c>
      <c r="G295">
        <f>IF(Klantgegevens_B!G294&lt;&gt;"", 0, Klantgegevens_A!H294)</f>
        <v/>
      </c>
      <c r="H295">
        <f>IF(Klantgegevens_B!H294&lt;&gt;"", Klantgegevens_B!H294, Klantgegevens_A!I294)</f>
        <v/>
      </c>
      <c r="I295">
        <f>IF(Klantgegevens_B!I294&lt;&gt;"", Klantgegevens_B!I294, SWITCH(Klantgegevens_A!J294, "Zelden", 1, "Af en toe", 4, "Regelmatig", 8, "Vaak", 12))</f>
        <v/>
      </c>
      <c r="J295">
        <f>IF(Klantgegevens_B!J294&lt;&gt;"", Klantgegevens_B!J294, Klantgegevens_A!K294)</f>
        <v/>
      </c>
      <c r="K295">
        <f>IF(Klantgegevens_B!K294&lt;&gt;"", AVERAGE(--(Klantgegevens_B!K294="ja"), --(Klantgegevens_B!L294="ja"), --(Klantgegevens_B!M294="ja"), --(Klantgegevens_B!N294="ja"), --(Klantgegevens_B!O294="ja"))*10, Klantgegevens_A!L294)</f>
        <v/>
      </c>
      <c r="L295">
        <f>IF(Klantgegevens_B!K294&lt;&gt;"", Klantgegevens_B!K294, IF(Klantgegevens_A!L294&gt;=7, "ja", "nee"))</f>
        <v/>
      </c>
      <c r="M295">
        <f>IF(Klantgegevens_B!L294&lt;&gt;"", Klantgegevens_B!L294, IF(Klantgegevens_A!L294&gt;=7, "ja", "nee"))</f>
        <v/>
      </c>
      <c r="N295">
        <f>IF(Klantgegevens_B!M294&lt;&gt;"", Klantgegevens_B!M294, IF(Klantgegevens_A!L294&gt;=7, "ja", "nee"))</f>
        <v/>
      </c>
      <c r="O295">
        <f>IF(Klantgegevens_B!N294&lt;&gt;"", Klantgegevens_B!N294, IF(Klantgegevens_A!L294&gt;=7, "ja", "nee"))</f>
        <v/>
      </c>
      <c r="P295">
        <f>IF(Klantgegevens_B!O294&lt;&gt;"", Klantgegevens_B!O294, IF(Klantgegevens_A!L294&gt;=7, "ja", "nee"))</f>
        <v/>
      </c>
      <c r="Q295">
        <f>IF(Klantgegevens_B!P294&lt;&gt;"", Klantgegevens_B!P294, Klantgegevens_A!M294)</f>
        <v/>
      </c>
      <c r="R295">
        <f>IF(Klantgegevens_B!A294&lt;&gt;"", "B", "A")</f>
        <v/>
      </c>
    </row>
    <row r="296">
      <c r="A296">
        <f>IF(Klantgegevens_B!A295&lt;&gt;"", Klantgegevens_B!A295, MID(Klantgegevens_A!A295, FIND(",", Klantgegevens_A!A295)+2, LEN(Klantgegevens_A!A295)))</f>
        <v/>
      </c>
      <c r="B296">
        <f>IF(Klantgegevens_B!B295&lt;&gt;"", Klantgegevens_B!B295, LEFT(Klantgegevens_A!A295, FIND(",", Klantgegevens_A!A295)-1))</f>
        <v/>
      </c>
      <c r="C296">
        <f>C295 &amp; ", " &amp; B295</f>
        <v/>
      </c>
      <c r="D296">
        <f>IF(Klantgegevens_B!F295&lt;&gt;"", Klantgegevens_B!F295, Klantgegevens_A!D295 &amp; " " &amp; Klantgegevens_A!E295 &amp; ", " &amp; Klantgegevens_A!F295)</f>
        <v/>
      </c>
      <c r="E296">
        <f>IF(Klantgegevens_B!G295&lt;&gt;"", Klantgegevens_B!G295, TEXTJOIN(",", TRUE, REPT("Volwassene,", Klantgegevens_A!G295), REPT("Kind,", Klantgegevens_A!H295)))</f>
        <v/>
      </c>
      <c r="F296">
        <f>IF(Klantgegevens_B!G295&lt;&gt;"", LEN(Klantgegevens_B!G295)-LEN(SUBSTITUTE(Klantgegevens_B!G295, ",", ""))+1, Klantgegevens_A!G295)</f>
        <v/>
      </c>
      <c r="G296">
        <f>IF(Klantgegevens_B!G295&lt;&gt;"", 0, Klantgegevens_A!H295)</f>
        <v/>
      </c>
      <c r="H296">
        <f>IF(Klantgegevens_B!H295&lt;&gt;"", Klantgegevens_B!H295, Klantgegevens_A!I295)</f>
        <v/>
      </c>
      <c r="I296">
        <f>IF(Klantgegevens_B!I295&lt;&gt;"", Klantgegevens_B!I295, SWITCH(Klantgegevens_A!J295, "Zelden", 1, "Af en toe", 4, "Regelmatig", 8, "Vaak", 12))</f>
        <v/>
      </c>
      <c r="J296">
        <f>IF(Klantgegevens_B!J295&lt;&gt;"", Klantgegevens_B!J295, Klantgegevens_A!K295)</f>
        <v/>
      </c>
      <c r="K296">
        <f>IF(Klantgegevens_B!K295&lt;&gt;"", AVERAGE(--(Klantgegevens_B!K295="ja"), --(Klantgegevens_B!L295="ja"), --(Klantgegevens_B!M295="ja"), --(Klantgegevens_B!N295="ja"), --(Klantgegevens_B!O295="ja"))*10, Klantgegevens_A!L295)</f>
        <v/>
      </c>
      <c r="L296">
        <f>IF(Klantgegevens_B!K295&lt;&gt;"", Klantgegevens_B!K295, IF(Klantgegevens_A!L295&gt;=7, "ja", "nee"))</f>
        <v/>
      </c>
      <c r="M296">
        <f>IF(Klantgegevens_B!L295&lt;&gt;"", Klantgegevens_B!L295, IF(Klantgegevens_A!L295&gt;=7, "ja", "nee"))</f>
        <v/>
      </c>
      <c r="N296">
        <f>IF(Klantgegevens_B!M295&lt;&gt;"", Klantgegevens_B!M295, IF(Klantgegevens_A!L295&gt;=7, "ja", "nee"))</f>
        <v/>
      </c>
      <c r="O296">
        <f>IF(Klantgegevens_B!N295&lt;&gt;"", Klantgegevens_B!N295, IF(Klantgegevens_A!L295&gt;=7, "ja", "nee"))</f>
        <v/>
      </c>
      <c r="P296">
        <f>IF(Klantgegevens_B!O295&lt;&gt;"", Klantgegevens_B!O295, IF(Klantgegevens_A!L295&gt;=7, "ja", "nee"))</f>
        <v/>
      </c>
      <c r="Q296">
        <f>IF(Klantgegevens_B!P295&lt;&gt;"", Klantgegevens_B!P295, Klantgegevens_A!M295)</f>
        <v/>
      </c>
      <c r="R296">
        <f>IF(Klantgegevens_B!A295&lt;&gt;"", "B", "A")</f>
        <v/>
      </c>
    </row>
    <row r="297">
      <c r="A297">
        <f>IF(Klantgegevens_B!A296&lt;&gt;"", Klantgegevens_B!A296, MID(Klantgegevens_A!A296, FIND(",", Klantgegevens_A!A296)+2, LEN(Klantgegevens_A!A296)))</f>
        <v/>
      </c>
      <c r="B297">
        <f>IF(Klantgegevens_B!B296&lt;&gt;"", Klantgegevens_B!B296, LEFT(Klantgegevens_A!A296, FIND(",", Klantgegevens_A!A296)-1))</f>
        <v/>
      </c>
      <c r="C297">
        <f>C296 &amp; ", " &amp; B296</f>
        <v/>
      </c>
      <c r="D297">
        <f>IF(Klantgegevens_B!F296&lt;&gt;"", Klantgegevens_B!F296, Klantgegevens_A!D296 &amp; " " &amp; Klantgegevens_A!E296 &amp; ", " &amp; Klantgegevens_A!F296)</f>
        <v/>
      </c>
      <c r="E297">
        <f>IF(Klantgegevens_B!G296&lt;&gt;"", Klantgegevens_B!G296, TEXTJOIN(",", TRUE, REPT("Volwassene,", Klantgegevens_A!G296), REPT("Kind,", Klantgegevens_A!H296)))</f>
        <v/>
      </c>
      <c r="F297">
        <f>IF(Klantgegevens_B!G296&lt;&gt;"", LEN(Klantgegevens_B!G296)-LEN(SUBSTITUTE(Klantgegevens_B!G296, ",", ""))+1, Klantgegevens_A!G296)</f>
        <v/>
      </c>
      <c r="G297">
        <f>IF(Klantgegevens_B!G296&lt;&gt;"", 0, Klantgegevens_A!H296)</f>
        <v/>
      </c>
      <c r="H297">
        <f>IF(Klantgegevens_B!H296&lt;&gt;"", Klantgegevens_B!H296, Klantgegevens_A!I296)</f>
        <v/>
      </c>
      <c r="I297">
        <f>IF(Klantgegevens_B!I296&lt;&gt;"", Klantgegevens_B!I296, SWITCH(Klantgegevens_A!J296, "Zelden", 1, "Af en toe", 4, "Regelmatig", 8, "Vaak", 12))</f>
        <v/>
      </c>
      <c r="J297">
        <f>IF(Klantgegevens_B!J296&lt;&gt;"", Klantgegevens_B!J296, Klantgegevens_A!K296)</f>
        <v/>
      </c>
      <c r="K297">
        <f>IF(Klantgegevens_B!K296&lt;&gt;"", AVERAGE(--(Klantgegevens_B!K296="ja"), --(Klantgegevens_B!L296="ja"), --(Klantgegevens_B!M296="ja"), --(Klantgegevens_B!N296="ja"), --(Klantgegevens_B!O296="ja"))*10, Klantgegevens_A!L296)</f>
        <v/>
      </c>
      <c r="L297">
        <f>IF(Klantgegevens_B!K296&lt;&gt;"", Klantgegevens_B!K296, IF(Klantgegevens_A!L296&gt;=7, "ja", "nee"))</f>
        <v/>
      </c>
      <c r="M297">
        <f>IF(Klantgegevens_B!L296&lt;&gt;"", Klantgegevens_B!L296, IF(Klantgegevens_A!L296&gt;=7, "ja", "nee"))</f>
        <v/>
      </c>
      <c r="N297">
        <f>IF(Klantgegevens_B!M296&lt;&gt;"", Klantgegevens_B!M296, IF(Klantgegevens_A!L296&gt;=7, "ja", "nee"))</f>
        <v/>
      </c>
      <c r="O297">
        <f>IF(Klantgegevens_B!N296&lt;&gt;"", Klantgegevens_B!N296, IF(Klantgegevens_A!L296&gt;=7, "ja", "nee"))</f>
        <v/>
      </c>
      <c r="P297">
        <f>IF(Klantgegevens_B!O296&lt;&gt;"", Klantgegevens_B!O296, IF(Klantgegevens_A!L296&gt;=7, "ja", "nee"))</f>
        <v/>
      </c>
      <c r="Q297">
        <f>IF(Klantgegevens_B!P296&lt;&gt;"", Klantgegevens_B!P296, Klantgegevens_A!M296)</f>
        <v/>
      </c>
      <c r="R297">
        <f>IF(Klantgegevens_B!A296&lt;&gt;"", "B", "A")</f>
        <v/>
      </c>
    </row>
    <row r="298">
      <c r="A298">
        <f>IF(Klantgegevens_B!A297&lt;&gt;"", Klantgegevens_B!A297, MID(Klantgegevens_A!A297, FIND(",", Klantgegevens_A!A297)+2, LEN(Klantgegevens_A!A297)))</f>
        <v/>
      </c>
      <c r="B298">
        <f>IF(Klantgegevens_B!B297&lt;&gt;"", Klantgegevens_B!B297, LEFT(Klantgegevens_A!A297, FIND(",", Klantgegevens_A!A297)-1))</f>
        <v/>
      </c>
      <c r="C298">
        <f>C297 &amp; ", " &amp; B297</f>
        <v/>
      </c>
      <c r="D298">
        <f>IF(Klantgegevens_B!F297&lt;&gt;"", Klantgegevens_B!F297, Klantgegevens_A!D297 &amp; " " &amp; Klantgegevens_A!E297 &amp; ", " &amp; Klantgegevens_A!F297)</f>
        <v/>
      </c>
      <c r="E298">
        <f>IF(Klantgegevens_B!G297&lt;&gt;"", Klantgegevens_B!G297, TEXTJOIN(",", TRUE, REPT("Volwassene,", Klantgegevens_A!G297), REPT("Kind,", Klantgegevens_A!H297)))</f>
        <v/>
      </c>
      <c r="F298">
        <f>IF(Klantgegevens_B!G297&lt;&gt;"", LEN(Klantgegevens_B!G297)-LEN(SUBSTITUTE(Klantgegevens_B!G297, ",", ""))+1, Klantgegevens_A!G297)</f>
        <v/>
      </c>
      <c r="G298">
        <f>IF(Klantgegevens_B!G297&lt;&gt;"", 0, Klantgegevens_A!H297)</f>
        <v/>
      </c>
      <c r="H298">
        <f>IF(Klantgegevens_B!H297&lt;&gt;"", Klantgegevens_B!H297, Klantgegevens_A!I297)</f>
        <v/>
      </c>
      <c r="I298">
        <f>IF(Klantgegevens_B!I297&lt;&gt;"", Klantgegevens_B!I297, SWITCH(Klantgegevens_A!J297, "Zelden", 1, "Af en toe", 4, "Regelmatig", 8, "Vaak", 12))</f>
        <v/>
      </c>
      <c r="J298">
        <f>IF(Klantgegevens_B!J297&lt;&gt;"", Klantgegevens_B!J297, Klantgegevens_A!K297)</f>
        <v/>
      </c>
      <c r="K298">
        <f>IF(Klantgegevens_B!K297&lt;&gt;"", AVERAGE(--(Klantgegevens_B!K297="ja"), --(Klantgegevens_B!L297="ja"), --(Klantgegevens_B!M297="ja"), --(Klantgegevens_B!N297="ja"), --(Klantgegevens_B!O297="ja"))*10, Klantgegevens_A!L297)</f>
        <v/>
      </c>
      <c r="L298">
        <f>IF(Klantgegevens_B!K297&lt;&gt;"", Klantgegevens_B!K297, IF(Klantgegevens_A!L297&gt;=7, "ja", "nee"))</f>
        <v/>
      </c>
      <c r="M298">
        <f>IF(Klantgegevens_B!L297&lt;&gt;"", Klantgegevens_B!L297, IF(Klantgegevens_A!L297&gt;=7, "ja", "nee"))</f>
        <v/>
      </c>
      <c r="N298">
        <f>IF(Klantgegevens_B!M297&lt;&gt;"", Klantgegevens_B!M297, IF(Klantgegevens_A!L297&gt;=7, "ja", "nee"))</f>
        <v/>
      </c>
      <c r="O298">
        <f>IF(Klantgegevens_B!N297&lt;&gt;"", Klantgegevens_B!N297, IF(Klantgegevens_A!L297&gt;=7, "ja", "nee"))</f>
        <v/>
      </c>
      <c r="P298">
        <f>IF(Klantgegevens_B!O297&lt;&gt;"", Klantgegevens_B!O297, IF(Klantgegevens_A!L297&gt;=7, "ja", "nee"))</f>
        <v/>
      </c>
      <c r="Q298">
        <f>IF(Klantgegevens_B!P297&lt;&gt;"", Klantgegevens_B!P297, Klantgegevens_A!M297)</f>
        <v/>
      </c>
      <c r="R298">
        <f>IF(Klantgegevens_B!A297&lt;&gt;"", "B", "A")</f>
        <v/>
      </c>
    </row>
    <row r="299">
      <c r="A299">
        <f>IF(Klantgegevens_B!A298&lt;&gt;"", Klantgegevens_B!A298, MID(Klantgegevens_A!A298, FIND(",", Klantgegevens_A!A298)+2, LEN(Klantgegevens_A!A298)))</f>
        <v/>
      </c>
      <c r="B299">
        <f>IF(Klantgegevens_B!B298&lt;&gt;"", Klantgegevens_B!B298, LEFT(Klantgegevens_A!A298, FIND(",", Klantgegevens_A!A298)-1))</f>
        <v/>
      </c>
      <c r="C299">
        <f>C298 &amp; ", " &amp; B298</f>
        <v/>
      </c>
      <c r="D299">
        <f>IF(Klantgegevens_B!F298&lt;&gt;"", Klantgegevens_B!F298, Klantgegevens_A!D298 &amp; " " &amp; Klantgegevens_A!E298 &amp; ", " &amp; Klantgegevens_A!F298)</f>
        <v/>
      </c>
      <c r="E299">
        <f>IF(Klantgegevens_B!G298&lt;&gt;"", Klantgegevens_B!G298, TEXTJOIN(",", TRUE, REPT("Volwassene,", Klantgegevens_A!G298), REPT("Kind,", Klantgegevens_A!H298)))</f>
        <v/>
      </c>
      <c r="F299">
        <f>IF(Klantgegevens_B!G298&lt;&gt;"", LEN(Klantgegevens_B!G298)-LEN(SUBSTITUTE(Klantgegevens_B!G298, ",", ""))+1, Klantgegevens_A!G298)</f>
        <v/>
      </c>
      <c r="G299">
        <f>IF(Klantgegevens_B!G298&lt;&gt;"", 0, Klantgegevens_A!H298)</f>
        <v/>
      </c>
      <c r="H299">
        <f>IF(Klantgegevens_B!H298&lt;&gt;"", Klantgegevens_B!H298, Klantgegevens_A!I298)</f>
        <v/>
      </c>
      <c r="I299">
        <f>IF(Klantgegevens_B!I298&lt;&gt;"", Klantgegevens_B!I298, SWITCH(Klantgegevens_A!J298, "Zelden", 1, "Af en toe", 4, "Regelmatig", 8, "Vaak", 12))</f>
        <v/>
      </c>
      <c r="J299">
        <f>IF(Klantgegevens_B!J298&lt;&gt;"", Klantgegevens_B!J298, Klantgegevens_A!K298)</f>
        <v/>
      </c>
      <c r="K299">
        <f>IF(Klantgegevens_B!K298&lt;&gt;"", AVERAGE(--(Klantgegevens_B!K298="ja"), --(Klantgegevens_B!L298="ja"), --(Klantgegevens_B!M298="ja"), --(Klantgegevens_B!N298="ja"), --(Klantgegevens_B!O298="ja"))*10, Klantgegevens_A!L298)</f>
        <v/>
      </c>
      <c r="L299">
        <f>IF(Klantgegevens_B!K298&lt;&gt;"", Klantgegevens_B!K298, IF(Klantgegevens_A!L298&gt;=7, "ja", "nee"))</f>
        <v/>
      </c>
      <c r="M299">
        <f>IF(Klantgegevens_B!L298&lt;&gt;"", Klantgegevens_B!L298, IF(Klantgegevens_A!L298&gt;=7, "ja", "nee"))</f>
        <v/>
      </c>
      <c r="N299">
        <f>IF(Klantgegevens_B!M298&lt;&gt;"", Klantgegevens_B!M298, IF(Klantgegevens_A!L298&gt;=7, "ja", "nee"))</f>
        <v/>
      </c>
      <c r="O299">
        <f>IF(Klantgegevens_B!N298&lt;&gt;"", Klantgegevens_B!N298, IF(Klantgegevens_A!L298&gt;=7, "ja", "nee"))</f>
        <v/>
      </c>
      <c r="P299">
        <f>IF(Klantgegevens_B!O298&lt;&gt;"", Klantgegevens_B!O298, IF(Klantgegevens_A!L298&gt;=7, "ja", "nee"))</f>
        <v/>
      </c>
      <c r="Q299">
        <f>IF(Klantgegevens_B!P298&lt;&gt;"", Klantgegevens_B!P298, Klantgegevens_A!M298)</f>
        <v/>
      </c>
      <c r="R299">
        <f>IF(Klantgegevens_B!A298&lt;&gt;"", "B", "A")</f>
        <v/>
      </c>
    </row>
    <row r="300">
      <c r="A300">
        <f>IF(Klantgegevens_B!A299&lt;&gt;"", Klantgegevens_B!A299, MID(Klantgegevens_A!A299, FIND(",", Klantgegevens_A!A299)+2, LEN(Klantgegevens_A!A299)))</f>
        <v/>
      </c>
      <c r="B300">
        <f>IF(Klantgegevens_B!B299&lt;&gt;"", Klantgegevens_B!B299, LEFT(Klantgegevens_A!A299, FIND(",", Klantgegevens_A!A299)-1))</f>
        <v/>
      </c>
      <c r="C300">
        <f>C299 &amp; ", " &amp; B299</f>
        <v/>
      </c>
      <c r="D300">
        <f>IF(Klantgegevens_B!F299&lt;&gt;"", Klantgegevens_B!F299, Klantgegevens_A!D299 &amp; " " &amp; Klantgegevens_A!E299 &amp; ", " &amp; Klantgegevens_A!F299)</f>
        <v/>
      </c>
      <c r="E300">
        <f>IF(Klantgegevens_B!G299&lt;&gt;"", Klantgegevens_B!G299, TEXTJOIN(",", TRUE, REPT("Volwassene,", Klantgegevens_A!G299), REPT("Kind,", Klantgegevens_A!H299)))</f>
        <v/>
      </c>
      <c r="F300">
        <f>IF(Klantgegevens_B!G299&lt;&gt;"", LEN(Klantgegevens_B!G299)-LEN(SUBSTITUTE(Klantgegevens_B!G299, ",", ""))+1, Klantgegevens_A!G299)</f>
        <v/>
      </c>
      <c r="G300">
        <f>IF(Klantgegevens_B!G299&lt;&gt;"", 0, Klantgegevens_A!H299)</f>
        <v/>
      </c>
      <c r="H300">
        <f>IF(Klantgegevens_B!H299&lt;&gt;"", Klantgegevens_B!H299, Klantgegevens_A!I299)</f>
        <v/>
      </c>
      <c r="I300">
        <f>IF(Klantgegevens_B!I299&lt;&gt;"", Klantgegevens_B!I299, SWITCH(Klantgegevens_A!J299, "Zelden", 1, "Af en toe", 4, "Regelmatig", 8, "Vaak", 12))</f>
        <v/>
      </c>
      <c r="J300">
        <f>IF(Klantgegevens_B!J299&lt;&gt;"", Klantgegevens_B!J299, Klantgegevens_A!K299)</f>
        <v/>
      </c>
      <c r="K300">
        <f>IF(Klantgegevens_B!K299&lt;&gt;"", AVERAGE(--(Klantgegevens_B!K299="ja"), --(Klantgegevens_B!L299="ja"), --(Klantgegevens_B!M299="ja"), --(Klantgegevens_B!N299="ja"), --(Klantgegevens_B!O299="ja"))*10, Klantgegevens_A!L299)</f>
        <v/>
      </c>
      <c r="L300">
        <f>IF(Klantgegevens_B!K299&lt;&gt;"", Klantgegevens_B!K299, IF(Klantgegevens_A!L299&gt;=7, "ja", "nee"))</f>
        <v/>
      </c>
      <c r="M300">
        <f>IF(Klantgegevens_B!L299&lt;&gt;"", Klantgegevens_B!L299, IF(Klantgegevens_A!L299&gt;=7, "ja", "nee"))</f>
        <v/>
      </c>
      <c r="N300">
        <f>IF(Klantgegevens_B!M299&lt;&gt;"", Klantgegevens_B!M299, IF(Klantgegevens_A!L299&gt;=7, "ja", "nee"))</f>
        <v/>
      </c>
      <c r="O300">
        <f>IF(Klantgegevens_B!N299&lt;&gt;"", Klantgegevens_B!N299, IF(Klantgegevens_A!L299&gt;=7, "ja", "nee"))</f>
        <v/>
      </c>
      <c r="P300">
        <f>IF(Klantgegevens_B!O299&lt;&gt;"", Klantgegevens_B!O299, IF(Klantgegevens_A!L299&gt;=7, "ja", "nee"))</f>
        <v/>
      </c>
      <c r="Q300">
        <f>IF(Klantgegevens_B!P299&lt;&gt;"", Klantgegevens_B!P299, Klantgegevens_A!M299)</f>
        <v/>
      </c>
      <c r="R300">
        <f>IF(Klantgegevens_B!A299&lt;&gt;"", "B", "A")</f>
        <v/>
      </c>
    </row>
    <row r="301">
      <c r="A301">
        <f>IF(Klantgegevens_B!A300&lt;&gt;"", Klantgegevens_B!A300, MID(Klantgegevens_A!A300, FIND(",", Klantgegevens_A!A300)+2, LEN(Klantgegevens_A!A300)))</f>
        <v/>
      </c>
      <c r="B301">
        <f>IF(Klantgegevens_B!B300&lt;&gt;"", Klantgegevens_B!B300, LEFT(Klantgegevens_A!A300, FIND(",", Klantgegevens_A!A300)-1))</f>
        <v/>
      </c>
      <c r="C301">
        <f>C300 &amp; ", " &amp; B300</f>
        <v/>
      </c>
      <c r="D301">
        <f>IF(Klantgegevens_B!F300&lt;&gt;"", Klantgegevens_B!F300, Klantgegevens_A!D300 &amp; " " &amp; Klantgegevens_A!E300 &amp; ", " &amp; Klantgegevens_A!F300)</f>
        <v/>
      </c>
      <c r="E301">
        <f>IF(Klantgegevens_B!G300&lt;&gt;"", Klantgegevens_B!G300, TEXTJOIN(",", TRUE, REPT("Volwassene,", Klantgegevens_A!G300), REPT("Kind,", Klantgegevens_A!H300)))</f>
        <v/>
      </c>
      <c r="F301">
        <f>IF(Klantgegevens_B!G300&lt;&gt;"", LEN(Klantgegevens_B!G300)-LEN(SUBSTITUTE(Klantgegevens_B!G300, ",", ""))+1, Klantgegevens_A!G300)</f>
        <v/>
      </c>
      <c r="G301">
        <f>IF(Klantgegevens_B!G300&lt;&gt;"", 0, Klantgegevens_A!H300)</f>
        <v/>
      </c>
      <c r="H301">
        <f>IF(Klantgegevens_B!H300&lt;&gt;"", Klantgegevens_B!H300, Klantgegevens_A!I300)</f>
        <v/>
      </c>
      <c r="I301">
        <f>IF(Klantgegevens_B!I300&lt;&gt;"", Klantgegevens_B!I300, SWITCH(Klantgegevens_A!J300, "Zelden", 1, "Af en toe", 4, "Regelmatig", 8, "Vaak", 12))</f>
        <v/>
      </c>
      <c r="J301">
        <f>IF(Klantgegevens_B!J300&lt;&gt;"", Klantgegevens_B!J300, Klantgegevens_A!K300)</f>
        <v/>
      </c>
      <c r="K301">
        <f>IF(Klantgegevens_B!K300&lt;&gt;"", AVERAGE(--(Klantgegevens_B!K300="ja"), --(Klantgegevens_B!L300="ja"), --(Klantgegevens_B!M300="ja"), --(Klantgegevens_B!N300="ja"), --(Klantgegevens_B!O300="ja"))*10, Klantgegevens_A!L300)</f>
        <v/>
      </c>
      <c r="L301">
        <f>IF(Klantgegevens_B!K300&lt;&gt;"", Klantgegevens_B!K300, IF(Klantgegevens_A!L300&gt;=7, "ja", "nee"))</f>
        <v/>
      </c>
      <c r="M301">
        <f>IF(Klantgegevens_B!L300&lt;&gt;"", Klantgegevens_B!L300, IF(Klantgegevens_A!L300&gt;=7, "ja", "nee"))</f>
        <v/>
      </c>
      <c r="N301">
        <f>IF(Klantgegevens_B!M300&lt;&gt;"", Klantgegevens_B!M300, IF(Klantgegevens_A!L300&gt;=7, "ja", "nee"))</f>
        <v/>
      </c>
      <c r="O301">
        <f>IF(Klantgegevens_B!N300&lt;&gt;"", Klantgegevens_B!N300, IF(Klantgegevens_A!L300&gt;=7, "ja", "nee"))</f>
        <v/>
      </c>
      <c r="P301">
        <f>IF(Klantgegevens_B!O300&lt;&gt;"", Klantgegevens_B!O300, IF(Klantgegevens_A!L300&gt;=7, "ja", "nee"))</f>
        <v/>
      </c>
      <c r="Q301">
        <f>IF(Klantgegevens_B!P300&lt;&gt;"", Klantgegevens_B!P300, Klantgegevens_A!M300)</f>
        <v/>
      </c>
      <c r="R301">
        <f>IF(Klantgegevens_B!A300&lt;&gt;"", "B", "A")</f>
        <v/>
      </c>
    </row>
    <row r="302">
      <c r="A302">
        <f>IF(Klantgegevens_B!A301&lt;&gt;"", Klantgegevens_B!A301, MID(Klantgegevens_A!A301, FIND(",", Klantgegevens_A!A301)+2, LEN(Klantgegevens_A!A301)))</f>
        <v/>
      </c>
      <c r="B302">
        <f>IF(Klantgegevens_B!B301&lt;&gt;"", Klantgegevens_B!B301, LEFT(Klantgegevens_A!A301, FIND(",", Klantgegevens_A!A301)-1))</f>
        <v/>
      </c>
      <c r="C302">
        <f>C301 &amp; ", " &amp; B301</f>
        <v/>
      </c>
      <c r="D302">
        <f>IF(Klantgegevens_B!F301&lt;&gt;"", Klantgegevens_B!F301, Klantgegevens_A!D301 &amp; " " &amp; Klantgegevens_A!E301 &amp; ", " &amp; Klantgegevens_A!F301)</f>
        <v/>
      </c>
      <c r="E302">
        <f>IF(Klantgegevens_B!G301&lt;&gt;"", Klantgegevens_B!G301, TEXTJOIN(",", TRUE, REPT("Volwassene,", Klantgegevens_A!G301), REPT("Kind,", Klantgegevens_A!H301)))</f>
        <v/>
      </c>
      <c r="F302">
        <f>IF(Klantgegevens_B!G301&lt;&gt;"", LEN(Klantgegevens_B!G301)-LEN(SUBSTITUTE(Klantgegevens_B!G301, ",", ""))+1, Klantgegevens_A!G301)</f>
        <v/>
      </c>
      <c r="G302">
        <f>IF(Klantgegevens_B!G301&lt;&gt;"", 0, Klantgegevens_A!H301)</f>
        <v/>
      </c>
      <c r="H302">
        <f>IF(Klantgegevens_B!H301&lt;&gt;"", Klantgegevens_B!H301, Klantgegevens_A!I301)</f>
        <v/>
      </c>
      <c r="I302">
        <f>IF(Klantgegevens_B!I301&lt;&gt;"", Klantgegevens_B!I301, SWITCH(Klantgegevens_A!J301, "Zelden", 1, "Af en toe", 4, "Regelmatig", 8, "Vaak", 12))</f>
        <v/>
      </c>
      <c r="J302">
        <f>IF(Klantgegevens_B!J301&lt;&gt;"", Klantgegevens_B!J301, Klantgegevens_A!K301)</f>
        <v/>
      </c>
      <c r="K302">
        <f>IF(Klantgegevens_B!K301&lt;&gt;"", AVERAGE(--(Klantgegevens_B!K301="ja"), --(Klantgegevens_B!L301="ja"), --(Klantgegevens_B!M301="ja"), --(Klantgegevens_B!N301="ja"), --(Klantgegevens_B!O301="ja"))*10, Klantgegevens_A!L301)</f>
        <v/>
      </c>
      <c r="L302">
        <f>IF(Klantgegevens_B!K301&lt;&gt;"", Klantgegevens_B!K301, IF(Klantgegevens_A!L301&gt;=7, "ja", "nee"))</f>
        <v/>
      </c>
      <c r="M302">
        <f>IF(Klantgegevens_B!L301&lt;&gt;"", Klantgegevens_B!L301, IF(Klantgegevens_A!L301&gt;=7, "ja", "nee"))</f>
        <v/>
      </c>
      <c r="N302">
        <f>IF(Klantgegevens_B!M301&lt;&gt;"", Klantgegevens_B!M301, IF(Klantgegevens_A!L301&gt;=7, "ja", "nee"))</f>
        <v/>
      </c>
      <c r="O302">
        <f>IF(Klantgegevens_B!N301&lt;&gt;"", Klantgegevens_B!N301, IF(Klantgegevens_A!L301&gt;=7, "ja", "nee"))</f>
        <v/>
      </c>
      <c r="P302">
        <f>IF(Klantgegevens_B!O301&lt;&gt;"", Klantgegevens_B!O301, IF(Klantgegevens_A!L301&gt;=7, "ja", "nee"))</f>
        <v/>
      </c>
      <c r="Q302">
        <f>IF(Klantgegevens_B!P301&lt;&gt;"", Klantgegevens_B!P301, Klantgegevens_A!M301)</f>
        <v/>
      </c>
      <c r="R302">
        <f>IF(Klantgegevens_B!A301&lt;&gt;"", "B", "A")</f>
        <v/>
      </c>
    </row>
    <row r="303">
      <c r="A303">
        <f>IF(Klantgegevens_B!A302&lt;&gt;"", Klantgegevens_B!A302, MID(Klantgegevens_A!A302, FIND(",", Klantgegevens_A!A302)+2, LEN(Klantgegevens_A!A302)))</f>
        <v/>
      </c>
      <c r="B303">
        <f>IF(Klantgegevens_B!B302&lt;&gt;"", Klantgegevens_B!B302, LEFT(Klantgegevens_A!A302, FIND(",", Klantgegevens_A!A302)-1))</f>
        <v/>
      </c>
      <c r="C303">
        <f>C302 &amp; ", " &amp; B302</f>
        <v/>
      </c>
      <c r="D303">
        <f>IF(Klantgegevens_B!F302&lt;&gt;"", Klantgegevens_B!F302, Klantgegevens_A!D302 &amp; " " &amp; Klantgegevens_A!E302 &amp; ", " &amp; Klantgegevens_A!F302)</f>
        <v/>
      </c>
      <c r="E303">
        <f>IF(Klantgegevens_B!G302&lt;&gt;"", Klantgegevens_B!G302, TEXTJOIN(",", TRUE, REPT("Volwassene,", Klantgegevens_A!G302), REPT("Kind,", Klantgegevens_A!H302)))</f>
        <v/>
      </c>
      <c r="F303">
        <f>IF(Klantgegevens_B!G302&lt;&gt;"", LEN(Klantgegevens_B!G302)-LEN(SUBSTITUTE(Klantgegevens_B!G302, ",", ""))+1, Klantgegevens_A!G302)</f>
        <v/>
      </c>
      <c r="G303">
        <f>IF(Klantgegevens_B!G302&lt;&gt;"", 0, Klantgegevens_A!H302)</f>
        <v/>
      </c>
      <c r="H303">
        <f>IF(Klantgegevens_B!H302&lt;&gt;"", Klantgegevens_B!H302, Klantgegevens_A!I302)</f>
        <v/>
      </c>
      <c r="I303">
        <f>IF(Klantgegevens_B!I302&lt;&gt;"", Klantgegevens_B!I302, SWITCH(Klantgegevens_A!J302, "Zelden", 1, "Af en toe", 4, "Regelmatig", 8, "Vaak", 12))</f>
        <v/>
      </c>
      <c r="J303">
        <f>IF(Klantgegevens_B!J302&lt;&gt;"", Klantgegevens_B!J302, Klantgegevens_A!K302)</f>
        <v/>
      </c>
      <c r="K303">
        <f>IF(Klantgegevens_B!K302&lt;&gt;"", AVERAGE(--(Klantgegevens_B!K302="ja"), --(Klantgegevens_B!L302="ja"), --(Klantgegevens_B!M302="ja"), --(Klantgegevens_B!N302="ja"), --(Klantgegevens_B!O302="ja"))*10, Klantgegevens_A!L302)</f>
        <v/>
      </c>
      <c r="L303">
        <f>IF(Klantgegevens_B!K302&lt;&gt;"", Klantgegevens_B!K302, IF(Klantgegevens_A!L302&gt;=7, "ja", "nee"))</f>
        <v/>
      </c>
      <c r="M303">
        <f>IF(Klantgegevens_B!L302&lt;&gt;"", Klantgegevens_B!L302, IF(Klantgegevens_A!L302&gt;=7, "ja", "nee"))</f>
        <v/>
      </c>
      <c r="N303">
        <f>IF(Klantgegevens_B!M302&lt;&gt;"", Klantgegevens_B!M302, IF(Klantgegevens_A!L302&gt;=7, "ja", "nee"))</f>
        <v/>
      </c>
      <c r="O303">
        <f>IF(Klantgegevens_B!N302&lt;&gt;"", Klantgegevens_B!N302, IF(Klantgegevens_A!L302&gt;=7, "ja", "nee"))</f>
        <v/>
      </c>
      <c r="P303">
        <f>IF(Klantgegevens_B!O302&lt;&gt;"", Klantgegevens_B!O302, IF(Klantgegevens_A!L302&gt;=7, "ja", "nee"))</f>
        <v/>
      </c>
      <c r="Q303">
        <f>IF(Klantgegevens_B!P302&lt;&gt;"", Klantgegevens_B!P302, Klantgegevens_A!M302)</f>
        <v/>
      </c>
      <c r="R303">
        <f>IF(Klantgegevens_B!A302&lt;&gt;"", "B", "A")</f>
        <v/>
      </c>
    </row>
    <row r="304">
      <c r="A304">
        <f>IF(Klantgegevens_B!A303&lt;&gt;"", Klantgegevens_B!A303, MID(Klantgegevens_A!A303, FIND(",", Klantgegevens_A!A303)+2, LEN(Klantgegevens_A!A303)))</f>
        <v/>
      </c>
      <c r="B304">
        <f>IF(Klantgegevens_B!B303&lt;&gt;"", Klantgegevens_B!B303, LEFT(Klantgegevens_A!A303, FIND(",", Klantgegevens_A!A303)-1))</f>
        <v/>
      </c>
      <c r="C304">
        <f>C303 &amp; ", " &amp; B303</f>
        <v/>
      </c>
      <c r="D304">
        <f>IF(Klantgegevens_B!F303&lt;&gt;"", Klantgegevens_B!F303, Klantgegevens_A!D303 &amp; " " &amp; Klantgegevens_A!E303 &amp; ", " &amp; Klantgegevens_A!F303)</f>
        <v/>
      </c>
      <c r="E304">
        <f>IF(Klantgegevens_B!G303&lt;&gt;"", Klantgegevens_B!G303, TEXTJOIN(",", TRUE, REPT("Volwassene,", Klantgegevens_A!G303), REPT("Kind,", Klantgegevens_A!H303)))</f>
        <v/>
      </c>
      <c r="F304">
        <f>IF(Klantgegevens_B!G303&lt;&gt;"", LEN(Klantgegevens_B!G303)-LEN(SUBSTITUTE(Klantgegevens_B!G303, ",", ""))+1, Klantgegevens_A!G303)</f>
        <v/>
      </c>
      <c r="G304">
        <f>IF(Klantgegevens_B!G303&lt;&gt;"", 0, Klantgegevens_A!H303)</f>
        <v/>
      </c>
      <c r="H304">
        <f>IF(Klantgegevens_B!H303&lt;&gt;"", Klantgegevens_B!H303, Klantgegevens_A!I303)</f>
        <v/>
      </c>
      <c r="I304">
        <f>IF(Klantgegevens_B!I303&lt;&gt;"", Klantgegevens_B!I303, SWITCH(Klantgegevens_A!J303, "Zelden", 1, "Af en toe", 4, "Regelmatig", 8, "Vaak", 12))</f>
        <v/>
      </c>
      <c r="J304">
        <f>IF(Klantgegevens_B!J303&lt;&gt;"", Klantgegevens_B!J303, Klantgegevens_A!K303)</f>
        <v/>
      </c>
      <c r="K304">
        <f>IF(Klantgegevens_B!K303&lt;&gt;"", AVERAGE(--(Klantgegevens_B!K303="ja"), --(Klantgegevens_B!L303="ja"), --(Klantgegevens_B!M303="ja"), --(Klantgegevens_B!N303="ja"), --(Klantgegevens_B!O303="ja"))*10, Klantgegevens_A!L303)</f>
        <v/>
      </c>
      <c r="L304">
        <f>IF(Klantgegevens_B!K303&lt;&gt;"", Klantgegevens_B!K303, IF(Klantgegevens_A!L303&gt;=7, "ja", "nee"))</f>
        <v/>
      </c>
      <c r="M304">
        <f>IF(Klantgegevens_B!L303&lt;&gt;"", Klantgegevens_B!L303, IF(Klantgegevens_A!L303&gt;=7, "ja", "nee"))</f>
        <v/>
      </c>
      <c r="N304">
        <f>IF(Klantgegevens_B!M303&lt;&gt;"", Klantgegevens_B!M303, IF(Klantgegevens_A!L303&gt;=7, "ja", "nee"))</f>
        <v/>
      </c>
      <c r="O304">
        <f>IF(Klantgegevens_B!N303&lt;&gt;"", Klantgegevens_B!N303, IF(Klantgegevens_A!L303&gt;=7, "ja", "nee"))</f>
        <v/>
      </c>
      <c r="P304">
        <f>IF(Klantgegevens_B!O303&lt;&gt;"", Klantgegevens_B!O303, IF(Klantgegevens_A!L303&gt;=7, "ja", "nee"))</f>
        <v/>
      </c>
      <c r="Q304">
        <f>IF(Klantgegevens_B!P303&lt;&gt;"", Klantgegevens_B!P303, Klantgegevens_A!M303)</f>
        <v/>
      </c>
      <c r="R304">
        <f>IF(Klantgegevens_B!A303&lt;&gt;"", "B", "A")</f>
        <v/>
      </c>
    </row>
    <row r="305">
      <c r="A305">
        <f>IF(Klantgegevens_B!A304&lt;&gt;"", Klantgegevens_B!A304, MID(Klantgegevens_A!A304, FIND(",", Klantgegevens_A!A304)+2, LEN(Klantgegevens_A!A304)))</f>
        <v/>
      </c>
      <c r="B305">
        <f>IF(Klantgegevens_B!B304&lt;&gt;"", Klantgegevens_B!B304, LEFT(Klantgegevens_A!A304, FIND(",", Klantgegevens_A!A304)-1))</f>
        <v/>
      </c>
      <c r="C305">
        <f>C304 &amp; ", " &amp; B304</f>
        <v/>
      </c>
      <c r="D305">
        <f>IF(Klantgegevens_B!F304&lt;&gt;"", Klantgegevens_B!F304, Klantgegevens_A!D304 &amp; " " &amp; Klantgegevens_A!E304 &amp; ", " &amp; Klantgegevens_A!F304)</f>
        <v/>
      </c>
      <c r="E305">
        <f>IF(Klantgegevens_B!G304&lt;&gt;"", Klantgegevens_B!G304, TEXTJOIN(",", TRUE, REPT("Volwassene,", Klantgegevens_A!G304), REPT("Kind,", Klantgegevens_A!H304)))</f>
        <v/>
      </c>
      <c r="F305">
        <f>IF(Klantgegevens_B!G304&lt;&gt;"", LEN(Klantgegevens_B!G304)-LEN(SUBSTITUTE(Klantgegevens_B!G304, ",", ""))+1, Klantgegevens_A!G304)</f>
        <v/>
      </c>
      <c r="G305">
        <f>IF(Klantgegevens_B!G304&lt;&gt;"", 0, Klantgegevens_A!H304)</f>
        <v/>
      </c>
      <c r="H305">
        <f>IF(Klantgegevens_B!H304&lt;&gt;"", Klantgegevens_B!H304, Klantgegevens_A!I304)</f>
        <v/>
      </c>
      <c r="I305">
        <f>IF(Klantgegevens_B!I304&lt;&gt;"", Klantgegevens_B!I304, SWITCH(Klantgegevens_A!J304, "Zelden", 1, "Af en toe", 4, "Regelmatig", 8, "Vaak", 12))</f>
        <v/>
      </c>
      <c r="J305">
        <f>IF(Klantgegevens_B!J304&lt;&gt;"", Klantgegevens_B!J304, Klantgegevens_A!K304)</f>
        <v/>
      </c>
      <c r="K305">
        <f>IF(Klantgegevens_B!K304&lt;&gt;"", AVERAGE(--(Klantgegevens_B!K304="ja"), --(Klantgegevens_B!L304="ja"), --(Klantgegevens_B!M304="ja"), --(Klantgegevens_B!N304="ja"), --(Klantgegevens_B!O304="ja"))*10, Klantgegevens_A!L304)</f>
        <v/>
      </c>
      <c r="L305">
        <f>IF(Klantgegevens_B!K304&lt;&gt;"", Klantgegevens_B!K304, IF(Klantgegevens_A!L304&gt;=7, "ja", "nee"))</f>
        <v/>
      </c>
      <c r="M305">
        <f>IF(Klantgegevens_B!L304&lt;&gt;"", Klantgegevens_B!L304, IF(Klantgegevens_A!L304&gt;=7, "ja", "nee"))</f>
        <v/>
      </c>
      <c r="N305">
        <f>IF(Klantgegevens_B!M304&lt;&gt;"", Klantgegevens_B!M304, IF(Klantgegevens_A!L304&gt;=7, "ja", "nee"))</f>
        <v/>
      </c>
      <c r="O305">
        <f>IF(Klantgegevens_B!N304&lt;&gt;"", Klantgegevens_B!N304, IF(Klantgegevens_A!L304&gt;=7, "ja", "nee"))</f>
        <v/>
      </c>
      <c r="P305">
        <f>IF(Klantgegevens_B!O304&lt;&gt;"", Klantgegevens_B!O304, IF(Klantgegevens_A!L304&gt;=7, "ja", "nee"))</f>
        <v/>
      </c>
      <c r="Q305">
        <f>IF(Klantgegevens_B!P304&lt;&gt;"", Klantgegevens_B!P304, Klantgegevens_A!M304)</f>
        <v/>
      </c>
      <c r="R305">
        <f>IF(Klantgegevens_B!A304&lt;&gt;"", "B", "A")</f>
        <v/>
      </c>
    </row>
    <row r="306">
      <c r="A306">
        <f>IF(Klantgegevens_B!A305&lt;&gt;"", Klantgegevens_B!A305, MID(Klantgegevens_A!A305, FIND(",", Klantgegevens_A!A305)+2, LEN(Klantgegevens_A!A305)))</f>
        <v/>
      </c>
      <c r="B306">
        <f>IF(Klantgegevens_B!B305&lt;&gt;"", Klantgegevens_B!B305, LEFT(Klantgegevens_A!A305, FIND(",", Klantgegevens_A!A305)-1))</f>
        <v/>
      </c>
      <c r="C306">
        <f>C305 &amp; ", " &amp; B305</f>
        <v/>
      </c>
      <c r="D306">
        <f>IF(Klantgegevens_B!F305&lt;&gt;"", Klantgegevens_B!F305, Klantgegevens_A!D305 &amp; " " &amp; Klantgegevens_A!E305 &amp; ", " &amp; Klantgegevens_A!F305)</f>
        <v/>
      </c>
      <c r="E306">
        <f>IF(Klantgegevens_B!G305&lt;&gt;"", Klantgegevens_B!G305, TEXTJOIN(",", TRUE, REPT("Volwassene,", Klantgegevens_A!G305), REPT("Kind,", Klantgegevens_A!H305)))</f>
        <v/>
      </c>
      <c r="F306">
        <f>IF(Klantgegevens_B!G305&lt;&gt;"", LEN(Klantgegevens_B!G305)-LEN(SUBSTITUTE(Klantgegevens_B!G305, ",", ""))+1, Klantgegevens_A!G305)</f>
        <v/>
      </c>
      <c r="G306">
        <f>IF(Klantgegevens_B!G305&lt;&gt;"", 0, Klantgegevens_A!H305)</f>
        <v/>
      </c>
      <c r="H306">
        <f>IF(Klantgegevens_B!H305&lt;&gt;"", Klantgegevens_B!H305, Klantgegevens_A!I305)</f>
        <v/>
      </c>
      <c r="I306">
        <f>IF(Klantgegevens_B!I305&lt;&gt;"", Klantgegevens_B!I305, SWITCH(Klantgegevens_A!J305, "Zelden", 1, "Af en toe", 4, "Regelmatig", 8, "Vaak", 12))</f>
        <v/>
      </c>
      <c r="J306">
        <f>IF(Klantgegevens_B!J305&lt;&gt;"", Klantgegevens_B!J305, Klantgegevens_A!K305)</f>
        <v/>
      </c>
      <c r="K306">
        <f>IF(Klantgegevens_B!K305&lt;&gt;"", AVERAGE(--(Klantgegevens_B!K305="ja"), --(Klantgegevens_B!L305="ja"), --(Klantgegevens_B!M305="ja"), --(Klantgegevens_B!N305="ja"), --(Klantgegevens_B!O305="ja"))*10, Klantgegevens_A!L305)</f>
        <v/>
      </c>
      <c r="L306">
        <f>IF(Klantgegevens_B!K305&lt;&gt;"", Klantgegevens_B!K305, IF(Klantgegevens_A!L305&gt;=7, "ja", "nee"))</f>
        <v/>
      </c>
      <c r="M306">
        <f>IF(Klantgegevens_B!L305&lt;&gt;"", Klantgegevens_B!L305, IF(Klantgegevens_A!L305&gt;=7, "ja", "nee"))</f>
        <v/>
      </c>
      <c r="N306">
        <f>IF(Klantgegevens_B!M305&lt;&gt;"", Klantgegevens_B!M305, IF(Klantgegevens_A!L305&gt;=7, "ja", "nee"))</f>
        <v/>
      </c>
      <c r="O306">
        <f>IF(Klantgegevens_B!N305&lt;&gt;"", Klantgegevens_B!N305, IF(Klantgegevens_A!L305&gt;=7, "ja", "nee"))</f>
        <v/>
      </c>
      <c r="P306">
        <f>IF(Klantgegevens_B!O305&lt;&gt;"", Klantgegevens_B!O305, IF(Klantgegevens_A!L305&gt;=7, "ja", "nee"))</f>
        <v/>
      </c>
      <c r="Q306">
        <f>IF(Klantgegevens_B!P305&lt;&gt;"", Klantgegevens_B!P305, Klantgegevens_A!M305)</f>
        <v/>
      </c>
      <c r="R306">
        <f>IF(Klantgegevens_B!A305&lt;&gt;"", "B", "A")</f>
        <v/>
      </c>
    </row>
    <row r="307">
      <c r="A307">
        <f>IF(Klantgegevens_B!A306&lt;&gt;"", Klantgegevens_B!A306, MID(Klantgegevens_A!A306, FIND(",", Klantgegevens_A!A306)+2, LEN(Klantgegevens_A!A306)))</f>
        <v/>
      </c>
      <c r="B307">
        <f>IF(Klantgegevens_B!B306&lt;&gt;"", Klantgegevens_B!B306, LEFT(Klantgegevens_A!A306, FIND(",", Klantgegevens_A!A306)-1))</f>
        <v/>
      </c>
      <c r="C307">
        <f>C306 &amp; ", " &amp; B306</f>
        <v/>
      </c>
      <c r="D307">
        <f>IF(Klantgegevens_B!F306&lt;&gt;"", Klantgegevens_B!F306, Klantgegevens_A!D306 &amp; " " &amp; Klantgegevens_A!E306 &amp; ", " &amp; Klantgegevens_A!F306)</f>
        <v/>
      </c>
      <c r="E307">
        <f>IF(Klantgegevens_B!G306&lt;&gt;"", Klantgegevens_B!G306, TEXTJOIN(",", TRUE, REPT("Volwassene,", Klantgegevens_A!G306), REPT("Kind,", Klantgegevens_A!H306)))</f>
        <v/>
      </c>
      <c r="F307">
        <f>IF(Klantgegevens_B!G306&lt;&gt;"", LEN(Klantgegevens_B!G306)-LEN(SUBSTITUTE(Klantgegevens_B!G306, ",", ""))+1, Klantgegevens_A!G306)</f>
        <v/>
      </c>
      <c r="G307">
        <f>IF(Klantgegevens_B!G306&lt;&gt;"", 0, Klantgegevens_A!H306)</f>
        <v/>
      </c>
      <c r="H307">
        <f>IF(Klantgegevens_B!H306&lt;&gt;"", Klantgegevens_B!H306, Klantgegevens_A!I306)</f>
        <v/>
      </c>
      <c r="I307">
        <f>IF(Klantgegevens_B!I306&lt;&gt;"", Klantgegevens_B!I306, SWITCH(Klantgegevens_A!J306, "Zelden", 1, "Af en toe", 4, "Regelmatig", 8, "Vaak", 12))</f>
        <v/>
      </c>
      <c r="J307">
        <f>IF(Klantgegevens_B!J306&lt;&gt;"", Klantgegevens_B!J306, Klantgegevens_A!K306)</f>
        <v/>
      </c>
      <c r="K307">
        <f>IF(Klantgegevens_B!K306&lt;&gt;"", AVERAGE(--(Klantgegevens_B!K306="ja"), --(Klantgegevens_B!L306="ja"), --(Klantgegevens_B!M306="ja"), --(Klantgegevens_B!N306="ja"), --(Klantgegevens_B!O306="ja"))*10, Klantgegevens_A!L306)</f>
        <v/>
      </c>
      <c r="L307">
        <f>IF(Klantgegevens_B!K306&lt;&gt;"", Klantgegevens_B!K306, IF(Klantgegevens_A!L306&gt;=7, "ja", "nee"))</f>
        <v/>
      </c>
      <c r="M307">
        <f>IF(Klantgegevens_B!L306&lt;&gt;"", Klantgegevens_B!L306, IF(Klantgegevens_A!L306&gt;=7, "ja", "nee"))</f>
        <v/>
      </c>
      <c r="N307">
        <f>IF(Klantgegevens_B!M306&lt;&gt;"", Klantgegevens_B!M306, IF(Klantgegevens_A!L306&gt;=7, "ja", "nee"))</f>
        <v/>
      </c>
      <c r="O307">
        <f>IF(Klantgegevens_B!N306&lt;&gt;"", Klantgegevens_B!N306, IF(Klantgegevens_A!L306&gt;=7, "ja", "nee"))</f>
        <v/>
      </c>
      <c r="P307">
        <f>IF(Klantgegevens_B!O306&lt;&gt;"", Klantgegevens_B!O306, IF(Klantgegevens_A!L306&gt;=7, "ja", "nee"))</f>
        <v/>
      </c>
      <c r="Q307">
        <f>IF(Klantgegevens_B!P306&lt;&gt;"", Klantgegevens_B!P306, Klantgegevens_A!M306)</f>
        <v/>
      </c>
      <c r="R307">
        <f>IF(Klantgegevens_B!A306&lt;&gt;"", "B", "A")</f>
        <v/>
      </c>
    </row>
    <row r="308">
      <c r="A308">
        <f>IF(Klantgegevens_B!A307&lt;&gt;"", Klantgegevens_B!A307, MID(Klantgegevens_A!A307, FIND(",", Klantgegevens_A!A307)+2, LEN(Klantgegevens_A!A307)))</f>
        <v/>
      </c>
      <c r="B308">
        <f>IF(Klantgegevens_B!B307&lt;&gt;"", Klantgegevens_B!B307, LEFT(Klantgegevens_A!A307, FIND(",", Klantgegevens_A!A307)-1))</f>
        <v/>
      </c>
      <c r="C308">
        <f>C307 &amp; ", " &amp; B307</f>
        <v/>
      </c>
      <c r="D308">
        <f>IF(Klantgegevens_B!F307&lt;&gt;"", Klantgegevens_B!F307, Klantgegevens_A!D307 &amp; " " &amp; Klantgegevens_A!E307 &amp; ", " &amp; Klantgegevens_A!F307)</f>
        <v/>
      </c>
      <c r="E308">
        <f>IF(Klantgegevens_B!G307&lt;&gt;"", Klantgegevens_B!G307, TEXTJOIN(",", TRUE, REPT("Volwassene,", Klantgegevens_A!G307), REPT("Kind,", Klantgegevens_A!H307)))</f>
        <v/>
      </c>
      <c r="F308">
        <f>IF(Klantgegevens_B!G307&lt;&gt;"", LEN(Klantgegevens_B!G307)-LEN(SUBSTITUTE(Klantgegevens_B!G307, ",", ""))+1, Klantgegevens_A!G307)</f>
        <v/>
      </c>
      <c r="G308">
        <f>IF(Klantgegevens_B!G307&lt;&gt;"", 0, Klantgegevens_A!H307)</f>
        <v/>
      </c>
      <c r="H308">
        <f>IF(Klantgegevens_B!H307&lt;&gt;"", Klantgegevens_B!H307, Klantgegevens_A!I307)</f>
        <v/>
      </c>
      <c r="I308">
        <f>IF(Klantgegevens_B!I307&lt;&gt;"", Klantgegevens_B!I307, SWITCH(Klantgegevens_A!J307, "Zelden", 1, "Af en toe", 4, "Regelmatig", 8, "Vaak", 12))</f>
        <v/>
      </c>
      <c r="J308">
        <f>IF(Klantgegevens_B!J307&lt;&gt;"", Klantgegevens_B!J307, Klantgegevens_A!K307)</f>
        <v/>
      </c>
      <c r="K308">
        <f>IF(Klantgegevens_B!K307&lt;&gt;"", AVERAGE(--(Klantgegevens_B!K307="ja"), --(Klantgegevens_B!L307="ja"), --(Klantgegevens_B!M307="ja"), --(Klantgegevens_B!N307="ja"), --(Klantgegevens_B!O307="ja"))*10, Klantgegevens_A!L307)</f>
        <v/>
      </c>
      <c r="L308">
        <f>IF(Klantgegevens_B!K307&lt;&gt;"", Klantgegevens_B!K307, IF(Klantgegevens_A!L307&gt;=7, "ja", "nee"))</f>
        <v/>
      </c>
      <c r="M308">
        <f>IF(Klantgegevens_B!L307&lt;&gt;"", Klantgegevens_B!L307, IF(Klantgegevens_A!L307&gt;=7, "ja", "nee"))</f>
        <v/>
      </c>
      <c r="N308">
        <f>IF(Klantgegevens_B!M307&lt;&gt;"", Klantgegevens_B!M307, IF(Klantgegevens_A!L307&gt;=7, "ja", "nee"))</f>
        <v/>
      </c>
      <c r="O308">
        <f>IF(Klantgegevens_B!N307&lt;&gt;"", Klantgegevens_B!N307, IF(Klantgegevens_A!L307&gt;=7, "ja", "nee"))</f>
        <v/>
      </c>
      <c r="P308">
        <f>IF(Klantgegevens_B!O307&lt;&gt;"", Klantgegevens_B!O307, IF(Klantgegevens_A!L307&gt;=7, "ja", "nee"))</f>
        <v/>
      </c>
      <c r="Q308">
        <f>IF(Klantgegevens_B!P307&lt;&gt;"", Klantgegevens_B!P307, Klantgegevens_A!M307)</f>
        <v/>
      </c>
      <c r="R308">
        <f>IF(Klantgegevens_B!A307&lt;&gt;"", "B", "A")</f>
        <v/>
      </c>
    </row>
    <row r="309">
      <c r="A309">
        <f>IF(Klantgegevens_B!A308&lt;&gt;"", Klantgegevens_B!A308, MID(Klantgegevens_A!A308, FIND(",", Klantgegevens_A!A308)+2, LEN(Klantgegevens_A!A308)))</f>
        <v/>
      </c>
      <c r="B309">
        <f>IF(Klantgegevens_B!B308&lt;&gt;"", Klantgegevens_B!B308, LEFT(Klantgegevens_A!A308, FIND(",", Klantgegevens_A!A308)-1))</f>
        <v/>
      </c>
      <c r="C309">
        <f>C308 &amp; ", " &amp; B308</f>
        <v/>
      </c>
      <c r="D309">
        <f>IF(Klantgegevens_B!F308&lt;&gt;"", Klantgegevens_B!F308, Klantgegevens_A!D308 &amp; " " &amp; Klantgegevens_A!E308 &amp; ", " &amp; Klantgegevens_A!F308)</f>
        <v/>
      </c>
      <c r="E309">
        <f>IF(Klantgegevens_B!G308&lt;&gt;"", Klantgegevens_B!G308, TEXTJOIN(",", TRUE, REPT("Volwassene,", Klantgegevens_A!G308), REPT("Kind,", Klantgegevens_A!H308)))</f>
        <v/>
      </c>
      <c r="F309">
        <f>IF(Klantgegevens_B!G308&lt;&gt;"", LEN(Klantgegevens_B!G308)-LEN(SUBSTITUTE(Klantgegevens_B!G308, ",", ""))+1, Klantgegevens_A!G308)</f>
        <v/>
      </c>
      <c r="G309">
        <f>IF(Klantgegevens_B!G308&lt;&gt;"", 0, Klantgegevens_A!H308)</f>
        <v/>
      </c>
      <c r="H309">
        <f>IF(Klantgegevens_B!H308&lt;&gt;"", Klantgegevens_B!H308, Klantgegevens_A!I308)</f>
        <v/>
      </c>
      <c r="I309">
        <f>IF(Klantgegevens_B!I308&lt;&gt;"", Klantgegevens_B!I308, SWITCH(Klantgegevens_A!J308, "Zelden", 1, "Af en toe", 4, "Regelmatig", 8, "Vaak", 12))</f>
        <v/>
      </c>
      <c r="J309">
        <f>IF(Klantgegevens_B!J308&lt;&gt;"", Klantgegevens_B!J308, Klantgegevens_A!K308)</f>
        <v/>
      </c>
      <c r="K309">
        <f>IF(Klantgegevens_B!K308&lt;&gt;"", AVERAGE(--(Klantgegevens_B!K308="ja"), --(Klantgegevens_B!L308="ja"), --(Klantgegevens_B!M308="ja"), --(Klantgegevens_B!N308="ja"), --(Klantgegevens_B!O308="ja"))*10, Klantgegevens_A!L308)</f>
        <v/>
      </c>
      <c r="L309">
        <f>IF(Klantgegevens_B!K308&lt;&gt;"", Klantgegevens_B!K308, IF(Klantgegevens_A!L308&gt;=7, "ja", "nee"))</f>
        <v/>
      </c>
      <c r="M309">
        <f>IF(Klantgegevens_B!L308&lt;&gt;"", Klantgegevens_B!L308, IF(Klantgegevens_A!L308&gt;=7, "ja", "nee"))</f>
        <v/>
      </c>
      <c r="N309">
        <f>IF(Klantgegevens_B!M308&lt;&gt;"", Klantgegevens_B!M308, IF(Klantgegevens_A!L308&gt;=7, "ja", "nee"))</f>
        <v/>
      </c>
      <c r="O309">
        <f>IF(Klantgegevens_B!N308&lt;&gt;"", Klantgegevens_B!N308, IF(Klantgegevens_A!L308&gt;=7, "ja", "nee"))</f>
        <v/>
      </c>
      <c r="P309">
        <f>IF(Klantgegevens_B!O308&lt;&gt;"", Klantgegevens_B!O308, IF(Klantgegevens_A!L308&gt;=7, "ja", "nee"))</f>
        <v/>
      </c>
      <c r="Q309">
        <f>IF(Klantgegevens_B!P308&lt;&gt;"", Klantgegevens_B!P308, Klantgegevens_A!M308)</f>
        <v/>
      </c>
      <c r="R309">
        <f>IF(Klantgegevens_B!A308&lt;&gt;"", "B", "A")</f>
        <v/>
      </c>
    </row>
    <row r="310">
      <c r="A310">
        <f>IF(Klantgegevens_B!A309&lt;&gt;"", Klantgegevens_B!A309, MID(Klantgegevens_A!A309, FIND(",", Klantgegevens_A!A309)+2, LEN(Klantgegevens_A!A309)))</f>
        <v/>
      </c>
      <c r="B310">
        <f>IF(Klantgegevens_B!B309&lt;&gt;"", Klantgegevens_B!B309, LEFT(Klantgegevens_A!A309, FIND(",", Klantgegevens_A!A309)-1))</f>
        <v/>
      </c>
      <c r="C310">
        <f>C309 &amp; ", " &amp; B309</f>
        <v/>
      </c>
      <c r="D310">
        <f>IF(Klantgegevens_B!F309&lt;&gt;"", Klantgegevens_B!F309, Klantgegevens_A!D309 &amp; " " &amp; Klantgegevens_A!E309 &amp; ", " &amp; Klantgegevens_A!F309)</f>
        <v/>
      </c>
      <c r="E310">
        <f>IF(Klantgegevens_B!G309&lt;&gt;"", Klantgegevens_B!G309, TEXTJOIN(",", TRUE, REPT("Volwassene,", Klantgegevens_A!G309), REPT("Kind,", Klantgegevens_A!H309)))</f>
        <v/>
      </c>
      <c r="F310">
        <f>IF(Klantgegevens_B!G309&lt;&gt;"", LEN(Klantgegevens_B!G309)-LEN(SUBSTITUTE(Klantgegevens_B!G309, ",", ""))+1, Klantgegevens_A!G309)</f>
        <v/>
      </c>
      <c r="G310">
        <f>IF(Klantgegevens_B!G309&lt;&gt;"", 0, Klantgegevens_A!H309)</f>
        <v/>
      </c>
      <c r="H310">
        <f>IF(Klantgegevens_B!H309&lt;&gt;"", Klantgegevens_B!H309, Klantgegevens_A!I309)</f>
        <v/>
      </c>
      <c r="I310">
        <f>IF(Klantgegevens_B!I309&lt;&gt;"", Klantgegevens_B!I309, SWITCH(Klantgegevens_A!J309, "Zelden", 1, "Af en toe", 4, "Regelmatig", 8, "Vaak", 12))</f>
        <v/>
      </c>
      <c r="J310">
        <f>IF(Klantgegevens_B!J309&lt;&gt;"", Klantgegevens_B!J309, Klantgegevens_A!K309)</f>
        <v/>
      </c>
      <c r="K310">
        <f>IF(Klantgegevens_B!K309&lt;&gt;"", AVERAGE(--(Klantgegevens_B!K309="ja"), --(Klantgegevens_B!L309="ja"), --(Klantgegevens_B!M309="ja"), --(Klantgegevens_B!N309="ja"), --(Klantgegevens_B!O309="ja"))*10, Klantgegevens_A!L309)</f>
        <v/>
      </c>
      <c r="L310">
        <f>IF(Klantgegevens_B!K309&lt;&gt;"", Klantgegevens_B!K309, IF(Klantgegevens_A!L309&gt;=7, "ja", "nee"))</f>
        <v/>
      </c>
      <c r="M310">
        <f>IF(Klantgegevens_B!L309&lt;&gt;"", Klantgegevens_B!L309, IF(Klantgegevens_A!L309&gt;=7, "ja", "nee"))</f>
        <v/>
      </c>
      <c r="N310">
        <f>IF(Klantgegevens_B!M309&lt;&gt;"", Klantgegevens_B!M309, IF(Klantgegevens_A!L309&gt;=7, "ja", "nee"))</f>
        <v/>
      </c>
      <c r="O310">
        <f>IF(Klantgegevens_B!N309&lt;&gt;"", Klantgegevens_B!N309, IF(Klantgegevens_A!L309&gt;=7, "ja", "nee"))</f>
        <v/>
      </c>
      <c r="P310">
        <f>IF(Klantgegevens_B!O309&lt;&gt;"", Klantgegevens_B!O309, IF(Klantgegevens_A!L309&gt;=7, "ja", "nee"))</f>
        <v/>
      </c>
      <c r="Q310">
        <f>IF(Klantgegevens_B!P309&lt;&gt;"", Klantgegevens_B!P309, Klantgegevens_A!M309)</f>
        <v/>
      </c>
      <c r="R310">
        <f>IF(Klantgegevens_B!A309&lt;&gt;"", "B", "A")</f>
        <v/>
      </c>
    </row>
    <row r="311">
      <c r="A311">
        <f>IF(Klantgegevens_B!A310&lt;&gt;"", Klantgegevens_B!A310, MID(Klantgegevens_A!A310, FIND(",", Klantgegevens_A!A310)+2, LEN(Klantgegevens_A!A310)))</f>
        <v/>
      </c>
      <c r="B311">
        <f>IF(Klantgegevens_B!B310&lt;&gt;"", Klantgegevens_B!B310, LEFT(Klantgegevens_A!A310, FIND(",", Klantgegevens_A!A310)-1))</f>
        <v/>
      </c>
      <c r="C311">
        <f>C310 &amp; ", " &amp; B310</f>
        <v/>
      </c>
      <c r="D311">
        <f>IF(Klantgegevens_B!F310&lt;&gt;"", Klantgegevens_B!F310, Klantgegevens_A!D310 &amp; " " &amp; Klantgegevens_A!E310 &amp; ", " &amp; Klantgegevens_A!F310)</f>
        <v/>
      </c>
      <c r="E311">
        <f>IF(Klantgegevens_B!G310&lt;&gt;"", Klantgegevens_B!G310, TEXTJOIN(",", TRUE, REPT("Volwassene,", Klantgegevens_A!G310), REPT("Kind,", Klantgegevens_A!H310)))</f>
        <v/>
      </c>
      <c r="F311">
        <f>IF(Klantgegevens_B!G310&lt;&gt;"", LEN(Klantgegevens_B!G310)-LEN(SUBSTITUTE(Klantgegevens_B!G310, ",", ""))+1, Klantgegevens_A!G310)</f>
        <v/>
      </c>
      <c r="G311">
        <f>IF(Klantgegevens_B!G310&lt;&gt;"", 0, Klantgegevens_A!H310)</f>
        <v/>
      </c>
      <c r="H311">
        <f>IF(Klantgegevens_B!H310&lt;&gt;"", Klantgegevens_B!H310, Klantgegevens_A!I310)</f>
        <v/>
      </c>
      <c r="I311">
        <f>IF(Klantgegevens_B!I310&lt;&gt;"", Klantgegevens_B!I310, SWITCH(Klantgegevens_A!J310, "Zelden", 1, "Af en toe", 4, "Regelmatig", 8, "Vaak", 12))</f>
        <v/>
      </c>
      <c r="J311">
        <f>IF(Klantgegevens_B!J310&lt;&gt;"", Klantgegevens_B!J310, Klantgegevens_A!K310)</f>
        <v/>
      </c>
      <c r="K311">
        <f>IF(Klantgegevens_B!K310&lt;&gt;"", AVERAGE(--(Klantgegevens_B!K310="ja"), --(Klantgegevens_B!L310="ja"), --(Klantgegevens_B!M310="ja"), --(Klantgegevens_B!N310="ja"), --(Klantgegevens_B!O310="ja"))*10, Klantgegevens_A!L310)</f>
        <v/>
      </c>
      <c r="L311">
        <f>IF(Klantgegevens_B!K310&lt;&gt;"", Klantgegevens_B!K310, IF(Klantgegevens_A!L310&gt;=7, "ja", "nee"))</f>
        <v/>
      </c>
      <c r="M311">
        <f>IF(Klantgegevens_B!L310&lt;&gt;"", Klantgegevens_B!L310, IF(Klantgegevens_A!L310&gt;=7, "ja", "nee"))</f>
        <v/>
      </c>
      <c r="N311">
        <f>IF(Klantgegevens_B!M310&lt;&gt;"", Klantgegevens_B!M310, IF(Klantgegevens_A!L310&gt;=7, "ja", "nee"))</f>
        <v/>
      </c>
      <c r="O311">
        <f>IF(Klantgegevens_B!N310&lt;&gt;"", Klantgegevens_B!N310, IF(Klantgegevens_A!L310&gt;=7, "ja", "nee"))</f>
        <v/>
      </c>
      <c r="P311">
        <f>IF(Klantgegevens_B!O310&lt;&gt;"", Klantgegevens_B!O310, IF(Klantgegevens_A!L310&gt;=7, "ja", "nee"))</f>
        <v/>
      </c>
      <c r="Q311">
        <f>IF(Klantgegevens_B!P310&lt;&gt;"", Klantgegevens_B!P310, Klantgegevens_A!M310)</f>
        <v/>
      </c>
      <c r="R311">
        <f>IF(Klantgegevens_B!A310&lt;&gt;"", "B", "A")</f>
        <v/>
      </c>
    </row>
    <row r="312">
      <c r="A312">
        <f>IF(Klantgegevens_B!A311&lt;&gt;"", Klantgegevens_B!A311, MID(Klantgegevens_A!A311, FIND(",", Klantgegevens_A!A311)+2, LEN(Klantgegevens_A!A311)))</f>
        <v/>
      </c>
      <c r="B312">
        <f>IF(Klantgegevens_B!B311&lt;&gt;"", Klantgegevens_B!B311, LEFT(Klantgegevens_A!A311, FIND(",", Klantgegevens_A!A311)-1))</f>
        <v/>
      </c>
      <c r="C312">
        <f>C311 &amp; ", " &amp; B311</f>
        <v/>
      </c>
      <c r="D312">
        <f>IF(Klantgegevens_B!F311&lt;&gt;"", Klantgegevens_B!F311, Klantgegevens_A!D311 &amp; " " &amp; Klantgegevens_A!E311 &amp; ", " &amp; Klantgegevens_A!F311)</f>
        <v/>
      </c>
      <c r="E312">
        <f>IF(Klantgegevens_B!G311&lt;&gt;"", Klantgegevens_B!G311, TEXTJOIN(",", TRUE, REPT("Volwassene,", Klantgegevens_A!G311), REPT("Kind,", Klantgegevens_A!H311)))</f>
        <v/>
      </c>
      <c r="F312">
        <f>IF(Klantgegevens_B!G311&lt;&gt;"", LEN(Klantgegevens_B!G311)-LEN(SUBSTITUTE(Klantgegevens_B!G311, ",", ""))+1, Klantgegevens_A!G311)</f>
        <v/>
      </c>
      <c r="G312">
        <f>IF(Klantgegevens_B!G311&lt;&gt;"", 0, Klantgegevens_A!H311)</f>
        <v/>
      </c>
      <c r="H312">
        <f>IF(Klantgegevens_B!H311&lt;&gt;"", Klantgegevens_B!H311, Klantgegevens_A!I311)</f>
        <v/>
      </c>
      <c r="I312">
        <f>IF(Klantgegevens_B!I311&lt;&gt;"", Klantgegevens_B!I311, SWITCH(Klantgegevens_A!J311, "Zelden", 1, "Af en toe", 4, "Regelmatig", 8, "Vaak", 12))</f>
        <v/>
      </c>
      <c r="J312">
        <f>IF(Klantgegevens_B!J311&lt;&gt;"", Klantgegevens_B!J311, Klantgegevens_A!K311)</f>
        <v/>
      </c>
      <c r="K312">
        <f>IF(Klantgegevens_B!K311&lt;&gt;"", AVERAGE(--(Klantgegevens_B!K311="ja"), --(Klantgegevens_B!L311="ja"), --(Klantgegevens_B!M311="ja"), --(Klantgegevens_B!N311="ja"), --(Klantgegevens_B!O311="ja"))*10, Klantgegevens_A!L311)</f>
        <v/>
      </c>
      <c r="L312">
        <f>IF(Klantgegevens_B!K311&lt;&gt;"", Klantgegevens_B!K311, IF(Klantgegevens_A!L311&gt;=7, "ja", "nee"))</f>
        <v/>
      </c>
      <c r="M312">
        <f>IF(Klantgegevens_B!L311&lt;&gt;"", Klantgegevens_B!L311, IF(Klantgegevens_A!L311&gt;=7, "ja", "nee"))</f>
        <v/>
      </c>
      <c r="N312">
        <f>IF(Klantgegevens_B!M311&lt;&gt;"", Klantgegevens_B!M311, IF(Klantgegevens_A!L311&gt;=7, "ja", "nee"))</f>
        <v/>
      </c>
      <c r="O312">
        <f>IF(Klantgegevens_B!N311&lt;&gt;"", Klantgegevens_B!N311, IF(Klantgegevens_A!L311&gt;=7, "ja", "nee"))</f>
        <v/>
      </c>
      <c r="P312">
        <f>IF(Klantgegevens_B!O311&lt;&gt;"", Klantgegevens_B!O311, IF(Klantgegevens_A!L311&gt;=7, "ja", "nee"))</f>
        <v/>
      </c>
      <c r="Q312">
        <f>IF(Klantgegevens_B!P311&lt;&gt;"", Klantgegevens_B!P311, Klantgegevens_A!M311)</f>
        <v/>
      </c>
      <c r="R312">
        <f>IF(Klantgegevens_B!A311&lt;&gt;"", "B", "A")</f>
        <v/>
      </c>
    </row>
    <row r="313">
      <c r="A313">
        <f>IF(Klantgegevens_B!A312&lt;&gt;"", Klantgegevens_B!A312, MID(Klantgegevens_A!A312, FIND(",", Klantgegevens_A!A312)+2, LEN(Klantgegevens_A!A312)))</f>
        <v/>
      </c>
      <c r="B313">
        <f>IF(Klantgegevens_B!B312&lt;&gt;"", Klantgegevens_B!B312, LEFT(Klantgegevens_A!A312, FIND(",", Klantgegevens_A!A312)-1))</f>
        <v/>
      </c>
      <c r="C313">
        <f>C312 &amp; ", " &amp; B312</f>
        <v/>
      </c>
      <c r="D313">
        <f>IF(Klantgegevens_B!F312&lt;&gt;"", Klantgegevens_B!F312, Klantgegevens_A!D312 &amp; " " &amp; Klantgegevens_A!E312 &amp; ", " &amp; Klantgegevens_A!F312)</f>
        <v/>
      </c>
      <c r="E313">
        <f>IF(Klantgegevens_B!G312&lt;&gt;"", Klantgegevens_B!G312, TEXTJOIN(",", TRUE, REPT("Volwassene,", Klantgegevens_A!G312), REPT("Kind,", Klantgegevens_A!H312)))</f>
        <v/>
      </c>
      <c r="F313">
        <f>IF(Klantgegevens_B!G312&lt;&gt;"", LEN(Klantgegevens_B!G312)-LEN(SUBSTITUTE(Klantgegevens_B!G312, ",", ""))+1, Klantgegevens_A!G312)</f>
        <v/>
      </c>
      <c r="G313">
        <f>IF(Klantgegevens_B!G312&lt;&gt;"", 0, Klantgegevens_A!H312)</f>
        <v/>
      </c>
      <c r="H313">
        <f>IF(Klantgegevens_B!H312&lt;&gt;"", Klantgegevens_B!H312, Klantgegevens_A!I312)</f>
        <v/>
      </c>
      <c r="I313">
        <f>IF(Klantgegevens_B!I312&lt;&gt;"", Klantgegevens_B!I312, SWITCH(Klantgegevens_A!J312, "Zelden", 1, "Af en toe", 4, "Regelmatig", 8, "Vaak", 12))</f>
        <v/>
      </c>
      <c r="J313">
        <f>IF(Klantgegevens_B!J312&lt;&gt;"", Klantgegevens_B!J312, Klantgegevens_A!K312)</f>
        <v/>
      </c>
      <c r="K313">
        <f>IF(Klantgegevens_B!K312&lt;&gt;"", AVERAGE(--(Klantgegevens_B!K312="ja"), --(Klantgegevens_B!L312="ja"), --(Klantgegevens_B!M312="ja"), --(Klantgegevens_B!N312="ja"), --(Klantgegevens_B!O312="ja"))*10, Klantgegevens_A!L312)</f>
        <v/>
      </c>
      <c r="L313">
        <f>IF(Klantgegevens_B!K312&lt;&gt;"", Klantgegevens_B!K312, IF(Klantgegevens_A!L312&gt;=7, "ja", "nee"))</f>
        <v/>
      </c>
      <c r="M313">
        <f>IF(Klantgegevens_B!L312&lt;&gt;"", Klantgegevens_B!L312, IF(Klantgegevens_A!L312&gt;=7, "ja", "nee"))</f>
        <v/>
      </c>
      <c r="N313">
        <f>IF(Klantgegevens_B!M312&lt;&gt;"", Klantgegevens_B!M312, IF(Klantgegevens_A!L312&gt;=7, "ja", "nee"))</f>
        <v/>
      </c>
      <c r="O313">
        <f>IF(Klantgegevens_B!N312&lt;&gt;"", Klantgegevens_B!N312, IF(Klantgegevens_A!L312&gt;=7, "ja", "nee"))</f>
        <v/>
      </c>
      <c r="P313">
        <f>IF(Klantgegevens_B!O312&lt;&gt;"", Klantgegevens_B!O312, IF(Klantgegevens_A!L312&gt;=7, "ja", "nee"))</f>
        <v/>
      </c>
      <c r="Q313">
        <f>IF(Klantgegevens_B!P312&lt;&gt;"", Klantgegevens_B!P312, Klantgegevens_A!M312)</f>
        <v/>
      </c>
      <c r="R313">
        <f>IF(Klantgegevens_B!A312&lt;&gt;"", "B", "A")</f>
        <v/>
      </c>
    </row>
    <row r="314">
      <c r="A314">
        <f>IF(Klantgegevens_B!A313&lt;&gt;"", Klantgegevens_B!A313, MID(Klantgegevens_A!A313, FIND(",", Klantgegevens_A!A313)+2, LEN(Klantgegevens_A!A313)))</f>
        <v/>
      </c>
      <c r="B314">
        <f>IF(Klantgegevens_B!B313&lt;&gt;"", Klantgegevens_B!B313, LEFT(Klantgegevens_A!A313, FIND(",", Klantgegevens_A!A313)-1))</f>
        <v/>
      </c>
      <c r="C314">
        <f>C313 &amp; ", " &amp; B313</f>
        <v/>
      </c>
      <c r="D314">
        <f>IF(Klantgegevens_B!F313&lt;&gt;"", Klantgegevens_B!F313, Klantgegevens_A!D313 &amp; " " &amp; Klantgegevens_A!E313 &amp; ", " &amp; Klantgegevens_A!F313)</f>
        <v/>
      </c>
      <c r="E314">
        <f>IF(Klantgegevens_B!G313&lt;&gt;"", Klantgegevens_B!G313, TEXTJOIN(",", TRUE, REPT("Volwassene,", Klantgegevens_A!G313), REPT("Kind,", Klantgegevens_A!H313)))</f>
        <v/>
      </c>
      <c r="F314">
        <f>IF(Klantgegevens_B!G313&lt;&gt;"", LEN(Klantgegevens_B!G313)-LEN(SUBSTITUTE(Klantgegevens_B!G313, ",", ""))+1, Klantgegevens_A!G313)</f>
        <v/>
      </c>
      <c r="G314">
        <f>IF(Klantgegevens_B!G313&lt;&gt;"", 0, Klantgegevens_A!H313)</f>
        <v/>
      </c>
      <c r="H314">
        <f>IF(Klantgegevens_B!H313&lt;&gt;"", Klantgegevens_B!H313, Klantgegevens_A!I313)</f>
        <v/>
      </c>
      <c r="I314">
        <f>IF(Klantgegevens_B!I313&lt;&gt;"", Klantgegevens_B!I313, SWITCH(Klantgegevens_A!J313, "Zelden", 1, "Af en toe", 4, "Regelmatig", 8, "Vaak", 12))</f>
        <v/>
      </c>
      <c r="J314">
        <f>IF(Klantgegevens_B!J313&lt;&gt;"", Klantgegevens_B!J313, Klantgegevens_A!K313)</f>
        <v/>
      </c>
      <c r="K314">
        <f>IF(Klantgegevens_B!K313&lt;&gt;"", AVERAGE(--(Klantgegevens_B!K313="ja"), --(Klantgegevens_B!L313="ja"), --(Klantgegevens_B!M313="ja"), --(Klantgegevens_B!N313="ja"), --(Klantgegevens_B!O313="ja"))*10, Klantgegevens_A!L313)</f>
        <v/>
      </c>
      <c r="L314">
        <f>IF(Klantgegevens_B!K313&lt;&gt;"", Klantgegevens_B!K313, IF(Klantgegevens_A!L313&gt;=7, "ja", "nee"))</f>
        <v/>
      </c>
      <c r="M314">
        <f>IF(Klantgegevens_B!L313&lt;&gt;"", Klantgegevens_B!L313, IF(Klantgegevens_A!L313&gt;=7, "ja", "nee"))</f>
        <v/>
      </c>
      <c r="N314">
        <f>IF(Klantgegevens_B!M313&lt;&gt;"", Klantgegevens_B!M313, IF(Klantgegevens_A!L313&gt;=7, "ja", "nee"))</f>
        <v/>
      </c>
      <c r="O314">
        <f>IF(Klantgegevens_B!N313&lt;&gt;"", Klantgegevens_B!N313, IF(Klantgegevens_A!L313&gt;=7, "ja", "nee"))</f>
        <v/>
      </c>
      <c r="P314">
        <f>IF(Klantgegevens_B!O313&lt;&gt;"", Klantgegevens_B!O313, IF(Klantgegevens_A!L313&gt;=7, "ja", "nee"))</f>
        <v/>
      </c>
      <c r="Q314">
        <f>IF(Klantgegevens_B!P313&lt;&gt;"", Klantgegevens_B!P313, Klantgegevens_A!M313)</f>
        <v/>
      </c>
      <c r="R314">
        <f>IF(Klantgegevens_B!A313&lt;&gt;"", "B", "A")</f>
        <v/>
      </c>
    </row>
    <row r="315">
      <c r="A315">
        <f>IF(Klantgegevens_B!A314&lt;&gt;"", Klantgegevens_B!A314, MID(Klantgegevens_A!A314, FIND(",", Klantgegevens_A!A314)+2, LEN(Klantgegevens_A!A314)))</f>
        <v/>
      </c>
      <c r="B315">
        <f>IF(Klantgegevens_B!B314&lt;&gt;"", Klantgegevens_B!B314, LEFT(Klantgegevens_A!A314, FIND(",", Klantgegevens_A!A314)-1))</f>
        <v/>
      </c>
      <c r="C315">
        <f>C314 &amp; ", " &amp; B314</f>
        <v/>
      </c>
      <c r="D315">
        <f>IF(Klantgegevens_B!F314&lt;&gt;"", Klantgegevens_B!F314, Klantgegevens_A!D314 &amp; " " &amp; Klantgegevens_A!E314 &amp; ", " &amp; Klantgegevens_A!F314)</f>
        <v/>
      </c>
      <c r="E315">
        <f>IF(Klantgegevens_B!G314&lt;&gt;"", Klantgegevens_B!G314, TEXTJOIN(",", TRUE, REPT("Volwassene,", Klantgegevens_A!G314), REPT("Kind,", Klantgegevens_A!H314)))</f>
        <v/>
      </c>
      <c r="F315">
        <f>IF(Klantgegevens_B!G314&lt;&gt;"", LEN(Klantgegevens_B!G314)-LEN(SUBSTITUTE(Klantgegevens_B!G314, ",", ""))+1, Klantgegevens_A!G314)</f>
        <v/>
      </c>
      <c r="G315">
        <f>IF(Klantgegevens_B!G314&lt;&gt;"", 0, Klantgegevens_A!H314)</f>
        <v/>
      </c>
      <c r="H315">
        <f>IF(Klantgegevens_B!H314&lt;&gt;"", Klantgegevens_B!H314, Klantgegevens_A!I314)</f>
        <v/>
      </c>
      <c r="I315">
        <f>IF(Klantgegevens_B!I314&lt;&gt;"", Klantgegevens_B!I314, SWITCH(Klantgegevens_A!J314, "Zelden", 1, "Af en toe", 4, "Regelmatig", 8, "Vaak", 12))</f>
        <v/>
      </c>
      <c r="J315">
        <f>IF(Klantgegevens_B!J314&lt;&gt;"", Klantgegevens_B!J314, Klantgegevens_A!K314)</f>
        <v/>
      </c>
      <c r="K315">
        <f>IF(Klantgegevens_B!K314&lt;&gt;"", AVERAGE(--(Klantgegevens_B!K314="ja"), --(Klantgegevens_B!L314="ja"), --(Klantgegevens_B!M314="ja"), --(Klantgegevens_B!N314="ja"), --(Klantgegevens_B!O314="ja"))*10, Klantgegevens_A!L314)</f>
        <v/>
      </c>
      <c r="L315">
        <f>IF(Klantgegevens_B!K314&lt;&gt;"", Klantgegevens_B!K314, IF(Klantgegevens_A!L314&gt;=7, "ja", "nee"))</f>
        <v/>
      </c>
      <c r="M315">
        <f>IF(Klantgegevens_B!L314&lt;&gt;"", Klantgegevens_B!L314, IF(Klantgegevens_A!L314&gt;=7, "ja", "nee"))</f>
        <v/>
      </c>
      <c r="N315">
        <f>IF(Klantgegevens_B!M314&lt;&gt;"", Klantgegevens_B!M314, IF(Klantgegevens_A!L314&gt;=7, "ja", "nee"))</f>
        <v/>
      </c>
      <c r="O315">
        <f>IF(Klantgegevens_B!N314&lt;&gt;"", Klantgegevens_B!N314, IF(Klantgegevens_A!L314&gt;=7, "ja", "nee"))</f>
        <v/>
      </c>
      <c r="P315">
        <f>IF(Klantgegevens_B!O314&lt;&gt;"", Klantgegevens_B!O314, IF(Klantgegevens_A!L314&gt;=7, "ja", "nee"))</f>
        <v/>
      </c>
      <c r="Q315">
        <f>IF(Klantgegevens_B!P314&lt;&gt;"", Klantgegevens_B!P314, Klantgegevens_A!M314)</f>
        <v/>
      </c>
      <c r="R315">
        <f>IF(Klantgegevens_B!A314&lt;&gt;"", "B", "A")</f>
        <v/>
      </c>
    </row>
    <row r="316">
      <c r="A316">
        <f>IF(Klantgegevens_B!A315&lt;&gt;"", Klantgegevens_B!A315, MID(Klantgegevens_A!A315, FIND(",", Klantgegevens_A!A315)+2, LEN(Klantgegevens_A!A315)))</f>
        <v/>
      </c>
      <c r="B316">
        <f>IF(Klantgegevens_B!B315&lt;&gt;"", Klantgegevens_B!B315, LEFT(Klantgegevens_A!A315, FIND(",", Klantgegevens_A!A315)-1))</f>
        <v/>
      </c>
      <c r="C316">
        <f>C315 &amp; ", " &amp; B315</f>
        <v/>
      </c>
      <c r="D316">
        <f>IF(Klantgegevens_B!F315&lt;&gt;"", Klantgegevens_B!F315, Klantgegevens_A!D315 &amp; " " &amp; Klantgegevens_A!E315 &amp; ", " &amp; Klantgegevens_A!F315)</f>
        <v/>
      </c>
      <c r="E316">
        <f>IF(Klantgegevens_B!G315&lt;&gt;"", Klantgegevens_B!G315, TEXTJOIN(",", TRUE, REPT("Volwassene,", Klantgegevens_A!G315), REPT("Kind,", Klantgegevens_A!H315)))</f>
        <v/>
      </c>
      <c r="F316">
        <f>IF(Klantgegevens_B!G315&lt;&gt;"", LEN(Klantgegevens_B!G315)-LEN(SUBSTITUTE(Klantgegevens_B!G315, ",", ""))+1, Klantgegevens_A!G315)</f>
        <v/>
      </c>
      <c r="G316">
        <f>IF(Klantgegevens_B!G315&lt;&gt;"", 0, Klantgegevens_A!H315)</f>
        <v/>
      </c>
      <c r="H316">
        <f>IF(Klantgegevens_B!H315&lt;&gt;"", Klantgegevens_B!H315, Klantgegevens_A!I315)</f>
        <v/>
      </c>
      <c r="I316">
        <f>IF(Klantgegevens_B!I315&lt;&gt;"", Klantgegevens_B!I315, SWITCH(Klantgegevens_A!J315, "Zelden", 1, "Af en toe", 4, "Regelmatig", 8, "Vaak", 12))</f>
        <v/>
      </c>
      <c r="J316">
        <f>IF(Klantgegevens_B!J315&lt;&gt;"", Klantgegevens_B!J315, Klantgegevens_A!K315)</f>
        <v/>
      </c>
      <c r="K316">
        <f>IF(Klantgegevens_B!K315&lt;&gt;"", AVERAGE(--(Klantgegevens_B!K315="ja"), --(Klantgegevens_B!L315="ja"), --(Klantgegevens_B!M315="ja"), --(Klantgegevens_B!N315="ja"), --(Klantgegevens_B!O315="ja"))*10, Klantgegevens_A!L315)</f>
        <v/>
      </c>
      <c r="L316">
        <f>IF(Klantgegevens_B!K315&lt;&gt;"", Klantgegevens_B!K315, IF(Klantgegevens_A!L315&gt;=7, "ja", "nee"))</f>
        <v/>
      </c>
      <c r="M316">
        <f>IF(Klantgegevens_B!L315&lt;&gt;"", Klantgegevens_B!L315, IF(Klantgegevens_A!L315&gt;=7, "ja", "nee"))</f>
        <v/>
      </c>
      <c r="N316">
        <f>IF(Klantgegevens_B!M315&lt;&gt;"", Klantgegevens_B!M315, IF(Klantgegevens_A!L315&gt;=7, "ja", "nee"))</f>
        <v/>
      </c>
      <c r="O316">
        <f>IF(Klantgegevens_B!N315&lt;&gt;"", Klantgegevens_B!N315, IF(Klantgegevens_A!L315&gt;=7, "ja", "nee"))</f>
        <v/>
      </c>
      <c r="P316">
        <f>IF(Klantgegevens_B!O315&lt;&gt;"", Klantgegevens_B!O315, IF(Klantgegevens_A!L315&gt;=7, "ja", "nee"))</f>
        <v/>
      </c>
      <c r="Q316">
        <f>IF(Klantgegevens_B!P315&lt;&gt;"", Klantgegevens_B!P315, Klantgegevens_A!M315)</f>
        <v/>
      </c>
      <c r="R316">
        <f>IF(Klantgegevens_B!A315&lt;&gt;"", "B", "A")</f>
        <v/>
      </c>
    </row>
    <row r="317">
      <c r="A317">
        <f>IF(Klantgegevens_B!A316&lt;&gt;"", Klantgegevens_B!A316, MID(Klantgegevens_A!A316, FIND(",", Klantgegevens_A!A316)+2, LEN(Klantgegevens_A!A316)))</f>
        <v/>
      </c>
      <c r="B317">
        <f>IF(Klantgegevens_B!B316&lt;&gt;"", Klantgegevens_B!B316, LEFT(Klantgegevens_A!A316, FIND(",", Klantgegevens_A!A316)-1))</f>
        <v/>
      </c>
      <c r="C317">
        <f>C316 &amp; ", " &amp; B316</f>
        <v/>
      </c>
      <c r="D317">
        <f>IF(Klantgegevens_B!F316&lt;&gt;"", Klantgegevens_B!F316, Klantgegevens_A!D316 &amp; " " &amp; Klantgegevens_A!E316 &amp; ", " &amp; Klantgegevens_A!F316)</f>
        <v/>
      </c>
      <c r="E317">
        <f>IF(Klantgegevens_B!G316&lt;&gt;"", Klantgegevens_B!G316, TEXTJOIN(",", TRUE, REPT("Volwassene,", Klantgegevens_A!G316), REPT("Kind,", Klantgegevens_A!H316)))</f>
        <v/>
      </c>
      <c r="F317">
        <f>IF(Klantgegevens_B!G316&lt;&gt;"", LEN(Klantgegevens_B!G316)-LEN(SUBSTITUTE(Klantgegevens_B!G316, ",", ""))+1, Klantgegevens_A!G316)</f>
        <v/>
      </c>
      <c r="G317">
        <f>IF(Klantgegevens_B!G316&lt;&gt;"", 0, Klantgegevens_A!H316)</f>
        <v/>
      </c>
      <c r="H317">
        <f>IF(Klantgegevens_B!H316&lt;&gt;"", Klantgegevens_B!H316, Klantgegevens_A!I316)</f>
        <v/>
      </c>
      <c r="I317">
        <f>IF(Klantgegevens_B!I316&lt;&gt;"", Klantgegevens_B!I316, SWITCH(Klantgegevens_A!J316, "Zelden", 1, "Af en toe", 4, "Regelmatig", 8, "Vaak", 12))</f>
        <v/>
      </c>
      <c r="J317">
        <f>IF(Klantgegevens_B!J316&lt;&gt;"", Klantgegevens_B!J316, Klantgegevens_A!K316)</f>
        <v/>
      </c>
      <c r="K317">
        <f>IF(Klantgegevens_B!K316&lt;&gt;"", AVERAGE(--(Klantgegevens_B!K316="ja"), --(Klantgegevens_B!L316="ja"), --(Klantgegevens_B!M316="ja"), --(Klantgegevens_B!N316="ja"), --(Klantgegevens_B!O316="ja"))*10, Klantgegevens_A!L316)</f>
        <v/>
      </c>
      <c r="L317">
        <f>IF(Klantgegevens_B!K316&lt;&gt;"", Klantgegevens_B!K316, IF(Klantgegevens_A!L316&gt;=7, "ja", "nee"))</f>
        <v/>
      </c>
      <c r="M317">
        <f>IF(Klantgegevens_B!L316&lt;&gt;"", Klantgegevens_B!L316, IF(Klantgegevens_A!L316&gt;=7, "ja", "nee"))</f>
        <v/>
      </c>
      <c r="N317">
        <f>IF(Klantgegevens_B!M316&lt;&gt;"", Klantgegevens_B!M316, IF(Klantgegevens_A!L316&gt;=7, "ja", "nee"))</f>
        <v/>
      </c>
      <c r="O317">
        <f>IF(Klantgegevens_B!N316&lt;&gt;"", Klantgegevens_B!N316, IF(Klantgegevens_A!L316&gt;=7, "ja", "nee"))</f>
        <v/>
      </c>
      <c r="P317">
        <f>IF(Klantgegevens_B!O316&lt;&gt;"", Klantgegevens_B!O316, IF(Klantgegevens_A!L316&gt;=7, "ja", "nee"))</f>
        <v/>
      </c>
      <c r="Q317">
        <f>IF(Klantgegevens_B!P316&lt;&gt;"", Klantgegevens_B!P316, Klantgegevens_A!M316)</f>
        <v/>
      </c>
      <c r="R317">
        <f>IF(Klantgegevens_B!A316&lt;&gt;"", "B", "A")</f>
        <v/>
      </c>
    </row>
    <row r="318">
      <c r="A318">
        <f>IF(Klantgegevens_B!A317&lt;&gt;"", Klantgegevens_B!A317, MID(Klantgegevens_A!A317, FIND(",", Klantgegevens_A!A317)+2, LEN(Klantgegevens_A!A317)))</f>
        <v/>
      </c>
      <c r="B318">
        <f>IF(Klantgegevens_B!B317&lt;&gt;"", Klantgegevens_B!B317, LEFT(Klantgegevens_A!A317, FIND(",", Klantgegevens_A!A317)-1))</f>
        <v/>
      </c>
      <c r="C318">
        <f>C317 &amp; ", " &amp; B317</f>
        <v/>
      </c>
      <c r="D318">
        <f>IF(Klantgegevens_B!F317&lt;&gt;"", Klantgegevens_B!F317, Klantgegevens_A!D317 &amp; " " &amp; Klantgegevens_A!E317 &amp; ", " &amp; Klantgegevens_A!F317)</f>
        <v/>
      </c>
      <c r="E318">
        <f>IF(Klantgegevens_B!G317&lt;&gt;"", Klantgegevens_B!G317, TEXTJOIN(",", TRUE, REPT("Volwassene,", Klantgegevens_A!G317), REPT("Kind,", Klantgegevens_A!H317)))</f>
        <v/>
      </c>
      <c r="F318">
        <f>IF(Klantgegevens_B!G317&lt;&gt;"", LEN(Klantgegevens_B!G317)-LEN(SUBSTITUTE(Klantgegevens_B!G317, ",", ""))+1, Klantgegevens_A!G317)</f>
        <v/>
      </c>
      <c r="G318">
        <f>IF(Klantgegevens_B!G317&lt;&gt;"", 0, Klantgegevens_A!H317)</f>
        <v/>
      </c>
      <c r="H318">
        <f>IF(Klantgegevens_B!H317&lt;&gt;"", Klantgegevens_B!H317, Klantgegevens_A!I317)</f>
        <v/>
      </c>
      <c r="I318">
        <f>IF(Klantgegevens_B!I317&lt;&gt;"", Klantgegevens_B!I317, SWITCH(Klantgegevens_A!J317, "Zelden", 1, "Af en toe", 4, "Regelmatig", 8, "Vaak", 12))</f>
        <v/>
      </c>
      <c r="J318">
        <f>IF(Klantgegevens_B!J317&lt;&gt;"", Klantgegevens_B!J317, Klantgegevens_A!K317)</f>
        <v/>
      </c>
      <c r="K318">
        <f>IF(Klantgegevens_B!K317&lt;&gt;"", AVERAGE(--(Klantgegevens_B!K317="ja"), --(Klantgegevens_B!L317="ja"), --(Klantgegevens_B!M317="ja"), --(Klantgegevens_B!N317="ja"), --(Klantgegevens_B!O317="ja"))*10, Klantgegevens_A!L317)</f>
        <v/>
      </c>
      <c r="L318">
        <f>IF(Klantgegevens_B!K317&lt;&gt;"", Klantgegevens_B!K317, IF(Klantgegevens_A!L317&gt;=7, "ja", "nee"))</f>
        <v/>
      </c>
      <c r="M318">
        <f>IF(Klantgegevens_B!L317&lt;&gt;"", Klantgegevens_B!L317, IF(Klantgegevens_A!L317&gt;=7, "ja", "nee"))</f>
        <v/>
      </c>
      <c r="N318">
        <f>IF(Klantgegevens_B!M317&lt;&gt;"", Klantgegevens_B!M317, IF(Klantgegevens_A!L317&gt;=7, "ja", "nee"))</f>
        <v/>
      </c>
      <c r="O318">
        <f>IF(Klantgegevens_B!N317&lt;&gt;"", Klantgegevens_B!N317, IF(Klantgegevens_A!L317&gt;=7, "ja", "nee"))</f>
        <v/>
      </c>
      <c r="P318">
        <f>IF(Klantgegevens_B!O317&lt;&gt;"", Klantgegevens_B!O317, IF(Klantgegevens_A!L317&gt;=7, "ja", "nee"))</f>
        <v/>
      </c>
      <c r="Q318">
        <f>IF(Klantgegevens_B!P317&lt;&gt;"", Klantgegevens_B!P317, Klantgegevens_A!M317)</f>
        <v/>
      </c>
      <c r="R318">
        <f>IF(Klantgegevens_B!A317&lt;&gt;"", "B", "A")</f>
        <v/>
      </c>
    </row>
    <row r="319">
      <c r="A319">
        <f>IF(Klantgegevens_B!A318&lt;&gt;"", Klantgegevens_B!A318, MID(Klantgegevens_A!A318, FIND(",", Klantgegevens_A!A318)+2, LEN(Klantgegevens_A!A318)))</f>
        <v/>
      </c>
      <c r="B319">
        <f>IF(Klantgegevens_B!B318&lt;&gt;"", Klantgegevens_B!B318, LEFT(Klantgegevens_A!A318, FIND(",", Klantgegevens_A!A318)-1))</f>
        <v/>
      </c>
      <c r="C319">
        <f>C318 &amp; ", " &amp; B318</f>
        <v/>
      </c>
      <c r="D319">
        <f>IF(Klantgegevens_B!F318&lt;&gt;"", Klantgegevens_B!F318, Klantgegevens_A!D318 &amp; " " &amp; Klantgegevens_A!E318 &amp; ", " &amp; Klantgegevens_A!F318)</f>
        <v/>
      </c>
      <c r="E319">
        <f>IF(Klantgegevens_B!G318&lt;&gt;"", Klantgegevens_B!G318, TEXTJOIN(",", TRUE, REPT("Volwassene,", Klantgegevens_A!G318), REPT("Kind,", Klantgegevens_A!H318)))</f>
        <v/>
      </c>
      <c r="F319">
        <f>IF(Klantgegevens_B!G318&lt;&gt;"", LEN(Klantgegevens_B!G318)-LEN(SUBSTITUTE(Klantgegevens_B!G318, ",", ""))+1, Klantgegevens_A!G318)</f>
        <v/>
      </c>
      <c r="G319">
        <f>IF(Klantgegevens_B!G318&lt;&gt;"", 0, Klantgegevens_A!H318)</f>
        <v/>
      </c>
      <c r="H319">
        <f>IF(Klantgegevens_B!H318&lt;&gt;"", Klantgegevens_B!H318, Klantgegevens_A!I318)</f>
        <v/>
      </c>
      <c r="I319">
        <f>IF(Klantgegevens_B!I318&lt;&gt;"", Klantgegevens_B!I318, SWITCH(Klantgegevens_A!J318, "Zelden", 1, "Af en toe", 4, "Regelmatig", 8, "Vaak", 12))</f>
        <v/>
      </c>
      <c r="J319">
        <f>IF(Klantgegevens_B!J318&lt;&gt;"", Klantgegevens_B!J318, Klantgegevens_A!K318)</f>
        <v/>
      </c>
      <c r="K319">
        <f>IF(Klantgegevens_B!K318&lt;&gt;"", AVERAGE(--(Klantgegevens_B!K318="ja"), --(Klantgegevens_B!L318="ja"), --(Klantgegevens_B!M318="ja"), --(Klantgegevens_B!N318="ja"), --(Klantgegevens_B!O318="ja"))*10, Klantgegevens_A!L318)</f>
        <v/>
      </c>
      <c r="L319">
        <f>IF(Klantgegevens_B!K318&lt;&gt;"", Klantgegevens_B!K318, IF(Klantgegevens_A!L318&gt;=7, "ja", "nee"))</f>
        <v/>
      </c>
      <c r="M319">
        <f>IF(Klantgegevens_B!L318&lt;&gt;"", Klantgegevens_B!L318, IF(Klantgegevens_A!L318&gt;=7, "ja", "nee"))</f>
        <v/>
      </c>
      <c r="N319">
        <f>IF(Klantgegevens_B!M318&lt;&gt;"", Klantgegevens_B!M318, IF(Klantgegevens_A!L318&gt;=7, "ja", "nee"))</f>
        <v/>
      </c>
      <c r="O319">
        <f>IF(Klantgegevens_B!N318&lt;&gt;"", Klantgegevens_B!N318, IF(Klantgegevens_A!L318&gt;=7, "ja", "nee"))</f>
        <v/>
      </c>
      <c r="P319">
        <f>IF(Klantgegevens_B!O318&lt;&gt;"", Klantgegevens_B!O318, IF(Klantgegevens_A!L318&gt;=7, "ja", "nee"))</f>
        <v/>
      </c>
      <c r="Q319">
        <f>IF(Klantgegevens_B!P318&lt;&gt;"", Klantgegevens_B!P318, Klantgegevens_A!M318)</f>
        <v/>
      </c>
      <c r="R319">
        <f>IF(Klantgegevens_B!A318&lt;&gt;"", "B", "A")</f>
        <v/>
      </c>
    </row>
    <row r="320">
      <c r="A320">
        <f>IF(Klantgegevens_B!A319&lt;&gt;"", Klantgegevens_B!A319, MID(Klantgegevens_A!A319, FIND(",", Klantgegevens_A!A319)+2, LEN(Klantgegevens_A!A319)))</f>
        <v/>
      </c>
      <c r="B320">
        <f>IF(Klantgegevens_B!B319&lt;&gt;"", Klantgegevens_B!B319, LEFT(Klantgegevens_A!A319, FIND(",", Klantgegevens_A!A319)-1))</f>
        <v/>
      </c>
      <c r="C320">
        <f>C319 &amp; ", " &amp; B319</f>
        <v/>
      </c>
      <c r="D320">
        <f>IF(Klantgegevens_B!F319&lt;&gt;"", Klantgegevens_B!F319, Klantgegevens_A!D319 &amp; " " &amp; Klantgegevens_A!E319 &amp; ", " &amp; Klantgegevens_A!F319)</f>
        <v/>
      </c>
      <c r="E320">
        <f>IF(Klantgegevens_B!G319&lt;&gt;"", Klantgegevens_B!G319, TEXTJOIN(",", TRUE, REPT("Volwassene,", Klantgegevens_A!G319), REPT("Kind,", Klantgegevens_A!H319)))</f>
        <v/>
      </c>
      <c r="F320">
        <f>IF(Klantgegevens_B!G319&lt;&gt;"", LEN(Klantgegevens_B!G319)-LEN(SUBSTITUTE(Klantgegevens_B!G319, ",", ""))+1, Klantgegevens_A!G319)</f>
        <v/>
      </c>
      <c r="G320">
        <f>IF(Klantgegevens_B!G319&lt;&gt;"", 0, Klantgegevens_A!H319)</f>
        <v/>
      </c>
      <c r="H320">
        <f>IF(Klantgegevens_B!H319&lt;&gt;"", Klantgegevens_B!H319, Klantgegevens_A!I319)</f>
        <v/>
      </c>
      <c r="I320">
        <f>IF(Klantgegevens_B!I319&lt;&gt;"", Klantgegevens_B!I319, SWITCH(Klantgegevens_A!J319, "Zelden", 1, "Af en toe", 4, "Regelmatig", 8, "Vaak", 12))</f>
        <v/>
      </c>
      <c r="J320">
        <f>IF(Klantgegevens_B!J319&lt;&gt;"", Klantgegevens_B!J319, Klantgegevens_A!K319)</f>
        <v/>
      </c>
      <c r="K320">
        <f>IF(Klantgegevens_B!K319&lt;&gt;"", AVERAGE(--(Klantgegevens_B!K319="ja"), --(Klantgegevens_B!L319="ja"), --(Klantgegevens_B!M319="ja"), --(Klantgegevens_B!N319="ja"), --(Klantgegevens_B!O319="ja"))*10, Klantgegevens_A!L319)</f>
        <v/>
      </c>
      <c r="L320">
        <f>IF(Klantgegevens_B!K319&lt;&gt;"", Klantgegevens_B!K319, IF(Klantgegevens_A!L319&gt;=7, "ja", "nee"))</f>
        <v/>
      </c>
      <c r="M320">
        <f>IF(Klantgegevens_B!L319&lt;&gt;"", Klantgegevens_B!L319, IF(Klantgegevens_A!L319&gt;=7, "ja", "nee"))</f>
        <v/>
      </c>
      <c r="N320">
        <f>IF(Klantgegevens_B!M319&lt;&gt;"", Klantgegevens_B!M319, IF(Klantgegevens_A!L319&gt;=7, "ja", "nee"))</f>
        <v/>
      </c>
      <c r="O320">
        <f>IF(Klantgegevens_B!N319&lt;&gt;"", Klantgegevens_B!N319, IF(Klantgegevens_A!L319&gt;=7, "ja", "nee"))</f>
        <v/>
      </c>
      <c r="P320">
        <f>IF(Klantgegevens_B!O319&lt;&gt;"", Klantgegevens_B!O319, IF(Klantgegevens_A!L319&gt;=7, "ja", "nee"))</f>
        <v/>
      </c>
      <c r="Q320">
        <f>IF(Klantgegevens_B!P319&lt;&gt;"", Klantgegevens_B!P319, Klantgegevens_A!M319)</f>
        <v/>
      </c>
      <c r="R320">
        <f>IF(Klantgegevens_B!A319&lt;&gt;"", "B", "A")</f>
        <v/>
      </c>
    </row>
    <row r="321">
      <c r="A321">
        <f>IF(Klantgegevens_B!A320&lt;&gt;"", Klantgegevens_B!A320, MID(Klantgegevens_A!A320, FIND(",", Klantgegevens_A!A320)+2, LEN(Klantgegevens_A!A320)))</f>
        <v/>
      </c>
      <c r="B321">
        <f>IF(Klantgegevens_B!B320&lt;&gt;"", Klantgegevens_B!B320, LEFT(Klantgegevens_A!A320, FIND(",", Klantgegevens_A!A320)-1))</f>
        <v/>
      </c>
      <c r="C321">
        <f>C320 &amp; ", " &amp; B320</f>
        <v/>
      </c>
      <c r="D321">
        <f>IF(Klantgegevens_B!F320&lt;&gt;"", Klantgegevens_B!F320, Klantgegevens_A!D320 &amp; " " &amp; Klantgegevens_A!E320 &amp; ", " &amp; Klantgegevens_A!F320)</f>
        <v/>
      </c>
      <c r="E321">
        <f>IF(Klantgegevens_B!G320&lt;&gt;"", Klantgegevens_B!G320, TEXTJOIN(",", TRUE, REPT("Volwassene,", Klantgegevens_A!G320), REPT("Kind,", Klantgegevens_A!H320)))</f>
        <v/>
      </c>
      <c r="F321">
        <f>IF(Klantgegevens_B!G320&lt;&gt;"", LEN(Klantgegevens_B!G320)-LEN(SUBSTITUTE(Klantgegevens_B!G320, ",", ""))+1, Klantgegevens_A!G320)</f>
        <v/>
      </c>
      <c r="G321">
        <f>IF(Klantgegevens_B!G320&lt;&gt;"", 0, Klantgegevens_A!H320)</f>
        <v/>
      </c>
      <c r="H321">
        <f>IF(Klantgegevens_B!H320&lt;&gt;"", Klantgegevens_B!H320, Klantgegevens_A!I320)</f>
        <v/>
      </c>
      <c r="I321">
        <f>IF(Klantgegevens_B!I320&lt;&gt;"", Klantgegevens_B!I320, SWITCH(Klantgegevens_A!J320, "Zelden", 1, "Af en toe", 4, "Regelmatig", 8, "Vaak", 12))</f>
        <v/>
      </c>
      <c r="J321">
        <f>IF(Klantgegevens_B!J320&lt;&gt;"", Klantgegevens_B!J320, Klantgegevens_A!K320)</f>
        <v/>
      </c>
      <c r="K321">
        <f>IF(Klantgegevens_B!K320&lt;&gt;"", AVERAGE(--(Klantgegevens_B!K320="ja"), --(Klantgegevens_B!L320="ja"), --(Klantgegevens_B!M320="ja"), --(Klantgegevens_B!N320="ja"), --(Klantgegevens_B!O320="ja"))*10, Klantgegevens_A!L320)</f>
        <v/>
      </c>
      <c r="L321">
        <f>IF(Klantgegevens_B!K320&lt;&gt;"", Klantgegevens_B!K320, IF(Klantgegevens_A!L320&gt;=7, "ja", "nee"))</f>
        <v/>
      </c>
      <c r="M321">
        <f>IF(Klantgegevens_B!L320&lt;&gt;"", Klantgegevens_B!L320, IF(Klantgegevens_A!L320&gt;=7, "ja", "nee"))</f>
        <v/>
      </c>
      <c r="N321">
        <f>IF(Klantgegevens_B!M320&lt;&gt;"", Klantgegevens_B!M320, IF(Klantgegevens_A!L320&gt;=7, "ja", "nee"))</f>
        <v/>
      </c>
      <c r="O321">
        <f>IF(Klantgegevens_B!N320&lt;&gt;"", Klantgegevens_B!N320, IF(Klantgegevens_A!L320&gt;=7, "ja", "nee"))</f>
        <v/>
      </c>
      <c r="P321">
        <f>IF(Klantgegevens_B!O320&lt;&gt;"", Klantgegevens_B!O320, IF(Klantgegevens_A!L320&gt;=7, "ja", "nee"))</f>
        <v/>
      </c>
      <c r="Q321">
        <f>IF(Klantgegevens_B!P320&lt;&gt;"", Klantgegevens_B!P320, Klantgegevens_A!M320)</f>
        <v/>
      </c>
      <c r="R321">
        <f>IF(Klantgegevens_B!A320&lt;&gt;"", "B", "A")</f>
        <v/>
      </c>
    </row>
    <row r="322">
      <c r="A322">
        <f>IF(Klantgegevens_B!A321&lt;&gt;"", Klantgegevens_B!A321, MID(Klantgegevens_A!A321, FIND(",", Klantgegevens_A!A321)+2, LEN(Klantgegevens_A!A321)))</f>
        <v/>
      </c>
      <c r="B322">
        <f>IF(Klantgegevens_B!B321&lt;&gt;"", Klantgegevens_B!B321, LEFT(Klantgegevens_A!A321, FIND(",", Klantgegevens_A!A321)-1))</f>
        <v/>
      </c>
      <c r="C322">
        <f>C321 &amp; ", " &amp; B321</f>
        <v/>
      </c>
      <c r="D322">
        <f>IF(Klantgegevens_B!F321&lt;&gt;"", Klantgegevens_B!F321, Klantgegevens_A!D321 &amp; " " &amp; Klantgegevens_A!E321 &amp; ", " &amp; Klantgegevens_A!F321)</f>
        <v/>
      </c>
      <c r="E322">
        <f>IF(Klantgegevens_B!G321&lt;&gt;"", Klantgegevens_B!G321, TEXTJOIN(",", TRUE, REPT("Volwassene,", Klantgegevens_A!G321), REPT("Kind,", Klantgegevens_A!H321)))</f>
        <v/>
      </c>
      <c r="F322">
        <f>IF(Klantgegevens_B!G321&lt;&gt;"", LEN(Klantgegevens_B!G321)-LEN(SUBSTITUTE(Klantgegevens_B!G321, ",", ""))+1, Klantgegevens_A!G321)</f>
        <v/>
      </c>
      <c r="G322">
        <f>IF(Klantgegevens_B!G321&lt;&gt;"", 0, Klantgegevens_A!H321)</f>
        <v/>
      </c>
      <c r="H322">
        <f>IF(Klantgegevens_B!H321&lt;&gt;"", Klantgegevens_B!H321, Klantgegevens_A!I321)</f>
        <v/>
      </c>
      <c r="I322">
        <f>IF(Klantgegevens_B!I321&lt;&gt;"", Klantgegevens_B!I321, SWITCH(Klantgegevens_A!J321, "Zelden", 1, "Af en toe", 4, "Regelmatig", 8, "Vaak", 12))</f>
        <v/>
      </c>
      <c r="J322">
        <f>IF(Klantgegevens_B!J321&lt;&gt;"", Klantgegevens_B!J321, Klantgegevens_A!K321)</f>
        <v/>
      </c>
      <c r="K322">
        <f>IF(Klantgegevens_B!K321&lt;&gt;"", AVERAGE(--(Klantgegevens_B!K321="ja"), --(Klantgegevens_B!L321="ja"), --(Klantgegevens_B!M321="ja"), --(Klantgegevens_B!N321="ja"), --(Klantgegevens_B!O321="ja"))*10, Klantgegevens_A!L321)</f>
        <v/>
      </c>
      <c r="L322">
        <f>IF(Klantgegevens_B!K321&lt;&gt;"", Klantgegevens_B!K321, IF(Klantgegevens_A!L321&gt;=7, "ja", "nee"))</f>
        <v/>
      </c>
      <c r="M322">
        <f>IF(Klantgegevens_B!L321&lt;&gt;"", Klantgegevens_B!L321, IF(Klantgegevens_A!L321&gt;=7, "ja", "nee"))</f>
        <v/>
      </c>
      <c r="N322">
        <f>IF(Klantgegevens_B!M321&lt;&gt;"", Klantgegevens_B!M321, IF(Klantgegevens_A!L321&gt;=7, "ja", "nee"))</f>
        <v/>
      </c>
      <c r="O322">
        <f>IF(Klantgegevens_B!N321&lt;&gt;"", Klantgegevens_B!N321, IF(Klantgegevens_A!L321&gt;=7, "ja", "nee"))</f>
        <v/>
      </c>
      <c r="P322">
        <f>IF(Klantgegevens_B!O321&lt;&gt;"", Klantgegevens_B!O321, IF(Klantgegevens_A!L321&gt;=7, "ja", "nee"))</f>
        <v/>
      </c>
      <c r="Q322">
        <f>IF(Klantgegevens_B!P321&lt;&gt;"", Klantgegevens_B!P321, Klantgegevens_A!M321)</f>
        <v/>
      </c>
      <c r="R322">
        <f>IF(Klantgegevens_B!A321&lt;&gt;"", "B", "A")</f>
        <v/>
      </c>
    </row>
    <row r="323">
      <c r="A323">
        <f>IF(Klantgegevens_B!A322&lt;&gt;"", Klantgegevens_B!A322, MID(Klantgegevens_A!A322, FIND(",", Klantgegevens_A!A322)+2, LEN(Klantgegevens_A!A322)))</f>
        <v/>
      </c>
      <c r="B323">
        <f>IF(Klantgegevens_B!B322&lt;&gt;"", Klantgegevens_B!B322, LEFT(Klantgegevens_A!A322, FIND(",", Klantgegevens_A!A322)-1))</f>
        <v/>
      </c>
      <c r="C323">
        <f>C322 &amp; ", " &amp; B322</f>
        <v/>
      </c>
      <c r="D323">
        <f>IF(Klantgegevens_B!F322&lt;&gt;"", Klantgegevens_B!F322, Klantgegevens_A!D322 &amp; " " &amp; Klantgegevens_A!E322 &amp; ", " &amp; Klantgegevens_A!F322)</f>
        <v/>
      </c>
      <c r="E323">
        <f>IF(Klantgegevens_B!G322&lt;&gt;"", Klantgegevens_B!G322, TEXTJOIN(",", TRUE, REPT("Volwassene,", Klantgegevens_A!G322), REPT("Kind,", Klantgegevens_A!H322)))</f>
        <v/>
      </c>
      <c r="F323">
        <f>IF(Klantgegevens_B!G322&lt;&gt;"", LEN(Klantgegevens_B!G322)-LEN(SUBSTITUTE(Klantgegevens_B!G322, ",", ""))+1, Klantgegevens_A!G322)</f>
        <v/>
      </c>
      <c r="G323">
        <f>IF(Klantgegevens_B!G322&lt;&gt;"", 0, Klantgegevens_A!H322)</f>
        <v/>
      </c>
      <c r="H323">
        <f>IF(Klantgegevens_B!H322&lt;&gt;"", Klantgegevens_B!H322, Klantgegevens_A!I322)</f>
        <v/>
      </c>
      <c r="I323">
        <f>IF(Klantgegevens_B!I322&lt;&gt;"", Klantgegevens_B!I322, SWITCH(Klantgegevens_A!J322, "Zelden", 1, "Af en toe", 4, "Regelmatig", 8, "Vaak", 12))</f>
        <v/>
      </c>
      <c r="J323">
        <f>IF(Klantgegevens_B!J322&lt;&gt;"", Klantgegevens_B!J322, Klantgegevens_A!K322)</f>
        <v/>
      </c>
      <c r="K323">
        <f>IF(Klantgegevens_B!K322&lt;&gt;"", AVERAGE(--(Klantgegevens_B!K322="ja"), --(Klantgegevens_B!L322="ja"), --(Klantgegevens_B!M322="ja"), --(Klantgegevens_B!N322="ja"), --(Klantgegevens_B!O322="ja"))*10, Klantgegevens_A!L322)</f>
        <v/>
      </c>
      <c r="L323">
        <f>IF(Klantgegevens_B!K322&lt;&gt;"", Klantgegevens_B!K322, IF(Klantgegevens_A!L322&gt;=7, "ja", "nee"))</f>
        <v/>
      </c>
      <c r="M323">
        <f>IF(Klantgegevens_B!L322&lt;&gt;"", Klantgegevens_B!L322, IF(Klantgegevens_A!L322&gt;=7, "ja", "nee"))</f>
        <v/>
      </c>
      <c r="N323">
        <f>IF(Klantgegevens_B!M322&lt;&gt;"", Klantgegevens_B!M322, IF(Klantgegevens_A!L322&gt;=7, "ja", "nee"))</f>
        <v/>
      </c>
      <c r="O323">
        <f>IF(Klantgegevens_B!N322&lt;&gt;"", Klantgegevens_B!N322, IF(Klantgegevens_A!L322&gt;=7, "ja", "nee"))</f>
        <v/>
      </c>
      <c r="P323">
        <f>IF(Klantgegevens_B!O322&lt;&gt;"", Klantgegevens_B!O322, IF(Klantgegevens_A!L322&gt;=7, "ja", "nee"))</f>
        <v/>
      </c>
      <c r="Q323">
        <f>IF(Klantgegevens_B!P322&lt;&gt;"", Klantgegevens_B!P322, Klantgegevens_A!M322)</f>
        <v/>
      </c>
      <c r="R323">
        <f>IF(Klantgegevens_B!A322&lt;&gt;"", "B", "A")</f>
        <v/>
      </c>
    </row>
    <row r="324">
      <c r="A324">
        <f>IF(Klantgegevens_B!A323&lt;&gt;"", Klantgegevens_B!A323, MID(Klantgegevens_A!A323, FIND(",", Klantgegevens_A!A323)+2, LEN(Klantgegevens_A!A323)))</f>
        <v/>
      </c>
      <c r="B324">
        <f>IF(Klantgegevens_B!B323&lt;&gt;"", Klantgegevens_B!B323, LEFT(Klantgegevens_A!A323, FIND(",", Klantgegevens_A!A323)-1))</f>
        <v/>
      </c>
      <c r="C324">
        <f>C323 &amp; ", " &amp; B323</f>
        <v/>
      </c>
      <c r="D324">
        <f>IF(Klantgegevens_B!F323&lt;&gt;"", Klantgegevens_B!F323, Klantgegevens_A!D323 &amp; " " &amp; Klantgegevens_A!E323 &amp; ", " &amp; Klantgegevens_A!F323)</f>
        <v/>
      </c>
      <c r="E324">
        <f>IF(Klantgegevens_B!G323&lt;&gt;"", Klantgegevens_B!G323, TEXTJOIN(",", TRUE, REPT("Volwassene,", Klantgegevens_A!G323), REPT("Kind,", Klantgegevens_A!H323)))</f>
        <v/>
      </c>
      <c r="F324">
        <f>IF(Klantgegevens_B!G323&lt;&gt;"", LEN(Klantgegevens_B!G323)-LEN(SUBSTITUTE(Klantgegevens_B!G323, ",", ""))+1, Klantgegevens_A!G323)</f>
        <v/>
      </c>
      <c r="G324">
        <f>IF(Klantgegevens_B!G323&lt;&gt;"", 0, Klantgegevens_A!H323)</f>
        <v/>
      </c>
      <c r="H324">
        <f>IF(Klantgegevens_B!H323&lt;&gt;"", Klantgegevens_B!H323, Klantgegevens_A!I323)</f>
        <v/>
      </c>
      <c r="I324">
        <f>IF(Klantgegevens_B!I323&lt;&gt;"", Klantgegevens_B!I323, SWITCH(Klantgegevens_A!J323, "Zelden", 1, "Af en toe", 4, "Regelmatig", 8, "Vaak", 12))</f>
        <v/>
      </c>
      <c r="J324">
        <f>IF(Klantgegevens_B!J323&lt;&gt;"", Klantgegevens_B!J323, Klantgegevens_A!K323)</f>
        <v/>
      </c>
      <c r="K324">
        <f>IF(Klantgegevens_B!K323&lt;&gt;"", AVERAGE(--(Klantgegevens_B!K323="ja"), --(Klantgegevens_B!L323="ja"), --(Klantgegevens_B!M323="ja"), --(Klantgegevens_B!N323="ja"), --(Klantgegevens_B!O323="ja"))*10, Klantgegevens_A!L323)</f>
        <v/>
      </c>
      <c r="L324">
        <f>IF(Klantgegevens_B!K323&lt;&gt;"", Klantgegevens_B!K323, IF(Klantgegevens_A!L323&gt;=7, "ja", "nee"))</f>
        <v/>
      </c>
      <c r="M324">
        <f>IF(Klantgegevens_B!L323&lt;&gt;"", Klantgegevens_B!L323, IF(Klantgegevens_A!L323&gt;=7, "ja", "nee"))</f>
        <v/>
      </c>
      <c r="N324">
        <f>IF(Klantgegevens_B!M323&lt;&gt;"", Klantgegevens_B!M323, IF(Klantgegevens_A!L323&gt;=7, "ja", "nee"))</f>
        <v/>
      </c>
      <c r="O324">
        <f>IF(Klantgegevens_B!N323&lt;&gt;"", Klantgegevens_B!N323, IF(Klantgegevens_A!L323&gt;=7, "ja", "nee"))</f>
        <v/>
      </c>
      <c r="P324">
        <f>IF(Klantgegevens_B!O323&lt;&gt;"", Klantgegevens_B!O323, IF(Klantgegevens_A!L323&gt;=7, "ja", "nee"))</f>
        <v/>
      </c>
      <c r="Q324">
        <f>IF(Klantgegevens_B!P323&lt;&gt;"", Klantgegevens_B!P323, Klantgegevens_A!M323)</f>
        <v/>
      </c>
      <c r="R324">
        <f>IF(Klantgegevens_B!A323&lt;&gt;"", "B", "A")</f>
        <v/>
      </c>
    </row>
    <row r="325">
      <c r="A325">
        <f>IF(Klantgegevens_B!A324&lt;&gt;"", Klantgegevens_B!A324, MID(Klantgegevens_A!A324, FIND(",", Klantgegevens_A!A324)+2, LEN(Klantgegevens_A!A324)))</f>
        <v/>
      </c>
      <c r="B325">
        <f>IF(Klantgegevens_B!B324&lt;&gt;"", Klantgegevens_B!B324, LEFT(Klantgegevens_A!A324, FIND(",", Klantgegevens_A!A324)-1))</f>
        <v/>
      </c>
      <c r="C325">
        <f>C324 &amp; ", " &amp; B324</f>
        <v/>
      </c>
      <c r="D325">
        <f>IF(Klantgegevens_B!F324&lt;&gt;"", Klantgegevens_B!F324, Klantgegevens_A!D324 &amp; " " &amp; Klantgegevens_A!E324 &amp; ", " &amp; Klantgegevens_A!F324)</f>
        <v/>
      </c>
      <c r="E325">
        <f>IF(Klantgegevens_B!G324&lt;&gt;"", Klantgegevens_B!G324, TEXTJOIN(",", TRUE, REPT("Volwassene,", Klantgegevens_A!G324), REPT("Kind,", Klantgegevens_A!H324)))</f>
        <v/>
      </c>
      <c r="F325">
        <f>IF(Klantgegevens_B!G324&lt;&gt;"", LEN(Klantgegevens_B!G324)-LEN(SUBSTITUTE(Klantgegevens_B!G324, ",", ""))+1, Klantgegevens_A!G324)</f>
        <v/>
      </c>
      <c r="G325">
        <f>IF(Klantgegevens_B!G324&lt;&gt;"", 0, Klantgegevens_A!H324)</f>
        <v/>
      </c>
      <c r="H325">
        <f>IF(Klantgegevens_B!H324&lt;&gt;"", Klantgegevens_B!H324, Klantgegevens_A!I324)</f>
        <v/>
      </c>
      <c r="I325">
        <f>IF(Klantgegevens_B!I324&lt;&gt;"", Klantgegevens_B!I324, SWITCH(Klantgegevens_A!J324, "Zelden", 1, "Af en toe", 4, "Regelmatig", 8, "Vaak", 12))</f>
        <v/>
      </c>
      <c r="J325">
        <f>IF(Klantgegevens_B!J324&lt;&gt;"", Klantgegevens_B!J324, Klantgegevens_A!K324)</f>
        <v/>
      </c>
      <c r="K325">
        <f>IF(Klantgegevens_B!K324&lt;&gt;"", AVERAGE(--(Klantgegevens_B!K324="ja"), --(Klantgegevens_B!L324="ja"), --(Klantgegevens_B!M324="ja"), --(Klantgegevens_B!N324="ja"), --(Klantgegevens_B!O324="ja"))*10, Klantgegevens_A!L324)</f>
        <v/>
      </c>
      <c r="L325">
        <f>IF(Klantgegevens_B!K324&lt;&gt;"", Klantgegevens_B!K324, IF(Klantgegevens_A!L324&gt;=7, "ja", "nee"))</f>
        <v/>
      </c>
      <c r="M325">
        <f>IF(Klantgegevens_B!L324&lt;&gt;"", Klantgegevens_B!L324, IF(Klantgegevens_A!L324&gt;=7, "ja", "nee"))</f>
        <v/>
      </c>
      <c r="N325">
        <f>IF(Klantgegevens_B!M324&lt;&gt;"", Klantgegevens_B!M324, IF(Klantgegevens_A!L324&gt;=7, "ja", "nee"))</f>
        <v/>
      </c>
      <c r="O325">
        <f>IF(Klantgegevens_B!N324&lt;&gt;"", Klantgegevens_B!N324, IF(Klantgegevens_A!L324&gt;=7, "ja", "nee"))</f>
        <v/>
      </c>
      <c r="P325">
        <f>IF(Klantgegevens_B!O324&lt;&gt;"", Klantgegevens_B!O324, IF(Klantgegevens_A!L324&gt;=7, "ja", "nee"))</f>
        <v/>
      </c>
      <c r="Q325">
        <f>IF(Klantgegevens_B!P324&lt;&gt;"", Klantgegevens_B!P324, Klantgegevens_A!M324)</f>
        <v/>
      </c>
      <c r="R325">
        <f>IF(Klantgegevens_B!A324&lt;&gt;"", "B", "A")</f>
        <v/>
      </c>
    </row>
    <row r="326">
      <c r="A326">
        <f>IF(Klantgegevens_B!A325&lt;&gt;"", Klantgegevens_B!A325, MID(Klantgegevens_A!A325, FIND(",", Klantgegevens_A!A325)+2, LEN(Klantgegevens_A!A325)))</f>
        <v/>
      </c>
      <c r="B326">
        <f>IF(Klantgegevens_B!B325&lt;&gt;"", Klantgegevens_B!B325, LEFT(Klantgegevens_A!A325, FIND(",", Klantgegevens_A!A325)-1))</f>
        <v/>
      </c>
      <c r="C326">
        <f>C325 &amp; ", " &amp; B325</f>
        <v/>
      </c>
      <c r="D326">
        <f>IF(Klantgegevens_B!F325&lt;&gt;"", Klantgegevens_B!F325, Klantgegevens_A!D325 &amp; " " &amp; Klantgegevens_A!E325 &amp; ", " &amp; Klantgegevens_A!F325)</f>
        <v/>
      </c>
      <c r="E326">
        <f>IF(Klantgegevens_B!G325&lt;&gt;"", Klantgegevens_B!G325, TEXTJOIN(",", TRUE, REPT("Volwassene,", Klantgegevens_A!G325), REPT("Kind,", Klantgegevens_A!H325)))</f>
        <v/>
      </c>
      <c r="F326">
        <f>IF(Klantgegevens_B!G325&lt;&gt;"", LEN(Klantgegevens_B!G325)-LEN(SUBSTITUTE(Klantgegevens_B!G325, ",", ""))+1, Klantgegevens_A!G325)</f>
        <v/>
      </c>
      <c r="G326">
        <f>IF(Klantgegevens_B!G325&lt;&gt;"", 0, Klantgegevens_A!H325)</f>
        <v/>
      </c>
      <c r="H326">
        <f>IF(Klantgegevens_B!H325&lt;&gt;"", Klantgegevens_B!H325, Klantgegevens_A!I325)</f>
        <v/>
      </c>
      <c r="I326">
        <f>IF(Klantgegevens_B!I325&lt;&gt;"", Klantgegevens_B!I325, SWITCH(Klantgegevens_A!J325, "Zelden", 1, "Af en toe", 4, "Regelmatig", 8, "Vaak", 12))</f>
        <v/>
      </c>
      <c r="J326">
        <f>IF(Klantgegevens_B!J325&lt;&gt;"", Klantgegevens_B!J325, Klantgegevens_A!K325)</f>
        <v/>
      </c>
      <c r="K326">
        <f>IF(Klantgegevens_B!K325&lt;&gt;"", AVERAGE(--(Klantgegevens_B!K325="ja"), --(Klantgegevens_B!L325="ja"), --(Klantgegevens_B!M325="ja"), --(Klantgegevens_B!N325="ja"), --(Klantgegevens_B!O325="ja"))*10, Klantgegevens_A!L325)</f>
        <v/>
      </c>
      <c r="L326">
        <f>IF(Klantgegevens_B!K325&lt;&gt;"", Klantgegevens_B!K325, IF(Klantgegevens_A!L325&gt;=7, "ja", "nee"))</f>
        <v/>
      </c>
      <c r="M326">
        <f>IF(Klantgegevens_B!L325&lt;&gt;"", Klantgegevens_B!L325, IF(Klantgegevens_A!L325&gt;=7, "ja", "nee"))</f>
        <v/>
      </c>
      <c r="N326">
        <f>IF(Klantgegevens_B!M325&lt;&gt;"", Klantgegevens_B!M325, IF(Klantgegevens_A!L325&gt;=7, "ja", "nee"))</f>
        <v/>
      </c>
      <c r="O326">
        <f>IF(Klantgegevens_B!N325&lt;&gt;"", Klantgegevens_B!N325, IF(Klantgegevens_A!L325&gt;=7, "ja", "nee"))</f>
        <v/>
      </c>
      <c r="P326">
        <f>IF(Klantgegevens_B!O325&lt;&gt;"", Klantgegevens_B!O325, IF(Klantgegevens_A!L325&gt;=7, "ja", "nee"))</f>
        <v/>
      </c>
      <c r="Q326">
        <f>IF(Klantgegevens_B!P325&lt;&gt;"", Klantgegevens_B!P325, Klantgegevens_A!M325)</f>
        <v/>
      </c>
      <c r="R326">
        <f>IF(Klantgegevens_B!A325&lt;&gt;"", "B", "A")</f>
        <v/>
      </c>
    </row>
    <row r="327">
      <c r="A327">
        <f>IF(Klantgegevens_B!A326&lt;&gt;"", Klantgegevens_B!A326, MID(Klantgegevens_A!A326, FIND(",", Klantgegevens_A!A326)+2, LEN(Klantgegevens_A!A326)))</f>
        <v/>
      </c>
      <c r="B327">
        <f>IF(Klantgegevens_B!B326&lt;&gt;"", Klantgegevens_B!B326, LEFT(Klantgegevens_A!A326, FIND(",", Klantgegevens_A!A326)-1))</f>
        <v/>
      </c>
      <c r="C327">
        <f>C326 &amp; ", " &amp; B326</f>
        <v/>
      </c>
      <c r="D327">
        <f>IF(Klantgegevens_B!F326&lt;&gt;"", Klantgegevens_B!F326, Klantgegevens_A!D326 &amp; " " &amp; Klantgegevens_A!E326 &amp; ", " &amp; Klantgegevens_A!F326)</f>
        <v/>
      </c>
      <c r="E327">
        <f>IF(Klantgegevens_B!G326&lt;&gt;"", Klantgegevens_B!G326, TEXTJOIN(",", TRUE, REPT("Volwassene,", Klantgegevens_A!G326), REPT("Kind,", Klantgegevens_A!H326)))</f>
        <v/>
      </c>
      <c r="F327">
        <f>IF(Klantgegevens_B!G326&lt;&gt;"", LEN(Klantgegevens_B!G326)-LEN(SUBSTITUTE(Klantgegevens_B!G326, ",", ""))+1, Klantgegevens_A!G326)</f>
        <v/>
      </c>
      <c r="G327">
        <f>IF(Klantgegevens_B!G326&lt;&gt;"", 0, Klantgegevens_A!H326)</f>
        <v/>
      </c>
      <c r="H327">
        <f>IF(Klantgegevens_B!H326&lt;&gt;"", Klantgegevens_B!H326, Klantgegevens_A!I326)</f>
        <v/>
      </c>
      <c r="I327">
        <f>IF(Klantgegevens_B!I326&lt;&gt;"", Klantgegevens_B!I326, SWITCH(Klantgegevens_A!J326, "Zelden", 1, "Af en toe", 4, "Regelmatig", 8, "Vaak", 12))</f>
        <v/>
      </c>
      <c r="J327">
        <f>IF(Klantgegevens_B!J326&lt;&gt;"", Klantgegevens_B!J326, Klantgegevens_A!K326)</f>
        <v/>
      </c>
      <c r="K327">
        <f>IF(Klantgegevens_B!K326&lt;&gt;"", AVERAGE(--(Klantgegevens_B!K326="ja"), --(Klantgegevens_B!L326="ja"), --(Klantgegevens_B!M326="ja"), --(Klantgegevens_B!N326="ja"), --(Klantgegevens_B!O326="ja"))*10, Klantgegevens_A!L326)</f>
        <v/>
      </c>
      <c r="L327">
        <f>IF(Klantgegevens_B!K326&lt;&gt;"", Klantgegevens_B!K326, IF(Klantgegevens_A!L326&gt;=7, "ja", "nee"))</f>
        <v/>
      </c>
      <c r="M327">
        <f>IF(Klantgegevens_B!L326&lt;&gt;"", Klantgegevens_B!L326, IF(Klantgegevens_A!L326&gt;=7, "ja", "nee"))</f>
        <v/>
      </c>
      <c r="N327">
        <f>IF(Klantgegevens_B!M326&lt;&gt;"", Klantgegevens_B!M326, IF(Klantgegevens_A!L326&gt;=7, "ja", "nee"))</f>
        <v/>
      </c>
      <c r="O327">
        <f>IF(Klantgegevens_B!N326&lt;&gt;"", Klantgegevens_B!N326, IF(Klantgegevens_A!L326&gt;=7, "ja", "nee"))</f>
        <v/>
      </c>
      <c r="P327">
        <f>IF(Klantgegevens_B!O326&lt;&gt;"", Klantgegevens_B!O326, IF(Klantgegevens_A!L326&gt;=7, "ja", "nee"))</f>
        <v/>
      </c>
      <c r="Q327">
        <f>IF(Klantgegevens_B!P326&lt;&gt;"", Klantgegevens_B!P326, Klantgegevens_A!M326)</f>
        <v/>
      </c>
      <c r="R327">
        <f>IF(Klantgegevens_B!A326&lt;&gt;"", "B", "A")</f>
        <v/>
      </c>
    </row>
    <row r="328">
      <c r="A328">
        <f>IF(Klantgegevens_B!A327&lt;&gt;"", Klantgegevens_B!A327, MID(Klantgegevens_A!A327, FIND(",", Klantgegevens_A!A327)+2, LEN(Klantgegevens_A!A327)))</f>
        <v/>
      </c>
      <c r="B328">
        <f>IF(Klantgegevens_B!B327&lt;&gt;"", Klantgegevens_B!B327, LEFT(Klantgegevens_A!A327, FIND(",", Klantgegevens_A!A327)-1))</f>
        <v/>
      </c>
      <c r="C328">
        <f>C327 &amp; ", " &amp; B327</f>
        <v/>
      </c>
      <c r="D328">
        <f>IF(Klantgegevens_B!F327&lt;&gt;"", Klantgegevens_B!F327, Klantgegevens_A!D327 &amp; " " &amp; Klantgegevens_A!E327 &amp; ", " &amp; Klantgegevens_A!F327)</f>
        <v/>
      </c>
      <c r="E328">
        <f>IF(Klantgegevens_B!G327&lt;&gt;"", Klantgegevens_B!G327, TEXTJOIN(",", TRUE, REPT("Volwassene,", Klantgegevens_A!G327), REPT("Kind,", Klantgegevens_A!H327)))</f>
        <v/>
      </c>
      <c r="F328">
        <f>IF(Klantgegevens_B!G327&lt;&gt;"", LEN(Klantgegevens_B!G327)-LEN(SUBSTITUTE(Klantgegevens_B!G327, ",", ""))+1, Klantgegevens_A!G327)</f>
        <v/>
      </c>
      <c r="G328">
        <f>IF(Klantgegevens_B!G327&lt;&gt;"", 0, Klantgegevens_A!H327)</f>
        <v/>
      </c>
      <c r="H328">
        <f>IF(Klantgegevens_B!H327&lt;&gt;"", Klantgegevens_B!H327, Klantgegevens_A!I327)</f>
        <v/>
      </c>
      <c r="I328">
        <f>IF(Klantgegevens_B!I327&lt;&gt;"", Klantgegevens_B!I327, SWITCH(Klantgegevens_A!J327, "Zelden", 1, "Af en toe", 4, "Regelmatig", 8, "Vaak", 12))</f>
        <v/>
      </c>
      <c r="J328">
        <f>IF(Klantgegevens_B!J327&lt;&gt;"", Klantgegevens_B!J327, Klantgegevens_A!K327)</f>
        <v/>
      </c>
      <c r="K328">
        <f>IF(Klantgegevens_B!K327&lt;&gt;"", AVERAGE(--(Klantgegevens_B!K327="ja"), --(Klantgegevens_B!L327="ja"), --(Klantgegevens_B!M327="ja"), --(Klantgegevens_B!N327="ja"), --(Klantgegevens_B!O327="ja"))*10, Klantgegevens_A!L327)</f>
        <v/>
      </c>
      <c r="L328">
        <f>IF(Klantgegevens_B!K327&lt;&gt;"", Klantgegevens_B!K327, IF(Klantgegevens_A!L327&gt;=7, "ja", "nee"))</f>
        <v/>
      </c>
      <c r="M328">
        <f>IF(Klantgegevens_B!L327&lt;&gt;"", Klantgegevens_B!L327, IF(Klantgegevens_A!L327&gt;=7, "ja", "nee"))</f>
        <v/>
      </c>
      <c r="N328">
        <f>IF(Klantgegevens_B!M327&lt;&gt;"", Klantgegevens_B!M327, IF(Klantgegevens_A!L327&gt;=7, "ja", "nee"))</f>
        <v/>
      </c>
      <c r="O328">
        <f>IF(Klantgegevens_B!N327&lt;&gt;"", Klantgegevens_B!N327, IF(Klantgegevens_A!L327&gt;=7, "ja", "nee"))</f>
        <v/>
      </c>
      <c r="P328">
        <f>IF(Klantgegevens_B!O327&lt;&gt;"", Klantgegevens_B!O327, IF(Klantgegevens_A!L327&gt;=7, "ja", "nee"))</f>
        <v/>
      </c>
      <c r="Q328">
        <f>IF(Klantgegevens_B!P327&lt;&gt;"", Klantgegevens_B!P327, Klantgegevens_A!M327)</f>
        <v/>
      </c>
      <c r="R328">
        <f>IF(Klantgegevens_B!A327&lt;&gt;"", "B", "A")</f>
        <v/>
      </c>
    </row>
    <row r="329">
      <c r="A329">
        <f>IF(Klantgegevens_B!A328&lt;&gt;"", Klantgegevens_B!A328, MID(Klantgegevens_A!A328, FIND(",", Klantgegevens_A!A328)+2, LEN(Klantgegevens_A!A328)))</f>
        <v/>
      </c>
      <c r="B329">
        <f>IF(Klantgegevens_B!B328&lt;&gt;"", Klantgegevens_B!B328, LEFT(Klantgegevens_A!A328, FIND(",", Klantgegevens_A!A328)-1))</f>
        <v/>
      </c>
      <c r="C329">
        <f>C328 &amp; ", " &amp; B328</f>
        <v/>
      </c>
      <c r="D329">
        <f>IF(Klantgegevens_B!F328&lt;&gt;"", Klantgegevens_B!F328, Klantgegevens_A!D328 &amp; " " &amp; Klantgegevens_A!E328 &amp; ", " &amp; Klantgegevens_A!F328)</f>
        <v/>
      </c>
      <c r="E329">
        <f>IF(Klantgegevens_B!G328&lt;&gt;"", Klantgegevens_B!G328, TEXTJOIN(",", TRUE, REPT("Volwassene,", Klantgegevens_A!G328), REPT("Kind,", Klantgegevens_A!H328)))</f>
        <v/>
      </c>
      <c r="F329">
        <f>IF(Klantgegevens_B!G328&lt;&gt;"", LEN(Klantgegevens_B!G328)-LEN(SUBSTITUTE(Klantgegevens_B!G328, ",", ""))+1, Klantgegevens_A!G328)</f>
        <v/>
      </c>
      <c r="G329">
        <f>IF(Klantgegevens_B!G328&lt;&gt;"", 0, Klantgegevens_A!H328)</f>
        <v/>
      </c>
      <c r="H329">
        <f>IF(Klantgegevens_B!H328&lt;&gt;"", Klantgegevens_B!H328, Klantgegevens_A!I328)</f>
        <v/>
      </c>
      <c r="I329">
        <f>IF(Klantgegevens_B!I328&lt;&gt;"", Klantgegevens_B!I328, SWITCH(Klantgegevens_A!J328, "Zelden", 1, "Af en toe", 4, "Regelmatig", 8, "Vaak", 12))</f>
        <v/>
      </c>
      <c r="J329">
        <f>IF(Klantgegevens_B!J328&lt;&gt;"", Klantgegevens_B!J328, Klantgegevens_A!K328)</f>
        <v/>
      </c>
      <c r="K329">
        <f>IF(Klantgegevens_B!K328&lt;&gt;"", AVERAGE(--(Klantgegevens_B!K328="ja"), --(Klantgegevens_B!L328="ja"), --(Klantgegevens_B!M328="ja"), --(Klantgegevens_B!N328="ja"), --(Klantgegevens_B!O328="ja"))*10, Klantgegevens_A!L328)</f>
        <v/>
      </c>
      <c r="L329">
        <f>IF(Klantgegevens_B!K328&lt;&gt;"", Klantgegevens_B!K328, IF(Klantgegevens_A!L328&gt;=7, "ja", "nee"))</f>
        <v/>
      </c>
      <c r="M329">
        <f>IF(Klantgegevens_B!L328&lt;&gt;"", Klantgegevens_B!L328, IF(Klantgegevens_A!L328&gt;=7, "ja", "nee"))</f>
        <v/>
      </c>
      <c r="N329">
        <f>IF(Klantgegevens_B!M328&lt;&gt;"", Klantgegevens_B!M328, IF(Klantgegevens_A!L328&gt;=7, "ja", "nee"))</f>
        <v/>
      </c>
      <c r="O329">
        <f>IF(Klantgegevens_B!N328&lt;&gt;"", Klantgegevens_B!N328, IF(Klantgegevens_A!L328&gt;=7, "ja", "nee"))</f>
        <v/>
      </c>
      <c r="P329">
        <f>IF(Klantgegevens_B!O328&lt;&gt;"", Klantgegevens_B!O328, IF(Klantgegevens_A!L328&gt;=7, "ja", "nee"))</f>
        <v/>
      </c>
      <c r="Q329">
        <f>IF(Klantgegevens_B!P328&lt;&gt;"", Klantgegevens_B!P328, Klantgegevens_A!M328)</f>
        <v/>
      </c>
      <c r="R329">
        <f>IF(Klantgegevens_B!A328&lt;&gt;"", "B", "A")</f>
        <v/>
      </c>
    </row>
    <row r="330">
      <c r="A330">
        <f>IF(Klantgegevens_B!A329&lt;&gt;"", Klantgegevens_B!A329, MID(Klantgegevens_A!A329, FIND(",", Klantgegevens_A!A329)+2, LEN(Klantgegevens_A!A329)))</f>
        <v/>
      </c>
      <c r="B330">
        <f>IF(Klantgegevens_B!B329&lt;&gt;"", Klantgegevens_B!B329, LEFT(Klantgegevens_A!A329, FIND(",", Klantgegevens_A!A329)-1))</f>
        <v/>
      </c>
      <c r="C330">
        <f>C329 &amp; ", " &amp; B329</f>
        <v/>
      </c>
      <c r="D330">
        <f>IF(Klantgegevens_B!F329&lt;&gt;"", Klantgegevens_B!F329, Klantgegevens_A!D329 &amp; " " &amp; Klantgegevens_A!E329 &amp; ", " &amp; Klantgegevens_A!F329)</f>
        <v/>
      </c>
      <c r="E330">
        <f>IF(Klantgegevens_B!G329&lt;&gt;"", Klantgegevens_B!G329, TEXTJOIN(",", TRUE, REPT("Volwassene,", Klantgegevens_A!G329), REPT("Kind,", Klantgegevens_A!H329)))</f>
        <v/>
      </c>
      <c r="F330">
        <f>IF(Klantgegevens_B!G329&lt;&gt;"", LEN(Klantgegevens_B!G329)-LEN(SUBSTITUTE(Klantgegevens_B!G329, ",", ""))+1, Klantgegevens_A!G329)</f>
        <v/>
      </c>
      <c r="G330">
        <f>IF(Klantgegevens_B!G329&lt;&gt;"", 0, Klantgegevens_A!H329)</f>
        <v/>
      </c>
      <c r="H330">
        <f>IF(Klantgegevens_B!H329&lt;&gt;"", Klantgegevens_B!H329, Klantgegevens_A!I329)</f>
        <v/>
      </c>
      <c r="I330">
        <f>IF(Klantgegevens_B!I329&lt;&gt;"", Klantgegevens_B!I329, SWITCH(Klantgegevens_A!J329, "Zelden", 1, "Af en toe", 4, "Regelmatig", 8, "Vaak", 12))</f>
        <v/>
      </c>
      <c r="J330">
        <f>IF(Klantgegevens_B!J329&lt;&gt;"", Klantgegevens_B!J329, Klantgegevens_A!K329)</f>
        <v/>
      </c>
      <c r="K330">
        <f>IF(Klantgegevens_B!K329&lt;&gt;"", AVERAGE(--(Klantgegevens_B!K329="ja"), --(Klantgegevens_B!L329="ja"), --(Klantgegevens_B!M329="ja"), --(Klantgegevens_B!N329="ja"), --(Klantgegevens_B!O329="ja"))*10, Klantgegevens_A!L329)</f>
        <v/>
      </c>
      <c r="L330">
        <f>IF(Klantgegevens_B!K329&lt;&gt;"", Klantgegevens_B!K329, IF(Klantgegevens_A!L329&gt;=7, "ja", "nee"))</f>
        <v/>
      </c>
      <c r="M330">
        <f>IF(Klantgegevens_B!L329&lt;&gt;"", Klantgegevens_B!L329, IF(Klantgegevens_A!L329&gt;=7, "ja", "nee"))</f>
        <v/>
      </c>
      <c r="N330">
        <f>IF(Klantgegevens_B!M329&lt;&gt;"", Klantgegevens_B!M329, IF(Klantgegevens_A!L329&gt;=7, "ja", "nee"))</f>
        <v/>
      </c>
      <c r="O330">
        <f>IF(Klantgegevens_B!N329&lt;&gt;"", Klantgegevens_B!N329, IF(Klantgegevens_A!L329&gt;=7, "ja", "nee"))</f>
        <v/>
      </c>
      <c r="P330">
        <f>IF(Klantgegevens_B!O329&lt;&gt;"", Klantgegevens_B!O329, IF(Klantgegevens_A!L329&gt;=7, "ja", "nee"))</f>
        <v/>
      </c>
      <c r="Q330">
        <f>IF(Klantgegevens_B!P329&lt;&gt;"", Klantgegevens_B!P329, Klantgegevens_A!M329)</f>
        <v/>
      </c>
      <c r="R330">
        <f>IF(Klantgegevens_B!A329&lt;&gt;"", "B", "A")</f>
        <v/>
      </c>
    </row>
    <row r="331">
      <c r="A331">
        <f>IF(Klantgegevens_B!A330&lt;&gt;"", Klantgegevens_B!A330, MID(Klantgegevens_A!A330, FIND(",", Klantgegevens_A!A330)+2, LEN(Klantgegevens_A!A330)))</f>
        <v/>
      </c>
      <c r="B331">
        <f>IF(Klantgegevens_B!B330&lt;&gt;"", Klantgegevens_B!B330, LEFT(Klantgegevens_A!A330, FIND(",", Klantgegevens_A!A330)-1))</f>
        <v/>
      </c>
      <c r="C331">
        <f>C330 &amp; ", " &amp; B330</f>
        <v/>
      </c>
      <c r="D331">
        <f>IF(Klantgegevens_B!F330&lt;&gt;"", Klantgegevens_B!F330, Klantgegevens_A!D330 &amp; " " &amp; Klantgegevens_A!E330 &amp; ", " &amp; Klantgegevens_A!F330)</f>
        <v/>
      </c>
      <c r="E331">
        <f>IF(Klantgegevens_B!G330&lt;&gt;"", Klantgegevens_B!G330, TEXTJOIN(",", TRUE, REPT("Volwassene,", Klantgegevens_A!G330), REPT("Kind,", Klantgegevens_A!H330)))</f>
        <v/>
      </c>
      <c r="F331">
        <f>IF(Klantgegevens_B!G330&lt;&gt;"", LEN(Klantgegevens_B!G330)-LEN(SUBSTITUTE(Klantgegevens_B!G330, ",", ""))+1, Klantgegevens_A!G330)</f>
        <v/>
      </c>
      <c r="G331">
        <f>IF(Klantgegevens_B!G330&lt;&gt;"", 0, Klantgegevens_A!H330)</f>
        <v/>
      </c>
      <c r="H331">
        <f>IF(Klantgegevens_B!H330&lt;&gt;"", Klantgegevens_B!H330, Klantgegevens_A!I330)</f>
        <v/>
      </c>
      <c r="I331">
        <f>IF(Klantgegevens_B!I330&lt;&gt;"", Klantgegevens_B!I330, SWITCH(Klantgegevens_A!J330, "Zelden", 1, "Af en toe", 4, "Regelmatig", 8, "Vaak", 12))</f>
        <v/>
      </c>
      <c r="J331">
        <f>IF(Klantgegevens_B!J330&lt;&gt;"", Klantgegevens_B!J330, Klantgegevens_A!K330)</f>
        <v/>
      </c>
      <c r="K331">
        <f>IF(Klantgegevens_B!K330&lt;&gt;"", AVERAGE(--(Klantgegevens_B!K330="ja"), --(Klantgegevens_B!L330="ja"), --(Klantgegevens_B!M330="ja"), --(Klantgegevens_B!N330="ja"), --(Klantgegevens_B!O330="ja"))*10, Klantgegevens_A!L330)</f>
        <v/>
      </c>
      <c r="L331">
        <f>IF(Klantgegevens_B!K330&lt;&gt;"", Klantgegevens_B!K330, IF(Klantgegevens_A!L330&gt;=7, "ja", "nee"))</f>
        <v/>
      </c>
      <c r="M331">
        <f>IF(Klantgegevens_B!L330&lt;&gt;"", Klantgegevens_B!L330, IF(Klantgegevens_A!L330&gt;=7, "ja", "nee"))</f>
        <v/>
      </c>
      <c r="N331">
        <f>IF(Klantgegevens_B!M330&lt;&gt;"", Klantgegevens_B!M330, IF(Klantgegevens_A!L330&gt;=7, "ja", "nee"))</f>
        <v/>
      </c>
      <c r="O331">
        <f>IF(Klantgegevens_B!N330&lt;&gt;"", Klantgegevens_B!N330, IF(Klantgegevens_A!L330&gt;=7, "ja", "nee"))</f>
        <v/>
      </c>
      <c r="P331">
        <f>IF(Klantgegevens_B!O330&lt;&gt;"", Klantgegevens_B!O330, IF(Klantgegevens_A!L330&gt;=7, "ja", "nee"))</f>
        <v/>
      </c>
      <c r="Q331">
        <f>IF(Klantgegevens_B!P330&lt;&gt;"", Klantgegevens_B!P330, Klantgegevens_A!M330)</f>
        <v/>
      </c>
      <c r="R331">
        <f>IF(Klantgegevens_B!A330&lt;&gt;"", "B", "A")</f>
        <v/>
      </c>
    </row>
    <row r="332">
      <c r="A332">
        <f>IF(Klantgegevens_B!A331&lt;&gt;"", Klantgegevens_B!A331, MID(Klantgegevens_A!A331, FIND(",", Klantgegevens_A!A331)+2, LEN(Klantgegevens_A!A331)))</f>
        <v/>
      </c>
      <c r="B332">
        <f>IF(Klantgegevens_B!B331&lt;&gt;"", Klantgegevens_B!B331, LEFT(Klantgegevens_A!A331, FIND(",", Klantgegevens_A!A331)-1))</f>
        <v/>
      </c>
      <c r="C332">
        <f>C331 &amp; ", " &amp; B331</f>
        <v/>
      </c>
      <c r="D332">
        <f>IF(Klantgegevens_B!F331&lt;&gt;"", Klantgegevens_B!F331, Klantgegevens_A!D331 &amp; " " &amp; Klantgegevens_A!E331 &amp; ", " &amp; Klantgegevens_A!F331)</f>
        <v/>
      </c>
      <c r="E332">
        <f>IF(Klantgegevens_B!G331&lt;&gt;"", Klantgegevens_B!G331, TEXTJOIN(",", TRUE, REPT("Volwassene,", Klantgegevens_A!G331), REPT("Kind,", Klantgegevens_A!H331)))</f>
        <v/>
      </c>
      <c r="F332">
        <f>IF(Klantgegevens_B!G331&lt;&gt;"", LEN(Klantgegevens_B!G331)-LEN(SUBSTITUTE(Klantgegevens_B!G331, ",", ""))+1, Klantgegevens_A!G331)</f>
        <v/>
      </c>
      <c r="G332">
        <f>IF(Klantgegevens_B!G331&lt;&gt;"", 0, Klantgegevens_A!H331)</f>
        <v/>
      </c>
      <c r="H332">
        <f>IF(Klantgegevens_B!H331&lt;&gt;"", Klantgegevens_B!H331, Klantgegevens_A!I331)</f>
        <v/>
      </c>
      <c r="I332">
        <f>IF(Klantgegevens_B!I331&lt;&gt;"", Klantgegevens_B!I331, SWITCH(Klantgegevens_A!J331, "Zelden", 1, "Af en toe", 4, "Regelmatig", 8, "Vaak", 12))</f>
        <v/>
      </c>
      <c r="J332">
        <f>IF(Klantgegevens_B!J331&lt;&gt;"", Klantgegevens_B!J331, Klantgegevens_A!K331)</f>
        <v/>
      </c>
      <c r="K332">
        <f>IF(Klantgegevens_B!K331&lt;&gt;"", AVERAGE(--(Klantgegevens_B!K331="ja"), --(Klantgegevens_B!L331="ja"), --(Klantgegevens_B!M331="ja"), --(Klantgegevens_B!N331="ja"), --(Klantgegevens_B!O331="ja"))*10, Klantgegevens_A!L331)</f>
        <v/>
      </c>
      <c r="L332">
        <f>IF(Klantgegevens_B!K331&lt;&gt;"", Klantgegevens_B!K331, IF(Klantgegevens_A!L331&gt;=7, "ja", "nee"))</f>
        <v/>
      </c>
      <c r="M332">
        <f>IF(Klantgegevens_B!L331&lt;&gt;"", Klantgegevens_B!L331, IF(Klantgegevens_A!L331&gt;=7, "ja", "nee"))</f>
        <v/>
      </c>
      <c r="N332">
        <f>IF(Klantgegevens_B!M331&lt;&gt;"", Klantgegevens_B!M331, IF(Klantgegevens_A!L331&gt;=7, "ja", "nee"))</f>
        <v/>
      </c>
      <c r="O332">
        <f>IF(Klantgegevens_B!N331&lt;&gt;"", Klantgegevens_B!N331, IF(Klantgegevens_A!L331&gt;=7, "ja", "nee"))</f>
        <v/>
      </c>
      <c r="P332">
        <f>IF(Klantgegevens_B!O331&lt;&gt;"", Klantgegevens_B!O331, IF(Klantgegevens_A!L331&gt;=7, "ja", "nee"))</f>
        <v/>
      </c>
      <c r="Q332">
        <f>IF(Klantgegevens_B!P331&lt;&gt;"", Klantgegevens_B!P331, Klantgegevens_A!M331)</f>
        <v/>
      </c>
      <c r="R332">
        <f>IF(Klantgegevens_B!A331&lt;&gt;"", "B", "A")</f>
        <v/>
      </c>
    </row>
    <row r="333">
      <c r="A333">
        <f>IF(Klantgegevens_B!A332&lt;&gt;"", Klantgegevens_B!A332, MID(Klantgegevens_A!A332, FIND(",", Klantgegevens_A!A332)+2, LEN(Klantgegevens_A!A332)))</f>
        <v/>
      </c>
      <c r="B333">
        <f>IF(Klantgegevens_B!B332&lt;&gt;"", Klantgegevens_B!B332, LEFT(Klantgegevens_A!A332, FIND(",", Klantgegevens_A!A332)-1))</f>
        <v/>
      </c>
      <c r="C333">
        <f>C332 &amp; ", " &amp; B332</f>
        <v/>
      </c>
      <c r="D333">
        <f>IF(Klantgegevens_B!F332&lt;&gt;"", Klantgegevens_B!F332, Klantgegevens_A!D332 &amp; " " &amp; Klantgegevens_A!E332 &amp; ", " &amp; Klantgegevens_A!F332)</f>
        <v/>
      </c>
      <c r="E333">
        <f>IF(Klantgegevens_B!G332&lt;&gt;"", Klantgegevens_B!G332, TEXTJOIN(",", TRUE, REPT("Volwassene,", Klantgegevens_A!G332), REPT("Kind,", Klantgegevens_A!H332)))</f>
        <v/>
      </c>
      <c r="F333">
        <f>IF(Klantgegevens_B!G332&lt;&gt;"", LEN(Klantgegevens_B!G332)-LEN(SUBSTITUTE(Klantgegevens_B!G332, ",", ""))+1, Klantgegevens_A!G332)</f>
        <v/>
      </c>
      <c r="G333">
        <f>IF(Klantgegevens_B!G332&lt;&gt;"", 0, Klantgegevens_A!H332)</f>
        <v/>
      </c>
      <c r="H333">
        <f>IF(Klantgegevens_B!H332&lt;&gt;"", Klantgegevens_B!H332, Klantgegevens_A!I332)</f>
        <v/>
      </c>
      <c r="I333">
        <f>IF(Klantgegevens_B!I332&lt;&gt;"", Klantgegevens_B!I332, SWITCH(Klantgegevens_A!J332, "Zelden", 1, "Af en toe", 4, "Regelmatig", 8, "Vaak", 12))</f>
        <v/>
      </c>
      <c r="J333">
        <f>IF(Klantgegevens_B!J332&lt;&gt;"", Klantgegevens_B!J332, Klantgegevens_A!K332)</f>
        <v/>
      </c>
      <c r="K333">
        <f>IF(Klantgegevens_B!K332&lt;&gt;"", AVERAGE(--(Klantgegevens_B!K332="ja"), --(Klantgegevens_B!L332="ja"), --(Klantgegevens_B!M332="ja"), --(Klantgegevens_B!N332="ja"), --(Klantgegevens_B!O332="ja"))*10, Klantgegevens_A!L332)</f>
        <v/>
      </c>
      <c r="L333">
        <f>IF(Klantgegevens_B!K332&lt;&gt;"", Klantgegevens_B!K332, IF(Klantgegevens_A!L332&gt;=7, "ja", "nee"))</f>
        <v/>
      </c>
      <c r="M333">
        <f>IF(Klantgegevens_B!L332&lt;&gt;"", Klantgegevens_B!L332, IF(Klantgegevens_A!L332&gt;=7, "ja", "nee"))</f>
        <v/>
      </c>
      <c r="N333">
        <f>IF(Klantgegevens_B!M332&lt;&gt;"", Klantgegevens_B!M332, IF(Klantgegevens_A!L332&gt;=7, "ja", "nee"))</f>
        <v/>
      </c>
      <c r="O333">
        <f>IF(Klantgegevens_B!N332&lt;&gt;"", Klantgegevens_B!N332, IF(Klantgegevens_A!L332&gt;=7, "ja", "nee"))</f>
        <v/>
      </c>
      <c r="P333">
        <f>IF(Klantgegevens_B!O332&lt;&gt;"", Klantgegevens_B!O332, IF(Klantgegevens_A!L332&gt;=7, "ja", "nee"))</f>
        <v/>
      </c>
      <c r="Q333">
        <f>IF(Klantgegevens_B!P332&lt;&gt;"", Klantgegevens_B!P332, Klantgegevens_A!M332)</f>
        <v/>
      </c>
      <c r="R333">
        <f>IF(Klantgegevens_B!A332&lt;&gt;"", "B", "A")</f>
        <v/>
      </c>
    </row>
    <row r="334">
      <c r="A334">
        <f>IF(Klantgegevens_B!A333&lt;&gt;"", Klantgegevens_B!A333, MID(Klantgegevens_A!A333, FIND(",", Klantgegevens_A!A333)+2, LEN(Klantgegevens_A!A333)))</f>
        <v/>
      </c>
      <c r="B334">
        <f>IF(Klantgegevens_B!B333&lt;&gt;"", Klantgegevens_B!B333, LEFT(Klantgegevens_A!A333, FIND(",", Klantgegevens_A!A333)-1))</f>
        <v/>
      </c>
      <c r="C334">
        <f>C333 &amp; ", " &amp; B333</f>
        <v/>
      </c>
      <c r="D334">
        <f>IF(Klantgegevens_B!F333&lt;&gt;"", Klantgegevens_B!F333, Klantgegevens_A!D333 &amp; " " &amp; Klantgegevens_A!E333 &amp; ", " &amp; Klantgegevens_A!F333)</f>
        <v/>
      </c>
      <c r="E334">
        <f>IF(Klantgegevens_B!G333&lt;&gt;"", Klantgegevens_B!G333, TEXTJOIN(",", TRUE, REPT("Volwassene,", Klantgegevens_A!G333), REPT("Kind,", Klantgegevens_A!H333)))</f>
        <v/>
      </c>
      <c r="F334">
        <f>IF(Klantgegevens_B!G333&lt;&gt;"", LEN(Klantgegevens_B!G333)-LEN(SUBSTITUTE(Klantgegevens_B!G333, ",", ""))+1, Klantgegevens_A!G333)</f>
        <v/>
      </c>
      <c r="G334">
        <f>IF(Klantgegevens_B!G333&lt;&gt;"", 0, Klantgegevens_A!H333)</f>
        <v/>
      </c>
      <c r="H334">
        <f>IF(Klantgegevens_B!H333&lt;&gt;"", Klantgegevens_B!H333, Klantgegevens_A!I333)</f>
        <v/>
      </c>
      <c r="I334">
        <f>IF(Klantgegevens_B!I333&lt;&gt;"", Klantgegevens_B!I333, SWITCH(Klantgegevens_A!J333, "Zelden", 1, "Af en toe", 4, "Regelmatig", 8, "Vaak", 12))</f>
        <v/>
      </c>
      <c r="J334">
        <f>IF(Klantgegevens_B!J333&lt;&gt;"", Klantgegevens_B!J333, Klantgegevens_A!K333)</f>
        <v/>
      </c>
      <c r="K334">
        <f>IF(Klantgegevens_B!K333&lt;&gt;"", AVERAGE(--(Klantgegevens_B!K333="ja"), --(Klantgegevens_B!L333="ja"), --(Klantgegevens_B!M333="ja"), --(Klantgegevens_B!N333="ja"), --(Klantgegevens_B!O333="ja"))*10, Klantgegevens_A!L333)</f>
        <v/>
      </c>
      <c r="L334">
        <f>IF(Klantgegevens_B!K333&lt;&gt;"", Klantgegevens_B!K333, IF(Klantgegevens_A!L333&gt;=7, "ja", "nee"))</f>
        <v/>
      </c>
      <c r="M334">
        <f>IF(Klantgegevens_B!L333&lt;&gt;"", Klantgegevens_B!L333, IF(Klantgegevens_A!L333&gt;=7, "ja", "nee"))</f>
        <v/>
      </c>
      <c r="N334">
        <f>IF(Klantgegevens_B!M333&lt;&gt;"", Klantgegevens_B!M333, IF(Klantgegevens_A!L333&gt;=7, "ja", "nee"))</f>
        <v/>
      </c>
      <c r="O334">
        <f>IF(Klantgegevens_B!N333&lt;&gt;"", Klantgegevens_B!N333, IF(Klantgegevens_A!L333&gt;=7, "ja", "nee"))</f>
        <v/>
      </c>
      <c r="P334">
        <f>IF(Klantgegevens_B!O333&lt;&gt;"", Klantgegevens_B!O333, IF(Klantgegevens_A!L333&gt;=7, "ja", "nee"))</f>
        <v/>
      </c>
      <c r="Q334">
        <f>IF(Klantgegevens_B!P333&lt;&gt;"", Klantgegevens_B!P333, Klantgegevens_A!M333)</f>
        <v/>
      </c>
      <c r="R334">
        <f>IF(Klantgegevens_B!A333&lt;&gt;"", "B", "A")</f>
        <v/>
      </c>
    </row>
    <row r="335">
      <c r="A335">
        <f>IF(Klantgegevens_B!A334&lt;&gt;"", Klantgegevens_B!A334, MID(Klantgegevens_A!A334, FIND(",", Klantgegevens_A!A334)+2, LEN(Klantgegevens_A!A334)))</f>
        <v/>
      </c>
      <c r="B335">
        <f>IF(Klantgegevens_B!B334&lt;&gt;"", Klantgegevens_B!B334, LEFT(Klantgegevens_A!A334, FIND(",", Klantgegevens_A!A334)-1))</f>
        <v/>
      </c>
      <c r="C335">
        <f>C334 &amp; ", " &amp; B334</f>
        <v/>
      </c>
      <c r="D335">
        <f>IF(Klantgegevens_B!F334&lt;&gt;"", Klantgegevens_B!F334, Klantgegevens_A!D334 &amp; " " &amp; Klantgegevens_A!E334 &amp; ", " &amp; Klantgegevens_A!F334)</f>
        <v/>
      </c>
      <c r="E335">
        <f>IF(Klantgegevens_B!G334&lt;&gt;"", Klantgegevens_B!G334, TEXTJOIN(",", TRUE, REPT("Volwassene,", Klantgegevens_A!G334), REPT("Kind,", Klantgegevens_A!H334)))</f>
        <v/>
      </c>
      <c r="F335">
        <f>IF(Klantgegevens_B!G334&lt;&gt;"", LEN(Klantgegevens_B!G334)-LEN(SUBSTITUTE(Klantgegevens_B!G334, ",", ""))+1, Klantgegevens_A!G334)</f>
        <v/>
      </c>
      <c r="G335">
        <f>IF(Klantgegevens_B!G334&lt;&gt;"", 0, Klantgegevens_A!H334)</f>
        <v/>
      </c>
      <c r="H335">
        <f>IF(Klantgegevens_B!H334&lt;&gt;"", Klantgegevens_B!H334, Klantgegevens_A!I334)</f>
        <v/>
      </c>
      <c r="I335">
        <f>IF(Klantgegevens_B!I334&lt;&gt;"", Klantgegevens_B!I334, SWITCH(Klantgegevens_A!J334, "Zelden", 1, "Af en toe", 4, "Regelmatig", 8, "Vaak", 12))</f>
        <v/>
      </c>
      <c r="J335">
        <f>IF(Klantgegevens_B!J334&lt;&gt;"", Klantgegevens_B!J334, Klantgegevens_A!K334)</f>
        <v/>
      </c>
      <c r="K335">
        <f>IF(Klantgegevens_B!K334&lt;&gt;"", AVERAGE(--(Klantgegevens_B!K334="ja"), --(Klantgegevens_B!L334="ja"), --(Klantgegevens_B!M334="ja"), --(Klantgegevens_B!N334="ja"), --(Klantgegevens_B!O334="ja"))*10, Klantgegevens_A!L334)</f>
        <v/>
      </c>
      <c r="L335">
        <f>IF(Klantgegevens_B!K334&lt;&gt;"", Klantgegevens_B!K334, IF(Klantgegevens_A!L334&gt;=7, "ja", "nee"))</f>
        <v/>
      </c>
      <c r="M335">
        <f>IF(Klantgegevens_B!L334&lt;&gt;"", Klantgegevens_B!L334, IF(Klantgegevens_A!L334&gt;=7, "ja", "nee"))</f>
        <v/>
      </c>
      <c r="N335">
        <f>IF(Klantgegevens_B!M334&lt;&gt;"", Klantgegevens_B!M334, IF(Klantgegevens_A!L334&gt;=7, "ja", "nee"))</f>
        <v/>
      </c>
      <c r="O335">
        <f>IF(Klantgegevens_B!N334&lt;&gt;"", Klantgegevens_B!N334, IF(Klantgegevens_A!L334&gt;=7, "ja", "nee"))</f>
        <v/>
      </c>
      <c r="P335">
        <f>IF(Klantgegevens_B!O334&lt;&gt;"", Klantgegevens_B!O334, IF(Klantgegevens_A!L334&gt;=7, "ja", "nee"))</f>
        <v/>
      </c>
      <c r="Q335">
        <f>IF(Klantgegevens_B!P334&lt;&gt;"", Klantgegevens_B!P334, Klantgegevens_A!M334)</f>
        <v/>
      </c>
      <c r="R335">
        <f>IF(Klantgegevens_B!A334&lt;&gt;"", "B", "A")</f>
        <v/>
      </c>
    </row>
    <row r="336">
      <c r="A336">
        <f>IF(Klantgegevens_B!A335&lt;&gt;"", Klantgegevens_B!A335, MID(Klantgegevens_A!A335, FIND(",", Klantgegevens_A!A335)+2, LEN(Klantgegevens_A!A335)))</f>
        <v/>
      </c>
      <c r="B336">
        <f>IF(Klantgegevens_B!B335&lt;&gt;"", Klantgegevens_B!B335, LEFT(Klantgegevens_A!A335, FIND(",", Klantgegevens_A!A335)-1))</f>
        <v/>
      </c>
      <c r="C336">
        <f>C335 &amp; ", " &amp; B335</f>
        <v/>
      </c>
      <c r="D336">
        <f>IF(Klantgegevens_B!F335&lt;&gt;"", Klantgegevens_B!F335, Klantgegevens_A!D335 &amp; " " &amp; Klantgegevens_A!E335 &amp; ", " &amp; Klantgegevens_A!F335)</f>
        <v/>
      </c>
      <c r="E336">
        <f>IF(Klantgegevens_B!G335&lt;&gt;"", Klantgegevens_B!G335, TEXTJOIN(",", TRUE, REPT("Volwassene,", Klantgegevens_A!G335), REPT("Kind,", Klantgegevens_A!H335)))</f>
        <v/>
      </c>
      <c r="F336">
        <f>IF(Klantgegevens_B!G335&lt;&gt;"", LEN(Klantgegevens_B!G335)-LEN(SUBSTITUTE(Klantgegevens_B!G335, ",", ""))+1, Klantgegevens_A!G335)</f>
        <v/>
      </c>
      <c r="G336">
        <f>IF(Klantgegevens_B!G335&lt;&gt;"", 0, Klantgegevens_A!H335)</f>
        <v/>
      </c>
      <c r="H336">
        <f>IF(Klantgegevens_B!H335&lt;&gt;"", Klantgegevens_B!H335, Klantgegevens_A!I335)</f>
        <v/>
      </c>
      <c r="I336">
        <f>IF(Klantgegevens_B!I335&lt;&gt;"", Klantgegevens_B!I335, SWITCH(Klantgegevens_A!J335, "Zelden", 1, "Af en toe", 4, "Regelmatig", 8, "Vaak", 12))</f>
        <v/>
      </c>
      <c r="J336">
        <f>IF(Klantgegevens_B!J335&lt;&gt;"", Klantgegevens_B!J335, Klantgegevens_A!K335)</f>
        <v/>
      </c>
      <c r="K336">
        <f>IF(Klantgegevens_B!K335&lt;&gt;"", AVERAGE(--(Klantgegevens_B!K335="ja"), --(Klantgegevens_B!L335="ja"), --(Klantgegevens_B!M335="ja"), --(Klantgegevens_B!N335="ja"), --(Klantgegevens_B!O335="ja"))*10, Klantgegevens_A!L335)</f>
        <v/>
      </c>
      <c r="L336">
        <f>IF(Klantgegevens_B!K335&lt;&gt;"", Klantgegevens_B!K335, IF(Klantgegevens_A!L335&gt;=7, "ja", "nee"))</f>
        <v/>
      </c>
      <c r="M336">
        <f>IF(Klantgegevens_B!L335&lt;&gt;"", Klantgegevens_B!L335, IF(Klantgegevens_A!L335&gt;=7, "ja", "nee"))</f>
        <v/>
      </c>
      <c r="N336">
        <f>IF(Klantgegevens_B!M335&lt;&gt;"", Klantgegevens_B!M335, IF(Klantgegevens_A!L335&gt;=7, "ja", "nee"))</f>
        <v/>
      </c>
      <c r="O336">
        <f>IF(Klantgegevens_B!N335&lt;&gt;"", Klantgegevens_B!N335, IF(Klantgegevens_A!L335&gt;=7, "ja", "nee"))</f>
        <v/>
      </c>
      <c r="P336">
        <f>IF(Klantgegevens_B!O335&lt;&gt;"", Klantgegevens_B!O335, IF(Klantgegevens_A!L335&gt;=7, "ja", "nee"))</f>
        <v/>
      </c>
      <c r="Q336">
        <f>IF(Klantgegevens_B!P335&lt;&gt;"", Klantgegevens_B!P335, Klantgegevens_A!M335)</f>
        <v/>
      </c>
      <c r="R336">
        <f>IF(Klantgegevens_B!A335&lt;&gt;"", "B", "A")</f>
        <v/>
      </c>
    </row>
    <row r="337">
      <c r="A337">
        <f>IF(Klantgegevens_B!A336&lt;&gt;"", Klantgegevens_B!A336, MID(Klantgegevens_A!A336, FIND(",", Klantgegevens_A!A336)+2, LEN(Klantgegevens_A!A336)))</f>
        <v/>
      </c>
      <c r="B337">
        <f>IF(Klantgegevens_B!B336&lt;&gt;"", Klantgegevens_B!B336, LEFT(Klantgegevens_A!A336, FIND(",", Klantgegevens_A!A336)-1))</f>
        <v/>
      </c>
      <c r="C337">
        <f>C336 &amp; ", " &amp; B336</f>
        <v/>
      </c>
      <c r="D337">
        <f>IF(Klantgegevens_B!F336&lt;&gt;"", Klantgegevens_B!F336, Klantgegevens_A!D336 &amp; " " &amp; Klantgegevens_A!E336 &amp; ", " &amp; Klantgegevens_A!F336)</f>
        <v/>
      </c>
      <c r="E337">
        <f>IF(Klantgegevens_B!G336&lt;&gt;"", Klantgegevens_B!G336, TEXTJOIN(",", TRUE, REPT("Volwassene,", Klantgegevens_A!G336), REPT("Kind,", Klantgegevens_A!H336)))</f>
        <v/>
      </c>
      <c r="F337">
        <f>IF(Klantgegevens_B!G336&lt;&gt;"", LEN(Klantgegevens_B!G336)-LEN(SUBSTITUTE(Klantgegevens_B!G336, ",", ""))+1, Klantgegevens_A!G336)</f>
        <v/>
      </c>
      <c r="G337">
        <f>IF(Klantgegevens_B!G336&lt;&gt;"", 0, Klantgegevens_A!H336)</f>
        <v/>
      </c>
      <c r="H337">
        <f>IF(Klantgegevens_B!H336&lt;&gt;"", Klantgegevens_B!H336, Klantgegevens_A!I336)</f>
        <v/>
      </c>
      <c r="I337">
        <f>IF(Klantgegevens_B!I336&lt;&gt;"", Klantgegevens_B!I336, SWITCH(Klantgegevens_A!J336, "Zelden", 1, "Af en toe", 4, "Regelmatig", 8, "Vaak", 12))</f>
        <v/>
      </c>
      <c r="J337">
        <f>IF(Klantgegevens_B!J336&lt;&gt;"", Klantgegevens_B!J336, Klantgegevens_A!K336)</f>
        <v/>
      </c>
      <c r="K337">
        <f>IF(Klantgegevens_B!K336&lt;&gt;"", AVERAGE(--(Klantgegevens_B!K336="ja"), --(Klantgegevens_B!L336="ja"), --(Klantgegevens_B!M336="ja"), --(Klantgegevens_B!N336="ja"), --(Klantgegevens_B!O336="ja"))*10, Klantgegevens_A!L336)</f>
        <v/>
      </c>
      <c r="L337">
        <f>IF(Klantgegevens_B!K336&lt;&gt;"", Klantgegevens_B!K336, IF(Klantgegevens_A!L336&gt;=7, "ja", "nee"))</f>
        <v/>
      </c>
      <c r="M337">
        <f>IF(Klantgegevens_B!L336&lt;&gt;"", Klantgegevens_B!L336, IF(Klantgegevens_A!L336&gt;=7, "ja", "nee"))</f>
        <v/>
      </c>
      <c r="N337">
        <f>IF(Klantgegevens_B!M336&lt;&gt;"", Klantgegevens_B!M336, IF(Klantgegevens_A!L336&gt;=7, "ja", "nee"))</f>
        <v/>
      </c>
      <c r="O337">
        <f>IF(Klantgegevens_B!N336&lt;&gt;"", Klantgegevens_B!N336, IF(Klantgegevens_A!L336&gt;=7, "ja", "nee"))</f>
        <v/>
      </c>
      <c r="P337">
        <f>IF(Klantgegevens_B!O336&lt;&gt;"", Klantgegevens_B!O336, IF(Klantgegevens_A!L336&gt;=7, "ja", "nee"))</f>
        <v/>
      </c>
      <c r="Q337">
        <f>IF(Klantgegevens_B!P336&lt;&gt;"", Klantgegevens_B!P336, Klantgegevens_A!M336)</f>
        <v/>
      </c>
      <c r="R337">
        <f>IF(Klantgegevens_B!A336&lt;&gt;"", "B", "A")</f>
        <v/>
      </c>
    </row>
    <row r="338">
      <c r="A338">
        <f>IF(Klantgegevens_B!A337&lt;&gt;"", Klantgegevens_B!A337, MID(Klantgegevens_A!A337, FIND(",", Klantgegevens_A!A337)+2, LEN(Klantgegevens_A!A337)))</f>
        <v/>
      </c>
      <c r="B338">
        <f>IF(Klantgegevens_B!B337&lt;&gt;"", Klantgegevens_B!B337, LEFT(Klantgegevens_A!A337, FIND(",", Klantgegevens_A!A337)-1))</f>
        <v/>
      </c>
      <c r="C338">
        <f>C337 &amp; ", " &amp; B337</f>
        <v/>
      </c>
      <c r="D338">
        <f>IF(Klantgegevens_B!F337&lt;&gt;"", Klantgegevens_B!F337, Klantgegevens_A!D337 &amp; " " &amp; Klantgegevens_A!E337 &amp; ", " &amp; Klantgegevens_A!F337)</f>
        <v/>
      </c>
      <c r="E338">
        <f>IF(Klantgegevens_B!G337&lt;&gt;"", Klantgegevens_B!G337, TEXTJOIN(",", TRUE, REPT("Volwassene,", Klantgegevens_A!G337), REPT("Kind,", Klantgegevens_A!H337)))</f>
        <v/>
      </c>
      <c r="F338">
        <f>IF(Klantgegevens_B!G337&lt;&gt;"", LEN(Klantgegevens_B!G337)-LEN(SUBSTITUTE(Klantgegevens_B!G337, ",", ""))+1, Klantgegevens_A!G337)</f>
        <v/>
      </c>
      <c r="G338">
        <f>IF(Klantgegevens_B!G337&lt;&gt;"", 0, Klantgegevens_A!H337)</f>
        <v/>
      </c>
      <c r="H338">
        <f>IF(Klantgegevens_B!H337&lt;&gt;"", Klantgegevens_B!H337, Klantgegevens_A!I337)</f>
        <v/>
      </c>
      <c r="I338">
        <f>IF(Klantgegevens_B!I337&lt;&gt;"", Klantgegevens_B!I337, SWITCH(Klantgegevens_A!J337, "Zelden", 1, "Af en toe", 4, "Regelmatig", 8, "Vaak", 12))</f>
        <v/>
      </c>
      <c r="J338">
        <f>IF(Klantgegevens_B!J337&lt;&gt;"", Klantgegevens_B!J337, Klantgegevens_A!K337)</f>
        <v/>
      </c>
      <c r="K338">
        <f>IF(Klantgegevens_B!K337&lt;&gt;"", AVERAGE(--(Klantgegevens_B!K337="ja"), --(Klantgegevens_B!L337="ja"), --(Klantgegevens_B!M337="ja"), --(Klantgegevens_B!N337="ja"), --(Klantgegevens_B!O337="ja"))*10, Klantgegevens_A!L337)</f>
        <v/>
      </c>
      <c r="L338">
        <f>IF(Klantgegevens_B!K337&lt;&gt;"", Klantgegevens_B!K337, IF(Klantgegevens_A!L337&gt;=7, "ja", "nee"))</f>
        <v/>
      </c>
      <c r="M338">
        <f>IF(Klantgegevens_B!L337&lt;&gt;"", Klantgegevens_B!L337, IF(Klantgegevens_A!L337&gt;=7, "ja", "nee"))</f>
        <v/>
      </c>
      <c r="N338">
        <f>IF(Klantgegevens_B!M337&lt;&gt;"", Klantgegevens_B!M337, IF(Klantgegevens_A!L337&gt;=7, "ja", "nee"))</f>
        <v/>
      </c>
      <c r="O338">
        <f>IF(Klantgegevens_B!N337&lt;&gt;"", Klantgegevens_B!N337, IF(Klantgegevens_A!L337&gt;=7, "ja", "nee"))</f>
        <v/>
      </c>
      <c r="P338">
        <f>IF(Klantgegevens_B!O337&lt;&gt;"", Klantgegevens_B!O337, IF(Klantgegevens_A!L337&gt;=7, "ja", "nee"))</f>
        <v/>
      </c>
      <c r="Q338">
        <f>IF(Klantgegevens_B!P337&lt;&gt;"", Klantgegevens_B!P337, Klantgegevens_A!M337)</f>
        <v/>
      </c>
      <c r="R338">
        <f>IF(Klantgegevens_B!A337&lt;&gt;"", "B", "A")</f>
        <v/>
      </c>
    </row>
    <row r="339">
      <c r="A339">
        <f>IF(Klantgegevens_B!A338&lt;&gt;"", Klantgegevens_B!A338, MID(Klantgegevens_A!A338, FIND(",", Klantgegevens_A!A338)+2, LEN(Klantgegevens_A!A338)))</f>
        <v/>
      </c>
      <c r="B339">
        <f>IF(Klantgegevens_B!B338&lt;&gt;"", Klantgegevens_B!B338, LEFT(Klantgegevens_A!A338, FIND(",", Klantgegevens_A!A338)-1))</f>
        <v/>
      </c>
      <c r="C339">
        <f>C338 &amp; ", " &amp; B338</f>
        <v/>
      </c>
      <c r="D339">
        <f>IF(Klantgegevens_B!F338&lt;&gt;"", Klantgegevens_B!F338, Klantgegevens_A!D338 &amp; " " &amp; Klantgegevens_A!E338 &amp; ", " &amp; Klantgegevens_A!F338)</f>
        <v/>
      </c>
      <c r="E339">
        <f>IF(Klantgegevens_B!G338&lt;&gt;"", Klantgegevens_B!G338, TEXTJOIN(",", TRUE, REPT("Volwassene,", Klantgegevens_A!G338), REPT("Kind,", Klantgegevens_A!H338)))</f>
        <v/>
      </c>
      <c r="F339">
        <f>IF(Klantgegevens_B!G338&lt;&gt;"", LEN(Klantgegevens_B!G338)-LEN(SUBSTITUTE(Klantgegevens_B!G338, ",", ""))+1, Klantgegevens_A!G338)</f>
        <v/>
      </c>
      <c r="G339">
        <f>IF(Klantgegevens_B!G338&lt;&gt;"", 0, Klantgegevens_A!H338)</f>
        <v/>
      </c>
      <c r="H339">
        <f>IF(Klantgegevens_B!H338&lt;&gt;"", Klantgegevens_B!H338, Klantgegevens_A!I338)</f>
        <v/>
      </c>
      <c r="I339">
        <f>IF(Klantgegevens_B!I338&lt;&gt;"", Klantgegevens_B!I338, SWITCH(Klantgegevens_A!J338, "Zelden", 1, "Af en toe", 4, "Regelmatig", 8, "Vaak", 12))</f>
        <v/>
      </c>
      <c r="J339">
        <f>IF(Klantgegevens_B!J338&lt;&gt;"", Klantgegevens_B!J338, Klantgegevens_A!K338)</f>
        <v/>
      </c>
      <c r="K339">
        <f>IF(Klantgegevens_B!K338&lt;&gt;"", AVERAGE(--(Klantgegevens_B!K338="ja"), --(Klantgegevens_B!L338="ja"), --(Klantgegevens_B!M338="ja"), --(Klantgegevens_B!N338="ja"), --(Klantgegevens_B!O338="ja"))*10, Klantgegevens_A!L338)</f>
        <v/>
      </c>
      <c r="L339">
        <f>IF(Klantgegevens_B!K338&lt;&gt;"", Klantgegevens_B!K338, IF(Klantgegevens_A!L338&gt;=7, "ja", "nee"))</f>
        <v/>
      </c>
      <c r="M339">
        <f>IF(Klantgegevens_B!L338&lt;&gt;"", Klantgegevens_B!L338, IF(Klantgegevens_A!L338&gt;=7, "ja", "nee"))</f>
        <v/>
      </c>
      <c r="N339">
        <f>IF(Klantgegevens_B!M338&lt;&gt;"", Klantgegevens_B!M338, IF(Klantgegevens_A!L338&gt;=7, "ja", "nee"))</f>
        <v/>
      </c>
      <c r="O339">
        <f>IF(Klantgegevens_B!N338&lt;&gt;"", Klantgegevens_B!N338, IF(Klantgegevens_A!L338&gt;=7, "ja", "nee"))</f>
        <v/>
      </c>
      <c r="P339">
        <f>IF(Klantgegevens_B!O338&lt;&gt;"", Klantgegevens_B!O338, IF(Klantgegevens_A!L338&gt;=7, "ja", "nee"))</f>
        <v/>
      </c>
      <c r="Q339">
        <f>IF(Klantgegevens_B!P338&lt;&gt;"", Klantgegevens_B!P338, Klantgegevens_A!M338)</f>
        <v/>
      </c>
      <c r="R339">
        <f>IF(Klantgegevens_B!A338&lt;&gt;"", "B", "A")</f>
        <v/>
      </c>
    </row>
    <row r="340">
      <c r="A340">
        <f>IF(Klantgegevens_B!A339&lt;&gt;"", Klantgegevens_B!A339, MID(Klantgegevens_A!A339, FIND(",", Klantgegevens_A!A339)+2, LEN(Klantgegevens_A!A339)))</f>
        <v/>
      </c>
      <c r="B340">
        <f>IF(Klantgegevens_B!B339&lt;&gt;"", Klantgegevens_B!B339, LEFT(Klantgegevens_A!A339, FIND(",", Klantgegevens_A!A339)-1))</f>
        <v/>
      </c>
      <c r="C340">
        <f>C339 &amp; ", " &amp; B339</f>
        <v/>
      </c>
      <c r="D340">
        <f>IF(Klantgegevens_B!F339&lt;&gt;"", Klantgegevens_B!F339, Klantgegevens_A!D339 &amp; " " &amp; Klantgegevens_A!E339 &amp; ", " &amp; Klantgegevens_A!F339)</f>
        <v/>
      </c>
      <c r="E340">
        <f>IF(Klantgegevens_B!G339&lt;&gt;"", Klantgegevens_B!G339, TEXTJOIN(",", TRUE, REPT("Volwassene,", Klantgegevens_A!G339), REPT("Kind,", Klantgegevens_A!H339)))</f>
        <v/>
      </c>
      <c r="F340">
        <f>IF(Klantgegevens_B!G339&lt;&gt;"", LEN(Klantgegevens_B!G339)-LEN(SUBSTITUTE(Klantgegevens_B!G339, ",", ""))+1, Klantgegevens_A!G339)</f>
        <v/>
      </c>
      <c r="G340">
        <f>IF(Klantgegevens_B!G339&lt;&gt;"", 0, Klantgegevens_A!H339)</f>
        <v/>
      </c>
      <c r="H340">
        <f>IF(Klantgegevens_B!H339&lt;&gt;"", Klantgegevens_B!H339, Klantgegevens_A!I339)</f>
        <v/>
      </c>
      <c r="I340">
        <f>IF(Klantgegevens_B!I339&lt;&gt;"", Klantgegevens_B!I339, SWITCH(Klantgegevens_A!J339, "Zelden", 1, "Af en toe", 4, "Regelmatig", 8, "Vaak", 12))</f>
        <v/>
      </c>
      <c r="J340">
        <f>IF(Klantgegevens_B!J339&lt;&gt;"", Klantgegevens_B!J339, Klantgegevens_A!K339)</f>
        <v/>
      </c>
      <c r="K340">
        <f>IF(Klantgegevens_B!K339&lt;&gt;"", AVERAGE(--(Klantgegevens_B!K339="ja"), --(Klantgegevens_B!L339="ja"), --(Klantgegevens_B!M339="ja"), --(Klantgegevens_B!N339="ja"), --(Klantgegevens_B!O339="ja"))*10, Klantgegevens_A!L339)</f>
        <v/>
      </c>
      <c r="L340">
        <f>IF(Klantgegevens_B!K339&lt;&gt;"", Klantgegevens_B!K339, IF(Klantgegevens_A!L339&gt;=7, "ja", "nee"))</f>
        <v/>
      </c>
      <c r="M340">
        <f>IF(Klantgegevens_B!L339&lt;&gt;"", Klantgegevens_B!L339, IF(Klantgegevens_A!L339&gt;=7, "ja", "nee"))</f>
        <v/>
      </c>
      <c r="N340">
        <f>IF(Klantgegevens_B!M339&lt;&gt;"", Klantgegevens_B!M339, IF(Klantgegevens_A!L339&gt;=7, "ja", "nee"))</f>
        <v/>
      </c>
      <c r="O340">
        <f>IF(Klantgegevens_B!N339&lt;&gt;"", Klantgegevens_B!N339, IF(Klantgegevens_A!L339&gt;=7, "ja", "nee"))</f>
        <v/>
      </c>
      <c r="P340">
        <f>IF(Klantgegevens_B!O339&lt;&gt;"", Klantgegevens_B!O339, IF(Klantgegevens_A!L339&gt;=7, "ja", "nee"))</f>
        <v/>
      </c>
      <c r="Q340">
        <f>IF(Klantgegevens_B!P339&lt;&gt;"", Klantgegevens_B!P339, Klantgegevens_A!M339)</f>
        <v/>
      </c>
      <c r="R340">
        <f>IF(Klantgegevens_B!A339&lt;&gt;"", "B", "A")</f>
        <v/>
      </c>
    </row>
    <row r="341">
      <c r="A341">
        <f>IF(Klantgegevens_B!A340&lt;&gt;"", Klantgegevens_B!A340, MID(Klantgegevens_A!A340, FIND(",", Klantgegevens_A!A340)+2, LEN(Klantgegevens_A!A340)))</f>
        <v/>
      </c>
      <c r="B341">
        <f>IF(Klantgegevens_B!B340&lt;&gt;"", Klantgegevens_B!B340, LEFT(Klantgegevens_A!A340, FIND(",", Klantgegevens_A!A340)-1))</f>
        <v/>
      </c>
      <c r="C341">
        <f>C340 &amp; ", " &amp; B340</f>
        <v/>
      </c>
      <c r="D341">
        <f>IF(Klantgegevens_B!F340&lt;&gt;"", Klantgegevens_B!F340, Klantgegevens_A!D340 &amp; " " &amp; Klantgegevens_A!E340 &amp; ", " &amp; Klantgegevens_A!F340)</f>
        <v/>
      </c>
      <c r="E341">
        <f>IF(Klantgegevens_B!G340&lt;&gt;"", Klantgegevens_B!G340, TEXTJOIN(",", TRUE, REPT("Volwassene,", Klantgegevens_A!G340), REPT("Kind,", Klantgegevens_A!H340)))</f>
        <v/>
      </c>
      <c r="F341">
        <f>IF(Klantgegevens_B!G340&lt;&gt;"", LEN(Klantgegevens_B!G340)-LEN(SUBSTITUTE(Klantgegevens_B!G340, ",", ""))+1, Klantgegevens_A!G340)</f>
        <v/>
      </c>
      <c r="G341">
        <f>IF(Klantgegevens_B!G340&lt;&gt;"", 0, Klantgegevens_A!H340)</f>
        <v/>
      </c>
      <c r="H341">
        <f>IF(Klantgegevens_B!H340&lt;&gt;"", Klantgegevens_B!H340, Klantgegevens_A!I340)</f>
        <v/>
      </c>
      <c r="I341">
        <f>IF(Klantgegevens_B!I340&lt;&gt;"", Klantgegevens_B!I340, SWITCH(Klantgegevens_A!J340, "Zelden", 1, "Af en toe", 4, "Regelmatig", 8, "Vaak", 12))</f>
        <v/>
      </c>
      <c r="J341">
        <f>IF(Klantgegevens_B!J340&lt;&gt;"", Klantgegevens_B!J340, Klantgegevens_A!K340)</f>
        <v/>
      </c>
      <c r="K341">
        <f>IF(Klantgegevens_B!K340&lt;&gt;"", AVERAGE(--(Klantgegevens_B!K340="ja"), --(Klantgegevens_B!L340="ja"), --(Klantgegevens_B!M340="ja"), --(Klantgegevens_B!N340="ja"), --(Klantgegevens_B!O340="ja"))*10, Klantgegevens_A!L340)</f>
        <v/>
      </c>
      <c r="L341">
        <f>IF(Klantgegevens_B!K340&lt;&gt;"", Klantgegevens_B!K340, IF(Klantgegevens_A!L340&gt;=7, "ja", "nee"))</f>
        <v/>
      </c>
      <c r="M341">
        <f>IF(Klantgegevens_B!L340&lt;&gt;"", Klantgegevens_B!L340, IF(Klantgegevens_A!L340&gt;=7, "ja", "nee"))</f>
        <v/>
      </c>
      <c r="N341">
        <f>IF(Klantgegevens_B!M340&lt;&gt;"", Klantgegevens_B!M340, IF(Klantgegevens_A!L340&gt;=7, "ja", "nee"))</f>
        <v/>
      </c>
      <c r="O341">
        <f>IF(Klantgegevens_B!N340&lt;&gt;"", Klantgegevens_B!N340, IF(Klantgegevens_A!L340&gt;=7, "ja", "nee"))</f>
        <v/>
      </c>
      <c r="P341">
        <f>IF(Klantgegevens_B!O340&lt;&gt;"", Klantgegevens_B!O340, IF(Klantgegevens_A!L340&gt;=7, "ja", "nee"))</f>
        <v/>
      </c>
      <c r="Q341">
        <f>IF(Klantgegevens_B!P340&lt;&gt;"", Klantgegevens_B!P340, Klantgegevens_A!M340)</f>
        <v/>
      </c>
      <c r="R341">
        <f>IF(Klantgegevens_B!A340&lt;&gt;"", "B", "A")</f>
        <v/>
      </c>
    </row>
    <row r="342">
      <c r="A342">
        <f>IF(Klantgegevens_B!A341&lt;&gt;"", Klantgegevens_B!A341, MID(Klantgegevens_A!A341, FIND(",", Klantgegevens_A!A341)+2, LEN(Klantgegevens_A!A341)))</f>
        <v/>
      </c>
      <c r="B342">
        <f>IF(Klantgegevens_B!B341&lt;&gt;"", Klantgegevens_B!B341, LEFT(Klantgegevens_A!A341, FIND(",", Klantgegevens_A!A341)-1))</f>
        <v/>
      </c>
      <c r="C342">
        <f>C341 &amp; ", " &amp; B341</f>
        <v/>
      </c>
      <c r="D342">
        <f>IF(Klantgegevens_B!F341&lt;&gt;"", Klantgegevens_B!F341, Klantgegevens_A!D341 &amp; " " &amp; Klantgegevens_A!E341 &amp; ", " &amp; Klantgegevens_A!F341)</f>
        <v/>
      </c>
      <c r="E342">
        <f>IF(Klantgegevens_B!G341&lt;&gt;"", Klantgegevens_B!G341, TEXTJOIN(",", TRUE, REPT("Volwassene,", Klantgegevens_A!G341), REPT("Kind,", Klantgegevens_A!H341)))</f>
        <v/>
      </c>
      <c r="F342">
        <f>IF(Klantgegevens_B!G341&lt;&gt;"", LEN(Klantgegevens_B!G341)-LEN(SUBSTITUTE(Klantgegevens_B!G341, ",", ""))+1, Klantgegevens_A!G341)</f>
        <v/>
      </c>
      <c r="G342">
        <f>IF(Klantgegevens_B!G341&lt;&gt;"", 0, Klantgegevens_A!H341)</f>
        <v/>
      </c>
      <c r="H342">
        <f>IF(Klantgegevens_B!H341&lt;&gt;"", Klantgegevens_B!H341, Klantgegevens_A!I341)</f>
        <v/>
      </c>
      <c r="I342">
        <f>IF(Klantgegevens_B!I341&lt;&gt;"", Klantgegevens_B!I341, SWITCH(Klantgegevens_A!J341, "Zelden", 1, "Af en toe", 4, "Regelmatig", 8, "Vaak", 12))</f>
        <v/>
      </c>
      <c r="J342">
        <f>IF(Klantgegevens_B!J341&lt;&gt;"", Klantgegevens_B!J341, Klantgegevens_A!K341)</f>
        <v/>
      </c>
      <c r="K342">
        <f>IF(Klantgegevens_B!K341&lt;&gt;"", AVERAGE(--(Klantgegevens_B!K341="ja"), --(Klantgegevens_B!L341="ja"), --(Klantgegevens_B!M341="ja"), --(Klantgegevens_B!N341="ja"), --(Klantgegevens_B!O341="ja"))*10, Klantgegevens_A!L341)</f>
        <v/>
      </c>
      <c r="L342">
        <f>IF(Klantgegevens_B!K341&lt;&gt;"", Klantgegevens_B!K341, IF(Klantgegevens_A!L341&gt;=7, "ja", "nee"))</f>
        <v/>
      </c>
      <c r="M342">
        <f>IF(Klantgegevens_B!L341&lt;&gt;"", Klantgegevens_B!L341, IF(Klantgegevens_A!L341&gt;=7, "ja", "nee"))</f>
        <v/>
      </c>
      <c r="N342">
        <f>IF(Klantgegevens_B!M341&lt;&gt;"", Klantgegevens_B!M341, IF(Klantgegevens_A!L341&gt;=7, "ja", "nee"))</f>
        <v/>
      </c>
      <c r="O342">
        <f>IF(Klantgegevens_B!N341&lt;&gt;"", Klantgegevens_B!N341, IF(Klantgegevens_A!L341&gt;=7, "ja", "nee"))</f>
        <v/>
      </c>
      <c r="P342">
        <f>IF(Klantgegevens_B!O341&lt;&gt;"", Klantgegevens_B!O341, IF(Klantgegevens_A!L341&gt;=7, "ja", "nee"))</f>
        <v/>
      </c>
      <c r="Q342">
        <f>IF(Klantgegevens_B!P341&lt;&gt;"", Klantgegevens_B!P341, Klantgegevens_A!M341)</f>
        <v/>
      </c>
      <c r="R342">
        <f>IF(Klantgegevens_B!A341&lt;&gt;"", "B", "A")</f>
        <v/>
      </c>
    </row>
    <row r="343">
      <c r="A343">
        <f>IF(Klantgegevens_B!A342&lt;&gt;"", Klantgegevens_B!A342, MID(Klantgegevens_A!A342, FIND(",", Klantgegevens_A!A342)+2, LEN(Klantgegevens_A!A342)))</f>
        <v/>
      </c>
      <c r="B343">
        <f>IF(Klantgegevens_B!B342&lt;&gt;"", Klantgegevens_B!B342, LEFT(Klantgegevens_A!A342, FIND(",", Klantgegevens_A!A342)-1))</f>
        <v/>
      </c>
      <c r="C343">
        <f>C342 &amp; ", " &amp; B342</f>
        <v/>
      </c>
      <c r="D343">
        <f>IF(Klantgegevens_B!F342&lt;&gt;"", Klantgegevens_B!F342, Klantgegevens_A!D342 &amp; " " &amp; Klantgegevens_A!E342 &amp; ", " &amp; Klantgegevens_A!F342)</f>
        <v/>
      </c>
      <c r="E343">
        <f>IF(Klantgegevens_B!G342&lt;&gt;"", Klantgegevens_B!G342, TEXTJOIN(",", TRUE, REPT("Volwassene,", Klantgegevens_A!G342), REPT("Kind,", Klantgegevens_A!H342)))</f>
        <v/>
      </c>
      <c r="F343">
        <f>IF(Klantgegevens_B!G342&lt;&gt;"", LEN(Klantgegevens_B!G342)-LEN(SUBSTITUTE(Klantgegevens_B!G342, ",", ""))+1, Klantgegevens_A!G342)</f>
        <v/>
      </c>
      <c r="G343">
        <f>IF(Klantgegevens_B!G342&lt;&gt;"", 0, Klantgegevens_A!H342)</f>
        <v/>
      </c>
      <c r="H343">
        <f>IF(Klantgegevens_B!H342&lt;&gt;"", Klantgegevens_B!H342, Klantgegevens_A!I342)</f>
        <v/>
      </c>
      <c r="I343">
        <f>IF(Klantgegevens_B!I342&lt;&gt;"", Klantgegevens_B!I342, SWITCH(Klantgegevens_A!J342, "Zelden", 1, "Af en toe", 4, "Regelmatig", 8, "Vaak", 12))</f>
        <v/>
      </c>
      <c r="J343">
        <f>IF(Klantgegevens_B!J342&lt;&gt;"", Klantgegevens_B!J342, Klantgegevens_A!K342)</f>
        <v/>
      </c>
      <c r="K343">
        <f>IF(Klantgegevens_B!K342&lt;&gt;"", AVERAGE(--(Klantgegevens_B!K342="ja"), --(Klantgegevens_B!L342="ja"), --(Klantgegevens_B!M342="ja"), --(Klantgegevens_B!N342="ja"), --(Klantgegevens_B!O342="ja"))*10, Klantgegevens_A!L342)</f>
        <v/>
      </c>
      <c r="L343">
        <f>IF(Klantgegevens_B!K342&lt;&gt;"", Klantgegevens_B!K342, IF(Klantgegevens_A!L342&gt;=7, "ja", "nee"))</f>
        <v/>
      </c>
      <c r="M343">
        <f>IF(Klantgegevens_B!L342&lt;&gt;"", Klantgegevens_B!L342, IF(Klantgegevens_A!L342&gt;=7, "ja", "nee"))</f>
        <v/>
      </c>
      <c r="N343">
        <f>IF(Klantgegevens_B!M342&lt;&gt;"", Klantgegevens_B!M342, IF(Klantgegevens_A!L342&gt;=7, "ja", "nee"))</f>
        <v/>
      </c>
      <c r="O343">
        <f>IF(Klantgegevens_B!N342&lt;&gt;"", Klantgegevens_B!N342, IF(Klantgegevens_A!L342&gt;=7, "ja", "nee"))</f>
        <v/>
      </c>
      <c r="P343">
        <f>IF(Klantgegevens_B!O342&lt;&gt;"", Klantgegevens_B!O342, IF(Klantgegevens_A!L342&gt;=7, "ja", "nee"))</f>
        <v/>
      </c>
      <c r="Q343">
        <f>IF(Klantgegevens_B!P342&lt;&gt;"", Klantgegevens_B!P342, Klantgegevens_A!M342)</f>
        <v/>
      </c>
      <c r="R343">
        <f>IF(Klantgegevens_B!A342&lt;&gt;"", "B", "A")</f>
        <v/>
      </c>
    </row>
    <row r="344">
      <c r="A344">
        <f>IF(Klantgegevens_B!A343&lt;&gt;"", Klantgegevens_B!A343, MID(Klantgegevens_A!A343, FIND(",", Klantgegevens_A!A343)+2, LEN(Klantgegevens_A!A343)))</f>
        <v/>
      </c>
      <c r="B344">
        <f>IF(Klantgegevens_B!B343&lt;&gt;"", Klantgegevens_B!B343, LEFT(Klantgegevens_A!A343, FIND(",", Klantgegevens_A!A343)-1))</f>
        <v/>
      </c>
      <c r="C344">
        <f>C343 &amp; ", " &amp; B343</f>
        <v/>
      </c>
      <c r="D344">
        <f>IF(Klantgegevens_B!F343&lt;&gt;"", Klantgegevens_B!F343, Klantgegevens_A!D343 &amp; " " &amp; Klantgegevens_A!E343 &amp; ", " &amp; Klantgegevens_A!F343)</f>
        <v/>
      </c>
      <c r="E344">
        <f>IF(Klantgegevens_B!G343&lt;&gt;"", Klantgegevens_B!G343, TEXTJOIN(",", TRUE, REPT("Volwassene,", Klantgegevens_A!G343), REPT("Kind,", Klantgegevens_A!H343)))</f>
        <v/>
      </c>
      <c r="F344">
        <f>IF(Klantgegevens_B!G343&lt;&gt;"", LEN(Klantgegevens_B!G343)-LEN(SUBSTITUTE(Klantgegevens_B!G343, ",", ""))+1, Klantgegevens_A!G343)</f>
        <v/>
      </c>
      <c r="G344">
        <f>IF(Klantgegevens_B!G343&lt;&gt;"", 0, Klantgegevens_A!H343)</f>
        <v/>
      </c>
      <c r="H344">
        <f>IF(Klantgegevens_B!H343&lt;&gt;"", Klantgegevens_B!H343, Klantgegevens_A!I343)</f>
        <v/>
      </c>
      <c r="I344">
        <f>IF(Klantgegevens_B!I343&lt;&gt;"", Klantgegevens_B!I343, SWITCH(Klantgegevens_A!J343, "Zelden", 1, "Af en toe", 4, "Regelmatig", 8, "Vaak", 12))</f>
        <v/>
      </c>
      <c r="J344">
        <f>IF(Klantgegevens_B!J343&lt;&gt;"", Klantgegevens_B!J343, Klantgegevens_A!K343)</f>
        <v/>
      </c>
      <c r="K344">
        <f>IF(Klantgegevens_B!K343&lt;&gt;"", AVERAGE(--(Klantgegevens_B!K343="ja"), --(Klantgegevens_B!L343="ja"), --(Klantgegevens_B!M343="ja"), --(Klantgegevens_B!N343="ja"), --(Klantgegevens_B!O343="ja"))*10, Klantgegevens_A!L343)</f>
        <v/>
      </c>
      <c r="L344">
        <f>IF(Klantgegevens_B!K343&lt;&gt;"", Klantgegevens_B!K343, IF(Klantgegevens_A!L343&gt;=7, "ja", "nee"))</f>
        <v/>
      </c>
      <c r="M344">
        <f>IF(Klantgegevens_B!L343&lt;&gt;"", Klantgegevens_B!L343, IF(Klantgegevens_A!L343&gt;=7, "ja", "nee"))</f>
        <v/>
      </c>
      <c r="N344">
        <f>IF(Klantgegevens_B!M343&lt;&gt;"", Klantgegevens_B!M343, IF(Klantgegevens_A!L343&gt;=7, "ja", "nee"))</f>
        <v/>
      </c>
      <c r="O344">
        <f>IF(Klantgegevens_B!N343&lt;&gt;"", Klantgegevens_B!N343, IF(Klantgegevens_A!L343&gt;=7, "ja", "nee"))</f>
        <v/>
      </c>
      <c r="P344">
        <f>IF(Klantgegevens_B!O343&lt;&gt;"", Klantgegevens_B!O343, IF(Klantgegevens_A!L343&gt;=7, "ja", "nee"))</f>
        <v/>
      </c>
      <c r="Q344">
        <f>IF(Klantgegevens_B!P343&lt;&gt;"", Klantgegevens_B!P343, Klantgegevens_A!M343)</f>
        <v/>
      </c>
      <c r="R344">
        <f>IF(Klantgegevens_B!A343&lt;&gt;"", "B", "A")</f>
        <v/>
      </c>
    </row>
    <row r="345">
      <c r="A345">
        <f>IF(Klantgegevens_B!A344&lt;&gt;"", Klantgegevens_B!A344, MID(Klantgegevens_A!A344, FIND(",", Klantgegevens_A!A344)+2, LEN(Klantgegevens_A!A344)))</f>
        <v/>
      </c>
      <c r="B345">
        <f>IF(Klantgegevens_B!B344&lt;&gt;"", Klantgegevens_B!B344, LEFT(Klantgegevens_A!A344, FIND(",", Klantgegevens_A!A344)-1))</f>
        <v/>
      </c>
      <c r="C345">
        <f>C344 &amp; ", " &amp; B344</f>
        <v/>
      </c>
      <c r="D345">
        <f>IF(Klantgegevens_B!F344&lt;&gt;"", Klantgegevens_B!F344, Klantgegevens_A!D344 &amp; " " &amp; Klantgegevens_A!E344 &amp; ", " &amp; Klantgegevens_A!F344)</f>
        <v/>
      </c>
      <c r="E345">
        <f>IF(Klantgegevens_B!G344&lt;&gt;"", Klantgegevens_B!G344, TEXTJOIN(",", TRUE, REPT("Volwassene,", Klantgegevens_A!G344), REPT("Kind,", Klantgegevens_A!H344)))</f>
        <v/>
      </c>
      <c r="F345">
        <f>IF(Klantgegevens_B!G344&lt;&gt;"", LEN(Klantgegevens_B!G344)-LEN(SUBSTITUTE(Klantgegevens_B!G344, ",", ""))+1, Klantgegevens_A!G344)</f>
        <v/>
      </c>
      <c r="G345">
        <f>IF(Klantgegevens_B!G344&lt;&gt;"", 0, Klantgegevens_A!H344)</f>
        <v/>
      </c>
      <c r="H345">
        <f>IF(Klantgegevens_B!H344&lt;&gt;"", Klantgegevens_B!H344, Klantgegevens_A!I344)</f>
        <v/>
      </c>
      <c r="I345">
        <f>IF(Klantgegevens_B!I344&lt;&gt;"", Klantgegevens_B!I344, SWITCH(Klantgegevens_A!J344, "Zelden", 1, "Af en toe", 4, "Regelmatig", 8, "Vaak", 12))</f>
        <v/>
      </c>
      <c r="J345">
        <f>IF(Klantgegevens_B!J344&lt;&gt;"", Klantgegevens_B!J344, Klantgegevens_A!K344)</f>
        <v/>
      </c>
      <c r="K345">
        <f>IF(Klantgegevens_B!K344&lt;&gt;"", AVERAGE(--(Klantgegevens_B!K344="ja"), --(Klantgegevens_B!L344="ja"), --(Klantgegevens_B!M344="ja"), --(Klantgegevens_B!N344="ja"), --(Klantgegevens_B!O344="ja"))*10, Klantgegevens_A!L344)</f>
        <v/>
      </c>
      <c r="L345">
        <f>IF(Klantgegevens_B!K344&lt;&gt;"", Klantgegevens_B!K344, IF(Klantgegevens_A!L344&gt;=7, "ja", "nee"))</f>
        <v/>
      </c>
      <c r="M345">
        <f>IF(Klantgegevens_B!L344&lt;&gt;"", Klantgegevens_B!L344, IF(Klantgegevens_A!L344&gt;=7, "ja", "nee"))</f>
        <v/>
      </c>
      <c r="N345">
        <f>IF(Klantgegevens_B!M344&lt;&gt;"", Klantgegevens_B!M344, IF(Klantgegevens_A!L344&gt;=7, "ja", "nee"))</f>
        <v/>
      </c>
      <c r="O345">
        <f>IF(Klantgegevens_B!N344&lt;&gt;"", Klantgegevens_B!N344, IF(Klantgegevens_A!L344&gt;=7, "ja", "nee"))</f>
        <v/>
      </c>
      <c r="P345">
        <f>IF(Klantgegevens_B!O344&lt;&gt;"", Klantgegevens_B!O344, IF(Klantgegevens_A!L344&gt;=7, "ja", "nee"))</f>
        <v/>
      </c>
      <c r="Q345">
        <f>IF(Klantgegevens_B!P344&lt;&gt;"", Klantgegevens_B!P344, Klantgegevens_A!M344)</f>
        <v/>
      </c>
      <c r="R345">
        <f>IF(Klantgegevens_B!A344&lt;&gt;"", "B", "A")</f>
        <v/>
      </c>
    </row>
    <row r="346">
      <c r="A346">
        <f>IF(Klantgegevens_B!A345&lt;&gt;"", Klantgegevens_B!A345, MID(Klantgegevens_A!A345, FIND(",", Klantgegevens_A!A345)+2, LEN(Klantgegevens_A!A345)))</f>
        <v/>
      </c>
      <c r="B346">
        <f>IF(Klantgegevens_B!B345&lt;&gt;"", Klantgegevens_B!B345, LEFT(Klantgegevens_A!A345, FIND(",", Klantgegevens_A!A345)-1))</f>
        <v/>
      </c>
      <c r="C346">
        <f>C345 &amp; ", " &amp; B345</f>
        <v/>
      </c>
      <c r="D346">
        <f>IF(Klantgegevens_B!F345&lt;&gt;"", Klantgegevens_B!F345, Klantgegevens_A!D345 &amp; " " &amp; Klantgegevens_A!E345 &amp; ", " &amp; Klantgegevens_A!F345)</f>
        <v/>
      </c>
      <c r="E346">
        <f>IF(Klantgegevens_B!G345&lt;&gt;"", Klantgegevens_B!G345, TEXTJOIN(",", TRUE, REPT("Volwassene,", Klantgegevens_A!G345), REPT("Kind,", Klantgegevens_A!H345)))</f>
        <v/>
      </c>
      <c r="F346">
        <f>IF(Klantgegevens_B!G345&lt;&gt;"", LEN(Klantgegevens_B!G345)-LEN(SUBSTITUTE(Klantgegevens_B!G345, ",", ""))+1, Klantgegevens_A!G345)</f>
        <v/>
      </c>
      <c r="G346">
        <f>IF(Klantgegevens_B!G345&lt;&gt;"", 0, Klantgegevens_A!H345)</f>
        <v/>
      </c>
      <c r="H346">
        <f>IF(Klantgegevens_B!H345&lt;&gt;"", Klantgegevens_B!H345, Klantgegevens_A!I345)</f>
        <v/>
      </c>
      <c r="I346">
        <f>IF(Klantgegevens_B!I345&lt;&gt;"", Klantgegevens_B!I345, SWITCH(Klantgegevens_A!J345, "Zelden", 1, "Af en toe", 4, "Regelmatig", 8, "Vaak", 12))</f>
        <v/>
      </c>
      <c r="J346">
        <f>IF(Klantgegevens_B!J345&lt;&gt;"", Klantgegevens_B!J345, Klantgegevens_A!K345)</f>
        <v/>
      </c>
      <c r="K346">
        <f>IF(Klantgegevens_B!K345&lt;&gt;"", AVERAGE(--(Klantgegevens_B!K345="ja"), --(Klantgegevens_B!L345="ja"), --(Klantgegevens_B!M345="ja"), --(Klantgegevens_B!N345="ja"), --(Klantgegevens_B!O345="ja"))*10, Klantgegevens_A!L345)</f>
        <v/>
      </c>
      <c r="L346">
        <f>IF(Klantgegevens_B!K345&lt;&gt;"", Klantgegevens_B!K345, IF(Klantgegevens_A!L345&gt;=7, "ja", "nee"))</f>
        <v/>
      </c>
      <c r="M346">
        <f>IF(Klantgegevens_B!L345&lt;&gt;"", Klantgegevens_B!L345, IF(Klantgegevens_A!L345&gt;=7, "ja", "nee"))</f>
        <v/>
      </c>
      <c r="N346">
        <f>IF(Klantgegevens_B!M345&lt;&gt;"", Klantgegevens_B!M345, IF(Klantgegevens_A!L345&gt;=7, "ja", "nee"))</f>
        <v/>
      </c>
      <c r="O346">
        <f>IF(Klantgegevens_B!N345&lt;&gt;"", Klantgegevens_B!N345, IF(Klantgegevens_A!L345&gt;=7, "ja", "nee"))</f>
        <v/>
      </c>
      <c r="P346">
        <f>IF(Klantgegevens_B!O345&lt;&gt;"", Klantgegevens_B!O345, IF(Klantgegevens_A!L345&gt;=7, "ja", "nee"))</f>
        <v/>
      </c>
      <c r="Q346">
        <f>IF(Klantgegevens_B!P345&lt;&gt;"", Klantgegevens_B!P345, Klantgegevens_A!M345)</f>
        <v/>
      </c>
      <c r="R346">
        <f>IF(Klantgegevens_B!A345&lt;&gt;"", "B", "A")</f>
        <v/>
      </c>
    </row>
    <row r="347">
      <c r="A347">
        <f>IF(Klantgegevens_B!A346&lt;&gt;"", Klantgegevens_B!A346, MID(Klantgegevens_A!A346, FIND(",", Klantgegevens_A!A346)+2, LEN(Klantgegevens_A!A346)))</f>
        <v/>
      </c>
      <c r="B347">
        <f>IF(Klantgegevens_B!B346&lt;&gt;"", Klantgegevens_B!B346, LEFT(Klantgegevens_A!A346, FIND(",", Klantgegevens_A!A346)-1))</f>
        <v/>
      </c>
      <c r="C347">
        <f>C346 &amp; ", " &amp; B346</f>
        <v/>
      </c>
      <c r="D347">
        <f>IF(Klantgegevens_B!F346&lt;&gt;"", Klantgegevens_B!F346, Klantgegevens_A!D346 &amp; " " &amp; Klantgegevens_A!E346 &amp; ", " &amp; Klantgegevens_A!F346)</f>
        <v/>
      </c>
      <c r="E347">
        <f>IF(Klantgegevens_B!G346&lt;&gt;"", Klantgegevens_B!G346, TEXTJOIN(",", TRUE, REPT("Volwassene,", Klantgegevens_A!G346), REPT("Kind,", Klantgegevens_A!H346)))</f>
        <v/>
      </c>
      <c r="F347">
        <f>IF(Klantgegevens_B!G346&lt;&gt;"", LEN(Klantgegevens_B!G346)-LEN(SUBSTITUTE(Klantgegevens_B!G346, ",", ""))+1, Klantgegevens_A!G346)</f>
        <v/>
      </c>
      <c r="G347">
        <f>IF(Klantgegevens_B!G346&lt;&gt;"", 0, Klantgegevens_A!H346)</f>
        <v/>
      </c>
      <c r="H347">
        <f>IF(Klantgegevens_B!H346&lt;&gt;"", Klantgegevens_B!H346, Klantgegevens_A!I346)</f>
        <v/>
      </c>
      <c r="I347">
        <f>IF(Klantgegevens_B!I346&lt;&gt;"", Klantgegevens_B!I346, SWITCH(Klantgegevens_A!J346, "Zelden", 1, "Af en toe", 4, "Regelmatig", 8, "Vaak", 12))</f>
        <v/>
      </c>
      <c r="J347">
        <f>IF(Klantgegevens_B!J346&lt;&gt;"", Klantgegevens_B!J346, Klantgegevens_A!K346)</f>
        <v/>
      </c>
      <c r="K347">
        <f>IF(Klantgegevens_B!K346&lt;&gt;"", AVERAGE(--(Klantgegevens_B!K346="ja"), --(Klantgegevens_B!L346="ja"), --(Klantgegevens_B!M346="ja"), --(Klantgegevens_B!N346="ja"), --(Klantgegevens_B!O346="ja"))*10, Klantgegevens_A!L346)</f>
        <v/>
      </c>
      <c r="L347">
        <f>IF(Klantgegevens_B!K346&lt;&gt;"", Klantgegevens_B!K346, IF(Klantgegevens_A!L346&gt;=7, "ja", "nee"))</f>
        <v/>
      </c>
      <c r="M347">
        <f>IF(Klantgegevens_B!L346&lt;&gt;"", Klantgegevens_B!L346, IF(Klantgegevens_A!L346&gt;=7, "ja", "nee"))</f>
        <v/>
      </c>
      <c r="N347">
        <f>IF(Klantgegevens_B!M346&lt;&gt;"", Klantgegevens_B!M346, IF(Klantgegevens_A!L346&gt;=7, "ja", "nee"))</f>
        <v/>
      </c>
      <c r="O347">
        <f>IF(Klantgegevens_B!N346&lt;&gt;"", Klantgegevens_B!N346, IF(Klantgegevens_A!L346&gt;=7, "ja", "nee"))</f>
        <v/>
      </c>
      <c r="P347">
        <f>IF(Klantgegevens_B!O346&lt;&gt;"", Klantgegevens_B!O346, IF(Klantgegevens_A!L346&gt;=7, "ja", "nee"))</f>
        <v/>
      </c>
      <c r="Q347">
        <f>IF(Klantgegevens_B!P346&lt;&gt;"", Klantgegevens_B!P346, Klantgegevens_A!M346)</f>
        <v/>
      </c>
      <c r="R347">
        <f>IF(Klantgegevens_B!A346&lt;&gt;"", "B", "A")</f>
        <v/>
      </c>
    </row>
    <row r="348">
      <c r="A348">
        <f>IF(Klantgegevens_B!A347&lt;&gt;"", Klantgegevens_B!A347, MID(Klantgegevens_A!A347, FIND(",", Klantgegevens_A!A347)+2, LEN(Klantgegevens_A!A347)))</f>
        <v/>
      </c>
      <c r="B348">
        <f>IF(Klantgegevens_B!B347&lt;&gt;"", Klantgegevens_B!B347, LEFT(Klantgegevens_A!A347, FIND(",", Klantgegevens_A!A347)-1))</f>
        <v/>
      </c>
      <c r="C348">
        <f>C347 &amp; ", " &amp; B347</f>
        <v/>
      </c>
      <c r="D348">
        <f>IF(Klantgegevens_B!F347&lt;&gt;"", Klantgegevens_B!F347, Klantgegevens_A!D347 &amp; " " &amp; Klantgegevens_A!E347 &amp; ", " &amp; Klantgegevens_A!F347)</f>
        <v/>
      </c>
      <c r="E348">
        <f>IF(Klantgegevens_B!G347&lt;&gt;"", Klantgegevens_B!G347, TEXTJOIN(",", TRUE, REPT("Volwassene,", Klantgegevens_A!G347), REPT("Kind,", Klantgegevens_A!H347)))</f>
        <v/>
      </c>
      <c r="F348">
        <f>IF(Klantgegevens_B!G347&lt;&gt;"", LEN(Klantgegevens_B!G347)-LEN(SUBSTITUTE(Klantgegevens_B!G347, ",", ""))+1, Klantgegevens_A!G347)</f>
        <v/>
      </c>
      <c r="G348">
        <f>IF(Klantgegevens_B!G347&lt;&gt;"", 0, Klantgegevens_A!H347)</f>
        <v/>
      </c>
      <c r="H348">
        <f>IF(Klantgegevens_B!H347&lt;&gt;"", Klantgegevens_B!H347, Klantgegevens_A!I347)</f>
        <v/>
      </c>
      <c r="I348">
        <f>IF(Klantgegevens_B!I347&lt;&gt;"", Klantgegevens_B!I347, SWITCH(Klantgegevens_A!J347, "Zelden", 1, "Af en toe", 4, "Regelmatig", 8, "Vaak", 12))</f>
        <v/>
      </c>
      <c r="J348">
        <f>IF(Klantgegevens_B!J347&lt;&gt;"", Klantgegevens_B!J347, Klantgegevens_A!K347)</f>
        <v/>
      </c>
      <c r="K348">
        <f>IF(Klantgegevens_B!K347&lt;&gt;"", AVERAGE(--(Klantgegevens_B!K347="ja"), --(Klantgegevens_B!L347="ja"), --(Klantgegevens_B!M347="ja"), --(Klantgegevens_B!N347="ja"), --(Klantgegevens_B!O347="ja"))*10, Klantgegevens_A!L347)</f>
        <v/>
      </c>
      <c r="L348">
        <f>IF(Klantgegevens_B!K347&lt;&gt;"", Klantgegevens_B!K347, IF(Klantgegevens_A!L347&gt;=7, "ja", "nee"))</f>
        <v/>
      </c>
      <c r="M348">
        <f>IF(Klantgegevens_B!L347&lt;&gt;"", Klantgegevens_B!L347, IF(Klantgegevens_A!L347&gt;=7, "ja", "nee"))</f>
        <v/>
      </c>
      <c r="N348">
        <f>IF(Klantgegevens_B!M347&lt;&gt;"", Klantgegevens_B!M347, IF(Klantgegevens_A!L347&gt;=7, "ja", "nee"))</f>
        <v/>
      </c>
      <c r="O348">
        <f>IF(Klantgegevens_B!N347&lt;&gt;"", Klantgegevens_B!N347, IF(Klantgegevens_A!L347&gt;=7, "ja", "nee"))</f>
        <v/>
      </c>
      <c r="P348">
        <f>IF(Klantgegevens_B!O347&lt;&gt;"", Klantgegevens_B!O347, IF(Klantgegevens_A!L347&gt;=7, "ja", "nee"))</f>
        <v/>
      </c>
      <c r="Q348">
        <f>IF(Klantgegevens_B!P347&lt;&gt;"", Klantgegevens_B!P347, Klantgegevens_A!M347)</f>
        <v/>
      </c>
      <c r="R348">
        <f>IF(Klantgegevens_B!A347&lt;&gt;"", "B", "A")</f>
        <v/>
      </c>
    </row>
    <row r="349">
      <c r="A349">
        <f>IF(Klantgegevens_B!A348&lt;&gt;"", Klantgegevens_B!A348, MID(Klantgegevens_A!A348, FIND(",", Klantgegevens_A!A348)+2, LEN(Klantgegevens_A!A348)))</f>
        <v/>
      </c>
      <c r="B349">
        <f>IF(Klantgegevens_B!B348&lt;&gt;"", Klantgegevens_B!B348, LEFT(Klantgegevens_A!A348, FIND(",", Klantgegevens_A!A348)-1))</f>
        <v/>
      </c>
      <c r="C349">
        <f>C348 &amp; ", " &amp; B348</f>
        <v/>
      </c>
      <c r="D349">
        <f>IF(Klantgegevens_B!F348&lt;&gt;"", Klantgegevens_B!F348, Klantgegevens_A!D348 &amp; " " &amp; Klantgegevens_A!E348 &amp; ", " &amp; Klantgegevens_A!F348)</f>
        <v/>
      </c>
      <c r="E349">
        <f>IF(Klantgegevens_B!G348&lt;&gt;"", Klantgegevens_B!G348, TEXTJOIN(",", TRUE, REPT("Volwassene,", Klantgegevens_A!G348), REPT("Kind,", Klantgegevens_A!H348)))</f>
        <v/>
      </c>
      <c r="F349">
        <f>IF(Klantgegevens_B!G348&lt;&gt;"", LEN(Klantgegevens_B!G348)-LEN(SUBSTITUTE(Klantgegevens_B!G348, ",", ""))+1, Klantgegevens_A!G348)</f>
        <v/>
      </c>
      <c r="G349">
        <f>IF(Klantgegevens_B!G348&lt;&gt;"", 0, Klantgegevens_A!H348)</f>
        <v/>
      </c>
      <c r="H349">
        <f>IF(Klantgegevens_B!H348&lt;&gt;"", Klantgegevens_B!H348, Klantgegevens_A!I348)</f>
        <v/>
      </c>
      <c r="I349">
        <f>IF(Klantgegevens_B!I348&lt;&gt;"", Klantgegevens_B!I348, SWITCH(Klantgegevens_A!J348, "Zelden", 1, "Af en toe", 4, "Regelmatig", 8, "Vaak", 12))</f>
        <v/>
      </c>
      <c r="J349">
        <f>IF(Klantgegevens_B!J348&lt;&gt;"", Klantgegevens_B!J348, Klantgegevens_A!K348)</f>
        <v/>
      </c>
      <c r="K349">
        <f>IF(Klantgegevens_B!K348&lt;&gt;"", AVERAGE(--(Klantgegevens_B!K348="ja"), --(Klantgegevens_B!L348="ja"), --(Klantgegevens_B!M348="ja"), --(Klantgegevens_B!N348="ja"), --(Klantgegevens_B!O348="ja"))*10, Klantgegevens_A!L348)</f>
        <v/>
      </c>
      <c r="L349">
        <f>IF(Klantgegevens_B!K348&lt;&gt;"", Klantgegevens_B!K348, IF(Klantgegevens_A!L348&gt;=7, "ja", "nee"))</f>
        <v/>
      </c>
      <c r="M349">
        <f>IF(Klantgegevens_B!L348&lt;&gt;"", Klantgegevens_B!L348, IF(Klantgegevens_A!L348&gt;=7, "ja", "nee"))</f>
        <v/>
      </c>
      <c r="N349">
        <f>IF(Klantgegevens_B!M348&lt;&gt;"", Klantgegevens_B!M348, IF(Klantgegevens_A!L348&gt;=7, "ja", "nee"))</f>
        <v/>
      </c>
      <c r="O349">
        <f>IF(Klantgegevens_B!N348&lt;&gt;"", Klantgegevens_B!N348, IF(Klantgegevens_A!L348&gt;=7, "ja", "nee"))</f>
        <v/>
      </c>
      <c r="P349">
        <f>IF(Klantgegevens_B!O348&lt;&gt;"", Klantgegevens_B!O348, IF(Klantgegevens_A!L348&gt;=7, "ja", "nee"))</f>
        <v/>
      </c>
      <c r="Q349">
        <f>IF(Klantgegevens_B!P348&lt;&gt;"", Klantgegevens_B!P348, Klantgegevens_A!M348)</f>
        <v/>
      </c>
      <c r="R349">
        <f>IF(Klantgegevens_B!A348&lt;&gt;"", "B", "A")</f>
        <v/>
      </c>
    </row>
    <row r="350">
      <c r="A350">
        <f>IF(Klantgegevens_B!A349&lt;&gt;"", Klantgegevens_B!A349, MID(Klantgegevens_A!A349, FIND(",", Klantgegevens_A!A349)+2, LEN(Klantgegevens_A!A349)))</f>
        <v/>
      </c>
      <c r="B350">
        <f>IF(Klantgegevens_B!B349&lt;&gt;"", Klantgegevens_B!B349, LEFT(Klantgegevens_A!A349, FIND(",", Klantgegevens_A!A349)-1))</f>
        <v/>
      </c>
      <c r="C350">
        <f>C349 &amp; ", " &amp; B349</f>
        <v/>
      </c>
      <c r="D350">
        <f>IF(Klantgegevens_B!F349&lt;&gt;"", Klantgegevens_B!F349, Klantgegevens_A!D349 &amp; " " &amp; Klantgegevens_A!E349 &amp; ", " &amp; Klantgegevens_A!F349)</f>
        <v/>
      </c>
      <c r="E350">
        <f>IF(Klantgegevens_B!G349&lt;&gt;"", Klantgegevens_B!G349, TEXTJOIN(",", TRUE, REPT("Volwassene,", Klantgegevens_A!G349), REPT("Kind,", Klantgegevens_A!H349)))</f>
        <v/>
      </c>
      <c r="F350">
        <f>IF(Klantgegevens_B!G349&lt;&gt;"", LEN(Klantgegevens_B!G349)-LEN(SUBSTITUTE(Klantgegevens_B!G349, ",", ""))+1, Klantgegevens_A!G349)</f>
        <v/>
      </c>
      <c r="G350">
        <f>IF(Klantgegevens_B!G349&lt;&gt;"", 0, Klantgegevens_A!H349)</f>
        <v/>
      </c>
      <c r="H350">
        <f>IF(Klantgegevens_B!H349&lt;&gt;"", Klantgegevens_B!H349, Klantgegevens_A!I349)</f>
        <v/>
      </c>
      <c r="I350">
        <f>IF(Klantgegevens_B!I349&lt;&gt;"", Klantgegevens_B!I349, SWITCH(Klantgegevens_A!J349, "Zelden", 1, "Af en toe", 4, "Regelmatig", 8, "Vaak", 12))</f>
        <v/>
      </c>
      <c r="J350">
        <f>IF(Klantgegevens_B!J349&lt;&gt;"", Klantgegevens_B!J349, Klantgegevens_A!K349)</f>
        <v/>
      </c>
      <c r="K350">
        <f>IF(Klantgegevens_B!K349&lt;&gt;"", AVERAGE(--(Klantgegevens_B!K349="ja"), --(Klantgegevens_B!L349="ja"), --(Klantgegevens_B!M349="ja"), --(Klantgegevens_B!N349="ja"), --(Klantgegevens_B!O349="ja"))*10, Klantgegevens_A!L349)</f>
        <v/>
      </c>
      <c r="L350">
        <f>IF(Klantgegevens_B!K349&lt;&gt;"", Klantgegevens_B!K349, IF(Klantgegevens_A!L349&gt;=7, "ja", "nee"))</f>
        <v/>
      </c>
      <c r="M350">
        <f>IF(Klantgegevens_B!L349&lt;&gt;"", Klantgegevens_B!L349, IF(Klantgegevens_A!L349&gt;=7, "ja", "nee"))</f>
        <v/>
      </c>
      <c r="N350">
        <f>IF(Klantgegevens_B!M349&lt;&gt;"", Klantgegevens_B!M349, IF(Klantgegevens_A!L349&gt;=7, "ja", "nee"))</f>
        <v/>
      </c>
      <c r="O350">
        <f>IF(Klantgegevens_B!N349&lt;&gt;"", Klantgegevens_B!N349, IF(Klantgegevens_A!L349&gt;=7, "ja", "nee"))</f>
        <v/>
      </c>
      <c r="P350">
        <f>IF(Klantgegevens_B!O349&lt;&gt;"", Klantgegevens_B!O349, IF(Klantgegevens_A!L349&gt;=7, "ja", "nee"))</f>
        <v/>
      </c>
      <c r="Q350">
        <f>IF(Klantgegevens_B!P349&lt;&gt;"", Klantgegevens_B!P349, Klantgegevens_A!M349)</f>
        <v/>
      </c>
      <c r="R350">
        <f>IF(Klantgegevens_B!A349&lt;&gt;"", "B", "A")</f>
        <v/>
      </c>
    </row>
    <row r="351">
      <c r="A351">
        <f>IF(Klantgegevens_B!A350&lt;&gt;"", Klantgegevens_B!A350, MID(Klantgegevens_A!A350, FIND(",", Klantgegevens_A!A350)+2, LEN(Klantgegevens_A!A350)))</f>
        <v/>
      </c>
      <c r="B351">
        <f>IF(Klantgegevens_B!B350&lt;&gt;"", Klantgegevens_B!B350, LEFT(Klantgegevens_A!A350, FIND(",", Klantgegevens_A!A350)-1))</f>
        <v/>
      </c>
      <c r="C351">
        <f>C350 &amp; ", " &amp; B350</f>
        <v/>
      </c>
      <c r="D351">
        <f>IF(Klantgegevens_B!F350&lt;&gt;"", Klantgegevens_B!F350, Klantgegevens_A!D350 &amp; " " &amp; Klantgegevens_A!E350 &amp; ", " &amp; Klantgegevens_A!F350)</f>
        <v/>
      </c>
      <c r="E351">
        <f>IF(Klantgegevens_B!G350&lt;&gt;"", Klantgegevens_B!G350, TEXTJOIN(",", TRUE, REPT("Volwassene,", Klantgegevens_A!G350), REPT("Kind,", Klantgegevens_A!H350)))</f>
        <v/>
      </c>
      <c r="F351">
        <f>IF(Klantgegevens_B!G350&lt;&gt;"", LEN(Klantgegevens_B!G350)-LEN(SUBSTITUTE(Klantgegevens_B!G350, ",", ""))+1, Klantgegevens_A!G350)</f>
        <v/>
      </c>
      <c r="G351">
        <f>IF(Klantgegevens_B!G350&lt;&gt;"", 0, Klantgegevens_A!H350)</f>
        <v/>
      </c>
      <c r="H351">
        <f>IF(Klantgegevens_B!H350&lt;&gt;"", Klantgegevens_B!H350, Klantgegevens_A!I350)</f>
        <v/>
      </c>
      <c r="I351">
        <f>IF(Klantgegevens_B!I350&lt;&gt;"", Klantgegevens_B!I350, SWITCH(Klantgegevens_A!J350, "Zelden", 1, "Af en toe", 4, "Regelmatig", 8, "Vaak", 12))</f>
        <v/>
      </c>
      <c r="J351">
        <f>IF(Klantgegevens_B!J350&lt;&gt;"", Klantgegevens_B!J350, Klantgegevens_A!K350)</f>
        <v/>
      </c>
      <c r="K351">
        <f>IF(Klantgegevens_B!K350&lt;&gt;"", AVERAGE(--(Klantgegevens_B!K350="ja"), --(Klantgegevens_B!L350="ja"), --(Klantgegevens_B!M350="ja"), --(Klantgegevens_B!N350="ja"), --(Klantgegevens_B!O350="ja"))*10, Klantgegevens_A!L350)</f>
        <v/>
      </c>
      <c r="L351">
        <f>IF(Klantgegevens_B!K350&lt;&gt;"", Klantgegevens_B!K350, IF(Klantgegevens_A!L350&gt;=7, "ja", "nee"))</f>
        <v/>
      </c>
      <c r="M351">
        <f>IF(Klantgegevens_B!L350&lt;&gt;"", Klantgegevens_B!L350, IF(Klantgegevens_A!L350&gt;=7, "ja", "nee"))</f>
        <v/>
      </c>
      <c r="N351">
        <f>IF(Klantgegevens_B!M350&lt;&gt;"", Klantgegevens_B!M350, IF(Klantgegevens_A!L350&gt;=7, "ja", "nee"))</f>
        <v/>
      </c>
      <c r="O351">
        <f>IF(Klantgegevens_B!N350&lt;&gt;"", Klantgegevens_B!N350, IF(Klantgegevens_A!L350&gt;=7, "ja", "nee"))</f>
        <v/>
      </c>
      <c r="P351">
        <f>IF(Klantgegevens_B!O350&lt;&gt;"", Klantgegevens_B!O350, IF(Klantgegevens_A!L350&gt;=7, "ja", "nee"))</f>
        <v/>
      </c>
      <c r="Q351">
        <f>IF(Klantgegevens_B!P350&lt;&gt;"", Klantgegevens_B!P350, Klantgegevens_A!M350)</f>
        <v/>
      </c>
      <c r="R351">
        <f>IF(Klantgegevens_B!A350&lt;&gt;"", "B", "A")</f>
        <v/>
      </c>
    </row>
    <row r="352">
      <c r="A352">
        <f>IF(Klantgegevens_B!A351&lt;&gt;"", Klantgegevens_B!A351, MID(Klantgegevens_A!A351, FIND(",", Klantgegevens_A!A351)+2, LEN(Klantgegevens_A!A351)))</f>
        <v/>
      </c>
      <c r="B352">
        <f>IF(Klantgegevens_B!B351&lt;&gt;"", Klantgegevens_B!B351, LEFT(Klantgegevens_A!A351, FIND(",", Klantgegevens_A!A351)-1))</f>
        <v/>
      </c>
      <c r="C352">
        <f>C351 &amp; ", " &amp; B351</f>
        <v/>
      </c>
      <c r="D352">
        <f>IF(Klantgegevens_B!F351&lt;&gt;"", Klantgegevens_B!F351, Klantgegevens_A!D351 &amp; " " &amp; Klantgegevens_A!E351 &amp; ", " &amp; Klantgegevens_A!F351)</f>
        <v/>
      </c>
      <c r="E352">
        <f>IF(Klantgegevens_B!G351&lt;&gt;"", Klantgegevens_B!G351, TEXTJOIN(",", TRUE, REPT("Volwassene,", Klantgegevens_A!G351), REPT("Kind,", Klantgegevens_A!H351)))</f>
        <v/>
      </c>
      <c r="F352">
        <f>IF(Klantgegevens_B!G351&lt;&gt;"", LEN(Klantgegevens_B!G351)-LEN(SUBSTITUTE(Klantgegevens_B!G351, ",", ""))+1, Klantgegevens_A!G351)</f>
        <v/>
      </c>
      <c r="G352">
        <f>IF(Klantgegevens_B!G351&lt;&gt;"", 0, Klantgegevens_A!H351)</f>
        <v/>
      </c>
      <c r="H352">
        <f>IF(Klantgegevens_B!H351&lt;&gt;"", Klantgegevens_B!H351, Klantgegevens_A!I351)</f>
        <v/>
      </c>
      <c r="I352">
        <f>IF(Klantgegevens_B!I351&lt;&gt;"", Klantgegevens_B!I351, SWITCH(Klantgegevens_A!J351, "Zelden", 1, "Af en toe", 4, "Regelmatig", 8, "Vaak", 12))</f>
        <v/>
      </c>
      <c r="J352">
        <f>IF(Klantgegevens_B!J351&lt;&gt;"", Klantgegevens_B!J351, Klantgegevens_A!K351)</f>
        <v/>
      </c>
      <c r="K352">
        <f>IF(Klantgegevens_B!K351&lt;&gt;"", AVERAGE(--(Klantgegevens_B!K351="ja"), --(Klantgegevens_B!L351="ja"), --(Klantgegevens_B!M351="ja"), --(Klantgegevens_B!N351="ja"), --(Klantgegevens_B!O351="ja"))*10, Klantgegevens_A!L351)</f>
        <v/>
      </c>
      <c r="L352">
        <f>IF(Klantgegevens_B!K351&lt;&gt;"", Klantgegevens_B!K351, IF(Klantgegevens_A!L351&gt;=7, "ja", "nee"))</f>
        <v/>
      </c>
      <c r="M352">
        <f>IF(Klantgegevens_B!L351&lt;&gt;"", Klantgegevens_B!L351, IF(Klantgegevens_A!L351&gt;=7, "ja", "nee"))</f>
        <v/>
      </c>
      <c r="N352">
        <f>IF(Klantgegevens_B!M351&lt;&gt;"", Klantgegevens_B!M351, IF(Klantgegevens_A!L351&gt;=7, "ja", "nee"))</f>
        <v/>
      </c>
      <c r="O352">
        <f>IF(Klantgegevens_B!N351&lt;&gt;"", Klantgegevens_B!N351, IF(Klantgegevens_A!L351&gt;=7, "ja", "nee"))</f>
        <v/>
      </c>
      <c r="P352">
        <f>IF(Klantgegevens_B!O351&lt;&gt;"", Klantgegevens_B!O351, IF(Klantgegevens_A!L351&gt;=7, "ja", "nee"))</f>
        <v/>
      </c>
      <c r="Q352">
        <f>IF(Klantgegevens_B!P351&lt;&gt;"", Klantgegevens_B!P351, Klantgegevens_A!M351)</f>
        <v/>
      </c>
      <c r="R352">
        <f>IF(Klantgegevens_B!A351&lt;&gt;"", "B", "A")</f>
        <v/>
      </c>
    </row>
    <row r="353">
      <c r="A353">
        <f>IF(Klantgegevens_B!A352&lt;&gt;"", Klantgegevens_B!A352, MID(Klantgegevens_A!A352, FIND(",", Klantgegevens_A!A352)+2, LEN(Klantgegevens_A!A352)))</f>
        <v/>
      </c>
      <c r="B353">
        <f>IF(Klantgegevens_B!B352&lt;&gt;"", Klantgegevens_B!B352, LEFT(Klantgegevens_A!A352, FIND(",", Klantgegevens_A!A352)-1))</f>
        <v/>
      </c>
      <c r="C353">
        <f>C352 &amp; ", " &amp; B352</f>
        <v/>
      </c>
      <c r="D353">
        <f>IF(Klantgegevens_B!F352&lt;&gt;"", Klantgegevens_B!F352, Klantgegevens_A!D352 &amp; " " &amp; Klantgegevens_A!E352 &amp; ", " &amp; Klantgegevens_A!F352)</f>
        <v/>
      </c>
      <c r="E353">
        <f>IF(Klantgegevens_B!G352&lt;&gt;"", Klantgegevens_B!G352, TEXTJOIN(",", TRUE, REPT("Volwassene,", Klantgegevens_A!G352), REPT("Kind,", Klantgegevens_A!H352)))</f>
        <v/>
      </c>
      <c r="F353">
        <f>IF(Klantgegevens_B!G352&lt;&gt;"", LEN(Klantgegevens_B!G352)-LEN(SUBSTITUTE(Klantgegevens_B!G352, ",", ""))+1, Klantgegevens_A!G352)</f>
        <v/>
      </c>
      <c r="G353">
        <f>IF(Klantgegevens_B!G352&lt;&gt;"", 0, Klantgegevens_A!H352)</f>
        <v/>
      </c>
      <c r="H353">
        <f>IF(Klantgegevens_B!H352&lt;&gt;"", Klantgegevens_B!H352, Klantgegevens_A!I352)</f>
        <v/>
      </c>
      <c r="I353">
        <f>IF(Klantgegevens_B!I352&lt;&gt;"", Klantgegevens_B!I352, SWITCH(Klantgegevens_A!J352, "Zelden", 1, "Af en toe", 4, "Regelmatig", 8, "Vaak", 12))</f>
        <v/>
      </c>
      <c r="J353">
        <f>IF(Klantgegevens_B!J352&lt;&gt;"", Klantgegevens_B!J352, Klantgegevens_A!K352)</f>
        <v/>
      </c>
      <c r="K353">
        <f>IF(Klantgegevens_B!K352&lt;&gt;"", AVERAGE(--(Klantgegevens_B!K352="ja"), --(Klantgegevens_B!L352="ja"), --(Klantgegevens_B!M352="ja"), --(Klantgegevens_B!N352="ja"), --(Klantgegevens_B!O352="ja"))*10, Klantgegevens_A!L352)</f>
        <v/>
      </c>
      <c r="L353">
        <f>IF(Klantgegevens_B!K352&lt;&gt;"", Klantgegevens_B!K352, IF(Klantgegevens_A!L352&gt;=7, "ja", "nee"))</f>
        <v/>
      </c>
      <c r="M353">
        <f>IF(Klantgegevens_B!L352&lt;&gt;"", Klantgegevens_B!L352, IF(Klantgegevens_A!L352&gt;=7, "ja", "nee"))</f>
        <v/>
      </c>
      <c r="N353">
        <f>IF(Klantgegevens_B!M352&lt;&gt;"", Klantgegevens_B!M352, IF(Klantgegevens_A!L352&gt;=7, "ja", "nee"))</f>
        <v/>
      </c>
      <c r="O353">
        <f>IF(Klantgegevens_B!N352&lt;&gt;"", Klantgegevens_B!N352, IF(Klantgegevens_A!L352&gt;=7, "ja", "nee"))</f>
        <v/>
      </c>
      <c r="P353">
        <f>IF(Klantgegevens_B!O352&lt;&gt;"", Klantgegevens_B!O352, IF(Klantgegevens_A!L352&gt;=7, "ja", "nee"))</f>
        <v/>
      </c>
      <c r="Q353">
        <f>IF(Klantgegevens_B!P352&lt;&gt;"", Klantgegevens_B!P352, Klantgegevens_A!M352)</f>
        <v/>
      </c>
      <c r="R353">
        <f>IF(Klantgegevens_B!A352&lt;&gt;"", "B", "A")</f>
        <v/>
      </c>
    </row>
    <row r="354">
      <c r="A354">
        <f>IF(Klantgegevens_B!A353&lt;&gt;"", Klantgegevens_B!A353, MID(Klantgegevens_A!A353, FIND(",", Klantgegevens_A!A353)+2, LEN(Klantgegevens_A!A353)))</f>
        <v/>
      </c>
      <c r="B354">
        <f>IF(Klantgegevens_B!B353&lt;&gt;"", Klantgegevens_B!B353, LEFT(Klantgegevens_A!A353, FIND(",", Klantgegevens_A!A353)-1))</f>
        <v/>
      </c>
      <c r="C354">
        <f>C353 &amp; ", " &amp; B353</f>
        <v/>
      </c>
      <c r="D354">
        <f>IF(Klantgegevens_B!F353&lt;&gt;"", Klantgegevens_B!F353, Klantgegevens_A!D353 &amp; " " &amp; Klantgegevens_A!E353 &amp; ", " &amp; Klantgegevens_A!F353)</f>
        <v/>
      </c>
      <c r="E354">
        <f>IF(Klantgegevens_B!G353&lt;&gt;"", Klantgegevens_B!G353, TEXTJOIN(",", TRUE, REPT("Volwassene,", Klantgegevens_A!G353), REPT("Kind,", Klantgegevens_A!H353)))</f>
        <v/>
      </c>
      <c r="F354">
        <f>IF(Klantgegevens_B!G353&lt;&gt;"", LEN(Klantgegevens_B!G353)-LEN(SUBSTITUTE(Klantgegevens_B!G353, ",", ""))+1, Klantgegevens_A!G353)</f>
        <v/>
      </c>
      <c r="G354">
        <f>IF(Klantgegevens_B!G353&lt;&gt;"", 0, Klantgegevens_A!H353)</f>
        <v/>
      </c>
      <c r="H354">
        <f>IF(Klantgegevens_B!H353&lt;&gt;"", Klantgegevens_B!H353, Klantgegevens_A!I353)</f>
        <v/>
      </c>
      <c r="I354">
        <f>IF(Klantgegevens_B!I353&lt;&gt;"", Klantgegevens_B!I353, SWITCH(Klantgegevens_A!J353, "Zelden", 1, "Af en toe", 4, "Regelmatig", 8, "Vaak", 12))</f>
        <v/>
      </c>
      <c r="J354">
        <f>IF(Klantgegevens_B!J353&lt;&gt;"", Klantgegevens_B!J353, Klantgegevens_A!K353)</f>
        <v/>
      </c>
      <c r="K354">
        <f>IF(Klantgegevens_B!K353&lt;&gt;"", AVERAGE(--(Klantgegevens_B!K353="ja"), --(Klantgegevens_B!L353="ja"), --(Klantgegevens_B!M353="ja"), --(Klantgegevens_B!N353="ja"), --(Klantgegevens_B!O353="ja"))*10, Klantgegevens_A!L353)</f>
        <v/>
      </c>
      <c r="L354">
        <f>IF(Klantgegevens_B!K353&lt;&gt;"", Klantgegevens_B!K353, IF(Klantgegevens_A!L353&gt;=7, "ja", "nee"))</f>
        <v/>
      </c>
      <c r="M354">
        <f>IF(Klantgegevens_B!L353&lt;&gt;"", Klantgegevens_B!L353, IF(Klantgegevens_A!L353&gt;=7, "ja", "nee"))</f>
        <v/>
      </c>
      <c r="N354">
        <f>IF(Klantgegevens_B!M353&lt;&gt;"", Klantgegevens_B!M353, IF(Klantgegevens_A!L353&gt;=7, "ja", "nee"))</f>
        <v/>
      </c>
      <c r="O354">
        <f>IF(Klantgegevens_B!N353&lt;&gt;"", Klantgegevens_B!N353, IF(Klantgegevens_A!L353&gt;=7, "ja", "nee"))</f>
        <v/>
      </c>
      <c r="P354">
        <f>IF(Klantgegevens_B!O353&lt;&gt;"", Klantgegevens_B!O353, IF(Klantgegevens_A!L353&gt;=7, "ja", "nee"))</f>
        <v/>
      </c>
      <c r="Q354">
        <f>IF(Klantgegevens_B!P353&lt;&gt;"", Klantgegevens_B!P353, Klantgegevens_A!M353)</f>
        <v/>
      </c>
      <c r="R354">
        <f>IF(Klantgegevens_B!A353&lt;&gt;"", "B", "A")</f>
        <v/>
      </c>
    </row>
    <row r="355">
      <c r="A355">
        <f>IF(Klantgegevens_B!A354&lt;&gt;"", Klantgegevens_B!A354, MID(Klantgegevens_A!A354, FIND(",", Klantgegevens_A!A354)+2, LEN(Klantgegevens_A!A354)))</f>
        <v/>
      </c>
      <c r="B355">
        <f>IF(Klantgegevens_B!B354&lt;&gt;"", Klantgegevens_B!B354, LEFT(Klantgegevens_A!A354, FIND(",", Klantgegevens_A!A354)-1))</f>
        <v/>
      </c>
      <c r="C355">
        <f>C354 &amp; ", " &amp; B354</f>
        <v/>
      </c>
      <c r="D355">
        <f>IF(Klantgegevens_B!F354&lt;&gt;"", Klantgegevens_B!F354, Klantgegevens_A!D354 &amp; " " &amp; Klantgegevens_A!E354 &amp; ", " &amp; Klantgegevens_A!F354)</f>
        <v/>
      </c>
      <c r="E355">
        <f>IF(Klantgegevens_B!G354&lt;&gt;"", Klantgegevens_B!G354, TEXTJOIN(",", TRUE, REPT("Volwassene,", Klantgegevens_A!G354), REPT("Kind,", Klantgegevens_A!H354)))</f>
        <v/>
      </c>
      <c r="F355">
        <f>IF(Klantgegevens_B!G354&lt;&gt;"", LEN(Klantgegevens_B!G354)-LEN(SUBSTITUTE(Klantgegevens_B!G354, ",", ""))+1, Klantgegevens_A!G354)</f>
        <v/>
      </c>
      <c r="G355">
        <f>IF(Klantgegevens_B!G354&lt;&gt;"", 0, Klantgegevens_A!H354)</f>
        <v/>
      </c>
      <c r="H355">
        <f>IF(Klantgegevens_B!H354&lt;&gt;"", Klantgegevens_B!H354, Klantgegevens_A!I354)</f>
        <v/>
      </c>
      <c r="I355">
        <f>IF(Klantgegevens_B!I354&lt;&gt;"", Klantgegevens_B!I354, SWITCH(Klantgegevens_A!J354, "Zelden", 1, "Af en toe", 4, "Regelmatig", 8, "Vaak", 12))</f>
        <v/>
      </c>
      <c r="J355">
        <f>IF(Klantgegevens_B!J354&lt;&gt;"", Klantgegevens_B!J354, Klantgegevens_A!K354)</f>
        <v/>
      </c>
      <c r="K355">
        <f>IF(Klantgegevens_B!K354&lt;&gt;"", AVERAGE(--(Klantgegevens_B!K354="ja"), --(Klantgegevens_B!L354="ja"), --(Klantgegevens_B!M354="ja"), --(Klantgegevens_B!N354="ja"), --(Klantgegevens_B!O354="ja"))*10, Klantgegevens_A!L354)</f>
        <v/>
      </c>
      <c r="L355">
        <f>IF(Klantgegevens_B!K354&lt;&gt;"", Klantgegevens_B!K354, IF(Klantgegevens_A!L354&gt;=7, "ja", "nee"))</f>
        <v/>
      </c>
      <c r="M355">
        <f>IF(Klantgegevens_B!L354&lt;&gt;"", Klantgegevens_B!L354, IF(Klantgegevens_A!L354&gt;=7, "ja", "nee"))</f>
        <v/>
      </c>
      <c r="N355">
        <f>IF(Klantgegevens_B!M354&lt;&gt;"", Klantgegevens_B!M354, IF(Klantgegevens_A!L354&gt;=7, "ja", "nee"))</f>
        <v/>
      </c>
      <c r="O355">
        <f>IF(Klantgegevens_B!N354&lt;&gt;"", Klantgegevens_B!N354, IF(Klantgegevens_A!L354&gt;=7, "ja", "nee"))</f>
        <v/>
      </c>
      <c r="P355">
        <f>IF(Klantgegevens_B!O354&lt;&gt;"", Klantgegevens_B!O354, IF(Klantgegevens_A!L354&gt;=7, "ja", "nee"))</f>
        <v/>
      </c>
      <c r="Q355">
        <f>IF(Klantgegevens_B!P354&lt;&gt;"", Klantgegevens_B!P354, Klantgegevens_A!M354)</f>
        <v/>
      </c>
      <c r="R355">
        <f>IF(Klantgegevens_B!A354&lt;&gt;"", "B", "A")</f>
        <v/>
      </c>
    </row>
    <row r="356">
      <c r="A356">
        <f>IF(Klantgegevens_B!A355&lt;&gt;"", Klantgegevens_B!A355, MID(Klantgegevens_A!A355, FIND(",", Klantgegevens_A!A355)+2, LEN(Klantgegevens_A!A355)))</f>
        <v/>
      </c>
      <c r="B356">
        <f>IF(Klantgegevens_B!B355&lt;&gt;"", Klantgegevens_B!B355, LEFT(Klantgegevens_A!A355, FIND(",", Klantgegevens_A!A355)-1))</f>
        <v/>
      </c>
      <c r="C356">
        <f>C355 &amp; ", " &amp; B355</f>
        <v/>
      </c>
      <c r="D356">
        <f>IF(Klantgegevens_B!F355&lt;&gt;"", Klantgegevens_B!F355, Klantgegevens_A!D355 &amp; " " &amp; Klantgegevens_A!E355 &amp; ", " &amp; Klantgegevens_A!F355)</f>
        <v/>
      </c>
      <c r="E356">
        <f>IF(Klantgegevens_B!G355&lt;&gt;"", Klantgegevens_B!G355, TEXTJOIN(",", TRUE, REPT("Volwassene,", Klantgegevens_A!G355), REPT("Kind,", Klantgegevens_A!H355)))</f>
        <v/>
      </c>
      <c r="F356">
        <f>IF(Klantgegevens_B!G355&lt;&gt;"", LEN(Klantgegevens_B!G355)-LEN(SUBSTITUTE(Klantgegevens_B!G355, ",", ""))+1, Klantgegevens_A!G355)</f>
        <v/>
      </c>
      <c r="G356">
        <f>IF(Klantgegevens_B!G355&lt;&gt;"", 0, Klantgegevens_A!H355)</f>
        <v/>
      </c>
      <c r="H356">
        <f>IF(Klantgegevens_B!H355&lt;&gt;"", Klantgegevens_B!H355, Klantgegevens_A!I355)</f>
        <v/>
      </c>
      <c r="I356">
        <f>IF(Klantgegevens_B!I355&lt;&gt;"", Klantgegevens_B!I355, SWITCH(Klantgegevens_A!J355, "Zelden", 1, "Af en toe", 4, "Regelmatig", 8, "Vaak", 12))</f>
        <v/>
      </c>
      <c r="J356">
        <f>IF(Klantgegevens_B!J355&lt;&gt;"", Klantgegevens_B!J355, Klantgegevens_A!K355)</f>
        <v/>
      </c>
      <c r="K356">
        <f>IF(Klantgegevens_B!K355&lt;&gt;"", AVERAGE(--(Klantgegevens_B!K355="ja"), --(Klantgegevens_B!L355="ja"), --(Klantgegevens_B!M355="ja"), --(Klantgegevens_B!N355="ja"), --(Klantgegevens_B!O355="ja"))*10, Klantgegevens_A!L355)</f>
        <v/>
      </c>
      <c r="L356">
        <f>IF(Klantgegevens_B!K355&lt;&gt;"", Klantgegevens_B!K355, IF(Klantgegevens_A!L355&gt;=7, "ja", "nee"))</f>
        <v/>
      </c>
      <c r="M356">
        <f>IF(Klantgegevens_B!L355&lt;&gt;"", Klantgegevens_B!L355, IF(Klantgegevens_A!L355&gt;=7, "ja", "nee"))</f>
        <v/>
      </c>
      <c r="N356">
        <f>IF(Klantgegevens_B!M355&lt;&gt;"", Klantgegevens_B!M355, IF(Klantgegevens_A!L355&gt;=7, "ja", "nee"))</f>
        <v/>
      </c>
      <c r="O356">
        <f>IF(Klantgegevens_B!N355&lt;&gt;"", Klantgegevens_B!N355, IF(Klantgegevens_A!L355&gt;=7, "ja", "nee"))</f>
        <v/>
      </c>
      <c r="P356">
        <f>IF(Klantgegevens_B!O355&lt;&gt;"", Klantgegevens_B!O355, IF(Klantgegevens_A!L355&gt;=7, "ja", "nee"))</f>
        <v/>
      </c>
      <c r="Q356">
        <f>IF(Klantgegevens_B!P355&lt;&gt;"", Klantgegevens_B!P355, Klantgegevens_A!M355)</f>
        <v/>
      </c>
      <c r="R356">
        <f>IF(Klantgegevens_B!A355&lt;&gt;"", "B", "A")</f>
        <v/>
      </c>
    </row>
    <row r="357">
      <c r="A357">
        <f>IF(Klantgegevens_B!A356&lt;&gt;"", Klantgegevens_B!A356, MID(Klantgegevens_A!A356, FIND(",", Klantgegevens_A!A356)+2, LEN(Klantgegevens_A!A356)))</f>
        <v/>
      </c>
      <c r="B357">
        <f>IF(Klantgegevens_B!B356&lt;&gt;"", Klantgegevens_B!B356, LEFT(Klantgegevens_A!A356, FIND(",", Klantgegevens_A!A356)-1))</f>
        <v/>
      </c>
      <c r="C357">
        <f>C356 &amp; ", " &amp; B356</f>
        <v/>
      </c>
      <c r="D357">
        <f>IF(Klantgegevens_B!F356&lt;&gt;"", Klantgegevens_B!F356, Klantgegevens_A!D356 &amp; " " &amp; Klantgegevens_A!E356 &amp; ", " &amp; Klantgegevens_A!F356)</f>
        <v/>
      </c>
      <c r="E357">
        <f>IF(Klantgegevens_B!G356&lt;&gt;"", Klantgegevens_B!G356, TEXTJOIN(",", TRUE, REPT("Volwassene,", Klantgegevens_A!G356), REPT("Kind,", Klantgegevens_A!H356)))</f>
        <v/>
      </c>
      <c r="F357">
        <f>IF(Klantgegevens_B!G356&lt;&gt;"", LEN(Klantgegevens_B!G356)-LEN(SUBSTITUTE(Klantgegevens_B!G356, ",", ""))+1, Klantgegevens_A!G356)</f>
        <v/>
      </c>
      <c r="G357">
        <f>IF(Klantgegevens_B!G356&lt;&gt;"", 0, Klantgegevens_A!H356)</f>
        <v/>
      </c>
      <c r="H357">
        <f>IF(Klantgegevens_B!H356&lt;&gt;"", Klantgegevens_B!H356, Klantgegevens_A!I356)</f>
        <v/>
      </c>
      <c r="I357">
        <f>IF(Klantgegevens_B!I356&lt;&gt;"", Klantgegevens_B!I356, SWITCH(Klantgegevens_A!J356, "Zelden", 1, "Af en toe", 4, "Regelmatig", 8, "Vaak", 12))</f>
        <v/>
      </c>
      <c r="J357">
        <f>IF(Klantgegevens_B!J356&lt;&gt;"", Klantgegevens_B!J356, Klantgegevens_A!K356)</f>
        <v/>
      </c>
      <c r="K357">
        <f>IF(Klantgegevens_B!K356&lt;&gt;"", AVERAGE(--(Klantgegevens_B!K356="ja"), --(Klantgegevens_B!L356="ja"), --(Klantgegevens_B!M356="ja"), --(Klantgegevens_B!N356="ja"), --(Klantgegevens_B!O356="ja"))*10, Klantgegevens_A!L356)</f>
        <v/>
      </c>
      <c r="L357">
        <f>IF(Klantgegevens_B!K356&lt;&gt;"", Klantgegevens_B!K356, IF(Klantgegevens_A!L356&gt;=7, "ja", "nee"))</f>
        <v/>
      </c>
      <c r="M357">
        <f>IF(Klantgegevens_B!L356&lt;&gt;"", Klantgegevens_B!L356, IF(Klantgegevens_A!L356&gt;=7, "ja", "nee"))</f>
        <v/>
      </c>
      <c r="N357">
        <f>IF(Klantgegevens_B!M356&lt;&gt;"", Klantgegevens_B!M356, IF(Klantgegevens_A!L356&gt;=7, "ja", "nee"))</f>
        <v/>
      </c>
      <c r="O357">
        <f>IF(Klantgegevens_B!N356&lt;&gt;"", Klantgegevens_B!N356, IF(Klantgegevens_A!L356&gt;=7, "ja", "nee"))</f>
        <v/>
      </c>
      <c r="P357">
        <f>IF(Klantgegevens_B!O356&lt;&gt;"", Klantgegevens_B!O356, IF(Klantgegevens_A!L356&gt;=7, "ja", "nee"))</f>
        <v/>
      </c>
      <c r="Q357">
        <f>IF(Klantgegevens_B!P356&lt;&gt;"", Klantgegevens_B!P356, Klantgegevens_A!M356)</f>
        <v/>
      </c>
      <c r="R357">
        <f>IF(Klantgegevens_B!A356&lt;&gt;"", "B", "A")</f>
        <v/>
      </c>
    </row>
    <row r="358">
      <c r="A358">
        <f>IF(Klantgegevens_B!A357&lt;&gt;"", Klantgegevens_B!A357, MID(Klantgegevens_A!A357, FIND(",", Klantgegevens_A!A357)+2, LEN(Klantgegevens_A!A357)))</f>
        <v/>
      </c>
      <c r="B358">
        <f>IF(Klantgegevens_B!B357&lt;&gt;"", Klantgegevens_B!B357, LEFT(Klantgegevens_A!A357, FIND(",", Klantgegevens_A!A357)-1))</f>
        <v/>
      </c>
      <c r="C358">
        <f>C357 &amp; ", " &amp; B357</f>
        <v/>
      </c>
      <c r="D358">
        <f>IF(Klantgegevens_B!F357&lt;&gt;"", Klantgegevens_B!F357, Klantgegevens_A!D357 &amp; " " &amp; Klantgegevens_A!E357 &amp; ", " &amp; Klantgegevens_A!F357)</f>
        <v/>
      </c>
      <c r="E358">
        <f>IF(Klantgegevens_B!G357&lt;&gt;"", Klantgegevens_B!G357, TEXTJOIN(",", TRUE, REPT("Volwassene,", Klantgegevens_A!G357), REPT("Kind,", Klantgegevens_A!H357)))</f>
        <v/>
      </c>
      <c r="F358">
        <f>IF(Klantgegevens_B!G357&lt;&gt;"", LEN(Klantgegevens_B!G357)-LEN(SUBSTITUTE(Klantgegevens_B!G357, ",", ""))+1, Klantgegevens_A!G357)</f>
        <v/>
      </c>
      <c r="G358">
        <f>IF(Klantgegevens_B!G357&lt;&gt;"", 0, Klantgegevens_A!H357)</f>
        <v/>
      </c>
      <c r="H358">
        <f>IF(Klantgegevens_B!H357&lt;&gt;"", Klantgegevens_B!H357, Klantgegevens_A!I357)</f>
        <v/>
      </c>
      <c r="I358">
        <f>IF(Klantgegevens_B!I357&lt;&gt;"", Klantgegevens_B!I357, SWITCH(Klantgegevens_A!J357, "Zelden", 1, "Af en toe", 4, "Regelmatig", 8, "Vaak", 12))</f>
        <v/>
      </c>
      <c r="J358">
        <f>IF(Klantgegevens_B!J357&lt;&gt;"", Klantgegevens_B!J357, Klantgegevens_A!K357)</f>
        <v/>
      </c>
      <c r="K358">
        <f>IF(Klantgegevens_B!K357&lt;&gt;"", AVERAGE(--(Klantgegevens_B!K357="ja"), --(Klantgegevens_B!L357="ja"), --(Klantgegevens_B!M357="ja"), --(Klantgegevens_B!N357="ja"), --(Klantgegevens_B!O357="ja"))*10, Klantgegevens_A!L357)</f>
        <v/>
      </c>
      <c r="L358">
        <f>IF(Klantgegevens_B!K357&lt;&gt;"", Klantgegevens_B!K357, IF(Klantgegevens_A!L357&gt;=7, "ja", "nee"))</f>
        <v/>
      </c>
      <c r="M358">
        <f>IF(Klantgegevens_B!L357&lt;&gt;"", Klantgegevens_B!L357, IF(Klantgegevens_A!L357&gt;=7, "ja", "nee"))</f>
        <v/>
      </c>
      <c r="N358">
        <f>IF(Klantgegevens_B!M357&lt;&gt;"", Klantgegevens_B!M357, IF(Klantgegevens_A!L357&gt;=7, "ja", "nee"))</f>
        <v/>
      </c>
      <c r="O358">
        <f>IF(Klantgegevens_B!N357&lt;&gt;"", Klantgegevens_B!N357, IF(Klantgegevens_A!L357&gt;=7, "ja", "nee"))</f>
        <v/>
      </c>
      <c r="P358">
        <f>IF(Klantgegevens_B!O357&lt;&gt;"", Klantgegevens_B!O357, IF(Klantgegevens_A!L357&gt;=7, "ja", "nee"))</f>
        <v/>
      </c>
      <c r="Q358">
        <f>IF(Klantgegevens_B!P357&lt;&gt;"", Klantgegevens_B!P357, Klantgegevens_A!M357)</f>
        <v/>
      </c>
      <c r="R358">
        <f>IF(Klantgegevens_B!A357&lt;&gt;"", "B", "A")</f>
        <v/>
      </c>
    </row>
    <row r="359">
      <c r="A359">
        <f>IF(Klantgegevens_B!A358&lt;&gt;"", Klantgegevens_B!A358, MID(Klantgegevens_A!A358, FIND(",", Klantgegevens_A!A358)+2, LEN(Klantgegevens_A!A358)))</f>
        <v/>
      </c>
      <c r="B359">
        <f>IF(Klantgegevens_B!B358&lt;&gt;"", Klantgegevens_B!B358, LEFT(Klantgegevens_A!A358, FIND(",", Klantgegevens_A!A358)-1))</f>
        <v/>
      </c>
      <c r="C359">
        <f>C358 &amp; ", " &amp; B358</f>
        <v/>
      </c>
      <c r="D359">
        <f>IF(Klantgegevens_B!F358&lt;&gt;"", Klantgegevens_B!F358, Klantgegevens_A!D358 &amp; " " &amp; Klantgegevens_A!E358 &amp; ", " &amp; Klantgegevens_A!F358)</f>
        <v/>
      </c>
      <c r="E359">
        <f>IF(Klantgegevens_B!G358&lt;&gt;"", Klantgegevens_B!G358, TEXTJOIN(",", TRUE, REPT("Volwassene,", Klantgegevens_A!G358), REPT("Kind,", Klantgegevens_A!H358)))</f>
        <v/>
      </c>
      <c r="F359">
        <f>IF(Klantgegevens_B!G358&lt;&gt;"", LEN(Klantgegevens_B!G358)-LEN(SUBSTITUTE(Klantgegevens_B!G358, ",", ""))+1, Klantgegevens_A!G358)</f>
        <v/>
      </c>
      <c r="G359">
        <f>IF(Klantgegevens_B!G358&lt;&gt;"", 0, Klantgegevens_A!H358)</f>
        <v/>
      </c>
      <c r="H359">
        <f>IF(Klantgegevens_B!H358&lt;&gt;"", Klantgegevens_B!H358, Klantgegevens_A!I358)</f>
        <v/>
      </c>
      <c r="I359">
        <f>IF(Klantgegevens_B!I358&lt;&gt;"", Klantgegevens_B!I358, SWITCH(Klantgegevens_A!J358, "Zelden", 1, "Af en toe", 4, "Regelmatig", 8, "Vaak", 12))</f>
        <v/>
      </c>
      <c r="J359">
        <f>IF(Klantgegevens_B!J358&lt;&gt;"", Klantgegevens_B!J358, Klantgegevens_A!K358)</f>
        <v/>
      </c>
      <c r="K359">
        <f>IF(Klantgegevens_B!K358&lt;&gt;"", AVERAGE(--(Klantgegevens_B!K358="ja"), --(Klantgegevens_B!L358="ja"), --(Klantgegevens_B!M358="ja"), --(Klantgegevens_B!N358="ja"), --(Klantgegevens_B!O358="ja"))*10, Klantgegevens_A!L358)</f>
        <v/>
      </c>
      <c r="L359">
        <f>IF(Klantgegevens_B!K358&lt;&gt;"", Klantgegevens_B!K358, IF(Klantgegevens_A!L358&gt;=7, "ja", "nee"))</f>
        <v/>
      </c>
      <c r="M359">
        <f>IF(Klantgegevens_B!L358&lt;&gt;"", Klantgegevens_B!L358, IF(Klantgegevens_A!L358&gt;=7, "ja", "nee"))</f>
        <v/>
      </c>
      <c r="N359">
        <f>IF(Klantgegevens_B!M358&lt;&gt;"", Klantgegevens_B!M358, IF(Klantgegevens_A!L358&gt;=7, "ja", "nee"))</f>
        <v/>
      </c>
      <c r="O359">
        <f>IF(Klantgegevens_B!N358&lt;&gt;"", Klantgegevens_B!N358, IF(Klantgegevens_A!L358&gt;=7, "ja", "nee"))</f>
        <v/>
      </c>
      <c r="P359">
        <f>IF(Klantgegevens_B!O358&lt;&gt;"", Klantgegevens_B!O358, IF(Klantgegevens_A!L358&gt;=7, "ja", "nee"))</f>
        <v/>
      </c>
      <c r="Q359">
        <f>IF(Klantgegevens_B!P358&lt;&gt;"", Klantgegevens_B!P358, Klantgegevens_A!M358)</f>
        <v/>
      </c>
      <c r="R359">
        <f>IF(Klantgegevens_B!A358&lt;&gt;"", "B", "A")</f>
        <v/>
      </c>
    </row>
    <row r="360">
      <c r="A360">
        <f>IF(Klantgegevens_B!A359&lt;&gt;"", Klantgegevens_B!A359, MID(Klantgegevens_A!A359, FIND(",", Klantgegevens_A!A359)+2, LEN(Klantgegevens_A!A359)))</f>
        <v/>
      </c>
      <c r="B360">
        <f>IF(Klantgegevens_B!B359&lt;&gt;"", Klantgegevens_B!B359, LEFT(Klantgegevens_A!A359, FIND(",", Klantgegevens_A!A359)-1))</f>
        <v/>
      </c>
      <c r="C360">
        <f>C359 &amp; ", " &amp; B359</f>
        <v/>
      </c>
      <c r="D360">
        <f>IF(Klantgegevens_B!F359&lt;&gt;"", Klantgegevens_B!F359, Klantgegevens_A!D359 &amp; " " &amp; Klantgegevens_A!E359 &amp; ", " &amp; Klantgegevens_A!F359)</f>
        <v/>
      </c>
      <c r="E360">
        <f>IF(Klantgegevens_B!G359&lt;&gt;"", Klantgegevens_B!G359, TEXTJOIN(",", TRUE, REPT("Volwassene,", Klantgegevens_A!G359), REPT("Kind,", Klantgegevens_A!H359)))</f>
        <v/>
      </c>
      <c r="F360">
        <f>IF(Klantgegevens_B!G359&lt;&gt;"", LEN(Klantgegevens_B!G359)-LEN(SUBSTITUTE(Klantgegevens_B!G359, ",", ""))+1, Klantgegevens_A!G359)</f>
        <v/>
      </c>
      <c r="G360">
        <f>IF(Klantgegevens_B!G359&lt;&gt;"", 0, Klantgegevens_A!H359)</f>
        <v/>
      </c>
      <c r="H360">
        <f>IF(Klantgegevens_B!H359&lt;&gt;"", Klantgegevens_B!H359, Klantgegevens_A!I359)</f>
        <v/>
      </c>
      <c r="I360">
        <f>IF(Klantgegevens_B!I359&lt;&gt;"", Klantgegevens_B!I359, SWITCH(Klantgegevens_A!J359, "Zelden", 1, "Af en toe", 4, "Regelmatig", 8, "Vaak", 12))</f>
        <v/>
      </c>
      <c r="J360">
        <f>IF(Klantgegevens_B!J359&lt;&gt;"", Klantgegevens_B!J359, Klantgegevens_A!K359)</f>
        <v/>
      </c>
      <c r="K360">
        <f>IF(Klantgegevens_B!K359&lt;&gt;"", AVERAGE(--(Klantgegevens_B!K359="ja"), --(Klantgegevens_B!L359="ja"), --(Klantgegevens_B!M359="ja"), --(Klantgegevens_B!N359="ja"), --(Klantgegevens_B!O359="ja"))*10, Klantgegevens_A!L359)</f>
        <v/>
      </c>
      <c r="L360">
        <f>IF(Klantgegevens_B!K359&lt;&gt;"", Klantgegevens_B!K359, IF(Klantgegevens_A!L359&gt;=7, "ja", "nee"))</f>
        <v/>
      </c>
      <c r="M360">
        <f>IF(Klantgegevens_B!L359&lt;&gt;"", Klantgegevens_B!L359, IF(Klantgegevens_A!L359&gt;=7, "ja", "nee"))</f>
        <v/>
      </c>
      <c r="N360">
        <f>IF(Klantgegevens_B!M359&lt;&gt;"", Klantgegevens_B!M359, IF(Klantgegevens_A!L359&gt;=7, "ja", "nee"))</f>
        <v/>
      </c>
      <c r="O360">
        <f>IF(Klantgegevens_B!N359&lt;&gt;"", Klantgegevens_B!N359, IF(Klantgegevens_A!L359&gt;=7, "ja", "nee"))</f>
        <v/>
      </c>
      <c r="P360">
        <f>IF(Klantgegevens_B!O359&lt;&gt;"", Klantgegevens_B!O359, IF(Klantgegevens_A!L359&gt;=7, "ja", "nee"))</f>
        <v/>
      </c>
      <c r="Q360">
        <f>IF(Klantgegevens_B!P359&lt;&gt;"", Klantgegevens_B!P359, Klantgegevens_A!M359)</f>
        <v/>
      </c>
      <c r="R360">
        <f>IF(Klantgegevens_B!A359&lt;&gt;"", "B", "A")</f>
        <v/>
      </c>
    </row>
    <row r="361">
      <c r="A361">
        <f>IF(Klantgegevens_B!A360&lt;&gt;"", Klantgegevens_B!A360, MID(Klantgegevens_A!A360, FIND(",", Klantgegevens_A!A360)+2, LEN(Klantgegevens_A!A360)))</f>
        <v/>
      </c>
      <c r="B361">
        <f>IF(Klantgegevens_B!B360&lt;&gt;"", Klantgegevens_B!B360, LEFT(Klantgegevens_A!A360, FIND(",", Klantgegevens_A!A360)-1))</f>
        <v/>
      </c>
      <c r="C361">
        <f>C360 &amp; ", " &amp; B360</f>
        <v/>
      </c>
      <c r="D361">
        <f>IF(Klantgegevens_B!F360&lt;&gt;"", Klantgegevens_B!F360, Klantgegevens_A!D360 &amp; " " &amp; Klantgegevens_A!E360 &amp; ", " &amp; Klantgegevens_A!F360)</f>
        <v/>
      </c>
      <c r="E361">
        <f>IF(Klantgegevens_B!G360&lt;&gt;"", Klantgegevens_B!G360, TEXTJOIN(",", TRUE, REPT("Volwassene,", Klantgegevens_A!G360), REPT("Kind,", Klantgegevens_A!H360)))</f>
        <v/>
      </c>
      <c r="F361">
        <f>IF(Klantgegevens_B!G360&lt;&gt;"", LEN(Klantgegevens_B!G360)-LEN(SUBSTITUTE(Klantgegevens_B!G360, ",", ""))+1, Klantgegevens_A!G360)</f>
        <v/>
      </c>
      <c r="G361">
        <f>IF(Klantgegevens_B!G360&lt;&gt;"", 0, Klantgegevens_A!H360)</f>
        <v/>
      </c>
      <c r="H361">
        <f>IF(Klantgegevens_B!H360&lt;&gt;"", Klantgegevens_B!H360, Klantgegevens_A!I360)</f>
        <v/>
      </c>
      <c r="I361">
        <f>IF(Klantgegevens_B!I360&lt;&gt;"", Klantgegevens_B!I360, SWITCH(Klantgegevens_A!J360, "Zelden", 1, "Af en toe", 4, "Regelmatig", 8, "Vaak", 12))</f>
        <v/>
      </c>
      <c r="J361">
        <f>IF(Klantgegevens_B!J360&lt;&gt;"", Klantgegevens_B!J360, Klantgegevens_A!K360)</f>
        <v/>
      </c>
      <c r="K361">
        <f>IF(Klantgegevens_B!K360&lt;&gt;"", AVERAGE(--(Klantgegevens_B!K360="ja"), --(Klantgegevens_B!L360="ja"), --(Klantgegevens_B!M360="ja"), --(Klantgegevens_B!N360="ja"), --(Klantgegevens_B!O360="ja"))*10, Klantgegevens_A!L360)</f>
        <v/>
      </c>
      <c r="L361">
        <f>IF(Klantgegevens_B!K360&lt;&gt;"", Klantgegevens_B!K360, IF(Klantgegevens_A!L360&gt;=7, "ja", "nee"))</f>
        <v/>
      </c>
      <c r="M361">
        <f>IF(Klantgegevens_B!L360&lt;&gt;"", Klantgegevens_B!L360, IF(Klantgegevens_A!L360&gt;=7, "ja", "nee"))</f>
        <v/>
      </c>
      <c r="N361">
        <f>IF(Klantgegevens_B!M360&lt;&gt;"", Klantgegevens_B!M360, IF(Klantgegevens_A!L360&gt;=7, "ja", "nee"))</f>
        <v/>
      </c>
      <c r="O361">
        <f>IF(Klantgegevens_B!N360&lt;&gt;"", Klantgegevens_B!N360, IF(Klantgegevens_A!L360&gt;=7, "ja", "nee"))</f>
        <v/>
      </c>
      <c r="P361">
        <f>IF(Klantgegevens_B!O360&lt;&gt;"", Klantgegevens_B!O360, IF(Klantgegevens_A!L360&gt;=7, "ja", "nee"))</f>
        <v/>
      </c>
      <c r="Q361">
        <f>IF(Klantgegevens_B!P360&lt;&gt;"", Klantgegevens_B!P360, Klantgegevens_A!M360)</f>
        <v/>
      </c>
      <c r="R361">
        <f>IF(Klantgegevens_B!A360&lt;&gt;"", "B", "A")</f>
        <v/>
      </c>
    </row>
    <row r="362">
      <c r="A362">
        <f>IF(Klantgegevens_B!A361&lt;&gt;"", Klantgegevens_B!A361, MID(Klantgegevens_A!A361, FIND(",", Klantgegevens_A!A361)+2, LEN(Klantgegevens_A!A361)))</f>
        <v/>
      </c>
      <c r="B362">
        <f>IF(Klantgegevens_B!B361&lt;&gt;"", Klantgegevens_B!B361, LEFT(Klantgegevens_A!A361, FIND(",", Klantgegevens_A!A361)-1))</f>
        <v/>
      </c>
      <c r="C362">
        <f>C361 &amp; ", " &amp; B361</f>
        <v/>
      </c>
      <c r="D362">
        <f>IF(Klantgegevens_B!F361&lt;&gt;"", Klantgegevens_B!F361, Klantgegevens_A!D361 &amp; " " &amp; Klantgegevens_A!E361 &amp; ", " &amp; Klantgegevens_A!F361)</f>
        <v/>
      </c>
      <c r="E362">
        <f>IF(Klantgegevens_B!G361&lt;&gt;"", Klantgegevens_B!G361, TEXTJOIN(",", TRUE, REPT("Volwassene,", Klantgegevens_A!G361), REPT("Kind,", Klantgegevens_A!H361)))</f>
        <v/>
      </c>
      <c r="F362">
        <f>IF(Klantgegevens_B!G361&lt;&gt;"", LEN(Klantgegevens_B!G361)-LEN(SUBSTITUTE(Klantgegevens_B!G361, ",", ""))+1, Klantgegevens_A!G361)</f>
        <v/>
      </c>
      <c r="G362">
        <f>IF(Klantgegevens_B!G361&lt;&gt;"", 0, Klantgegevens_A!H361)</f>
        <v/>
      </c>
      <c r="H362">
        <f>IF(Klantgegevens_B!H361&lt;&gt;"", Klantgegevens_B!H361, Klantgegevens_A!I361)</f>
        <v/>
      </c>
      <c r="I362">
        <f>IF(Klantgegevens_B!I361&lt;&gt;"", Klantgegevens_B!I361, SWITCH(Klantgegevens_A!J361, "Zelden", 1, "Af en toe", 4, "Regelmatig", 8, "Vaak", 12))</f>
        <v/>
      </c>
      <c r="J362">
        <f>IF(Klantgegevens_B!J361&lt;&gt;"", Klantgegevens_B!J361, Klantgegevens_A!K361)</f>
        <v/>
      </c>
      <c r="K362">
        <f>IF(Klantgegevens_B!K361&lt;&gt;"", AVERAGE(--(Klantgegevens_B!K361="ja"), --(Klantgegevens_B!L361="ja"), --(Klantgegevens_B!M361="ja"), --(Klantgegevens_B!N361="ja"), --(Klantgegevens_B!O361="ja"))*10, Klantgegevens_A!L361)</f>
        <v/>
      </c>
      <c r="L362">
        <f>IF(Klantgegevens_B!K361&lt;&gt;"", Klantgegevens_B!K361, IF(Klantgegevens_A!L361&gt;=7, "ja", "nee"))</f>
        <v/>
      </c>
      <c r="M362">
        <f>IF(Klantgegevens_B!L361&lt;&gt;"", Klantgegevens_B!L361, IF(Klantgegevens_A!L361&gt;=7, "ja", "nee"))</f>
        <v/>
      </c>
      <c r="N362">
        <f>IF(Klantgegevens_B!M361&lt;&gt;"", Klantgegevens_B!M361, IF(Klantgegevens_A!L361&gt;=7, "ja", "nee"))</f>
        <v/>
      </c>
      <c r="O362">
        <f>IF(Klantgegevens_B!N361&lt;&gt;"", Klantgegevens_B!N361, IF(Klantgegevens_A!L361&gt;=7, "ja", "nee"))</f>
        <v/>
      </c>
      <c r="P362">
        <f>IF(Klantgegevens_B!O361&lt;&gt;"", Klantgegevens_B!O361, IF(Klantgegevens_A!L361&gt;=7, "ja", "nee"))</f>
        <v/>
      </c>
      <c r="Q362">
        <f>IF(Klantgegevens_B!P361&lt;&gt;"", Klantgegevens_B!P361, Klantgegevens_A!M361)</f>
        <v/>
      </c>
      <c r="R362">
        <f>IF(Klantgegevens_B!A361&lt;&gt;"", "B", "A")</f>
        <v/>
      </c>
    </row>
    <row r="363">
      <c r="A363">
        <f>IF(Klantgegevens_B!A362&lt;&gt;"", Klantgegevens_B!A362, MID(Klantgegevens_A!A362, FIND(",", Klantgegevens_A!A362)+2, LEN(Klantgegevens_A!A362)))</f>
        <v/>
      </c>
      <c r="B363">
        <f>IF(Klantgegevens_B!B362&lt;&gt;"", Klantgegevens_B!B362, LEFT(Klantgegevens_A!A362, FIND(",", Klantgegevens_A!A362)-1))</f>
        <v/>
      </c>
      <c r="C363">
        <f>C362 &amp; ", " &amp; B362</f>
        <v/>
      </c>
      <c r="D363">
        <f>IF(Klantgegevens_B!F362&lt;&gt;"", Klantgegevens_B!F362, Klantgegevens_A!D362 &amp; " " &amp; Klantgegevens_A!E362 &amp; ", " &amp; Klantgegevens_A!F362)</f>
        <v/>
      </c>
      <c r="E363">
        <f>IF(Klantgegevens_B!G362&lt;&gt;"", Klantgegevens_B!G362, TEXTJOIN(",", TRUE, REPT("Volwassene,", Klantgegevens_A!G362), REPT("Kind,", Klantgegevens_A!H362)))</f>
        <v/>
      </c>
      <c r="F363">
        <f>IF(Klantgegevens_B!G362&lt;&gt;"", LEN(Klantgegevens_B!G362)-LEN(SUBSTITUTE(Klantgegevens_B!G362, ",", ""))+1, Klantgegevens_A!G362)</f>
        <v/>
      </c>
      <c r="G363">
        <f>IF(Klantgegevens_B!G362&lt;&gt;"", 0, Klantgegevens_A!H362)</f>
        <v/>
      </c>
      <c r="H363">
        <f>IF(Klantgegevens_B!H362&lt;&gt;"", Klantgegevens_B!H362, Klantgegevens_A!I362)</f>
        <v/>
      </c>
      <c r="I363">
        <f>IF(Klantgegevens_B!I362&lt;&gt;"", Klantgegevens_B!I362, SWITCH(Klantgegevens_A!J362, "Zelden", 1, "Af en toe", 4, "Regelmatig", 8, "Vaak", 12))</f>
        <v/>
      </c>
      <c r="J363">
        <f>IF(Klantgegevens_B!J362&lt;&gt;"", Klantgegevens_B!J362, Klantgegevens_A!K362)</f>
        <v/>
      </c>
      <c r="K363">
        <f>IF(Klantgegevens_B!K362&lt;&gt;"", AVERAGE(--(Klantgegevens_B!K362="ja"), --(Klantgegevens_B!L362="ja"), --(Klantgegevens_B!M362="ja"), --(Klantgegevens_B!N362="ja"), --(Klantgegevens_B!O362="ja"))*10, Klantgegevens_A!L362)</f>
        <v/>
      </c>
      <c r="L363">
        <f>IF(Klantgegevens_B!K362&lt;&gt;"", Klantgegevens_B!K362, IF(Klantgegevens_A!L362&gt;=7, "ja", "nee"))</f>
        <v/>
      </c>
      <c r="M363">
        <f>IF(Klantgegevens_B!L362&lt;&gt;"", Klantgegevens_B!L362, IF(Klantgegevens_A!L362&gt;=7, "ja", "nee"))</f>
        <v/>
      </c>
      <c r="N363">
        <f>IF(Klantgegevens_B!M362&lt;&gt;"", Klantgegevens_B!M362, IF(Klantgegevens_A!L362&gt;=7, "ja", "nee"))</f>
        <v/>
      </c>
      <c r="O363">
        <f>IF(Klantgegevens_B!N362&lt;&gt;"", Klantgegevens_B!N362, IF(Klantgegevens_A!L362&gt;=7, "ja", "nee"))</f>
        <v/>
      </c>
      <c r="P363">
        <f>IF(Klantgegevens_B!O362&lt;&gt;"", Klantgegevens_B!O362, IF(Klantgegevens_A!L362&gt;=7, "ja", "nee"))</f>
        <v/>
      </c>
      <c r="Q363">
        <f>IF(Klantgegevens_B!P362&lt;&gt;"", Klantgegevens_B!P362, Klantgegevens_A!M362)</f>
        <v/>
      </c>
      <c r="R363">
        <f>IF(Klantgegevens_B!A362&lt;&gt;"", "B", "A")</f>
        <v/>
      </c>
    </row>
    <row r="364">
      <c r="A364">
        <f>IF(Klantgegevens_B!A363&lt;&gt;"", Klantgegevens_B!A363, MID(Klantgegevens_A!A363, FIND(",", Klantgegevens_A!A363)+2, LEN(Klantgegevens_A!A363)))</f>
        <v/>
      </c>
      <c r="B364">
        <f>IF(Klantgegevens_B!B363&lt;&gt;"", Klantgegevens_B!B363, LEFT(Klantgegevens_A!A363, FIND(",", Klantgegevens_A!A363)-1))</f>
        <v/>
      </c>
      <c r="C364">
        <f>C363 &amp; ", " &amp; B363</f>
        <v/>
      </c>
      <c r="D364">
        <f>IF(Klantgegevens_B!F363&lt;&gt;"", Klantgegevens_B!F363, Klantgegevens_A!D363 &amp; " " &amp; Klantgegevens_A!E363 &amp; ", " &amp; Klantgegevens_A!F363)</f>
        <v/>
      </c>
      <c r="E364">
        <f>IF(Klantgegevens_B!G363&lt;&gt;"", Klantgegevens_B!G363, TEXTJOIN(",", TRUE, REPT("Volwassene,", Klantgegevens_A!G363), REPT("Kind,", Klantgegevens_A!H363)))</f>
        <v/>
      </c>
      <c r="F364">
        <f>IF(Klantgegevens_B!G363&lt;&gt;"", LEN(Klantgegevens_B!G363)-LEN(SUBSTITUTE(Klantgegevens_B!G363, ",", ""))+1, Klantgegevens_A!G363)</f>
        <v/>
      </c>
      <c r="G364">
        <f>IF(Klantgegevens_B!G363&lt;&gt;"", 0, Klantgegevens_A!H363)</f>
        <v/>
      </c>
      <c r="H364">
        <f>IF(Klantgegevens_B!H363&lt;&gt;"", Klantgegevens_B!H363, Klantgegevens_A!I363)</f>
        <v/>
      </c>
      <c r="I364">
        <f>IF(Klantgegevens_B!I363&lt;&gt;"", Klantgegevens_B!I363, SWITCH(Klantgegevens_A!J363, "Zelden", 1, "Af en toe", 4, "Regelmatig", 8, "Vaak", 12))</f>
        <v/>
      </c>
      <c r="J364">
        <f>IF(Klantgegevens_B!J363&lt;&gt;"", Klantgegevens_B!J363, Klantgegevens_A!K363)</f>
        <v/>
      </c>
      <c r="K364">
        <f>IF(Klantgegevens_B!K363&lt;&gt;"", AVERAGE(--(Klantgegevens_B!K363="ja"), --(Klantgegevens_B!L363="ja"), --(Klantgegevens_B!M363="ja"), --(Klantgegevens_B!N363="ja"), --(Klantgegevens_B!O363="ja"))*10, Klantgegevens_A!L363)</f>
        <v/>
      </c>
      <c r="L364">
        <f>IF(Klantgegevens_B!K363&lt;&gt;"", Klantgegevens_B!K363, IF(Klantgegevens_A!L363&gt;=7, "ja", "nee"))</f>
        <v/>
      </c>
      <c r="M364">
        <f>IF(Klantgegevens_B!L363&lt;&gt;"", Klantgegevens_B!L363, IF(Klantgegevens_A!L363&gt;=7, "ja", "nee"))</f>
        <v/>
      </c>
      <c r="N364">
        <f>IF(Klantgegevens_B!M363&lt;&gt;"", Klantgegevens_B!M363, IF(Klantgegevens_A!L363&gt;=7, "ja", "nee"))</f>
        <v/>
      </c>
      <c r="O364">
        <f>IF(Klantgegevens_B!N363&lt;&gt;"", Klantgegevens_B!N363, IF(Klantgegevens_A!L363&gt;=7, "ja", "nee"))</f>
        <v/>
      </c>
      <c r="P364">
        <f>IF(Klantgegevens_B!O363&lt;&gt;"", Klantgegevens_B!O363, IF(Klantgegevens_A!L363&gt;=7, "ja", "nee"))</f>
        <v/>
      </c>
      <c r="Q364">
        <f>IF(Klantgegevens_B!P363&lt;&gt;"", Klantgegevens_B!P363, Klantgegevens_A!M363)</f>
        <v/>
      </c>
      <c r="R364">
        <f>IF(Klantgegevens_B!A363&lt;&gt;"", "B", "A")</f>
        <v/>
      </c>
    </row>
    <row r="365">
      <c r="A365">
        <f>IF(Klantgegevens_B!A364&lt;&gt;"", Klantgegevens_B!A364, MID(Klantgegevens_A!A364, FIND(",", Klantgegevens_A!A364)+2, LEN(Klantgegevens_A!A364)))</f>
        <v/>
      </c>
      <c r="B365">
        <f>IF(Klantgegevens_B!B364&lt;&gt;"", Klantgegevens_B!B364, LEFT(Klantgegevens_A!A364, FIND(",", Klantgegevens_A!A364)-1))</f>
        <v/>
      </c>
      <c r="C365">
        <f>C364 &amp; ", " &amp; B364</f>
        <v/>
      </c>
      <c r="D365">
        <f>IF(Klantgegevens_B!F364&lt;&gt;"", Klantgegevens_B!F364, Klantgegevens_A!D364 &amp; " " &amp; Klantgegevens_A!E364 &amp; ", " &amp; Klantgegevens_A!F364)</f>
        <v/>
      </c>
      <c r="E365">
        <f>IF(Klantgegevens_B!G364&lt;&gt;"", Klantgegevens_B!G364, TEXTJOIN(",", TRUE, REPT("Volwassene,", Klantgegevens_A!G364), REPT("Kind,", Klantgegevens_A!H364)))</f>
        <v/>
      </c>
      <c r="F365">
        <f>IF(Klantgegevens_B!G364&lt;&gt;"", LEN(Klantgegevens_B!G364)-LEN(SUBSTITUTE(Klantgegevens_B!G364, ",", ""))+1, Klantgegevens_A!G364)</f>
        <v/>
      </c>
      <c r="G365">
        <f>IF(Klantgegevens_B!G364&lt;&gt;"", 0, Klantgegevens_A!H364)</f>
        <v/>
      </c>
      <c r="H365">
        <f>IF(Klantgegevens_B!H364&lt;&gt;"", Klantgegevens_B!H364, Klantgegevens_A!I364)</f>
        <v/>
      </c>
      <c r="I365">
        <f>IF(Klantgegevens_B!I364&lt;&gt;"", Klantgegevens_B!I364, SWITCH(Klantgegevens_A!J364, "Zelden", 1, "Af en toe", 4, "Regelmatig", 8, "Vaak", 12))</f>
        <v/>
      </c>
      <c r="J365">
        <f>IF(Klantgegevens_B!J364&lt;&gt;"", Klantgegevens_B!J364, Klantgegevens_A!K364)</f>
        <v/>
      </c>
      <c r="K365">
        <f>IF(Klantgegevens_B!K364&lt;&gt;"", AVERAGE(--(Klantgegevens_B!K364="ja"), --(Klantgegevens_B!L364="ja"), --(Klantgegevens_B!M364="ja"), --(Klantgegevens_B!N364="ja"), --(Klantgegevens_B!O364="ja"))*10, Klantgegevens_A!L364)</f>
        <v/>
      </c>
      <c r="L365">
        <f>IF(Klantgegevens_B!K364&lt;&gt;"", Klantgegevens_B!K364, IF(Klantgegevens_A!L364&gt;=7, "ja", "nee"))</f>
        <v/>
      </c>
      <c r="M365">
        <f>IF(Klantgegevens_B!L364&lt;&gt;"", Klantgegevens_B!L364, IF(Klantgegevens_A!L364&gt;=7, "ja", "nee"))</f>
        <v/>
      </c>
      <c r="N365">
        <f>IF(Klantgegevens_B!M364&lt;&gt;"", Klantgegevens_B!M364, IF(Klantgegevens_A!L364&gt;=7, "ja", "nee"))</f>
        <v/>
      </c>
      <c r="O365">
        <f>IF(Klantgegevens_B!N364&lt;&gt;"", Klantgegevens_B!N364, IF(Klantgegevens_A!L364&gt;=7, "ja", "nee"))</f>
        <v/>
      </c>
      <c r="P365">
        <f>IF(Klantgegevens_B!O364&lt;&gt;"", Klantgegevens_B!O364, IF(Klantgegevens_A!L364&gt;=7, "ja", "nee"))</f>
        <v/>
      </c>
      <c r="Q365">
        <f>IF(Klantgegevens_B!P364&lt;&gt;"", Klantgegevens_B!P364, Klantgegevens_A!M364)</f>
        <v/>
      </c>
      <c r="R365">
        <f>IF(Klantgegevens_B!A364&lt;&gt;"", "B", "A")</f>
        <v/>
      </c>
    </row>
    <row r="366">
      <c r="A366">
        <f>IF(Klantgegevens_B!A365&lt;&gt;"", Klantgegevens_B!A365, MID(Klantgegevens_A!A365, FIND(",", Klantgegevens_A!A365)+2, LEN(Klantgegevens_A!A365)))</f>
        <v/>
      </c>
      <c r="B366">
        <f>IF(Klantgegevens_B!B365&lt;&gt;"", Klantgegevens_B!B365, LEFT(Klantgegevens_A!A365, FIND(",", Klantgegevens_A!A365)-1))</f>
        <v/>
      </c>
      <c r="C366">
        <f>C365 &amp; ", " &amp; B365</f>
        <v/>
      </c>
      <c r="D366">
        <f>IF(Klantgegevens_B!F365&lt;&gt;"", Klantgegevens_B!F365, Klantgegevens_A!D365 &amp; " " &amp; Klantgegevens_A!E365 &amp; ", " &amp; Klantgegevens_A!F365)</f>
        <v/>
      </c>
      <c r="E366">
        <f>IF(Klantgegevens_B!G365&lt;&gt;"", Klantgegevens_B!G365, TEXTJOIN(",", TRUE, REPT("Volwassene,", Klantgegevens_A!G365), REPT("Kind,", Klantgegevens_A!H365)))</f>
        <v/>
      </c>
      <c r="F366">
        <f>IF(Klantgegevens_B!G365&lt;&gt;"", LEN(Klantgegevens_B!G365)-LEN(SUBSTITUTE(Klantgegevens_B!G365, ",", ""))+1, Klantgegevens_A!G365)</f>
        <v/>
      </c>
      <c r="G366">
        <f>IF(Klantgegevens_B!G365&lt;&gt;"", 0, Klantgegevens_A!H365)</f>
        <v/>
      </c>
      <c r="H366">
        <f>IF(Klantgegevens_B!H365&lt;&gt;"", Klantgegevens_B!H365, Klantgegevens_A!I365)</f>
        <v/>
      </c>
      <c r="I366">
        <f>IF(Klantgegevens_B!I365&lt;&gt;"", Klantgegevens_B!I365, SWITCH(Klantgegevens_A!J365, "Zelden", 1, "Af en toe", 4, "Regelmatig", 8, "Vaak", 12))</f>
        <v/>
      </c>
      <c r="J366">
        <f>IF(Klantgegevens_B!J365&lt;&gt;"", Klantgegevens_B!J365, Klantgegevens_A!K365)</f>
        <v/>
      </c>
      <c r="K366">
        <f>IF(Klantgegevens_B!K365&lt;&gt;"", AVERAGE(--(Klantgegevens_B!K365="ja"), --(Klantgegevens_B!L365="ja"), --(Klantgegevens_B!M365="ja"), --(Klantgegevens_B!N365="ja"), --(Klantgegevens_B!O365="ja"))*10, Klantgegevens_A!L365)</f>
        <v/>
      </c>
      <c r="L366">
        <f>IF(Klantgegevens_B!K365&lt;&gt;"", Klantgegevens_B!K365, IF(Klantgegevens_A!L365&gt;=7, "ja", "nee"))</f>
        <v/>
      </c>
      <c r="M366">
        <f>IF(Klantgegevens_B!L365&lt;&gt;"", Klantgegevens_B!L365, IF(Klantgegevens_A!L365&gt;=7, "ja", "nee"))</f>
        <v/>
      </c>
      <c r="N366">
        <f>IF(Klantgegevens_B!M365&lt;&gt;"", Klantgegevens_B!M365, IF(Klantgegevens_A!L365&gt;=7, "ja", "nee"))</f>
        <v/>
      </c>
      <c r="O366">
        <f>IF(Klantgegevens_B!N365&lt;&gt;"", Klantgegevens_B!N365, IF(Klantgegevens_A!L365&gt;=7, "ja", "nee"))</f>
        <v/>
      </c>
      <c r="P366">
        <f>IF(Klantgegevens_B!O365&lt;&gt;"", Klantgegevens_B!O365, IF(Klantgegevens_A!L365&gt;=7, "ja", "nee"))</f>
        <v/>
      </c>
      <c r="Q366">
        <f>IF(Klantgegevens_B!P365&lt;&gt;"", Klantgegevens_B!P365, Klantgegevens_A!M365)</f>
        <v/>
      </c>
      <c r="R366">
        <f>IF(Klantgegevens_B!A365&lt;&gt;"", "B", "A")</f>
        <v/>
      </c>
    </row>
    <row r="367">
      <c r="A367">
        <f>IF(Klantgegevens_B!A366&lt;&gt;"", Klantgegevens_B!A366, MID(Klantgegevens_A!A366, FIND(",", Klantgegevens_A!A366)+2, LEN(Klantgegevens_A!A366)))</f>
        <v/>
      </c>
      <c r="B367">
        <f>IF(Klantgegevens_B!B366&lt;&gt;"", Klantgegevens_B!B366, LEFT(Klantgegevens_A!A366, FIND(",", Klantgegevens_A!A366)-1))</f>
        <v/>
      </c>
      <c r="C367">
        <f>C366 &amp; ", " &amp; B366</f>
        <v/>
      </c>
      <c r="D367">
        <f>IF(Klantgegevens_B!F366&lt;&gt;"", Klantgegevens_B!F366, Klantgegevens_A!D366 &amp; " " &amp; Klantgegevens_A!E366 &amp; ", " &amp; Klantgegevens_A!F366)</f>
        <v/>
      </c>
      <c r="E367">
        <f>IF(Klantgegevens_B!G366&lt;&gt;"", Klantgegevens_B!G366, TEXTJOIN(",", TRUE, REPT("Volwassene,", Klantgegevens_A!G366), REPT("Kind,", Klantgegevens_A!H366)))</f>
        <v/>
      </c>
      <c r="F367">
        <f>IF(Klantgegevens_B!G366&lt;&gt;"", LEN(Klantgegevens_B!G366)-LEN(SUBSTITUTE(Klantgegevens_B!G366, ",", ""))+1, Klantgegevens_A!G366)</f>
        <v/>
      </c>
      <c r="G367">
        <f>IF(Klantgegevens_B!G366&lt;&gt;"", 0, Klantgegevens_A!H366)</f>
        <v/>
      </c>
      <c r="H367">
        <f>IF(Klantgegevens_B!H366&lt;&gt;"", Klantgegevens_B!H366, Klantgegevens_A!I366)</f>
        <v/>
      </c>
      <c r="I367">
        <f>IF(Klantgegevens_B!I366&lt;&gt;"", Klantgegevens_B!I366, SWITCH(Klantgegevens_A!J366, "Zelden", 1, "Af en toe", 4, "Regelmatig", 8, "Vaak", 12))</f>
        <v/>
      </c>
      <c r="J367">
        <f>IF(Klantgegevens_B!J366&lt;&gt;"", Klantgegevens_B!J366, Klantgegevens_A!K366)</f>
        <v/>
      </c>
      <c r="K367">
        <f>IF(Klantgegevens_B!K366&lt;&gt;"", AVERAGE(--(Klantgegevens_B!K366="ja"), --(Klantgegevens_B!L366="ja"), --(Klantgegevens_B!M366="ja"), --(Klantgegevens_B!N366="ja"), --(Klantgegevens_B!O366="ja"))*10, Klantgegevens_A!L366)</f>
        <v/>
      </c>
      <c r="L367">
        <f>IF(Klantgegevens_B!K366&lt;&gt;"", Klantgegevens_B!K366, IF(Klantgegevens_A!L366&gt;=7, "ja", "nee"))</f>
        <v/>
      </c>
      <c r="M367">
        <f>IF(Klantgegevens_B!L366&lt;&gt;"", Klantgegevens_B!L366, IF(Klantgegevens_A!L366&gt;=7, "ja", "nee"))</f>
        <v/>
      </c>
      <c r="N367">
        <f>IF(Klantgegevens_B!M366&lt;&gt;"", Klantgegevens_B!M366, IF(Klantgegevens_A!L366&gt;=7, "ja", "nee"))</f>
        <v/>
      </c>
      <c r="O367">
        <f>IF(Klantgegevens_B!N366&lt;&gt;"", Klantgegevens_B!N366, IF(Klantgegevens_A!L366&gt;=7, "ja", "nee"))</f>
        <v/>
      </c>
      <c r="P367">
        <f>IF(Klantgegevens_B!O366&lt;&gt;"", Klantgegevens_B!O366, IF(Klantgegevens_A!L366&gt;=7, "ja", "nee"))</f>
        <v/>
      </c>
      <c r="Q367">
        <f>IF(Klantgegevens_B!P366&lt;&gt;"", Klantgegevens_B!P366, Klantgegevens_A!M366)</f>
        <v/>
      </c>
      <c r="R367">
        <f>IF(Klantgegevens_B!A366&lt;&gt;"", "B", "A")</f>
        <v/>
      </c>
    </row>
    <row r="368">
      <c r="A368">
        <f>IF(Klantgegevens_B!A367&lt;&gt;"", Klantgegevens_B!A367, MID(Klantgegevens_A!A367, FIND(",", Klantgegevens_A!A367)+2, LEN(Klantgegevens_A!A367)))</f>
        <v/>
      </c>
      <c r="B368">
        <f>IF(Klantgegevens_B!B367&lt;&gt;"", Klantgegevens_B!B367, LEFT(Klantgegevens_A!A367, FIND(",", Klantgegevens_A!A367)-1))</f>
        <v/>
      </c>
      <c r="C368">
        <f>C367 &amp; ", " &amp; B367</f>
        <v/>
      </c>
      <c r="D368">
        <f>IF(Klantgegevens_B!F367&lt;&gt;"", Klantgegevens_B!F367, Klantgegevens_A!D367 &amp; " " &amp; Klantgegevens_A!E367 &amp; ", " &amp; Klantgegevens_A!F367)</f>
        <v/>
      </c>
      <c r="E368">
        <f>IF(Klantgegevens_B!G367&lt;&gt;"", Klantgegevens_B!G367, TEXTJOIN(",", TRUE, REPT("Volwassene,", Klantgegevens_A!G367), REPT("Kind,", Klantgegevens_A!H367)))</f>
        <v/>
      </c>
      <c r="F368">
        <f>IF(Klantgegevens_B!G367&lt;&gt;"", LEN(Klantgegevens_B!G367)-LEN(SUBSTITUTE(Klantgegevens_B!G367, ",", ""))+1, Klantgegevens_A!G367)</f>
        <v/>
      </c>
      <c r="G368">
        <f>IF(Klantgegevens_B!G367&lt;&gt;"", 0, Klantgegevens_A!H367)</f>
        <v/>
      </c>
      <c r="H368">
        <f>IF(Klantgegevens_B!H367&lt;&gt;"", Klantgegevens_B!H367, Klantgegevens_A!I367)</f>
        <v/>
      </c>
      <c r="I368">
        <f>IF(Klantgegevens_B!I367&lt;&gt;"", Klantgegevens_B!I367, SWITCH(Klantgegevens_A!J367, "Zelden", 1, "Af en toe", 4, "Regelmatig", 8, "Vaak", 12))</f>
        <v/>
      </c>
      <c r="J368">
        <f>IF(Klantgegevens_B!J367&lt;&gt;"", Klantgegevens_B!J367, Klantgegevens_A!K367)</f>
        <v/>
      </c>
      <c r="K368">
        <f>IF(Klantgegevens_B!K367&lt;&gt;"", AVERAGE(--(Klantgegevens_B!K367="ja"), --(Klantgegevens_B!L367="ja"), --(Klantgegevens_B!M367="ja"), --(Klantgegevens_B!N367="ja"), --(Klantgegevens_B!O367="ja"))*10, Klantgegevens_A!L367)</f>
        <v/>
      </c>
      <c r="L368">
        <f>IF(Klantgegevens_B!K367&lt;&gt;"", Klantgegevens_B!K367, IF(Klantgegevens_A!L367&gt;=7, "ja", "nee"))</f>
        <v/>
      </c>
      <c r="M368">
        <f>IF(Klantgegevens_B!L367&lt;&gt;"", Klantgegevens_B!L367, IF(Klantgegevens_A!L367&gt;=7, "ja", "nee"))</f>
        <v/>
      </c>
      <c r="N368">
        <f>IF(Klantgegevens_B!M367&lt;&gt;"", Klantgegevens_B!M367, IF(Klantgegevens_A!L367&gt;=7, "ja", "nee"))</f>
        <v/>
      </c>
      <c r="O368">
        <f>IF(Klantgegevens_B!N367&lt;&gt;"", Klantgegevens_B!N367, IF(Klantgegevens_A!L367&gt;=7, "ja", "nee"))</f>
        <v/>
      </c>
      <c r="P368">
        <f>IF(Klantgegevens_B!O367&lt;&gt;"", Klantgegevens_B!O367, IF(Klantgegevens_A!L367&gt;=7, "ja", "nee"))</f>
        <v/>
      </c>
      <c r="Q368">
        <f>IF(Klantgegevens_B!P367&lt;&gt;"", Klantgegevens_B!P367, Klantgegevens_A!M367)</f>
        <v/>
      </c>
      <c r="R368">
        <f>IF(Klantgegevens_B!A367&lt;&gt;"", "B", "A")</f>
        <v/>
      </c>
    </row>
    <row r="369">
      <c r="A369">
        <f>IF(Klantgegevens_B!A368&lt;&gt;"", Klantgegevens_B!A368, MID(Klantgegevens_A!A368, FIND(",", Klantgegevens_A!A368)+2, LEN(Klantgegevens_A!A368)))</f>
        <v/>
      </c>
      <c r="B369">
        <f>IF(Klantgegevens_B!B368&lt;&gt;"", Klantgegevens_B!B368, LEFT(Klantgegevens_A!A368, FIND(",", Klantgegevens_A!A368)-1))</f>
        <v/>
      </c>
      <c r="C369">
        <f>C368 &amp; ", " &amp; B368</f>
        <v/>
      </c>
      <c r="D369">
        <f>IF(Klantgegevens_B!F368&lt;&gt;"", Klantgegevens_B!F368, Klantgegevens_A!D368 &amp; " " &amp; Klantgegevens_A!E368 &amp; ", " &amp; Klantgegevens_A!F368)</f>
        <v/>
      </c>
      <c r="E369">
        <f>IF(Klantgegevens_B!G368&lt;&gt;"", Klantgegevens_B!G368, TEXTJOIN(",", TRUE, REPT("Volwassene,", Klantgegevens_A!G368), REPT("Kind,", Klantgegevens_A!H368)))</f>
        <v/>
      </c>
      <c r="F369">
        <f>IF(Klantgegevens_B!G368&lt;&gt;"", LEN(Klantgegevens_B!G368)-LEN(SUBSTITUTE(Klantgegevens_B!G368, ",", ""))+1, Klantgegevens_A!G368)</f>
        <v/>
      </c>
      <c r="G369">
        <f>IF(Klantgegevens_B!G368&lt;&gt;"", 0, Klantgegevens_A!H368)</f>
        <v/>
      </c>
      <c r="H369">
        <f>IF(Klantgegevens_B!H368&lt;&gt;"", Klantgegevens_B!H368, Klantgegevens_A!I368)</f>
        <v/>
      </c>
      <c r="I369">
        <f>IF(Klantgegevens_B!I368&lt;&gt;"", Klantgegevens_B!I368, SWITCH(Klantgegevens_A!J368, "Zelden", 1, "Af en toe", 4, "Regelmatig", 8, "Vaak", 12))</f>
        <v/>
      </c>
      <c r="J369">
        <f>IF(Klantgegevens_B!J368&lt;&gt;"", Klantgegevens_B!J368, Klantgegevens_A!K368)</f>
        <v/>
      </c>
      <c r="K369">
        <f>IF(Klantgegevens_B!K368&lt;&gt;"", AVERAGE(--(Klantgegevens_B!K368="ja"), --(Klantgegevens_B!L368="ja"), --(Klantgegevens_B!M368="ja"), --(Klantgegevens_B!N368="ja"), --(Klantgegevens_B!O368="ja"))*10, Klantgegevens_A!L368)</f>
        <v/>
      </c>
      <c r="L369">
        <f>IF(Klantgegevens_B!K368&lt;&gt;"", Klantgegevens_B!K368, IF(Klantgegevens_A!L368&gt;=7, "ja", "nee"))</f>
        <v/>
      </c>
      <c r="M369">
        <f>IF(Klantgegevens_B!L368&lt;&gt;"", Klantgegevens_B!L368, IF(Klantgegevens_A!L368&gt;=7, "ja", "nee"))</f>
        <v/>
      </c>
      <c r="N369">
        <f>IF(Klantgegevens_B!M368&lt;&gt;"", Klantgegevens_B!M368, IF(Klantgegevens_A!L368&gt;=7, "ja", "nee"))</f>
        <v/>
      </c>
      <c r="O369">
        <f>IF(Klantgegevens_B!N368&lt;&gt;"", Klantgegevens_B!N368, IF(Klantgegevens_A!L368&gt;=7, "ja", "nee"))</f>
        <v/>
      </c>
      <c r="P369">
        <f>IF(Klantgegevens_B!O368&lt;&gt;"", Klantgegevens_B!O368, IF(Klantgegevens_A!L368&gt;=7, "ja", "nee"))</f>
        <v/>
      </c>
      <c r="Q369">
        <f>IF(Klantgegevens_B!P368&lt;&gt;"", Klantgegevens_B!P368, Klantgegevens_A!M368)</f>
        <v/>
      </c>
      <c r="R369">
        <f>IF(Klantgegevens_B!A368&lt;&gt;"", "B", "A")</f>
        <v/>
      </c>
    </row>
    <row r="370">
      <c r="A370">
        <f>IF(Klantgegevens_B!A369&lt;&gt;"", Klantgegevens_B!A369, MID(Klantgegevens_A!A369, FIND(",", Klantgegevens_A!A369)+2, LEN(Klantgegevens_A!A369)))</f>
        <v/>
      </c>
      <c r="B370">
        <f>IF(Klantgegevens_B!B369&lt;&gt;"", Klantgegevens_B!B369, LEFT(Klantgegevens_A!A369, FIND(",", Klantgegevens_A!A369)-1))</f>
        <v/>
      </c>
      <c r="C370">
        <f>C369 &amp; ", " &amp; B369</f>
        <v/>
      </c>
      <c r="D370">
        <f>IF(Klantgegevens_B!F369&lt;&gt;"", Klantgegevens_B!F369, Klantgegevens_A!D369 &amp; " " &amp; Klantgegevens_A!E369 &amp; ", " &amp; Klantgegevens_A!F369)</f>
        <v/>
      </c>
      <c r="E370">
        <f>IF(Klantgegevens_B!G369&lt;&gt;"", Klantgegevens_B!G369, TEXTJOIN(",", TRUE, REPT("Volwassene,", Klantgegevens_A!G369), REPT("Kind,", Klantgegevens_A!H369)))</f>
        <v/>
      </c>
      <c r="F370">
        <f>IF(Klantgegevens_B!G369&lt;&gt;"", LEN(Klantgegevens_B!G369)-LEN(SUBSTITUTE(Klantgegevens_B!G369, ",", ""))+1, Klantgegevens_A!G369)</f>
        <v/>
      </c>
      <c r="G370">
        <f>IF(Klantgegevens_B!G369&lt;&gt;"", 0, Klantgegevens_A!H369)</f>
        <v/>
      </c>
      <c r="H370">
        <f>IF(Klantgegevens_B!H369&lt;&gt;"", Klantgegevens_B!H369, Klantgegevens_A!I369)</f>
        <v/>
      </c>
      <c r="I370">
        <f>IF(Klantgegevens_B!I369&lt;&gt;"", Klantgegevens_B!I369, SWITCH(Klantgegevens_A!J369, "Zelden", 1, "Af en toe", 4, "Regelmatig", 8, "Vaak", 12))</f>
        <v/>
      </c>
      <c r="J370">
        <f>IF(Klantgegevens_B!J369&lt;&gt;"", Klantgegevens_B!J369, Klantgegevens_A!K369)</f>
        <v/>
      </c>
      <c r="K370">
        <f>IF(Klantgegevens_B!K369&lt;&gt;"", AVERAGE(--(Klantgegevens_B!K369="ja"), --(Klantgegevens_B!L369="ja"), --(Klantgegevens_B!M369="ja"), --(Klantgegevens_B!N369="ja"), --(Klantgegevens_B!O369="ja"))*10, Klantgegevens_A!L369)</f>
        <v/>
      </c>
      <c r="L370">
        <f>IF(Klantgegevens_B!K369&lt;&gt;"", Klantgegevens_B!K369, IF(Klantgegevens_A!L369&gt;=7, "ja", "nee"))</f>
        <v/>
      </c>
      <c r="M370">
        <f>IF(Klantgegevens_B!L369&lt;&gt;"", Klantgegevens_B!L369, IF(Klantgegevens_A!L369&gt;=7, "ja", "nee"))</f>
        <v/>
      </c>
      <c r="N370">
        <f>IF(Klantgegevens_B!M369&lt;&gt;"", Klantgegevens_B!M369, IF(Klantgegevens_A!L369&gt;=7, "ja", "nee"))</f>
        <v/>
      </c>
      <c r="O370">
        <f>IF(Klantgegevens_B!N369&lt;&gt;"", Klantgegevens_B!N369, IF(Klantgegevens_A!L369&gt;=7, "ja", "nee"))</f>
        <v/>
      </c>
      <c r="P370">
        <f>IF(Klantgegevens_B!O369&lt;&gt;"", Klantgegevens_B!O369, IF(Klantgegevens_A!L369&gt;=7, "ja", "nee"))</f>
        <v/>
      </c>
      <c r="Q370">
        <f>IF(Klantgegevens_B!P369&lt;&gt;"", Klantgegevens_B!P369, Klantgegevens_A!M369)</f>
        <v/>
      </c>
      <c r="R370">
        <f>IF(Klantgegevens_B!A369&lt;&gt;"", "B", "A")</f>
        <v/>
      </c>
    </row>
    <row r="371">
      <c r="A371">
        <f>IF(Klantgegevens_B!A370&lt;&gt;"", Klantgegevens_B!A370, MID(Klantgegevens_A!A370, FIND(",", Klantgegevens_A!A370)+2, LEN(Klantgegevens_A!A370)))</f>
        <v/>
      </c>
      <c r="B371">
        <f>IF(Klantgegevens_B!B370&lt;&gt;"", Klantgegevens_B!B370, LEFT(Klantgegevens_A!A370, FIND(",", Klantgegevens_A!A370)-1))</f>
        <v/>
      </c>
      <c r="C371">
        <f>C370 &amp; ", " &amp; B370</f>
        <v/>
      </c>
      <c r="D371">
        <f>IF(Klantgegevens_B!F370&lt;&gt;"", Klantgegevens_B!F370, Klantgegevens_A!D370 &amp; " " &amp; Klantgegevens_A!E370 &amp; ", " &amp; Klantgegevens_A!F370)</f>
        <v/>
      </c>
      <c r="E371">
        <f>IF(Klantgegevens_B!G370&lt;&gt;"", Klantgegevens_B!G370, TEXTJOIN(",", TRUE, REPT("Volwassene,", Klantgegevens_A!G370), REPT("Kind,", Klantgegevens_A!H370)))</f>
        <v/>
      </c>
      <c r="F371">
        <f>IF(Klantgegevens_B!G370&lt;&gt;"", LEN(Klantgegevens_B!G370)-LEN(SUBSTITUTE(Klantgegevens_B!G370, ",", ""))+1, Klantgegevens_A!G370)</f>
        <v/>
      </c>
      <c r="G371">
        <f>IF(Klantgegevens_B!G370&lt;&gt;"", 0, Klantgegevens_A!H370)</f>
        <v/>
      </c>
      <c r="H371">
        <f>IF(Klantgegevens_B!H370&lt;&gt;"", Klantgegevens_B!H370, Klantgegevens_A!I370)</f>
        <v/>
      </c>
      <c r="I371">
        <f>IF(Klantgegevens_B!I370&lt;&gt;"", Klantgegevens_B!I370, SWITCH(Klantgegevens_A!J370, "Zelden", 1, "Af en toe", 4, "Regelmatig", 8, "Vaak", 12))</f>
        <v/>
      </c>
      <c r="J371">
        <f>IF(Klantgegevens_B!J370&lt;&gt;"", Klantgegevens_B!J370, Klantgegevens_A!K370)</f>
        <v/>
      </c>
      <c r="K371">
        <f>IF(Klantgegevens_B!K370&lt;&gt;"", AVERAGE(--(Klantgegevens_B!K370="ja"), --(Klantgegevens_B!L370="ja"), --(Klantgegevens_B!M370="ja"), --(Klantgegevens_B!N370="ja"), --(Klantgegevens_B!O370="ja"))*10, Klantgegevens_A!L370)</f>
        <v/>
      </c>
      <c r="L371">
        <f>IF(Klantgegevens_B!K370&lt;&gt;"", Klantgegevens_B!K370, IF(Klantgegevens_A!L370&gt;=7, "ja", "nee"))</f>
        <v/>
      </c>
      <c r="M371">
        <f>IF(Klantgegevens_B!L370&lt;&gt;"", Klantgegevens_B!L370, IF(Klantgegevens_A!L370&gt;=7, "ja", "nee"))</f>
        <v/>
      </c>
      <c r="N371">
        <f>IF(Klantgegevens_B!M370&lt;&gt;"", Klantgegevens_B!M370, IF(Klantgegevens_A!L370&gt;=7, "ja", "nee"))</f>
        <v/>
      </c>
      <c r="O371">
        <f>IF(Klantgegevens_B!N370&lt;&gt;"", Klantgegevens_B!N370, IF(Klantgegevens_A!L370&gt;=7, "ja", "nee"))</f>
        <v/>
      </c>
      <c r="P371">
        <f>IF(Klantgegevens_B!O370&lt;&gt;"", Klantgegevens_B!O370, IF(Klantgegevens_A!L370&gt;=7, "ja", "nee"))</f>
        <v/>
      </c>
      <c r="Q371">
        <f>IF(Klantgegevens_B!P370&lt;&gt;"", Klantgegevens_B!P370, Klantgegevens_A!M370)</f>
        <v/>
      </c>
      <c r="R371">
        <f>IF(Klantgegevens_B!A370&lt;&gt;"", "B", "A")</f>
        <v/>
      </c>
    </row>
    <row r="372">
      <c r="A372">
        <f>IF(Klantgegevens_B!A371&lt;&gt;"", Klantgegevens_B!A371, MID(Klantgegevens_A!A371, FIND(",", Klantgegevens_A!A371)+2, LEN(Klantgegevens_A!A371)))</f>
        <v/>
      </c>
      <c r="B372">
        <f>IF(Klantgegevens_B!B371&lt;&gt;"", Klantgegevens_B!B371, LEFT(Klantgegevens_A!A371, FIND(",", Klantgegevens_A!A371)-1))</f>
        <v/>
      </c>
      <c r="C372">
        <f>C371 &amp; ", " &amp; B371</f>
        <v/>
      </c>
      <c r="D372">
        <f>IF(Klantgegevens_B!F371&lt;&gt;"", Klantgegevens_B!F371, Klantgegevens_A!D371 &amp; " " &amp; Klantgegevens_A!E371 &amp; ", " &amp; Klantgegevens_A!F371)</f>
        <v/>
      </c>
      <c r="E372">
        <f>IF(Klantgegevens_B!G371&lt;&gt;"", Klantgegevens_B!G371, TEXTJOIN(",", TRUE, REPT("Volwassene,", Klantgegevens_A!G371), REPT("Kind,", Klantgegevens_A!H371)))</f>
        <v/>
      </c>
      <c r="F372">
        <f>IF(Klantgegevens_B!G371&lt;&gt;"", LEN(Klantgegevens_B!G371)-LEN(SUBSTITUTE(Klantgegevens_B!G371, ",", ""))+1, Klantgegevens_A!G371)</f>
        <v/>
      </c>
      <c r="G372">
        <f>IF(Klantgegevens_B!G371&lt;&gt;"", 0, Klantgegevens_A!H371)</f>
        <v/>
      </c>
      <c r="H372">
        <f>IF(Klantgegevens_B!H371&lt;&gt;"", Klantgegevens_B!H371, Klantgegevens_A!I371)</f>
        <v/>
      </c>
      <c r="I372">
        <f>IF(Klantgegevens_B!I371&lt;&gt;"", Klantgegevens_B!I371, SWITCH(Klantgegevens_A!J371, "Zelden", 1, "Af en toe", 4, "Regelmatig", 8, "Vaak", 12))</f>
        <v/>
      </c>
      <c r="J372">
        <f>IF(Klantgegevens_B!J371&lt;&gt;"", Klantgegevens_B!J371, Klantgegevens_A!K371)</f>
        <v/>
      </c>
      <c r="K372">
        <f>IF(Klantgegevens_B!K371&lt;&gt;"", AVERAGE(--(Klantgegevens_B!K371="ja"), --(Klantgegevens_B!L371="ja"), --(Klantgegevens_B!M371="ja"), --(Klantgegevens_B!N371="ja"), --(Klantgegevens_B!O371="ja"))*10, Klantgegevens_A!L371)</f>
        <v/>
      </c>
      <c r="L372">
        <f>IF(Klantgegevens_B!K371&lt;&gt;"", Klantgegevens_B!K371, IF(Klantgegevens_A!L371&gt;=7, "ja", "nee"))</f>
        <v/>
      </c>
      <c r="M372">
        <f>IF(Klantgegevens_B!L371&lt;&gt;"", Klantgegevens_B!L371, IF(Klantgegevens_A!L371&gt;=7, "ja", "nee"))</f>
        <v/>
      </c>
      <c r="N372">
        <f>IF(Klantgegevens_B!M371&lt;&gt;"", Klantgegevens_B!M371, IF(Klantgegevens_A!L371&gt;=7, "ja", "nee"))</f>
        <v/>
      </c>
      <c r="O372">
        <f>IF(Klantgegevens_B!N371&lt;&gt;"", Klantgegevens_B!N371, IF(Klantgegevens_A!L371&gt;=7, "ja", "nee"))</f>
        <v/>
      </c>
      <c r="P372">
        <f>IF(Klantgegevens_B!O371&lt;&gt;"", Klantgegevens_B!O371, IF(Klantgegevens_A!L371&gt;=7, "ja", "nee"))</f>
        <v/>
      </c>
      <c r="Q372">
        <f>IF(Klantgegevens_B!P371&lt;&gt;"", Klantgegevens_B!P371, Klantgegevens_A!M371)</f>
        <v/>
      </c>
      <c r="R372">
        <f>IF(Klantgegevens_B!A371&lt;&gt;"", "B", "A")</f>
        <v/>
      </c>
    </row>
    <row r="373">
      <c r="A373">
        <f>IF(Klantgegevens_B!A372&lt;&gt;"", Klantgegevens_B!A372, MID(Klantgegevens_A!A372, FIND(",", Klantgegevens_A!A372)+2, LEN(Klantgegevens_A!A372)))</f>
        <v/>
      </c>
      <c r="B373">
        <f>IF(Klantgegevens_B!B372&lt;&gt;"", Klantgegevens_B!B372, LEFT(Klantgegevens_A!A372, FIND(",", Klantgegevens_A!A372)-1))</f>
        <v/>
      </c>
      <c r="C373">
        <f>C372 &amp; ", " &amp; B372</f>
        <v/>
      </c>
      <c r="D373">
        <f>IF(Klantgegevens_B!F372&lt;&gt;"", Klantgegevens_B!F372, Klantgegevens_A!D372 &amp; " " &amp; Klantgegevens_A!E372 &amp; ", " &amp; Klantgegevens_A!F372)</f>
        <v/>
      </c>
      <c r="E373">
        <f>IF(Klantgegevens_B!G372&lt;&gt;"", Klantgegevens_B!G372, TEXTJOIN(",", TRUE, REPT("Volwassene,", Klantgegevens_A!G372), REPT("Kind,", Klantgegevens_A!H372)))</f>
        <v/>
      </c>
      <c r="F373">
        <f>IF(Klantgegevens_B!G372&lt;&gt;"", LEN(Klantgegevens_B!G372)-LEN(SUBSTITUTE(Klantgegevens_B!G372, ",", ""))+1, Klantgegevens_A!G372)</f>
        <v/>
      </c>
      <c r="G373">
        <f>IF(Klantgegevens_B!G372&lt;&gt;"", 0, Klantgegevens_A!H372)</f>
        <v/>
      </c>
      <c r="H373">
        <f>IF(Klantgegevens_B!H372&lt;&gt;"", Klantgegevens_B!H372, Klantgegevens_A!I372)</f>
        <v/>
      </c>
      <c r="I373">
        <f>IF(Klantgegevens_B!I372&lt;&gt;"", Klantgegevens_B!I372, SWITCH(Klantgegevens_A!J372, "Zelden", 1, "Af en toe", 4, "Regelmatig", 8, "Vaak", 12))</f>
        <v/>
      </c>
      <c r="J373">
        <f>IF(Klantgegevens_B!J372&lt;&gt;"", Klantgegevens_B!J372, Klantgegevens_A!K372)</f>
        <v/>
      </c>
      <c r="K373">
        <f>IF(Klantgegevens_B!K372&lt;&gt;"", AVERAGE(--(Klantgegevens_B!K372="ja"), --(Klantgegevens_B!L372="ja"), --(Klantgegevens_B!M372="ja"), --(Klantgegevens_B!N372="ja"), --(Klantgegevens_B!O372="ja"))*10, Klantgegevens_A!L372)</f>
        <v/>
      </c>
      <c r="L373">
        <f>IF(Klantgegevens_B!K372&lt;&gt;"", Klantgegevens_B!K372, IF(Klantgegevens_A!L372&gt;=7, "ja", "nee"))</f>
        <v/>
      </c>
      <c r="M373">
        <f>IF(Klantgegevens_B!L372&lt;&gt;"", Klantgegevens_B!L372, IF(Klantgegevens_A!L372&gt;=7, "ja", "nee"))</f>
        <v/>
      </c>
      <c r="N373">
        <f>IF(Klantgegevens_B!M372&lt;&gt;"", Klantgegevens_B!M372, IF(Klantgegevens_A!L372&gt;=7, "ja", "nee"))</f>
        <v/>
      </c>
      <c r="O373">
        <f>IF(Klantgegevens_B!N372&lt;&gt;"", Klantgegevens_B!N372, IF(Klantgegevens_A!L372&gt;=7, "ja", "nee"))</f>
        <v/>
      </c>
      <c r="P373">
        <f>IF(Klantgegevens_B!O372&lt;&gt;"", Klantgegevens_B!O372, IF(Klantgegevens_A!L372&gt;=7, "ja", "nee"))</f>
        <v/>
      </c>
      <c r="Q373">
        <f>IF(Klantgegevens_B!P372&lt;&gt;"", Klantgegevens_B!P372, Klantgegevens_A!M372)</f>
        <v/>
      </c>
      <c r="R373">
        <f>IF(Klantgegevens_B!A372&lt;&gt;"", "B", "A")</f>
        <v/>
      </c>
    </row>
    <row r="374">
      <c r="A374">
        <f>IF(Klantgegevens_B!A373&lt;&gt;"", Klantgegevens_B!A373, MID(Klantgegevens_A!A373, FIND(",", Klantgegevens_A!A373)+2, LEN(Klantgegevens_A!A373)))</f>
        <v/>
      </c>
      <c r="B374">
        <f>IF(Klantgegevens_B!B373&lt;&gt;"", Klantgegevens_B!B373, LEFT(Klantgegevens_A!A373, FIND(",", Klantgegevens_A!A373)-1))</f>
        <v/>
      </c>
      <c r="C374">
        <f>C373 &amp; ", " &amp; B373</f>
        <v/>
      </c>
      <c r="D374">
        <f>IF(Klantgegevens_B!F373&lt;&gt;"", Klantgegevens_B!F373, Klantgegevens_A!D373 &amp; " " &amp; Klantgegevens_A!E373 &amp; ", " &amp; Klantgegevens_A!F373)</f>
        <v/>
      </c>
      <c r="E374">
        <f>IF(Klantgegevens_B!G373&lt;&gt;"", Klantgegevens_B!G373, TEXTJOIN(",", TRUE, REPT("Volwassene,", Klantgegevens_A!G373), REPT("Kind,", Klantgegevens_A!H373)))</f>
        <v/>
      </c>
      <c r="F374">
        <f>IF(Klantgegevens_B!G373&lt;&gt;"", LEN(Klantgegevens_B!G373)-LEN(SUBSTITUTE(Klantgegevens_B!G373, ",", ""))+1, Klantgegevens_A!G373)</f>
        <v/>
      </c>
      <c r="G374">
        <f>IF(Klantgegevens_B!G373&lt;&gt;"", 0, Klantgegevens_A!H373)</f>
        <v/>
      </c>
      <c r="H374">
        <f>IF(Klantgegevens_B!H373&lt;&gt;"", Klantgegevens_B!H373, Klantgegevens_A!I373)</f>
        <v/>
      </c>
      <c r="I374">
        <f>IF(Klantgegevens_B!I373&lt;&gt;"", Klantgegevens_B!I373, SWITCH(Klantgegevens_A!J373, "Zelden", 1, "Af en toe", 4, "Regelmatig", 8, "Vaak", 12))</f>
        <v/>
      </c>
      <c r="J374">
        <f>IF(Klantgegevens_B!J373&lt;&gt;"", Klantgegevens_B!J373, Klantgegevens_A!K373)</f>
        <v/>
      </c>
      <c r="K374">
        <f>IF(Klantgegevens_B!K373&lt;&gt;"", AVERAGE(--(Klantgegevens_B!K373="ja"), --(Klantgegevens_B!L373="ja"), --(Klantgegevens_B!M373="ja"), --(Klantgegevens_B!N373="ja"), --(Klantgegevens_B!O373="ja"))*10, Klantgegevens_A!L373)</f>
        <v/>
      </c>
      <c r="L374">
        <f>IF(Klantgegevens_B!K373&lt;&gt;"", Klantgegevens_B!K373, IF(Klantgegevens_A!L373&gt;=7, "ja", "nee"))</f>
        <v/>
      </c>
      <c r="M374">
        <f>IF(Klantgegevens_B!L373&lt;&gt;"", Klantgegevens_B!L373, IF(Klantgegevens_A!L373&gt;=7, "ja", "nee"))</f>
        <v/>
      </c>
      <c r="N374">
        <f>IF(Klantgegevens_B!M373&lt;&gt;"", Klantgegevens_B!M373, IF(Klantgegevens_A!L373&gt;=7, "ja", "nee"))</f>
        <v/>
      </c>
      <c r="O374">
        <f>IF(Klantgegevens_B!N373&lt;&gt;"", Klantgegevens_B!N373, IF(Klantgegevens_A!L373&gt;=7, "ja", "nee"))</f>
        <v/>
      </c>
      <c r="P374">
        <f>IF(Klantgegevens_B!O373&lt;&gt;"", Klantgegevens_B!O373, IF(Klantgegevens_A!L373&gt;=7, "ja", "nee"))</f>
        <v/>
      </c>
      <c r="Q374">
        <f>IF(Klantgegevens_B!P373&lt;&gt;"", Klantgegevens_B!P373, Klantgegevens_A!M373)</f>
        <v/>
      </c>
      <c r="R374">
        <f>IF(Klantgegevens_B!A373&lt;&gt;"", "B", "A")</f>
        <v/>
      </c>
    </row>
    <row r="375">
      <c r="A375">
        <f>IF(Klantgegevens_B!A374&lt;&gt;"", Klantgegevens_B!A374, MID(Klantgegevens_A!A374, FIND(",", Klantgegevens_A!A374)+2, LEN(Klantgegevens_A!A374)))</f>
        <v/>
      </c>
      <c r="B375">
        <f>IF(Klantgegevens_B!B374&lt;&gt;"", Klantgegevens_B!B374, LEFT(Klantgegevens_A!A374, FIND(",", Klantgegevens_A!A374)-1))</f>
        <v/>
      </c>
      <c r="C375">
        <f>C374 &amp; ", " &amp; B374</f>
        <v/>
      </c>
      <c r="D375">
        <f>IF(Klantgegevens_B!F374&lt;&gt;"", Klantgegevens_B!F374, Klantgegevens_A!D374 &amp; " " &amp; Klantgegevens_A!E374 &amp; ", " &amp; Klantgegevens_A!F374)</f>
        <v/>
      </c>
      <c r="E375">
        <f>IF(Klantgegevens_B!G374&lt;&gt;"", Klantgegevens_B!G374, TEXTJOIN(",", TRUE, REPT("Volwassene,", Klantgegevens_A!G374), REPT("Kind,", Klantgegevens_A!H374)))</f>
        <v/>
      </c>
      <c r="F375">
        <f>IF(Klantgegevens_B!G374&lt;&gt;"", LEN(Klantgegevens_B!G374)-LEN(SUBSTITUTE(Klantgegevens_B!G374, ",", ""))+1, Klantgegevens_A!G374)</f>
        <v/>
      </c>
      <c r="G375">
        <f>IF(Klantgegevens_B!G374&lt;&gt;"", 0, Klantgegevens_A!H374)</f>
        <v/>
      </c>
      <c r="H375">
        <f>IF(Klantgegevens_B!H374&lt;&gt;"", Klantgegevens_B!H374, Klantgegevens_A!I374)</f>
        <v/>
      </c>
      <c r="I375">
        <f>IF(Klantgegevens_B!I374&lt;&gt;"", Klantgegevens_B!I374, SWITCH(Klantgegevens_A!J374, "Zelden", 1, "Af en toe", 4, "Regelmatig", 8, "Vaak", 12))</f>
        <v/>
      </c>
      <c r="J375">
        <f>IF(Klantgegevens_B!J374&lt;&gt;"", Klantgegevens_B!J374, Klantgegevens_A!K374)</f>
        <v/>
      </c>
      <c r="K375">
        <f>IF(Klantgegevens_B!K374&lt;&gt;"", AVERAGE(--(Klantgegevens_B!K374="ja"), --(Klantgegevens_B!L374="ja"), --(Klantgegevens_B!M374="ja"), --(Klantgegevens_B!N374="ja"), --(Klantgegevens_B!O374="ja"))*10, Klantgegevens_A!L374)</f>
        <v/>
      </c>
      <c r="L375">
        <f>IF(Klantgegevens_B!K374&lt;&gt;"", Klantgegevens_B!K374, IF(Klantgegevens_A!L374&gt;=7, "ja", "nee"))</f>
        <v/>
      </c>
      <c r="M375">
        <f>IF(Klantgegevens_B!L374&lt;&gt;"", Klantgegevens_B!L374, IF(Klantgegevens_A!L374&gt;=7, "ja", "nee"))</f>
        <v/>
      </c>
      <c r="N375">
        <f>IF(Klantgegevens_B!M374&lt;&gt;"", Klantgegevens_B!M374, IF(Klantgegevens_A!L374&gt;=7, "ja", "nee"))</f>
        <v/>
      </c>
      <c r="O375">
        <f>IF(Klantgegevens_B!N374&lt;&gt;"", Klantgegevens_B!N374, IF(Klantgegevens_A!L374&gt;=7, "ja", "nee"))</f>
        <v/>
      </c>
      <c r="P375">
        <f>IF(Klantgegevens_B!O374&lt;&gt;"", Klantgegevens_B!O374, IF(Klantgegevens_A!L374&gt;=7, "ja", "nee"))</f>
        <v/>
      </c>
      <c r="Q375">
        <f>IF(Klantgegevens_B!P374&lt;&gt;"", Klantgegevens_B!P374, Klantgegevens_A!M374)</f>
        <v/>
      </c>
      <c r="R375">
        <f>IF(Klantgegevens_B!A374&lt;&gt;"", "B", "A")</f>
        <v/>
      </c>
    </row>
    <row r="376">
      <c r="A376">
        <f>IF(Klantgegevens_B!A375&lt;&gt;"", Klantgegevens_B!A375, MID(Klantgegevens_A!A375, FIND(",", Klantgegevens_A!A375)+2, LEN(Klantgegevens_A!A375)))</f>
        <v/>
      </c>
      <c r="B376">
        <f>IF(Klantgegevens_B!B375&lt;&gt;"", Klantgegevens_B!B375, LEFT(Klantgegevens_A!A375, FIND(",", Klantgegevens_A!A375)-1))</f>
        <v/>
      </c>
      <c r="C376">
        <f>C375 &amp; ", " &amp; B375</f>
        <v/>
      </c>
      <c r="D376">
        <f>IF(Klantgegevens_B!F375&lt;&gt;"", Klantgegevens_B!F375, Klantgegevens_A!D375 &amp; " " &amp; Klantgegevens_A!E375 &amp; ", " &amp; Klantgegevens_A!F375)</f>
        <v/>
      </c>
      <c r="E376">
        <f>IF(Klantgegevens_B!G375&lt;&gt;"", Klantgegevens_B!G375, TEXTJOIN(",", TRUE, REPT("Volwassene,", Klantgegevens_A!G375), REPT("Kind,", Klantgegevens_A!H375)))</f>
        <v/>
      </c>
      <c r="F376">
        <f>IF(Klantgegevens_B!G375&lt;&gt;"", LEN(Klantgegevens_B!G375)-LEN(SUBSTITUTE(Klantgegevens_B!G375, ",", ""))+1, Klantgegevens_A!G375)</f>
        <v/>
      </c>
      <c r="G376">
        <f>IF(Klantgegevens_B!G375&lt;&gt;"", 0, Klantgegevens_A!H375)</f>
        <v/>
      </c>
      <c r="H376">
        <f>IF(Klantgegevens_B!H375&lt;&gt;"", Klantgegevens_B!H375, Klantgegevens_A!I375)</f>
        <v/>
      </c>
      <c r="I376">
        <f>IF(Klantgegevens_B!I375&lt;&gt;"", Klantgegevens_B!I375, SWITCH(Klantgegevens_A!J375, "Zelden", 1, "Af en toe", 4, "Regelmatig", 8, "Vaak", 12))</f>
        <v/>
      </c>
      <c r="J376">
        <f>IF(Klantgegevens_B!J375&lt;&gt;"", Klantgegevens_B!J375, Klantgegevens_A!K375)</f>
        <v/>
      </c>
      <c r="K376">
        <f>IF(Klantgegevens_B!K375&lt;&gt;"", AVERAGE(--(Klantgegevens_B!K375="ja"), --(Klantgegevens_B!L375="ja"), --(Klantgegevens_B!M375="ja"), --(Klantgegevens_B!N375="ja"), --(Klantgegevens_B!O375="ja"))*10, Klantgegevens_A!L375)</f>
        <v/>
      </c>
      <c r="L376">
        <f>IF(Klantgegevens_B!K375&lt;&gt;"", Klantgegevens_B!K375, IF(Klantgegevens_A!L375&gt;=7, "ja", "nee"))</f>
        <v/>
      </c>
      <c r="M376">
        <f>IF(Klantgegevens_B!L375&lt;&gt;"", Klantgegevens_B!L375, IF(Klantgegevens_A!L375&gt;=7, "ja", "nee"))</f>
        <v/>
      </c>
      <c r="N376">
        <f>IF(Klantgegevens_B!M375&lt;&gt;"", Klantgegevens_B!M375, IF(Klantgegevens_A!L375&gt;=7, "ja", "nee"))</f>
        <v/>
      </c>
      <c r="O376">
        <f>IF(Klantgegevens_B!N375&lt;&gt;"", Klantgegevens_B!N375, IF(Klantgegevens_A!L375&gt;=7, "ja", "nee"))</f>
        <v/>
      </c>
      <c r="P376">
        <f>IF(Klantgegevens_B!O375&lt;&gt;"", Klantgegevens_B!O375, IF(Klantgegevens_A!L375&gt;=7, "ja", "nee"))</f>
        <v/>
      </c>
      <c r="Q376">
        <f>IF(Klantgegevens_B!P375&lt;&gt;"", Klantgegevens_B!P375, Klantgegevens_A!M375)</f>
        <v/>
      </c>
      <c r="R376">
        <f>IF(Klantgegevens_B!A375&lt;&gt;"", "B", "A")</f>
        <v/>
      </c>
    </row>
    <row r="377">
      <c r="A377">
        <f>IF(Klantgegevens_B!A376&lt;&gt;"", Klantgegevens_B!A376, MID(Klantgegevens_A!A376, FIND(",", Klantgegevens_A!A376)+2, LEN(Klantgegevens_A!A376)))</f>
        <v/>
      </c>
      <c r="B377">
        <f>IF(Klantgegevens_B!B376&lt;&gt;"", Klantgegevens_B!B376, LEFT(Klantgegevens_A!A376, FIND(",", Klantgegevens_A!A376)-1))</f>
        <v/>
      </c>
      <c r="C377">
        <f>C376 &amp; ", " &amp; B376</f>
        <v/>
      </c>
      <c r="D377">
        <f>IF(Klantgegevens_B!F376&lt;&gt;"", Klantgegevens_B!F376, Klantgegevens_A!D376 &amp; " " &amp; Klantgegevens_A!E376 &amp; ", " &amp; Klantgegevens_A!F376)</f>
        <v/>
      </c>
      <c r="E377">
        <f>IF(Klantgegevens_B!G376&lt;&gt;"", Klantgegevens_B!G376, TEXTJOIN(",", TRUE, REPT("Volwassene,", Klantgegevens_A!G376), REPT("Kind,", Klantgegevens_A!H376)))</f>
        <v/>
      </c>
      <c r="F377">
        <f>IF(Klantgegevens_B!G376&lt;&gt;"", LEN(Klantgegevens_B!G376)-LEN(SUBSTITUTE(Klantgegevens_B!G376, ",", ""))+1, Klantgegevens_A!G376)</f>
        <v/>
      </c>
      <c r="G377">
        <f>IF(Klantgegevens_B!G376&lt;&gt;"", 0, Klantgegevens_A!H376)</f>
        <v/>
      </c>
      <c r="H377">
        <f>IF(Klantgegevens_B!H376&lt;&gt;"", Klantgegevens_B!H376, Klantgegevens_A!I376)</f>
        <v/>
      </c>
      <c r="I377">
        <f>IF(Klantgegevens_B!I376&lt;&gt;"", Klantgegevens_B!I376, SWITCH(Klantgegevens_A!J376, "Zelden", 1, "Af en toe", 4, "Regelmatig", 8, "Vaak", 12))</f>
        <v/>
      </c>
      <c r="J377">
        <f>IF(Klantgegevens_B!J376&lt;&gt;"", Klantgegevens_B!J376, Klantgegevens_A!K376)</f>
        <v/>
      </c>
      <c r="K377">
        <f>IF(Klantgegevens_B!K376&lt;&gt;"", AVERAGE(--(Klantgegevens_B!K376="ja"), --(Klantgegevens_B!L376="ja"), --(Klantgegevens_B!M376="ja"), --(Klantgegevens_B!N376="ja"), --(Klantgegevens_B!O376="ja"))*10, Klantgegevens_A!L376)</f>
        <v/>
      </c>
      <c r="L377">
        <f>IF(Klantgegevens_B!K376&lt;&gt;"", Klantgegevens_B!K376, IF(Klantgegevens_A!L376&gt;=7, "ja", "nee"))</f>
        <v/>
      </c>
      <c r="M377">
        <f>IF(Klantgegevens_B!L376&lt;&gt;"", Klantgegevens_B!L376, IF(Klantgegevens_A!L376&gt;=7, "ja", "nee"))</f>
        <v/>
      </c>
      <c r="N377">
        <f>IF(Klantgegevens_B!M376&lt;&gt;"", Klantgegevens_B!M376, IF(Klantgegevens_A!L376&gt;=7, "ja", "nee"))</f>
        <v/>
      </c>
      <c r="O377">
        <f>IF(Klantgegevens_B!N376&lt;&gt;"", Klantgegevens_B!N376, IF(Klantgegevens_A!L376&gt;=7, "ja", "nee"))</f>
        <v/>
      </c>
      <c r="P377">
        <f>IF(Klantgegevens_B!O376&lt;&gt;"", Klantgegevens_B!O376, IF(Klantgegevens_A!L376&gt;=7, "ja", "nee"))</f>
        <v/>
      </c>
      <c r="Q377">
        <f>IF(Klantgegevens_B!P376&lt;&gt;"", Klantgegevens_B!P376, Klantgegevens_A!M376)</f>
        <v/>
      </c>
      <c r="R377">
        <f>IF(Klantgegevens_B!A376&lt;&gt;"", "B", "A")</f>
        <v/>
      </c>
    </row>
    <row r="378">
      <c r="A378">
        <f>IF(Klantgegevens_B!A377&lt;&gt;"", Klantgegevens_B!A377, MID(Klantgegevens_A!A377, FIND(",", Klantgegevens_A!A377)+2, LEN(Klantgegevens_A!A377)))</f>
        <v/>
      </c>
      <c r="B378">
        <f>IF(Klantgegevens_B!B377&lt;&gt;"", Klantgegevens_B!B377, LEFT(Klantgegevens_A!A377, FIND(",", Klantgegevens_A!A377)-1))</f>
        <v/>
      </c>
      <c r="C378">
        <f>C377 &amp; ", " &amp; B377</f>
        <v/>
      </c>
      <c r="D378">
        <f>IF(Klantgegevens_B!F377&lt;&gt;"", Klantgegevens_B!F377, Klantgegevens_A!D377 &amp; " " &amp; Klantgegevens_A!E377 &amp; ", " &amp; Klantgegevens_A!F377)</f>
        <v/>
      </c>
      <c r="E378">
        <f>IF(Klantgegevens_B!G377&lt;&gt;"", Klantgegevens_B!G377, TEXTJOIN(",", TRUE, REPT("Volwassene,", Klantgegevens_A!G377), REPT("Kind,", Klantgegevens_A!H377)))</f>
        <v/>
      </c>
      <c r="F378">
        <f>IF(Klantgegevens_B!G377&lt;&gt;"", LEN(Klantgegevens_B!G377)-LEN(SUBSTITUTE(Klantgegevens_B!G377, ",", ""))+1, Klantgegevens_A!G377)</f>
        <v/>
      </c>
      <c r="G378">
        <f>IF(Klantgegevens_B!G377&lt;&gt;"", 0, Klantgegevens_A!H377)</f>
        <v/>
      </c>
      <c r="H378">
        <f>IF(Klantgegevens_B!H377&lt;&gt;"", Klantgegevens_B!H377, Klantgegevens_A!I377)</f>
        <v/>
      </c>
      <c r="I378">
        <f>IF(Klantgegevens_B!I377&lt;&gt;"", Klantgegevens_B!I377, SWITCH(Klantgegevens_A!J377, "Zelden", 1, "Af en toe", 4, "Regelmatig", 8, "Vaak", 12))</f>
        <v/>
      </c>
      <c r="J378">
        <f>IF(Klantgegevens_B!J377&lt;&gt;"", Klantgegevens_B!J377, Klantgegevens_A!K377)</f>
        <v/>
      </c>
      <c r="K378">
        <f>IF(Klantgegevens_B!K377&lt;&gt;"", AVERAGE(--(Klantgegevens_B!K377="ja"), --(Klantgegevens_B!L377="ja"), --(Klantgegevens_B!M377="ja"), --(Klantgegevens_B!N377="ja"), --(Klantgegevens_B!O377="ja"))*10, Klantgegevens_A!L377)</f>
        <v/>
      </c>
      <c r="L378">
        <f>IF(Klantgegevens_B!K377&lt;&gt;"", Klantgegevens_B!K377, IF(Klantgegevens_A!L377&gt;=7, "ja", "nee"))</f>
        <v/>
      </c>
      <c r="M378">
        <f>IF(Klantgegevens_B!L377&lt;&gt;"", Klantgegevens_B!L377, IF(Klantgegevens_A!L377&gt;=7, "ja", "nee"))</f>
        <v/>
      </c>
      <c r="N378">
        <f>IF(Klantgegevens_B!M377&lt;&gt;"", Klantgegevens_B!M377, IF(Klantgegevens_A!L377&gt;=7, "ja", "nee"))</f>
        <v/>
      </c>
      <c r="O378">
        <f>IF(Klantgegevens_B!N377&lt;&gt;"", Klantgegevens_B!N377, IF(Klantgegevens_A!L377&gt;=7, "ja", "nee"))</f>
        <v/>
      </c>
      <c r="P378">
        <f>IF(Klantgegevens_B!O377&lt;&gt;"", Klantgegevens_B!O377, IF(Klantgegevens_A!L377&gt;=7, "ja", "nee"))</f>
        <v/>
      </c>
      <c r="Q378">
        <f>IF(Klantgegevens_B!P377&lt;&gt;"", Klantgegevens_B!P377, Klantgegevens_A!M377)</f>
        <v/>
      </c>
      <c r="R378">
        <f>IF(Klantgegevens_B!A377&lt;&gt;"", "B", "A")</f>
        <v/>
      </c>
    </row>
    <row r="379">
      <c r="A379">
        <f>IF(Klantgegevens_B!A378&lt;&gt;"", Klantgegevens_B!A378, MID(Klantgegevens_A!A378, FIND(",", Klantgegevens_A!A378)+2, LEN(Klantgegevens_A!A378)))</f>
        <v/>
      </c>
      <c r="B379">
        <f>IF(Klantgegevens_B!B378&lt;&gt;"", Klantgegevens_B!B378, LEFT(Klantgegevens_A!A378, FIND(",", Klantgegevens_A!A378)-1))</f>
        <v/>
      </c>
      <c r="C379">
        <f>C378 &amp; ", " &amp; B378</f>
        <v/>
      </c>
      <c r="D379">
        <f>IF(Klantgegevens_B!F378&lt;&gt;"", Klantgegevens_B!F378, Klantgegevens_A!D378 &amp; " " &amp; Klantgegevens_A!E378 &amp; ", " &amp; Klantgegevens_A!F378)</f>
        <v/>
      </c>
      <c r="E379">
        <f>IF(Klantgegevens_B!G378&lt;&gt;"", Klantgegevens_B!G378, TEXTJOIN(",", TRUE, REPT("Volwassene,", Klantgegevens_A!G378), REPT("Kind,", Klantgegevens_A!H378)))</f>
        <v/>
      </c>
      <c r="F379">
        <f>IF(Klantgegevens_B!G378&lt;&gt;"", LEN(Klantgegevens_B!G378)-LEN(SUBSTITUTE(Klantgegevens_B!G378, ",", ""))+1, Klantgegevens_A!G378)</f>
        <v/>
      </c>
      <c r="G379">
        <f>IF(Klantgegevens_B!G378&lt;&gt;"", 0, Klantgegevens_A!H378)</f>
        <v/>
      </c>
      <c r="H379">
        <f>IF(Klantgegevens_B!H378&lt;&gt;"", Klantgegevens_B!H378, Klantgegevens_A!I378)</f>
        <v/>
      </c>
      <c r="I379">
        <f>IF(Klantgegevens_B!I378&lt;&gt;"", Klantgegevens_B!I378, SWITCH(Klantgegevens_A!J378, "Zelden", 1, "Af en toe", 4, "Regelmatig", 8, "Vaak", 12))</f>
        <v/>
      </c>
      <c r="J379">
        <f>IF(Klantgegevens_B!J378&lt;&gt;"", Klantgegevens_B!J378, Klantgegevens_A!K378)</f>
        <v/>
      </c>
      <c r="K379">
        <f>IF(Klantgegevens_B!K378&lt;&gt;"", AVERAGE(--(Klantgegevens_B!K378="ja"), --(Klantgegevens_B!L378="ja"), --(Klantgegevens_B!M378="ja"), --(Klantgegevens_B!N378="ja"), --(Klantgegevens_B!O378="ja"))*10, Klantgegevens_A!L378)</f>
        <v/>
      </c>
      <c r="L379">
        <f>IF(Klantgegevens_B!K378&lt;&gt;"", Klantgegevens_B!K378, IF(Klantgegevens_A!L378&gt;=7, "ja", "nee"))</f>
        <v/>
      </c>
      <c r="M379">
        <f>IF(Klantgegevens_B!L378&lt;&gt;"", Klantgegevens_B!L378, IF(Klantgegevens_A!L378&gt;=7, "ja", "nee"))</f>
        <v/>
      </c>
      <c r="N379">
        <f>IF(Klantgegevens_B!M378&lt;&gt;"", Klantgegevens_B!M378, IF(Klantgegevens_A!L378&gt;=7, "ja", "nee"))</f>
        <v/>
      </c>
      <c r="O379">
        <f>IF(Klantgegevens_B!N378&lt;&gt;"", Klantgegevens_B!N378, IF(Klantgegevens_A!L378&gt;=7, "ja", "nee"))</f>
        <v/>
      </c>
      <c r="P379">
        <f>IF(Klantgegevens_B!O378&lt;&gt;"", Klantgegevens_B!O378, IF(Klantgegevens_A!L378&gt;=7, "ja", "nee"))</f>
        <v/>
      </c>
      <c r="Q379">
        <f>IF(Klantgegevens_B!P378&lt;&gt;"", Klantgegevens_B!P378, Klantgegevens_A!M378)</f>
        <v/>
      </c>
      <c r="R379">
        <f>IF(Klantgegevens_B!A378&lt;&gt;"", "B", "A")</f>
        <v/>
      </c>
    </row>
    <row r="380">
      <c r="A380">
        <f>IF(Klantgegevens_B!A379&lt;&gt;"", Klantgegevens_B!A379, MID(Klantgegevens_A!A379, FIND(",", Klantgegevens_A!A379)+2, LEN(Klantgegevens_A!A379)))</f>
        <v/>
      </c>
      <c r="B380">
        <f>IF(Klantgegevens_B!B379&lt;&gt;"", Klantgegevens_B!B379, LEFT(Klantgegevens_A!A379, FIND(",", Klantgegevens_A!A379)-1))</f>
        <v/>
      </c>
      <c r="C380">
        <f>C379 &amp; ", " &amp; B379</f>
        <v/>
      </c>
      <c r="D380">
        <f>IF(Klantgegevens_B!F379&lt;&gt;"", Klantgegevens_B!F379, Klantgegevens_A!D379 &amp; " " &amp; Klantgegevens_A!E379 &amp; ", " &amp; Klantgegevens_A!F379)</f>
        <v/>
      </c>
      <c r="E380">
        <f>IF(Klantgegevens_B!G379&lt;&gt;"", Klantgegevens_B!G379, TEXTJOIN(",", TRUE, REPT("Volwassene,", Klantgegevens_A!G379), REPT("Kind,", Klantgegevens_A!H379)))</f>
        <v/>
      </c>
      <c r="F380">
        <f>IF(Klantgegevens_B!G379&lt;&gt;"", LEN(Klantgegevens_B!G379)-LEN(SUBSTITUTE(Klantgegevens_B!G379, ",", ""))+1, Klantgegevens_A!G379)</f>
        <v/>
      </c>
      <c r="G380">
        <f>IF(Klantgegevens_B!G379&lt;&gt;"", 0, Klantgegevens_A!H379)</f>
        <v/>
      </c>
      <c r="H380">
        <f>IF(Klantgegevens_B!H379&lt;&gt;"", Klantgegevens_B!H379, Klantgegevens_A!I379)</f>
        <v/>
      </c>
      <c r="I380">
        <f>IF(Klantgegevens_B!I379&lt;&gt;"", Klantgegevens_B!I379, SWITCH(Klantgegevens_A!J379, "Zelden", 1, "Af en toe", 4, "Regelmatig", 8, "Vaak", 12))</f>
        <v/>
      </c>
      <c r="J380">
        <f>IF(Klantgegevens_B!J379&lt;&gt;"", Klantgegevens_B!J379, Klantgegevens_A!K379)</f>
        <v/>
      </c>
      <c r="K380">
        <f>IF(Klantgegevens_B!K379&lt;&gt;"", AVERAGE(--(Klantgegevens_B!K379="ja"), --(Klantgegevens_B!L379="ja"), --(Klantgegevens_B!M379="ja"), --(Klantgegevens_B!N379="ja"), --(Klantgegevens_B!O379="ja"))*10, Klantgegevens_A!L379)</f>
        <v/>
      </c>
      <c r="L380">
        <f>IF(Klantgegevens_B!K379&lt;&gt;"", Klantgegevens_B!K379, IF(Klantgegevens_A!L379&gt;=7, "ja", "nee"))</f>
        <v/>
      </c>
      <c r="M380">
        <f>IF(Klantgegevens_B!L379&lt;&gt;"", Klantgegevens_B!L379, IF(Klantgegevens_A!L379&gt;=7, "ja", "nee"))</f>
        <v/>
      </c>
      <c r="N380">
        <f>IF(Klantgegevens_B!M379&lt;&gt;"", Klantgegevens_B!M379, IF(Klantgegevens_A!L379&gt;=7, "ja", "nee"))</f>
        <v/>
      </c>
      <c r="O380">
        <f>IF(Klantgegevens_B!N379&lt;&gt;"", Klantgegevens_B!N379, IF(Klantgegevens_A!L379&gt;=7, "ja", "nee"))</f>
        <v/>
      </c>
      <c r="P380">
        <f>IF(Klantgegevens_B!O379&lt;&gt;"", Klantgegevens_B!O379, IF(Klantgegevens_A!L379&gt;=7, "ja", "nee"))</f>
        <v/>
      </c>
      <c r="Q380">
        <f>IF(Klantgegevens_B!P379&lt;&gt;"", Klantgegevens_B!P379, Klantgegevens_A!M379)</f>
        <v/>
      </c>
      <c r="R380">
        <f>IF(Klantgegevens_B!A379&lt;&gt;"", "B", "A")</f>
        <v/>
      </c>
    </row>
    <row r="381">
      <c r="A381">
        <f>IF(Klantgegevens_B!A380&lt;&gt;"", Klantgegevens_B!A380, MID(Klantgegevens_A!A380, FIND(",", Klantgegevens_A!A380)+2, LEN(Klantgegevens_A!A380)))</f>
        <v/>
      </c>
      <c r="B381">
        <f>IF(Klantgegevens_B!B380&lt;&gt;"", Klantgegevens_B!B380, LEFT(Klantgegevens_A!A380, FIND(",", Klantgegevens_A!A380)-1))</f>
        <v/>
      </c>
      <c r="C381">
        <f>C380 &amp; ", " &amp; B380</f>
        <v/>
      </c>
      <c r="D381">
        <f>IF(Klantgegevens_B!F380&lt;&gt;"", Klantgegevens_B!F380, Klantgegevens_A!D380 &amp; " " &amp; Klantgegevens_A!E380 &amp; ", " &amp; Klantgegevens_A!F380)</f>
        <v/>
      </c>
      <c r="E381">
        <f>IF(Klantgegevens_B!G380&lt;&gt;"", Klantgegevens_B!G380, TEXTJOIN(",", TRUE, REPT("Volwassene,", Klantgegevens_A!G380), REPT("Kind,", Klantgegevens_A!H380)))</f>
        <v/>
      </c>
      <c r="F381">
        <f>IF(Klantgegevens_B!G380&lt;&gt;"", LEN(Klantgegevens_B!G380)-LEN(SUBSTITUTE(Klantgegevens_B!G380, ",", ""))+1, Klantgegevens_A!G380)</f>
        <v/>
      </c>
      <c r="G381">
        <f>IF(Klantgegevens_B!G380&lt;&gt;"", 0, Klantgegevens_A!H380)</f>
        <v/>
      </c>
      <c r="H381">
        <f>IF(Klantgegevens_B!H380&lt;&gt;"", Klantgegevens_B!H380, Klantgegevens_A!I380)</f>
        <v/>
      </c>
      <c r="I381">
        <f>IF(Klantgegevens_B!I380&lt;&gt;"", Klantgegevens_B!I380, SWITCH(Klantgegevens_A!J380, "Zelden", 1, "Af en toe", 4, "Regelmatig", 8, "Vaak", 12))</f>
        <v/>
      </c>
      <c r="J381">
        <f>IF(Klantgegevens_B!J380&lt;&gt;"", Klantgegevens_B!J380, Klantgegevens_A!K380)</f>
        <v/>
      </c>
      <c r="K381">
        <f>IF(Klantgegevens_B!K380&lt;&gt;"", AVERAGE(--(Klantgegevens_B!K380="ja"), --(Klantgegevens_B!L380="ja"), --(Klantgegevens_B!M380="ja"), --(Klantgegevens_B!N380="ja"), --(Klantgegevens_B!O380="ja"))*10, Klantgegevens_A!L380)</f>
        <v/>
      </c>
      <c r="L381">
        <f>IF(Klantgegevens_B!K380&lt;&gt;"", Klantgegevens_B!K380, IF(Klantgegevens_A!L380&gt;=7, "ja", "nee"))</f>
        <v/>
      </c>
      <c r="M381">
        <f>IF(Klantgegevens_B!L380&lt;&gt;"", Klantgegevens_B!L380, IF(Klantgegevens_A!L380&gt;=7, "ja", "nee"))</f>
        <v/>
      </c>
      <c r="N381">
        <f>IF(Klantgegevens_B!M380&lt;&gt;"", Klantgegevens_B!M380, IF(Klantgegevens_A!L380&gt;=7, "ja", "nee"))</f>
        <v/>
      </c>
      <c r="O381">
        <f>IF(Klantgegevens_B!N380&lt;&gt;"", Klantgegevens_B!N380, IF(Klantgegevens_A!L380&gt;=7, "ja", "nee"))</f>
        <v/>
      </c>
      <c r="P381">
        <f>IF(Klantgegevens_B!O380&lt;&gt;"", Klantgegevens_B!O380, IF(Klantgegevens_A!L380&gt;=7, "ja", "nee"))</f>
        <v/>
      </c>
      <c r="Q381">
        <f>IF(Klantgegevens_B!P380&lt;&gt;"", Klantgegevens_B!P380, Klantgegevens_A!M380)</f>
        <v/>
      </c>
      <c r="R381">
        <f>IF(Klantgegevens_B!A380&lt;&gt;"", "B", "A")</f>
        <v/>
      </c>
    </row>
    <row r="382">
      <c r="A382">
        <f>IF(Klantgegevens_B!A381&lt;&gt;"", Klantgegevens_B!A381, MID(Klantgegevens_A!A381, FIND(",", Klantgegevens_A!A381)+2, LEN(Klantgegevens_A!A381)))</f>
        <v/>
      </c>
      <c r="B382">
        <f>IF(Klantgegevens_B!B381&lt;&gt;"", Klantgegevens_B!B381, LEFT(Klantgegevens_A!A381, FIND(",", Klantgegevens_A!A381)-1))</f>
        <v/>
      </c>
      <c r="C382">
        <f>C381 &amp; ", " &amp; B381</f>
        <v/>
      </c>
      <c r="D382">
        <f>IF(Klantgegevens_B!F381&lt;&gt;"", Klantgegevens_B!F381, Klantgegevens_A!D381 &amp; " " &amp; Klantgegevens_A!E381 &amp; ", " &amp; Klantgegevens_A!F381)</f>
        <v/>
      </c>
      <c r="E382">
        <f>IF(Klantgegevens_B!G381&lt;&gt;"", Klantgegevens_B!G381, TEXTJOIN(",", TRUE, REPT("Volwassene,", Klantgegevens_A!G381), REPT("Kind,", Klantgegevens_A!H381)))</f>
        <v/>
      </c>
      <c r="F382">
        <f>IF(Klantgegevens_B!G381&lt;&gt;"", LEN(Klantgegevens_B!G381)-LEN(SUBSTITUTE(Klantgegevens_B!G381, ",", ""))+1, Klantgegevens_A!G381)</f>
        <v/>
      </c>
      <c r="G382">
        <f>IF(Klantgegevens_B!G381&lt;&gt;"", 0, Klantgegevens_A!H381)</f>
        <v/>
      </c>
      <c r="H382">
        <f>IF(Klantgegevens_B!H381&lt;&gt;"", Klantgegevens_B!H381, Klantgegevens_A!I381)</f>
        <v/>
      </c>
      <c r="I382">
        <f>IF(Klantgegevens_B!I381&lt;&gt;"", Klantgegevens_B!I381, SWITCH(Klantgegevens_A!J381, "Zelden", 1, "Af en toe", 4, "Regelmatig", 8, "Vaak", 12))</f>
        <v/>
      </c>
      <c r="J382">
        <f>IF(Klantgegevens_B!J381&lt;&gt;"", Klantgegevens_B!J381, Klantgegevens_A!K381)</f>
        <v/>
      </c>
      <c r="K382">
        <f>IF(Klantgegevens_B!K381&lt;&gt;"", AVERAGE(--(Klantgegevens_B!K381="ja"), --(Klantgegevens_B!L381="ja"), --(Klantgegevens_B!M381="ja"), --(Klantgegevens_B!N381="ja"), --(Klantgegevens_B!O381="ja"))*10, Klantgegevens_A!L381)</f>
        <v/>
      </c>
      <c r="L382">
        <f>IF(Klantgegevens_B!K381&lt;&gt;"", Klantgegevens_B!K381, IF(Klantgegevens_A!L381&gt;=7, "ja", "nee"))</f>
        <v/>
      </c>
      <c r="M382">
        <f>IF(Klantgegevens_B!L381&lt;&gt;"", Klantgegevens_B!L381, IF(Klantgegevens_A!L381&gt;=7, "ja", "nee"))</f>
        <v/>
      </c>
      <c r="N382">
        <f>IF(Klantgegevens_B!M381&lt;&gt;"", Klantgegevens_B!M381, IF(Klantgegevens_A!L381&gt;=7, "ja", "nee"))</f>
        <v/>
      </c>
      <c r="O382">
        <f>IF(Klantgegevens_B!N381&lt;&gt;"", Klantgegevens_B!N381, IF(Klantgegevens_A!L381&gt;=7, "ja", "nee"))</f>
        <v/>
      </c>
      <c r="P382">
        <f>IF(Klantgegevens_B!O381&lt;&gt;"", Klantgegevens_B!O381, IF(Klantgegevens_A!L381&gt;=7, "ja", "nee"))</f>
        <v/>
      </c>
      <c r="Q382">
        <f>IF(Klantgegevens_B!P381&lt;&gt;"", Klantgegevens_B!P381, Klantgegevens_A!M381)</f>
        <v/>
      </c>
      <c r="R382">
        <f>IF(Klantgegevens_B!A381&lt;&gt;"", "B", "A")</f>
        <v/>
      </c>
    </row>
    <row r="383">
      <c r="A383">
        <f>IF(Klantgegevens_B!A382&lt;&gt;"", Klantgegevens_B!A382, MID(Klantgegevens_A!A382, FIND(",", Klantgegevens_A!A382)+2, LEN(Klantgegevens_A!A382)))</f>
        <v/>
      </c>
      <c r="B383">
        <f>IF(Klantgegevens_B!B382&lt;&gt;"", Klantgegevens_B!B382, LEFT(Klantgegevens_A!A382, FIND(",", Klantgegevens_A!A382)-1))</f>
        <v/>
      </c>
      <c r="C383">
        <f>C382 &amp; ", " &amp; B382</f>
        <v/>
      </c>
      <c r="D383">
        <f>IF(Klantgegevens_B!F382&lt;&gt;"", Klantgegevens_B!F382, Klantgegevens_A!D382 &amp; " " &amp; Klantgegevens_A!E382 &amp; ", " &amp; Klantgegevens_A!F382)</f>
        <v/>
      </c>
      <c r="E383">
        <f>IF(Klantgegevens_B!G382&lt;&gt;"", Klantgegevens_B!G382, TEXTJOIN(",", TRUE, REPT("Volwassene,", Klantgegevens_A!G382), REPT("Kind,", Klantgegevens_A!H382)))</f>
        <v/>
      </c>
      <c r="F383">
        <f>IF(Klantgegevens_B!G382&lt;&gt;"", LEN(Klantgegevens_B!G382)-LEN(SUBSTITUTE(Klantgegevens_B!G382, ",", ""))+1, Klantgegevens_A!G382)</f>
        <v/>
      </c>
      <c r="G383">
        <f>IF(Klantgegevens_B!G382&lt;&gt;"", 0, Klantgegevens_A!H382)</f>
        <v/>
      </c>
      <c r="H383">
        <f>IF(Klantgegevens_B!H382&lt;&gt;"", Klantgegevens_B!H382, Klantgegevens_A!I382)</f>
        <v/>
      </c>
      <c r="I383">
        <f>IF(Klantgegevens_B!I382&lt;&gt;"", Klantgegevens_B!I382, SWITCH(Klantgegevens_A!J382, "Zelden", 1, "Af en toe", 4, "Regelmatig", 8, "Vaak", 12))</f>
        <v/>
      </c>
      <c r="J383">
        <f>IF(Klantgegevens_B!J382&lt;&gt;"", Klantgegevens_B!J382, Klantgegevens_A!K382)</f>
        <v/>
      </c>
      <c r="K383">
        <f>IF(Klantgegevens_B!K382&lt;&gt;"", AVERAGE(--(Klantgegevens_B!K382="ja"), --(Klantgegevens_B!L382="ja"), --(Klantgegevens_B!M382="ja"), --(Klantgegevens_B!N382="ja"), --(Klantgegevens_B!O382="ja"))*10, Klantgegevens_A!L382)</f>
        <v/>
      </c>
      <c r="L383">
        <f>IF(Klantgegevens_B!K382&lt;&gt;"", Klantgegevens_B!K382, IF(Klantgegevens_A!L382&gt;=7, "ja", "nee"))</f>
        <v/>
      </c>
      <c r="M383">
        <f>IF(Klantgegevens_B!L382&lt;&gt;"", Klantgegevens_B!L382, IF(Klantgegevens_A!L382&gt;=7, "ja", "nee"))</f>
        <v/>
      </c>
      <c r="N383">
        <f>IF(Klantgegevens_B!M382&lt;&gt;"", Klantgegevens_B!M382, IF(Klantgegevens_A!L382&gt;=7, "ja", "nee"))</f>
        <v/>
      </c>
      <c r="O383">
        <f>IF(Klantgegevens_B!N382&lt;&gt;"", Klantgegevens_B!N382, IF(Klantgegevens_A!L382&gt;=7, "ja", "nee"))</f>
        <v/>
      </c>
      <c r="P383">
        <f>IF(Klantgegevens_B!O382&lt;&gt;"", Klantgegevens_B!O382, IF(Klantgegevens_A!L382&gt;=7, "ja", "nee"))</f>
        <v/>
      </c>
      <c r="Q383">
        <f>IF(Klantgegevens_B!P382&lt;&gt;"", Klantgegevens_B!P382, Klantgegevens_A!M382)</f>
        <v/>
      </c>
      <c r="R383">
        <f>IF(Klantgegevens_B!A382&lt;&gt;"", "B", "A")</f>
        <v/>
      </c>
    </row>
    <row r="384">
      <c r="A384">
        <f>IF(Klantgegevens_B!A383&lt;&gt;"", Klantgegevens_B!A383, MID(Klantgegevens_A!A383, FIND(",", Klantgegevens_A!A383)+2, LEN(Klantgegevens_A!A383)))</f>
        <v/>
      </c>
      <c r="B384">
        <f>IF(Klantgegevens_B!B383&lt;&gt;"", Klantgegevens_B!B383, LEFT(Klantgegevens_A!A383, FIND(",", Klantgegevens_A!A383)-1))</f>
        <v/>
      </c>
      <c r="C384">
        <f>C383 &amp; ", " &amp; B383</f>
        <v/>
      </c>
      <c r="D384">
        <f>IF(Klantgegevens_B!F383&lt;&gt;"", Klantgegevens_B!F383, Klantgegevens_A!D383 &amp; " " &amp; Klantgegevens_A!E383 &amp; ", " &amp; Klantgegevens_A!F383)</f>
        <v/>
      </c>
      <c r="E384">
        <f>IF(Klantgegevens_B!G383&lt;&gt;"", Klantgegevens_B!G383, TEXTJOIN(",", TRUE, REPT("Volwassene,", Klantgegevens_A!G383), REPT("Kind,", Klantgegevens_A!H383)))</f>
        <v/>
      </c>
      <c r="F384">
        <f>IF(Klantgegevens_B!G383&lt;&gt;"", LEN(Klantgegevens_B!G383)-LEN(SUBSTITUTE(Klantgegevens_B!G383, ",", ""))+1, Klantgegevens_A!G383)</f>
        <v/>
      </c>
      <c r="G384">
        <f>IF(Klantgegevens_B!G383&lt;&gt;"", 0, Klantgegevens_A!H383)</f>
        <v/>
      </c>
      <c r="H384">
        <f>IF(Klantgegevens_B!H383&lt;&gt;"", Klantgegevens_B!H383, Klantgegevens_A!I383)</f>
        <v/>
      </c>
      <c r="I384">
        <f>IF(Klantgegevens_B!I383&lt;&gt;"", Klantgegevens_B!I383, SWITCH(Klantgegevens_A!J383, "Zelden", 1, "Af en toe", 4, "Regelmatig", 8, "Vaak", 12))</f>
        <v/>
      </c>
      <c r="J384">
        <f>IF(Klantgegevens_B!J383&lt;&gt;"", Klantgegevens_B!J383, Klantgegevens_A!K383)</f>
        <v/>
      </c>
      <c r="K384">
        <f>IF(Klantgegevens_B!K383&lt;&gt;"", AVERAGE(--(Klantgegevens_B!K383="ja"), --(Klantgegevens_B!L383="ja"), --(Klantgegevens_B!M383="ja"), --(Klantgegevens_B!N383="ja"), --(Klantgegevens_B!O383="ja"))*10, Klantgegevens_A!L383)</f>
        <v/>
      </c>
      <c r="L384">
        <f>IF(Klantgegevens_B!K383&lt;&gt;"", Klantgegevens_B!K383, IF(Klantgegevens_A!L383&gt;=7, "ja", "nee"))</f>
        <v/>
      </c>
      <c r="M384">
        <f>IF(Klantgegevens_B!L383&lt;&gt;"", Klantgegevens_B!L383, IF(Klantgegevens_A!L383&gt;=7, "ja", "nee"))</f>
        <v/>
      </c>
      <c r="N384">
        <f>IF(Klantgegevens_B!M383&lt;&gt;"", Klantgegevens_B!M383, IF(Klantgegevens_A!L383&gt;=7, "ja", "nee"))</f>
        <v/>
      </c>
      <c r="O384">
        <f>IF(Klantgegevens_B!N383&lt;&gt;"", Klantgegevens_B!N383, IF(Klantgegevens_A!L383&gt;=7, "ja", "nee"))</f>
        <v/>
      </c>
      <c r="P384">
        <f>IF(Klantgegevens_B!O383&lt;&gt;"", Klantgegevens_B!O383, IF(Klantgegevens_A!L383&gt;=7, "ja", "nee"))</f>
        <v/>
      </c>
      <c r="Q384">
        <f>IF(Klantgegevens_B!P383&lt;&gt;"", Klantgegevens_B!P383, Klantgegevens_A!M383)</f>
        <v/>
      </c>
      <c r="R384">
        <f>IF(Klantgegevens_B!A383&lt;&gt;"", "B", "A")</f>
        <v/>
      </c>
    </row>
    <row r="385">
      <c r="A385">
        <f>IF(Klantgegevens_B!A384&lt;&gt;"", Klantgegevens_B!A384, MID(Klantgegevens_A!A384, FIND(",", Klantgegevens_A!A384)+2, LEN(Klantgegevens_A!A384)))</f>
        <v/>
      </c>
      <c r="B385">
        <f>IF(Klantgegevens_B!B384&lt;&gt;"", Klantgegevens_B!B384, LEFT(Klantgegevens_A!A384, FIND(",", Klantgegevens_A!A384)-1))</f>
        <v/>
      </c>
      <c r="C385">
        <f>C384 &amp; ", " &amp; B384</f>
        <v/>
      </c>
      <c r="D385">
        <f>IF(Klantgegevens_B!F384&lt;&gt;"", Klantgegevens_B!F384, Klantgegevens_A!D384 &amp; " " &amp; Klantgegevens_A!E384 &amp; ", " &amp; Klantgegevens_A!F384)</f>
        <v/>
      </c>
      <c r="E385">
        <f>IF(Klantgegevens_B!G384&lt;&gt;"", Klantgegevens_B!G384, TEXTJOIN(",", TRUE, REPT("Volwassene,", Klantgegevens_A!G384), REPT("Kind,", Klantgegevens_A!H384)))</f>
        <v/>
      </c>
      <c r="F385">
        <f>IF(Klantgegevens_B!G384&lt;&gt;"", LEN(Klantgegevens_B!G384)-LEN(SUBSTITUTE(Klantgegevens_B!G384, ",", ""))+1, Klantgegevens_A!G384)</f>
        <v/>
      </c>
      <c r="G385">
        <f>IF(Klantgegevens_B!G384&lt;&gt;"", 0, Klantgegevens_A!H384)</f>
        <v/>
      </c>
      <c r="H385">
        <f>IF(Klantgegevens_B!H384&lt;&gt;"", Klantgegevens_B!H384, Klantgegevens_A!I384)</f>
        <v/>
      </c>
      <c r="I385">
        <f>IF(Klantgegevens_B!I384&lt;&gt;"", Klantgegevens_B!I384, SWITCH(Klantgegevens_A!J384, "Zelden", 1, "Af en toe", 4, "Regelmatig", 8, "Vaak", 12))</f>
        <v/>
      </c>
      <c r="J385">
        <f>IF(Klantgegevens_B!J384&lt;&gt;"", Klantgegevens_B!J384, Klantgegevens_A!K384)</f>
        <v/>
      </c>
      <c r="K385">
        <f>IF(Klantgegevens_B!K384&lt;&gt;"", AVERAGE(--(Klantgegevens_B!K384="ja"), --(Klantgegevens_B!L384="ja"), --(Klantgegevens_B!M384="ja"), --(Klantgegevens_B!N384="ja"), --(Klantgegevens_B!O384="ja"))*10, Klantgegevens_A!L384)</f>
        <v/>
      </c>
      <c r="L385">
        <f>IF(Klantgegevens_B!K384&lt;&gt;"", Klantgegevens_B!K384, IF(Klantgegevens_A!L384&gt;=7, "ja", "nee"))</f>
        <v/>
      </c>
      <c r="M385">
        <f>IF(Klantgegevens_B!L384&lt;&gt;"", Klantgegevens_B!L384, IF(Klantgegevens_A!L384&gt;=7, "ja", "nee"))</f>
        <v/>
      </c>
      <c r="N385">
        <f>IF(Klantgegevens_B!M384&lt;&gt;"", Klantgegevens_B!M384, IF(Klantgegevens_A!L384&gt;=7, "ja", "nee"))</f>
        <v/>
      </c>
      <c r="O385">
        <f>IF(Klantgegevens_B!N384&lt;&gt;"", Klantgegevens_B!N384, IF(Klantgegevens_A!L384&gt;=7, "ja", "nee"))</f>
        <v/>
      </c>
      <c r="P385">
        <f>IF(Klantgegevens_B!O384&lt;&gt;"", Klantgegevens_B!O384, IF(Klantgegevens_A!L384&gt;=7, "ja", "nee"))</f>
        <v/>
      </c>
      <c r="Q385">
        <f>IF(Klantgegevens_B!P384&lt;&gt;"", Klantgegevens_B!P384, Klantgegevens_A!M384)</f>
        <v/>
      </c>
      <c r="R385">
        <f>IF(Klantgegevens_B!A384&lt;&gt;"", "B", "A")</f>
        <v/>
      </c>
    </row>
    <row r="386">
      <c r="A386">
        <f>IF(Klantgegevens_B!A385&lt;&gt;"", Klantgegevens_B!A385, MID(Klantgegevens_A!A385, FIND(",", Klantgegevens_A!A385)+2, LEN(Klantgegevens_A!A385)))</f>
        <v/>
      </c>
      <c r="B386">
        <f>IF(Klantgegevens_B!B385&lt;&gt;"", Klantgegevens_B!B385, LEFT(Klantgegevens_A!A385, FIND(",", Klantgegevens_A!A385)-1))</f>
        <v/>
      </c>
      <c r="C386">
        <f>C385 &amp; ", " &amp; B385</f>
        <v/>
      </c>
      <c r="D386">
        <f>IF(Klantgegevens_B!F385&lt;&gt;"", Klantgegevens_B!F385, Klantgegevens_A!D385 &amp; " " &amp; Klantgegevens_A!E385 &amp; ", " &amp; Klantgegevens_A!F385)</f>
        <v/>
      </c>
      <c r="E386">
        <f>IF(Klantgegevens_B!G385&lt;&gt;"", Klantgegevens_B!G385, TEXTJOIN(",", TRUE, REPT("Volwassene,", Klantgegevens_A!G385), REPT("Kind,", Klantgegevens_A!H385)))</f>
        <v/>
      </c>
      <c r="F386">
        <f>IF(Klantgegevens_B!G385&lt;&gt;"", LEN(Klantgegevens_B!G385)-LEN(SUBSTITUTE(Klantgegevens_B!G385, ",", ""))+1, Klantgegevens_A!G385)</f>
        <v/>
      </c>
      <c r="G386">
        <f>IF(Klantgegevens_B!G385&lt;&gt;"", 0, Klantgegevens_A!H385)</f>
        <v/>
      </c>
      <c r="H386">
        <f>IF(Klantgegevens_B!H385&lt;&gt;"", Klantgegevens_B!H385, Klantgegevens_A!I385)</f>
        <v/>
      </c>
      <c r="I386">
        <f>IF(Klantgegevens_B!I385&lt;&gt;"", Klantgegevens_B!I385, SWITCH(Klantgegevens_A!J385, "Zelden", 1, "Af en toe", 4, "Regelmatig", 8, "Vaak", 12))</f>
        <v/>
      </c>
      <c r="J386">
        <f>IF(Klantgegevens_B!J385&lt;&gt;"", Klantgegevens_B!J385, Klantgegevens_A!K385)</f>
        <v/>
      </c>
      <c r="K386">
        <f>IF(Klantgegevens_B!K385&lt;&gt;"", AVERAGE(--(Klantgegevens_B!K385="ja"), --(Klantgegevens_B!L385="ja"), --(Klantgegevens_B!M385="ja"), --(Klantgegevens_B!N385="ja"), --(Klantgegevens_B!O385="ja"))*10, Klantgegevens_A!L385)</f>
        <v/>
      </c>
      <c r="L386">
        <f>IF(Klantgegevens_B!K385&lt;&gt;"", Klantgegevens_B!K385, IF(Klantgegevens_A!L385&gt;=7, "ja", "nee"))</f>
        <v/>
      </c>
      <c r="M386">
        <f>IF(Klantgegevens_B!L385&lt;&gt;"", Klantgegevens_B!L385, IF(Klantgegevens_A!L385&gt;=7, "ja", "nee"))</f>
        <v/>
      </c>
      <c r="N386">
        <f>IF(Klantgegevens_B!M385&lt;&gt;"", Klantgegevens_B!M385, IF(Klantgegevens_A!L385&gt;=7, "ja", "nee"))</f>
        <v/>
      </c>
      <c r="O386">
        <f>IF(Klantgegevens_B!N385&lt;&gt;"", Klantgegevens_B!N385, IF(Klantgegevens_A!L385&gt;=7, "ja", "nee"))</f>
        <v/>
      </c>
      <c r="P386">
        <f>IF(Klantgegevens_B!O385&lt;&gt;"", Klantgegevens_B!O385, IF(Klantgegevens_A!L385&gt;=7, "ja", "nee"))</f>
        <v/>
      </c>
      <c r="Q386">
        <f>IF(Klantgegevens_B!P385&lt;&gt;"", Klantgegevens_B!P385, Klantgegevens_A!M385)</f>
        <v/>
      </c>
      <c r="R386">
        <f>IF(Klantgegevens_B!A385&lt;&gt;"", "B", "A")</f>
        <v/>
      </c>
    </row>
    <row r="387">
      <c r="A387">
        <f>IF(Klantgegevens_B!A386&lt;&gt;"", Klantgegevens_B!A386, MID(Klantgegevens_A!A386, FIND(",", Klantgegevens_A!A386)+2, LEN(Klantgegevens_A!A386)))</f>
        <v/>
      </c>
      <c r="B387">
        <f>IF(Klantgegevens_B!B386&lt;&gt;"", Klantgegevens_B!B386, LEFT(Klantgegevens_A!A386, FIND(",", Klantgegevens_A!A386)-1))</f>
        <v/>
      </c>
      <c r="C387">
        <f>C386 &amp; ", " &amp; B386</f>
        <v/>
      </c>
      <c r="D387">
        <f>IF(Klantgegevens_B!F386&lt;&gt;"", Klantgegevens_B!F386, Klantgegevens_A!D386 &amp; " " &amp; Klantgegevens_A!E386 &amp; ", " &amp; Klantgegevens_A!F386)</f>
        <v/>
      </c>
      <c r="E387">
        <f>IF(Klantgegevens_B!G386&lt;&gt;"", Klantgegevens_B!G386, TEXTJOIN(",", TRUE, REPT("Volwassene,", Klantgegevens_A!G386), REPT("Kind,", Klantgegevens_A!H386)))</f>
        <v/>
      </c>
      <c r="F387">
        <f>IF(Klantgegevens_B!G386&lt;&gt;"", LEN(Klantgegevens_B!G386)-LEN(SUBSTITUTE(Klantgegevens_B!G386, ",", ""))+1, Klantgegevens_A!G386)</f>
        <v/>
      </c>
      <c r="G387">
        <f>IF(Klantgegevens_B!G386&lt;&gt;"", 0, Klantgegevens_A!H386)</f>
        <v/>
      </c>
      <c r="H387">
        <f>IF(Klantgegevens_B!H386&lt;&gt;"", Klantgegevens_B!H386, Klantgegevens_A!I386)</f>
        <v/>
      </c>
      <c r="I387">
        <f>IF(Klantgegevens_B!I386&lt;&gt;"", Klantgegevens_B!I386, SWITCH(Klantgegevens_A!J386, "Zelden", 1, "Af en toe", 4, "Regelmatig", 8, "Vaak", 12))</f>
        <v/>
      </c>
      <c r="J387">
        <f>IF(Klantgegevens_B!J386&lt;&gt;"", Klantgegevens_B!J386, Klantgegevens_A!K386)</f>
        <v/>
      </c>
      <c r="K387">
        <f>IF(Klantgegevens_B!K386&lt;&gt;"", AVERAGE(--(Klantgegevens_B!K386="ja"), --(Klantgegevens_B!L386="ja"), --(Klantgegevens_B!M386="ja"), --(Klantgegevens_B!N386="ja"), --(Klantgegevens_B!O386="ja"))*10, Klantgegevens_A!L386)</f>
        <v/>
      </c>
      <c r="L387">
        <f>IF(Klantgegevens_B!K386&lt;&gt;"", Klantgegevens_B!K386, IF(Klantgegevens_A!L386&gt;=7, "ja", "nee"))</f>
        <v/>
      </c>
      <c r="M387">
        <f>IF(Klantgegevens_B!L386&lt;&gt;"", Klantgegevens_B!L386, IF(Klantgegevens_A!L386&gt;=7, "ja", "nee"))</f>
        <v/>
      </c>
      <c r="N387">
        <f>IF(Klantgegevens_B!M386&lt;&gt;"", Klantgegevens_B!M386, IF(Klantgegevens_A!L386&gt;=7, "ja", "nee"))</f>
        <v/>
      </c>
      <c r="O387">
        <f>IF(Klantgegevens_B!N386&lt;&gt;"", Klantgegevens_B!N386, IF(Klantgegevens_A!L386&gt;=7, "ja", "nee"))</f>
        <v/>
      </c>
      <c r="P387">
        <f>IF(Klantgegevens_B!O386&lt;&gt;"", Klantgegevens_B!O386, IF(Klantgegevens_A!L386&gt;=7, "ja", "nee"))</f>
        <v/>
      </c>
      <c r="Q387">
        <f>IF(Klantgegevens_B!P386&lt;&gt;"", Klantgegevens_B!P386, Klantgegevens_A!M386)</f>
        <v/>
      </c>
      <c r="R387">
        <f>IF(Klantgegevens_B!A386&lt;&gt;"", "B", "A")</f>
        <v/>
      </c>
    </row>
    <row r="388">
      <c r="A388">
        <f>IF(Klantgegevens_B!A387&lt;&gt;"", Klantgegevens_B!A387, MID(Klantgegevens_A!A387, FIND(",", Klantgegevens_A!A387)+2, LEN(Klantgegevens_A!A387)))</f>
        <v/>
      </c>
      <c r="B388">
        <f>IF(Klantgegevens_B!B387&lt;&gt;"", Klantgegevens_B!B387, LEFT(Klantgegevens_A!A387, FIND(",", Klantgegevens_A!A387)-1))</f>
        <v/>
      </c>
      <c r="C388">
        <f>C387 &amp; ", " &amp; B387</f>
        <v/>
      </c>
      <c r="D388">
        <f>IF(Klantgegevens_B!F387&lt;&gt;"", Klantgegevens_B!F387, Klantgegevens_A!D387 &amp; " " &amp; Klantgegevens_A!E387 &amp; ", " &amp; Klantgegevens_A!F387)</f>
        <v/>
      </c>
      <c r="E388">
        <f>IF(Klantgegevens_B!G387&lt;&gt;"", Klantgegevens_B!G387, TEXTJOIN(",", TRUE, REPT("Volwassene,", Klantgegevens_A!G387), REPT("Kind,", Klantgegevens_A!H387)))</f>
        <v/>
      </c>
      <c r="F388">
        <f>IF(Klantgegevens_B!G387&lt;&gt;"", LEN(Klantgegevens_B!G387)-LEN(SUBSTITUTE(Klantgegevens_B!G387, ",", ""))+1, Klantgegevens_A!G387)</f>
        <v/>
      </c>
      <c r="G388">
        <f>IF(Klantgegevens_B!G387&lt;&gt;"", 0, Klantgegevens_A!H387)</f>
        <v/>
      </c>
      <c r="H388">
        <f>IF(Klantgegevens_B!H387&lt;&gt;"", Klantgegevens_B!H387, Klantgegevens_A!I387)</f>
        <v/>
      </c>
      <c r="I388">
        <f>IF(Klantgegevens_B!I387&lt;&gt;"", Klantgegevens_B!I387, SWITCH(Klantgegevens_A!J387, "Zelden", 1, "Af en toe", 4, "Regelmatig", 8, "Vaak", 12))</f>
        <v/>
      </c>
      <c r="J388">
        <f>IF(Klantgegevens_B!J387&lt;&gt;"", Klantgegevens_B!J387, Klantgegevens_A!K387)</f>
        <v/>
      </c>
      <c r="K388">
        <f>IF(Klantgegevens_B!K387&lt;&gt;"", AVERAGE(--(Klantgegevens_B!K387="ja"), --(Klantgegevens_B!L387="ja"), --(Klantgegevens_B!M387="ja"), --(Klantgegevens_B!N387="ja"), --(Klantgegevens_B!O387="ja"))*10, Klantgegevens_A!L387)</f>
        <v/>
      </c>
      <c r="L388">
        <f>IF(Klantgegevens_B!K387&lt;&gt;"", Klantgegevens_B!K387, IF(Klantgegevens_A!L387&gt;=7, "ja", "nee"))</f>
        <v/>
      </c>
      <c r="M388">
        <f>IF(Klantgegevens_B!L387&lt;&gt;"", Klantgegevens_B!L387, IF(Klantgegevens_A!L387&gt;=7, "ja", "nee"))</f>
        <v/>
      </c>
      <c r="N388">
        <f>IF(Klantgegevens_B!M387&lt;&gt;"", Klantgegevens_B!M387, IF(Klantgegevens_A!L387&gt;=7, "ja", "nee"))</f>
        <v/>
      </c>
      <c r="O388">
        <f>IF(Klantgegevens_B!N387&lt;&gt;"", Klantgegevens_B!N387, IF(Klantgegevens_A!L387&gt;=7, "ja", "nee"))</f>
        <v/>
      </c>
      <c r="P388">
        <f>IF(Klantgegevens_B!O387&lt;&gt;"", Klantgegevens_B!O387, IF(Klantgegevens_A!L387&gt;=7, "ja", "nee"))</f>
        <v/>
      </c>
      <c r="Q388">
        <f>IF(Klantgegevens_B!P387&lt;&gt;"", Klantgegevens_B!P387, Klantgegevens_A!M387)</f>
        <v/>
      </c>
      <c r="R388">
        <f>IF(Klantgegevens_B!A387&lt;&gt;"", "B", "A")</f>
        <v/>
      </c>
    </row>
    <row r="389">
      <c r="A389">
        <f>IF(Klantgegevens_B!A388&lt;&gt;"", Klantgegevens_B!A388, MID(Klantgegevens_A!A388, FIND(",", Klantgegevens_A!A388)+2, LEN(Klantgegevens_A!A388)))</f>
        <v/>
      </c>
      <c r="B389">
        <f>IF(Klantgegevens_B!B388&lt;&gt;"", Klantgegevens_B!B388, LEFT(Klantgegevens_A!A388, FIND(",", Klantgegevens_A!A388)-1))</f>
        <v/>
      </c>
      <c r="C389">
        <f>C388 &amp; ", " &amp; B388</f>
        <v/>
      </c>
      <c r="D389">
        <f>IF(Klantgegevens_B!F388&lt;&gt;"", Klantgegevens_B!F388, Klantgegevens_A!D388 &amp; " " &amp; Klantgegevens_A!E388 &amp; ", " &amp; Klantgegevens_A!F388)</f>
        <v/>
      </c>
      <c r="E389">
        <f>IF(Klantgegevens_B!G388&lt;&gt;"", Klantgegevens_B!G388, TEXTJOIN(",", TRUE, REPT("Volwassene,", Klantgegevens_A!G388), REPT("Kind,", Klantgegevens_A!H388)))</f>
        <v/>
      </c>
      <c r="F389">
        <f>IF(Klantgegevens_B!G388&lt;&gt;"", LEN(Klantgegevens_B!G388)-LEN(SUBSTITUTE(Klantgegevens_B!G388, ",", ""))+1, Klantgegevens_A!G388)</f>
        <v/>
      </c>
      <c r="G389">
        <f>IF(Klantgegevens_B!G388&lt;&gt;"", 0, Klantgegevens_A!H388)</f>
        <v/>
      </c>
      <c r="H389">
        <f>IF(Klantgegevens_B!H388&lt;&gt;"", Klantgegevens_B!H388, Klantgegevens_A!I388)</f>
        <v/>
      </c>
      <c r="I389">
        <f>IF(Klantgegevens_B!I388&lt;&gt;"", Klantgegevens_B!I388, SWITCH(Klantgegevens_A!J388, "Zelden", 1, "Af en toe", 4, "Regelmatig", 8, "Vaak", 12))</f>
        <v/>
      </c>
      <c r="J389">
        <f>IF(Klantgegevens_B!J388&lt;&gt;"", Klantgegevens_B!J388, Klantgegevens_A!K388)</f>
        <v/>
      </c>
      <c r="K389">
        <f>IF(Klantgegevens_B!K388&lt;&gt;"", AVERAGE(--(Klantgegevens_B!K388="ja"), --(Klantgegevens_B!L388="ja"), --(Klantgegevens_B!M388="ja"), --(Klantgegevens_B!N388="ja"), --(Klantgegevens_B!O388="ja"))*10, Klantgegevens_A!L388)</f>
        <v/>
      </c>
      <c r="L389">
        <f>IF(Klantgegevens_B!K388&lt;&gt;"", Klantgegevens_B!K388, IF(Klantgegevens_A!L388&gt;=7, "ja", "nee"))</f>
        <v/>
      </c>
      <c r="M389">
        <f>IF(Klantgegevens_B!L388&lt;&gt;"", Klantgegevens_B!L388, IF(Klantgegevens_A!L388&gt;=7, "ja", "nee"))</f>
        <v/>
      </c>
      <c r="N389">
        <f>IF(Klantgegevens_B!M388&lt;&gt;"", Klantgegevens_B!M388, IF(Klantgegevens_A!L388&gt;=7, "ja", "nee"))</f>
        <v/>
      </c>
      <c r="O389">
        <f>IF(Klantgegevens_B!N388&lt;&gt;"", Klantgegevens_B!N388, IF(Klantgegevens_A!L388&gt;=7, "ja", "nee"))</f>
        <v/>
      </c>
      <c r="P389">
        <f>IF(Klantgegevens_B!O388&lt;&gt;"", Klantgegevens_B!O388, IF(Klantgegevens_A!L388&gt;=7, "ja", "nee"))</f>
        <v/>
      </c>
      <c r="Q389">
        <f>IF(Klantgegevens_B!P388&lt;&gt;"", Klantgegevens_B!P388, Klantgegevens_A!M388)</f>
        <v/>
      </c>
      <c r="R389">
        <f>IF(Klantgegevens_B!A388&lt;&gt;"", "B", "A")</f>
        <v/>
      </c>
    </row>
    <row r="390">
      <c r="A390">
        <f>IF(Klantgegevens_B!A389&lt;&gt;"", Klantgegevens_B!A389, MID(Klantgegevens_A!A389, FIND(",", Klantgegevens_A!A389)+2, LEN(Klantgegevens_A!A389)))</f>
        <v/>
      </c>
      <c r="B390">
        <f>IF(Klantgegevens_B!B389&lt;&gt;"", Klantgegevens_B!B389, LEFT(Klantgegevens_A!A389, FIND(",", Klantgegevens_A!A389)-1))</f>
        <v/>
      </c>
      <c r="C390">
        <f>C389 &amp; ", " &amp; B389</f>
        <v/>
      </c>
      <c r="D390">
        <f>IF(Klantgegevens_B!F389&lt;&gt;"", Klantgegevens_B!F389, Klantgegevens_A!D389 &amp; " " &amp; Klantgegevens_A!E389 &amp; ", " &amp; Klantgegevens_A!F389)</f>
        <v/>
      </c>
      <c r="E390">
        <f>IF(Klantgegevens_B!G389&lt;&gt;"", Klantgegevens_B!G389, TEXTJOIN(",", TRUE, REPT("Volwassene,", Klantgegevens_A!G389), REPT("Kind,", Klantgegevens_A!H389)))</f>
        <v/>
      </c>
      <c r="F390">
        <f>IF(Klantgegevens_B!G389&lt;&gt;"", LEN(Klantgegevens_B!G389)-LEN(SUBSTITUTE(Klantgegevens_B!G389, ",", ""))+1, Klantgegevens_A!G389)</f>
        <v/>
      </c>
      <c r="G390">
        <f>IF(Klantgegevens_B!G389&lt;&gt;"", 0, Klantgegevens_A!H389)</f>
        <v/>
      </c>
      <c r="H390">
        <f>IF(Klantgegevens_B!H389&lt;&gt;"", Klantgegevens_B!H389, Klantgegevens_A!I389)</f>
        <v/>
      </c>
      <c r="I390">
        <f>IF(Klantgegevens_B!I389&lt;&gt;"", Klantgegevens_B!I389, SWITCH(Klantgegevens_A!J389, "Zelden", 1, "Af en toe", 4, "Regelmatig", 8, "Vaak", 12))</f>
        <v/>
      </c>
      <c r="J390">
        <f>IF(Klantgegevens_B!J389&lt;&gt;"", Klantgegevens_B!J389, Klantgegevens_A!K389)</f>
        <v/>
      </c>
      <c r="K390">
        <f>IF(Klantgegevens_B!K389&lt;&gt;"", AVERAGE(--(Klantgegevens_B!K389="ja"), --(Klantgegevens_B!L389="ja"), --(Klantgegevens_B!M389="ja"), --(Klantgegevens_B!N389="ja"), --(Klantgegevens_B!O389="ja"))*10, Klantgegevens_A!L389)</f>
        <v/>
      </c>
      <c r="L390">
        <f>IF(Klantgegevens_B!K389&lt;&gt;"", Klantgegevens_B!K389, IF(Klantgegevens_A!L389&gt;=7, "ja", "nee"))</f>
        <v/>
      </c>
      <c r="M390">
        <f>IF(Klantgegevens_B!L389&lt;&gt;"", Klantgegevens_B!L389, IF(Klantgegevens_A!L389&gt;=7, "ja", "nee"))</f>
        <v/>
      </c>
      <c r="N390">
        <f>IF(Klantgegevens_B!M389&lt;&gt;"", Klantgegevens_B!M389, IF(Klantgegevens_A!L389&gt;=7, "ja", "nee"))</f>
        <v/>
      </c>
      <c r="O390">
        <f>IF(Klantgegevens_B!N389&lt;&gt;"", Klantgegevens_B!N389, IF(Klantgegevens_A!L389&gt;=7, "ja", "nee"))</f>
        <v/>
      </c>
      <c r="P390">
        <f>IF(Klantgegevens_B!O389&lt;&gt;"", Klantgegevens_B!O389, IF(Klantgegevens_A!L389&gt;=7, "ja", "nee"))</f>
        <v/>
      </c>
      <c r="Q390">
        <f>IF(Klantgegevens_B!P389&lt;&gt;"", Klantgegevens_B!P389, Klantgegevens_A!M389)</f>
        <v/>
      </c>
      <c r="R390">
        <f>IF(Klantgegevens_B!A389&lt;&gt;"", "B", "A")</f>
        <v/>
      </c>
    </row>
    <row r="391">
      <c r="A391">
        <f>IF(Klantgegevens_B!A390&lt;&gt;"", Klantgegevens_B!A390, MID(Klantgegevens_A!A390, FIND(",", Klantgegevens_A!A390)+2, LEN(Klantgegevens_A!A390)))</f>
        <v/>
      </c>
      <c r="B391">
        <f>IF(Klantgegevens_B!B390&lt;&gt;"", Klantgegevens_B!B390, LEFT(Klantgegevens_A!A390, FIND(",", Klantgegevens_A!A390)-1))</f>
        <v/>
      </c>
      <c r="C391">
        <f>C390 &amp; ", " &amp; B390</f>
        <v/>
      </c>
      <c r="D391">
        <f>IF(Klantgegevens_B!F390&lt;&gt;"", Klantgegevens_B!F390, Klantgegevens_A!D390 &amp; " " &amp; Klantgegevens_A!E390 &amp; ", " &amp; Klantgegevens_A!F390)</f>
        <v/>
      </c>
      <c r="E391">
        <f>IF(Klantgegevens_B!G390&lt;&gt;"", Klantgegevens_B!G390, TEXTJOIN(",", TRUE, REPT("Volwassene,", Klantgegevens_A!G390), REPT("Kind,", Klantgegevens_A!H390)))</f>
        <v/>
      </c>
      <c r="F391">
        <f>IF(Klantgegevens_B!G390&lt;&gt;"", LEN(Klantgegevens_B!G390)-LEN(SUBSTITUTE(Klantgegevens_B!G390, ",", ""))+1, Klantgegevens_A!G390)</f>
        <v/>
      </c>
      <c r="G391">
        <f>IF(Klantgegevens_B!G390&lt;&gt;"", 0, Klantgegevens_A!H390)</f>
        <v/>
      </c>
      <c r="H391">
        <f>IF(Klantgegevens_B!H390&lt;&gt;"", Klantgegevens_B!H390, Klantgegevens_A!I390)</f>
        <v/>
      </c>
      <c r="I391">
        <f>IF(Klantgegevens_B!I390&lt;&gt;"", Klantgegevens_B!I390, SWITCH(Klantgegevens_A!J390, "Zelden", 1, "Af en toe", 4, "Regelmatig", 8, "Vaak", 12))</f>
        <v/>
      </c>
      <c r="J391">
        <f>IF(Klantgegevens_B!J390&lt;&gt;"", Klantgegevens_B!J390, Klantgegevens_A!K390)</f>
        <v/>
      </c>
      <c r="K391">
        <f>IF(Klantgegevens_B!K390&lt;&gt;"", AVERAGE(--(Klantgegevens_B!K390="ja"), --(Klantgegevens_B!L390="ja"), --(Klantgegevens_B!M390="ja"), --(Klantgegevens_B!N390="ja"), --(Klantgegevens_B!O390="ja"))*10, Klantgegevens_A!L390)</f>
        <v/>
      </c>
      <c r="L391">
        <f>IF(Klantgegevens_B!K390&lt;&gt;"", Klantgegevens_B!K390, IF(Klantgegevens_A!L390&gt;=7, "ja", "nee"))</f>
        <v/>
      </c>
      <c r="M391">
        <f>IF(Klantgegevens_B!L390&lt;&gt;"", Klantgegevens_B!L390, IF(Klantgegevens_A!L390&gt;=7, "ja", "nee"))</f>
        <v/>
      </c>
      <c r="N391">
        <f>IF(Klantgegevens_B!M390&lt;&gt;"", Klantgegevens_B!M390, IF(Klantgegevens_A!L390&gt;=7, "ja", "nee"))</f>
        <v/>
      </c>
      <c r="O391">
        <f>IF(Klantgegevens_B!N390&lt;&gt;"", Klantgegevens_B!N390, IF(Klantgegevens_A!L390&gt;=7, "ja", "nee"))</f>
        <v/>
      </c>
      <c r="P391">
        <f>IF(Klantgegevens_B!O390&lt;&gt;"", Klantgegevens_B!O390, IF(Klantgegevens_A!L390&gt;=7, "ja", "nee"))</f>
        <v/>
      </c>
      <c r="Q391">
        <f>IF(Klantgegevens_B!P390&lt;&gt;"", Klantgegevens_B!P390, Klantgegevens_A!M390)</f>
        <v/>
      </c>
      <c r="R391">
        <f>IF(Klantgegevens_B!A390&lt;&gt;"", "B", "A")</f>
        <v/>
      </c>
    </row>
    <row r="392">
      <c r="A392">
        <f>IF(Klantgegevens_B!A391&lt;&gt;"", Klantgegevens_B!A391, MID(Klantgegevens_A!A391, FIND(",", Klantgegevens_A!A391)+2, LEN(Klantgegevens_A!A391)))</f>
        <v/>
      </c>
      <c r="B392">
        <f>IF(Klantgegevens_B!B391&lt;&gt;"", Klantgegevens_B!B391, LEFT(Klantgegevens_A!A391, FIND(",", Klantgegevens_A!A391)-1))</f>
        <v/>
      </c>
      <c r="C392">
        <f>C391 &amp; ", " &amp; B391</f>
        <v/>
      </c>
      <c r="D392">
        <f>IF(Klantgegevens_B!F391&lt;&gt;"", Klantgegevens_B!F391, Klantgegevens_A!D391 &amp; " " &amp; Klantgegevens_A!E391 &amp; ", " &amp; Klantgegevens_A!F391)</f>
        <v/>
      </c>
      <c r="E392">
        <f>IF(Klantgegevens_B!G391&lt;&gt;"", Klantgegevens_B!G391, TEXTJOIN(",", TRUE, REPT("Volwassene,", Klantgegevens_A!G391), REPT("Kind,", Klantgegevens_A!H391)))</f>
        <v/>
      </c>
      <c r="F392">
        <f>IF(Klantgegevens_B!G391&lt;&gt;"", LEN(Klantgegevens_B!G391)-LEN(SUBSTITUTE(Klantgegevens_B!G391, ",", ""))+1, Klantgegevens_A!G391)</f>
        <v/>
      </c>
      <c r="G392">
        <f>IF(Klantgegevens_B!G391&lt;&gt;"", 0, Klantgegevens_A!H391)</f>
        <v/>
      </c>
      <c r="H392">
        <f>IF(Klantgegevens_B!H391&lt;&gt;"", Klantgegevens_B!H391, Klantgegevens_A!I391)</f>
        <v/>
      </c>
      <c r="I392">
        <f>IF(Klantgegevens_B!I391&lt;&gt;"", Klantgegevens_B!I391, SWITCH(Klantgegevens_A!J391, "Zelden", 1, "Af en toe", 4, "Regelmatig", 8, "Vaak", 12))</f>
        <v/>
      </c>
      <c r="J392">
        <f>IF(Klantgegevens_B!J391&lt;&gt;"", Klantgegevens_B!J391, Klantgegevens_A!K391)</f>
        <v/>
      </c>
      <c r="K392">
        <f>IF(Klantgegevens_B!K391&lt;&gt;"", AVERAGE(--(Klantgegevens_B!K391="ja"), --(Klantgegevens_B!L391="ja"), --(Klantgegevens_B!M391="ja"), --(Klantgegevens_B!N391="ja"), --(Klantgegevens_B!O391="ja"))*10, Klantgegevens_A!L391)</f>
        <v/>
      </c>
      <c r="L392">
        <f>IF(Klantgegevens_B!K391&lt;&gt;"", Klantgegevens_B!K391, IF(Klantgegevens_A!L391&gt;=7, "ja", "nee"))</f>
        <v/>
      </c>
      <c r="M392">
        <f>IF(Klantgegevens_B!L391&lt;&gt;"", Klantgegevens_B!L391, IF(Klantgegevens_A!L391&gt;=7, "ja", "nee"))</f>
        <v/>
      </c>
      <c r="N392">
        <f>IF(Klantgegevens_B!M391&lt;&gt;"", Klantgegevens_B!M391, IF(Klantgegevens_A!L391&gt;=7, "ja", "nee"))</f>
        <v/>
      </c>
      <c r="O392">
        <f>IF(Klantgegevens_B!N391&lt;&gt;"", Klantgegevens_B!N391, IF(Klantgegevens_A!L391&gt;=7, "ja", "nee"))</f>
        <v/>
      </c>
      <c r="P392">
        <f>IF(Klantgegevens_B!O391&lt;&gt;"", Klantgegevens_B!O391, IF(Klantgegevens_A!L391&gt;=7, "ja", "nee"))</f>
        <v/>
      </c>
      <c r="Q392">
        <f>IF(Klantgegevens_B!P391&lt;&gt;"", Klantgegevens_B!P391, Klantgegevens_A!M391)</f>
        <v/>
      </c>
      <c r="R392">
        <f>IF(Klantgegevens_B!A391&lt;&gt;"", "B", "A")</f>
        <v/>
      </c>
    </row>
    <row r="393">
      <c r="A393">
        <f>IF(Klantgegevens_B!A392&lt;&gt;"", Klantgegevens_B!A392, MID(Klantgegevens_A!A392, FIND(",", Klantgegevens_A!A392)+2, LEN(Klantgegevens_A!A392)))</f>
        <v/>
      </c>
      <c r="B393">
        <f>IF(Klantgegevens_B!B392&lt;&gt;"", Klantgegevens_B!B392, LEFT(Klantgegevens_A!A392, FIND(",", Klantgegevens_A!A392)-1))</f>
        <v/>
      </c>
      <c r="C393">
        <f>C392 &amp; ", " &amp; B392</f>
        <v/>
      </c>
      <c r="D393">
        <f>IF(Klantgegevens_B!F392&lt;&gt;"", Klantgegevens_B!F392, Klantgegevens_A!D392 &amp; " " &amp; Klantgegevens_A!E392 &amp; ", " &amp; Klantgegevens_A!F392)</f>
        <v/>
      </c>
      <c r="E393">
        <f>IF(Klantgegevens_B!G392&lt;&gt;"", Klantgegevens_B!G392, TEXTJOIN(",", TRUE, REPT("Volwassene,", Klantgegevens_A!G392), REPT("Kind,", Klantgegevens_A!H392)))</f>
        <v/>
      </c>
      <c r="F393">
        <f>IF(Klantgegevens_B!G392&lt;&gt;"", LEN(Klantgegevens_B!G392)-LEN(SUBSTITUTE(Klantgegevens_B!G392, ",", ""))+1, Klantgegevens_A!G392)</f>
        <v/>
      </c>
      <c r="G393">
        <f>IF(Klantgegevens_B!G392&lt;&gt;"", 0, Klantgegevens_A!H392)</f>
        <v/>
      </c>
      <c r="H393">
        <f>IF(Klantgegevens_B!H392&lt;&gt;"", Klantgegevens_B!H392, Klantgegevens_A!I392)</f>
        <v/>
      </c>
      <c r="I393">
        <f>IF(Klantgegevens_B!I392&lt;&gt;"", Klantgegevens_B!I392, SWITCH(Klantgegevens_A!J392, "Zelden", 1, "Af en toe", 4, "Regelmatig", 8, "Vaak", 12))</f>
        <v/>
      </c>
      <c r="J393">
        <f>IF(Klantgegevens_B!J392&lt;&gt;"", Klantgegevens_B!J392, Klantgegevens_A!K392)</f>
        <v/>
      </c>
      <c r="K393">
        <f>IF(Klantgegevens_B!K392&lt;&gt;"", AVERAGE(--(Klantgegevens_B!K392="ja"), --(Klantgegevens_B!L392="ja"), --(Klantgegevens_B!M392="ja"), --(Klantgegevens_B!N392="ja"), --(Klantgegevens_B!O392="ja"))*10, Klantgegevens_A!L392)</f>
        <v/>
      </c>
      <c r="L393">
        <f>IF(Klantgegevens_B!K392&lt;&gt;"", Klantgegevens_B!K392, IF(Klantgegevens_A!L392&gt;=7, "ja", "nee"))</f>
        <v/>
      </c>
      <c r="M393">
        <f>IF(Klantgegevens_B!L392&lt;&gt;"", Klantgegevens_B!L392, IF(Klantgegevens_A!L392&gt;=7, "ja", "nee"))</f>
        <v/>
      </c>
      <c r="N393">
        <f>IF(Klantgegevens_B!M392&lt;&gt;"", Klantgegevens_B!M392, IF(Klantgegevens_A!L392&gt;=7, "ja", "nee"))</f>
        <v/>
      </c>
      <c r="O393">
        <f>IF(Klantgegevens_B!N392&lt;&gt;"", Klantgegevens_B!N392, IF(Klantgegevens_A!L392&gt;=7, "ja", "nee"))</f>
        <v/>
      </c>
      <c r="P393">
        <f>IF(Klantgegevens_B!O392&lt;&gt;"", Klantgegevens_B!O392, IF(Klantgegevens_A!L392&gt;=7, "ja", "nee"))</f>
        <v/>
      </c>
      <c r="Q393">
        <f>IF(Klantgegevens_B!P392&lt;&gt;"", Klantgegevens_B!P392, Klantgegevens_A!M392)</f>
        <v/>
      </c>
      <c r="R393">
        <f>IF(Klantgegevens_B!A392&lt;&gt;"", "B", "A")</f>
        <v/>
      </c>
    </row>
    <row r="394">
      <c r="A394">
        <f>IF(Klantgegevens_B!A393&lt;&gt;"", Klantgegevens_B!A393, MID(Klantgegevens_A!A393, FIND(",", Klantgegevens_A!A393)+2, LEN(Klantgegevens_A!A393)))</f>
        <v/>
      </c>
      <c r="B394">
        <f>IF(Klantgegevens_B!B393&lt;&gt;"", Klantgegevens_B!B393, LEFT(Klantgegevens_A!A393, FIND(",", Klantgegevens_A!A393)-1))</f>
        <v/>
      </c>
      <c r="C394">
        <f>C393 &amp; ", " &amp; B393</f>
        <v/>
      </c>
      <c r="D394">
        <f>IF(Klantgegevens_B!F393&lt;&gt;"", Klantgegevens_B!F393, Klantgegevens_A!D393 &amp; " " &amp; Klantgegevens_A!E393 &amp; ", " &amp; Klantgegevens_A!F393)</f>
        <v/>
      </c>
      <c r="E394">
        <f>IF(Klantgegevens_B!G393&lt;&gt;"", Klantgegevens_B!G393, TEXTJOIN(",", TRUE, REPT("Volwassene,", Klantgegevens_A!G393), REPT("Kind,", Klantgegevens_A!H393)))</f>
        <v/>
      </c>
      <c r="F394">
        <f>IF(Klantgegevens_B!G393&lt;&gt;"", LEN(Klantgegevens_B!G393)-LEN(SUBSTITUTE(Klantgegevens_B!G393, ",", ""))+1, Klantgegevens_A!G393)</f>
        <v/>
      </c>
      <c r="G394">
        <f>IF(Klantgegevens_B!G393&lt;&gt;"", 0, Klantgegevens_A!H393)</f>
        <v/>
      </c>
      <c r="H394">
        <f>IF(Klantgegevens_B!H393&lt;&gt;"", Klantgegevens_B!H393, Klantgegevens_A!I393)</f>
        <v/>
      </c>
      <c r="I394">
        <f>IF(Klantgegevens_B!I393&lt;&gt;"", Klantgegevens_B!I393, SWITCH(Klantgegevens_A!J393, "Zelden", 1, "Af en toe", 4, "Regelmatig", 8, "Vaak", 12))</f>
        <v/>
      </c>
      <c r="J394">
        <f>IF(Klantgegevens_B!J393&lt;&gt;"", Klantgegevens_B!J393, Klantgegevens_A!K393)</f>
        <v/>
      </c>
      <c r="K394">
        <f>IF(Klantgegevens_B!K393&lt;&gt;"", AVERAGE(--(Klantgegevens_B!K393="ja"), --(Klantgegevens_B!L393="ja"), --(Klantgegevens_B!M393="ja"), --(Klantgegevens_B!N393="ja"), --(Klantgegevens_B!O393="ja"))*10, Klantgegevens_A!L393)</f>
        <v/>
      </c>
      <c r="L394">
        <f>IF(Klantgegevens_B!K393&lt;&gt;"", Klantgegevens_B!K393, IF(Klantgegevens_A!L393&gt;=7, "ja", "nee"))</f>
        <v/>
      </c>
      <c r="M394">
        <f>IF(Klantgegevens_B!L393&lt;&gt;"", Klantgegevens_B!L393, IF(Klantgegevens_A!L393&gt;=7, "ja", "nee"))</f>
        <v/>
      </c>
      <c r="N394">
        <f>IF(Klantgegevens_B!M393&lt;&gt;"", Klantgegevens_B!M393, IF(Klantgegevens_A!L393&gt;=7, "ja", "nee"))</f>
        <v/>
      </c>
      <c r="O394">
        <f>IF(Klantgegevens_B!N393&lt;&gt;"", Klantgegevens_B!N393, IF(Klantgegevens_A!L393&gt;=7, "ja", "nee"))</f>
        <v/>
      </c>
      <c r="P394">
        <f>IF(Klantgegevens_B!O393&lt;&gt;"", Klantgegevens_B!O393, IF(Klantgegevens_A!L393&gt;=7, "ja", "nee"))</f>
        <v/>
      </c>
      <c r="Q394">
        <f>IF(Klantgegevens_B!P393&lt;&gt;"", Klantgegevens_B!P393, Klantgegevens_A!M393)</f>
        <v/>
      </c>
      <c r="R394">
        <f>IF(Klantgegevens_B!A393&lt;&gt;"", "B", "A")</f>
        <v/>
      </c>
    </row>
    <row r="395">
      <c r="A395">
        <f>IF(Klantgegevens_B!A394&lt;&gt;"", Klantgegevens_B!A394, MID(Klantgegevens_A!A394, FIND(",", Klantgegevens_A!A394)+2, LEN(Klantgegevens_A!A394)))</f>
        <v/>
      </c>
      <c r="B395">
        <f>IF(Klantgegevens_B!B394&lt;&gt;"", Klantgegevens_B!B394, LEFT(Klantgegevens_A!A394, FIND(",", Klantgegevens_A!A394)-1))</f>
        <v/>
      </c>
      <c r="C395">
        <f>C394 &amp; ", " &amp; B394</f>
        <v/>
      </c>
      <c r="D395">
        <f>IF(Klantgegevens_B!F394&lt;&gt;"", Klantgegevens_B!F394, Klantgegevens_A!D394 &amp; " " &amp; Klantgegevens_A!E394 &amp; ", " &amp; Klantgegevens_A!F394)</f>
        <v/>
      </c>
      <c r="E395">
        <f>IF(Klantgegevens_B!G394&lt;&gt;"", Klantgegevens_B!G394, TEXTJOIN(",", TRUE, REPT("Volwassene,", Klantgegevens_A!G394), REPT("Kind,", Klantgegevens_A!H394)))</f>
        <v/>
      </c>
      <c r="F395">
        <f>IF(Klantgegevens_B!G394&lt;&gt;"", LEN(Klantgegevens_B!G394)-LEN(SUBSTITUTE(Klantgegevens_B!G394, ",", ""))+1, Klantgegevens_A!G394)</f>
        <v/>
      </c>
      <c r="G395">
        <f>IF(Klantgegevens_B!G394&lt;&gt;"", 0, Klantgegevens_A!H394)</f>
        <v/>
      </c>
      <c r="H395">
        <f>IF(Klantgegevens_B!H394&lt;&gt;"", Klantgegevens_B!H394, Klantgegevens_A!I394)</f>
        <v/>
      </c>
      <c r="I395">
        <f>IF(Klantgegevens_B!I394&lt;&gt;"", Klantgegevens_B!I394, SWITCH(Klantgegevens_A!J394, "Zelden", 1, "Af en toe", 4, "Regelmatig", 8, "Vaak", 12))</f>
        <v/>
      </c>
      <c r="J395">
        <f>IF(Klantgegevens_B!J394&lt;&gt;"", Klantgegevens_B!J394, Klantgegevens_A!K394)</f>
        <v/>
      </c>
      <c r="K395">
        <f>IF(Klantgegevens_B!K394&lt;&gt;"", AVERAGE(--(Klantgegevens_B!K394="ja"), --(Klantgegevens_B!L394="ja"), --(Klantgegevens_B!M394="ja"), --(Klantgegevens_B!N394="ja"), --(Klantgegevens_B!O394="ja"))*10, Klantgegevens_A!L394)</f>
        <v/>
      </c>
      <c r="L395">
        <f>IF(Klantgegevens_B!K394&lt;&gt;"", Klantgegevens_B!K394, IF(Klantgegevens_A!L394&gt;=7, "ja", "nee"))</f>
        <v/>
      </c>
      <c r="M395">
        <f>IF(Klantgegevens_B!L394&lt;&gt;"", Klantgegevens_B!L394, IF(Klantgegevens_A!L394&gt;=7, "ja", "nee"))</f>
        <v/>
      </c>
      <c r="N395">
        <f>IF(Klantgegevens_B!M394&lt;&gt;"", Klantgegevens_B!M394, IF(Klantgegevens_A!L394&gt;=7, "ja", "nee"))</f>
        <v/>
      </c>
      <c r="O395">
        <f>IF(Klantgegevens_B!N394&lt;&gt;"", Klantgegevens_B!N394, IF(Klantgegevens_A!L394&gt;=7, "ja", "nee"))</f>
        <v/>
      </c>
      <c r="P395">
        <f>IF(Klantgegevens_B!O394&lt;&gt;"", Klantgegevens_B!O394, IF(Klantgegevens_A!L394&gt;=7, "ja", "nee"))</f>
        <v/>
      </c>
      <c r="Q395">
        <f>IF(Klantgegevens_B!P394&lt;&gt;"", Klantgegevens_B!P394, Klantgegevens_A!M394)</f>
        <v/>
      </c>
      <c r="R395">
        <f>IF(Klantgegevens_B!A394&lt;&gt;"", "B", "A")</f>
        <v/>
      </c>
    </row>
    <row r="396">
      <c r="A396">
        <f>IF(Klantgegevens_B!A395&lt;&gt;"", Klantgegevens_B!A395, MID(Klantgegevens_A!A395, FIND(",", Klantgegevens_A!A395)+2, LEN(Klantgegevens_A!A395)))</f>
        <v/>
      </c>
      <c r="B396">
        <f>IF(Klantgegevens_B!B395&lt;&gt;"", Klantgegevens_B!B395, LEFT(Klantgegevens_A!A395, FIND(",", Klantgegevens_A!A395)-1))</f>
        <v/>
      </c>
      <c r="C396">
        <f>C395 &amp; ", " &amp; B395</f>
        <v/>
      </c>
      <c r="D396">
        <f>IF(Klantgegevens_B!F395&lt;&gt;"", Klantgegevens_B!F395, Klantgegevens_A!D395 &amp; " " &amp; Klantgegevens_A!E395 &amp; ", " &amp; Klantgegevens_A!F395)</f>
        <v/>
      </c>
      <c r="E396">
        <f>IF(Klantgegevens_B!G395&lt;&gt;"", Klantgegevens_B!G395, TEXTJOIN(",", TRUE, REPT("Volwassene,", Klantgegevens_A!G395), REPT("Kind,", Klantgegevens_A!H395)))</f>
        <v/>
      </c>
      <c r="F396">
        <f>IF(Klantgegevens_B!G395&lt;&gt;"", LEN(Klantgegevens_B!G395)-LEN(SUBSTITUTE(Klantgegevens_B!G395, ",", ""))+1, Klantgegevens_A!G395)</f>
        <v/>
      </c>
      <c r="G396">
        <f>IF(Klantgegevens_B!G395&lt;&gt;"", 0, Klantgegevens_A!H395)</f>
        <v/>
      </c>
      <c r="H396">
        <f>IF(Klantgegevens_B!H395&lt;&gt;"", Klantgegevens_B!H395, Klantgegevens_A!I395)</f>
        <v/>
      </c>
      <c r="I396">
        <f>IF(Klantgegevens_B!I395&lt;&gt;"", Klantgegevens_B!I395, SWITCH(Klantgegevens_A!J395, "Zelden", 1, "Af en toe", 4, "Regelmatig", 8, "Vaak", 12))</f>
        <v/>
      </c>
      <c r="J396">
        <f>IF(Klantgegevens_B!J395&lt;&gt;"", Klantgegevens_B!J395, Klantgegevens_A!K395)</f>
        <v/>
      </c>
      <c r="K396">
        <f>IF(Klantgegevens_B!K395&lt;&gt;"", AVERAGE(--(Klantgegevens_B!K395="ja"), --(Klantgegevens_B!L395="ja"), --(Klantgegevens_B!M395="ja"), --(Klantgegevens_B!N395="ja"), --(Klantgegevens_B!O395="ja"))*10, Klantgegevens_A!L395)</f>
        <v/>
      </c>
      <c r="L396">
        <f>IF(Klantgegevens_B!K395&lt;&gt;"", Klantgegevens_B!K395, IF(Klantgegevens_A!L395&gt;=7, "ja", "nee"))</f>
        <v/>
      </c>
      <c r="M396">
        <f>IF(Klantgegevens_B!L395&lt;&gt;"", Klantgegevens_B!L395, IF(Klantgegevens_A!L395&gt;=7, "ja", "nee"))</f>
        <v/>
      </c>
      <c r="N396">
        <f>IF(Klantgegevens_B!M395&lt;&gt;"", Klantgegevens_B!M395, IF(Klantgegevens_A!L395&gt;=7, "ja", "nee"))</f>
        <v/>
      </c>
      <c r="O396">
        <f>IF(Klantgegevens_B!N395&lt;&gt;"", Klantgegevens_B!N395, IF(Klantgegevens_A!L395&gt;=7, "ja", "nee"))</f>
        <v/>
      </c>
      <c r="P396">
        <f>IF(Klantgegevens_B!O395&lt;&gt;"", Klantgegevens_B!O395, IF(Klantgegevens_A!L395&gt;=7, "ja", "nee"))</f>
        <v/>
      </c>
      <c r="Q396">
        <f>IF(Klantgegevens_B!P395&lt;&gt;"", Klantgegevens_B!P395, Klantgegevens_A!M395)</f>
        <v/>
      </c>
      <c r="R396">
        <f>IF(Klantgegevens_B!A395&lt;&gt;"", "B", "A")</f>
        <v/>
      </c>
    </row>
    <row r="397">
      <c r="A397">
        <f>IF(Klantgegevens_B!A396&lt;&gt;"", Klantgegevens_B!A396, MID(Klantgegevens_A!A396, FIND(",", Klantgegevens_A!A396)+2, LEN(Klantgegevens_A!A396)))</f>
        <v/>
      </c>
      <c r="B397">
        <f>IF(Klantgegevens_B!B396&lt;&gt;"", Klantgegevens_B!B396, LEFT(Klantgegevens_A!A396, FIND(",", Klantgegevens_A!A396)-1))</f>
        <v/>
      </c>
      <c r="C397">
        <f>C396 &amp; ", " &amp; B396</f>
        <v/>
      </c>
      <c r="D397">
        <f>IF(Klantgegevens_B!F396&lt;&gt;"", Klantgegevens_B!F396, Klantgegevens_A!D396 &amp; " " &amp; Klantgegevens_A!E396 &amp; ", " &amp; Klantgegevens_A!F396)</f>
        <v/>
      </c>
      <c r="E397">
        <f>IF(Klantgegevens_B!G396&lt;&gt;"", Klantgegevens_B!G396, TEXTJOIN(",", TRUE, REPT("Volwassene,", Klantgegevens_A!G396), REPT("Kind,", Klantgegevens_A!H396)))</f>
        <v/>
      </c>
      <c r="F397">
        <f>IF(Klantgegevens_B!G396&lt;&gt;"", LEN(Klantgegevens_B!G396)-LEN(SUBSTITUTE(Klantgegevens_B!G396, ",", ""))+1, Klantgegevens_A!G396)</f>
        <v/>
      </c>
      <c r="G397">
        <f>IF(Klantgegevens_B!G396&lt;&gt;"", 0, Klantgegevens_A!H396)</f>
        <v/>
      </c>
      <c r="H397">
        <f>IF(Klantgegevens_B!H396&lt;&gt;"", Klantgegevens_B!H396, Klantgegevens_A!I396)</f>
        <v/>
      </c>
      <c r="I397">
        <f>IF(Klantgegevens_B!I396&lt;&gt;"", Klantgegevens_B!I396, SWITCH(Klantgegevens_A!J396, "Zelden", 1, "Af en toe", 4, "Regelmatig", 8, "Vaak", 12))</f>
        <v/>
      </c>
      <c r="J397">
        <f>IF(Klantgegevens_B!J396&lt;&gt;"", Klantgegevens_B!J396, Klantgegevens_A!K396)</f>
        <v/>
      </c>
      <c r="K397">
        <f>IF(Klantgegevens_B!K396&lt;&gt;"", AVERAGE(--(Klantgegevens_B!K396="ja"), --(Klantgegevens_B!L396="ja"), --(Klantgegevens_B!M396="ja"), --(Klantgegevens_B!N396="ja"), --(Klantgegevens_B!O396="ja"))*10, Klantgegevens_A!L396)</f>
        <v/>
      </c>
      <c r="L397">
        <f>IF(Klantgegevens_B!K396&lt;&gt;"", Klantgegevens_B!K396, IF(Klantgegevens_A!L396&gt;=7, "ja", "nee"))</f>
        <v/>
      </c>
      <c r="M397">
        <f>IF(Klantgegevens_B!L396&lt;&gt;"", Klantgegevens_B!L396, IF(Klantgegevens_A!L396&gt;=7, "ja", "nee"))</f>
        <v/>
      </c>
      <c r="N397">
        <f>IF(Klantgegevens_B!M396&lt;&gt;"", Klantgegevens_B!M396, IF(Klantgegevens_A!L396&gt;=7, "ja", "nee"))</f>
        <v/>
      </c>
      <c r="O397">
        <f>IF(Klantgegevens_B!N396&lt;&gt;"", Klantgegevens_B!N396, IF(Klantgegevens_A!L396&gt;=7, "ja", "nee"))</f>
        <v/>
      </c>
      <c r="P397">
        <f>IF(Klantgegevens_B!O396&lt;&gt;"", Klantgegevens_B!O396, IF(Klantgegevens_A!L396&gt;=7, "ja", "nee"))</f>
        <v/>
      </c>
      <c r="Q397">
        <f>IF(Klantgegevens_B!P396&lt;&gt;"", Klantgegevens_B!P396, Klantgegevens_A!M396)</f>
        <v/>
      </c>
      <c r="R397">
        <f>IF(Klantgegevens_B!A396&lt;&gt;"", "B", "A")</f>
        <v/>
      </c>
    </row>
    <row r="398">
      <c r="A398">
        <f>IF(Klantgegevens_B!A397&lt;&gt;"", Klantgegevens_B!A397, MID(Klantgegevens_A!A397, FIND(",", Klantgegevens_A!A397)+2, LEN(Klantgegevens_A!A397)))</f>
        <v/>
      </c>
      <c r="B398">
        <f>IF(Klantgegevens_B!B397&lt;&gt;"", Klantgegevens_B!B397, LEFT(Klantgegevens_A!A397, FIND(",", Klantgegevens_A!A397)-1))</f>
        <v/>
      </c>
      <c r="C398">
        <f>C397 &amp; ", " &amp; B397</f>
        <v/>
      </c>
      <c r="D398">
        <f>IF(Klantgegevens_B!F397&lt;&gt;"", Klantgegevens_B!F397, Klantgegevens_A!D397 &amp; " " &amp; Klantgegevens_A!E397 &amp; ", " &amp; Klantgegevens_A!F397)</f>
        <v/>
      </c>
      <c r="E398">
        <f>IF(Klantgegevens_B!G397&lt;&gt;"", Klantgegevens_B!G397, TEXTJOIN(",", TRUE, REPT("Volwassene,", Klantgegevens_A!G397), REPT("Kind,", Klantgegevens_A!H397)))</f>
        <v/>
      </c>
      <c r="F398">
        <f>IF(Klantgegevens_B!G397&lt;&gt;"", LEN(Klantgegevens_B!G397)-LEN(SUBSTITUTE(Klantgegevens_B!G397, ",", ""))+1, Klantgegevens_A!G397)</f>
        <v/>
      </c>
      <c r="G398">
        <f>IF(Klantgegevens_B!G397&lt;&gt;"", 0, Klantgegevens_A!H397)</f>
        <v/>
      </c>
      <c r="H398">
        <f>IF(Klantgegevens_B!H397&lt;&gt;"", Klantgegevens_B!H397, Klantgegevens_A!I397)</f>
        <v/>
      </c>
      <c r="I398">
        <f>IF(Klantgegevens_B!I397&lt;&gt;"", Klantgegevens_B!I397, SWITCH(Klantgegevens_A!J397, "Zelden", 1, "Af en toe", 4, "Regelmatig", 8, "Vaak", 12))</f>
        <v/>
      </c>
      <c r="J398">
        <f>IF(Klantgegevens_B!J397&lt;&gt;"", Klantgegevens_B!J397, Klantgegevens_A!K397)</f>
        <v/>
      </c>
      <c r="K398">
        <f>IF(Klantgegevens_B!K397&lt;&gt;"", AVERAGE(--(Klantgegevens_B!K397="ja"), --(Klantgegevens_B!L397="ja"), --(Klantgegevens_B!M397="ja"), --(Klantgegevens_B!N397="ja"), --(Klantgegevens_B!O397="ja"))*10, Klantgegevens_A!L397)</f>
        <v/>
      </c>
      <c r="L398">
        <f>IF(Klantgegevens_B!K397&lt;&gt;"", Klantgegevens_B!K397, IF(Klantgegevens_A!L397&gt;=7, "ja", "nee"))</f>
        <v/>
      </c>
      <c r="M398">
        <f>IF(Klantgegevens_B!L397&lt;&gt;"", Klantgegevens_B!L397, IF(Klantgegevens_A!L397&gt;=7, "ja", "nee"))</f>
        <v/>
      </c>
      <c r="N398">
        <f>IF(Klantgegevens_B!M397&lt;&gt;"", Klantgegevens_B!M397, IF(Klantgegevens_A!L397&gt;=7, "ja", "nee"))</f>
        <v/>
      </c>
      <c r="O398">
        <f>IF(Klantgegevens_B!N397&lt;&gt;"", Klantgegevens_B!N397, IF(Klantgegevens_A!L397&gt;=7, "ja", "nee"))</f>
        <v/>
      </c>
      <c r="P398">
        <f>IF(Klantgegevens_B!O397&lt;&gt;"", Klantgegevens_B!O397, IF(Klantgegevens_A!L397&gt;=7, "ja", "nee"))</f>
        <v/>
      </c>
      <c r="Q398">
        <f>IF(Klantgegevens_B!P397&lt;&gt;"", Klantgegevens_B!P397, Klantgegevens_A!M397)</f>
        <v/>
      </c>
      <c r="R398">
        <f>IF(Klantgegevens_B!A397&lt;&gt;"", "B", "A")</f>
        <v/>
      </c>
    </row>
    <row r="399">
      <c r="A399">
        <f>IF(Klantgegevens_B!A398&lt;&gt;"", Klantgegevens_B!A398, MID(Klantgegevens_A!A398, FIND(",", Klantgegevens_A!A398)+2, LEN(Klantgegevens_A!A398)))</f>
        <v/>
      </c>
      <c r="B399">
        <f>IF(Klantgegevens_B!B398&lt;&gt;"", Klantgegevens_B!B398, LEFT(Klantgegevens_A!A398, FIND(",", Klantgegevens_A!A398)-1))</f>
        <v/>
      </c>
      <c r="C399">
        <f>C398 &amp; ", " &amp; B398</f>
        <v/>
      </c>
      <c r="D399">
        <f>IF(Klantgegevens_B!F398&lt;&gt;"", Klantgegevens_B!F398, Klantgegevens_A!D398 &amp; " " &amp; Klantgegevens_A!E398 &amp; ", " &amp; Klantgegevens_A!F398)</f>
        <v/>
      </c>
      <c r="E399">
        <f>IF(Klantgegevens_B!G398&lt;&gt;"", Klantgegevens_B!G398, TEXTJOIN(",", TRUE, REPT("Volwassene,", Klantgegevens_A!G398), REPT("Kind,", Klantgegevens_A!H398)))</f>
        <v/>
      </c>
      <c r="F399">
        <f>IF(Klantgegevens_B!G398&lt;&gt;"", LEN(Klantgegevens_B!G398)-LEN(SUBSTITUTE(Klantgegevens_B!G398, ",", ""))+1, Klantgegevens_A!G398)</f>
        <v/>
      </c>
      <c r="G399">
        <f>IF(Klantgegevens_B!G398&lt;&gt;"", 0, Klantgegevens_A!H398)</f>
        <v/>
      </c>
      <c r="H399">
        <f>IF(Klantgegevens_B!H398&lt;&gt;"", Klantgegevens_B!H398, Klantgegevens_A!I398)</f>
        <v/>
      </c>
      <c r="I399">
        <f>IF(Klantgegevens_B!I398&lt;&gt;"", Klantgegevens_B!I398, SWITCH(Klantgegevens_A!J398, "Zelden", 1, "Af en toe", 4, "Regelmatig", 8, "Vaak", 12))</f>
        <v/>
      </c>
      <c r="J399">
        <f>IF(Klantgegevens_B!J398&lt;&gt;"", Klantgegevens_B!J398, Klantgegevens_A!K398)</f>
        <v/>
      </c>
      <c r="K399">
        <f>IF(Klantgegevens_B!K398&lt;&gt;"", AVERAGE(--(Klantgegevens_B!K398="ja"), --(Klantgegevens_B!L398="ja"), --(Klantgegevens_B!M398="ja"), --(Klantgegevens_B!N398="ja"), --(Klantgegevens_B!O398="ja"))*10, Klantgegevens_A!L398)</f>
        <v/>
      </c>
      <c r="L399">
        <f>IF(Klantgegevens_B!K398&lt;&gt;"", Klantgegevens_B!K398, IF(Klantgegevens_A!L398&gt;=7, "ja", "nee"))</f>
        <v/>
      </c>
      <c r="M399">
        <f>IF(Klantgegevens_B!L398&lt;&gt;"", Klantgegevens_B!L398, IF(Klantgegevens_A!L398&gt;=7, "ja", "nee"))</f>
        <v/>
      </c>
      <c r="N399">
        <f>IF(Klantgegevens_B!M398&lt;&gt;"", Klantgegevens_B!M398, IF(Klantgegevens_A!L398&gt;=7, "ja", "nee"))</f>
        <v/>
      </c>
      <c r="O399">
        <f>IF(Klantgegevens_B!N398&lt;&gt;"", Klantgegevens_B!N398, IF(Klantgegevens_A!L398&gt;=7, "ja", "nee"))</f>
        <v/>
      </c>
      <c r="P399">
        <f>IF(Klantgegevens_B!O398&lt;&gt;"", Klantgegevens_B!O398, IF(Klantgegevens_A!L398&gt;=7, "ja", "nee"))</f>
        <v/>
      </c>
      <c r="Q399">
        <f>IF(Klantgegevens_B!P398&lt;&gt;"", Klantgegevens_B!P398, Klantgegevens_A!M398)</f>
        <v/>
      </c>
      <c r="R399">
        <f>IF(Klantgegevens_B!A398&lt;&gt;"", "B", "A")</f>
        <v/>
      </c>
    </row>
    <row r="400">
      <c r="A400">
        <f>IF(Klantgegevens_B!A399&lt;&gt;"", Klantgegevens_B!A399, MID(Klantgegevens_A!A399, FIND(",", Klantgegevens_A!A399)+2, LEN(Klantgegevens_A!A399)))</f>
        <v/>
      </c>
      <c r="B400">
        <f>IF(Klantgegevens_B!B399&lt;&gt;"", Klantgegevens_B!B399, LEFT(Klantgegevens_A!A399, FIND(",", Klantgegevens_A!A399)-1))</f>
        <v/>
      </c>
      <c r="C400">
        <f>C399 &amp; ", " &amp; B399</f>
        <v/>
      </c>
      <c r="D400">
        <f>IF(Klantgegevens_B!F399&lt;&gt;"", Klantgegevens_B!F399, Klantgegevens_A!D399 &amp; " " &amp; Klantgegevens_A!E399 &amp; ", " &amp; Klantgegevens_A!F399)</f>
        <v/>
      </c>
      <c r="E400">
        <f>IF(Klantgegevens_B!G399&lt;&gt;"", Klantgegevens_B!G399, TEXTJOIN(",", TRUE, REPT("Volwassene,", Klantgegevens_A!G399), REPT("Kind,", Klantgegevens_A!H399)))</f>
        <v/>
      </c>
      <c r="F400">
        <f>IF(Klantgegevens_B!G399&lt;&gt;"", LEN(Klantgegevens_B!G399)-LEN(SUBSTITUTE(Klantgegevens_B!G399, ",", ""))+1, Klantgegevens_A!G399)</f>
        <v/>
      </c>
      <c r="G400">
        <f>IF(Klantgegevens_B!G399&lt;&gt;"", 0, Klantgegevens_A!H399)</f>
        <v/>
      </c>
      <c r="H400">
        <f>IF(Klantgegevens_B!H399&lt;&gt;"", Klantgegevens_B!H399, Klantgegevens_A!I399)</f>
        <v/>
      </c>
      <c r="I400">
        <f>IF(Klantgegevens_B!I399&lt;&gt;"", Klantgegevens_B!I399, SWITCH(Klantgegevens_A!J399, "Zelden", 1, "Af en toe", 4, "Regelmatig", 8, "Vaak", 12))</f>
        <v/>
      </c>
      <c r="J400">
        <f>IF(Klantgegevens_B!J399&lt;&gt;"", Klantgegevens_B!J399, Klantgegevens_A!K399)</f>
        <v/>
      </c>
      <c r="K400">
        <f>IF(Klantgegevens_B!K399&lt;&gt;"", AVERAGE(--(Klantgegevens_B!K399="ja"), --(Klantgegevens_B!L399="ja"), --(Klantgegevens_B!M399="ja"), --(Klantgegevens_B!N399="ja"), --(Klantgegevens_B!O399="ja"))*10, Klantgegevens_A!L399)</f>
        <v/>
      </c>
      <c r="L400">
        <f>IF(Klantgegevens_B!K399&lt;&gt;"", Klantgegevens_B!K399, IF(Klantgegevens_A!L399&gt;=7, "ja", "nee"))</f>
        <v/>
      </c>
      <c r="M400">
        <f>IF(Klantgegevens_B!L399&lt;&gt;"", Klantgegevens_B!L399, IF(Klantgegevens_A!L399&gt;=7, "ja", "nee"))</f>
        <v/>
      </c>
      <c r="N400">
        <f>IF(Klantgegevens_B!M399&lt;&gt;"", Klantgegevens_B!M399, IF(Klantgegevens_A!L399&gt;=7, "ja", "nee"))</f>
        <v/>
      </c>
      <c r="O400">
        <f>IF(Klantgegevens_B!N399&lt;&gt;"", Klantgegevens_B!N399, IF(Klantgegevens_A!L399&gt;=7, "ja", "nee"))</f>
        <v/>
      </c>
      <c r="P400">
        <f>IF(Klantgegevens_B!O399&lt;&gt;"", Klantgegevens_B!O399, IF(Klantgegevens_A!L399&gt;=7, "ja", "nee"))</f>
        <v/>
      </c>
      <c r="Q400">
        <f>IF(Klantgegevens_B!P399&lt;&gt;"", Klantgegevens_B!P399, Klantgegevens_A!M399)</f>
        <v/>
      </c>
      <c r="R400">
        <f>IF(Klantgegevens_B!A399&lt;&gt;"", "B", "A")</f>
        <v/>
      </c>
    </row>
    <row r="401">
      <c r="A401">
        <f>IF(Klantgegevens_B!A400&lt;&gt;"", Klantgegevens_B!A400, MID(Klantgegevens_A!A400, FIND(",", Klantgegevens_A!A400)+2, LEN(Klantgegevens_A!A400)))</f>
        <v/>
      </c>
      <c r="B401">
        <f>IF(Klantgegevens_B!B400&lt;&gt;"", Klantgegevens_B!B400, LEFT(Klantgegevens_A!A400, FIND(",", Klantgegevens_A!A400)-1))</f>
        <v/>
      </c>
      <c r="C401">
        <f>C400 &amp; ", " &amp; B400</f>
        <v/>
      </c>
      <c r="D401">
        <f>IF(Klantgegevens_B!F400&lt;&gt;"", Klantgegevens_B!F400, Klantgegevens_A!D400 &amp; " " &amp; Klantgegevens_A!E400 &amp; ", " &amp; Klantgegevens_A!F400)</f>
        <v/>
      </c>
      <c r="E401">
        <f>IF(Klantgegevens_B!G400&lt;&gt;"", Klantgegevens_B!G400, TEXTJOIN(",", TRUE, REPT("Volwassene,", Klantgegevens_A!G400), REPT("Kind,", Klantgegevens_A!H400)))</f>
        <v/>
      </c>
      <c r="F401">
        <f>IF(Klantgegevens_B!G400&lt;&gt;"", LEN(Klantgegevens_B!G400)-LEN(SUBSTITUTE(Klantgegevens_B!G400, ",", ""))+1, Klantgegevens_A!G400)</f>
        <v/>
      </c>
      <c r="G401">
        <f>IF(Klantgegevens_B!G400&lt;&gt;"", 0, Klantgegevens_A!H400)</f>
        <v/>
      </c>
      <c r="H401">
        <f>IF(Klantgegevens_B!H400&lt;&gt;"", Klantgegevens_B!H400, Klantgegevens_A!I400)</f>
        <v/>
      </c>
      <c r="I401">
        <f>IF(Klantgegevens_B!I400&lt;&gt;"", Klantgegevens_B!I400, SWITCH(Klantgegevens_A!J400, "Zelden", 1, "Af en toe", 4, "Regelmatig", 8, "Vaak", 12))</f>
        <v/>
      </c>
      <c r="J401">
        <f>IF(Klantgegevens_B!J400&lt;&gt;"", Klantgegevens_B!J400, Klantgegevens_A!K400)</f>
        <v/>
      </c>
      <c r="K401">
        <f>IF(Klantgegevens_B!K400&lt;&gt;"", AVERAGE(--(Klantgegevens_B!K400="ja"), --(Klantgegevens_B!L400="ja"), --(Klantgegevens_B!M400="ja"), --(Klantgegevens_B!N400="ja"), --(Klantgegevens_B!O400="ja"))*10, Klantgegevens_A!L400)</f>
        <v/>
      </c>
      <c r="L401">
        <f>IF(Klantgegevens_B!K400&lt;&gt;"", Klantgegevens_B!K400, IF(Klantgegevens_A!L400&gt;=7, "ja", "nee"))</f>
        <v/>
      </c>
      <c r="M401">
        <f>IF(Klantgegevens_B!L400&lt;&gt;"", Klantgegevens_B!L400, IF(Klantgegevens_A!L400&gt;=7, "ja", "nee"))</f>
        <v/>
      </c>
      <c r="N401">
        <f>IF(Klantgegevens_B!M400&lt;&gt;"", Klantgegevens_B!M400, IF(Klantgegevens_A!L400&gt;=7, "ja", "nee"))</f>
        <v/>
      </c>
      <c r="O401">
        <f>IF(Klantgegevens_B!N400&lt;&gt;"", Klantgegevens_B!N400, IF(Klantgegevens_A!L400&gt;=7, "ja", "nee"))</f>
        <v/>
      </c>
      <c r="P401">
        <f>IF(Klantgegevens_B!O400&lt;&gt;"", Klantgegevens_B!O400, IF(Klantgegevens_A!L400&gt;=7, "ja", "nee"))</f>
        <v/>
      </c>
      <c r="Q401">
        <f>IF(Klantgegevens_B!P400&lt;&gt;"", Klantgegevens_B!P400, Klantgegevens_A!M400)</f>
        <v/>
      </c>
      <c r="R401">
        <f>IF(Klantgegevens_B!A400&lt;&gt;"", "B", "A")</f>
        <v/>
      </c>
    </row>
    <row r="402">
      <c r="A402">
        <f>IF(Klantgegevens_B!A401&lt;&gt;"", Klantgegevens_B!A401, MID(Klantgegevens_A!A401, FIND(",", Klantgegevens_A!A401)+2, LEN(Klantgegevens_A!A401)))</f>
        <v/>
      </c>
      <c r="B402">
        <f>IF(Klantgegevens_B!B401&lt;&gt;"", Klantgegevens_B!B401, LEFT(Klantgegevens_A!A401, FIND(",", Klantgegevens_A!A401)-1))</f>
        <v/>
      </c>
      <c r="C402">
        <f>C401 &amp; ", " &amp; B401</f>
        <v/>
      </c>
      <c r="D402">
        <f>IF(Klantgegevens_B!F401&lt;&gt;"", Klantgegevens_B!F401, Klantgegevens_A!D401 &amp; " " &amp; Klantgegevens_A!E401 &amp; ", " &amp; Klantgegevens_A!F401)</f>
        <v/>
      </c>
      <c r="E402">
        <f>IF(Klantgegevens_B!G401&lt;&gt;"", Klantgegevens_B!G401, TEXTJOIN(",", TRUE, REPT("Volwassene,", Klantgegevens_A!G401), REPT("Kind,", Klantgegevens_A!H401)))</f>
        <v/>
      </c>
      <c r="F402">
        <f>IF(Klantgegevens_B!G401&lt;&gt;"", LEN(Klantgegevens_B!G401)-LEN(SUBSTITUTE(Klantgegevens_B!G401, ",", ""))+1, Klantgegevens_A!G401)</f>
        <v/>
      </c>
      <c r="G402">
        <f>IF(Klantgegevens_B!G401&lt;&gt;"", 0, Klantgegevens_A!H401)</f>
        <v/>
      </c>
      <c r="H402">
        <f>IF(Klantgegevens_B!H401&lt;&gt;"", Klantgegevens_B!H401, Klantgegevens_A!I401)</f>
        <v/>
      </c>
      <c r="I402">
        <f>IF(Klantgegevens_B!I401&lt;&gt;"", Klantgegevens_B!I401, SWITCH(Klantgegevens_A!J401, "Zelden", 1, "Af en toe", 4, "Regelmatig", 8, "Vaak", 12))</f>
        <v/>
      </c>
      <c r="J402">
        <f>IF(Klantgegevens_B!J401&lt;&gt;"", Klantgegevens_B!J401, Klantgegevens_A!K401)</f>
        <v/>
      </c>
      <c r="K402">
        <f>IF(Klantgegevens_B!K401&lt;&gt;"", AVERAGE(--(Klantgegevens_B!K401="ja"), --(Klantgegevens_B!L401="ja"), --(Klantgegevens_B!M401="ja"), --(Klantgegevens_B!N401="ja"), --(Klantgegevens_B!O401="ja"))*10, Klantgegevens_A!L401)</f>
        <v/>
      </c>
      <c r="L402">
        <f>IF(Klantgegevens_B!K401&lt;&gt;"", Klantgegevens_B!K401, IF(Klantgegevens_A!L401&gt;=7, "ja", "nee"))</f>
        <v/>
      </c>
      <c r="M402">
        <f>IF(Klantgegevens_B!L401&lt;&gt;"", Klantgegevens_B!L401, IF(Klantgegevens_A!L401&gt;=7, "ja", "nee"))</f>
        <v/>
      </c>
      <c r="N402">
        <f>IF(Klantgegevens_B!M401&lt;&gt;"", Klantgegevens_B!M401, IF(Klantgegevens_A!L401&gt;=7, "ja", "nee"))</f>
        <v/>
      </c>
      <c r="O402">
        <f>IF(Klantgegevens_B!N401&lt;&gt;"", Klantgegevens_B!N401, IF(Klantgegevens_A!L401&gt;=7, "ja", "nee"))</f>
        <v/>
      </c>
      <c r="P402">
        <f>IF(Klantgegevens_B!O401&lt;&gt;"", Klantgegevens_B!O401, IF(Klantgegevens_A!L401&gt;=7, "ja", "nee"))</f>
        <v/>
      </c>
      <c r="Q402">
        <f>IF(Klantgegevens_B!P401&lt;&gt;"", Klantgegevens_B!P401, Klantgegevens_A!M401)</f>
        <v/>
      </c>
      <c r="R402">
        <f>IF(Klantgegevens_B!A401&lt;&gt;"", "B", "A")</f>
        <v/>
      </c>
    </row>
    <row r="403">
      <c r="A403">
        <f>IF(Klantgegevens_B!A402&lt;&gt;"", Klantgegevens_B!A402, MID(Klantgegevens_A!A402, FIND(",", Klantgegevens_A!A402)+2, LEN(Klantgegevens_A!A402)))</f>
        <v/>
      </c>
      <c r="B403">
        <f>IF(Klantgegevens_B!B402&lt;&gt;"", Klantgegevens_B!B402, LEFT(Klantgegevens_A!A402, FIND(",", Klantgegevens_A!A402)-1))</f>
        <v/>
      </c>
      <c r="C403">
        <f>C402 &amp; ", " &amp; B402</f>
        <v/>
      </c>
      <c r="D403">
        <f>IF(Klantgegevens_B!F402&lt;&gt;"", Klantgegevens_B!F402, Klantgegevens_A!D402 &amp; " " &amp; Klantgegevens_A!E402 &amp; ", " &amp; Klantgegevens_A!F402)</f>
        <v/>
      </c>
      <c r="E403">
        <f>IF(Klantgegevens_B!G402&lt;&gt;"", Klantgegevens_B!G402, TEXTJOIN(",", TRUE, REPT("Volwassene,", Klantgegevens_A!G402), REPT("Kind,", Klantgegevens_A!H402)))</f>
        <v/>
      </c>
      <c r="F403">
        <f>IF(Klantgegevens_B!G402&lt;&gt;"", LEN(Klantgegevens_B!G402)-LEN(SUBSTITUTE(Klantgegevens_B!G402, ",", ""))+1, Klantgegevens_A!G402)</f>
        <v/>
      </c>
      <c r="G403">
        <f>IF(Klantgegevens_B!G402&lt;&gt;"", 0, Klantgegevens_A!H402)</f>
        <v/>
      </c>
      <c r="H403">
        <f>IF(Klantgegevens_B!H402&lt;&gt;"", Klantgegevens_B!H402, Klantgegevens_A!I402)</f>
        <v/>
      </c>
      <c r="I403">
        <f>IF(Klantgegevens_B!I402&lt;&gt;"", Klantgegevens_B!I402, SWITCH(Klantgegevens_A!J402, "Zelden", 1, "Af en toe", 4, "Regelmatig", 8, "Vaak", 12))</f>
        <v/>
      </c>
      <c r="J403">
        <f>IF(Klantgegevens_B!J402&lt;&gt;"", Klantgegevens_B!J402, Klantgegevens_A!K402)</f>
        <v/>
      </c>
      <c r="K403">
        <f>IF(Klantgegevens_B!K402&lt;&gt;"", AVERAGE(--(Klantgegevens_B!K402="ja"), --(Klantgegevens_B!L402="ja"), --(Klantgegevens_B!M402="ja"), --(Klantgegevens_B!N402="ja"), --(Klantgegevens_B!O402="ja"))*10, Klantgegevens_A!L402)</f>
        <v/>
      </c>
      <c r="L403">
        <f>IF(Klantgegevens_B!K402&lt;&gt;"", Klantgegevens_B!K402, IF(Klantgegevens_A!L402&gt;=7, "ja", "nee"))</f>
        <v/>
      </c>
      <c r="M403">
        <f>IF(Klantgegevens_B!L402&lt;&gt;"", Klantgegevens_B!L402, IF(Klantgegevens_A!L402&gt;=7, "ja", "nee"))</f>
        <v/>
      </c>
      <c r="N403">
        <f>IF(Klantgegevens_B!M402&lt;&gt;"", Klantgegevens_B!M402, IF(Klantgegevens_A!L402&gt;=7, "ja", "nee"))</f>
        <v/>
      </c>
      <c r="O403">
        <f>IF(Klantgegevens_B!N402&lt;&gt;"", Klantgegevens_B!N402, IF(Klantgegevens_A!L402&gt;=7, "ja", "nee"))</f>
        <v/>
      </c>
      <c r="P403">
        <f>IF(Klantgegevens_B!O402&lt;&gt;"", Klantgegevens_B!O402, IF(Klantgegevens_A!L402&gt;=7, "ja", "nee"))</f>
        <v/>
      </c>
      <c r="Q403">
        <f>IF(Klantgegevens_B!P402&lt;&gt;"", Klantgegevens_B!P402, Klantgegevens_A!M402)</f>
        <v/>
      </c>
      <c r="R403">
        <f>IF(Klantgegevens_B!A402&lt;&gt;"", "B", "A")</f>
        <v/>
      </c>
    </row>
    <row r="404">
      <c r="A404">
        <f>IF(Klantgegevens_B!A403&lt;&gt;"", Klantgegevens_B!A403, MID(Klantgegevens_A!A403, FIND(",", Klantgegevens_A!A403)+2, LEN(Klantgegevens_A!A403)))</f>
        <v/>
      </c>
      <c r="B404">
        <f>IF(Klantgegevens_B!B403&lt;&gt;"", Klantgegevens_B!B403, LEFT(Klantgegevens_A!A403, FIND(",", Klantgegevens_A!A403)-1))</f>
        <v/>
      </c>
      <c r="C404">
        <f>C403 &amp; ", " &amp; B403</f>
        <v/>
      </c>
      <c r="D404">
        <f>IF(Klantgegevens_B!F403&lt;&gt;"", Klantgegevens_B!F403, Klantgegevens_A!D403 &amp; " " &amp; Klantgegevens_A!E403 &amp; ", " &amp; Klantgegevens_A!F403)</f>
        <v/>
      </c>
      <c r="E404">
        <f>IF(Klantgegevens_B!G403&lt;&gt;"", Klantgegevens_B!G403, TEXTJOIN(",", TRUE, REPT("Volwassene,", Klantgegevens_A!G403), REPT("Kind,", Klantgegevens_A!H403)))</f>
        <v/>
      </c>
      <c r="F404">
        <f>IF(Klantgegevens_B!G403&lt;&gt;"", LEN(Klantgegevens_B!G403)-LEN(SUBSTITUTE(Klantgegevens_B!G403, ",", ""))+1, Klantgegevens_A!G403)</f>
        <v/>
      </c>
      <c r="G404">
        <f>IF(Klantgegevens_B!G403&lt;&gt;"", 0, Klantgegevens_A!H403)</f>
        <v/>
      </c>
      <c r="H404">
        <f>IF(Klantgegevens_B!H403&lt;&gt;"", Klantgegevens_B!H403, Klantgegevens_A!I403)</f>
        <v/>
      </c>
      <c r="I404">
        <f>IF(Klantgegevens_B!I403&lt;&gt;"", Klantgegevens_B!I403, SWITCH(Klantgegevens_A!J403, "Zelden", 1, "Af en toe", 4, "Regelmatig", 8, "Vaak", 12))</f>
        <v/>
      </c>
      <c r="J404">
        <f>IF(Klantgegevens_B!J403&lt;&gt;"", Klantgegevens_B!J403, Klantgegevens_A!K403)</f>
        <v/>
      </c>
      <c r="K404">
        <f>IF(Klantgegevens_B!K403&lt;&gt;"", AVERAGE(--(Klantgegevens_B!K403="ja"), --(Klantgegevens_B!L403="ja"), --(Klantgegevens_B!M403="ja"), --(Klantgegevens_B!N403="ja"), --(Klantgegevens_B!O403="ja"))*10, Klantgegevens_A!L403)</f>
        <v/>
      </c>
      <c r="L404">
        <f>IF(Klantgegevens_B!K403&lt;&gt;"", Klantgegevens_B!K403, IF(Klantgegevens_A!L403&gt;=7, "ja", "nee"))</f>
        <v/>
      </c>
      <c r="M404">
        <f>IF(Klantgegevens_B!L403&lt;&gt;"", Klantgegevens_B!L403, IF(Klantgegevens_A!L403&gt;=7, "ja", "nee"))</f>
        <v/>
      </c>
      <c r="N404">
        <f>IF(Klantgegevens_B!M403&lt;&gt;"", Klantgegevens_B!M403, IF(Klantgegevens_A!L403&gt;=7, "ja", "nee"))</f>
        <v/>
      </c>
      <c r="O404">
        <f>IF(Klantgegevens_B!N403&lt;&gt;"", Klantgegevens_B!N403, IF(Klantgegevens_A!L403&gt;=7, "ja", "nee"))</f>
        <v/>
      </c>
      <c r="P404">
        <f>IF(Klantgegevens_B!O403&lt;&gt;"", Klantgegevens_B!O403, IF(Klantgegevens_A!L403&gt;=7, "ja", "nee"))</f>
        <v/>
      </c>
      <c r="Q404">
        <f>IF(Klantgegevens_B!P403&lt;&gt;"", Klantgegevens_B!P403, Klantgegevens_A!M403)</f>
        <v/>
      </c>
      <c r="R404">
        <f>IF(Klantgegevens_B!A403&lt;&gt;"", "B", "A")</f>
        <v/>
      </c>
    </row>
    <row r="405">
      <c r="A405">
        <f>IF(Klantgegevens_B!A404&lt;&gt;"", Klantgegevens_B!A404, MID(Klantgegevens_A!A404, FIND(",", Klantgegevens_A!A404)+2, LEN(Klantgegevens_A!A404)))</f>
        <v/>
      </c>
      <c r="B405">
        <f>IF(Klantgegevens_B!B404&lt;&gt;"", Klantgegevens_B!B404, LEFT(Klantgegevens_A!A404, FIND(",", Klantgegevens_A!A404)-1))</f>
        <v/>
      </c>
      <c r="C405">
        <f>C404 &amp; ", " &amp; B404</f>
        <v/>
      </c>
      <c r="D405">
        <f>IF(Klantgegevens_B!F404&lt;&gt;"", Klantgegevens_B!F404, Klantgegevens_A!D404 &amp; " " &amp; Klantgegevens_A!E404 &amp; ", " &amp; Klantgegevens_A!F404)</f>
        <v/>
      </c>
      <c r="E405">
        <f>IF(Klantgegevens_B!G404&lt;&gt;"", Klantgegevens_B!G404, TEXTJOIN(",", TRUE, REPT("Volwassene,", Klantgegevens_A!G404), REPT("Kind,", Klantgegevens_A!H404)))</f>
        <v/>
      </c>
      <c r="F405">
        <f>IF(Klantgegevens_B!G404&lt;&gt;"", LEN(Klantgegevens_B!G404)-LEN(SUBSTITUTE(Klantgegevens_B!G404, ",", ""))+1, Klantgegevens_A!G404)</f>
        <v/>
      </c>
      <c r="G405">
        <f>IF(Klantgegevens_B!G404&lt;&gt;"", 0, Klantgegevens_A!H404)</f>
        <v/>
      </c>
      <c r="H405">
        <f>IF(Klantgegevens_B!H404&lt;&gt;"", Klantgegevens_B!H404, Klantgegevens_A!I404)</f>
        <v/>
      </c>
      <c r="I405">
        <f>IF(Klantgegevens_B!I404&lt;&gt;"", Klantgegevens_B!I404, SWITCH(Klantgegevens_A!J404, "Zelden", 1, "Af en toe", 4, "Regelmatig", 8, "Vaak", 12))</f>
        <v/>
      </c>
      <c r="J405">
        <f>IF(Klantgegevens_B!J404&lt;&gt;"", Klantgegevens_B!J404, Klantgegevens_A!K404)</f>
        <v/>
      </c>
      <c r="K405">
        <f>IF(Klantgegevens_B!K404&lt;&gt;"", AVERAGE(--(Klantgegevens_B!K404="ja"), --(Klantgegevens_B!L404="ja"), --(Klantgegevens_B!M404="ja"), --(Klantgegevens_B!N404="ja"), --(Klantgegevens_B!O404="ja"))*10, Klantgegevens_A!L404)</f>
        <v/>
      </c>
      <c r="L405">
        <f>IF(Klantgegevens_B!K404&lt;&gt;"", Klantgegevens_B!K404, IF(Klantgegevens_A!L404&gt;=7, "ja", "nee"))</f>
        <v/>
      </c>
      <c r="M405">
        <f>IF(Klantgegevens_B!L404&lt;&gt;"", Klantgegevens_B!L404, IF(Klantgegevens_A!L404&gt;=7, "ja", "nee"))</f>
        <v/>
      </c>
      <c r="N405">
        <f>IF(Klantgegevens_B!M404&lt;&gt;"", Klantgegevens_B!M404, IF(Klantgegevens_A!L404&gt;=7, "ja", "nee"))</f>
        <v/>
      </c>
      <c r="O405">
        <f>IF(Klantgegevens_B!N404&lt;&gt;"", Klantgegevens_B!N404, IF(Klantgegevens_A!L404&gt;=7, "ja", "nee"))</f>
        <v/>
      </c>
      <c r="P405">
        <f>IF(Klantgegevens_B!O404&lt;&gt;"", Klantgegevens_B!O404, IF(Klantgegevens_A!L404&gt;=7, "ja", "nee"))</f>
        <v/>
      </c>
      <c r="Q405">
        <f>IF(Klantgegevens_B!P404&lt;&gt;"", Klantgegevens_B!P404, Klantgegevens_A!M404)</f>
        <v/>
      </c>
      <c r="R405">
        <f>IF(Klantgegevens_B!A404&lt;&gt;"", "B", "A")</f>
        <v/>
      </c>
    </row>
    <row r="406">
      <c r="A406">
        <f>IF(Klantgegevens_B!A405&lt;&gt;"", Klantgegevens_B!A405, MID(Klantgegevens_A!A405, FIND(",", Klantgegevens_A!A405)+2, LEN(Klantgegevens_A!A405)))</f>
        <v/>
      </c>
      <c r="B406">
        <f>IF(Klantgegevens_B!B405&lt;&gt;"", Klantgegevens_B!B405, LEFT(Klantgegevens_A!A405, FIND(",", Klantgegevens_A!A405)-1))</f>
        <v/>
      </c>
      <c r="C406">
        <f>C405 &amp; ", " &amp; B405</f>
        <v/>
      </c>
      <c r="D406">
        <f>IF(Klantgegevens_B!F405&lt;&gt;"", Klantgegevens_B!F405, Klantgegevens_A!D405 &amp; " " &amp; Klantgegevens_A!E405 &amp; ", " &amp; Klantgegevens_A!F405)</f>
        <v/>
      </c>
      <c r="E406">
        <f>IF(Klantgegevens_B!G405&lt;&gt;"", Klantgegevens_B!G405, TEXTJOIN(",", TRUE, REPT("Volwassene,", Klantgegevens_A!G405), REPT("Kind,", Klantgegevens_A!H405)))</f>
        <v/>
      </c>
      <c r="F406">
        <f>IF(Klantgegevens_B!G405&lt;&gt;"", LEN(Klantgegevens_B!G405)-LEN(SUBSTITUTE(Klantgegevens_B!G405, ",", ""))+1, Klantgegevens_A!G405)</f>
        <v/>
      </c>
      <c r="G406">
        <f>IF(Klantgegevens_B!G405&lt;&gt;"", 0, Klantgegevens_A!H405)</f>
        <v/>
      </c>
      <c r="H406">
        <f>IF(Klantgegevens_B!H405&lt;&gt;"", Klantgegevens_B!H405, Klantgegevens_A!I405)</f>
        <v/>
      </c>
      <c r="I406">
        <f>IF(Klantgegevens_B!I405&lt;&gt;"", Klantgegevens_B!I405, SWITCH(Klantgegevens_A!J405, "Zelden", 1, "Af en toe", 4, "Regelmatig", 8, "Vaak", 12))</f>
        <v/>
      </c>
      <c r="J406">
        <f>IF(Klantgegevens_B!J405&lt;&gt;"", Klantgegevens_B!J405, Klantgegevens_A!K405)</f>
        <v/>
      </c>
      <c r="K406">
        <f>IF(Klantgegevens_B!K405&lt;&gt;"", AVERAGE(--(Klantgegevens_B!K405="ja"), --(Klantgegevens_B!L405="ja"), --(Klantgegevens_B!M405="ja"), --(Klantgegevens_B!N405="ja"), --(Klantgegevens_B!O405="ja"))*10, Klantgegevens_A!L405)</f>
        <v/>
      </c>
      <c r="L406">
        <f>IF(Klantgegevens_B!K405&lt;&gt;"", Klantgegevens_B!K405, IF(Klantgegevens_A!L405&gt;=7, "ja", "nee"))</f>
        <v/>
      </c>
      <c r="M406">
        <f>IF(Klantgegevens_B!L405&lt;&gt;"", Klantgegevens_B!L405, IF(Klantgegevens_A!L405&gt;=7, "ja", "nee"))</f>
        <v/>
      </c>
      <c r="N406">
        <f>IF(Klantgegevens_B!M405&lt;&gt;"", Klantgegevens_B!M405, IF(Klantgegevens_A!L405&gt;=7, "ja", "nee"))</f>
        <v/>
      </c>
      <c r="O406">
        <f>IF(Klantgegevens_B!N405&lt;&gt;"", Klantgegevens_B!N405, IF(Klantgegevens_A!L405&gt;=7, "ja", "nee"))</f>
        <v/>
      </c>
      <c r="P406">
        <f>IF(Klantgegevens_B!O405&lt;&gt;"", Klantgegevens_B!O405, IF(Klantgegevens_A!L405&gt;=7, "ja", "nee"))</f>
        <v/>
      </c>
      <c r="Q406">
        <f>IF(Klantgegevens_B!P405&lt;&gt;"", Klantgegevens_B!P405, Klantgegevens_A!M405)</f>
        <v/>
      </c>
      <c r="R406">
        <f>IF(Klantgegevens_B!A405&lt;&gt;"", "B", "A")</f>
        <v/>
      </c>
    </row>
    <row r="407">
      <c r="A407">
        <f>IF(Klantgegevens_B!A406&lt;&gt;"", Klantgegevens_B!A406, MID(Klantgegevens_A!A406, FIND(",", Klantgegevens_A!A406)+2, LEN(Klantgegevens_A!A406)))</f>
        <v/>
      </c>
      <c r="B407">
        <f>IF(Klantgegevens_B!B406&lt;&gt;"", Klantgegevens_B!B406, LEFT(Klantgegevens_A!A406, FIND(",", Klantgegevens_A!A406)-1))</f>
        <v/>
      </c>
      <c r="C407">
        <f>C406 &amp; ", " &amp; B406</f>
        <v/>
      </c>
      <c r="D407">
        <f>IF(Klantgegevens_B!F406&lt;&gt;"", Klantgegevens_B!F406, Klantgegevens_A!D406 &amp; " " &amp; Klantgegevens_A!E406 &amp; ", " &amp; Klantgegevens_A!F406)</f>
        <v/>
      </c>
      <c r="E407">
        <f>IF(Klantgegevens_B!G406&lt;&gt;"", Klantgegevens_B!G406, TEXTJOIN(",", TRUE, REPT("Volwassene,", Klantgegevens_A!G406), REPT("Kind,", Klantgegevens_A!H406)))</f>
        <v/>
      </c>
      <c r="F407">
        <f>IF(Klantgegevens_B!G406&lt;&gt;"", LEN(Klantgegevens_B!G406)-LEN(SUBSTITUTE(Klantgegevens_B!G406, ",", ""))+1, Klantgegevens_A!G406)</f>
        <v/>
      </c>
      <c r="G407">
        <f>IF(Klantgegevens_B!G406&lt;&gt;"", 0, Klantgegevens_A!H406)</f>
        <v/>
      </c>
      <c r="H407">
        <f>IF(Klantgegevens_B!H406&lt;&gt;"", Klantgegevens_B!H406, Klantgegevens_A!I406)</f>
        <v/>
      </c>
      <c r="I407">
        <f>IF(Klantgegevens_B!I406&lt;&gt;"", Klantgegevens_B!I406, SWITCH(Klantgegevens_A!J406, "Zelden", 1, "Af en toe", 4, "Regelmatig", 8, "Vaak", 12))</f>
        <v/>
      </c>
      <c r="J407">
        <f>IF(Klantgegevens_B!J406&lt;&gt;"", Klantgegevens_B!J406, Klantgegevens_A!K406)</f>
        <v/>
      </c>
      <c r="K407">
        <f>IF(Klantgegevens_B!K406&lt;&gt;"", AVERAGE(--(Klantgegevens_B!K406="ja"), --(Klantgegevens_B!L406="ja"), --(Klantgegevens_B!M406="ja"), --(Klantgegevens_B!N406="ja"), --(Klantgegevens_B!O406="ja"))*10, Klantgegevens_A!L406)</f>
        <v/>
      </c>
      <c r="L407">
        <f>IF(Klantgegevens_B!K406&lt;&gt;"", Klantgegevens_B!K406, IF(Klantgegevens_A!L406&gt;=7, "ja", "nee"))</f>
        <v/>
      </c>
      <c r="M407">
        <f>IF(Klantgegevens_B!L406&lt;&gt;"", Klantgegevens_B!L406, IF(Klantgegevens_A!L406&gt;=7, "ja", "nee"))</f>
        <v/>
      </c>
      <c r="N407">
        <f>IF(Klantgegevens_B!M406&lt;&gt;"", Klantgegevens_B!M406, IF(Klantgegevens_A!L406&gt;=7, "ja", "nee"))</f>
        <v/>
      </c>
      <c r="O407">
        <f>IF(Klantgegevens_B!N406&lt;&gt;"", Klantgegevens_B!N406, IF(Klantgegevens_A!L406&gt;=7, "ja", "nee"))</f>
        <v/>
      </c>
      <c r="P407">
        <f>IF(Klantgegevens_B!O406&lt;&gt;"", Klantgegevens_B!O406, IF(Klantgegevens_A!L406&gt;=7, "ja", "nee"))</f>
        <v/>
      </c>
      <c r="Q407">
        <f>IF(Klantgegevens_B!P406&lt;&gt;"", Klantgegevens_B!P406, Klantgegevens_A!M406)</f>
        <v/>
      </c>
      <c r="R407">
        <f>IF(Klantgegevens_B!A406&lt;&gt;"", "B", "A")</f>
        <v/>
      </c>
    </row>
    <row r="408">
      <c r="A408">
        <f>IF(Klantgegevens_B!A407&lt;&gt;"", Klantgegevens_B!A407, MID(Klantgegevens_A!A407, FIND(",", Klantgegevens_A!A407)+2, LEN(Klantgegevens_A!A407)))</f>
        <v/>
      </c>
      <c r="B408">
        <f>IF(Klantgegevens_B!B407&lt;&gt;"", Klantgegevens_B!B407, LEFT(Klantgegevens_A!A407, FIND(",", Klantgegevens_A!A407)-1))</f>
        <v/>
      </c>
      <c r="C408">
        <f>C407 &amp; ", " &amp; B407</f>
        <v/>
      </c>
      <c r="D408">
        <f>IF(Klantgegevens_B!F407&lt;&gt;"", Klantgegevens_B!F407, Klantgegevens_A!D407 &amp; " " &amp; Klantgegevens_A!E407 &amp; ", " &amp; Klantgegevens_A!F407)</f>
        <v/>
      </c>
      <c r="E408">
        <f>IF(Klantgegevens_B!G407&lt;&gt;"", Klantgegevens_B!G407, TEXTJOIN(",", TRUE, REPT("Volwassene,", Klantgegevens_A!G407), REPT("Kind,", Klantgegevens_A!H407)))</f>
        <v/>
      </c>
      <c r="F408">
        <f>IF(Klantgegevens_B!G407&lt;&gt;"", LEN(Klantgegevens_B!G407)-LEN(SUBSTITUTE(Klantgegevens_B!G407, ",", ""))+1, Klantgegevens_A!G407)</f>
        <v/>
      </c>
      <c r="G408">
        <f>IF(Klantgegevens_B!G407&lt;&gt;"", 0, Klantgegevens_A!H407)</f>
        <v/>
      </c>
      <c r="H408">
        <f>IF(Klantgegevens_B!H407&lt;&gt;"", Klantgegevens_B!H407, Klantgegevens_A!I407)</f>
        <v/>
      </c>
      <c r="I408">
        <f>IF(Klantgegevens_B!I407&lt;&gt;"", Klantgegevens_B!I407, SWITCH(Klantgegevens_A!J407, "Zelden", 1, "Af en toe", 4, "Regelmatig", 8, "Vaak", 12))</f>
        <v/>
      </c>
      <c r="J408">
        <f>IF(Klantgegevens_B!J407&lt;&gt;"", Klantgegevens_B!J407, Klantgegevens_A!K407)</f>
        <v/>
      </c>
      <c r="K408">
        <f>IF(Klantgegevens_B!K407&lt;&gt;"", AVERAGE(--(Klantgegevens_B!K407="ja"), --(Klantgegevens_B!L407="ja"), --(Klantgegevens_B!M407="ja"), --(Klantgegevens_B!N407="ja"), --(Klantgegevens_B!O407="ja"))*10, Klantgegevens_A!L407)</f>
        <v/>
      </c>
      <c r="L408">
        <f>IF(Klantgegevens_B!K407&lt;&gt;"", Klantgegevens_B!K407, IF(Klantgegevens_A!L407&gt;=7, "ja", "nee"))</f>
        <v/>
      </c>
      <c r="M408">
        <f>IF(Klantgegevens_B!L407&lt;&gt;"", Klantgegevens_B!L407, IF(Klantgegevens_A!L407&gt;=7, "ja", "nee"))</f>
        <v/>
      </c>
      <c r="N408">
        <f>IF(Klantgegevens_B!M407&lt;&gt;"", Klantgegevens_B!M407, IF(Klantgegevens_A!L407&gt;=7, "ja", "nee"))</f>
        <v/>
      </c>
      <c r="O408">
        <f>IF(Klantgegevens_B!N407&lt;&gt;"", Klantgegevens_B!N407, IF(Klantgegevens_A!L407&gt;=7, "ja", "nee"))</f>
        <v/>
      </c>
      <c r="P408">
        <f>IF(Klantgegevens_B!O407&lt;&gt;"", Klantgegevens_B!O407, IF(Klantgegevens_A!L407&gt;=7, "ja", "nee"))</f>
        <v/>
      </c>
      <c r="Q408">
        <f>IF(Klantgegevens_B!P407&lt;&gt;"", Klantgegevens_B!P407, Klantgegevens_A!M407)</f>
        <v/>
      </c>
      <c r="R408">
        <f>IF(Klantgegevens_B!A407&lt;&gt;"", "B", "A")</f>
        <v/>
      </c>
    </row>
    <row r="409">
      <c r="A409">
        <f>IF(Klantgegevens_B!A408&lt;&gt;"", Klantgegevens_B!A408, MID(Klantgegevens_A!A408, FIND(",", Klantgegevens_A!A408)+2, LEN(Klantgegevens_A!A408)))</f>
        <v/>
      </c>
      <c r="B409">
        <f>IF(Klantgegevens_B!B408&lt;&gt;"", Klantgegevens_B!B408, LEFT(Klantgegevens_A!A408, FIND(",", Klantgegevens_A!A408)-1))</f>
        <v/>
      </c>
      <c r="C409">
        <f>C408 &amp; ", " &amp; B408</f>
        <v/>
      </c>
      <c r="D409">
        <f>IF(Klantgegevens_B!F408&lt;&gt;"", Klantgegevens_B!F408, Klantgegevens_A!D408 &amp; " " &amp; Klantgegevens_A!E408 &amp; ", " &amp; Klantgegevens_A!F408)</f>
        <v/>
      </c>
      <c r="E409">
        <f>IF(Klantgegevens_B!G408&lt;&gt;"", Klantgegevens_B!G408, TEXTJOIN(",", TRUE, REPT("Volwassene,", Klantgegevens_A!G408), REPT("Kind,", Klantgegevens_A!H408)))</f>
        <v/>
      </c>
      <c r="F409">
        <f>IF(Klantgegevens_B!G408&lt;&gt;"", LEN(Klantgegevens_B!G408)-LEN(SUBSTITUTE(Klantgegevens_B!G408, ",", ""))+1, Klantgegevens_A!G408)</f>
        <v/>
      </c>
      <c r="G409">
        <f>IF(Klantgegevens_B!G408&lt;&gt;"", 0, Klantgegevens_A!H408)</f>
        <v/>
      </c>
      <c r="H409">
        <f>IF(Klantgegevens_B!H408&lt;&gt;"", Klantgegevens_B!H408, Klantgegevens_A!I408)</f>
        <v/>
      </c>
      <c r="I409">
        <f>IF(Klantgegevens_B!I408&lt;&gt;"", Klantgegevens_B!I408, SWITCH(Klantgegevens_A!J408, "Zelden", 1, "Af en toe", 4, "Regelmatig", 8, "Vaak", 12))</f>
        <v/>
      </c>
      <c r="J409">
        <f>IF(Klantgegevens_B!J408&lt;&gt;"", Klantgegevens_B!J408, Klantgegevens_A!K408)</f>
        <v/>
      </c>
      <c r="K409">
        <f>IF(Klantgegevens_B!K408&lt;&gt;"", AVERAGE(--(Klantgegevens_B!K408="ja"), --(Klantgegevens_B!L408="ja"), --(Klantgegevens_B!M408="ja"), --(Klantgegevens_B!N408="ja"), --(Klantgegevens_B!O408="ja"))*10, Klantgegevens_A!L408)</f>
        <v/>
      </c>
      <c r="L409">
        <f>IF(Klantgegevens_B!K408&lt;&gt;"", Klantgegevens_B!K408, IF(Klantgegevens_A!L408&gt;=7, "ja", "nee"))</f>
        <v/>
      </c>
      <c r="M409">
        <f>IF(Klantgegevens_B!L408&lt;&gt;"", Klantgegevens_B!L408, IF(Klantgegevens_A!L408&gt;=7, "ja", "nee"))</f>
        <v/>
      </c>
      <c r="N409">
        <f>IF(Klantgegevens_B!M408&lt;&gt;"", Klantgegevens_B!M408, IF(Klantgegevens_A!L408&gt;=7, "ja", "nee"))</f>
        <v/>
      </c>
      <c r="O409">
        <f>IF(Klantgegevens_B!N408&lt;&gt;"", Klantgegevens_B!N408, IF(Klantgegevens_A!L408&gt;=7, "ja", "nee"))</f>
        <v/>
      </c>
      <c r="P409">
        <f>IF(Klantgegevens_B!O408&lt;&gt;"", Klantgegevens_B!O408, IF(Klantgegevens_A!L408&gt;=7, "ja", "nee"))</f>
        <v/>
      </c>
      <c r="Q409">
        <f>IF(Klantgegevens_B!P408&lt;&gt;"", Klantgegevens_B!P408, Klantgegevens_A!M408)</f>
        <v/>
      </c>
      <c r="R409">
        <f>IF(Klantgegevens_B!A408&lt;&gt;"", "B", "A")</f>
        <v/>
      </c>
    </row>
    <row r="410">
      <c r="A410">
        <f>IF(Klantgegevens_B!A409&lt;&gt;"", Klantgegevens_B!A409, MID(Klantgegevens_A!A409, FIND(",", Klantgegevens_A!A409)+2, LEN(Klantgegevens_A!A409)))</f>
        <v/>
      </c>
      <c r="B410">
        <f>IF(Klantgegevens_B!B409&lt;&gt;"", Klantgegevens_B!B409, LEFT(Klantgegevens_A!A409, FIND(",", Klantgegevens_A!A409)-1))</f>
        <v/>
      </c>
      <c r="C410">
        <f>C409 &amp; ", " &amp; B409</f>
        <v/>
      </c>
      <c r="D410">
        <f>IF(Klantgegevens_B!F409&lt;&gt;"", Klantgegevens_B!F409, Klantgegevens_A!D409 &amp; " " &amp; Klantgegevens_A!E409 &amp; ", " &amp; Klantgegevens_A!F409)</f>
        <v/>
      </c>
      <c r="E410">
        <f>IF(Klantgegevens_B!G409&lt;&gt;"", Klantgegevens_B!G409, TEXTJOIN(",", TRUE, REPT("Volwassene,", Klantgegevens_A!G409), REPT("Kind,", Klantgegevens_A!H409)))</f>
        <v/>
      </c>
      <c r="F410">
        <f>IF(Klantgegevens_B!G409&lt;&gt;"", LEN(Klantgegevens_B!G409)-LEN(SUBSTITUTE(Klantgegevens_B!G409, ",", ""))+1, Klantgegevens_A!G409)</f>
        <v/>
      </c>
      <c r="G410">
        <f>IF(Klantgegevens_B!G409&lt;&gt;"", 0, Klantgegevens_A!H409)</f>
        <v/>
      </c>
      <c r="H410">
        <f>IF(Klantgegevens_B!H409&lt;&gt;"", Klantgegevens_B!H409, Klantgegevens_A!I409)</f>
        <v/>
      </c>
      <c r="I410">
        <f>IF(Klantgegevens_B!I409&lt;&gt;"", Klantgegevens_B!I409, SWITCH(Klantgegevens_A!J409, "Zelden", 1, "Af en toe", 4, "Regelmatig", 8, "Vaak", 12))</f>
        <v/>
      </c>
      <c r="J410">
        <f>IF(Klantgegevens_B!J409&lt;&gt;"", Klantgegevens_B!J409, Klantgegevens_A!K409)</f>
        <v/>
      </c>
      <c r="K410">
        <f>IF(Klantgegevens_B!K409&lt;&gt;"", AVERAGE(--(Klantgegevens_B!K409="ja"), --(Klantgegevens_B!L409="ja"), --(Klantgegevens_B!M409="ja"), --(Klantgegevens_B!N409="ja"), --(Klantgegevens_B!O409="ja"))*10, Klantgegevens_A!L409)</f>
        <v/>
      </c>
      <c r="L410">
        <f>IF(Klantgegevens_B!K409&lt;&gt;"", Klantgegevens_B!K409, IF(Klantgegevens_A!L409&gt;=7, "ja", "nee"))</f>
        <v/>
      </c>
      <c r="M410">
        <f>IF(Klantgegevens_B!L409&lt;&gt;"", Klantgegevens_B!L409, IF(Klantgegevens_A!L409&gt;=7, "ja", "nee"))</f>
        <v/>
      </c>
      <c r="N410">
        <f>IF(Klantgegevens_B!M409&lt;&gt;"", Klantgegevens_B!M409, IF(Klantgegevens_A!L409&gt;=7, "ja", "nee"))</f>
        <v/>
      </c>
      <c r="O410">
        <f>IF(Klantgegevens_B!N409&lt;&gt;"", Klantgegevens_B!N409, IF(Klantgegevens_A!L409&gt;=7, "ja", "nee"))</f>
        <v/>
      </c>
      <c r="P410">
        <f>IF(Klantgegevens_B!O409&lt;&gt;"", Klantgegevens_B!O409, IF(Klantgegevens_A!L409&gt;=7, "ja", "nee"))</f>
        <v/>
      </c>
      <c r="Q410">
        <f>IF(Klantgegevens_B!P409&lt;&gt;"", Klantgegevens_B!P409, Klantgegevens_A!M409)</f>
        <v/>
      </c>
      <c r="R410">
        <f>IF(Klantgegevens_B!A409&lt;&gt;"", "B", "A")</f>
        <v/>
      </c>
    </row>
    <row r="411">
      <c r="A411">
        <f>IF(Klantgegevens_B!A410&lt;&gt;"", Klantgegevens_B!A410, MID(Klantgegevens_A!A410, FIND(",", Klantgegevens_A!A410)+2, LEN(Klantgegevens_A!A410)))</f>
        <v/>
      </c>
      <c r="B411">
        <f>IF(Klantgegevens_B!B410&lt;&gt;"", Klantgegevens_B!B410, LEFT(Klantgegevens_A!A410, FIND(",", Klantgegevens_A!A410)-1))</f>
        <v/>
      </c>
      <c r="C411">
        <f>C410 &amp; ", " &amp; B410</f>
        <v/>
      </c>
      <c r="D411">
        <f>IF(Klantgegevens_B!F410&lt;&gt;"", Klantgegevens_B!F410, Klantgegevens_A!D410 &amp; " " &amp; Klantgegevens_A!E410 &amp; ", " &amp; Klantgegevens_A!F410)</f>
        <v/>
      </c>
      <c r="E411">
        <f>IF(Klantgegevens_B!G410&lt;&gt;"", Klantgegevens_B!G410, TEXTJOIN(",", TRUE, REPT("Volwassene,", Klantgegevens_A!G410), REPT("Kind,", Klantgegevens_A!H410)))</f>
        <v/>
      </c>
      <c r="F411">
        <f>IF(Klantgegevens_B!G410&lt;&gt;"", LEN(Klantgegevens_B!G410)-LEN(SUBSTITUTE(Klantgegevens_B!G410, ",", ""))+1, Klantgegevens_A!G410)</f>
        <v/>
      </c>
      <c r="G411">
        <f>IF(Klantgegevens_B!G410&lt;&gt;"", 0, Klantgegevens_A!H410)</f>
        <v/>
      </c>
      <c r="H411">
        <f>IF(Klantgegevens_B!H410&lt;&gt;"", Klantgegevens_B!H410, Klantgegevens_A!I410)</f>
        <v/>
      </c>
      <c r="I411">
        <f>IF(Klantgegevens_B!I410&lt;&gt;"", Klantgegevens_B!I410, SWITCH(Klantgegevens_A!J410, "Zelden", 1, "Af en toe", 4, "Regelmatig", 8, "Vaak", 12))</f>
        <v/>
      </c>
      <c r="J411">
        <f>IF(Klantgegevens_B!J410&lt;&gt;"", Klantgegevens_B!J410, Klantgegevens_A!K410)</f>
        <v/>
      </c>
      <c r="K411">
        <f>IF(Klantgegevens_B!K410&lt;&gt;"", AVERAGE(--(Klantgegevens_B!K410="ja"), --(Klantgegevens_B!L410="ja"), --(Klantgegevens_B!M410="ja"), --(Klantgegevens_B!N410="ja"), --(Klantgegevens_B!O410="ja"))*10, Klantgegevens_A!L410)</f>
        <v/>
      </c>
      <c r="L411">
        <f>IF(Klantgegevens_B!K410&lt;&gt;"", Klantgegevens_B!K410, IF(Klantgegevens_A!L410&gt;=7, "ja", "nee"))</f>
        <v/>
      </c>
      <c r="M411">
        <f>IF(Klantgegevens_B!L410&lt;&gt;"", Klantgegevens_B!L410, IF(Klantgegevens_A!L410&gt;=7, "ja", "nee"))</f>
        <v/>
      </c>
      <c r="N411">
        <f>IF(Klantgegevens_B!M410&lt;&gt;"", Klantgegevens_B!M410, IF(Klantgegevens_A!L410&gt;=7, "ja", "nee"))</f>
        <v/>
      </c>
      <c r="O411">
        <f>IF(Klantgegevens_B!N410&lt;&gt;"", Klantgegevens_B!N410, IF(Klantgegevens_A!L410&gt;=7, "ja", "nee"))</f>
        <v/>
      </c>
      <c r="P411">
        <f>IF(Klantgegevens_B!O410&lt;&gt;"", Klantgegevens_B!O410, IF(Klantgegevens_A!L410&gt;=7, "ja", "nee"))</f>
        <v/>
      </c>
      <c r="Q411">
        <f>IF(Klantgegevens_B!P410&lt;&gt;"", Klantgegevens_B!P410, Klantgegevens_A!M410)</f>
        <v/>
      </c>
      <c r="R411">
        <f>IF(Klantgegevens_B!A410&lt;&gt;"", "B", "A")</f>
        <v/>
      </c>
    </row>
    <row r="412">
      <c r="A412">
        <f>IF(Klantgegevens_B!A411&lt;&gt;"", Klantgegevens_B!A411, MID(Klantgegevens_A!A411, FIND(",", Klantgegevens_A!A411)+2, LEN(Klantgegevens_A!A411)))</f>
        <v/>
      </c>
      <c r="B412">
        <f>IF(Klantgegevens_B!B411&lt;&gt;"", Klantgegevens_B!B411, LEFT(Klantgegevens_A!A411, FIND(",", Klantgegevens_A!A411)-1))</f>
        <v/>
      </c>
      <c r="C412">
        <f>C411 &amp; ", " &amp; B411</f>
        <v/>
      </c>
      <c r="D412">
        <f>IF(Klantgegevens_B!F411&lt;&gt;"", Klantgegevens_B!F411, Klantgegevens_A!D411 &amp; " " &amp; Klantgegevens_A!E411 &amp; ", " &amp; Klantgegevens_A!F411)</f>
        <v/>
      </c>
      <c r="E412">
        <f>IF(Klantgegevens_B!G411&lt;&gt;"", Klantgegevens_B!G411, TEXTJOIN(",", TRUE, REPT("Volwassene,", Klantgegevens_A!G411), REPT("Kind,", Klantgegevens_A!H411)))</f>
        <v/>
      </c>
      <c r="F412">
        <f>IF(Klantgegevens_B!G411&lt;&gt;"", LEN(Klantgegevens_B!G411)-LEN(SUBSTITUTE(Klantgegevens_B!G411, ",", ""))+1, Klantgegevens_A!G411)</f>
        <v/>
      </c>
      <c r="G412">
        <f>IF(Klantgegevens_B!G411&lt;&gt;"", 0, Klantgegevens_A!H411)</f>
        <v/>
      </c>
      <c r="H412">
        <f>IF(Klantgegevens_B!H411&lt;&gt;"", Klantgegevens_B!H411, Klantgegevens_A!I411)</f>
        <v/>
      </c>
      <c r="I412">
        <f>IF(Klantgegevens_B!I411&lt;&gt;"", Klantgegevens_B!I411, SWITCH(Klantgegevens_A!J411, "Zelden", 1, "Af en toe", 4, "Regelmatig", 8, "Vaak", 12))</f>
        <v/>
      </c>
      <c r="J412">
        <f>IF(Klantgegevens_B!J411&lt;&gt;"", Klantgegevens_B!J411, Klantgegevens_A!K411)</f>
        <v/>
      </c>
      <c r="K412">
        <f>IF(Klantgegevens_B!K411&lt;&gt;"", AVERAGE(--(Klantgegevens_B!K411="ja"), --(Klantgegevens_B!L411="ja"), --(Klantgegevens_B!M411="ja"), --(Klantgegevens_B!N411="ja"), --(Klantgegevens_B!O411="ja"))*10, Klantgegevens_A!L411)</f>
        <v/>
      </c>
      <c r="L412">
        <f>IF(Klantgegevens_B!K411&lt;&gt;"", Klantgegevens_B!K411, IF(Klantgegevens_A!L411&gt;=7, "ja", "nee"))</f>
        <v/>
      </c>
      <c r="M412">
        <f>IF(Klantgegevens_B!L411&lt;&gt;"", Klantgegevens_B!L411, IF(Klantgegevens_A!L411&gt;=7, "ja", "nee"))</f>
        <v/>
      </c>
      <c r="N412">
        <f>IF(Klantgegevens_B!M411&lt;&gt;"", Klantgegevens_B!M411, IF(Klantgegevens_A!L411&gt;=7, "ja", "nee"))</f>
        <v/>
      </c>
      <c r="O412">
        <f>IF(Klantgegevens_B!N411&lt;&gt;"", Klantgegevens_B!N411, IF(Klantgegevens_A!L411&gt;=7, "ja", "nee"))</f>
        <v/>
      </c>
      <c r="P412">
        <f>IF(Klantgegevens_B!O411&lt;&gt;"", Klantgegevens_B!O411, IF(Klantgegevens_A!L411&gt;=7, "ja", "nee"))</f>
        <v/>
      </c>
      <c r="Q412">
        <f>IF(Klantgegevens_B!P411&lt;&gt;"", Klantgegevens_B!P411, Klantgegevens_A!M411)</f>
        <v/>
      </c>
      <c r="R412">
        <f>IF(Klantgegevens_B!A411&lt;&gt;"", "B", "A")</f>
        <v/>
      </c>
    </row>
    <row r="413">
      <c r="A413">
        <f>IF(Klantgegevens_B!A412&lt;&gt;"", Klantgegevens_B!A412, MID(Klantgegevens_A!A412, FIND(",", Klantgegevens_A!A412)+2, LEN(Klantgegevens_A!A412)))</f>
        <v/>
      </c>
      <c r="B413">
        <f>IF(Klantgegevens_B!B412&lt;&gt;"", Klantgegevens_B!B412, LEFT(Klantgegevens_A!A412, FIND(",", Klantgegevens_A!A412)-1))</f>
        <v/>
      </c>
      <c r="C413">
        <f>C412 &amp; ", " &amp; B412</f>
        <v/>
      </c>
      <c r="D413">
        <f>IF(Klantgegevens_B!F412&lt;&gt;"", Klantgegevens_B!F412, Klantgegevens_A!D412 &amp; " " &amp; Klantgegevens_A!E412 &amp; ", " &amp; Klantgegevens_A!F412)</f>
        <v/>
      </c>
      <c r="E413">
        <f>IF(Klantgegevens_B!G412&lt;&gt;"", Klantgegevens_B!G412, TEXTJOIN(",", TRUE, REPT("Volwassene,", Klantgegevens_A!G412), REPT("Kind,", Klantgegevens_A!H412)))</f>
        <v/>
      </c>
      <c r="F413">
        <f>IF(Klantgegevens_B!G412&lt;&gt;"", LEN(Klantgegevens_B!G412)-LEN(SUBSTITUTE(Klantgegevens_B!G412, ",", ""))+1, Klantgegevens_A!G412)</f>
        <v/>
      </c>
      <c r="G413">
        <f>IF(Klantgegevens_B!G412&lt;&gt;"", 0, Klantgegevens_A!H412)</f>
        <v/>
      </c>
      <c r="H413">
        <f>IF(Klantgegevens_B!H412&lt;&gt;"", Klantgegevens_B!H412, Klantgegevens_A!I412)</f>
        <v/>
      </c>
      <c r="I413">
        <f>IF(Klantgegevens_B!I412&lt;&gt;"", Klantgegevens_B!I412, SWITCH(Klantgegevens_A!J412, "Zelden", 1, "Af en toe", 4, "Regelmatig", 8, "Vaak", 12))</f>
        <v/>
      </c>
      <c r="J413">
        <f>IF(Klantgegevens_B!J412&lt;&gt;"", Klantgegevens_B!J412, Klantgegevens_A!K412)</f>
        <v/>
      </c>
      <c r="K413">
        <f>IF(Klantgegevens_B!K412&lt;&gt;"", AVERAGE(--(Klantgegevens_B!K412="ja"), --(Klantgegevens_B!L412="ja"), --(Klantgegevens_B!M412="ja"), --(Klantgegevens_B!N412="ja"), --(Klantgegevens_B!O412="ja"))*10, Klantgegevens_A!L412)</f>
        <v/>
      </c>
      <c r="L413">
        <f>IF(Klantgegevens_B!K412&lt;&gt;"", Klantgegevens_B!K412, IF(Klantgegevens_A!L412&gt;=7, "ja", "nee"))</f>
        <v/>
      </c>
      <c r="M413">
        <f>IF(Klantgegevens_B!L412&lt;&gt;"", Klantgegevens_B!L412, IF(Klantgegevens_A!L412&gt;=7, "ja", "nee"))</f>
        <v/>
      </c>
      <c r="N413">
        <f>IF(Klantgegevens_B!M412&lt;&gt;"", Klantgegevens_B!M412, IF(Klantgegevens_A!L412&gt;=7, "ja", "nee"))</f>
        <v/>
      </c>
      <c r="O413">
        <f>IF(Klantgegevens_B!N412&lt;&gt;"", Klantgegevens_B!N412, IF(Klantgegevens_A!L412&gt;=7, "ja", "nee"))</f>
        <v/>
      </c>
      <c r="P413">
        <f>IF(Klantgegevens_B!O412&lt;&gt;"", Klantgegevens_B!O412, IF(Klantgegevens_A!L412&gt;=7, "ja", "nee"))</f>
        <v/>
      </c>
      <c r="Q413">
        <f>IF(Klantgegevens_B!P412&lt;&gt;"", Klantgegevens_B!P412, Klantgegevens_A!M412)</f>
        <v/>
      </c>
      <c r="R413">
        <f>IF(Klantgegevens_B!A412&lt;&gt;"", "B", "A")</f>
        <v/>
      </c>
    </row>
    <row r="414">
      <c r="A414">
        <f>IF(Klantgegevens_B!A413&lt;&gt;"", Klantgegevens_B!A413, MID(Klantgegevens_A!A413, FIND(",", Klantgegevens_A!A413)+2, LEN(Klantgegevens_A!A413)))</f>
        <v/>
      </c>
      <c r="B414">
        <f>IF(Klantgegevens_B!B413&lt;&gt;"", Klantgegevens_B!B413, LEFT(Klantgegevens_A!A413, FIND(",", Klantgegevens_A!A413)-1))</f>
        <v/>
      </c>
      <c r="C414">
        <f>C413 &amp; ", " &amp; B413</f>
        <v/>
      </c>
      <c r="D414">
        <f>IF(Klantgegevens_B!F413&lt;&gt;"", Klantgegevens_B!F413, Klantgegevens_A!D413 &amp; " " &amp; Klantgegevens_A!E413 &amp; ", " &amp; Klantgegevens_A!F413)</f>
        <v/>
      </c>
      <c r="E414">
        <f>IF(Klantgegevens_B!G413&lt;&gt;"", Klantgegevens_B!G413, TEXTJOIN(",", TRUE, REPT("Volwassene,", Klantgegevens_A!G413), REPT("Kind,", Klantgegevens_A!H413)))</f>
        <v/>
      </c>
      <c r="F414">
        <f>IF(Klantgegevens_B!G413&lt;&gt;"", LEN(Klantgegevens_B!G413)-LEN(SUBSTITUTE(Klantgegevens_B!G413, ",", ""))+1, Klantgegevens_A!G413)</f>
        <v/>
      </c>
      <c r="G414">
        <f>IF(Klantgegevens_B!G413&lt;&gt;"", 0, Klantgegevens_A!H413)</f>
        <v/>
      </c>
      <c r="H414">
        <f>IF(Klantgegevens_B!H413&lt;&gt;"", Klantgegevens_B!H413, Klantgegevens_A!I413)</f>
        <v/>
      </c>
      <c r="I414">
        <f>IF(Klantgegevens_B!I413&lt;&gt;"", Klantgegevens_B!I413, SWITCH(Klantgegevens_A!J413, "Zelden", 1, "Af en toe", 4, "Regelmatig", 8, "Vaak", 12))</f>
        <v/>
      </c>
      <c r="J414">
        <f>IF(Klantgegevens_B!J413&lt;&gt;"", Klantgegevens_B!J413, Klantgegevens_A!K413)</f>
        <v/>
      </c>
      <c r="K414">
        <f>IF(Klantgegevens_B!K413&lt;&gt;"", AVERAGE(--(Klantgegevens_B!K413="ja"), --(Klantgegevens_B!L413="ja"), --(Klantgegevens_B!M413="ja"), --(Klantgegevens_B!N413="ja"), --(Klantgegevens_B!O413="ja"))*10, Klantgegevens_A!L413)</f>
        <v/>
      </c>
      <c r="L414">
        <f>IF(Klantgegevens_B!K413&lt;&gt;"", Klantgegevens_B!K413, IF(Klantgegevens_A!L413&gt;=7, "ja", "nee"))</f>
        <v/>
      </c>
      <c r="M414">
        <f>IF(Klantgegevens_B!L413&lt;&gt;"", Klantgegevens_B!L413, IF(Klantgegevens_A!L413&gt;=7, "ja", "nee"))</f>
        <v/>
      </c>
      <c r="N414">
        <f>IF(Klantgegevens_B!M413&lt;&gt;"", Klantgegevens_B!M413, IF(Klantgegevens_A!L413&gt;=7, "ja", "nee"))</f>
        <v/>
      </c>
      <c r="O414">
        <f>IF(Klantgegevens_B!N413&lt;&gt;"", Klantgegevens_B!N413, IF(Klantgegevens_A!L413&gt;=7, "ja", "nee"))</f>
        <v/>
      </c>
      <c r="P414">
        <f>IF(Klantgegevens_B!O413&lt;&gt;"", Klantgegevens_B!O413, IF(Klantgegevens_A!L413&gt;=7, "ja", "nee"))</f>
        <v/>
      </c>
      <c r="Q414">
        <f>IF(Klantgegevens_B!P413&lt;&gt;"", Klantgegevens_B!P413, Klantgegevens_A!M413)</f>
        <v/>
      </c>
      <c r="R414">
        <f>IF(Klantgegevens_B!A413&lt;&gt;"", "B", "A")</f>
        <v/>
      </c>
    </row>
    <row r="415">
      <c r="A415">
        <f>IF(Klantgegevens_B!A414&lt;&gt;"", Klantgegevens_B!A414, MID(Klantgegevens_A!A414, FIND(",", Klantgegevens_A!A414)+2, LEN(Klantgegevens_A!A414)))</f>
        <v/>
      </c>
      <c r="B415">
        <f>IF(Klantgegevens_B!B414&lt;&gt;"", Klantgegevens_B!B414, LEFT(Klantgegevens_A!A414, FIND(",", Klantgegevens_A!A414)-1))</f>
        <v/>
      </c>
      <c r="C415">
        <f>C414 &amp; ", " &amp; B414</f>
        <v/>
      </c>
      <c r="D415">
        <f>IF(Klantgegevens_B!F414&lt;&gt;"", Klantgegevens_B!F414, Klantgegevens_A!D414 &amp; " " &amp; Klantgegevens_A!E414 &amp; ", " &amp; Klantgegevens_A!F414)</f>
        <v/>
      </c>
      <c r="E415">
        <f>IF(Klantgegevens_B!G414&lt;&gt;"", Klantgegevens_B!G414, TEXTJOIN(",", TRUE, REPT("Volwassene,", Klantgegevens_A!G414), REPT("Kind,", Klantgegevens_A!H414)))</f>
        <v/>
      </c>
      <c r="F415">
        <f>IF(Klantgegevens_B!G414&lt;&gt;"", LEN(Klantgegevens_B!G414)-LEN(SUBSTITUTE(Klantgegevens_B!G414, ",", ""))+1, Klantgegevens_A!G414)</f>
        <v/>
      </c>
      <c r="G415">
        <f>IF(Klantgegevens_B!G414&lt;&gt;"", 0, Klantgegevens_A!H414)</f>
        <v/>
      </c>
      <c r="H415">
        <f>IF(Klantgegevens_B!H414&lt;&gt;"", Klantgegevens_B!H414, Klantgegevens_A!I414)</f>
        <v/>
      </c>
      <c r="I415">
        <f>IF(Klantgegevens_B!I414&lt;&gt;"", Klantgegevens_B!I414, SWITCH(Klantgegevens_A!J414, "Zelden", 1, "Af en toe", 4, "Regelmatig", 8, "Vaak", 12))</f>
        <v/>
      </c>
      <c r="J415">
        <f>IF(Klantgegevens_B!J414&lt;&gt;"", Klantgegevens_B!J414, Klantgegevens_A!K414)</f>
        <v/>
      </c>
      <c r="K415">
        <f>IF(Klantgegevens_B!K414&lt;&gt;"", AVERAGE(--(Klantgegevens_B!K414="ja"), --(Klantgegevens_B!L414="ja"), --(Klantgegevens_B!M414="ja"), --(Klantgegevens_B!N414="ja"), --(Klantgegevens_B!O414="ja"))*10, Klantgegevens_A!L414)</f>
        <v/>
      </c>
      <c r="L415">
        <f>IF(Klantgegevens_B!K414&lt;&gt;"", Klantgegevens_B!K414, IF(Klantgegevens_A!L414&gt;=7, "ja", "nee"))</f>
        <v/>
      </c>
      <c r="M415">
        <f>IF(Klantgegevens_B!L414&lt;&gt;"", Klantgegevens_B!L414, IF(Klantgegevens_A!L414&gt;=7, "ja", "nee"))</f>
        <v/>
      </c>
      <c r="N415">
        <f>IF(Klantgegevens_B!M414&lt;&gt;"", Klantgegevens_B!M414, IF(Klantgegevens_A!L414&gt;=7, "ja", "nee"))</f>
        <v/>
      </c>
      <c r="O415">
        <f>IF(Klantgegevens_B!N414&lt;&gt;"", Klantgegevens_B!N414, IF(Klantgegevens_A!L414&gt;=7, "ja", "nee"))</f>
        <v/>
      </c>
      <c r="P415">
        <f>IF(Klantgegevens_B!O414&lt;&gt;"", Klantgegevens_B!O414, IF(Klantgegevens_A!L414&gt;=7, "ja", "nee"))</f>
        <v/>
      </c>
      <c r="Q415">
        <f>IF(Klantgegevens_B!P414&lt;&gt;"", Klantgegevens_B!P414, Klantgegevens_A!M414)</f>
        <v/>
      </c>
      <c r="R415">
        <f>IF(Klantgegevens_B!A414&lt;&gt;"", "B", "A")</f>
        <v/>
      </c>
    </row>
    <row r="416">
      <c r="A416">
        <f>IF(Klantgegevens_B!A415&lt;&gt;"", Klantgegevens_B!A415, MID(Klantgegevens_A!A415, FIND(",", Klantgegevens_A!A415)+2, LEN(Klantgegevens_A!A415)))</f>
        <v/>
      </c>
      <c r="B416">
        <f>IF(Klantgegevens_B!B415&lt;&gt;"", Klantgegevens_B!B415, LEFT(Klantgegevens_A!A415, FIND(",", Klantgegevens_A!A415)-1))</f>
        <v/>
      </c>
      <c r="C416">
        <f>C415 &amp; ", " &amp; B415</f>
        <v/>
      </c>
      <c r="D416">
        <f>IF(Klantgegevens_B!F415&lt;&gt;"", Klantgegevens_B!F415, Klantgegevens_A!D415 &amp; " " &amp; Klantgegevens_A!E415 &amp; ", " &amp; Klantgegevens_A!F415)</f>
        <v/>
      </c>
      <c r="E416">
        <f>IF(Klantgegevens_B!G415&lt;&gt;"", Klantgegevens_B!G415, TEXTJOIN(",", TRUE, REPT("Volwassene,", Klantgegevens_A!G415), REPT("Kind,", Klantgegevens_A!H415)))</f>
        <v/>
      </c>
      <c r="F416">
        <f>IF(Klantgegevens_B!G415&lt;&gt;"", LEN(Klantgegevens_B!G415)-LEN(SUBSTITUTE(Klantgegevens_B!G415, ",", ""))+1, Klantgegevens_A!G415)</f>
        <v/>
      </c>
      <c r="G416">
        <f>IF(Klantgegevens_B!G415&lt;&gt;"", 0, Klantgegevens_A!H415)</f>
        <v/>
      </c>
      <c r="H416">
        <f>IF(Klantgegevens_B!H415&lt;&gt;"", Klantgegevens_B!H415, Klantgegevens_A!I415)</f>
        <v/>
      </c>
      <c r="I416">
        <f>IF(Klantgegevens_B!I415&lt;&gt;"", Klantgegevens_B!I415, SWITCH(Klantgegevens_A!J415, "Zelden", 1, "Af en toe", 4, "Regelmatig", 8, "Vaak", 12))</f>
        <v/>
      </c>
      <c r="J416">
        <f>IF(Klantgegevens_B!J415&lt;&gt;"", Klantgegevens_B!J415, Klantgegevens_A!K415)</f>
        <v/>
      </c>
      <c r="K416">
        <f>IF(Klantgegevens_B!K415&lt;&gt;"", AVERAGE(--(Klantgegevens_B!K415="ja"), --(Klantgegevens_B!L415="ja"), --(Klantgegevens_B!M415="ja"), --(Klantgegevens_B!N415="ja"), --(Klantgegevens_B!O415="ja"))*10, Klantgegevens_A!L415)</f>
        <v/>
      </c>
      <c r="L416">
        <f>IF(Klantgegevens_B!K415&lt;&gt;"", Klantgegevens_B!K415, IF(Klantgegevens_A!L415&gt;=7, "ja", "nee"))</f>
        <v/>
      </c>
      <c r="M416">
        <f>IF(Klantgegevens_B!L415&lt;&gt;"", Klantgegevens_B!L415, IF(Klantgegevens_A!L415&gt;=7, "ja", "nee"))</f>
        <v/>
      </c>
      <c r="N416">
        <f>IF(Klantgegevens_B!M415&lt;&gt;"", Klantgegevens_B!M415, IF(Klantgegevens_A!L415&gt;=7, "ja", "nee"))</f>
        <v/>
      </c>
      <c r="O416">
        <f>IF(Klantgegevens_B!N415&lt;&gt;"", Klantgegevens_B!N415, IF(Klantgegevens_A!L415&gt;=7, "ja", "nee"))</f>
        <v/>
      </c>
      <c r="P416">
        <f>IF(Klantgegevens_B!O415&lt;&gt;"", Klantgegevens_B!O415, IF(Klantgegevens_A!L415&gt;=7, "ja", "nee"))</f>
        <v/>
      </c>
      <c r="Q416">
        <f>IF(Klantgegevens_B!P415&lt;&gt;"", Klantgegevens_B!P415, Klantgegevens_A!M415)</f>
        <v/>
      </c>
      <c r="R416">
        <f>IF(Klantgegevens_B!A415&lt;&gt;"", "B", "A")</f>
        <v/>
      </c>
    </row>
    <row r="417">
      <c r="A417">
        <f>IF(Klantgegevens_B!A416&lt;&gt;"", Klantgegevens_B!A416, MID(Klantgegevens_A!A416, FIND(",", Klantgegevens_A!A416)+2, LEN(Klantgegevens_A!A416)))</f>
        <v/>
      </c>
      <c r="B417">
        <f>IF(Klantgegevens_B!B416&lt;&gt;"", Klantgegevens_B!B416, LEFT(Klantgegevens_A!A416, FIND(",", Klantgegevens_A!A416)-1))</f>
        <v/>
      </c>
      <c r="C417">
        <f>C416 &amp; ", " &amp; B416</f>
        <v/>
      </c>
      <c r="D417">
        <f>IF(Klantgegevens_B!F416&lt;&gt;"", Klantgegevens_B!F416, Klantgegevens_A!D416 &amp; " " &amp; Klantgegevens_A!E416 &amp; ", " &amp; Klantgegevens_A!F416)</f>
        <v/>
      </c>
      <c r="E417">
        <f>IF(Klantgegevens_B!G416&lt;&gt;"", Klantgegevens_B!G416, TEXTJOIN(",", TRUE, REPT("Volwassene,", Klantgegevens_A!G416), REPT("Kind,", Klantgegevens_A!H416)))</f>
        <v/>
      </c>
      <c r="F417">
        <f>IF(Klantgegevens_B!G416&lt;&gt;"", LEN(Klantgegevens_B!G416)-LEN(SUBSTITUTE(Klantgegevens_B!G416, ",", ""))+1, Klantgegevens_A!G416)</f>
        <v/>
      </c>
      <c r="G417">
        <f>IF(Klantgegevens_B!G416&lt;&gt;"", 0, Klantgegevens_A!H416)</f>
        <v/>
      </c>
      <c r="H417">
        <f>IF(Klantgegevens_B!H416&lt;&gt;"", Klantgegevens_B!H416, Klantgegevens_A!I416)</f>
        <v/>
      </c>
      <c r="I417">
        <f>IF(Klantgegevens_B!I416&lt;&gt;"", Klantgegevens_B!I416, SWITCH(Klantgegevens_A!J416, "Zelden", 1, "Af en toe", 4, "Regelmatig", 8, "Vaak", 12))</f>
        <v/>
      </c>
      <c r="J417">
        <f>IF(Klantgegevens_B!J416&lt;&gt;"", Klantgegevens_B!J416, Klantgegevens_A!K416)</f>
        <v/>
      </c>
      <c r="K417">
        <f>IF(Klantgegevens_B!K416&lt;&gt;"", AVERAGE(--(Klantgegevens_B!K416="ja"), --(Klantgegevens_B!L416="ja"), --(Klantgegevens_B!M416="ja"), --(Klantgegevens_B!N416="ja"), --(Klantgegevens_B!O416="ja"))*10, Klantgegevens_A!L416)</f>
        <v/>
      </c>
      <c r="L417">
        <f>IF(Klantgegevens_B!K416&lt;&gt;"", Klantgegevens_B!K416, IF(Klantgegevens_A!L416&gt;=7, "ja", "nee"))</f>
        <v/>
      </c>
      <c r="M417">
        <f>IF(Klantgegevens_B!L416&lt;&gt;"", Klantgegevens_B!L416, IF(Klantgegevens_A!L416&gt;=7, "ja", "nee"))</f>
        <v/>
      </c>
      <c r="N417">
        <f>IF(Klantgegevens_B!M416&lt;&gt;"", Klantgegevens_B!M416, IF(Klantgegevens_A!L416&gt;=7, "ja", "nee"))</f>
        <v/>
      </c>
      <c r="O417">
        <f>IF(Klantgegevens_B!N416&lt;&gt;"", Klantgegevens_B!N416, IF(Klantgegevens_A!L416&gt;=7, "ja", "nee"))</f>
        <v/>
      </c>
      <c r="P417">
        <f>IF(Klantgegevens_B!O416&lt;&gt;"", Klantgegevens_B!O416, IF(Klantgegevens_A!L416&gt;=7, "ja", "nee"))</f>
        <v/>
      </c>
      <c r="Q417">
        <f>IF(Klantgegevens_B!P416&lt;&gt;"", Klantgegevens_B!P416, Klantgegevens_A!M416)</f>
        <v/>
      </c>
      <c r="R417">
        <f>IF(Klantgegevens_B!A416&lt;&gt;"", "B", "A")</f>
        <v/>
      </c>
    </row>
    <row r="418">
      <c r="A418">
        <f>IF(Klantgegevens_B!A417&lt;&gt;"", Klantgegevens_B!A417, MID(Klantgegevens_A!A417, FIND(",", Klantgegevens_A!A417)+2, LEN(Klantgegevens_A!A417)))</f>
        <v/>
      </c>
      <c r="B418">
        <f>IF(Klantgegevens_B!B417&lt;&gt;"", Klantgegevens_B!B417, LEFT(Klantgegevens_A!A417, FIND(",", Klantgegevens_A!A417)-1))</f>
        <v/>
      </c>
      <c r="C418">
        <f>C417 &amp; ", " &amp; B417</f>
        <v/>
      </c>
      <c r="D418">
        <f>IF(Klantgegevens_B!F417&lt;&gt;"", Klantgegevens_B!F417, Klantgegevens_A!D417 &amp; " " &amp; Klantgegevens_A!E417 &amp; ", " &amp; Klantgegevens_A!F417)</f>
        <v/>
      </c>
      <c r="E418">
        <f>IF(Klantgegevens_B!G417&lt;&gt;"", Klantgegevens_B!G417, TEXTJOIN(",", TRUE, REPT("Volwassene,", Klantgegevens_A!G417), REPT("Kind,", Klantgegevens_A!H417)))</f>
        <v/>
      </c>
      <c r="F418">
        <f>IF(Klantgegevens_B!G417&lt;&gt;"", LEN(Klantgegevens_B!G417)-LEN(SUBSTITUTE(Klantgegevens_B!G417, ",", ""))+1, Klantgegevens_A!G417)</f>
        <v/>
      </c>
      <c r="G418">
        <f>IF(Klantgegevens_B!G417&lt;&gt;"", 0, Klantgegevens_A!H417)</f>
        <v/>
      </c>
      <c r="H418">
        <f>IF(Klantgegevens_B!H417&lt;&gt;"", Klantgegevens_B!H417, Klantgegevens_A!I417)</f>
        <v/>
      </c>
      <c r="I418">
        <f>IF(Klantgegevens_B!I417&lt;&gt;"", Klantgegevens_B!I417, SWITCH(Klantgegevens_A!J417, "Zelden", 1, "Af en toe", 4, "Regelmatig", 8, "Vaak", 12))</f>
        <v/>
      </c>
      <c r="J418">
        <f>IF(Klantgegevens_B!J417&lt;&gt;"", Klantgegevens_B!J417, Klantgegevens_A!K417)</f>
        <v/>
      </c>
      <c r="K418">
        <f>IF(Klantgegevens_B!K417&lt;&gt;"", AVERAGE(--(Klantgegevens_B!K417="ja"), --(Klantgegevens_B!L417="ja"), --(Klantgegevens_B!M417="ja"), --(Klantgegevens_B!N417="ja"), --(Klantgegevens_B!O417="ja"))*10, Klantgegevens_A!L417)</f>
        <v/>
      </c>
      <c r="L418">
        <f>IF(Klantgegevens_B!K417&lt;&gt;"", Klantgegevens_B!K417, IF(Klantgegevens_A!L417&gt;=7, "ja", "nee"))</f>
        <v/>
      </c>
      <c r="M418">
        <f>IF(Klantgegevens_B!L417&lt;&gt;"", Klantgegevens_B!L417, IF(Klantgegevens_A!L417&gt;=7, "ja", "nee"))</f>
        <v/>
      </c>
      <c r="N418">
        <f>IF(Klantgegevens_B!M417&lt;&gt;"", Klantgegevens_B!M417, IF(Klantgegevens_A!L417&gt;=7, "ja", "nee"))</f>
        <v/>
      </c>
      <c r="O418">
        <f>IF(Klantgegevens_B!N417&lt;&gt;"", Klantgegevens_B!N417, IF(Klantgegevens_A!L417&gt;=7, "ja", "nee"))</f>
        <v/>
      </c>
      <c r="P418">
        <f>IF(Klantgegevens_B!O417&lt;&gt;"", Klantgegevens_B!O417, IF(Klantgegevens_A!L417&gt;=7, "ja", "nee"))</f>
        <v/>
      </c>
      <c r="Q418">
        <f>IF(Klantgegevens_B!P417&lt;&gt;"", Klantgegevens_B!P417, Klantgegevens_A!M417)</f>
        <v/>
      </c>
      <c r="R418">
        <f>IF(Klantgegevens_B!A417&lt;&gt;"", "B", "A")</f>
        <v/>
      </c>
    </row>
    <row r="419">
      <c r="A419">
        <f>IF(Klantgegevens_B!A418&lt;&gt;"", Klantgegevens_B!A418, MID(Klantgegevens_A!A418, FIND(",", Klantgegevens_A!A418)+2, LEN(Klantgegevens_A!A418)))</f>
        <v/>
      </c>
      <c r="B419">
        <f>IF(Klantgegevens_B!B418&lt;&gt;"", Klantgegevens_B!B418, LEFT(Klantgegevens_A!A418, FIND(",", Klantgegevens_A!A418)-1))</f>
        <v/>
      </c>
      <c r="C419">
        <f>C418 &amp; ", " &amp; B418</f>
        <v/>
      </c>
      <c r="D419">
        <f>IF(Klantgegevens_B!F418&lt;&gt;"", Klantgegevens_B!F418, Klantgegevens_A!D418 &amp; " " &amp; Klantgegevens_A!E418 &amp; ", " &amp; Klantgegevens_A!F418)</f>
        <v/>
      </c>
      <c r="E419">
        <f>IF(Klantgegevens_B!G418&lt;&gt;"", Klantgegevens_B!G418, TEXTJOIN(",", TRUE, REPT("Volwassene,", Klantgegevens_A!G418), REPT("Kind,", Klantgegevens_A!H418)))</f>
        <v/>
      </c>
      <c r="F419">
        <f>IF(Klantgegevens_B!G418&lt;&gt;"", LEN(Klantgegevens_B!G418)-LEN(SUBSTITUTE(Klantgegevens_B!G418, ",", ""))+1, Klantgegevens_A!G418)</f>
        <v/>
      </c>
      <c r="G419">
        <f>IF(Klantgegevens_B!G418&lt;&gt;"", 0, Klantgegevens_A!H418)</f>
        <v/>
      </c>
      <c r="H419">
        <f>IF(Klantgegevens_B!H418&lt;&gt;"", Klantgegevens_B!H418, Klantgegevens_A!I418)</f>
        <v/>
      </c>
      <c r="I419">
        <f>IF(Klantgegevens_B!I418&lt;&gt;"", Klantgegevens_B!I418, SWITCH(Klantgegevens_A!J418, "Zelden", 1, "Af en toe", 4, "Regelmatig", 8, "Vaak", 12))</f>
        <v/>
      </c>
      <c r="J419">
        <f>IF(Klantgegevens_B!J418&lt;&gt;"", Klantgegevens_B!J418, Klantgegevens_A!K418)</f>
        <v/>
      </c>
      <c r="K419">
        <f>IF(Klantgegevens_B!K418&lt;&gt;"", AVERAGE(--(Klantgegevens_B!K418="ja"), --(Klantgegevens_B!L418="ja"), --(Klantgegevens_B!M418="ja"), --(Klantgegevens_B!N418="ja"), --(Klantgegevens_B!O418="ja"))*10, Klantgegevens_A!L418)</f>
        <v/>
      </c>
      <c r="L419">
        <f>IF(Klantgegevens_B!K418&lt;&gt;"", Klantgegevens_B!K418, IF(Klantgegevens_A!L418&gt;=7, "ja", "nee"))</f>
        <v/>
      </c>
      <c r="M419">
        <f>IF(Klantgegevens_B!L418&lt;&gt;"", Klantgegevens_B!L418, IF(Klantgegevens_A!L418&gt;=7, "ja", "nee"))</f>
        <v/>
      </c>
      <c r="N419">
        <f>IF(Klantgegevens_B!M418&lt;&gt;"", Klantgegevens_B!M418, IF(Klantgegevens_A!L418&gt;=7, "ja", "nee"))</f>
        <v/>
      </c>
      <c r="O419">
        <f>IF(Klantgegevens_B!N418&lt;&gt;"", Klantgegevens_B!N418, IF(Klantgegevens_A!L418&gt;=7, "ja", "nee"))</f>
        <v/>
      </c>
      <c r="P419">
        <f>IF(Klantgegevens_B!O418&lt;&gt;"", Klantgegevens_B!O418, IF(Klantgegevens_A!L418&gt;=7, "ja", "nee"))</f>
        <v/>
      </c>
      <c r="Q419">
        <f>IF(Klantgegevens_B!P418&lt;&gt;"", Klantgegevens_B!P418, Klantgegevens_A!M418)</f>
        <v/>
      </c>
      <c r="R419">
        <f>IF(Klantgegevens_B!A418&lt;&gt;"", "B", "A")</f>
        <v/>
      </c>
    </row>
    <row r="420">
      <c r="A420">
        <f>IF(Klantgegevens_B!A419&lt;&gt;"", Klantgegevens_B!A419, MID(Klantgegevens_A!A419, FIND(",", Klantgegevens_A!A419)+2, LEN(Klantgegevens_A!A419)))</f>
        <v/>
      </c>
      <c r="B420">
        <f>IF(Klantgegevens_B!B419&lt;&gt;"", Klantgegevens_B!B419, LEFT(Klantgegevens_A!A419, FIND(",", Klantgegevens_A!A419)-1))</f>
        <v/>
      </c>
      <c r="C420">
        <f>C419 &amp; ", " &amp; B419</f>
        <v/>
      </c>
      <c r="D420">
        <f>IF(Klantgegevens_B!F419&lt;&gt;"", Klantgegevens_B!F419, Klantgegevens_A!D419 &amp; " " &amp; Klantgegevens_A!E419 &amp; ", " &amp; Klantgegevens_A!F419)</f>
        <v/>
      </c>
      <c r="E420">
        <f>IF(Klantgegevens_B!G419&lt;&gt;"", Klantgegevens_B!G419, TEXTJOIN(",", TRUE, REPT("Volwassene,", Klantgegevens_A!G419), REPT("Kind,", Klantgegevens_A!H419)))</f>
        <v/>
      </c>
      <c r="F420">
        <f>IF(Klantgegevens_B!G419&lt;&gt;"", LEN(Klantgegevens_B!G419)-LEN(SUBSTITUTE(Klantgegevens_B!G419, ",", ""))+1, Klantgegevens_A!G419)</f>
        <v/>
      </c>
      <c r="G420">
        <f>IF(Klantgegevens_B!G419&lt;&gt;"", 0, Klantgegevens_A!H419)</f>
        <v/>
      </c>
      <c r="H420">
        <f>IF(Klantgegevens_B!H419&lt;&gt;"", Klantgegevens_B!H419, Klantgegevens_A!I419)</f>
        <v/>
      </c>
      <c r="I420">
        <f>IF(Klantgegevens_B!I419&lt;&gt;"", Klantgegevens_B!I419, SWITCH(Klantgegevens_A!J419, "Zelden", 1, "Af en toe", 4, "Regelmatig", 8, "Vaak", 12))</f>
        <v/>
      </c>
      <c r="J420">
        <f>IF(Klantgegevens_B!J419&lt;&gt;"", Klantgegevens_B!J419, Klantgegevens_A!K419)</f>
        <v/>
      </c>
      <c r="K420">
        <f>IF(Klantgegevens_B!K419&lt;&gt;"", AVERAGE(--(Klantgegevens_B!K419="ja"), --(Klantgegevens_B!L419="ja"), --(Klantgegevens_B!M419="ja"), --(Klantgegevens_B!N419="ja"), --(Klantgegevens_B!O419="ja"))*10, Klantgegevens_A!L419)</f>
        <v/>
      </c>
      <c r="L420">
        <f>IF(Klantgegevens_B!K419&lt;&gt;"", Klantgegevens_B!K419, IF(Klantgegevens_A!L419&gt;=7, "ja", "nee"))</f>
        <v/>
      </c>
      <c r="M420">
        <f>IF(Klantgegevens_B!L419&lt;&gt;"", Klantgegevens_B!L419, IF(Klantgegevens_A!L419&gt;=7, "ja", "nee"))</f>
        <v/>
      </c>
      <c r="N420">
        <f>IF(Klantgegevens_B!M419&lt;&gt;"", Klantgegevens_B!M419, IF(Klantgegevens_A!L419&gt;=7, "ja", "nee"))</f>
        <v/>
      </c>
      <c r="O420">
        <f>IF(Klantgegevens_B!N419&lt;&gt;"", Klantgegevens_B!N419, IF(Klantgegevens_A!L419&gt;=7, "ja", "nee"))</f>
        <v/>
      </c>
      <c r="P420">
        <f>IF(Klantgegevens_B!O419&lt;&gt;"", Klantgegevens_B!O419, IF(Klantgegevens_A!L419&gt;=7, "ja", "nee"))</f>
        <v/>
      </c>
      <c r="Q420">
        <f>IF(Klantgegevens_B!P419&lt;&gt;"", Klantgegevens_B!P419, Klantgegevens_A!M419)</f>
        <v/>
      </c>
      <c r="R420">
        <f>IF(Klantgegevens_B!A419&lt;&gt;"", "B", "A")</f>
        <v/>
      </c>
    </row>
    <row r="421">
      <c r="A421">
        <f>IF(Klantgegevens_B!A420&lt;&gt;"", Klantgegevens_B!A420, MID(Klantgegevens_A!A420, FIND(",", Klantgegevens_A!A420)+2, LEN(Klantgegevens_A!A420)))</f>
        <v/>
      </c>
      <c r="B421">
        <f>IF(Klantgegevens_B!B420&lt;&gt;"", Klantgegevens_B!B420, LEFT(Klantgegevens_A!A420, FIND(",", Klantgegevens_A!A420)-1))</f>
        <v/>
      </c>
      <c r="C421">
        <f>C420 &amp; ", " &amp; B420</f>
        <v/>
      </c>
      <c r="D421">
        <f>IF(Klantgegevens_B!F420&lt;&gt;"", Klantgegevens_B!F420, Klantgegevens_A!D420 &amp; " " &amp; Klantgegevens_A!E420 &amp; ", " &amp; Klantgegevens_A!F420)</f>
        <v/>
      </c>
      <c r="E421">
        <f>IF(Klantgegevens_B!G420&lt;&gt;"", Klantgegevens_B!G420, TEXTJOIN(",", TRUE, REPT("Volwassene,", Klantgegevens_A!G420), REPT("Kind,", Klantgegevens_A!H420)))</f>
        <v/>
      </c>
      <c r="F421">
        <f>IF(Klantgegevens_B!G420&lt;&gt;"", LEN(Klantgegevens_B!G420)-LEN(SUBSTITUTE(Klantgegevens_B!G420, ",", ""))+1, Klantgegevens_A!G420)</f>
        <v/>
      </c>
      <c r="G421">
        <f>IF(Klantgegevens_B!G420&lt;&gt;"", 0, Klantgegevens_A!H420)</f>
        <v/>
      </c>
      <c r="H421">
        <f>IF(Klantgegevens_B!H420&lt;&gt;"", Klantgegevens_B!H420, Klantgegevens_A!I420)</f>
        <v/>
      </c>
      <c r="I421">
        <f>IF(Klantgegevens_B!I420&lt;&gt;"", Klantgegevens_B!I420, SWITCH(Klantgegevens_A!J420, "Zelden", 1, "Af en toe", 4, "Regelmatig", 8, "Vaak", 12))</f>
        <v/>
      </c>
      <c r="J421">
        <f>IF(Klantgegevens_B!J420&lt;&gt;"", Klantgegevens_B!J420, Klantgegevens_A!K420)</f>
        <v/>
      </c>
      <c r="K421">
        <f>IF(Klantgegevens_B!K420&lt;&gt;"", AVERAGE(--(Klantgegevens_B!K420="ja"), --(Klantgegevens_B!L420="ja"), --(Klantgegevens_B!M420="ja"), --(Klantgegevens_B!N420="ja"), --(Klantgegevens_B!O420="ja"))*10, Klantgegevens_A!L420)</f>
        <v/>
      </c>
      <c r="L421">
        <f>IF(Klantgegevens_B!K420&lt;&gt;"", Klantgegevens_B!K420, IF(Klantgegevens_A!L420&gt;=7, "ja", "nee"))</f>
        <v/>
      </c>
      <c r="M421">
        <f>IF(Klantgegevens_B!L420&lt;&gt;"", Klantgegevens_B!L420, IF(Klantgegevens_A!L420&gt;=7, "ja", "nee"))</f>
        <v/>
      </c>
      <c r="N421">
        <f>IF(Klantgegevens_B!M420&lt;&gt;"", Klantgegevens_B!M420, IF(Klantgegevens_A!L420&gt;=7, "ja", "nee"))</f>
        <v/>
      </c>
      <c r="O421">
        <f>IF(Klantgegevens_B!N420&lt;&gt;"", Klantgegevens_B!N420, IF(Klantgegevens_A!L420&gt;=7, "ja", "nee"))</f>
        <v/>
      </c>
      <c r="P421">
        <f>IF(Klantgegevens_B!O420&lt;&gt;"", Klantgegevens_B!O420, IF(Klantgegevens_A!L420&gt;=7, "ja", "nee"))</f>
        <v/>
      </c>
      <c r="Q421">
        <f>IF(Klantgegevens_B!P420&lt;&gt;"", Klantgegevens_B!P420, Klantgegevens_A!M420)</f>
        <v/>
      </c>
      <c r="R421">
        <f>IF(Klantgegevens_B!A420&lt;&gt;"", "B", "A")</f>
        <v/>
      </c>
    </row>
    <row r="422">
      <c r="A422">
        <f>IF(Klantgegevens_B!A421&lt;&gt;"", Klantgegevens_B!A421, MID(Klantgegevens_A!A421, FIND(",", Klantgegevens_A!A421)+2, LEN(Klantgegevens_A!A421)))</f>
        <v/>
      </c>
      <c r="B422">
        <f>IF(Klantgegevens_B!B421&lt;&gt;"", Klantgegevens_B!B421, LEFT(Klantgegevens_A!A421, FIND(",", Klantgegevens_A!A421)-1))</f>
        <v/>
      </c>
      <c r="C422">
        <f>C421 &amp; ", " &amp; B421</f>
        <v/>
      </c>
      <c r="D422">
        <f>IF(Klantgegevens_B!F421&lt;&gt;"", Klantgegevens_B!F421, Klantgegevens_A!D421 &amp; " " &amp; Klantgegevens_A!E421 &amp; ", " &amp; Klantgegevens_A!F421)</f>
        <v/>
      </c>
      <c r="E422">
        <f>IF(Klantgegevens_B!G421&lt;&gt;"", Klantgegevens_B!G421, TEXTJOIN(",", TRUE, REPT("Volwassene,", Klantgegevens_A!G421), REPT("Kind,", Klantgegevens_A!H421)))</f>
        <v/>
      </c>
      <c r="F422">
        <f>IF(Klantgegevens_B!G421&lt;&gt;"", LEN(Klantgegevens_B!G421)-LEN(SUBSTITUTE(Klantgegevens_B!G421, ",", ""))+1, Klantgegevens_A!G421)</f>
        <v/>
      </c>
      <c r="G422">
        <f>IF(Klantgegevens_B!G421&lt;&gt;"", 0, Klantgegevens_A!H421)</f>
        <v/>
      </c>
      <c r="H422">
        <f>IF(Klantgegevens_B!H421&lt;&gt;"", Klantgegevens_B!H421, Klantgegevens_A!I421)</f>
        <v/>
      </c>
      <c r="I422">
        <f>IF(Klantgegevens_B!I421&lt;&gt;"", Klantgegevens_B!I421, SWITCH(Klantgegevens_A!J421, "Zelden", 1, "Af en toe", 4, "Regelmatig", 8, "Vaak", 12))</f>
        <v/>
      </c>
      <c r="J422">
        <f>IF(Klantgegevens_B!J421&lt;&gt;"", Klantgegevens_B!J421, Klantgegevens_A!K421)</f>
        <v/>
      </c>
      <c r="K422">
        <f>IF(Klantgegevens_B!K421&lt;&gt;"", AVERAGE(--(Klantgegevens_B!K421="ja"), --(Klantgegevens_B!L421="ja"), --(Klantgegevens_B!M421="ja"), --(Klantgegevens_B!N421="ja"), --(Klantgegevens_B!O421="ja"))*10, Klantgegevens_A!L421)</f>
        <v/>
      </c>
      <c r="L422">
        <f>IF(Klantgegevens_B!K421&lt;&gt;"", Klantgegevens_B!K421, IF(Klantgegevens_A!L421&gt;=7, "ja", "nee"))</f>
        <v/>
      </c>
      <c r="M422">
        <f>IF(Klantgegevens_B!L421&lt;&gt;"", Klantgegevens_B!L421, IF(Klantgegevens_A!L421&gt;=7, "ja", "nee"))</f>
        <v/>
      </c>
      <c r="N422">
        <f>IF(Klantgegevens_B!M421&lt;&gt;"", Klantgegevens_B!M421, IF(Klantgegevens_A!L421&gt;=7, "ja", "nee"))</f>
        <v/>
      </c>
      <c r="O422">
        <f>IF(Klantgegevens_B!N421&lt;&gt;"", Klantgegevens_B!N421, IF(Klantgegevens_A!L421&gt;=7, "ja", "nee"))</f>
        <v/>
      </c>
      <c r="P422">
        <f>IF(Klantgegevens_B!O421&lt;&gt;"", Klantgegevens_B!O421, IF(Klantgegevens_A!L421&gt;=7, "ja", "nee"))</f>
        <v/>
      </c>
      <c r="Q422">
        <f>IF(Klantgegevens_B!P421&lt;&gt;"", Klantgegevens_B!P421, Klantgegevens_A!M421)</f>
        <v/>
      </c>
      <c r="R422">
        <f>IF(Klantgegevens_B!A421&lt;&gt;"", "B", "A")</f>
        <v/>
      </c>
    </row>
    <row r="423">
      <c r="A423">
        <f>IF(Klantgegevens_B!A422&lt;&gt;"", Klantgegevens_B!A422, MID(Klantgegevens_A!A422, FIND(",", Klantgegevens_A!A422)+2, LEN(Klantgegevens_A!A422)))</f>
        <v/>
      </c>
      <c r="B423">
        <f>IF(Klantgegevens_B!B422&lt;&gt;"", Klantgegevens_B!B422, LEFT(Klantgegevens_A!A422, FIND(",", Klantgegevens_A!A422)-1))</f>
        <v/>
      </c>
      <c r="C423">
        <f>C422 &amp; ", " &amp; B422</f>
        <v/>
      </c>
      <c r="D423">
        <f>IF(Klantgegevens_B!F422&lt;&gt;"", Klantgegevens_B!F422, Klantgegevens_A!D422 &amp; " " &amp; Klantgegevens_A!E422 &amp; ", " &amp; Klantgegevens_A!F422)</f>
        <v/>
      </c>
      <c r="E423">
        <f>IF(Klantgegevens_B!G422&lt;&gt;"", Klantgegevens_B!G422, TEXTJOIN(",", TRUE, REPT("Volwassene,", Klantgegevens_A!G422), REPT("Kind,", Klantgegevens_A!H422)))</f>
        <v/>
      </c>
      <c r="F423">
        <f>IF(Klantgegevens_B!G422&lt;&gt;"", LEN(Klantgegevens_B!G422)-LEN(SUBSTITUTE(Klantgegevens_B!G422, ",", ""))+1, Klantgegevens_A!G422)</f>
        <v/>
      </c>
      <c r="G423">
        <f>IF(Klantgegevens_B!G422&lt;&gt;"", 0, Klantgegevens_A!H422)</f>
        <v/>
      </c>
      <c r="H423">
        <f>IF(Klantgegevens_B!H422&lt;&gt;"", Klantgegevens_B!H422, Klantgegevens_A!I422)</f>
        <v/>
      </c>
      <c r="I423">
        <f>IF(Klantgegevens_B!I422&lt;&gt;"", Klantgegevens_B!I422, SWITCH(Klantgegevens_A!J422, "Zelden", 1, "Af en toe", 4, "Regelmatig", 8, "Vaak", 12))</f>
        <v/>
      </c>
      <c r="J423">
        <f>IF(Klantgegevens_B!J422&lt;&gt;"", Klantgegevens_B!J422, Klantgegevens_A!K422)</f>
        <v/>
      </c>
      <c r="K423">
        <f>IF(Klantgegevens_B!K422&lt;&gt;"", AVERAGE(--(Klantgegevens_B!K422="ja"), --(Klantgegevens_B!L422="ja"), --(Klantgegevens_B!M422="ja"), --(Klantgegevens_B!N422="ja"), --(Klantgegevens_B!O422="ja"))*10, Klantgegevens_A!L422)</f>
        <v/>
      </c>
      <c r="L423">
        <f>IF(Klantgegevens_B!K422&lt;&gt;"", Klantgegevens_B!K422, IF(Klantgegevens_A!L422&gt;=7, "ja", "nee"))</f>
        <v/>
      </c>
      <c r="M423">
        <f>IF(Klantgegevens_B!L422&lt;&gt;"", Klantgegevens_B!L422, IF(Klantgegevens_A!L422&gt;=7, "ja", "nee"))</f>
        <v/>
      </c>
      <c r="N423">
        <f>IF(Klantgegevens_B!M422&lt;&gt;"", Klantgegevens_B!M422, IF(Klantgegevens_A!L422&gt;=7, "ja", "nee"))</f>
        <v/>
      </c>
      <c r="O423">
        <f>IF(Klantgegevens_B!N422&lt;&gt;"", Klantgegevens_B!N422, IF(Klantgegevens_A!L422&gt;=7, "ja", "nee"))</f>
        <v/>
      </c>
      <c r="P423">
        <f>IF(Klantgegevens_B!O422&lt;&gt;"", Klantgegevens_B!O422, IF(Klantgegevens_A!L422&gt;=7, "ja", "nee"))</f>
        <v/>
      </c>
      <c r="Q423">
        <f>IF(Klantgegevens_B!P422&lt;&gt;"", Klantgegevens_B!P422, Klantgegevens_A!M422)</f>
        <v/>
      </c>
      <c r="R423">
        <f>IF(Klantgegevens_B!A422&lt;&gt;"", "B", "A")</f>
        <v/>
      </c>
    </row>
    <row r="424">
      <c r="A424">
        <f>IF(Klantgegevens_B!A423&lt;&gt;"", Klantgegevens_B!A423, MID(Klantgegevens_A!A423, FIND(",", Klantgegevens_A!A423)+2, LEN(Klantgegevens_A!A423)))</f>
        <v/>
      </c>
      <c r="B424">
        <f>IF(Klantgegevens_B!B423&lt;&gt;"", Klantgegevens_B!B423, LEFT(Klantgegevens_A!A423, FIND(",", Klantgegevens_A!A423)-1))</f>
        <v/>
      </c>
      <c r="C424">
        <f>C423 &amp; ", " &amp; B423</f>
        <v/>
      </c>
      <c r="D424">
        <f>IF(Klantgegevens_B!F423&lt;&gt;"", Klantgegevens_B!F423, Klantgegevens_A!D423 &amp; " " &amp; Klantgegevens_A!E423 &amp; ", " &amp; Klantgegevens_A!F423)</f>
        <v/>
      </c>
      <c r="E424">
        <f>IF(Klantgegevens_B!G423&lt;&gt;"", Klantgegevens_B!G423, TEXTJOIN(",", TRUE, REPT("Volwassene,", Klantgegevens_A!G423), REPT("Kind,", Klantgegevens_A!H423)))</f>
        <v/>
      </c>
      <c r="F424">
        <f>IF(Klantgegevens_B!G423&lt;&gt;"", LEN(Klantgegevens_B!G423)-LEN(SUBSTITUTE(Klantgegevens_B!G423, ",", ""))+1, Klantgegevens_A!G423)</f>
        <v/>
      </c>
      <c r="G424">
        <f>IF(Klantgegevens_B!G423&lt;&gt;"", 0, Klantgegevens_A!H423)</f>
        <v/>
      </c>
      <c r="H424">
        <f>IF(Klantgegevens_B!H423&lt;&gt;"", Klantgegevens_B!H423, Klantgegevens_A!I423)</f>
        <v/>
      </c>
      <c r="I424">
        <f>IF(Klantgegevens_B!I423&lt;&gt;"", Klantgegevens_B!I423, SWITCH(Klantgegevens_A!J423, "Zelden", 1, "Af en toe", 4, "Regelmatig", 8, "Vaak", 12))</f>
        <v/>
      </c>
      <c r="J424">
        <f>IF(Klantgegevens_B!J423&lt;&gt;"", Klantgegevens_B!J423, Klantgegevens_A!K423)</f>
        <v/>
      </c>
      <c r="K424">
        <f>IF(Klantgegevens_B!K423&lt;&gt;"", AVERAGE(--(Klantgegevens_B!K423="ja"), --(Klantgegevens_B!L423="ja"), --(Klantgegevens_B!M423="ja"), --(Klantgegevens_B!N423="ja"), --(Klantgegevens_B!O423="ja"))*10, Klantgegevens_A!L423)</f>
        <v/>
      </c>
      <c r="L424">
        <f>IF(Klantgegevens_B!K423&lt;&gt;"", Klantgegevens_B!K423, IF(Klantgegevens_A!L423&gt;=7, "ja", "nee"))</f>
        <v/>
      </c>
      <c r="M424">
        <f>IF(Klantgegevens_B!L423&lt;&gt;"", Klantgegevens_B!L423, IF(Klantgegevens_A!L423&gt;=7, "ja", "nee"))</f>
        <v/>
      </c>
      <c r="N424">
        <f>IF(Klantgegevens_B!M423&lt;&gt;"", Klantgegevens_B!M423, IF(Klantgegevens_A!L423&gt;=7, "ja", "nee"))</f>
        <v/>
      </c>
      <c r="O424">
        <f>IF(Klantgegevens_B!N423&lt;&gt;"", Klantgegevens_B!N423, IF(Klantgegevens_A!L423&gt;=7, "ja", "nee"))</f>
        <v/>
      </c>
      <c r="P424">
        <f>IF(Klantgegevens_B!O423&lt;&gt;"", Klantgegevens_B!O423, IF(Klantgegevens_A!L423&gt;=7, "ja", "nee"))</f>
        <v/>
      </c>
      <c r="Q424">
        <f>IF(Klantgegevens_B!P423&lt;&gt;"", Klantgegevens_B!P423, Klantgegevens_A!M423)</f>
        <v/>
      </c>
      <c r="R424">
        <f>IF(Klantgegevens_B!A423&lt;&gt;"", "B", "A")</f>
        <v/>
      </c>
    </row>
    <row r="425">
      <c r="A425">
        <f>IF(Klantgegevens_B!A424&lt;&gt;"", Klantgegevens_B!A424, MID(Klantgegevens_A!A424, FIND(",", Klantgegevens_A!A424)+2, LEN(Klantgegevens_A!A424)))</f>
        <v/>
      </c>
      <c r="B425">
        <f>IF(Klantgegevens_B!B424&lt;&gt;"", Klantgegevens_B!B424, LEFT(Klantgegevens_A!A424, FIND(",", Klantgegevens_A!A424)-1))</f>
        <v/>
      </c>
      <c r="C425">
        <f>C424 &amp; ", " &amp; B424</f>
        <v/>
      </c>
      <c r="D425">
        <f>IF(Klantgegevens_B!F424&lt;&gt;"", Klantgegevens_B!F424, Klantgegevens_A!D424 &amp; " " &amp; Klantgegevens_A!E424 &amp; ", " &amp; Klantgegevens_A!F424)</f>
        <v/>
      </c>
      <c r="E425">
        <f>IF(Klantgegevens_B!G424&lt;&gt;"", Klantgegevens_B!G424, TEXTJOIN(",", TRUE, REPT("Volwassene,", Klantgegevens_A!G424), REPT("Kind,", Klantgegevens_A!H424)))</f>
        <v/>
      </c>
      <c r="F425">
        <f>IF(Klantgegevens_B!G424&lt;&gt;"", LEN(Klantgegevens_B!G424)-LEN(SUBSTITUTE(Klantgegevens_B!G424, ",", ""))+1, Klantgegevens_A!G424)</f>
        <v/>
      </c>
      <c r="G425">
        <f>IF(Klantgegevens_B!G424&lt;&gt;"", 0, Klantgegevens_A!H424)</f>
        <v/>
      </c>
      <c r="H425">
        <f>IF(Klantgegevens_B!H424&lt;&gt;"", Klantgegevens_B!H424, Klantgegevens_A!I424)</f>
        <v/>
      </c>
      <c r="I425">
        <f>IF(Klantgegevens_B!I424&lt;&gt;"", Klantgegevens_B!I424, SWITCH(Klantgegevens_A!J424, "Zelden", 1, "Af en toe", 4, "Regelmatig", 8, "Vaak", 12))</f>
        <v/>
      </c>
      <c r="J425">
        <f>IF(Klantgegevens_B!J424&lt;&gt;"", Klantgegevens_B!J424, Klantgegevens_A!K424)</f>
        <v/>
      </c>
      <c r="K425">
        <f>IF(Klantgegevens_B!K424&lt;&gt;"", AVERAGE(--(Klantgegevens_B!K424="ja"), --(Klantgegevens_B!L424="ja"), --(Klantgegevens_B!M424="ja"), --(Klantgegevens_B!N424="ja"), --(Klantgegevens_B!O424="ja"))*10, Klantgegevens_A!L424)</f>
        <v/>
      </c>
      <c r="L425">
        <f>IF(Klantgegevens_B!K424&lt;&gt;"", Klantgegevens_B!K424, IF(Klantgegevens_A!L424&gt;=7, "ja", "nee"))</f>
        <v/>
      </c>
      <c r="M425">
        <f>IF(Klantgegevens_B!L424&lt;&gt;"", Klantgegevens_B!L424, IF(Klantgegevens_A!L424&gt;=7, "ja", "nee"))</f>
        <v/>
      </c>
      <c r="N425">
        <f>IF(Klantgegevens_B!M424&lt;&gt;"", Klantgegevens_B!M424, IF(Klantgegevens_A!L424&gt;=7, "ja", "nee"))</f>
        <v/>
      </c>
      <c r="O425">
        <f>IF(Klantgegevens_B!N424&lt;&gt;"", Klantgegevens_B!N424, IF(Klantgegevens_A!L424&gt;=7, "ja", "nee"))</f>
        <v/>
      </c>
      <c r="P425">
        <f>IF(Klantgegevens_B!O424&lt;&gt;"", Klantgegevens_B!O424, IF(Klantgegevens_A!L424&gt;=7, "ja", "nee"))</f>
        <v/>
      </c>
      <c r="Q425">
        <f>IF(Klantgegevens_B!P424&lt;&gt;"", Klantgegevens_B!P424, Klantgegevens_A!M424)</f>
        <v/>
      </c>
      <c r="R425">
        <f>IF(Klantgegevens_B!A424&lt;&gt;"", "B", "A")</f>
        <v/>
      </c>
    </row>
    <row r="426">
      <c r="A426">
        <f>IF(Klantgegevens_B!A425&lt;&gt;"", Klantgegevens_B!A425, MID(Klantgegevens_A!A425, FIND(",", Klantgegevens_A!A425)+2, LEN(Klantgegevens_A!A425)))</f>
        <v/>
      </c>
      <c r="B426">
        <f>IF(Klantgegevens_B!B425&lt;&gt;"", Klantgegevens_B!B425, LEFT(Klantgegevens_A!A425, FIND(",", Klantgegevens_A!A425)-1))</f>
        <v/>
      </c>
      <c r="C426">
        <f>C425 &amp; ", " &amp; B425</f>
        <v/>
      </c>
      <c r="D426">
        <f>IF(Klantgegevens_B!F425&lt;&gt;"", Klantgegevens_B!F425, Klantgegevens_A!D425 &amp; " " &amp; Klantgegevens_A!E425 &amp; ", " &amp; Klantgegevens_A!F425)</f>
        <v/>
      </c>
      <c r="E426">
        <f>IF(Klantgegevens_B!G425&lt;&gt;"", Klantgegevens_B!G425, TEXTJOIN(",", TRUE, REPT("Volwassene,", Klantgegevens_A!G425), REPT("Kind,", Klantgegevens_A!H425)))</f>
        <v/>
      </c>
      <c r="F426">
        <f>IF(Klantgegevens_B!G425&lt;&gt;"", LEN(Klantgegevens_B!G425)-LEN(SUBSTITUTE(Klantgegevens_B!G425, ",", ""))+1, Klantgegevens_A!G425)</f>
        <v/>
      </c>
      <c r="G426">
        <f>IF(Klantgegevens_B!G425&lt;&gt;"", 0, Klantgegevens_A!H425)</f>
        <v/>
      </c>
      <c r="H426">
        <f>IF(Klantgegevens_B!H425&lt;&gt;"", Klantgegevens_B!H425, Klantgegevens_A!I425)</f>
        <v/>
      </c>
      <c r="I426">
        <f>IF(Klantgegevens_B!I425&lt;&gt;"", Klantgegevens_B!I425, SWITCH(Klantgegevens_A!J425, "Zelden", 1, "Af en toe", 4, "Regelmatig", 8, "Vaak", 12))</f>
        <v/>
      </c>
      <c r="J426">
        <f>IF(Klantgegevens_B!J425&lt;&gt;"", Klantgegevens_B!J425, Klantgegevens_A!K425)</f>
        <v/>
      </c>
      <c r="K426">
        <f>IF(Klantgegevens_B!K425&lt;&gt;"", AVERAGE(--(Klantgegevens_B!K425="ja"), --(Klantgegevens_B!L425="ja"), --(Klantgegevens_B!M425="ja"), --(Klantgegevens_B!N425="ja"), --(Klantgegevens_B!O425="ja"))*10, Klantgegevens_A!L425)</f>
        <v/>
      </c>
      <c r="L426">
        <f>IF(Klantgegevens_B!K425&lt;&gt;"", Klantgegevens_B!K425, IF(Klantgegevens_A!L425&gt;=7, "ja", "nee"))</f>
        <v/>
      </c>
      <c r="M426">
        <f>IF(Klantgegevens_B!L425&lt;&gt;"", Klantgegevens_B!L425, IF(Klantgegevens_A!L425&gt;=7, "ja", "nee"))</f>
        <v/>
      </c>
      <c r="N426">
        <f>IF(Klantgegevens_B!M425&lt;&gt;"", Klantgegevens_B!M425, IF(Klantgegevens_A!L425&gt;=7, "ja", "nee"))</f>
        <v/>
      </c>
      <c r="O426">
        <f>IF(Klantgegevens_B!N425&lt;&gt;"", Klantgegevens_B!N425, IF(Klantgegevens_A!L425&gt;=7, "ja", "nee"))</f>
        <v/>
      </c>
      <c r="P426">
        <f>IF(Klantgegevens_B!O425&lt;&gt;"", Klantgegevens_B!O425, IF(Klantgegevens_A!L425&gt;=7, "ja", "nee"))</f>
        <v/>
      </c>
      <c r="Q426">
        <f>IF(Klantgegevens_B!P425&lt;&gt;"", Klantgegevens_B!P425, Klantgegevens_A!M425)</f>
        <v/>
      </c>
      <c r="R426">
        <f>IF(Klantgegevens_B!A425&lt;&gt;"", "B", "A")</f>
        <v/>
      </c>
    </row>
    <row r="427">
      <c r="A427">
        <f>IF(Klantgegevens_B!A426&lt;&gt;"", Klantgegevens_B!A426, MID(Klantgegevens_A!A426, FIND(",", Klantgegevens_A!A426)+2, LEN(Klantgegevens_A!A426)))</f>
        <v/>
      </c>
      <c r="B427">
        <f>IF(Klantgegevens_B!B426&lt;&gt;"", Klantgegevens_B!B426, LEFT(Klantgegevens_A!A426, FIND(",", Klantgegevens_A!A426)-1))</f>
        <v/>
      </c>
      <c r="C427">
        <f>C426 &amp; ", " &amp; B426</f>
        <v/>
      </c>
      <c r="D427">
        <f>IF(Klantgegevens_B!F426&lt;&gt;"", Klantgegevens_B!F426, Klantgegevens_A!D426 &amp; " " &amp; Klantgegevens_A!E426 &amp; ", " &amp; Klantgegevens_A!F426)</f>
        <v/>
      </c>
      <c r="E427">
        <f>IF(Klantgegevens_B!G426&lt;&gt;"", Klantgegevens_B!G426, TEXTJOIN(",", TRUE, REPT("Volwassene,", Klantgegevens_A!G426), REPT("Kind,", Klantgegevens_A!H426)))</f>
        <v/>
      </c>
      <c r="F427">
        <f>IF(Klantgegevens_B!G426&lt;&gt;"", LEN(Klantgegevens_B!G426)-LEN(SUBSTITUTE(Klantgegevens_B!G426, ",", ""))+1, Klantgegevens_A!G426)</f>
        <v/>
      </c>
      <c r="G427">
        <f>IF(Klantgegevens_B!G426&lt;&gt;"", 0, Klantgegevens_A!H426)</f>
        <v/>
      </c>
      <c r="H427">
        <f>IF(Klantgegevens_B!H426&lt;&gt;"", Klantgegevens_B!H426, Klantgegevens_A!I426)</f>
        <v/>
      </c>
      <c r="I427">
        <f>IF(Klantgegevens_B!I426&lt;&gt;"", Klantgegevens_B!I426, SWITCH(Klantgegevens_A!J426, "Zelden", 1, "Af en toe", 4, "Regelmatig", 8, "Vaak", 12))</f>
        <v/>
      </c>
      <c r="J427">
        <f>IF(Klantgegevens_B!J426&lt;&gt;"", Klantgegevens_B!J426, Klantgegevens_A!K426)</f>
        <v/>
      </c>
      <c r="K427">
        <f>IF(Klantgegevens_B!K426&lt;&gt;"", AVERAGE(--(Klantgegevens_B!K426="ja"), --(Klantgegevens_B!L426="ja"), --(Klantgegevens_B!M426="ja"), --(Klantgegevens_B!N426="ja"), --(Klantgegevens_B!O426="ja"))*10, Klantgegevens_A!L426)</f>
        <v/>
      </c>
      <c r="L427">
        <f>IF(Klantgegevens_B!K426&lt;&gt;"", Klantgegevens_B!K426, IF(Klantgegevens_A!L426&gt;=7, "ja", "nee"))</f>
        <v/>
      </c>
      <c r="M427">
        <f>IF(Klantgegevens_B!L426&lt;&gt;"", Klantgegevens_B!L426, IF(Klantgegevens_A!L426&gt;=7, "ja", "nee"))</f>
        <v/>
      </c>
      <c r="N427">
        <f>IF(Klantgegevens_B!M426&lt;&gt;"", Klantgegevens_B!M426, IF(Klantgegevens_A!L426&gt;=7, "ja", "nee"))</f>
        <v/>
      </c>
      <c r="O427">
        <f>IF(Klantgegevens_B!N426&lt;&gt;"", Klantgegevens_B!N426, IF(Klantgegevens_A!L426&gt;=7, "ja", "nee"))</f>
        <v/>
      </c>
      <c r="P427">
        <f>IF(Klantgegevens_B!O426&lt;&gt;"", Klantgegevens_B!O426, IF(Klantgegevens_A!L426&gt;=7, "ja", "nee"))</f>
        <v/>
      </c>
      <c r="Q427">
        <f>IF(Klantgegevens_B!P426&lt;&gt;"", Klantgegevens_B!P426, Klantgegevens_A!M426)</f>
        <v/>
      </c>
      <c r="R427">
        <f>IF(Klantgegevens_B!A426&lt;&gt;"", "B", "A")</f>
        <v/>
      </c>
    </row>
    <row r="428">
      <c r="A428">
        <f>IF(Klantgegevens_B!A427&lt;&gt;"", Klantgegevens_B!A427, MID(Klantgegevens_A!A427, FIND(",", Klantgegevens_A!A427)+2, LEN(Klantgegevens_A!A427)))</f>
        <v/>
      </c>
      <c r="B428">
        <f>IF(Klantgegevens_B!B427&lt;&gt;"", Klantgegevens_B!B427, LEFT(Klantgegevens_A!A427, FIND(",", Klantgegevens_A!A427)-1))</f>
        <v/>
      </c>
      <c r="C428">
        <f>C427 &amp; ", " &amp; B427</f>
        <v/>
      </c>
      <c r="D428">
        <f>IF(Klantgegevens_B!F427&lt;&gt;"", Klantgegevens_B!F427, Klantgegevens_A!D427 &amp; " " &amp; Klantgegevens_A!E427 &amp; ", " &amp; Klantgegevens_A!F427)</f>
        <v/>
      </c>
      <c r="E428">
        <f>IF(Klantgegevens_B!G427&lt;&gt;"", Klantgegevens_B!G427, TEXTJOIN(",", TRUE, REPT("Volwassene,", Klantgegevens_A!G427), REPT("Kind,", Klantgegevens_A!H427)))</f>
        <v/>
      </c>
      <c r="F428">
        <f>IF(Klantgegevens_B!G427&lt;&gt;"", LEN(Klantgegevens_B!G427)-LEN(SUBSTITUTE(Klantgegevens_B!G427, ",", ""))+1, Klantgegevens_A!G427)</f>
        <v/>
      </c>
      <c r="G428">
        <f>IF(Klantgegevens_B!G427&lt;&gt;"", 0, Klantgegevens_A!H427)</f>
        <v/>
      </c>
      <c r="H428">
        <f>IF(Klantgegevens_B!H427&lt;&gt;"", Klantgegevens_B!H427, Klantgegevens_A!I427)</f>
        <v/>
      </c>
      <c r="I428">
        <f>IF(Klantgegevens_B!I427&lt;&gt;"", Klantgegevens_B!I427, SWITCH(Klantgegevens_A!J427, "Zelden", 1, "Af en toe", 4, "Regelmatig", 8, "Vaak", 12))</f>
        <v/>
      </c>
      <c r="J428">
        <f>IF(Klantgegevens_B!J427&lt;&gt;"", Klantgegevens_B!J427, Klantgegevens_A!K427)</f>
        <v/>
      </c>
      <c r="K428">
        <f>IF(Klantgegevens_B!K427&lt;&gt;"", AVERAGE(--(Klantgegevens_B!K427="ja"), --(Klantgegevens_B!L427="ja"), --(Klantgegevens_B!M427="ja"), --(Klantgegevens_B!N427="ja"), --(Klantgegevens_B!O427="ja"))*10, Klantgegevens_A!L427)</f>
        <v/>
      </c>
      <c r="L428">
        <f>IF(Klantgegevens_B!K427&lt;&gt;"", Klantgegevens_B!K427, IF(Klantgegevens_A!L427&gt;=7, "ja", "nee"))</f>
        <v/>
      </c>
      <c r="M428">
        <f>IF(Klantgegevens_B!L427&lt;&gt;"", Klantgegevens_B!L427, IF(Klantgegevens_A!L427&gt;=7, "ja", "nee"))</f>
        <v/>
      </c>
      <c r="N428">
        <f>IF(Klantgegevens_B!M427&lt;&gt;"", Klantgegevens_B!M427, IF(Klantgegevens_A!L427&gt;=7, "ja", "nee"))</f>
        <v/>
      </c>
      <c r="O428">
        <f>IF(Klantgegevens_B!N427&lt;&gt;"", Klantgegevens_B!N427, IF(Klantgegevens_A!L427&gt;=7, "ja", "nee"))</f>
        <v/>
      </c>
      <c r="P428">
        <f>IF(Klantgegevens_B!O427&lt;&gt;"", Klantgegevens_B!O427, IF(Klantgegevens_A!L427&gt;=7, "ja", "nee"))</f>
        <v/>
      </c>
      <c r="Q428">
        <f>IF(Klantgegevens_B!P427&lt;&gt;"", Klantgegevens_B!P427, Klantgegevens_A!M427)</f>
        <v/>
      </c>
      <c r="R428">
        <f>IF(Klantgegevens_B!A427&lt;&gt;"", "B", "A")</f>
        <v/>
      </c>
    </row>
    <row r="429">
      <c r="A429">
        <f>IF(Klantgegevens_B!A428&lt;&gt;"", Klantgegevens_B!A428, MID(Klantgegevens_A!A428, FIND(",", Klantgegevens_A!A428)+2, LEN(Klantgegevens_A!A428)))</f>
        <v/>
      </c>
      <c r="B429">
        <f>IF(Klantgegevens_B!B428&lt;&gt;"", Klantgegevens_B!B428, LEFT(Klantgegevens_A!A428, FIND(",", Klantgegevens_A!A428)-1))</f>
        <v/>
      </c>
      <c r="C429">
        <f>C428 &amp; ", " &amp; B428</f>
        <v/>
      </c>
      <c r="D429">
        <f>IF(Klantgegevens_B!F428&lt;&gt;"", Klantgegevens_B!F428, Klantgegevens_A!D428 &amp; " " &amp; Klantgegevens_A!E428 &amp; ", " &amp; Klantgegevens_A!F428)</f>
        <v/>
      </c>
      <c r="E429">
        <f>IF(Klantgegevens_B!G428&lt;&gt;"", Klantgegevens_B!G428, TEXTJOIN(",", TRUE, REPT("Volwassene,", Klantgegevens_A!G428), REPT("Kind,", Klantgegevens_A!H428)))</f>
        <v/>
      </c>
      <c r="F429">
        <f>IF(Klantgegevens_B!G428&lt;&gt;"", LEN(Klantgegevens_B!G428)-LEN(SUBSTITUTE(Klantgegevens_B!G428, ",", ""))+1, Klantgegevens_A!G428)</f>
        <v/>
      </c>
      <c r="G429">
        <f>IF(Klantgegevens_B!G428&lt;&gt;"", 0, Klantgegevens_A!H428)</f>
        <v/>
      </c>
      <c r="H429">
        <f>IF(Klantgegevens_B!H428&lt;&gt;"", Klantgegevens_B!H428, Klantgegevens_A!I428)</f>
        <v/>
      </c>
      <c r="I429">
        <f>IF(Klantgegevens_B!I428&lt;&gt;"", Klantgegevens_B!I428, SWITCH(Klantgegevens_A!J428, "Zelden", 1, "Af en toe", 4, "Regelmatig", 8, "Vaak", 12))</f>
        <v/>
      </c>
      <c r="J429">
        <f>IF(Klantgegevens_B!J428&lt;&gt;"", Klantgegevens_B!J428, Klantgegevens_A!K428)</f>
        <v/>
      </c>
      <c r="K429">
        <f>IF(Klantgegevens_B!K428&lt;&gt;"", AVERAGE(--(Klantgegevens_B!K428="ja"), --(Klantgegevens_B!L428="ja"), --(Klantgegevens_B!M428="ja"), --(Klantgegevens_B!N428="ja"), --(Klantgegevens_B!O428="ja"))*10, Klantgegevens_A!L428)</f>
        <v/>
      </c>
      <c r="L429">
        <f>IF(Klantgegevens_B!K428&lt;&gt;"", Klantgegevens_B!K428, IF(Klantgegevens_A!L428&gt;=7, "ja", "nee"))</f>
        <v/>
      </c>
      <c r="M429">
        <f>IF(Klantgegevens_B!L428&lt;&gt;"", Klantgegevens_B!L428, IF(Klantgegevens_A!L428&gt;=7, "ja", "nee"))</f>
        <v/>
      </c>
      <c r="N429">
        <f>IF(Klantgegevens_B!M428&lt;&gt;"", Klantgegevens_B!M428, IF(Klantgegevens_A!L428&gt;=7, "ja", "nee"))</f>
        <v/>
      </c>
      <c r="O429">
        <f>IF(Klantgegevens_B!N428&lt;&gt;"", Klantgegevens_B!N428, IF(Klantgegevens_A!L428&gt;=7, "ja", "nee"))</f>
        <v/>
      </c>
      <c r="P429">
        <f>IF(Klantgegevens_B!O428&lt;&gt;"", Klantgegevens_B!O428, IF(Klantgegevens_A!L428&gt;=7, "ja", "nee"))</f>
        <v/>
      </c>
      <c r="Q429">
        <f>IF(Klantgegevens_B!P428&lt;&gt;"", Klantgegevens_B!P428, Klantgegevens_A!M428)</f>
        <v/>
      </c>
      <c r="R429">
        <f>IF(Klantgegevens_B!A428&lt;&gt;"", "B", "A")</f>
        <v/>
      </c>
    </row>
    <row r="430">
      <c r="A430">
        <f>IF(Klantgegevens_B!A429&lt;&gt;"", Klantgegevens_B!A429, MID(Klantgegevens_A!A429, FIND(",", Klantgegevens_A!A429)+2, LEN(Klantgegevens_A!A429)))</f>
        <v/>
      </c>
      <c r="B430">
        <f>IF(Klantgegevens_B!B429&lt;&gt;"", Klantgegevens_B!B429, LEFT(Klantgegevens_A!A429, FIND(",", Klantgegevens_A!A429)-1))</f>
        <v/>
      </c>
      <c r="C430">
        <f>C429 &amp; ", " &amp; B429</f>
        <v/>
      </c>
      <c r="D430">
        <f>IF(Klantgegevens_B!F429&lt;&gt;"", Klantgegevens_B!F429, Klantgegevens_A!D429 &amp; " " &amp; Klantgegevens_A!E429 &amp; ", " &amp; Klantgegevens_A!F429)</f>
        <v/>
      </c>
      <c r="E430">
        <f>IF(Klantgegevens_B!G429&lt;&gt;"", Klantgegevens_B!G429, TEXTJOIN(",", TRUE, REPT("Volwassene,", Klantgegevens_A!G429), REPT("Kind,", Klantgegevens_A!H429)))</f>
        <v/>
      </c>
      <c r="F430">
        <f>IF(Klantgegevens_B!G429&lt;&gt;"", LEN(Klantgegevens_B!G429)-LEN(SUBSTITUTE(Klantgegevens_B!G429, ",", ""))+1, Klantgegevens_A!G429)</f>
        <v/>
      </c>
      <c r="G430">
        <f>IF(Klantgegevens_B!G429&lt;&gt;"", 0, Klantgegevens_A!H429)</f>
        <v/>
      </c>
      <c r="H430">
        <f>IF(Klantgegevens_B!H429&lt;&gt;"", Klantgegevens_B!H429, Klantgegevens_A!I429)</f>
        <v/>
      </c>
      <c r="I430">
        <f>IF(Klantgegevens_B!I429&lt;&gt;"", Klantgegevens_B!I429, SWITCH(Klantgegevens_A!J429, "Zelden", 1, "Af en toe", 4, "Regelmatig", 8, "Vaak", 12))</f>
        <v/>
      </c>
      <c r="J430">
        <f>IF(Klantgegevens_B!J429&lt;&gt;"", Klantgegevens_B!J429, Klantgegevens_A!K429)</f>
        <v/>
      </c>
      <c r="K430">
        <f>IF(Klantgegevens_B!K429&lt;&gt;"", AVERAGE(--(Klantgegevens_B!K429="ja"), --(Klantgegevens_B!L429="ja"), --(Klantgegevens_B!M429="ja"), --(Klantgegevens_B!N429="ja"), --(Klantgegevens_B!O429="ja"))*10, Klantgegevens_A!L429)</f>
        <v/>
      </c>
      <c r="L430">
        <f>IF(Klantgegevens_B!K429&lt;&gt;"", Klantgegevens_B!K429, IF(Klantgegevens_A!L429&gt;=7, "ja", "nee"))</f>
        <v/>
      </c>
      <c r="M430">
        <f>IF(Klantgegevens_B!L429&lt;&gt;"", Klantgegevens_B!L429, IF(Klantgegevens_A!L429&gt;=7, "ja", "nee"))</f>
        <v/>
      </c>
      <c r="N430">
        <f>IF(Klantgegevens_B!M429&lt;&gt;"", Klantgegevens_B!M429, IF(Klantgegevens_A!L429&gt;=7, "ja", "nee"))</f>
        <v/>
      </c>
      <c r="O430">
        <f>IF(Klantgegevens_B!N429&lt;&gt;"", Klantgegevens_B!N429, IF(Klantgegevens_A!L429&gt;=7, "ja", "nee"))</f>
        <v/>
      </c>
      <c r="P430">
        <f>IF(Klantgegevens_B!O429&lt;&gt;"", Klantgegevens_B!O429, IF(Klantgegevens_A!L429&gt;=7, "ja", "nee"))</f>
        <v/>
      </c>
      <c r="Q430">
        <f>IF(Klantgegevens_B!P429&lt;&gt;"", Klantgegevens_B!P429, Klantgegevens_A!M429)</f>
        <v/>
      </c>
      <c r="R430">
        <f>IF(Klantgegevens_B!A429&lt;&gt;"", "B", "A")</f>
        <v/>
      </c>
    </row>
    <row r="431">
      <c r="A431">
        <f>IF(Klantgegevens_B!A430&lt;&gt;"", Klantgegevens_B!A430, MID(Klantgegevens_A!A430, FIND(",", Klantgegevens_A!A430)+2, LEN(Klantgegevens_A!A430)))</f>
        <v/>
      </c>
      <c r="B431">
        <f>IF(Klantgegevens_B!B430&lt;&gt;"", Klantgegevens_B!B430, LEFT(Klantgegevens_A!A430, FIND(",", Klantgegevens_A!A430)-1))</f>
        <v/>
      </c>
      <c r="C431">
        <f>C430 &amp; ", " &amp; B430</f>
        <v/>
      </c>
      <c r="D431">
        <f>IF(Klantgegevens_B!F430&lt;&gt;"", Klantgegevens_B!F430, Klantgegevens_A!D430 &amp; " " &amp; Klantgegevens_A!E430 &amp; ", " &amp; Klantgegevens_A!F430)</f>
        <v/>
      </c>
      <c r="E431">
        <f>IF(Klantgegevens_B!G430&lt;&gt;"", Klantgegevens_B!G430, TEXTJOIN(",", TRUE, REPT("Volwassene,", Klantgegevens_A!G430), REPT("Kind,", Klantgegevens_A!H430)))</f>
        <v/>
      </c>
      <c r="F431">
        <f>IF(Klantgegevens_B!G430&lt;&gt;"", LEN(Klantgegevens_B!G430)-LEN(SUBSTITUTE(Klantgegevens_B!G430, ",", ""))+1, Klantgegevens_A!G430)</f>
        <v/>
      </c>
      <c r="G431">
        <f>IF(Klantgegevens_B!G430&lt;&gt;"", 0, Klantgegevens_A!H430)</f>
        <v/>
      </c>
      <c r="H431">
        <f>IF(Klantgegevens_B!H430&lt;&gt;"", Klantgegevens_B!H430, Klantgegevens_A!I430)</f>
        <v/>
      </c>
      <c r="I431">
        <f>IF(Klantgegevens_B!I430&lt;&gt;"", Klantgegevens_B!I430, SWITCH(Klantgegevens_A!J430, "Zelden", 1, "Af en toe", 4, "Regelmatig", 8, "Vaak", 12))</f>
        <v/>
      </c>
      <c r="J431">
        <f>IF(Klantgegevens_B!J430&lt;&gt;"", Klantgegevens_B!J430, Klantgegevens_A!K430)</f>
        <v/>
      </c>
      <c r="K431">
        <f>IF(Klantgegevens_B!K430&lt;&gt;"", AVERAGE(--(Klantgegevens_B!K430="ja"), --(Klantgegevens_B!L430="ja"), --(Klantgegevens_B!M430="ja"), --(Klantgegevens_B!N430="ja"), --(Klantgegevens_B!O430="ja"))*10, Klantgegevens_A!L430)</f>
        <v/>
      </c>
      <c r="L431">
        <f>IF(Klantgegevens_B!K430&lt;&gt;"", Klantgegevens_B!K430, IF(Klantgegevens_A!L430&gt;=7, "ja", "nee"))</f>
        <v/>
      </c>
      <c r="M431">
        <f>IF(Klantgegevens_B!L430&lt;&gt;"", Klantgegevens_B!L430, IF(Klantgegevens_A!L430&gt;=7, "ja", "nee"))</f>
        <v/>
      </c>
      <c r="N431">
        <f>IF(Klantgegevens_B!M430&lt;&gt;"", Klantgegevens_B!M430, IF(Klantgegevens_A!L430&gt;=7, "ja", "nee"))</f>
        <v/>
      </c>
      <c r="O431">
        <f>IF(Klantgegevens_B!N430&lt;&gt;"", Klantgegevens_B!N430, IF(Klantgegevens_A!L430&gt;=7, "ja", "nee"))</f>
        <v/>
      </c>
      <c r="P431">
        <f>IF(Klantgegevens_B!O430&lt;&gt;"", Klantgegevens_B!O430, IF(Klantgegevens_A!L430&gt;=7, "ja", "nee"))</f>
        <v/>
      </c>
      <c r="Q431">
        <f>IF(Klantgegevens_B!P430&lt;&gt;"", Klantgegevens_B!P430, Klantgegevens_A!M430)</f>
        <v/>
      </c>
      <c r="R431">
        <f>IF(Klantgegevens_B!A430&lt;&gt;"", "B", "A")</f>
        <v/>
      </c>
    </row>
    <row r="432">
      <c r="A432">
        <f>IF(Klantgegevens_B!A431&lt;&gt;"", Klantgegevens_B!A431, MID(Klantgegevens_A!A431, FIND(",", Klantgegevens_A!A431)+2, LEN(Klantgegevens_A!A431)))</f>
        <v/>
      </c>
      <c r="B432">
        <f>IF(Klantgegevens_B!B431&lt;&gt;"", Klantgegevens_B!B431, LEFT(Klantgegevens_A!A431, FIND(",", Klantgegevens_A!A431)-1))</f>
        <v/>
      </c>
      <c r="C432">
        <f>C431 &amp; ", " &amp; B431</f>
        <v/>
      </c>
      <c r="D432">
        <f>IF(Klantgegevens_B!F431&lt;&gt;"", Klantgegevens_B!F431, Klantgegevens_A!D431 &amp; " " &amp; Klantgegevens_A!E431 &amp; ", " &amp; Klantgegevens_A!F431)</f>
        <v/>
      </c>
      <c r="E432">
        <f>IF(Klantgegevens_B!G431&lt;&gt;"", Klantgegevens_B!G431, TEXTJOIN(",", TRUE, REPT("Volwassene,", Klantgegevens_A!G431), REPT("Kind,", Klantgegevens_A!H431)))</f>
        <v/>
      </c>
      <c r="F432">
        <f>IF(Klantgegevens_B!G431&lt;&gt;"", LEN(Klantgegevens_B!G431)-LEN(SUBSTITUTE(Klantgegevens_B!G431, ",", ""))+1, Klantgegevens_A!G431)</f>
        <v/>
      </c>
      <c r="G432">
        <f>IF(Klantgegevens_B!G431&lt;&gt;"", 0, Klantgegevens_A!H431)</f>
        <v/>
      </c>
      <c r="H432">
        <f>IF(Klantgegevens_B!H431&lt;&gt;"", Klantgegevens_B!H431, Klantgegevens_A!I431)</f>
        <v/>
      </c>
      <c r="I432">
        <f>IF(Klantgegevens_B!I431&lt;&gt;"", Klantgegevens_B!I431, SWITCH(Klantgegevens_A!J431, "Zelden", 1, "Af en toe", 4, "Regelmatig", 8, "Vaak", 12))</f>
        <v/>
      </c>
      <c r="J432">
        <f>IF(Klantgegevens_B!J431&lt;&gt;"", Klantgegevens_B!J431, Klantgegevens_A!K431)</f>
        <v/>
      </c>
      <c r="K432">
        <f>IF(Klantgegevens_B!K431&lt;&gt;"", AVERAGE(--(Klantgegevens_B!K431="ja"), --(Klantgegevens_B!L431="ja"), --(Klantgegevens_B!M431="ja"), --(Klantgegevens_B!N431="ja"), --(Klantgegevens_B!O431="ja"))*10, Klantgegevens_A!L431)</f>
        <v/>
      </c>
      <c r="L432">
        <f>IF(Klantgegevens_B!K431&lt;&gt;"", Klantgegevens_B!K431, IF(Klantgegevens_A!L431&gt;=7, "ja", "nee"))</f>
        <v/>
      </c>
      <c r="M432">
        <f>IF(Klantgegevens_B!L431&lt;&gt;"", Klantgegevens_B!L431, IF(Klantgegevens_A!L431&gt;=7, "ja", "nee"))</f>
        <v/>
      </c>
      <c r="N432">
        <f>IF(Klantgegevens_B!M431&lt;&gt;"", Klantgegevens_B!M431, IF(Klantgegevens_A!L431&gt;=7, "ja", "nee"))</f>
        <v/>
      </c>
      <c r="O432">
        <f>IF(Klantgegevens_B!N431&lt;&gt;"", Klantgegevens_B!N431, IF(Klantgegevens_A!L431&gt;=7, "ja", "nee"))</f>
        <v/>
      </c>
      <c r="P432">
        <f>IF(Klantgegevens_B!O431&lt;&gt;"", Klantgegevens_B!O431, IF(Klantgegevens_A!L431&gt;=7, "ja", "nee"))</f>
        <v/>
      </c>
      <c r="Q432">
        <f>IF(Klantgegevens_B!P431&lt;&gt;"", Klantgegevens_B!P431, Klantgegevens_A!M431)</f>
        <v/>
      </c>
      <c r="R432">
        <f>IF(Klantgegevens_B!A431&lt;&gt;"", "B", "A")</f>
        <v/>
      </c>
    </row>
    <row r="433">
      <c r="A433">
        <f>IF(Klantgegevens_B!A432&lt;&gt;"", Klantgegevens_B!A432, MID(Klantgegevens_A!A432, FIND(",", Klantgegevens_A!A432)+2, LEN(Klantgegevens_A!A432)))</f>
        <v/>
      </c>
      <c r="B433">
        <f>IF(Klantgegevens_B!B432&lt;&gt;"", Klantgegevens_B!B432, LEFT(Klantgegevens_A!A432, FIND(",", Klantgegevens_A!A432)-1))</f>
        <v/>
      </c>
      <c r="C433">
        <f>C432 &amp; ", " &amp; B432</f>
        <v/>
      </c>
      <c r="D433">
        <f>IF(Klantgegevens_B!F432&lt;&gt;"", Klantgegevens_B!F432, Klantgegevens_A!D432 &amp; " " &amp; Klantgegevens_A!E432 &amp; ", " &amp; Klantgegevens_A!F432)</f>
        <v/>
      </c>
      <c r="E433">
        <f>IF(Klantgegevens_B!G432&lt;&gt;"", Klantgegevens_B!G432, TEXTJOIN(",", TRUE, REPT("Volwassene,", Klantgegevens_A!G432), REPT("Kind,", Klantgegevens_A!H432)))</f>
        <v/>
      </c>
      <c r="F433">
        <f>IF(Klantgegevens_B!G432&lt;&gt;"", LEN(Klantgegevens_B!G432)-LEN(SUBSTITUTE(Klantgegevens_B!G432, ",", ""))+1, Klantgegevens_A!G432)</f>
        <v/>
      </c>
      <c r="G433">
        <f>IF(Klantgegevens_B!G432&lt;&gt;"", 0, Klantgegevens_A!H432)</f>
        <v/>
      </c>
      <c r="H433">
        <f>IF(Klantgegevens_B!H432&lt;&gt;"", Klantgegevens_B!H432, Klantgegevens_A!I432)</f>
        <v/>
      </c>
      <c r="I433">
        <f>IF(Klantgegevens_B!I432&lt;&gt;"", Klantgegevens_B!I432, SWITCH(Klantgegevens_A!J432, "Zelden", 1, "Af en toe", 4, "Regelmatig", 8, "Vaak", 12))</f>
        <v/>
      </c>
      <c r="J433">
        <f>IF(Klantgegevens_B!J432&lt;&gt;"", Klantgegevens_B!J432, Klantgegevens_A!K432)</f>
        <v/>
      </c>
      <c r="K433">
        <f>IF(Klantgegevens_B!K432&lt;&gt;"", AVERAGE(--(Klantgegevens_B!K432="ja"), --(Klantgegevens_B!L432="ja"), --(Klantgegevens_B!M432="ja"), --(Klantgegevens_B!N432="ja"), --(Klantgegevens_B!O432="ja"))*10, Klantgegevens_A!L432)</f>
        <v/>
      </c>
      <c r="L433">
        <f>IF(Klantgegevens_B!K432&lt;&gt;"", Klantgegevens_B!K432, IF(Klantgegevens_A!L432&gt;=7, "ja", "nee"))</f>
        <v/>
      </c>
      <c r="M433">
        <f>IF(Klantgegevens_B!L432&lt;&gt;"", Klantgegevens_B!L432, IF(Klantgegevens_A!L432&gt;=7, "ja", "nee"))</f>
        <v/>
      </c>
      <c r="N433">
        <f>IF(Klantgegevens_B!M432&lt;&gt;"", Klantgegevens_B!M432, IF(Klantgegevens_A!L432&gt;=7, "ja", "nee"))</f>
        <v/>
      </c>
      <c r="O433">
        <f>IF(Klantgegevens_B!N432&lt;&gt;"", Klantgegevens_B!N432, IF(Klantgegevens_A!L432&gt;=7, "ja", "nee"))</f>
        <v/>
      </c>
      <c r="P433">
        <f>IF(Klantgegevens_B!O432&lt;&gt;"", Klantgegevens_B!O432, IF(Klantgegevens_A!L432&gt;=7, "ja", "nee"))</f>
        <v/>
      </c>
      <c r="Q433">
        <f>IF(Klantgegevens_B!P432&lt;&gt;"", Klantgegevens_B!P432, Klantgegevens_A!M432)</f>
        <v/>
      </c>
      <c r="R433">
        <f>IF(Klantgegevens_B!A432&lt;&gt;"", "B", "A")</f>
        <v/>
      </c>
    </row>
    <row r="434">
      <c r="A434">
        <f>IF(Klantgegevens_B!A433&lt;&gt;"", Klantgegevens_B!A433, MID(Klantgegevens_A!A433, FIND(",", Klantgegevens_A!A433)+2, LEN(Klantgegevens_A!A433)))</f>
        <v/>
      </c>
      <c r="B434">
        <f>IF(Klantgegevens_B!B433&lt;&gt;"", Klantgegevens_B!B433, LEFT(Klantgegevens_A!A433, FIND(",", Klantgegevens_A!A433)-1))</f>
        <v/>
      </c>
      <c r="C434">
        <f>C433 &amp; ", " &amp; B433</f>
        <v/>
      </c>
      <c r="D434">
        <f>IF(Klantgegevens_B!F433&lt;&gt;"", Klantgegevens_B!F433, Klantgegevens_A!D433 &amp; " " &amp; Klantgegevens_A!E433 &amp; ", " &amp; Klantgegevens_A!F433)</f>
        <v/>
      </c>
      <c r="E434">
        <f>IF(Klantgegevens_B!G433&lt;&gt;"", Klantgegevens_B!G433, TEXTJOIN(",", TRUE, REPT("Volwassene,", Klantgegevens_A!G433), REPT("Kind,", Klantgegevens_A!H433)))</f>
        <v/>
      </c>
      <c r="F434">
        <f>IF(Klantgegevens_B!G433&lt;&gt;"", LEN(Klantgegevens_B!G433)-LEN(SUBSTITUTE(Klantgegevens_B!G433, ",", ""))+1, Klantgegevens_A!G433)</f>
        <v/>
      </c>
      <c r="G434">
        <f>IF(Klantgegevens_B!G433&lt;&gt;"", 0, Klantgegevens_A!H433)</f>
        <v/>
      </c>
      <c r="H434">
        <f>IF(Klantgegevens_B!H433&lt;&gt;"", Klantgegevens_B!H433, Klantgegevens_A!I433)</f>
        <v/>
      </c>
      <c r="I434">
        <f>IF(Klantgegevens_B!I433&lt;&gt;"", Klantgegevens_B!I433, SWITCH(Klantgegevens_A!J433, "Zelden", 1, "Af en toe", 4, "Regelmatig", 8, "Vaak", 12))</f>
        <v/>
      </c>
      <c r="J434">
        <f>IF(Klantgegevens_B!J433&lt;&gt;"", Klantgegevens_B!J433, Klantgegevens_A!K433)</f>
        <v/>
      </c>
      <c r="K434">
        <f>IF(Klantgegevens_B!K433&lt;&gt;"", AVERAGE(--(Klantgegevens_B!K433="ja"), --(Klantgegevens_B!L433="ja"), --(Klantgegevens_B!M433="ja"), --(Klantgegevens_B!N433="ja"), --(Klantgegevens_B!O433="ja"))*10, Klantgegevens_A!L433)</f>
        <v/>
      </c>
      <c r="L434">
        <f>IF(Klantgegevens_B!K433&lt;&gt;"", Klantgegevens_B!K433, IF(Klantgegevens_A!L433&gt;=7, "ja", "nee"))</f>
        <v/>
      </c>
      <c r="M434">
        <f>IF(Klantgegevens_B!L433&lt;&gt;"", Klantgegevens_B!L433, IF(Klantgegevens_A!L433&gt;=7, "ja", "nee"))</f>
        <v/>
      </c>
      <c r="N434">
        <f>IF(Klantgegevens_B!M433&lt;&gt;"", Klantgegevens_B!M433, IF(Klantgegevens_A!L433&gt;=7, "ja", "nee"))</f>
        <v/>
      </c>
      <c r="O434">
        <f>IF(Klantgegevens_B!N433&lt;&gt;"", Klantgegevens_B!N433, IF(Klantgegevens_A!L433&gt;=7, "ja", "nee"))</f>
        <v/>
      </c>
      <c r="P434">
        <f>IF(Klantgegevens_B!O433&lt;&gt;"", Klantgegevens_B!O433, IF(Klantgegevens_A!L433&gt;=7, "ja", "nee"))</f>
        <v/>
      </c>
      <c r="Q434">
        <f>IF(Klantgegevens_B!P433&lt;&gt;"", Klantgegevens_B!P433, Klantgegevens_A!M433)</f>
        <v/>
      </c>
      <c r="R434">
        <f>IF(Klantgegevens_B!A433&lt;&gt;"", "B", "A")</f>
        <v/>
      </c>
    </row>
    <row r="435">
      <c r="A435">
        <f>IF(Klantgegevens_B!A434&lt;&gt;"", Klantgegevens_B!A434, MID(Klantgegevens_A!A434, FIND(",", Klantgegevens_A!A434)+2, LEN(Klantgegevens_A!A434)))</f>
        <v/>
      </c>
      <c r="B435">
        <f>IF(Klantgegevens_B!B434&lt;&gt;"", Klantgegevens_B!B434, LEFT(Klantgegevens_A!A434, FIND(",", Klantgegevens_A!A434)-1))</f>
        <v/>
      </c>
      <c r="C435">
        <f>C434 &amp; ", " &amp; B434</f>
        <v/>
      </c>
      <c r="D435">
        <f>IF(Klantgegevens_B!F434&lt;&gt;"", Klantgegevens_B!F434, Klantgegevens_A!D434 &amp; " " &amp; Klantgegevens_A!E434 &amp; ", " &amp; Klantgegevens_A!F434)</f>
        <v/>
      </c>
      <c r="E435">
        <f>IF(Klantgegevens_B!G434&lt;&gt;"", Klantgegevens_B!G434, TEXTJOIN(",", TRUE, REPT("Volwassene,", Klantgegevens_A!G434), REPT("Kind,", Klantgegevens_A!H434)))</f>
        <v/>
      </c>
      <c r="F435">
        <f>IF(Klantgegevens_B!G434&lt;&gt;"", LEN(Klantgegevens_B!G434)-LEN(SUBSTITUTE(Klantgegevens_B!G434, ",", ""))+1, Klantgegevens_A!G434)</f>
        <v/>
      </c>
      <c r="G435">
        <f>IF(Klantgegevens_B!G434&lt;&gt;"", 0, Klantgegevens_A!H434)</f>
        <v/>
      </c>
      <c r="H435">
        <f>IF(Klantgegevens_B!H434&lt;&gt;"", Klantgegevens_B!H434, Klantgegevens_A!I434)</f>
        <v/>
      </c>
      <c r="I435">
        <f>IF(Klantgegevens_B!I434&lt;&gt;"", Klantgegevens_B!I434, SWITCH(Klantgegevens_A!J434, "Zelden", 1, "Af en toe", 4, "Regelmatig", 8, "Vaak", 12))</f>
        <v/>
      </c>
      <c r="J435">
        <f>IF(Klantgegevens_B!J434&lt;&gt;"", Klantgegevens_B!J434, Klantgegevens_A!K434)</f>
        <v/>
      </c>
      <c r="K435">
        <f>IF(Klantgegevens_B!K434&lt;&gt;"", AVERAGE(--(Klantgegevens_B!K434="ja"), --(Klantgegevens_B!L434="ja"), --(Klantgegevens_B!M434="ja"), --(Klantgegevens_B!N434="ja"), --(Klantgegevens_B!O434="ja"))*10, Klantgegevens_A!L434)</f>
        <v/>
      </c>
      <c r="L435">
        <f>IF(Klantgegevens_B!K434&lt;&gt;"", Klantgegevens_B!K434, IF(Klantgegevens_A!L434&gt;=7, "ja", "nee"))</f>
        <v/>
      </c>
      <c r="M435">
        <f>IF(Klantgegevens_B!L434&lt;&gt;"", Klantgegevens_B!L434, IF(Klantgegevens_A!L434&gt;=7, "ja", "nee"))</f>
        <v/>
      </c>
      <c r="N435">
        <f>IF(Klantgegevens_B!M434&lt;&gt;"", Klantgegevens_B!M434, IF(Klantgegevens_A!L434&gt;=7, "ja", "nee"))</f>
        <v/>
      </c>
      <c r="O435">
        <f>IF(Klantgegevens_B!N434&lt;&gt;"", Klantgegevens_B!N434, IF(Klantgegevens_A!L434&gt;=7, "ja", "nee"))</f>
        <v/>
      </c>
      <c r="P435">
        <f>IF(Klantgegevens_B!O434&lt;&gt;"", Klantgegevens_B!O434, IF(Klantgegevens_A!L434&gt;=7, "ja", "nee"))</f>
        <v/>
      </c>
      <c r="Q435">
        <f>IF(Klantgegevens_B!P434&lt;&gt;"", Klantgegevens_B!P434, Klantgegevens_A!M434)</f>
        <v/>
      </c>
      <c r="R435">
        <f>IF(Klantgegevens_B!A434&lt;&gt;"", "B", "A")</f>
        <v/>
      </c>
    </row>
    <row r="436">
      <c r="A436">
        <f>IF(Klantgegevens_B!A435&lt;&gt;"", Klantgegevens_B!A435, MID(Klantgegevens_A!A435, FIND(",", Klantgegevens_A!A435)+2, LEN(Klantgegevens_A!A435)))</f>
        <v/>
      </c>
      <c r="B436">
        <f>IF(Klantgegevens_B!B435&lt;&gt;"", Klantgegevens_B!B435, LEFT(Klantgegevens_A!A435, FIND(",", Klantgegevens_A!A435)-1))</f>
        <v/>
      </c>
      <c r="C436">
        <f>C435 &amp; ", " &amp; B435</f>
        <v/>
      </c>
      <c r="D436">
        <f>IF(Klantgegevens_B!F435&lt;&gt;"", Klantgegevens_B!F435, Klantgegevens_A!D435 &amp; " " &amp; Klantgegevens_A!E435 &amp; ", " &amp; Klantgegevens_A!F435)</f>
        <v/>
      </c>
      <c r="E436">
        <f>IF(Klantgegevens_B!G435&lt;&gt;"", Klantgegevens_B!G435, TEXTJOIN(",", TRUE, REPT("Volwassene,", Klantgegevens_A!G435), REPT("Kind,", Klantgegevens_A!H435)))</f>
        <v/>
      </c>
      <c r="F436">
        <f>IF(Klantgegevens_B!G435&lt;&gt;"", LEN(Klantgegevens_B!G435)-LEN(SUBSTITUTE(Klantgegevens_B!G435, ",", ""))+1, Klantgegevens_A!G435)</f>
        <v/>
      </c>
      <c r="G436">
        <f>IF(Klantgegevens_B!G435&lt;&gt;"", 0, Klantgegevens_A!H435)</f>
        <v/>
      </c>
      <c r="H436">
        <f>IF(Klantgegevens_B!H435&lt;&gt;"", Klantgegevens_B!H435, Klantgegevens_A!I435)</f>
        <v/>
      </c>
      <c r="I436">
        <f>IF(Klantgegevens_B!I435&lt;&gt;"", Klantgegevens_B!I435, SWITCH(Klantgegevens_A!J435, "Zelden", 1, "Af en toe", 4, "Regelmatig", 8, "Vaak", 12))</f>
        <v/>
      </c>
      <c r="J436">
        <f>IF(Klantgegevens_B!J435&lt;&gt;"", Klantgegevens_B!J435, Klantgegevens_A!K435)</f>
        <v/>
      </c>
      <c r="K436">
        <f>IF(Klantgegevens_B!K435&lt;&gt;"", AVERAGE(--(Klantgegevens_B!K435="ja"), --(Klantgegevens_B!L435="ja"), --(Klantgegevens_B!M435="ja"), --(Klantgegevens_B!N435="ja"), --(Klantgegevens_B!O435="ja"))*10, Klantgegevens_A!L435)</f>
        <v/>
      </c>
      <c r="L436">
        <f>IF(Klantgegevens_B!K435&lt;&gt;"", Klantgegevens_B!K435, IF(Klantgegevens_A!L435&gt;=7, "ja", "nee"))</f>
        <v/>
      </c>
      <c r="M436">
        <f>IF(Klantgegevens_B!L435&lt;&gt;"", Klantgegevens_B!L435, IF(Klantgegevens_A!L435&gt;=7, "ja", "nee"))</f>
        <v/>
      </c>
      <c r="N436">
        <f>IF(Klantgegevens_B!M435&lt;&gt;"", Klantgegevens_B!M435, IF(Klantgegevens_A!L435&gt;=7, "ja", "nee"))</f>
        <v/>
      </c>
      <c r="O436">
        <f>IF(Klantgegevens_B!N435&lt;&gt;"", Klantgegevens_B!N435, IF(Klantgegevens_A!L435&gt;=7, "ja", "nee"))</f>
        <v/>
      </c>
      <c r="P436">
        <f>IF(Klantgegevens_B!O435&lt;&gt;"", Klantgegevens_B!O435, IF(Klantgegevens_A!L435&gt;=7, "ja", "nee"))</f>
        <v/>
      </c>
      <c r="Q436">
        <f>IF(Klantgegevens_B!P435&lt;&gt;"", Klantgegevens_B!P435, Klantgegevens_A!M435)</f>
        <v/>
      </c>
      <c r="R436">
        <f>IF(Klantgegevens_B!A435&lt;&gt;"", "B", "A")</f>
        <v/>
      </c>
    </row>
    <row r="437">
      <c r="A437">
        <f>IF(Klantgegevens_B!A436&lt;&gt;"", Klantgegevens_B!A436, MID(Klantgegevens_A!A436, FIND(",", Klantgegevens_A!A436)+2, LEN(Klantgegevens_A!A436)))</f>
        <v/>
      </c>
      <c r="B437">
        <f>IF(Klantgegevens_B!B436&lt;&gt;"", Klantgegevens_B!B436, LEFT(Klantgegevens_A!A436, FIND(",", Klantgegevens_A!A436)-1))</f>
        <v/>
      </c>
      <c r="C437">
        <f>C436 &amp; ", " &amp; B436</f>
        <v/>
      </c>
      <c r="D437">
        <f>IF(Klantgegevens_B!F436&lt;&gt;"", Klantgegevens_B!F436, Klantgegevens_A!D436 &amp; " " &amp; Klantgegevens_A!E436 &amp; ", " &amp; Klantgegevens_A!F436)</f>
        <v/>
      </c>
      <c r="E437">
        <f>IF(Klantgegevens_B!G436&lt;&gt;"", Klantgegevens_B!G436, TEXTJOIN(",", TRUE, REPT("Volwassene,", Klantgegevens_A!G436), REPT("Kind,", Klantgegevens_A!H436)))</f>
        <v/>
      </c>
      <c r="F437">
        <f>IF(Klantgegevens_B!G436&lt;&gt;"", LEN(Klantgegevens_B!G436)-LEN(SUBSTITUTE(Klantgegevens_B!G436, ",", ""))+1, Klantgegevens_A!G436)</f>
        <v/>
      </c>
      <c r="G437">
        <f>IF(Klantgegevens_B!G436&lt;&gt;"", 0, Klantgegevens_A!H436)</f>
        <v/>
      </c>
      <c r="H437">
        <f>IF(Klantgegevens_B!H436&lt;&gt;"", Klantgegevens_B!H436, Klantgegevens_A!I436)</f>
        <v/>
      </c>
      <c r="I437">
        <f>IF(Klantgegevens_B!I436&lt;&gt;"", Klantgegevens_B!I436, SWITCH(Klantgegevens_A!J436, "Zelden", 1, "Af en toe", 4, "Regelmatig", 8, "Vaak", 12))</f>
        <v/>
      </c>
      <c r="J437">
        <f>IF(Klantgegevens_B!J436&lt;&gt;"", Klantgegevens_B!J436, Klantgegevens_A!K436)</f>
        <v/>
      </c>
      <c r="K437">
        <f>IF(Klantgegevens_B!K436&lt;&gt;"", AVERAGE(--(Klantgegevens_B!K436="ja"), --(Klantgegevens_B!L436="ja"), --(Klantgegevens_B!M436="ja"), --(Klantgegevens_B!N436="ja"), --(Klantgegevens_B!O436="ja"))*10, Klantgegevens_A!L436)</f>
        <v/>
      </c>
      <c r="L437">
        <f>IF(Klantgegevens_B!K436&lt;&gt;"", Klantgegevens_B!K436, IF(Klantgegevens_A!L436&gt;=7, "ja", "nee"))</f>
        <v/>
      </c>
      <c r="M437">
        <f>IF(Klantgegevens_B!L436&lt;&gt;"", Klantgegevens_B!L436, IF(Klantgegevens_A!L436&gt;=7, "ja", "nee"))</f>
        <v/>
      </c>
      <c r="N437">
        <f>IF(Klantgegevens_B!M436&lt;&gt;"", Klantgegevens_B!M436, IF(Klantgegevens_A!L436&gt;=7, "ja", "nee"))</f>
        <v/>
      </c>
      <c r="O437">
        <f>IF(Klantgegevens_B!N436&lt;&gt;"", Klantgegevens_B!N436, IF(Klantgegevens_A!L436&gt;=7, "ja", "nee"))</f>
        <v/>
      </c>
      <c r="P437">
        <f>IF(Klantgegevens_B!O436&lt;&gt;"", Klantgegevens_B!O436, IF(Klantgegevens_A!L436&gt;=7, "ja", "nee"))</f>
        <v/>
      </c>
      <c r="Q437">
        <f>IF(Klantgegevens_B!P436&lt;&gt;"", Klantgegevens_B!P436, Klantgegevens_A!M436)</f>
        <v/>
      </c>
      <c r="R437">
        <f>IF(Klantgegevens_B!A436&lt;&gt;"", "B", "A")</f>
        <v/>
      </c>
    </row>
    <row r="438">
      <c r="A438">
        <f>IF(Klantgegevens_B!A437&lt;&gt;"", Klantgegevens_B!A437, MID(Klantgegevens_A!A437, FIND(",", Klantgegevens_A!A437)+2, LEN(Klantgegevens_A!A437)))</f>
        <v/>
      </c>
      <c r="B438">
        <f>IF(Klantgegevens_B!B437&lt;&gt;"", Klantgegevens_B!B437, LEFT(Klantgegevens_A!A437, FIND(",", Klantgegevens_A!A437)-1))</f>
        <v/>
      </c>
      <c r="C438">
        <f>C437 &amp; ", " &amp; B437</f>
        <v/>
      </c>
      <c r="D438">
        <f>IF(Klantgegevens_B!F437&lt;&gt;"", Klantgegevens_B!F437, Klantgegevens_A!D437 &amp; " " &amp; Klantgegevens_A!E437 &amp; ", " &amp; Klantgegevens_A!F437)</f>
        <v/>
      </c>
      <c r="E438">
        <f>IF(Klantgegevens_B!G437&lt;&gt;"", Klantgegevens_B!G437, TEXTJOIN(",", TRUE, REPT("Volwassene,", Klantgegevens_A!G437), REPT("Kind,", Klantgegevens_A!H437)))</f>
        <v/>
      </c>
      <c r="F438">
        <f>IF(Klantgegevens_B!G437&lt;&gt;"", LEN(Klantgegevens_B!G437)-LEN(SUBSTITUTE(Klantgegevens_B!G437, ",", ""))+1, Klantgegevens_A!G437)</f>
        <v/>
      </c>
      <c r="G438">
        <f>IF(Klantgegevens_B!G437&lt;&gt;"", 0, Klantgegevens_A!H437)</f>
        <v/>
      </c>
      <c r="H438">
        <f>IF(Klantgegevens_B!H437&lt;&gt;"", Klantgegevens_B!H437, Klantgegevens_A!I437)</f>
        <v/>
      </c>
      <c r="I438">
        <f>IF(Klantgegevens_B!I437&lt;&gt;"", Klantgegevens_B!I437, SWITCH(Klantgegevens_A!J437, "Zelden", 1, "Af en toe", 4, "Regelmatig", 8, "Vaak", 12))</f>
        <v/>
      </c>
      <c r="J438">
        <f>IF(Klantgegevens_B!J437&lt;&gt;"", Klantgegevens_B!J437, Klantgegevens_A!K437)</f>
        <v/>
      </c>
      <c r="K438">
        <f>IF(Klantgegevens_B!K437&lt;&gt;"", AVERAGE(--(Klantgegevens_B!K437="ja"), --(Klantgegevens_B!L437="ja"), --(Klantgegevens_B!M437="ja"), --(Klantgegevens_B!N437="ja"), --(Klantgegevens_B!O437="ja"))*10, Klantgegevens_A!L437)</f>
        <v/>
      </c>
      <c r="L438">
        <f>IF(Klantgegevens_B!K437&lt;&gt;"", Klantgegevens_B!K437, IF(Klantgegevens_A!L437&gt;=7, "ja", "nee"))</f>
        <v/>
      </c>
      <c r="M438">
        <f>IF(Klantgegevens_B!L437&lt;&gt;"", Klantgegevens_B!L437, IF(Klantgegevens_A!L437&gt;=7, "ja", "nee"))</f>
        <v/>
      </c>
      <c r="N438">
        <f>IF(Klantgegevens_B!M437&lt;&gt;"", Klantgegevens_B!M437, IF(Klantgegevens_A!L437&gt;=7, "ja", "nee"))</f>
        <v/>
      </c>
      <c r="O438">
        <f>IF(Klantgegevens_B!N437&lt;&gt;"", Klantgegevens_B!N437, IF(Klantgegevens_A!L437&gt;=7, "ja", "nee"))</f>
        <v/>
      </c>
      <c r="P438">
        <f>IF(Klantgegevens_B!O437&lt;&gt;"", Klantgegevens_B!O437, IF(Klantgegevens_A!L437&gt;=7, "ja", "nee"))</f>
        <v/>
      </c>
      <c r="Q438">
        <f>IF(Klantgegevens_B!P437&lt;&gt;"", Klantgegevens_B!P437, Klantgegevens_A!M437)</f>
        <v/>
      </c>
      <c r="R438">
        <f>IF(Klantgegevens_B!A437&lt;&gt;"", "B", "A")</f>
        <v/>
      </c>
    </row>
    <row r="439">
      <c r="A439">
        <f>IF(Klantgegevens_B!A438&lt;&gt;"", Klantgegevens_B!A438, MID(Klantgegevens_A!A438, FIND(",", Klantgegevens_A!A438)+2, LEN(Klantgegevens_A!A438)))</f>
        <v/>
      </c>
      <c r="B439">
        <f>IF(Klantgegevens_B!B438&lt;&gt;"", Klantgegevens_B!B438, LEFT(Klantgegevens_A!A438, FIND(",", Klantgegevens_A!A438)-1))</f>
        <v/>
      </c>
      <c r="C439">
        <f>C438 &amp; ", " &amp; B438</f>
        <v/>
      </c>
      <c r="D439">
        <f>IF(Klantgegevens_B!F438&lt;&gt;"", Klantgegevens_B!F438, Klantgegevens_A!D438 &amp; " " &amp; Klantgegevens_A!E438 &amp; ", " &amp; Klantgegevens_A!F438)</f>
        <v/>
      </c>
      <c r="E439">
        <f>IF(Klantgegevens_B!G438&lt;&gt;"", Klantgegevens_B!G438, TEXTJOIN(",", TRUE, REPT("Volwassene,", Klantgegevens_A!G438), REPT("Kind,", Klantgegevens_A!H438)))</f>
        <v/>
      </c>
      <c r="F439">
        <f>IF(Klantgegevens_B!G438&lt;&gt;"", LEN(Klantgegevens_B!G438)-LEN(SUBSTITUTE(Klantgegevens_B!G438, ",", ""))+1, Klantgegevens_A!G438)</f>
        <v/>
      </c>
      <c r="G439">
        <f>IF(Klantgegevens_B!G438&lt;&gt;"", 0, Klantgegevens_A!H438)</f>
        <v/>
      </c>
      <c r="H439">
        <f>IF(Klantgegevens_B!H438&lt;&gt;"", Klantgegevens_B!H438, Klantgegevens_A!I438)</f>
        <v/>
      </c>
      <c r="I439">
        <f>IF(Klantgegevens_B!I438&lt;&gt;"", Klantgegevens_B!I438, SWITCH(Klantgegevens_A!J438, "Zelden", 1, "Af en toe", 4, "Regelmatig", 8, "Vaak", 12))</f>
        <v/>
      </c>
      <c r="J439">
        <f>IF(Klantgegevens_B!J438&lt;&gt;"", Klantgegevens_B!J438, Klantgegevens_A!K438)</f>
        <v/>
      </c>
      <c r="K439">
        <f>IF(Klantgegevens_B!K438&lt;&gt;"", AVERAGE(--(Klantgegevens_B!K438="ja"), --(Klantgegevens_B!L438="ja"), --(Klantgegevens_B!M438="ja"), --(Klantgegevens_B!N438="ja"), --(Klantgegevens_B!O438="ja"))*10, Klantgegevens_A!L438)</f>
        <v/>
      </c>
      <c r="L439">
        <f>IF(Klantgegevens_B!K438&lt;&gt;"", Klantgegevens_B!K438, IF(Klantgegevens_A!L438&gt;=7, "ja", "nee"))</f>
        <v/>
      </c>
      <c r="M439">
        <f>IF(Klantgegevens_B!L438&lt;&gt;"", Klantgegevens_B!L438, IF(Klantgegevens_A!L438&gt;=7, "ja", "nee"))</f>
        <v/>
      </c>
      <c r="N439">
        <f>IF(Klantgegevens_B!M438&lt;&gt;"", Klantgegevens_B!M438, IF(Klantgegevens_A!L438&gt;=7, "ja", "nee"))</f>
        <v/>
      </c>
      <c r="O439">
        <f>IF(Klantgegevens_B!N438&lt;&gt;"", Klantgegevens_B!N438, IF(Klantgegevens_A!L438&gt;=7, "ja", "nee"))</f>
        <v/>
      </c>
      <c r="P439">
        <f>IF(Klantgegevens_B!O438&lt;&gt;"", Klantgegevens_B!O438, IF(Klantgegevens_A!L438&gt;=7, "ja", "nee"))</f>
        <v/>
      </c>
      <c r="Q439">
        <f>IF(Klantgegevens_B!P438&lt;&gt;"", Klantgegevens_B!P438, Klantgegevens_A!M438)</f>
        <v/>
      </c>
      <c r="R439">
        <f>IF(Klantgegevens_B!A438&lt;&gt;"", "B", "A")</f>
        <v/>
      </c>
    </row>
    <row r="440">
      <c r="A440">
        <f>IF(Klantgegevens_B!A439&lt;&gt;"", Klantgegevens_B!A439, MID(Klantgegevens_A!A439, FIND(",", Klantgegevens_A!A439)+2, LEN(Klantgegevens_A!A439)))</f>
        <v/>
      </c>
      <c r="B440">
        <f>IF(Klantgegevens_B!B439&lt;&gt;"", Klantgegevens_B!B439, LEFT(Klantgegevens_A!A439, FIND(",", Klantgegevens_A!A439)-1))</f>
        <v/>
      </c>
      <c r="C440">
        <f>C439 &amp; ", " &amp; B439</f>
        <v/>
      </c>
      <c r="D440">
        <f>IF(Klantgegevens_B!F439&lt;&gt;"", Klantgegevens_B!F439, Klantgegevens_A!D439 &amp; " " &amp; Klantgegevens_A!E439 &amp; ", " &amp; Klantgegevens_A!F439)</f>
        <v/>
      </c>
      <c r="E440">
        <f>IF(Klantgegevens_B!G439&lt;&gt;"", Klantgegevens_B!G439, TEXTJOIN(",", TRUE, REPT("Volwassene,", Klantgegevens_A!G439), REPT("Kind,", Klantgegevens_A!H439)))</f>
        <v/>
      </c>
      <c r="F440">
        <f>IF(Klantgegevens_B!G439&lt;&gt;"", LEN(Klantgegevens_B!G439)-LEN(SUBSTITUTE(Klantgegevens_B!G439, ",", ""))+1, Klantgegevens_A!G439)</f>
        <v/>
      </c>
      <c r="G440">
        <f>IF(Klantgegevens_B!G439&lt;&gt;"", 0, Klantgegevens_A!H439)</f>
        <v/>
      </c>
      <c r="H440">
        <f>IF(Klantgegevens_B!H439&lt;&gt;"", Klantgegevens_B!H439, Klantgegevens_A!I439)</f>
        <v/>
      </c>
      <c r="I440">
        <f>IF(Klantgegevens_B!I439&lt;&gt;"", Klantgegevens_B!I439, SWITCH(Klantgegevens_A!J439, "Zelden", 1, "Af en toe", 4, "Regelmatig", 8, "Vaak", 12))</f>
        <v/>
      </c>
      <c r="J440">
        <f>IF(Klantgegevens_B!J439&lt;&gt;"", Klantgegevens_B!J439, Klantgegevens_A!K439)</f>
        <v/>
      </c>
      <c r="K440">
        <f>IF(Klantgegevens_B!K439&lt;&gt;"", AVERAGE(--(Klantgegevens_B!K439="ja"), --(Klantgegevens_B!L439="ja"), --(Klantgegevens_B!M439="ja"), --(Klantgegevens_B!N439="ja"), --(Klantgegevens_B!O439="ja"))*10, Klantgegevens_A!L439)</f>
        <v/>
      </c>
      <c r="L440">
        <f>IF(Klantgegevens_B!K439&lt;&gt;"", Klantgegevens_B!K439, IF(Klantgegevens_A!L439&gt;=7, "ja", "nee"))</f>
        <v/>
      </c>
      <c r="M440">
        <f>IF(Klantgegevens_B!L439&lt;&gt;"", Klantgegevens_B!L439, IF(Klantgegevens_A!L439&gt;=7, "ja", "nee"))</f>
        <v/>
      </c>
      <c r="N440">
        <f>IF(Klantgegevens_B!M439&lt;&gt;"", Klantgegevens_B!M439, IF(Klantgegevens_A!L439&gt;=7, "ja", "nee"))</f>
        <v/>
      </c>
      <c r="O440">
        <f>IF(Klantgegevens_B!N439&lt;&gt;"", Klantgegevens_B!N439, IF(Klantgegevens_A!L439&gt;=7, "ja", "nee"))</f>
        <v/>
      </c>
      <c r="P440">
        <f>IF(Klantgegevens_B!O439&lt;&gt;"", Klantgegevens_B!O439, IF(Klantgegevens_A!L439&gt;=7, "ja", "nee"))</f>
        <v/>
      </c>
      <c r="Q440">
        <f>IF(Klantgegevens_B!P439&lt;&gt;"", Klantgegevens_B!P439, Klantgegevens_A!M439)</f>
        <v/>
      </c>
      <c r="R440">
        <f>IF(Klantgegevens_B!A439&lt;&gt;"", "B", "A")</f>
        <v/>
      </c>
    </row>
    <row r="441">
      <c r="A441">
        <f>IF(Klantgegevens_B!A440&lt;&gt;"", Klantgegevens_B!A440, MID(Klantgegevens_A!A440, FIND(",", Klantgegevens_A!A440)+2, LEN(Klantgegevens_A!A440)))</f>
        <v/>
      </c>
      <c r="B441">
        <f>IF(Klantgegevens_B!B440&lt;&gt;"", Klantgegevens_B!B440, LEFT(Klantgegevens_A!A440, FIND(",", Klantgegevens_A!A440)-1))</f>
        <v/>
      </c>
      <c r="C441">
        <f>C440 &amp; ", " &amp; B440</f>
        <v/>
      </c>
      <c r="D441">
        <f>IF(Klantgegevens_B!F440&lt;&gt;"", Klantgegevens_B!F440, Klantgegevens_A!D440 &amp; " " &amp; Klantgegevens_A!E440 &amp; ", " &amp; Klantgegevens_A!F440)</f>
        <v/>
      </c>
      <c r="E441">
        <f>IF(Klantgegevens_B!G440&lt;&gt;"", Klantgegevens_B!G440, TEXTJOIN(",", TRUE, REPT("Volwassene,", Klantgegevens_A!G440), REPT("Kind,", Klantgegevens_A!H440)))</f>
        <v/>
      </c>
      <c r="F441">
        <f>IF(Klantgegevens_B!G440&lt;&gt;"", LEN(Klantgegevens_B!G440)-LEN(SUBSTITUTE(Klantgegevens_B!G440, ",", ""))+1, Klantgegevens_A!G440)</f>
        <v/>
      </c>
      <c r="G441">
        <f>IF(Klantgegevens_B!G440&lt;&gt;"", 0, Klantgegevens_A!H440)</f>
        <v/>
      </c>
      <c r="H441">
        <f>IF(Klantgegevens_B!H440&lt;&gt;"", Klantgegevens_B!H440, Klantgegevens_A!I440)</f>
        <v/>
      </c>
      <c r="I441">
        <f>IF(Klantgegevens_B!I440&lt;&gt;"", Klantgegevens_B!I440, SWITCH(Klantgegevens_A!J440, "Zelden", 1, "Af en toe", 4, "Regelmatig", 8, "Vaak", 12))</f>
        <v/>
      </c>
      <c r="J441">
        <f>IF(Klantgegevens_B!J440&lt;&gt;"", Klantgegevens_B!J440, Klantgegevens_A!K440)</f>
        <v/>
      </c>
      <c r="K441">
        <f>IF(Klantgegevens_B!K440&lt;&gt;"", AVERAGE(--(Klantgegevens_B!K440="ja"), --(Klantgegevens_B!L440="ja"), --(Klantgegevens_B!M440="ja"), --(Klantgegevens_B!N440="ja"), --(Klantgegevens_B!O440="ja"))*10, Klantgegevens_A!L440)</f>
        <v/>
      </c>
      <c r="L441">
        <f>IF(Klantgegevens_B!K440&lt;&gt;"", Klantgegevens_B!K440, IF(Klantgegevens_A!L440&gt;=7, "ja", "nee"))</f>
        <v/>
      </c>
      <c r="M441">
        <f>IF(Klantgegevens_B!L440&lt;&gt;"", Klantgegevens_B!L440, IF(Klantgegevens_A!L440&gt;=7, "ja", "nee"))</f>
        <v/>
      </c>
      <c r="N441">
        <f>IF(Klantgegevens_B!M440&lt;&gt;"", Klantgegevens_B!M440, IF(Klantgegevens_A!L440&gt;=7, "ja", "nee"))</f>
        <v/>
      </c>
      <c r="O441">
        <f>IF(Klantgegevens_B!N440&lt;&gt;"", Klantgegevens_B!N440, IF(Klantgegevens_A!L440&gt;=7, "ja", "nee"))</f>
        <v/>
      </c>
      <c r="P441">
        <f>IF(Klantgegevens_B!O440&lt;&gt;"", Klantgegevens_B!O440, IF(Klantgegevens_A!L440&gt;=7, "ja", "nee"))</f>
        <v/>
      </c>
      <c r="Q441">
        <f>IF(Klantgegevens_B!P440&lt;&gt;"", Klantgegevens_B!P440, Klantgegevens_A!M440)</f>
        <v/>
      </c>
      <c r="R441">
        <f>IF(Klantgegevens_B!A440&lt;&gt;"", "B", "A")</f>
        <v/>
      </c>
    </row>
    <row r="442">
      <c r="A442">
        <f>IF(Klantgegevens_B!A441&lt;&gt;"", Klantgegevens_B!A441, MID(Klantgegevens_A!A441, FIND(",", Klantgegevens_A!A441)+2, LEN(Klantgegevens_A!A441)))</f>
        <v/>
      </c>
      <c r="B442">
        <f>IF(Klantgegevens_B!B441&lt;&gt;"", Klantgegevens_B!B441, LEFT(Klantgegevens_A!A441, FIND(",", Klantgegevens_A!A441)-1))</f>
        <v/>
      </c>
      <c r="C442">
        <f>C441 &amp; ", " &amp; B441</f>
        <v/>
      </c>
      <c r="D442">
        <f>IF(Klantgegevens_B!F441&lt;&gt;"", Klantgegevens_B!F441, Klantgegevens_A!D441 &amp; " " &amp; Klantgegevens_A!E441 &amp; ", " &amp; Klantgegevens_A!F441)</f>
        <v/>
      </c>
      <c r="E442">
        <f>IF(Klantgegevens_B!G441&lt;&gt;"", Klantgegevens_B!G441, TEXTJOIN(",", TRUE, REPT("Volwassene,", Klantgegevens_A!G441), REPT("Kind,", Klantgegevens_A!H441)))</f>
        <v/>
      </c>
      <c r="F442">
        <f>IF(Klantgegevens_B!G441&lt;&gt;"", LEN(Klantgegevens_B!G441)-LEN(SUBSTITUTE(Klantgegevens_B!G441, ",", ""))+1, Klantgegevens_A!G441)</f>
        <v/>
      </c>
      <c r="G442">
        <f>IF(Klantgegevens_B!G441&lt;&gt;"", 0, Klantgegevens_A!H441)</f>
        <v/>
      </c>
      <c r="H442">
        <f>IF(Klantgegevens_B!H441&lt;&gt;"", Klantgegevens_B!H441, Klantgegevens_A!I441)</f>
        <v/>
      </c>
      <c r="I442">
        <f>IF(Klantgegevens_B!I441&lt;&gt;"", Klantgegevens_B!I441, SWITCH(Klantgegevens_A!J441, "Zelden", 1, "Af en toe", 4, "Regelmatig", 8, "Vaak", 12))</f>
        <v/>
      </c>
      <c r="J442">
        <f>IF(Klantgegevens_B!J441&lt;&gt;"", Klantgegevens_B!J441, Klantgegevens_A!K441)</f>
        <v/>
      </c>
      <c r="K442">
        <f>IF(Klantgegevens_B!K441&lt;&gt;"", AVERAGE(--(Klantgegevens_B!K441="ja"), --(Klantgegevens_B!L441="ja"), --(Klantgegevens_B!M441="ja"), --(Klantgegevens_B!N441="ja"), --(Klantgegevens_B!O441="ja"))*10, Klantgegevens_A!L441)</f>
        <v/>
      </c>
      <c r="L442">
        <f>IF(Klantgegevens_B!K441&lt;&gt;"", Klantgegevens_B!K441, IF(Klantgegevens_A!L441&gt;=7, "ja", "nee"))</f>
        <v/>
      </c>
      <c r="M442">
        <f>IF(Klantgegevens_B!L441&lt;&gt;"", Klantgegevens_B!L441, IF(Klantgegevens_A!L441&gt;=7, "ja", "nee"))</f>
        <v/>
      </c>
      <c r="N442">
        <f>IF(Klantgegevens_B!M441&lt;&gt;"", Klantgegevens_B!M441, IF(Klantgegevens_A!L441&gt;=7, "ja", "nee"))</f>
        <v/>
      </c>
      <c r="O442">
        <f>IF(Klantgegevens_B!N441&lt;&gt;"", Klantgegevens_B!N441, IF(Klantgegevens_A!L441&gt;=7, "ja", "nee"))</f>
        <v/>
      </c>
      <c r="P442">
        <f>IF(Klantgegevens_B!O441&lt;&gt;"", Klantgegevens_B!O441, IF(Klantgegevens_A!L441&gt;=7, "ja", "nee"))</f>
        <v/>
      </c>
      <c r="Q442">
        <f>IF(Klantgegevens_B!P441&lt;&gt;"", Klantgegevens_B!P441, Klantgegevens_A!M441)</f>
        <v/>
      </c>
      <c r="R442">
        <f>IF(Klantgegevens_B!A441&lt;&gt;"", "B", "A")</f>
        <v/>
      </c>
    </row>
    <row r="443">
      <c r="A443">
        <f>IF(Klantgegevens_B!A442&lt;&gt;"", Klantgegevens_B!A442, MID(Klantgegevens_A!A442, FIND(",", Klantgegevens_A!A442)+2, LEN(Klantgegevens_A!A442)))</f>
        <v/>
      </c>
      <c r="B443">
        <f>IF(Klantgegevens_B!B442&lt;&gt;"", Klantgegevens_B!B442, LEFT(Klantgegevens_A!A442, FIND(",", Klantgegevens_A!A442)-1))</f>
        <v/>
      </c>
      <c r="C443">
        <f>C442 &amp; ", " &amp; B442</f>
        <v/>
      </c>
      <c r="D443">
        <f>IF(Klantgegevens_B!F442&lt;&gt;"", Klantgegevens_B!F442, Klantgegevens_A!D442 &amp; " " &amp; Klantgegevens_A!E442 &amp; ", " &amp; Klantgegevens_A!F442)</f>
        <v/>
      </c>
      <c r="E443">
        <f>IF(Klantgegevens_B!G442&lt;&gt;"", Klantgegevens_B!G442, TEXTJOIN(",", TRUE, REPT("Volwassene,", Klantgegevens_A!G442), REPT("Kind,", Klantgegevens_A!H442)))</f>
        <v/>
      </c>
      <c r="F443">
        <f>IF(Klantgegevens_B!G442&lt;&gt;"", LEN(Klantgegevens_B!G442)-LEN(SUBSTITUTE(Klantgegevens_B!G442, ",", ""))+1, Klantgegevens_A!G442)</f>
        <v/>
      </c>
      <c r="G443">
        <f>IF(Klantgegevens_B!G442&lt;&gt;"", 0, Klantgegevens_A!H442)</f>
        <v/>
      </c>
      <c r="H443">
        <f>IF(Klantgegevens_B!H442&lt;&gt;"", Klantgegevens_B!H442, Klantgegevens_A!I442)</f>
        <v/>
      </c>
      <c r="I443">
        <f>IF(Klantgegevens_B!I442&lt;&gt;"", Klantgegevens_B!I442, SWITCH(Klantgegevens_A!J442, "Zelden", 1, "Af en toe", 4, "Regelmatig", 8, "Vaak", 12))</f>
        <v/>
      </c>
      <c r="J443">
        <f>IF(Klantgegevens_B!J442&lt;&gt;"", Klantgegevens_B!J442, Klantgegevens_A!K442)</f>
        <v/>
      </c>
      <c r="K443">
        <f>IF(Klantgegevens_B!K442&lt;&gt;"", AVERAGE(--(Klantgegevens_B!K442="ja"), --(Klantgegevens_B!L442="ja"), --(Klantgegevens_B!M442="ja"), --(Klantgegevens_B!N442="ja"), --(Klantgegevens_B!O442="ja"))*10, Klantgegevens_A!L442)</f>
        <v/>
      </c>
      <c r="L443">
        <f>IF(Klantgegevens_B!K442&lt;&gt;"", Klantgegevens_B!K442, IF(Klantgegevens_A!L442&gt;=7, "ja", "nee"))</f>
        <v/>
      </c>
      <c r="M443">
        <f>IF(Klantgegevens_B!L442&lt;&gt;"", Klantgegevens_B!L442, IF(Klantgegevens_A!L442&gt;=7, "ja", "nee"))</f>
        <v/>
      </c>
      <c r="N443">
        <f>IF(Klantgegevens_B!M442&lt;&gt;"", Klantgegevens_B!M442, IF(Klantgegevens_A!L442&gt;=7, "ja", "nee"))</f>
        <v/>
      </c>
      <c r="O443">
        <f>IF(Klantgegevens_B!N442&lt;&gt;"", Klantgegevens_B!N442, IF(Klantgegevens_A!L442&gt;=7, "ja", "nee"))</f>
        <v/>
      </c>
      <c r="P443">
        <f>IF(Klantgegevens_B!O442&lt;&gt;"", Klantgegevens_B!O442, IF(Klantgegevens_A!L442&gt;=7, "ja", "nee"))</f>
        <v/>
      </c>
      <c r="Q443">
        <f>IF(Klantgegevens_B!P442&lt;&gt;"", Klantgegevens_B!P442, Klantgegevens_A!M442)</f>
        <v/>
      </c>
      <c r="R443">
        <f>IF(Klantgegevens_B!A442&lt;&gt;"", "B", "A")</f>
        <v/>
      </c>
    </row>
    <row r="444">
      <c r="A444">
        <f>IF(Klantgegevens_B!A443&lt;&gt;"", Klantgegevens_B!A443, MID(Klantgegevens_A!A443, FIND(",", Klantgegevens_A!A443)+2, LEN(Klantgegevens_A!A443)))</f>
        <v/>
      </c>
      <c r="B444">
        <f>IF(Klantgegevens_B!B443&lt;&gt;"", Klantgegevens_B!B443, LEFT(Klantgegevens_A!A443, FIND(",", Klantgegevens_A!A443)-1))</f>
        <v/>
      </c>
      <c r="C444">
        <f>C443 &amp; ", " &amp; B443</f>
        <v/>
      </c>
      <c r="D444">
        <f>IF(Klantgegevens_B!F443&lt;&gt;"", Klantgegevens_B!F443, Klantgegevens_A!D443 &amp; " " &amp; Klantgegevens_A!E443 &amp; ", " &amp; Klantgegevens_A!F443)</f>
        <v/>
      </c>
      <c r="E444">
        <f>IF(Klantgegevens_B!G443&lt;&gt;"", Klantgegevens_B!G443, TEXTJOIN(",", TRUE, REPT("Volwassene,", Klantgegevens_A!G443), REPT("Kind,", Klantgegevens_A!H443)))</f>
        <v/>
      </c>
      <c r="F444">
        <f>IF(Klantgegevens_B!G443&lt;&gt;"", LEN(Klantgegevens_B!G443)-LEN(SUBSTITUTE(Klantgegevens_B!G443, ",", ""))+1, Klantgegevens_A!G443)</f>
        <v/>
      </c>
      <c r="G444">
        <f>IF(Klantgegevens_B!G443&lt;&gt;"", 0, Klantgegevens_A!H443)</f>
        <v/>
      </c>
      <c r="H444">
        <f>IF(Klantgegevens_B!H443&lt;&gt;"", Klantgegevens_B!H443, Klantgegevens_A!I443)</f>
        <v/>
      </c>
      <c r="I444">
        <f>IF(Klantgegevens_B!I443&lt;&gt;"", Klantgegevens_B!I443, SWITCH(Klantgegevens_A!J443, "Zelden", 1, "Af en toe", 4, "Regelmatig", 8, "Vaak", 12))</f>
        <v/>
      </c>
      <c r="J444">
        <f>IF(Klantgegevens_B!J443&lt;&gt;"", Klantgegevens_B!J443, Klantgegevens_A!K443)</f>
        <v/>
      </c>
      <c r="K444">
        <f>IF(Klantgegevens_B!K443&lt;&gt;"", AVERAGE(--(Klantgegevens_B!K443="ja"), --(Klantgegevens_B!L443="ja"), --(Klantgegevens_B!M443="ja"), --(Klantgegevens_B!N443="ja"), --(Klantgegevens_B!O443="ja"))*10, Klantgegevens_A!L443)</f>
        <v/>
      </c>
      <c r="L444">
        <f>IF(Klantgegevens_B!K443&lt;&gt;"", Klantgegevens_B!K443, IF(Klantgegevens_A!L443&gt;=7, "ja", "nee"))</f>
        <v/>
      </c>
      <c r="M444">
        <f>IF(Klantgegevens_B!L443&lt;&gt;"", Klantgegevens_B!L443, IF(Klantgegevens_A!L443&gt;=7, "ja", "nee"))</f>
        <v/>
      </c>
      <c r="N444">
        <f>IF(Klantgegevens_B!M443&lt;&gt;"", Klantgegevens_B!M443, IF(Klantgegevens_A!L443&gt;=7, "ja", "nee"))</f>
        <v/>
      </c>
      <c r="O444">
        <f>IF(Klantgegevens_B!N443&lt;&gt;"", Klantgegevens_B!N443, IF(Klantgegevens_A!L443&gt;=7, "ja", "nee"))</f>
        <v/>
      </c>
      <c r="P444">
        <f>IF(Klantgegevens_B!O443&lt;&gt;"", Klantgegevens_B!O443, IF(Klantgegevens_A!L443&gt;=7, "ja", "nee"))</f>
        <v/>
      </c>
      <c r="Q444">
        <f>IF(Klantgegevens_B!P443&lt;&gt;"", Klantgegevens_B!P443, Klantgegevens_A!M443)</f>
        <v/>
      </c>
      <c r="R444">
        <f>IF(Klantgegevens_B!A443&lt;&gt;"", "B", "A")</f>
        <v/>
      </c>
    </row>
    <row r="445">
      <c r="A445">
        <f>IF(Klantgegevens_B!A444&lt;&gt;"", Klantgegevens_B!A444, MID(Klantgegevens_A!A444, FIND(",", Klantgegevens_A!A444)+2, LEN(Klantgegevens_A!A444)))</f>
        <v/>
      </c>
      <c r="B445">
        <f>IF(Klantgegevens_B!B444&lt;&gt;"", Klantgegevens_B!B444, LEFT(Klantgegevens_A!A444, FIND(",", Klantgegevens_A!A444)-1))</f>
        <v/>
      </c>
      <c r="C445">
        <f>C444 &amp; ", " &amp; B444</f>
        <v/>
      </c>
      <c r="D445">
        <f>IF(Klantgegevens_B!F444&lt;&gt;"", Klantgegevens_B!F444, Klantgegevens_A!D444 &amp; " " &amp; Klantgegevens_A!E444 &amp; ", " &amp; Klantgegevens_A!F444)</f>
        <v/>
      </c>
      <c r="E445">
        <f>IF(Klantgegevens_B!G444&lt;&gt;"", Klantgegevens_B!G444, TEXTJOIN(",", TRUE, REPT("Volwassene,", Klantgegevens_A!G444), REPT("Kind,", Klantgegevens_A!H444)))</f>
        <v/>
      </c>
      <c r="F445">
        <f>IF(Klantgegevens_B!G444&lt;&gt;"", LEN(Klantgegevens_B!G444)-LEN(SUBSTITUTE(Klantgegevens_B!G444, ",", ""))+1, Klantgegevens_A!G444)</f>
        <v/>
      </c>
      <c r="G445">
        <f>IF(Klantgegevens_B!G444&lt;&gt;"", 0, Klantgegevens_A!H444)</f>
        <v/>
      </c>
      <c r="H445">
        <f>IF(Klantgegevens_B!H444&lt;&gt;"", Klantgegevens_B!H444, Klantgegevens_A!I444)</f>
        <v/>
      </c>
      <c r="I445">
        <f>IF(Klantgegevens_B!I444&lt;&gt;"", Klantgegevens_B!I444, SWITCH(Klantgegevens_A!J444, "Zelden", 1, "Af en toe", 4, "Regelmatig", 8, "Vaak", 12))</f>
        <v/>
      </c>
      <c r="J445">
        <f>IF(Klantgegevens_B!J444&lt;&gt;"", Klantgegevens_B!J444, Klantgegevens_A!K444)</f>
        <v/>
      </c>
      <c r="K445">
        <f>IF(Klantgegevens_B!K444&lt;&gt;"", AVERAGE(--(Klantgegevens_B!K444="ja"), --(Klantgegevens_B!L444="ja"), --(Klantgegevens_B!M444="ja"), --(Klantgegevens_B!N444="ja"), --(Klantgegevens_B!O444="ja"))*10, Klantgegevens_A!L444)</f>
        <v/>
      </c>
      <c r="L445">
        <f>IF(Klantgegevens_B!K444&lt;&gt;"", Klantgegevens_B!K444, IF(Klantgegevens_A!L444&gt;=7, "ja", "nee"))</f>
        <v/>
      </c>
      <c r="M445">
        <f>IF(Klantgegevens_B!L444&lt;&gt;"", Klantgegevens_B!L444, IF(Klantgegevens_A!L444&gt;=7, "ja", "nee"))</f>
        <v/>
      </c>
      <c r="N445">
        <f>IF(Klantgegevens_B!M444&lt;&gt;"", Klantgegevens_B!M444, IF(Klantgegevens_A!L444&gt;=7, "ja", "nee"))</f>
        <v/>
      </c>
      <c r="O445">
        <f>IF(Klantgegevens_B!N444&lt;&gt;"", Klantgegevens_B!N444, IF(Klantgegevens_A!L444&gt;=7, "ja", "nee"))</f>
        <v/>
      </c>
      <c r="P445">
        <f>IF(Klantgegevens_B!O444&lt;&gt;"", Klantgegevens_B!O444, IF(Klantgegevens_A!L444&gt;=7, "ja", "nee"))</f>
        <v/>
      </c>
      <c r="Q445">
        <f>IF(Klantgegevens_B!P444&lt;&gt;"", Klantgegevens_B!P444, Klantgegevens_A!M444)</f>
        <v/>
      </c>
      <c r="R445">
        <f>IF(Klantgegevens_B!A444&lt;&gt;"", "B", "A")</f>
        <v/>
      </c>
    </row>
    <row r="446">
      <c r="A446">
        <f>IF(Klantgegevens_B!A445&lt;&gt;"", Klantgegevens_B!A445, MID(Klantgegevens_A!A445, FIND(",", Klantgegevens_A!A445)+2, LEN(Klantgegevens_A!A445)))</f>
        <v/>
      </c>
      <c r="B446">
        <f>IF(Klantgegevens_B!B445&lt;&gt;"", Klantgegevens_B!B445, LEFT(Klantgegevens_A!A445, FIND(",", Klantgegevens_A!A445)-1))</f>
        <v/>
      </c>
      <c r="C446">
        <f>C445 &amp; ", " &amp; B445</f>
        <v/>
      </c>
      <c r="D446">
        <f>IF(Klantgegevens_B!F445&lt;&gt;"", Klantgegevens_B!F445, Klantgegevens_A!D445 &amp; " " &amp; Klantgegevens_A!E445 &amp; ", " &amp; Klantgegevens_A!F445)</f>
        <v/>
      </c>
      <c r="E446">
        <f>IF(Klantgegevens_B!G445&lt;&gt;"", Klantgegevens_B!G445, TEXTJOIN(",", TRUE, REPT("Volwassene,", Klantgegevens_A!G445), REPT("Kind,", Klantgegevens_A!H445)))</f>
        <v/>
      </c>
      <c r="F446">
        <f>IF(Klantgegevens_B!G445&lt;&gt;"", LEN(Klantgegevens_B!G445)-LEN(SUBSTITUTE(Klantgegevens_B!G445, ",", ""))+1, Klantgegevens_A!G445)</f>
        <v/>
      </c>
      <c r="G446">
        <f>IF(Klantgegevens_B!G445&lt;&gt;"", 0, Klantgegevens_A!H445)</f>
        <v/>
      </c>
      <c r="H446">
        <f>IF(Klantgegevens_B!H445&lt;&gt;"", Klantgegevens_B!H445, Klantgegevens_A!I445)</f>
        <v/>
      </c>
      <c r="I446">
        <f>IF(Klantgegevens_B!I445&lt;&gt;"", Klantgegevens_B!I445, SWITCH(Klantgegevens_A!J445, "Zelden", 1, "Af en toe", 4, "Regelmatig", 8, "Vaak", 12))</f>
        <v/>
      </c>
      <c r="J446">
        <f>IF(Klantgegevens_B!J445&lt;&gt;"", Klantgegevens_B!J445, Klantgegevens_A!K445)</f>
        <v/>
      </c>
      <c r="K446">
        <f>IF(Klantgegevens_B!K445&lt;&gt;"", AVERAGE(--(Klantgegevens_B!K445="ja"), --(Klantgegevens_B!L445="ja"), --(Klantgegevens_B!M445="ja"), --(Klantgegevens_B!N445="ja"), --(Klantgegevens_B!O445="ja"))*10, Klantgegevens_A!L445)</f>
        <v/>
      </c>
      <c r="L446">
        <f>IF(Klantgegevens_B!K445&lt;&gt;"", Klantgegevens_B!K445, IF(Klantgegevens_A!L445&gt;=7, "ja", "nee"))</f>
        <v/>
      </c>
      <c r="M446">
        <f>IF(Klantgegevens_B!L445&lt;&gt;"", Klantgegevens_B!L445, IF(Klantgegevens_A!L445&gt;=7, "ja", "nee"))</f>
        <v/>
      </c>
      <c r="N446">
        <f>IF(Klantgegevens_B!M445&lt;&gt;"", Klantgegevens_B!M445, IF(Klantgegevens_A!L445&gt;=7, "ja", "nee"))</f>
        <v/>
      </c>
      <c r="O446">
        <f>IF(Klantgegevens_B!N445&lt;&gt;"", Klantgegevens_B!N445, IF(Klantgegevens_A!L445&gt;=7, "ja", "nee"))</f>
        <v/>
      </c>
      <c r="P446">
        <f>IF(Klantgegevens_B!O445&lt;&gt;"", Klantgegevens_B!O445, IF(Klantgegevens_A!L445&gt;=7, "ja", "nee"))</f>
        <v/>
      </c>
      <c r="Q446">
        <f>IF(Klantgegevens_B!P445&lt;&gt;"", Klantgegevens_B!P445, Klantgegevens_A!M445)</f>
        <v/>
      </c>
      <c r="R446">
        <f>IF(Klantgegevens_B!A445&lt;&gt;"", "B", "A")</f>
        <v/>
      </c>
    </row>
    <row r="447">
      <c r="A447">
        <f>IF(Klantgegevens_B!A446&lt;&gt;"", Klantgegevens_B!A446, MID(Klantgegevens_A!A446, FIND(",", Klantgegevens_A!A446)+2, LEN(Klantgegevens_A!A446)))</f>
        <v/>
      </c>
      <c r="B447">
        <f>IF(Klantgegevens_B!B446&lt;&gt;"", Klantgegevens_B!B446, LEFT(Klantgegevens_A!A446, FIND(",", Klantgegevens_A!A446)-1))</f>
        <v/>
      </c>
      <c r="C447">
        <f>C446 &amp; ", " &amp; B446</f>
        <v/>
      </c>
      <c r="D447">
        <f>IF(Klantgegevens_B!F446&lt;&gt;"", Klantgegevens_B!F446, Klantgegevens_A!D446 &amp; " " &amp; Klantgegevens_A!E446 &amp; ", " &amp; Klantgegevens_A!F446)</f>
        <v/>
      </c>
      <c r="E447">
        <f>IF(Klantgegevens_B!G446&lt;&gt;"", Klantgegevens_B!G446, TEXTJOIN(",", TRUE, REPT("Volwassene,", Klantgegevens_A!G446), REPT("Kind,", Klantgegevens_A!H446)))</f>
        <v/>
      </c>
      <c r="F447">
        <f>IF(Klantgegevens_B!G446&lt;&gt;"", LEN(Klantgegevens_B!G446)-LEN(SUBSTITUTE(Klantgegevens_B!G446, ",", ""))+1, Klantgegevens_A!G446)</f>
        <v/>
      </c>
      <c r="G447">
        <f>IF(Klantgegevens_B!G446&lt;&gt;"", 0, Klantgegevens_A!H446)</f>
        <v/>
      </c>
      <c r="H447">
        <f>IF(Klantgegevens_B!H446&lt;&gt;"", Klantgegevens_B!H446, Klantgegevens_A!I446)</f>
        <v/>
      </c>
      <c r="I447">
        <f>IF(Klantgegevens_B!I446&lt;&gt;"", Klantgegevens_B!I446, SWITCH(Klantgegevens_A!J446, "Zelden", 1, "Af en toe", 4, "Regelmatig", 8, "Vaak", 12))</f>
        <v/>
      </c>
      <c r="J447">
        <f>IF(Klantgegevens_B!J446&lt;&gt;"", Klantgegevens_B!J446, Klantgegevens_A!K446)</f>
        <v/>
      </c>
      <c r="K447">
        <f>IF(Klantgegevens_B!K446&lt;&gt;"", AVERAGE(--(Klantgegevens_B!K446="ja"), --(Klantgegevens_B!L446="ja"), --(Klantgegevens_B!M446="ja"), --(Klantgegevens_B!N446="ja"), --(Klantgegevens_B!O446="ja"))*10, Klantgegevens_A!L446)</f>
        <v/>
      </c>
      <c r="L447">
        <f>IF(Klantgegevens_B!K446&lt;&gt;"", Klantgegevens_B!K446, IF(Klantgegevens_A!L446&gt;=7, "ja", "nee"))</f>
        <v/>
      </c>
      <c r="M447">
        <f>IF(Klantgegevens_B!L446&lt;&gt;"", Klantgegevens_B!L446, IF(Klantgegevens_A!L446&gt;=7, "ja", "nee"))</f>
        <v/>
      </c>
      <c r="N447">
        <f>IF(Klantgegevens_B!M446&lt;&gt;"", Klantgegevens_B!M446, IF(Klantgegevens_A!L446&gt;=7, "ja", "nee"))</f>
        <v/>
      </c>
      <c r="O447">
        <f>IF(Klantgegevens_B!N446&lt;&gt;"", Klantgegevens_B!N446, IF(Klantgegevens_A!L446&gt;=7, "ja", "nee"))</f>
        <v/>
      </c>
      <c r="P447">
        <f>IF(Klantgegevens_B!O446&lt;&gt;"", Klantgegevens_B!O446, IF(Klantgegevens_A!L446&gt;=7, "ja", "nee"))</f>
        <v/>
      </c>
      <c r="Q447">
        <f>IF(Klantgegevens_B!P446&lt;&gt;"", Klantgegevens_B!P446, Klantgegevens_A!M446)</f>
        <v/>
      </c>
      <c r="R447">
        <f>IF(Klantgegevens_B!A446&lt;&gt;"", "B", "A")</f>
        <v/>
      </c>
    </row>
    <row r="448">
      <c r="A448">
        <f>IF(Klantgegevens_B!A447&lt;&gt;"", Klantgegevens_B!A447, MID(Klantgegevens_A!A447, FIND(",", Klantgegevens_A!A447)+2, LEN(Klantgegevens_A!A447)))</f>
        <v/>
      </c>
      <c r="B448">
        <f>IF(Klantgegevens_B!B447&lt;&gt;"", Klantgegevens_B!B447, LEFT(Klantgegevens_A!A447, FIND(",", Klantgegevens_A!A447)-1))</f>
        <v/>
      </c>
      <c r="C448">
        <f>C447 &amp; ", " &amp; B447</f>
        <v/>
      </c>
      <c r="D448">
        <f>IF(Klantgegevens_B!F447&lt;&gt;"", Klantgegevens_B!F447, Klantgegevens_A!D447 &amp; " " &amp; Klantgegevens_A!E447 &amp; ", " &amp; Klantgegevens_A!F447)</f>
        <v/>
      </c>
      <c r="E448">
        <f>IF(Klantgegevens_B!G447&lt;&gt;"", Klantgegevens_B!G447, TEXTJOIN(",", TRUE, REPT("Volwassene,", Klantgegevens_A!G447), REPT("Kind,", Klantgegevens_A!H447)))</f>
        <v/>
      </c>
      <c r="F448">
        <f>IF(Klantgegevens_B!G447&lt;&gt;"", LEN(Klantgegevens_B!G447)-LEN(SUBSTITUTE(Klantgegevens_B!G447, ",", ""))+1, Klantgegevens_A!G447)</f>
        <v/>
      </c>
      <c r="G448">
        <f>IF(Klantgegevens_B!G447&lt;&gt;"", 0, Klantgegevens_A!H447)</f>
        <v/>
      </c>
      <c r="H448">
        <f>IF(Klantgegevens_B!H447&lt;&gt;"", Klantgegevens_B!H447, Klantgegevens_A!I447)</f>
        <v/>
      </c>
      <c r="I448">
        <f>IF(Klantgegevens_B!I447&lt;&gt;"", Klantgegevens_B!I447, SWITCH(Klantgegevens_A!J447, "Zelden", 1, "Af en toe", 4, "Regelmatig", 8, "Vaak", 12))</f>
        <v/>
      </c>
      <c r="J448">
        <f>IF(Klantgegevens_B!J447&lt;&gt;"", Klantgegevens_B!J447, Klantgegevens_A!K447)</f>
        <v/>
      </c>
      <c r="K448">
        <f>IF(Klantgegevens_B!K447&lt;&gt;"", AVERAGE(--(Klantgegevens_B!K447="ja"), --(Klantgegevens_B!L447="ja"), --(Klantgegevens_B!M447="ja"), --(Klantgegevens_B!N447="ja"), --(Klantgegevens_B!O447="ja"))*10, Klantgegevens_A!L447)</f>
        <v/>
      </c>
      <c r="L448">
        <f>IF(Klantgegevens_B!K447&lt;&gt;"", Klantgegevens_B!K447, IF(Klantgegevens_A!L447&gt;=7, "ja", "nee"))</f>
        <v/>
      </c>
      <c r="M448">
        <f>IF(Klantgegevens_B!L447&lt;&gt;"", Klantgegevens_B!L447, IF(Klantgegevens_A!L447&gt;=7, "ja", "nee"))</f>
        <v/>
      </c>
      <c r="N448">
        <f>IF(Klantgegevens_B!M447&lt;&gt;"", Klantgegevens_B!M447, IF(Klantgegevens_A!L447&gt;=7, "ja", "nee"))</f>
        <v/>
      </c>
      <c r="O448">
        <f>IF(Klantgegevens_B!N447&lt;&gt;"", Klantgegevens_B!N447, IF(Klantgegevens_A!L447&gt;=7, "ja", "nee"))</f>
        <v/>
      </c>
      <c r="P448">
        <f>IF(Klantgegevens_B!O447&lt;&gt;"", Klantgegevens_B!O447, IF(Klantgegevens_A!L447&gt;=7, "ja", "nee"))</f>
        <v/>
      </c>
      <c r="Q448">
        <f>IF(Klantgegevens_B!P447&lt;&gt;"", Klantgegevens_B!P447, Klantgegevens_A!M447)</f>
        <v/>
      </c>
      <c r="R448">
        <f>IF(Klantgegevens_B!A447&lt;&gt;"", "B", "A")</f>
        <v/>
      </c>
    </row>
    <row r="449">
      <c r="A449">
        <f>IF(Klantgegevens_B!A448&lt;&gt;"", Klantgegevens_B!A448, MID(Klantgegevens_A!A448, FIND(",", Klantgegevens_A!A448)+2, LEN(Klantgegevens_A!A448)))</f>
        <v/>
      </c>
      <c r="B449">
        <f>IF(Klantgegevens_B!B448&lt;&gt;"", Klantgegevens_B!B448, LEFT(Klantgegevens_A!A448, FIND(",", Klantgegevens_A!A448)-1))</f>
        <v/>
      </c>
      <c r="C449">
        <f>C448 &amp; ", " &amp; B448</f>
        <v/>
      </c>
      <c r="D449">
        <f>IF(Klantgegevens_B!F448&lt;&gt;"", Klantgegevens_B!F448, Klantgegevens_A!D448 &amp; " " &amp; Klantgegevens_A!E448 &amp; ", " &amp; Klantgegevens_A!F448)</f>
        <v/>
      </c>
      <c r="E449">
        <f>IF(Klantgegevens_B!G448&lt;&gt;"", Klantgegevens_B!G448, TEXTJOIN(",", TRUE, REPT("Volwassene,", Klantgegevens_A!G448), REPT("Kind,", Klantgegevens_A!H448)))</f>
        <v/>
      </c>
      <c r="F449">
        <f>IF(Klantgegevens_B!G448&lt;&gt;"", LEN(Klantgegevens_B!G448)-LEN(SUBSTITUTE(Klantgegevens_B!G448, ",", ""))+1, Klantgegevens_A!G448)</f>
        <v/>
      </c>
      <c r="G449">
        <f>IF(Klantgegevens_B!G448&lt;&gt;"", 0, Klantgegevens_A!H448)</f>
        <v/>
      </c>
      <c r="H449">
        <f>IF(Klantgegevens_B!H448&lt;&gt;"", Klantgegevens_B!H448, Klantgegevens_A!I448)</f>
        <v/>
      </c>
      <c r="I449">
        <f>IF(Klantgegevens_B!I448&lt;&gt;"", Klantgegevens_B!I448, SWITCH(Klantgegevens_A!J448, "Zelden", 1, "Af en toe", 4, "Regelmatig", 8, "Vaak", 12))</f>
        <v/>
      </c>
      <c r="J449">
        <f>IF(Klantgegevens_B!J448&lt;&gt;"", Klantgegevens_B!J448, Klantgegevens_A!K448)</f>
        <v/>
      </c>
      <c r="K449">
        <f>IF(Klantgegevens_B!K448&lt;&gt;"", AVERAGE(--(Klantgegevens_B!K448="ja"), --(Klantgegevens_B!L448="ja"), --(Klantgegevens_B!M448="ja"), --(Klantgegevens_B!N448="ja"), --(Klantgegevens_B!O448="ja"))*10, Klantgegevens_A!L448)</f>
        <v/>
      </c>
      <c r="L449">
        <f>IF(Klantgegevens_B!K448&lt;&gt;"", Klantgegevens_B!K448, IF(Klantgegevens_A!L448&gt;=7, "ja", "nee"))</f>
        <v/>
      </c>
      <c r="M449">
        <f>IF(Klantgegevens_B!L448&lt;&gt;"", Klantgegevens_B!L448, IF(Klantgegevens_A!L448&gt;=7, "ja", "nee"))</f>
        <v/>
      </c>
      <c r="N449">
        <f>IF(Klantgegevens_B!M448&lt;&gt;"", Klantgegevens_B!M448, IF(Klantgegevens_A!L448&gt;=7, "ja", "nee"))</f>
        <v/>
      </c>
      <c r="O449">
        <f>IF(Klantgegevens_B!N448&lt;&gt;"", Klantgegevens_B!N448, IF(Klantgegevens_A!L448&gt;=7, "ja", "nee"))</f>
        <v/>
      </c>
      <c r="P449">
        <f>IF(Klantgegevens_B!O448&lt;&gt;"", Klantgegevens_B!O448, IF(Klantgegevens_A!L448&gt;=7, "ja", "nee"))</f>
        <v/>
      </c>
      <c r="Q449">
        <f>IF(Klantgegevens_B!P448&lt;&gt;"", Klantgegevens_B!P448, Klantgegevens_A!M448)</f>
        <v/>
      </c>
      <c r="R449">
        <f>IF(Klantgegevens_B!A448&lt;&gt;"", "B", "A")</f>
        <v/>
      </c>
    </row>
    <row r="450">
      <c r="A450">
        <f>IF(Klantgegevens_B!A449&lt;&gt;"", Klantgegevens_B!A449, MID(Klantgegevens_A!A449, FIND(",", Klantgegevens_A!A449)+2, LEN(Klantgegevens_A!A449)))</f>
        <v/>
      </c>
      <c r="B450">
        <f>IF(Klantgegevens_B!B449&lt;&gt;"", Klantgegevens_B!B449, LEFT(Klantgegevens_A!A449, FIND(",", Klantgegevens_A!A449)-1))</f>
        <v/>
      </c>
      <c r="C450">
        <f>C449 &amp; ", " &amp; B449</f>
        <v/>
      </c>
      <c r="D450">
        <f>IF(Klantgegevens_B!F449&lt;&gt;"", Klantgegevens_B!F449, Klantgegevens_A!D449 &amp; " " &amp; Klantgegevens_A!E449 &amp; ", " &amp; Klantgegevens_A!F449)</f>
        <v/>
      </c>
      <c r="E450">
        <f>IF(Klantgegevens_B!G449&lt;&gt;"", Klantgegevens_B!G449, TEXTJOIN(",", TRUE, REPT("Volwassene,", Klantgegevens_A!G449), REPT("Kind,", Klantgegevens_A!H449)))</f>
        <v/>
      </c>
      <c r="F450">
        <f>IF(Klantgegevens_B!G449&lt;&gt;"", LEN(Klantgegevens_B!G449)-LEN(SUBSTITUTE(Klantgegevens_B!G449, ",", ""))+1, Klantgegevens_A!G449)</f>
        <v/>
      </c>
      <c r="G450">
        <f>IF(Klantgegevens_B!G449&lt;&gt;"", 0, Klantgegevens_A!H449)</f>
        <v/>
      </c>
      <c r="H450">
        <f>IF(Klantgegevens_B!H449&lt;&gt;"", Klantgegevens_B!H449, Klantgegevens_A!I449)</f>
        <v/>
      </c>
      <c r="I450">
        <f>IF(Klantgegevens_B!I449&lt;&gt;"", Klantgegevens_B!I449, SWITCH(Klantgegevens_A!J449, "Zelden", 1, "Af en toe", 4, "Regelmatig", 8, "Vaak", 12))</f>
        <v/>
      </c>
      <c r="J450">
        <f>IF(Klantgegevens_B!J449&lt;&gt;"", Klantgegevens_B!J449, Klantgegevens_A!K449)</f>
        <v/>
      </c>
      <c r="K450">
        <f>IF(Klantgegevens_B!K449&lt;&gt;"", AVERAGE(--(Klantgegevens_B!K449="ja"), --(Klantgegevens_B!L449="ja"), --(Klantgegevens_B!M449="ja"), --(Klantgegevens_B!N449="ja"), --(Klantgegevens_B!O449="ja"))*10, Klantgegevens_A!L449)</f>
        <v/>
      </c>
      <c r="L450">
        <f>IF(Klantgegevens_B!K449&lt;&gt;"", Klantgegevens_B!K449, IF(Klantgegevens_A!L449&gt;=7, "ja", "nee"))</f>
        <v/>
      </c>
      <c r="M450">
        <f>IF(Klantgegevens_B!L449&lt;&gt;"", Klantgegevens_B!L449, IF(Klantgegevens_A!L449&gt;=7, "ja", "nee"))</f>
        <v/>
      </c>
      <c r="N450">
        <f>IF(Klantgegevens_B!M449&lt;&gt;"", Klantgegevens_B!M449, IF(Klantgegevens_A!L449&gt;=7, "ja", "nee"))</f>
        <v/>
      </c>
      <c r="O450">
        <f>IF(Klantgegevens_B!N449&lt;&gt;"", Klantgegevens_B!N449, IF(Klantgegevens_A!L449&gt;=7, "ja", "nee"))</f>
        <v/>
      </c>
      <c r="P450">
        <f>IF(Klantgegevens_B!O449&lt;&gt;"", Klantgegevens_B!O449, IF(Klantgegevens_A!L449&gt;=7, "ja", "nee"))</f>
        <v/>
      </c>
      <c r="Q450">
        <f>IF(Klantgegevens_B!P449&lt;&gt;"", Klantgegevens_B!P449, Klantgegevens_A!M449)</f>
        <v/>
      </c>
      <c r="R450">
        <f>IF(Klantgegevens_B!A449&lt;&gt;"", "B", "A")</f>
        <v/>
      </c>
    </row>
    <row r="451">
      <c r="A451">
        <f>IF(Klantgegevens_B!A450&lt;&gt;"", Klantgegevens_B!A450, MID(Klantgegevens_A!A450, FIND(",", Klantgegevens_A!A450)+2, LEN(Klantgegevens_A!A450)))</f>
        <v/>
      </c>
      <c r="B451">
        <f>IF(Klantgegevens_B!B450&lt;&gt;"", Klantgegevens_B!B450, LEFT(Klantgegevens_A!A450, FIND(",", Klantgegevens_A!A450)-1))</f>
        <v/>
      </c>
      <c r="C451">
        <f>C450 &amp; ", " &amp; B450</f>
        <v/>
      </c>
      <c r="D451">
        <f>IF(Klantgegevens_B!F450&lt;&gt;"", Klantgegevens_B!F450, Klantgegevens_A!D450 &amp; " " &amp; Klantgegevens_A!E450 &amp; ", " &amp; Klantgegevens_A!F450)</f>
        <v/>
      </c>
      <c r="E451">
        <f>IF(Klantgegevens_B!G450&lt;&gt;"", Klantgegevens_B!G450, TEXTJOIN(",", TRUE, REPT("Volwassene,", Klantgegevens_A!G450), REPT("Kind,", Klantgegevens_A!H450)))</f>
        <v/>
      </c>
      <c r="F451">
        <f>IF(Klantgegevens_B!G450&lt;&gt;"", LEN(Klantgegevens_B!G450)-LEN(SUBSTITUTE(Klantgegevens_B!G450, ",", ""))+1, Klantgegevens_A!G450)</f>
        <v/>
      </c>
      <c r="G451">
        <f>IF(Klantgegevens_B!G450&lt;&gt;"", 0, Klantgegevens_A!H450)</f>
        <v/>
      </c>
      <c r="H451">
        <f>IF(Klantgegevens_B!H450&lt;&gt;"", Klantgegevens_B!H450, Klantgegevens_A!I450)</f>
        <v/>
      </c>
      <c r="I451">
        <f>IF(Klantgegevens_B!I450&lt;&gt;"", Klantgegevens_B!I450, SWITCH(Klantgegevens_A!J450, "Zelden", 1, "Af en toe", 4, "Regelmatig", 8, "Vaak", 12))</f>
        <v/>
      </c>
      <c r="J451">
        <f>IF(Klantgegevens_B!J450&lt;&gt;"", Klantgegevens_B!J450, Klantgegevens_A!K450)</f>
        <v/>
      </c>
      <c r="K451">
        <f>IF(Klantgegevens_B!K450&lt;&gt;"", AVERAGE(--(Klantgegevens_B!K450="ja"), --(Klantgegevens_B!L450="ja"), --(Klantgegevens_B!M450="ja"), --(Klantgegevens_B!N450="ja"), --(Klantgegevens_B!O450="ja"))*10, Klantgegevens_A!L450)</f>
        <v/>
      </c>
      <c r="L451">
        <f>IF(Klantgegevens_B!K450&lt;&gt;"", Klantgegevens_B!K450, IF(Klantgegevens_A!L450&gt;=7, "ja", "nee"))</f>
        <v/>
      </c>
      <c r="M451">
        <f>IF(Klantgegevens_B!L450&lt;&gt;"", Klantgegevens_B!L450, IF(Klantgegevens_A!L450&gt;=7, "ja", "nee"))</f>
        <v/>
      </c>
      <c r="N451">
        <f>IF(Klantgegevens_B!M450&lt;&gt;"", Klantgegevens_B!M450, IF(Klantgegevens_A!L450&gt;=7, "ja", "nee"))</f>
        <v/>
      </c>
      <c r="O451">
        <f>IF(Klantgegevens_B!N450&lt;&gt;"", Klantgegevens_B!N450, IF(Klantgegevens_A!L450&gt;=7, "ja", "nee"))</f>
        <v/>
      </c>
      <c r="P451">
        <f>IF(Klantgegevens_B!O450&lt;&gt;"", Klantgegevens_B!O450, IF(Klantgegevens_A!L450&gt;=7, "ja", "nee"))</f>
        <v/>
      </c>
      <c r="Q451">
        <f>IF(Klantgegevens_B!P450&lt;&gt;"", Klantgegevens_B!P450, Klantgegevens_A!M450)</f>
        <v/>
      </c>
      <c r="R451">
        <f>IF(Klantgegevens_B!A450&lt;&gt;"", "B", "A")</f>
        <v/>
      </c>
    </row>
    <row r="452">
      <c r="A452">
        <f>IF(Klantgegevens_B!A451&lt;&gt;"", Klantgegevens_B!A451, MID(Klantgegevens_A!A451, FIND(",", Klantgegevens_A!A451)+2, LEN(Klantgegevens_A!A451)))</f>
        <v/>
      </c>
      <c r="B452">
        <f>IF(Klantgegevens_B!B451&lt;&gt;"", Klantgegevens_B!B451, LEFT(Klantgegevens_A!A451, FIND(",", Klantgegevens_A!A451)-1))</f>
        <v/>
      </c>
      <c r="C452">
        <f>C451 &amp; ", " &amp; B451</f>
        <v/>
      </c>
      <c r="D452">
        <f>IF(Klantgegevens_B!F451&lt;&gt;"", Klantgegevens_B!F451, Klantgegevens_A!D451 &amp; " " &amp; Klantgegevens_A!E451 &amp; ", " &amp; Klantgegevens_A!F451)</f>
        <v/>
      </c>
      <c r="E452">
        <f>IF(Klantgegevens_B!G451&lt;&gt;"", Klantgegevens_B!G451, TEXTJOIN(",", TRUE, REPT("Volwassene,", Klantgegevens_A!G451), REPT("Kind,", Klantgegevens_A!H451)))</f>
        <v/>
      </c>
      <c r="F452">
        <f>IF(Klantgegevens_B!G451&lt;&gt;"", LEN(Klantgegevens_B!G451)-LEN(SUBSTITUTE(Klantgegevens_B!G451, ",", ""))+1, Klantgegevens_A!G451)</f>
        <v/>
      </c>
      <c r="G452">
        <f>IF(Klantgegevens_B!G451&lt;&gt;"", 0, Klantgegevens_A!H451)</f>
        <v/>
      </c>
      <c r="H452">
        <f>IF(Klantgegevens_B!H451&lt;&gt;"", Klantgegevens_B!H451, Klantgegevens_A!I451)</f>
        <v/>
      </c>
      <c r="I452">
        <f>IF(Klantgegevens_B!I451&lt;&gt;"", Klantgegevens_B!I451, SWITCH(Klantgegevens_A!J451, "Zelden", 1, "Af en toe", 4, "Regelmatig", 8, "Vaak", 12))</f>
        <v/>
      </c>
      <c r="J452">
        <f>IF(Klantgegevens_B!J451&lt;&gt;"", Klantgegevens_B!J451, Klantgegevens_A!K451)</f>
        <v/>
      </c>
      <c r="K452">
        <f>IF(Klantgegevens_B!K451&lt;&gt;"", AVERAGE(--(Klantgegevens_B!K451="ja"), --(Klantgegevens_B!L451="ja"), --(Klantgegevens_B!M451="ja"), --(Klantgegevens_B!N451="ja"), --(Klantgegevens_B!O451="ja"))*10, Klantgegevens_A!L451)</f>
        <v/>
      </c>
      <c r="L452">
        <f>IF(Klantgegevens_B!K451&lt;&gt;"", Klantgegevens_B!K451, IF(Klantgegevens_A!L451&gt;=7, "ja", "nee"))</f>
        <v/>
      </c>
      <c r="M452">
        <f>IF(Klantgegevens_B!L451&lt;&gt;"", Klantgegevens_B!L451, IF(Klantgegevens_A!L451&gt;=7, "ja", "nee"))</f>
        <v/>
      </c>
      <c r="N452">
        <f>IF(Klantgegevens_B!M451&lt;&gt;"", Klantgegevens_B!M451, IF(Klantgegevens_A!L451&gt;=7, "ja", "nee"))</f>
        <v/>
      </c>
      <c r="O452">
        <f>IF(Klantgegevens_B!N451&lt;&gt;"", Klantgegevens_B!N451, IF(Klantgegevens_A!L451&gt;=7, "ja", "nee"))</f>
        <v/>
      </c>
      <c r="P452">
        <f>IF(Klantgegevens_B!O451&lt;&gt;"", Klantgegevens_B!O451, IF(Klantgegevens_A!L451&gt;=7, "ja", "nee"))</f>
        <v/>
      </c>
      <c r="Q452">
        <f>IF(Klantgegevens_B!P451&lt;&gt;"", Klantgegevens_B!P451, Klantgegevens_A!M451)</f>
        <v/>
      </c>
      <c r="R452">
        <f>IF(Klantgegevens_B!A451&lt;&gt;"", "B", "A")</f>
        <v/>
      </c>
    </row>
    <row r="453">
      <c r="A453">
        <f>IF(Klantgegevens_B!A452&lt;&gt;"", Klantgegevens_B!A452, MID(Klantgegevens_A!A452, FIND(",", Klantgegevens_A!A452)+2, LEN(Klantgegevens_A!A452)))</f>
        <v/>
      </c>
      <c r="B453">
        <f>IF(Klantgegevens_B!B452&lt;&gt;"", Klantgegevens_B!B452, LEFT(Klantgegevens_A!A452, FIND(",", Klantgegevens_A!A452)-1))</f>
        <v/>
      </c>
      <c r="C453">
        <f>C452 &amp; ", " &amp; B452</f>
        <v/>
      </c>
      <c r="D453">
        <f>IF(Klantgegevens_B!F452&lt;&gt;"", Klantgegevens_B!F452, Klantgegevens_A!D452 &amp; " " &amp; Klantgegevens_A!E452 &amp; ", " &amp; Klantgegevens_A!F452)</f>
        <v/>
      </c>
      <c r="E453">
        <f>IF(Klantgegevens_B!G452&lt;&gt;"", Klantgegevens_B!G452, TEXTJOIN(",", TRUE, REPT("Volwassene,", Klantgegevens_A!G452), REPT("Kind,", Klantgegevens_A!H452)))</f>
        <v/>
      </c>
      <c r="F453">
        <f>IF(Klantgegevens_B!G452&lt;&gt;"", LEN(Klantgegevens_B!G452)-LEN(SUBSTITUTE(Klantgegevens_B!G452, ",", ""))+1, Klantgegevens_A!G452)</f>
        <v/>
      </c>
      <c r="G453">
        <f>IF(Klantgegevens_B!G452&lt;&gt;"", 0, Klantgegevens_A!H452)</f>
        <v/>
      </c>
      <c r="H453">
        <f>IF(Klantgegevens_B!H452&lt;&gt;"", Klantgegevens_B!H452, Klantgegevens_A!I452)</f>
        <v/>
      </c>
      <c r="I453">
        <f>IF(Klantgegevens_B!I452&lt;&gt;"", Klantgegevens_B!I452, SWITCH(Klantgegevens_A!J452, "Zelden", 1, "Af en toe", 4, "Regelmatig", 8, "Vaak", 12))</f>
        <v/>
      </c>
      <c r="J453">
        <f>IF(Klantgegevens_B!J452&lt;&gt;"", Klantgegevens_B!J452, Klantgegevens_A!K452)</f>
        <v/>
      </c>
      <c r="K453">
        <f>IF(Klantgegevens_B!K452&lt;&gt;"", AVERAGE(--(Klantgegevens_B!K452="ja"), --(Klantgegevens_B!L452="ja"), --(Klantgegevens_B!M452="ja"), --(Klantgegevens_B!N452="ja"), --(Klantgegevens_B!O452="ja"))*10, Klantgegevens_A!L452)</f>
        <v/>
      </c>
      <c r="L453">
        <f>IF(Klantgegevens_B!K452&lt;&gt;"", Klantgegevens_B!K452, IF(Klantgegevens_A!L452&gt;=7, "ja", "nee"))</f>
        <v/>
      </c>
      <c r="M453">
        <f>IF(Klantgegevens_B!L452&lt;&gt;"", Klantgegevens_B!L452, IF(Klantgegevens_A!L452&gt;=7, "ja", "nee"))</f>
        <v/>
      </c>
      <c r="N453">
        <f>IF(Klantgegevens_B!M452&lt;&gt;"", Klantgegevens_B!M452, IF(Klantgegevens_A!L452&gt;=7, "ja", "nee"))</f>
        <v/>
      </c>
      <c r="O453">
        <f>IF(Klantgegevens_B!N452&lt;&gt;"", Klantgegevens_B!N452, IF(Klantgegevens_A!L452&gt;=7, "ja", "nee"))</f>
        <v/>
      </c>
      <c r="P453">
        <f>IF(Klantgegevens_B!O452&lt;&gt;"", Klantgegevens_B!O452, IF(Klantgegevens_A!L452&gt;=7, "ja", "nee"))</f>
        <v/>
      </c>
      <c r="Q453">
        <f>IF(Klantgegevens_B!P452&lt;&gt;"", Klantgegevens_B!P452, Klantgegevens_A!M452)</f>
        <v/>
      </c>
      <c r="R453">
        <f>IF(Klantgegevens_B!A452&lt;&gt;"", "B", "A")</f>
        <v/>
      </c>
    </row>
    <row r="454">
      <c r="A454">
        <f>IF(Klantgegevens_B!A453&lt;&gt;"", Klantgegevens_B!A453, MID(Klantgegevens_A!A453, FIND(",", Klantgegevens_A!A453)+2, LEN(Klantgegevens_A!A453)))</f>
        <v/>
      </c>
      <c r="B454">
        <f>IF(Klantgegevens_B!B453&lt;&gt;"", Klantgegevens_B!B453, LEFT(Klantgegevens_A!A453, FIND(",", Klantgegevens_A!A453)-1))</f>
        <v/>
      </c>
      <c r="C454">
        <f>C453 &amp; ", " &amp; B453</f>
        <v/>
      </c>
      <c r="D454">
        <f>IF(Klantgegevens_B!F453&lt;&gt;"", Klantgegevens_B!F453, Klantgegevens_A!D453 &amp; " " &amp; Klantgegevens_A!E453 &amp; ", " &amp; Klantgegevens_A!F453)</f>
        <v/>
      </c>
      <c r="E454">
        <f>IF(Klantgegevens_B!G453&lt;&gt;"", Klantgegevens_B!G453, TEXTJOIN(",", TRUE, REPT("Volwassene,", Klantgegevens_A!G453), REPT("Kind,", Klantgegevens_A!H453)))</f>
        <v/>
      </c>
      <c r="F454">
        <f>IF(Klantgegevens_B!G453&lt;&gt;"", LEN(Klantgegevens_B!G453)-LEN(SUBSTITUTE(Klantgegevens_B!G453, ",", ""))+1, Klantgegevens_A!G453)</f>
        <v/>
      </c>
      <c r="G454">
        <f>IF(Klantgegevens_B!G453&lt;&gt;"", 0, Klantgegevens_A!H453)</f>
        <v/>
      </c>
      <c r="H454">
        <f>IF(Klantgegevens_B!H453&lt;&gt;"", Klantgegevens_B!H453, Klantgegevens_A!I453)</f>
        <v/>
      </c>
      <c r="I454">
        <f>IF(Klantgegevens_B!I453&lt;&gt;"", Klantgegevens_B!I453, SWITCH(Klantgegevens_A!J453, "Zelden", 1, "Af en toe", 4, "Regelmatig", 8, "Vaak", 12))</f>
        <v/>
      </c>
      <c r="J454">
        <f>IF(Klantgegevens_B!J453&lt;&gt;"", Klantgegevens_B!J453, Klantgegevens_A!K453)</f>
        <v/>
      </c>
      <c r="K454">
        <f>IF(Klantgegevens_B!K453&lt;&gt;"", AVERAGE(--(Klantgegevens_B!K453="ja"), --(Klantgegevens_B!L453="ja"), --(Klantgegevens_B!M453="ja"), --(Klantgegevens_B!N453="ja"), --(Klantgegevens_B!O453="ja"))*10, Klantgegevens_A!L453)</f>
        <v/>
      </c>
      <c r="L454">
        <f>IF(Klantgegevens_B!K453&lt;&gt;"", Klantgegevens_B!K453, IF(Klantgegevens_A!L453&gt;=7, "ja", "nee"))</f>
        <v/>
      </c>
      <c r="M454">
        <f>IF(Klantgegevens_B!L453&lt;&gt;"", Klantgegevens_B!L453, IF(Klantgegevens_A!L453&gt;=7, "ja", "nee"))</f>
        <v/>
      </c>
      <c r="N454">
        <f>IF(Klantgegevens_B!M453&lt;&gt;"", Klantgegevens_B!M453, IF(Klantgegevens_A!L453&gt;=7, "ja", "nee"))</f>
        <v/>
      </c>
      <c r="O454">
        <f>IF(Klantgegevens_B!N453&lt;&gt;"", Klantgegevens_B!N453, IF(Klantgegevens_A!L453&gt;=7, "ja", "nee"))</f>
        <v/>
      </c>
      <c r="P454">
        <f>IF(Klantgegevens_B!O453&lt;&gt;"", Klantgegevens_B!O453, IF(Klantgegevens_A!L453&gt;=7, "ja", "nee"))</f>
        <v/>
      </c>
      <c r="Q454">
        <f>IF(Klantgegevens_B!P453&lt;&gt;"", Klantgegevens_B!P453, Klantgegevens_A!M453)</f>
        <v/>
      </c>
      <c r="R454">
        <f>IF(Klantgegevens_B!A453&lt;&gt;"", "B", "A")</f>
        <v/>
      </c>
    </row>
    <row r="455">
      <c r="A455">
        <f>IF(Klantgegevens_B!A454&lt;&gt;"", Klantgegevens_B!A454, MID(Klantgegevens_A!A454, FIND(",", Klantgegevens_A!A454)+2, LEN(Klantgegevens_A!A454)))</f>
        <v/>
      </c>
      <c r="B455">
        <f>IF(Klantgegevens_B!B454&lt;&gt;"", Klantgegevens_B!B454, LEFT(Klantgegevens_A!A454, FIND(",", Klantgegevens_A!A454)-1))</f>
        <v/>
      </c>
      <c r="C455">
        <f>C454 &amp; ", " &amp; B454</f>
        <v/>
      </c>
      <c r="D455">
        <f>IF(Klantgegevens_B!F454&lt;&gt;"", Klantgegevens_B!F454, Klantgegevens_A!D454 &amp; " " &amp; Klantgegevens_A!E454 &amp; ", " &amp; Klantgegevens_A!F454)</f>
        <v/>
      </c>
      <c r="E455">
        <f>IF(Klantgegevens_B!G454&lt;&gt;"", Klantgegevens_B!G454, TEXTJOIN(",", TRUE, REPT("Volwassene,", Klantgegevens_A!G454), REPT("Kind,", Klantgegevens_A!H454)))</f>
        <v/>
      </c>
      <c r="F455">
        <f>IF(Klantgegevens_B!G454&lt;&gt;"", LEN(Klantgegevens_B!G454)-LEN(SUBSTITUTE(Klantgegevens_B!G454, ",", ""))+1, Klantgegevens_A!G454)</f>
        <v/>
      </c>
      <c r="G455">
        <f>IF(Klantgegevens_B!G454&lt;&gt;"", 0, Klantgegevens_A!H454)</f>
        <v/>
      </c>
      <c r="H455">
        <f>IF(Klantgegevens_B!H454&lt;&gt;"", Klantgegevens_B!H454, Klantgegevens_A!I454)</f>
        <v/>
      </c>
      <c r="I455">
        <f>IF(Klantgegevens_B!I454&lt;&gt;"", Klantgegevens_B!I454, SWITCH(Klantgegevens_A!J454, "Zelden", 1, "Af en toe", 4, "Regelmatig", 8, "Vaak", 12))</f>
        <v/>
      </c>
      <c r="J455">
        <f>IF(Klantgegevens_B!J454&lt;&gt;"", Klantgegevens_B!J454, Klantgegevens_A!K454)</f>
        <v/>
      </c>
      <c r="K455">
        <f>IF(Klantgegevens_B!K454&lt;&gt;"", AVERAGE(--(Klantgegevens_B!K454="ja"), --(Klantgegevens_B!L454="ja"), --(Klantgegevens_B!M454="ja"), --(Klantgegevens_B!N454="ja"), --(Klantgegevens_B!O454="ja"))*10, Klantgegevens_A!L454)</f>
        <v/>
      </c>
      <c r="L455">
        <f>IF(Klantgegevens_B!K454&lt;&gt;"", Klantgegevens_B!K454, IF(Klantgegevens_A!L454&gt;=7, "ja", "nee"))</f>
        <v/>
      </c>
      <c r="M455">
        <f>IF(Klantgegevens_B!L454&lt;&gt;"", Klantgegevens_B!L454, IF(Klantgegevens_A!L454&gt;=7, "ja", "nee"))</f>
        <v/>
      </c>
      <c r="N455">
        <f>IF(Klantgegevens_B!M454&lt;&gt;"", Klantgegevens_B!M454, IF(Klantgegevens_A!L454&gt;=7, "ja", "nee"))</f>
        <v/>
      </c>
      <c r="O455">
        <f>IF(Klantgegevens_B!N454&lt;&gt;"", Klantgegevens_B!N454, IF(Klantgegevens_A!L454&gt;=7, "ja", "nee"))</f>
        <v/>
      </c>
      <c r="P455">
        <f>IF(Klantgegevens_B!O454&lt;&gt;"", Klantgegevens_B!O454, IF(Klantgegevens_A!L454&gt;=7, "ja", "nee"))</f>
        <v/>
      </c>
      <c r="Q455">
        <f>IF(Klantgegevens_B!P454&lt;&gt;"", Klantgegevens_B!P454, Klantgegevens_A!M454)</f>
        <v/>
      </c>
      <c r="R455">
        <f>IF(Klantgegevens_B!A454&lt;&gt;"", "B", "A")</f>
        <v/>
      </c>
    </row>
    <row r="456">
      <c r="A456">
        <f>IF(Klantgegevens_B!A455&lt;&gt;"", Klantgegevens_B!A455, MID(Klantgegevens_A!A455, FIND(",", Klantgegevens_A!A455)+2, LEN(Klantgegevens_A!A455)))</f>
        <v/>
      </c>
      <c r="B456">
        <f>IF(Klantgegevens_B!B455&lt;&gt;"", Klantgegevens_B!B455, LEFT(Klantgegevens_A!A455, FIND(",", Klantgegevens_A!A455)-1))</f>
        <v/>
      </c>
      <c r="C456">
        <f>C455 &amp; ", " &amp; B455</f>
        <v/>
      </c>
      <c r="D456">
        <f>IF(Klantgegevens_B!F455&lt;&gt;"", Klantgegevens_B!F455, Klantgegevens_A!D455 &amp; " " &amp; Klantgegevens_A!E455 &amp; ", " &amp; Klantgegevens_A!F455)</f>
        <v/>
      </c>
      <c r="E456">
        <f>IF(Klantgegevens_B!G455&lt;&gt;"", Klantgegevens_B!G455, TEXTJOIN(",", TRUE, REPT("Volwassene,", Klantgegevens_A!G455), REPT("Kind,", Klantgegevens_A!H455)))</f>
        <v/>
      </c>
      <c r="F456">
        <f>IF(Klantgegevens_B!G455&lt;&gt;"", LEN(Klantgegevens_B!G455)-LEN(SUBSTITUTE(Klantgegevens_B!G455, ",", ""))+1, Klantgegevens_A!G455)</f>
        <v/>
      </c>
      <c r="G456">
        <f>IF(Klantgegevens_B!G455&lt;&gt;"", 0, Klantgegevens_A!H455)</f>
        <v/>
      </c>
      <c r="H456">
        <f>IF(Klantgegevens_B!H455&lt;&gt;"", Klantgegevens_B!H455, Klantgegevens_A!I455)</f>
        <v/>
      </c>
      <c r="I456">
        <f>IF(Klantgegevens_B!I455&lt;&gt;"", Klantgegevens_B!I455, SWITCH(Klantgegevens_A!J455, "Zelden", 1, "Af en toe", 4, "Regelmatig", 8, "Vaak", 12))</f>
        <v/>
      </c>
      <c r="J456">
        <f>IF(Klantgegevens_B!J455&lt;&gt;"", Klantgegevens_B!J455, Klantgegevens_A!K455)</f>
        <v/>
      </c>
      <c r="K456">
        <f>IF(Klantgegevens_B!K455&lt;&gt;"", AVERAGE(--(Klantgegevens_B!K455="ja"), --(Klantgegevens_B!L455="ja"), --(Klantgegevens_B!M455="ja"), --(Klantgegevens_B!N455="ja"), --(Klantgegevens_B!O455="ja"))*10, Klantgegevens_A!L455)</f>
        <v/>
      </c>
      <c r="L456">
        <f>IF(Klantgegevens_B!K455&lt;&gt;"", Klantgegevens_B!K455, IF(Klantgegevens_A!L455&gt;=7, "ja", "nee"))</f>
        <v/>
      </c>
      <c r="M456">
        <f>IF(Klantgegevens_B!L455&lt;&gt;"", Klantgegevens_B!L455, IF(Klantgegevens_A!L455&gt;=7, "ja", "nee"))</f>
        <v/>
      </c>
      <c r="N456">
        <f>IF(Klantgegevens_B!M455&lt;&gt;"", Klantgegevens_B!M455, IF(Klantgegevens_A!L455&gt;=7, "ja", "nee"))</f>
        <v/>
      </c>
      <c r="O456">
        <f>IF(Klantgegevens_B!N455&lt;&gt;"", Klantgegevens_B!N455, IF(Klantgegevens_A!L455&gt;=7, "ja", "nee"))</f>
        <v/>
      </c>
      <c r="P456">
        <f>IF(Klantgegevens_B!O455&lt;&gt;"", Klantgegevens_B!O455, IF(Klantgegevens_A!L455&gt;=7, "ja", "nee"))</f>
        <v/>
      </c>
      <c r="Q456">
        <f>IF(Klantgegevens_B!P455&lt;&gt;"", Klantgegevens_B!P455, Klantgegevens_A!M455)</f>
        <v/>
      </c>
      <c r="R456">
        <f>IF(Klantgegevens_B!A455&lt;&gt;"", "B", "A")</f>
        <v/>
      </c>
    </row>
    <row r="457">
      <c r="A457">
        <f>IF(Klantgegevens_B!A456&lt;&gt;"", Klantgegevens_B!A456, MID(Klantgegevens_A!A456, FIND(",", Klantgegevens_A!A456)+2, LEN(Klantgegevens_A!A456)))</f>
        <v/>
      </c>
      <c r="B457">
        <f>IF(Klantgegevens_B!B456&lt;&gt;"", Klantgegevens_B!B456, LEFT(Klantgegevens_A!A456, FIND(",", Klantgegevens_A!A456)-1))</f>
        <v/>
      </c>
      <c r="C457">
        <f>C456 &amp; ", " &amp; B456</f>
        <v/>
      </c>
      <c r="D457">
        <f>IF(Klantgegevens_B!F456&lt;&gt;"", Klantgegevens_B!F456, Klantgegevens_A!D456 &amp; " " &amp; Klantgegevens_A!E456 &amp; ", " &amp; Klantgegevens_A!F456)</f>
        <v/>
      </c>
      <c r="E457">
        <f>IF(Klantgegevens_B!G456&lt;&gt;"", Klantgegevens_B!G456, TEXTJOIN(",", TRUE, REPT("Volwassene,", Klantgegevens_A!G456), REPT("Kind,", Klantgegevens_A!H456)))</f>
        <v/>
      </c>
      <c r="F457">
        <f>IF(Klantgegevens_B!G456&lt;&gt;"", LEN(Klantgegevens_B!G456)-LEN(SUBSTITUTE(Klantgegevens_B!G456, ",", ""))+1, Klantgegevens_A!G456)</f>
        <v/>
      </c>
      <c r="G457">
        <f>IF(Klantgegevens_B!G456&lt;&gt;"", 0, Klantgegevens_A!H456)</f>
        <v/>
      </c>
      <c r="H457">
        <f>IF(Klantgegevens_B!H456&lt;&gt;"", Klantgegevens_B!H456, Klantgegevens_A!I456)</f>
        <v/>
      </c>
      <c r="I457">
        <f>IF(Klantgegevens_B!I456&lt;&gt;"", Klantgegevens_B!I456, SWITCH(Klantgegevens_A!J456, "Zelden", 1, "Af en toe", 4, "Regelmatig", 8, "Vaak", 12))</f>
        <v/>
      </c>
      <c r="J457">
        <f>IF(Klantgegevens_B!J456&lt;&gt;"", Klantgegevens_B!J456, Klantgegevens_A!K456)</f>
        <v/>
      </c>
      <c r="K457">
        <f>IF(Klantgegevens_B!K456&lt;&gt;"", AVERAGE(--(Klantgegevens_B!K456="ja"), --(Klantgegevens_B!L456="ja"), --(Klantgegevens_B!M456="ja"), --(Klantgegevens_B!N456="ja"), --(Klantgegevens_B!O456="ja"))*10, Klantgegevens_A!L456)</f>
        <v/>
      </c>
      <c r="L457">
        <f>IF(Klantgegevens_B!K456&lt;&gt;"", Klantgegevens_B!K456, IF(Klantgegevens_A!L456&gt;=7, "ja", "nee"))</f>
        <v/>
      </c>
      <c r="M457">
        <f>IF(Klantgegevens_B!L456&lt;&gt;"", Klantgegevens_B!L456, IF(Klantgegevens_A!L456&gt;=7, "ja", "nee"))</f>
        <v/>
      </c>
      <c r="N457">
        <f>IF(Klantgegevens_B!M456&lt;&gt;"", Klantgegevens_B!M456, IF(Klantgegevens_A!L456&gt;=7, "ja", "nee"))</f>
        <v/>
      </c>
      <c r="O457">
        <f>IF(Klantgegevens_B!N456&lt;&gt;"", Klantgegevens_B!N456, IF(Klantgegevens_A!L456&gt;=7, "ja", "nee"))</f>
        <v/>
      </c>
      <c r="P457">
        <f>IF(Klantgegevens_B!O456&lt;&gt;"", Klantgegevens_B!O456, IF(Klantgegevens_A!L456&gt;=7, "ja", "nee"))</f>
        <v/>
      </c>
      <c r="Q457">
        <f>IF(Klantgegevens_B!P456&lt;&gt;"", Klantgegevens_B!P456, Klantgegevens_A!M456)</f>
        <v/>
      </c>
      <c r="R457">
        <f>IF(Klantgegevens_B!A456&lt;&gt;"", "B", "A")</f>
        <v/>
      </c>
    </row>
    <row r="458">
      <c r="A458">
        <f>IF(Klantgegevens_B!A457&lt;&gt;"", Klantgegevens_B!A457, MID(Klantgegevens_A!A457, FIND(",", Klantgegevens_A!A457)+2, LEN(Klantgegevens_A!A457)))</f>
        <v/>
      </c>
      <c r="B458">
        <f>IF(Klantgegevens_B!B457&lt;&gt;"", Klantgegevens_B!B457, LEFT(Klantgegevens_A!A457, FIND(",", Klantgegevens_A!A457)-1))</f>
        <v/>
      </c>
      <c r="C458">
        <f>C457 &amp; ", " &amp; B457</f>
        <v/>
      </c>
      <c r="D458">
        <f>IF(Klantgegevens_B!F457&lt;&gt;"", Klantgegevens_B!F457, Klantgegevens_A!D457 &amp; " " &amp; Klantgegevens_A!E457 &amp; ", " &amp; Klantgegevens_A!F457)</f>
        <v/>
      </c>
      <c r="E458">
        <f>IF(Klantgegevens_B!G457&lt;&gt;"", Klantgegevens_B!G457, TEXTJOIN(",", TRUE, REPT("Volwassene,", Klantgegevens_A!G457), REPT("Kind,", Klantgegevens_A!H457)))</f>
        <v/>
      </c>
      <c r="F458">
        <f>IF(Klantgegevens_B!G457&lt;&gt;"", LEN(Klantgegevens_B!G457)-LEN(SUBSTITUTE(Klantgegevens_B!G457, ",", ""))+1, Klantgegevens_A!G457)</f>
        <v/>
      </c>
      <c r="G458">
        <f>IF(Klantgegevens_B!G457&lt;&gt;"", 0, Klantgegevens_A!H457)</f>
        <v/>
      </c>
      <c r="H458">
        <f>IF(Klantgegevens_B!H457&lt;&gt;"", Klantgegevens_B!H457, Klantgegevens_A!I457)</f>
        <v/>
      </c>
      <c r="I458">
        <f>IF(Klantgegevens_B!I457&lt;&gt;"", Klantgegevens_B!I457, SWITCH(Klantgegevens_A!J457, "Zelden", 1, "Af en toe", 4, "Regelmatig", 8, "Vaak", 12))</f>
        <v/>
      </c>
      <c r="J458">
        <f>IF(Klantgegevens_B!J457&lt;&gt;"", Klantgegevens_B!J457, Klantgegevens_A!K457)</f>
        <v/>
      </c>
      <c r="K458">
        <f>IF(Klantgegevens_B!K457&lt;&gt;"", AVERAGE(--(Klantgegevens_B!K457="ja"), --(Klantgegevens_B!L457="ja"), --(Klantgegevens_B!M457="ja"), --(Klantgegevens_B!N457="ja"), --(Klantgegevens_B!O457="ja"))*10, Klantgegevens_A!L457)</f>
        <v/>
      </c>
      <c r="L458">
        <f>IF(Klantgegevens_B!K457&lt;&gt;"", Klantgegevens_B!K457, IF(Klantgegevens_A!L457&gt;=7, "ja", "nee"))</f>
        <v/>
      </c>
      <c r="M458">
        <f>IF(Klantgegevens_B!L457&lt;&gt;"", Klantgegevens_B!L457, IF(Klantgegevens_A!L457&gt;=7, "ja", "nee"))</f>
        <v/>
      </c>
      <c r="N458">
        <f>IF(Klantgegevens_B!M457&lt;&gt;"", Klantgegevens_B!M457, IF(Klantgegevens_A!L457&gt;=7, "ja", "nee"))</f>
        <v/>
      </c>
      <c r="O458">
        <f>IF(Klantgegevens_B!N457&lt;&gt;"", Klantgegevens_B!N457, IF(Klantgegevens_A!L457&gt;=7, "ja", "nee"))</f>
        <v/>
      </c>
      <c r="P458">
        <f>IF(Klantgegevens_B!O457&lt;&gt;"", Klantgegevens_B!O457, IF(Klantgegevens_A!L457&gt;=7, "ja", "nee"))</f>
        <v/>
      </c>
      <c r="Q458">
        <f>IF(Klantgegevens_B!P457&lt;&gt;"", Klantgegevens_B!P457, Klantgegevens_A!M457)</f>
        <v/>
      </c>
      <c r="R458">
        <f>IF(Klantgegevens_B!A457&lt;&gt;"", "B", "A")</f>
        <v/>
      </c>
    </row>
    <row r="459">
      <c r="A459">
        <f>IF(Klantgegevens_B!A458&lt;&gt;"", Klantgegevens_B!A458, MID(Klantgegevens_A!A458, FIND(",", Klantgegevens_A!A458)+2, LEN(Klantgegevens_A!A458)))</f>
        <v/>
      </c>
      <c r="B459">
        <f>IF(Klantgegevens_B!B458&lt;&gt;"", Klantgegevens_B!B458, LEFT(Klantgegevens_A!A458, FIND(",", Klantgegevens_A!A458)-1))</f>
        <v/>
      </c>
      <c r="C459">
        <f>C458 &amp; ", " &amp; B458</f>
        <v/>
      </c>
      <c r="D459">
        <f>IF(Klantgegevens_B!F458&lt;&gt;"", Klantgegevens_B!F458, Klantgegevens_A!D458 &amp; " " &amp; Klantgegevens_A!E458 &amp; ", " &amp; Klantgegevens_A!F458)</f>
        <v/>
      </c>
      <c r="E459">
        <f>IF(Klantgegevens_B!G458&lt;&gt;"", Klantgegevens_B!G458, TEXTJOIN(",", TRUE, REPT("Volwassene,", Klantgegevens_A!G458), REPT("Kind,", Klantgegevens_A!H458)))</f>
        <v/>
      </c>
      <c r="F459">
        <f>IF(Klantgegevens_B!G458&lt;&gt;"", LEN(Klantgegevens_B!G458)-LEN(SUBSTITUTE(Klantgegevens_B!G458, ",", ""))+1, Klantgegevens_A!G458)</f>
        <v/>
      </c>
      <c r="G459">
        <f>IF(Klantgegevens_B!G458&lt;&gt;"", 0, Klantgegevens_A!H458)</f>
        <v/>
      </c>
      <c r="H459">
        <f>IF(Klantgegevens_B!H458&lt;&gt;"", Klantgegevens_B!H458, Klantgegevens_A!I458)</f>
        <v/>
      </c>
      <c r="I459">
        <f>IF(Klantgegevens_B!I458&lt;&gt;"", Klantgegevens_B!I458, SWITCH(Klantgegevens_A!J458, "Zelden", 1, "Af en toe", 4, "Regelmatig", 8, "Vaak", 12))</f>
        <v/>
      </c>
      <c r="J459">
        <f>IF(Klantgegevens_B!J458&lt;&gt;"", Klantgegevens_B!J458, Klantgegevens_A!K458)</f>
        <v/>
      </c>
      <c r="K459">
        <f>IF(Klantgegevens_B!K458&lt;&gt;"", AVERAGE(--(Klantgegevens_B!K458="ja"), --(Klantgegevens_B!L458="ja"), --(Klantgegevens_B!M458="ja"), --(Klantgegevens_B!N458="ja"), --(Klantgegevens_B!O458="ja"))*10, Klantgegevens_A!L458)</f>
        <v/>
      </c>
      <c r="L459">
        <f>IF(Klantgegevens_B!K458&lt;&gt;"", Klantgegevens_B!K458, IF(Klantgegevens_A!L458&gt;=7, "ja", "nee"))</f>
        <v/>
      </c>
      <c r="M459">
        <f>IF(Klantgegevens_B!L458&lt;&gt;"", Klantgegevens_B!L458, IF(Klantgegevens_A!L458&gt;=7, "ja", "nee"))</f>
        <v/>
      </c>
      <c r="N459">
        <f>IF(Klantgegevens_B!M458&lt;&gt;"", Klantgegevens_B!M458, IF(Klantgegevens_A!L458&gt;=7, "ja", "nee"))</f>
        <v/>
      </c>
      <c r="O459">
        <f>IF(Klantgegevens_B!N458&lt;&gt;"", Klantgegevens_B!N458, IF(Klantgegevens_A!L458&gt;=7, "ja", "nee"))</f>
        <v/>
      </c>
      <c r="P459">
        <f>IF(Klantgegevens_B!O458&lt;&gt;"", Klantgegevens_B!O458, IF(Klantgegevens_A!L458&gt;=7, "ja", "nee"))</f>
        <v/>
      </c>
      <c r="Q459">
        <f>IF(Klantgegevens_B!P458&lt;&gt;"", Klantgegevens_B!P458, Klantgegevens_A!M458)</f>
        <v/>
      </c>
      <c r="R459">
        <f>IF(Klantgegevens_B!A458&lt;&gt;"", "B", "A")</f>
        <v/>
      </c>
    </row>
    <row r="460">
      <c r="A460">
        <f>IF(Klantgegevens_B!A459&lt;&gt;"", Klantgegevens_B!A459, MID(Klantgegevens_A!A459, FIND(",", Klantgegevens_A!A459)+2, LEN(Klantgegevens_A!A459)))</f>
        <v/>
      </c>
      <c r="B460">
        <f>IF(Klantgegevens_B!B459&lt;&gt;"", Klantgegevens_B!B459, LEFT(Klantgegevens_A!A459, FIND(",", Klantgegevens_A!A459)-1))</f>
        <v/>
      </c>
      <c r="C460">
        <f>C459 &amp; ", " &amp; B459</f>
        <v/>
      </c>
      <c r="D460">
        <f>IF(Klantgegevens_B!F459&lt;&gt;"", Klantgegevens_B!F459, Klantgegevens_A!D459 &amp; " " &amp; Klantgegevens_A!E459 &amp; ", " &amp; Klantgegevens_A!F459)</f>
        <v/>
      </c>
      <c r="E460">
        <f>IF(Klantgegevens_B!G459&lt;&gt;"", Klantgegevens_B!G459, TEXTJOIN(",", TRUE, REPT("Volwassene,", Klantgegevens_A!G459), REPT("Kind,", Klantgegevens_A!H459)))</f>
        <v/>
      </c>
      <c r="F460">
        <f>IF(Klantgegevens_B!G459&lt;&gt;"", LEN(Klantgegevens_B!G459)-LEN(SUBSTITUTE(Klantgegevens_B!G459, ",", ""))+1, Klantgegevens_A!G459)</f>
        <v/>
      </c>
      <c r="G460">
        <f>IF(Klantgegevens_B!G459&lt;&gt;"", 0, Klantgegevens_A!H459)</f>
        <v/>
      </c>
      <c r="H460">
        <f>IF(Klantgegevens_B!H459&lt;&gt;"", Klantgegevens_B!H459, Klantgegevens_A!I459)</f>
        <v/>
      </c>
      <c r="I460">
        <f>IF(Klantgegevens_B!I459&lt;&gt;"", Klantgegevens_B!I459, SWITCH(Klantgegevens_A!J459, "Zelden", 1, "Af en toe", 4, "Regelmatig", 8, "Vaak", 12))</f>
        <v/>
      </c>
      <c r="J460">
        <f>IF(Klantgegevens_B!J459&lt;&gt;"", Klantgegevens_B!J459, Klantgegevens_A!K459)</f>
        <v/>
      </c>
      <c r="K460">
        <f>IF(Klantgegevens_B!K459&lt;&gt;"", AVERAGE(--(Klantgegevens_B!K459="ja"), --(Klantgegevens_B!L459="ja"), --(Klantgegevens_B!M459="ja"), --(Klantgegevens_B!N459="ja"), --(Klantgegevens_B!O459="ja"))*10, Klantgegevens_A!L459)</f>
        <v/>
      </c>
      <c r="L460">
        <f>IF(Klantgegevens_B!K459&lt;&gt;"", Klantgegevens_B!K459, IF(Klantgegevens_A!L459&gt;=7, "ja", "nee"))</f>
        <v/>
      </c>
      <c r="M460">
        <f>IF(Klantgegevens_B!L459&lt;&gt;"", Klantgegevens_B!L459, IF(Klantgegevens_A!L459&gt;=7, "ja", "nee"))</f>
        <v/>
      </c>
      <c r="N460">
        <f>IF(Klantgegevens_B!M459&lt;&gt;"", Klantgegevens_B!M459, IF(Klantgegevens_A!L459&gt;=7, "ja", "nee"))</f>
        <v/>
      </c>
      <c r="O460">
        <f>IF(Klantgegevens_B!N459&lt;&gt;"", Klantgegevens_B!N459, IF(Klantgegevens_A!L459&gt;=7, "ja", "nee"))</f>
        <v/>
      </c>
      <c r="P460">
        <f>IF(Klantgegevens_B!O459&lt;&gt;"", Klantgegevens_B!O459, IF(Klantgegevens_A!L459&gt;=7, "ja", "nee"))</f>
        <v/>
      </c>
      <c r="Q460">
        <f>IF(Klantgegevens_B!P459&lt;&gt;"", Klantgegevens_B!P459, Klantgegevens_A!M459)</f>
        <v/>
      </c>
      <c r="R460">
        <f>IF(Klantgegevens_B!A459&lt;&gt;"", "B", "A")</f>
        <v/>
      </c>
    </row>
    <row r="461">
      <c r="A461">
        <f>IF(Klantgegevens_B!A460&lt;&gt;"", Klantgegevens_B!A460, MID(Klantgegevens_A!A460, FIND(",", Klantgegevens_A!A460)+2, LEN(Klantgegevens_A!A460)))</f>
        <v/>
      </c>
      <c r="B461">
        <f>IF(Klantgegevens_B!B460&lt;&gt;"", Klantgegevens_B!B460, LEFT(Klantgegevens_A!A460, FIND(",", Klantgegevens_A!A460)-1))</f>
        <v/>
      </c>
      <c r="C461">
        <f>C460 &amp; ", " &amp; B460</f>
        <v/>
      </c>
      <c r="D461">
        <f>IF(Klantgegevens_B!F460&lt;&gt;"", Klantgegevens_B!F460, Klantgegevens_A!D460 &amp; " " &amp; Klantgegevens_A!E460 &amp; ", " &amp; Klantgegevens_A!F460)</f>
        <v/>
      </c>
      <c r="E461">
        <f>IF(Klantgegevens_B!G460&lt;&gt;"", Klantgegevens_B!G460, TEXTJOIN(",", TRUE, REPT("Volwassene,", Klantgegevens_A!G460), REPT("Kind,", Klantgegevens_A!H460)))</f>
        <v/>
      </c>
      <c r="F461">
        <f>IF(Klantgegevens_B!G460&lt;&gt;"", LEN(Klantgegevens_B!G460)-LEN(SUBSTITUTE(Klantgegevens_B!G460, ",", ""))+1, Klantgegevens_A!G460)</f>
        <v/>
      </c>
      <c r="G461">
        <f>IF(Klantgegevens_B!G460&lt;&gt;"", 0, Klantgegevens_A!H460)</f>
        <v/>
      </c>
      <c r="H461">
        <f>IF(Klantgegevens_B!H460&lt;&gt;"", Klantgegevens_B!H460, Klantgegevens_A!I460)</f>
        <v/>
      </c>
      <c r="I461">
        <f>IF(Klantgegevens_B!I460&lt;&gt;"", Klantgegevens_B!I460, SWITCH(Klantgegevens_A!J460, "Zelden", 1, "Af en toe", 4, "Regelmatig", 8, "Vaak", 12))</f>
        <v/>
      </c>
      <c r="J461">
        <f>IF(Klantgegevens_B!J460&lt;&gt;"", Klantgegevens_B!J460, Klantgegevens_A!K460)</f>
        <v/>
      </c>
      <c r="K461">
        <f>IF(Klantgegevens_B!K460&lt;&gt;"", AVERAGE(--(Klantgegevens_B!K460="ja"), --(Klantgegevens_B!L460="ja"), --(Klantgegevens_B!M460="ja"), --(Klantgegevens_B!N460="ja"), --(Klantgegevens_B!O460="ja"))*10, Klantgegevens_A!L460)</f>
        <v/>
      </c>
      <c r="L461">
        <f>IF(Klantgegevens_B!K460&lt;&gt;"", Klantgegevens_B!K460, IF(Klantgegevens_A!L460&gt;=7, "ja", "nee"))</f>
        <v/>
      </c>
      <c r="M461">
        <f>IF(Klantgegevens_B!L460&lt;&gt;"", Klantgegevens_B!L460, IF(Klantgegevens_A!L460&gt;=7, "ja", "nee"))</f>
        <v/>
      </c>
      <c r="N461">
        <f>IF(Klantgegevens_B!M460&lt;&gt;"", Klantgegevens_B!M460, IF(Klantgegevens_A!L460&gt;=7, "ja", "nee"))</f>
        <v/>
      </c>
      <c r="O461">
        <f>IF(Klantgegevens_B!N460&lt;&gt;"", Klantgegevens_B!N460, IF(Klantgegevens_A!L460&gt;=7, "ja", "nee"))</f>
        <v/>
      </c>
      <c r="P461">
        <f>IF(Klantgegevens_B!O460&lt;&gt;"", Klantgegevens_B!O460, IF(Klantgegevens_A!L460&gt;=7, "ja", "nee"))</f>
        <v/>
      </c>
      <c r="Q461">
        <f>IF(Klantgegevens_B!P460&lt;&gt;"", Klantgegevens_B!P460, Klantgegevens_A!M460)</f>
        <v/>
      </c>
      <c r="R461">
        <f>IF(Klantgegevens_B!A460&lt;&gt;"", "B", "A")</f>
        <v/>
      </c>
    </row>
    <row r="462">
      <c r="A462">
        <f>IF(Klantgegevens_B!A461&lt;&gt;"", Klantgegevens_B!A461, MID(Klantgegevens_A!A461, FIND(",", Klantgegevens_A!A461)+2, LEN(Klantgegevens_A!A461)))</f>
        <v/>
      </c>
      <c r="B462">
        <f>IF(Klantgegevens_B!B461&lt;&gt;"", Klantgegevens_B!B461, LEFT(Klantgegevens_A!A461, FIND(",", Klantgegevens_A!A461)-1))</f>
        <v/>
      </c>
      <c r="C462">
        <f>C461 &amp; ", " &amp; B461</f>
        <v/>
      </c>
      <c r="D462">
        <f>IF(Klantgegevens_B!F461&lt;&gt;"", Klantgegevens_B!F461, Klantgegevens_A!D461 &amp; " " &amp; Klantgegevens_A!E461 &amp; ", " &amp; Klantgegevens_A!F461)</f>
        <v/>
      </c>
      <c r="E462">
        <f>IF(Klantgegevens_B!G461&lt;&gt;"", Klantgegevens_B!G461, TEXTJOIN(",", TRUE, REPT("Volwassene,", Klantgegevens_A!G461), REPT("Kind,", Klantgegevens_A!H461)))</f>
        <v/>
      </c>
      <c r="F462">
        <f>IF(Klantgegevens_B!G461&lt;&gt;"", LEN(Klantgegevens_B!G461)-LEN(SUBSTITUTE(Klantgegevens_B!G461, ",", ""))+1, Klantgegevens_A!G461)</f>
        <v/>
      </c>
      <c r="G462">
        <f>IF(Klantgegevens_B!G461&lt;&gt;"", 0, Klantgegevens_A!H461)</f>
        <v/>
      </c>
      <c r="H462">
        <f>IF(Klantgegevens_B!H461&lt;&gt;"", Klantgegevens_B!H461, Klantgegevens_A!I461)</f>
        <v/>
      </c>
      <c r="I462">
        <f>IF(Klantgegevens_B!I461&lt;&gt;"", Klantgegevens_B!I461, SWITCH(Klantgegevens_A!J461, "Zelden", 1, "Af en toe", 4, "Regelmatig", 8, "Vaak", 12))</f>
        <v/>
      </c>
      <c r="J462">
        <f>IF(Klantgegevens_B!J461&lt;&gt;"", Klantgegevens_B!J461, Klantgegevens_A!K461)</f>
        <v/>
      </c>
      <c r="K462">
        <f>IF(Klantgegevens_B!K461&lt;&gt;"", AVERAGE(--(Klantgegevens_B!K461="ja"), --(Klantgegevens_B!L461="ja"), --(Klantgegevens_B!M461="ja"), --(Klantgegevens_B!N461="ja"), --(Klantgegevens_B!O461="ja"))*10, Klantgegevens_A!L461)</f>
        <v/>
      </c>
      <c r="L462">
        <f>IF(Klantgegevens_B!K461&lt;&gt;"", Klantgegevens_B!K461, IF(Klantgegevens_A!L461&gt;=7, "ja", "nee"))</f>
        <v/>
      </c>
      <c r="M462">
        <f>IF(Klantgegevens_B!L461&lt;&gt;"", Klantgegevens_B!L461, IF(Klantgegevens_A!L461&gt;=7, "ja", "nee"))</f>
        <v/>
      </c>
      <c r="N462">
        <f>IF(Klantgegevens_B!M461&lt;&gt;"", Klantgegevens_B!M461, IF(Klantgegevens_A!L461&gt;=7, "ja", "nee"))</f>
        <v/>
      </c>
      <c r="O462">
        <f>IF(Klantgegevens_B!N461&lt;&gt;"", Klantgegevens_B!N461, IF(Klantgegevens_A!L461&gt;=7, "ja", "nee"))</f>
        <v/>
      </c>
      <c r="P462">
        <f>IF(Klantgegevens_B!O461&lt;&gt;"", Klantgegevens_B!O461, IF(Klantgegevens_A!L461&gt;=7, "ja", "nee"))</f>
        <v/>
      </c>
      <c r="Q462">
        <f>IF(Klantgegevens_B!P461&lt;&gt;"", Klantgegevens_B!P461, Klantgegevens_A!M461)</f>
        <v/>
      </c>
      <c r="R462">
        <f>IF(Klantgegevens_B!A461&lt;&gt;"", "B", "A")</f>
        <v/>
      </c>
    </row>
    <row r="463">
      <c r="A463">
        <f>IF(Klantgegevens_B!A462&lt;&gt;"", Klantgegevens_B!A462, MID(Klantgegevens_A!A462, FIND(",", Klantgegevens_A!A462)+2, LEN(Klantgegevens_A!A462)))</f>
        <v/>
      </c>
      <c r="B463">
        <f>IF(Klantgegevens_B!B462&lt;&gt;"", Klantgegevens_B!B462, LEFT(Klantgegevens_A!A462, FIND(",", Klantgegevens_A!A462)-1))</f>
        <v/>
      </c>
      <c r="C463">
        <f>C462 &amp; ", " &amp; B462</f>
        <v/>
      </c>
      <c r="D463">
        <f>IF(Klantgegevens_B!F462&lt;&gt;"", Klantgegevens_B!F462, Klantgegevens_A!D462 &amp; " " &amp; Klantgegevens_A!E462 &amp; ", " &amp; Klantgegevens_A!F462)</f>
        <v/>
      </c>
      <c r="E463">
        <f>IF(Klantgegevens_B!G462&lt;&gt;"", Klantgegevens_B!G462, TEXTJOIN(",", TRUE, REPT("Volwassene,", Klantgegevens_A!G462), REPT("Kind,", Klantgegevens_A!H462)))</f>
        <v/>
      </c>
      <c r="F463">
        <f>IF(Klantgegevens_B!G462&lt;&gt;"", LEN(Klantgegevens_B!G462)-LEN(SUBSTITUTE(Klantgegevens_B!G462, ",", ""))+1, Klantgegevens_A!G462)</f>
        <v/>
      </c>
      <c r="G463">
        <f>IF(Klantgegevens_B!G462&lt;&gt;"", 0, Klantgegevens_A!H462)</f>
        <v/>
      </c>
      <c r="H463">
        <f>IF(Klantgegevens_B!H462&lt;&gt;"", Klantgegevens_B!H462, Klantgegevens_A!I462)</f>
        <v/>
      </c>
      <c r="I463">
        <f>IF(Klantgegevens_B!I462&lt;&gt;"", Klantgegevens_B!I462, SWITCH(Klantgegevens_A!J462, "Zelden", 1, "Af en toe", 4, "Regelmatig", 8, "Vaak", 12))</f>
        <v/>
      </c>
      <c r="J463">
        <f>IF(Klantgegevens_B!J462&lt;&gt;"", Klantgegevens_B!J462, Klantgegevens_A!K462)</f>
        <v/>
      </c>
      <c r="K463">
        <f>IF(Klantgegevens_B!K462&lt;&gt;"", AVERAGE(--(Klantgegevens_B!K462="ja"), --(Klantgegevens_B!L462="ja"), --(Klantgegevens_B!M462="ja"), --(Klantgegevens_B!N462="ja"), --(Klantgegevens_B!O462="ja"))*10, Klantgegevens_A!L462)</f>
        <v/>
      </c>
      <c r="L463">
        <f>IF(Klantgegevens_B!K462&lt;&gt;"", Klantgegevens_B!K462, IF(Klantgegevens_A!L462&gt;=7, "ja", "nee"))</f>
        <v/>
      </c>
      <c r="M463">
        <f>IF(Klantgegevens_B!L462&lt;&gt;"", Klantgegevens_B!L462, IF(Klantgegevens_A!L462&gt;=7, "ja", "nee"))</f>
        <v/>
      </c>
      <c r="N463">
        <f>IF(Klantgegevens_B!M462&lt;&gt;"", Klantgegevens_B!M462, IF(Klantgegevens_A!L462&gt;=7, "ja", "nee"))</f>
        <v/>
      </c>
      <c r="O463">
        <f>IF(Klantgegevens_B!N462&lt;&gt;"", Klantgegevens_B!N462, IF(Klantgegevens_A!L462&gt;=7, "ja", "nee"))</f>
        <v/>
      </c>
      <c r="P463">
        <f>IF(Klantgegevens_B!O462&lt;&gt;"", Klantgegevens_B!O462, IF(Klantgegevens_A!L462&gt;=7, "ja", "nee"))</f>
        <v/>
      </c>
      <c r="Q463">
        <f>IF(Klantgegevens_B!P462&lt;&gt;"", Klantgegevens_B!P462, Klantgegevens_A!M462)</f>
        <v/>
      </c>
      <c r="R463">
        <f>IF(Klantgegevens_B!A462&lt;&gt;"", "B", "A")</f>
        <v/>
      </c>
    </row>
    <row r="464">
      <c r="A464">
        <f>IF(Klantgegevens_B!A463&lt;&gt;"", Klantgegevens_B!A463, MID(Klantgegevens_A!A463, FIND(",", Klantgegevens_A!A463)+2, LEN(Klantgegevens_A!A463)))</f>
        <v/>
      </c>
      <c r="B464">
        <f>IF(Klantgegevens_B!B463&lt;&gt;"", Klantgegevens_B!B463, LEFT(Klantgegevens_A!A463, FIND(",", Klantgegevens_A!A463)-1))</f>
        <v/>
      </c>
      <c r="C464">
        <f>C463 &amp; ", " &amp; B463</f>
        <v/>
      </c>
      <c r="D464">
        <f>IF(Klantgegevens_B!F463&lt;&gt;"", Klantgegevens_B!F463, Klantgegevens_A!D463 &amp; " " &amp; Klantgegevens_A!E463 &amp; ", " &amp; Klantgegevens_A!F463)</f>
        <v/>
      </c>
      <c r="E464">
        <f>IF(Klantgegevens_B!G463&lt;&gt;"", Klantgegevens_B!G463, TEXTJOIN(",", TRUE, REPT("Volwassene,", Klantgegevens_A!G463), REPT("Kind,", Klantgegevens_A!H463)))</f>
        <v/>
      </c>
      <c r="F464">
        <f>IF(Klantgegevens_B!G463&lt;&gt;"", LEN(Klantgegevens_B!G463)-LEN(SUBSTITUTE(Klantgegevens_B!G463, ",", ""))+1, Klantgegevens_A!G463)</f>
        <v/>
      </c>
      <c r="G464">
        <f>IF(Klantgegevens_B!G463&lt;&gt;"", 0, Klantgegevens_A!H463)</f>
        <v/>
      </c>
      <c r="H464">
        <f>IF(Klantgegevens_B!H463&lt;&gt;"", Klantgegevens_B!H463, Klantgegevens_A!I463)</f>
        <v/>
      </c>
      <c r="I464">
        <f>IF(Klantgegevens_B!I463&lt;&gt;"", Klantgegevens_B!I463, SWITCH(Klantgegevens_A!J463, "Zelden", 1, "Af en toe", 4, "Regelmatig", 8, "Vaak", 12))</f>
        <v/>
      </c>
      <c r="J464">
        <f>IF(Klantgegevens_B!J463&lt;&gt;"", Klantgegevens_B!J463, Klantgegevens_A!K463)</f>
        <v/>
      </c>
      <c r="K464">
        <f>IF(Klantgegevens_B!K463&lt;&gt;"", AVERAGE(--(Klantgegevens_B!K463="ja"), --(Klantgegevens_B!L463="ja"), --(Klantgegevens_B!M463="ja"), --(Klantgegevens_B!N463="ja"), --(Klantgegevens_B!O463="ja"))*10, Klantgegevens_A!L463)</f>
        <v/>
      </c>
      <c r="L464">
        <f>IF(Klantgegevens_B!K463&lt;&gt;"", Klantgegevens_B!K463, IF(Klantgegevens_A!L463&gt;=7, "ja", "nee"))</f>
        <v/>
      </c>
      <c r="M464">
        <f>IF(Klantgegevens_B!L463&lt;&gt;"", Klantgegevens_B!L463, IF(Klantgegevens_A!L463&gt;=7, "ja", "nee"))</f>
        <v/>
      </c>
      <c r="N464">
        <f>IF(Klantgegevens_B!M463&lt;&gt;"", Klantgegevens_B!M463, IF(Klantgegevens_A!L463&gt;=7, "ja", "nee"))</f>
        <v/>
      </c>
      <c r="O464">
        <f>IF(Klantgegevens_B!N463&lt;&gt;"", Klantgegevens_B!N463, IF(Klantgegevens_A!L463&gt;=7, "ja", "nee"))</f>
        <v/>
      </c>
      <c r="P464">
        <f>IF(Klantgegevens_B!O463&lt;&gt;"", Klantgegevens_B!O463, IF(Klantgegevens_A!L463&gt;=7, "ja", "nee"))</f>
        <v/>
      </c>
      <c r="Q464">
        <f>IF(Klantgegevens_B!P463&lt;&gt;"", Klantgegevens_B!P463, Klantgegevens_A!M463)</f>
        <v/>
      </c>
      <c r="R464">
        <f>IF(Klantgegevens_B!A463&lt;&gt;"", "B", "A")</f>
        <v/>
      </c>
    </row>
    <row r="465">
      <c r="A465">
        <f>IF(Klantgegevens_B!A464&lt;&gt;"", Klantgegevens_B!A464, MID(Klantgegevens_A!A464, FIND(",", Klantgegevens_A!A464)+2, LEN(Klantgegevens_A!A464)))</f>
        <v/>
      </c>
      <c r="B465">
        <f>IF(Klantgegevens_B!B464&lt;&gt;"", Klantgegevens_B!B464, LEFT(Klantgegevens_A!A464, FIND(",", Klantgegevens_A!A464)-1))</f>
        <v/>
      </c>
      <c r="C465">
        <f>C464 &amp; ", " &amp; B464</f>
        <v/>
      </c>
      <c r="D465">
        <f>IF(Klantgegevens_B!F464&lt;&gt;"", Klantgegevens_B!F464, Klantgegevens_A!D464 &amp; " " &amp; Klantgegevens_A!E464 &amp; ", " &amp; Klantgegevens_A!F464)</f>
        <v/>
      </c>
      <c r="E465">
        <f>IF(Klantgegevens_B!G464&lt;&gt;"", Klantgegevens_B!G464, TEXTJOIN(",", TRUE, REPT("Volwassene,", Klantgegevens_A!G464), REPT("Kind,", Klantgegevens_A!H464)))</f>
        <v/>
      </c>
      <c r="F465">
        <f>IF(Klantgegevens_B!G464&lt;&gt;"", LEN(Klantgegevens_B!G464)-LEN(SUBSTITUTE(Klantgegevens_B!G464, ",", ""))+1, Klantgegevens_A!G464)</f>
        <v/>
      </c>
      <c r="G465">
        <f>IF(Klantgegevens_B!G464&lt;&gt;"", 0, Klantgegevens_A!H464)</f>
        <v/>
      </c>
      <c r="H465">
        <f>IF(Klantgegevens_B!H464&lt;&gt;"", Klantgegevens_B!H464, Klantgegevens_A!I464)</f>
        <v/>
      </c>
      <c r="I465">
        <f>IF(Klantgegevens_B!I464&lt;&gt;"", Klantgegevens_B!I464, SWITCH(Klantgegevens_A!J464, "Zelden", 1, "Af en toe", 4, "Regelmatig", 8, "Vaak", 12))</f>
        <v/>
      </c>
      <c r="J465">
        <f>IF(Klantgegevens_B!J464&lt;&gt;"", Klantgegevens_B!J464, Klantgegevens_A!K464)</f>
        <v/>
      </c>
      <c r="K465">
        <f>IF(Klantgegevens_B!K464&lt;&gt;"", AVERAGE(--(Klantgegevens_B!K464="ja"), --(Klantgegevens_B!L464="ja"), --(Klantgegevens_B!M464="ja"), --(Klantgegevens_B!N464="ja"), --(Klantgegevens_B!O464="ja"))*10, Klantgegevens_A!L464)</f>
        <v/>
      </c>
      <c r="L465">
        <f>IF(Klantgegevens_B!K464&lt;&gt;"", Klantgegevens_B!K464, IF(Klantgegevens_A!L464&gt;=7, "ja", "nee"))</f>
        <v/>
      </c>
      <c r="M465">
        <f>IF(Klantgegevens_B!L464&lt;&gt;"", Klantgegevens_B!L464, IF(Klantgegevens_A!L464&gt;=7, "ja", "nee"))</f>
        <v/>
      </c>
      <c r="N465">
        <f>IF(Klantgegevens_B!M464&lt;&gt;"", Klantgegevens_B!M464, IF(Klantgegevens_A!L464&gt;=7, "ja", "nee"))</f>
        <v/>
      </c>
      <c r="O465">
        <f>IF(Klantgegevens_B!N464&lt;&gt;"", Klantgegevens_B!N464, IF(Klantgegevens_A!L464&gt;=7, "ja", "nee"))</f>
        <v/>
      </c>
      <c r="P465">
        <f>IF(Klantgegevens_B!O464&lt;&gt;"", Klantgegevens_B!O464, IF(Klantgegevens_A!L464&gt;=7, "ja", "nee"))</f>
        <v/>
      </c>
      <c r="Q465">
        <f>IF(Klantgegevens_B!P464&lt;&gt;"", Klantgegevens_B!P464, Klantgegevens_A!M464)</f>
        <v/>
      </c>
      <c r="R465">
        <f>IF(Klantgegevens_B!A464&lt;&gt;"", "B", "A")</f>
        <v/>
      </c>
    </row>
    <row r="466">
      <c r="A466">
        <f>IF(Klantgegevens_B!A465&lt;&gt;"", Klantgegevens_B!A465, MID(Klantgegevens_A!A465, FIND(",", Klantgegevens_A!A465)+2, LEN(Klantgegevens_A!A465)))</f>
        <v/>
      </c>
      <c r="B466">
        <f>IF(Klantgegevens_B!B465&lt;&gt;"", Klantgegevens_B!B465, LEFT(Klantgegevens_A!A465, FIND(",", Klantgegevens_A!A465)-1))</f>
        <v/>
      </c>
      <c r="C466">
        <f>C465 &amp; ", " &amp; B465</f>
        <v/>
      </c>
      <c r="D466">
        <f>IF(Klantgegevens_B!F465&lt;&gt;"", Klantgegevens_B!F465, Klantgegevens_A!D465 &amp; " " &amp; Klantgegevens_A!E465 &amp; ", " &amp; Klantgegevens_A!F465)</f>
        <v/>
      </c>
      <c r="E466">
        <f>IF(Klantgegevens_B!G465&lt;&gt;"", Klantgegevens_B!G465, TEXTJOIN(",", TRUE, REPT("Volwassene,", Klantgegevens_A!G465), REPT("Kind,", Klantgegevens_A!H465)))</f>
        <v/>
      </c>
      <c r="F466">
        <f>IF(Klantgegevens_B!G465&lt;&gt;"", LEN(Klantgegevens_B!G465)-LEN(SUBSTITUTE(Klantgegevens_B!G465, ",", ""))+1, Klantgegevens_A!G465)</f>
        <v/>
      </c>
      <c r="G466">
        <f>IF(Klantgegevens_B!G465&lt;&gt;"", 0, Klantgegevens_A!H465)</f>
        <v/>
      </c>
      <c r="H466">
        <f>IF(Klantgegevens_B!H465&lt;&gt;"", Klantgegevens_B!H465, Klantgegevens_A!I465)</f>
        <v/>
      </c>
      <c r="I466">
        <f>IF(Klantgegevens_B!I465&lt;&gt;"", Klantgegevens_B!I465, SWITCH(Klantgegevens_A!J465, "Zelden", 1, "Af en toe", 4, "Regelmatig", 8, "Vaak", 12))</f>
        <v/>
      </c>
      <c r="J466">
        <f>IF(Klantgegevens_B!J465&lt;&gt;"", Klantgegevens_B!J465, Klantgegevens_A!K465)</f>
        <v/>
      </c>
      <c r="K466">
        <f>IF(Klantgegevens_B!K465&lt;&gt;"", AVERAGE(--(Klantgegevens_B!K465="ja"), --(Klantgegevens_B!L465="ja"), --(Klantgegevens_B!M465="ja"), --(Klantgegevens_B!N465="ja"), --(Klantgegevens_B!O465="ja"))*10, Klantgegevens_A!L465)</f>
        <v/>
      </c>
      <c r="L466">
        <f>IF(Klantgegevens_B!K465&lt;&gt;"", Klantgegevens_B!K465, IF(Klantgegevens_A!L465&gt;=7, "ja", "nee"))</f>
        <v/>
      </c>
      <c r="M466">
        <f>IF(Klantgegevens_B!L465&lt;&gt;"", Klantgegevens_B!L465, IF(Klantgegevens_A!L465&gt;=7, "ja", "nee"))</f>
        <v/>
      </c>
      <c r="N466">
        <f>IF(Klantgegevens_B!M465&lt;&gt;"", Klantgegevens_B!M465, IF(Klantgegevens_A!L465&gt;=7, "ja", "nee"))</f>
        <v/>
      </c>
      <c r="O466">
        <f>IF(Klantgegevens_B!N465&lt;&gt;"", Klantgegevens_B!N465, IF(Klantgegevens_A!L465&gt;=7, "ja", "nee"))</f>
        <v/>
      </c>
      <c r="P466">
        <f>IF(Klantgegevens_B!O465&lt;&gt;"", Klantgegevens_B!O465, IF(Klantgegevens_A!L465&gt;=7, "ja", "nee"))</f>
        <v/>
      </c>
      <c r="Q466">
        <f>IF(Klantgegevens_B!P465&lt;&gt;"", Klantgegevens_B!P465, Klantgegevens_A!M465)</f>
        <v/>
      </c>
      <c r="R466">
        <f>IF(Klantgegevens_B!A465&lt;&gt;"", "B", "A")</f>
        <v/>
      </c>
    </row>
    <row r="467">
      <c r="A467">
        <f>IF(Klantgegevens_B!A466&lt;&gt;"", Klantgegevens_B!A466, MID(Klantgegevens_A!A466, FIND(",", Klantgegevens_A!A466)+2, LEN(Klantgegevens_A!A466)))</f>
        <v/>
      </c>
      <c r="B467">
        <f>IF(Klantgegevens_B!B466&lt;&gt;"", Klantgegevens_B!B466, LEFT(Klantgegevens_A!A466, FIND(",", Klantgegevens_A!A466)-1))</f>
        <v/>
      </c>
      <c r="C467">
        <f>C466 &amp; ", " &amp; B466</f>
        <v/>
      </c>
      <c r="D467">
        <f>IF(Klantgegevens_B!F466&lt;&gt;"", Klantgegevens_B!F466, Klantgegevens_A!D466 &amp; " " &amp; Klantgegevens_A!E466 &amp; ", " &amp; Klantgegevens_A!F466)</f>
        <v/>
      </c>
      <c r="E467">
        <f>IF(Klantgegevens_B!G466&lt;&gt;"", Klantgegevens_B!G466, TEXTJOIN(",", TRUE, REPT("Volwassene,", Klantgegevens_A!G466), REPT("Kind,", Klantgegevens_A!H466)))</f>
        <v/>
      </c>
      <c r="F467">
        <f>IF(Klantgegevens_B!G466&lt;&gt;"", LEN(Klantgegevens_B!G466)-LEN(SUBSTITUTE(Klantgegevens_B!G466, ",", ""))+1, Klantgegevens_A!G466)</f>
        <v/>
      </c>
      <c r="G467">
        <f>IF(Klantgegevens_B!G466&lt;&gt;"", 0, Klantgegevens_A!H466)</f>
        <v/>
      </c>
      <c r="H467">
        <f>IF(Klantgegevens_B!H466&lt;&gt;"", Klantgegevens_B!H466, Klantgegevens_A!I466)</f>
        <v/>
      </c>
      <c r="I467">
        <f>IF(Klantgegevens_B!I466&lt;&gt;"", Klantgegevens_B!I466, SWITCH(Klantgegevens_A!J466, "Zelden", 1, "Af en toe", 4, "Regelmatig", 8, "Vaak", 12))</f>
        <v/>
      </c>
      <c r="J467">
        <f>IF(Klantgegevens_B!J466&lt;&gt;"", Klantgegevens_B!J466, Klantgegevens_A!K466)</f>
        <v/>
      </c>
      <c r="K467">
        <f>IF(Klantgegevens_B!K466&lt;&gt;"", AVERAGE(--(Klantgegevens_B!K466="ja"), --(Klantgegevens_B!L466="ja"), --(Klantgegevens_B!M466="ja"), --(Klantgegevens_B!N466="ja"), --(Klantgegevens_B!O466="ja"))*10, Klantgegevens_A!L466)</f>
        <v/>
      </c>
      <c r="L467">
        <f>IF(Klantgegevens_B!K466&lt;&gt;"", Klantgegevens_B!K466, IF(Klantgegevens_A!L466&gt;=7, "ja", "nee"))</f>
        <v/>
      </c>
      <c r="M467">
        <f>IF(Klantgegevens_B!L466&lt;&gt;"", Klantgegevens_B!L466, IF(Klantgegevens_A!L466&gt;=7, "ja", "nee"))</f>
        <v/>
      </c>
      <c r="N467">
        <f>IF(Klantgegevens_B!M466&lt;&gt;"", Klantgegevens_B!M466, IF(Klantgegevens_A!L466&gt;=7, "ja", "nee"))</f>
        <v/>
      </c>
      <c r="O467">
        <f>IF(Klantgegevens_B!N466&lt;&gt;"", Klantgegevens_B!N466, IF(Klantgegevens_A!L466&gt;=7, "ja", "nee"))</f>
        <v/>
      </c>
      <c r="P467">
        <f>IF(Klantgegevens_B!O466&lt;&gt;"", Klantgegevens_B!O466, IF(Klantgegevens_A!L466&gt;=7, "ja", "nee"))</f>
        <v/>
      </c>
      <c r="Q467">
        <f>IF(Klantgegevens_B!P466&lt;&gt;"", Klantgegevens_B!P466, Klantgegevens_A!M466)</f>
        <v/>
      </c>
      <c r="R467">
        <f>IF(Klantgegevens_B!A466&lt;&gt;"", "B", "A")</f>
        <v/>
      </c>
    </row>
    <row r="468">
      <c r="A468">
        <f>IF(Klantgegevens_B!A467&lt;&gt;"", Klantgegevens_B!A467, MID(Klantgegevens_A!A467, FIND(",", Klantgegevens_A!A467)+2, LEN(Klantgegevens_A!A467)))</f>
        <v/>
      </c>
      <c r="B468">
        <f>IF(Klantgegevens_B!B467&lt;&gt;"", Klantgegevens_B!B467, LEFT(Klantgegevens_A!A467, FIND(",", Klantgegevens_A!A467)-1))</f>
        <v/>
      </c>
      <c r="C468">
        <f>C467 &amp; ", " &amp; B467</f>
        <v/>
      </c>
      <c r="D468">
        <f>IF(Klantgegevens_B!F467&lt;&gt;"", Klantgegevens_B!F467, Klantgegevens_A!D467 &amp; " " &amp; Klantgegevens_A!E467 &amp; ", " &amp; Klantgegevens_A!F467)</f>
        <v/>
      </c>
      <c r="E468">
        <f>IF(Klantgegevens_B!G467&lt;&gt;"", Klantgegevens_B!G467, TEXTJOIN(",", TRUE, REPT("Volwassene,", Klantgegevens_A!G467), REPT("Kind,", Klantgegevens_A!H467)))</f>
        <v/>
      </c>
      <c r="F468">
        <f>IF(Klantgegevens_B!G467&lt;&gt;"", LEN(Klantgegevens_B!G467)-LEN(SUBSTITUTE(Klantgegevens_B!G467, ",", ""))+1, Klantgegevens_A!G467)</f>
        <v/>
      </c>
      <c r="G468">
        <f>IF(Klantgegevens_B!G467&lt;&gt;"", 0, Klantgegevens_A!H467)</f>
        <v/>
      </c>
      <c r="H468">
        <f>IF(Klantgegevens_B!H467&lt;&gt;"", Klantgegevens_B!H467, Klantgegevens_A!I467)</f>
        <v/>
      </c>
      <c r="I468">
        <f>IF(Klantgegevens_B!I467&lt;&gt;"", Klantgegevens_B!I467, SWITCH(Klantgegevens_A!J467, "Zelden", 1, "Af en toe", 4, "Regelmatig", 8, "Vaak", 12))</f>
        <v/>
      </c>
      <c r="J468">
        <f>IF(Klantgegevens_B!J467&lt;&gt;"", Klantgegevens_B!J467, Klantgegevens_A!K467)</f>
        <v/>
      </c>
      <c r="K468">
        <f>IF(Klantgegevens_B!K467&lt;&gt;"", AVERAGE(--(Klantgegevens_B!K467="ja"), --(Klantgegevens_B!L467="ja"), --(Klantgegevens_B!M467="ja"), --(Klantgegevens_B!N467="ja"), --(Klantgegevens_B!O467="ja"))*10, Klantgegevens_A!L467)</f>
        <v/>
      </c>
      <c r="L468">
        <f>IF(Klantgegevens_B!K467&lt;&gt;"", Klantgegevens_B!K467, IF(Klantgegevens_A!L467&gt;=7, "ja", "nee"))</f>
        <v/>
      </c>
      <c r="M468">
        <f>IF(Klantgegevens_B!L467&lt;&gt;"", Klantgegevens_B!L467, IF(Klantgegevens_A!L467&gt;=7, "ja", "nee"))</f>
        <v/>
      </c>
      <c r="N468">
        <f>IF(Klantgegevens_B!M467&lt;&gt;"", Klantgegevens_B!M467, IF(Klantgegevens_A!L467&gt;=7, "ja", "nee"))</f>
        <v/>
      </c>
      <c r="O468">
        <f>IF(Klantgegevens_B!N467&lt;&gt;"", Klantgegevens_B!N467, IF(Klantgegevens_A!L467&gt;=7, "ja", "nee"))</f>
        <v/>
      </c>
      <c r="P468">
        <f>IF(Klantgegevens_B!O467&lt;&gt;"", Klantgegevens_B!O467, IF(Klantgegevens_A!L467&gt;=7, "ja", "nee"))</f>
        <v/>
      </c>
      <c r="Q468">
        <f>IF(Klantgegevens_B!P467&lt;&gt;"", Klantgegevens_B!P467, Klantgegevens_A!M467)</f>
        <v/>
      </c>
      <c r="R468">
        <f>IF(Klantgegevens_B!A467&lt;&gt;"", "B", "A")</f>
        <v/>
      </c>
    </row>
    <row r="469">
      <c r="A469">
        <f>IF(Klantgegevens_B!A468&lt;&gt;"", Klantgegevens_B!A468, MID(Klantgegevens_A!A468, FIND(",", Klantgegevens_A!A468)+2, LEN(Klantgegevens_A!A468)))</f>
        <v/>
      </c>
      <c r="B469">
        <f>IF(Klantgegevens_B!B468&lt;&gt;"", Klantgegevens_B!B468, LEFT(Klantgegevens_A!A468, FIND(",", Klantgegevens_A!A468)-1))</f>
        <v/>
      </c>
      <c r="C469">
        <f>C468 &amp; ", " &amp; B468</f>
        <v/>
      </c>
      <c r="D469">
        <f>IF(Klantgegevens_B!F468&lt;&gt;"", Klantgegevens_B!F468, Klantgegevens_A!D468 &amp; " " &amp; Klantgegevens_A!E468 &amp; ", " &amp; Klantgegevens_A!F468)</f>
        <v/>
      </c>
      <c r="E469">
        <f>IF(Klantgegevens_B!G468&lt;&gt;"", Klantgegevens_B!G468, TEXTJOIN(",", TRUE, REPT("Volwassene,", Klantgegevens_A!G468), REPT("Kind,", Klantgegevens_A!H468)))</f>
        <v/>
      </c>
      <c r="F469">
        <f>IF(Klantgegevens_B!G468&lt;&gt;"", LEN(Klantgegevens_B!G468)-LEN(SUBSTITUTE(Klantgegevens_B!G468, ",", ""))+1, Klantgegevens_A!G468)</f>
        <v/>
      </c>
      <c r="G469">
        <f>IF(Klantgegevens_B!G468&lt;&gt;"", 0, Klantgegevens_A!H468)</f>
        <v/>
      </c>
      <c r="H469">
        <f>IF(Klantgegevens_B!H468&lt;&gt;"", Klantgegevens_B!H468, Klantgegevens_A!I468)</f>
        <v/>
      </c>
      <c r="I469">
        <f>IF(Klantgegevens_B!I468&lt;&gt;"", Klantgegevens_B!I468, SWITCH(Klantgegevens_A!J468, "Zelden", 1, "Af en toe", 4, "Regelmatig", 8, "Vaak", 12))</f>
        <v/>
      </c>
      <c r="J469">
        <f>IF(Klantgegevens_B!J468&lt;&gt;"", Klantgegevens_B!J468, Klantgegevens_A!K468)</f>
        <v/>
      </c>
      <c r="K469">
        <f>IF(Klantgegevens_B!K468&lt;&gt;"", AVERAGE(--(Klantgegevens_B!K468="ja"), --(Klantgegevens_B!L468="ja"), --(Klantgegevens_B!M468="ja"), --(Klantgegevens_B!N468="ja"), --(Klantgegevens_B!O468="ja"))*10, Klantgegevens_A!L468)</f>
        <v/>
      </c>
      <c r="L469">
        <f>IF(Klantgegevens_B!K468&lt;&gt;"", Klantgegevens_B!K468, IF(Klantgegevens_A!L468&gt;=7, "ja", "nee"))</f>
        <v/>
      </c>
      <c r="M469">
        <f>IF(Klantgegevens_B!L468&lt;&gt;"", Klantgegevens_B!L468, IF(Klantgegevens_A!L468&gt;=7, "ja", "nee"))</f>
        <v/>
      </c>
      <c r="N469">
        <f>IF(Klantgegevens_B!M468&lt;&gt;"", Klantgegevens_B!M468, IF(Klantgegevens_A!L468&gt;=7, "ja", "nee"))</f>
        <v/>
      </c>
      <c r="O469">
        <f>IF(Klantgegevens_B!N468&lt;&gt;"", Klantgegevens_B!N468, IF(Klantgegevens_A!L468&gt;=7, "ja", "nee"))</f>
        <v/>
      </c>
      <c r="P469">
        <f>IF(Klantgegevens_B!O468&lt;&gt;"", Klantgegevens_B!O468, IF(Klantgegevens_A!L468&gt;=7, "ja", "nee"))</f>
        <v/>
      </c>
      <c r="Q469">
        <f>IF(Klantgegevens_B!P468&lt;&gt;"", Klantgegevens_B!P468, Klantgegevens_A!M468)</f>
        <v/>
      </c>
      <c r="R469">
        <f>IF(Klantgegevens_B!A468&lt;&gt;"", "B", "A")</f>
        <v/>
      </c>
    </row>
    <row r="470">
      <c r="A470">
        <f>IF(Klantgegevens_B!A469&lt;&gt;"", Klantgegevens_B!A469, MID(Klantgegevens_A!A469, FIND(",", Klantgegevens_A!A469)+2, LEN(Klantgegevens_A!A469)))</f>
        <v/>
      </c>
      <c r="B470">
        <f>IF(Klantgegevens_B!B469&lt;&gt;"", Klantgegevens_B!B469, LEFT(Klantgegevens_A!A469, FIND(",", Klantgegevens_A!A469)-1))</f>
        <v/>
      </c>
      <c r="C470">
        <f>C469 &amp; ", " &amp; B469</f>
        <v/>
      </c>
      <c r="D470">
        <f>IF(Klantgegevens_B!F469&lt;&gt;"", Klantgegevens_B!F469, Klantgegevens_A!D469 &amp; " " &amp; Klantgegevens_A!E469 &amp; ", " &amp; Klantgegevens_A!F469)</f>
        <v/>
      </c>
      <c r="E470">
        <f>IF(Klantgegevens_B!G469&lt;&gt;"", Klantgegevens_B!G469, TEXTJOIN(",", TRUE, REPT("Volwassene,", Klantgegevens_A!G469), REPT("Kind,", Klantgegevens_A!H469)))</f>
        <v/>
      </c>
      <c r="F470">
        <f>IF(Klantgegevens_B!G469&lt;&gt;"", LEN(Klantgegevens_B!G469)-LEN(SUBSTITUTE(Klantgegevens_B!G469, ",", ""))+1, Klantgegevens_A!G469)</f>
        <v/>
      </c>
      <c r="G470">
        <f>IF(Klantgegevens_B!G469&lt;&gt;"", 0, Klantgegevens_A!H469)</f>
        <v/>
      </c>
      <c r="H470">
        <f>IF(Klantgegevens_B!H469&lt;&gt;"", Klantgegevens_B!H469, Klantgegevens_A!I469)</f>
        <v/>
      </c>
      <c r="I470">
        <f>IF(Klantgegevens_B!I469&lt;&gt;"", Klantgegevens_B!I469, SWITCH(Klantgegevens_A!J469, "Zelden", 1, "Af en toe", 4, "Regelmatig", 8, "Vaak", 12))</f>
        <v/>
      </c>
      <c r="J470">
        <f>IF(Klantgegevens_B!J469&lt;&gt;"", Klantgegevens_B!J469, Klantgegevens_A!K469)</f>
        <v/>
      </c>
      <c r="K470">
        <f>IF(Klantgegevens_B!K469&lt;&gt;"", AVERAGE(--(Klantgegevens_B!K469="ja"), --(Klantgegevens_B!L469="ja"), --(Klantgegevens_B!M469="ja"), --(Klantgegevens_B!N469="ja"), --(Klantgegevens_B!O469="ja"))*10, Klantgegevens_A!L469)</f>
        <v/>
      </c>
      <c r="L470">
        <f>IF(Klantgegevens_B!K469&lt;&gt;"", Klantgegevens_B!K469, IF(Klantgegevens_A!L469&gt;=7, "ja", "nee"))</f>
        <v/>
      </c>
      <c r="M470">
        <f>IF(Klantgegevens_B!L469&lt;&gt;"", Klantgegevens_B!L469, IF(Klantgegevens_A!L469&gt;=7, "ja", "nee"))</f>
        <v/>
      </c>
      <c r="N470">
        <f>IF(Klantgegevens_B!M469&lt;&gt;"", Klantgegevens_B!M469, IF(Klantgegevens_A!L469&gt;=7, "ja", "nee"))</f>
        <v/>
      </c>
      <c r="O470">
        <f>IF(Klantgegevens_B!N469&lt;&gt;"", Klantgegevens_B!N469, IF(Klantgegevens_A!L469&gt;=7, "ja", "nee"))</f>
        <v/>
      </c>
      <c r="P470">
        <f>IF(Klantgegevens_B!O469&lt;&gt;"", Klantgegevens_B!O469, IF(Klantgegevens_A!L469&gt;=7, "ja", "nee"))</f>
        <v/>
      </c>
      <c r="Q470">
        <f>IF(Klantgegevens_B!P469&lt;&gt;"", Klantgegevens_B!P469, Klantgegevens_A!M469)</f>
        <v/>
      </c>
      <c r="R470">
        <f>IF(Klantgegevens_B!A469&lt;&gt;"", "B", "A")</f>
        <v/>
      </c>
    </row>
    <row r="471">
      <c r="A471">
        <f>IF(Klantgegevens_B!A470&lt;&gt;"", Klantgegevens_B!A470, MID(Klantgegevens_A!A470, FIND(",", Klantgegevens_A!A470)+2, LEN(Klantgegevens_A!A470)))</f>
        <v/>
      </c>
      <c r="B471">
        <f>IF(Klantgegevens_B!B470&lt;&gt;"", Klantgegevens_B!B470, LEFT(Klantgegevens_A!A470, FIND(",", Klantgegevens_A!A470)-1))</f>
        <v/>
      </c>
      <c r="C471">
        <f>C470 &amp; ", " &amp; B470</f>
        <v/>
      </c>
      <c r="D471">
        <f>IF(Klantgegevens_B!F470&lt;&gt;"", Klantgegevens_B!F470, Klantgegevens_A!D470 &amp; " " &amp; Klantgegevens_A!E470 &amp; ", " &amp; Klantgegevens_A!F470)</f>
        <v/>
      </c>
      <c r="E471">
        <f>IF(Klantgegevens_B!G470&lt;&gt;"", Klantgegevens_B!G470, TEXTJOIN(",", TRUE, REPT("Volwassene,", Klantgegevens_A!G470), REPT("Kind,", Klantgegevens_A!H470)))</f>
        <v/>
      </c>
      <c r="F471">
        <f>IF(Klantgegevens_B!G470&lt;&gt;"", LEN(Klantgegevens_B!G470)-LEN(SUBSTITUTE(Klantgegevens_B!G470, ",", ""))+1, Klantgegevens_A!G470)</f>
        <v/>
      </c>
      <c r="G471">
        <f>IF(Klantgegevens_B!G470&lt;&gt;"", 0, Klantgegevens_A!H470)</f>
        <v/>
      </c>
      <c r="H471">
        <f>IF(Klantgegevens_B!H470&lt;&gt;"", Klantgegevens_B!H470, Klantgegevens_A!I470)</f>
        <v/>
      </c>
      <c r="I471">
        <f>IF(Klantgegevens_B!I470&lt;&gt;"", Klantgegevens_B!I470, SWITCH(Klantgegevens_A!J470, "Zelden", 1, "Af en toe", 4, "Regelmatig", 8, "Vaak", 12))</f>
        <v/>
      </c>
      <c r="J471">
        <f>IF(Klantgegevens_B!J470&lt;&gt;"", Klantgegevens_B!J470, Klantgegevens_A!K470)</f>
        <v/>
      </c>
      <c r="K471">
        <f>IF(Klantgegevens_B!K470&lt;&gt;"", AVERAGE(--(Klantgegevens_B!K470="ja"), --(Klantgegevens_B!L470="ja"), --(Klantgegevens_B!M470="ja"), --(Klantgegevens_B!N470="ja"), --(Klantgegevens_B!O470="ja"))*10, Klantgegevens_A!L470)</f>
        <v/>
      </c>
      <c r="L471">
        <f>IF(Klantgegevens_B!K470&lt;&gt;"", Klantgegevens_B!K470, IF(Klantgegevens_A!L470&gt;=7, "ja", "nee"))</f>
        <v/>
      </c>
      <c r="M471">
        <f>IF(Klantgegevens_B!L470&lt;&gt;"", Klantgegevens_B!L470, IF(Klantgegevens_A!L470&gt;=7, "ja", "nee"))</f>
        <v/>
      </c>
      <c r="N471">
        <f>IF(Klantgegevens_B!M470&lt;&gt;"", Klantgegevens_B!M470, IF(Klantgegevens_A!L470&gt;=7, "ja", "nee"))</f>
        <v/>
      </c>
      <c r="O471">
        <f>IF(Klantgegevens_B!N470&lt;&gt;"", Klantgegevens_B!N470, IF(Klantgegevens_A!L470&gt;=7, "ja", "nee"))</f>
        <v/>
      </c>
      <c r="P471">
        <f>IF(Klantgegevens_B!O470&lt;&gt;"", Klantgegevens_B!O470, IF(Klantgegevens_A!L470&gt;=7, "ja", "nee"))</f>
        <v/>
      </c>
      <c r="Q471">
        <f>IF(Klantgegevens_B!P470&lt;&gt;"", Klantgegevens_B!P470, Klantgegevens_A!M470)</f>
        <v/>
      </c>
      <c r="R471">
        <f>IF(Klantgegevens_B!A470&lt;&gt;"", "B", "A")</f>
        <v/>
      </c>
    </row>
    <row r="472">
      <c r="A472">
        <f>IF(Klantgegevens_B!A471&lt;&gt;"", Klantgegevens_B!A471, MID(Klantgegevens_A!A471, FIND(",", Klantgegevens_A!A471)+2, LEN(Klantgegevens_A!A471)))</f>
        <v/>
      </c>
      <c r="B472">
        <f>IF(Klantgegevens_B!B471&lt;&gt;"", Klantgegevens_B!B471, LEFT(Klantgegevens_A!A471, FIND(",", Klantgegevens_A!A471)-1))</f>
        <v/>
      </c>
      <c r="C472">
        <f>C471 &amp; ", " &amp; B471</f>
        <v/>
      </c>
      <c r="D472">
        <f>IF(Klantgegevens_B!F471&lt;&gt;"", Klantgegevens_B!F471, Klantgegevens_A!D471 &amp; " " &amp; Klantgegevens_A!E471 &amp; ", " &amp; Klantgegevens_A!F471)</f>
        <v/>
      </c>
      <c r="E472">
        <f>IF(Klantgegevens_B!G471&lt;&gt;"", Klantgegevens_B!G471, TEXTJOIN(",", TRUE, REPT("Volwassene,", Klantgegevens_A!G471), REPT("Kind,", Klantgegevens_A!H471)))</f>
        <v/>
      </c>
      <c r="F472">
        <f>IF(Klantgegevens_B!G471&lt;&gt;"", LEN(Klantgegevens_B!G471)-LEN(SUBSTITUTE(Klantgegevens_B!G471, ",", ""))+1, Klantgegevens_A!G471)</f>
        <v/>
      </c>
      <c r="G472">
        <f>IF(Klantgegevens_B!G471&lt;&gt;"", 0, Klantgegevens_A!H471)</f>
        <v/>
      </c>
      <c r="H472">
        <f>IF(Klantgegevens_B!H471&lt;&gt;"", Klantgegevens_B!H471, Klantgegevens_A!I471)</f>
        <v/>
      </c>
      <c r="I472">
        <f>IF(Klantgegevens_B!I471&lt;&gt;"", Klantgegevens_B!I471, SWITCH(Klantgegevens_A!J471, "Zelden", 1, "Af en toe", 4, "Regelmatig", 8, "Vaak", 12))</f>
        <v/>
      </c>
      <c r="J472">
        <f>IF(Klantgegevens_B!J471&lt;&gt;"", Klantgegevens_B!J471, Klantgegevens_A!K471)</f>
        <v/>
      </c>
      <c r="K472">
        <f>IF(Klantgegevens_B!K471&lt;&gt;"", AVERAGE(--(Klantgegevens_B!K471="ja"), --(Klantgegevens_B!L471="ja"), --(Klantgegevens_B!M471="ja"), --(Klantgegevens_B!N471="ja"), --(Klantgegevens_B!O471="ja"))*10, Klantgegevens_A!L471)</f>
        <v/>
      </c>
      <c r="L472">
        <f>IF(Klantgegevens_B!K471&lt;&gt;"", Klantgegevens_B!K471, IF(Klantgegevens_A!L471&gt;=7, "ja", "nee"))</f>
        <v/>
      </c>
      <c r="M472">
        <f>IF(Klantgegevens_B!L471&lt;&gt;"", Klantgegevens_B!L471, IF(Klantgegevens_A!L471&gt;=7, "ja", "nee"))</f>
        <v/>
      </c>
      <c r="N472">
        <f>IF(Klantgegevens_B!M471&lt;&gt;"", Klantgegevens_B!M471, IF(Klantgegevens_A!L471&gt;=7, "ja", "nee"))</f>
        <v/>
      </c>
      <c r="O472">
        <f>IF(Klantgegevens_B!N471&lt;&gt;"", Klantgegevens_B!N471, IF(Klantgegevens_A!L471&gt;=7, "ja", "nee"))</f>
        <v/>
      </c>
      <c r="P472">
        <f>IF(Klantgegevens_B!O471&lt;&gt;"", Klantgegevens_B!O471, IF(Klantgegevens_A!L471&gt;=7, "ja", "nee"))</f>
        <v/>
      </c>
      <c r="Q472">
        <f>IF(Klantgegevens_B!P471&lt;&gt;"", Klantgegevens_B!P471, Klantgegevens_A!M471)</f>
        <v/>
      </c>
      <c r="R472">
        <f>IF(Klantgegevens_B!A471&lt;&gt;"", "B", "A")</f>
        <v/>
      </c>
    </row>
    <row r="473">
      <c r="A473">
        <f>IF(Klantgegevens_B!A472&lt;&gt;"", Klantgegevens_B!A472, MID(Klantgegevens_A!A472, FIND(",", Klantgegevens_A!A472)+2, LEN(Klantgegevens_A!A472)))</f>
        <v/>
      </c>
      <c r="B473">
        <f>IF(Klantgegevens_B!B472&lt;&gt;"", Klantgegevens_B!B472, LEFT(Klantgegevens_A!A472, FIND(",", Klantgegevens_A!A472)-1))</f>
        <v/>
      </c>
      <c r="C473">
        <f>C472 &amp; ", " &amp; B472</f>
        <v/>
      </c>
      <c r="D473">
        <f>IF(Klantgegevens_B!F472&lt;&gt;"", Klantgegevens_B!F472, Klantgegevens_A!D472 &amp; " " &amp; Klantgegevens_A!E472 &amp; ", " &amp; Klantgegevens_A!F472)</f>
        <v/>
      </c>
      <c r="E473">
        <f>IF(Klantgegevens_B!G472&lt;&gt;"", Klantgegevens_B!G472, TEXTJOIN(",", TRUE, REPT("Volwassene,", Klantgegevens_A!G472), REPT("Kind,", Klantgegevens_A!H472)))</f>
        <v/>
      </c>
      <c r="F473">
        <f>IF(Klantgegevens_B!G472&lt;&gt;"", LEN(Klantgegevens_B!G472)-LEN(SUBSTITUTE(Klantgegevens_B!G472, ",", ""))+1, Klantgegevens_A!G472)</f>
        <v/>
      </c>
      <c r="G473">
        <f>IF(Klantgegevens_B!G472&lt;&gt;"", 0, Klantgegevens_A!H472)</f>
        <v/>
      </c>
      <c r="H473">
        <f>IF(Klantgegevens_B!H472&lt;&gt;"", Klantgegevens_B!H472, Klantgegevens_A!I472)</f>
        <v/>
      </c>
      <c r="I473">
        <f>IF(Klantgegevens_B!I472&lt;&gt;"", Klantgegevens_B!I472, SWITCH(Klantgegevens_A!J472, "Zelden", 1, "Af en toe", 4, "Regelmatig", 8, "Vaak", 12))</f>
        <v/>
      </c>
      <c r="J473">
        <f>IF(Klantgegevens_B!J472&lt;&gt;"", Klantgegevens_B!J472, Klantgegevens_A!K472)</f>
        <v/>
      </c>
      <c r="K473">
        <f>IF(Klantgegevens_B!K472&lt;&gt;"", AVERAGE(--(Klantgegevens_B!K472="ja"), --(Klantgegevens_B!L472="ja"), --(Klantgegevens_B!M472="ja"), --(Klantgegevens_B!N472="ja"), --(Klantgegevens_B!O472="ja"))*10, Klantgegevens_A!L472)</f>
        <v/>
      </c>
      <c r="L473">
        <f>IF(Klantgegevens_B!K472&lt;&gt;"", Klantgegevens_B!K472, IF(Klantgegevens_A!L472&gt;=7, "ja", "nee"))</f>
        <v/>
      </c>
      <c r="M473">
        <f>IF(Klantgegevens_B!L472&lt;&gt;"", Klantgegevens_B!L472, IF(Klantgegevens_A!L472&gt;=7, "ja", "nee"))</f>
        <v/>
      </c>
      <c r="N473">
        <f>IF(Klantgegevens_B!M472&lt;&gt;"", Klantgegevens_B!M472, IF(Klantgegevens_A!L472&gt;=7, "ja", "nee"))</f>
        <v/>
      </c>
      <c r="O473">
        <f>IF(Klantgegevens_B!N472&lt;&gt;"", Klantgegevens_B!N472, IF(Klantgegevens_A!L472&gt;=7, "ja", "nee"))</f>
        <v/>
      </c>
      <c r="P473">
        <f>IF(Klantgegevens_B!O472&lt;&gt;"", Klantgegevens_B!O472, IF(Klantgegevens_A!L472&gt;=7, "ja", "nee"))</f>
        <v/>
      </c>
      <c r="Q473">
        <f>IF(Klantgegevens_B!P472&lt;&gt;"", Klantgegevens_B!P472, Klantgegevens_A!M472)</f>
        <v/>
      </c>
      <c r="R473">
        <f>IF(Klantgegevens_B!A472&lt;&gt;"", "B", "A")</f>
        <v/>
      </c>
    </row>
    <row r="474">
      <c r="A474">
        <f>IF(Klantgegevens_B!A473&lt;&gt;"", Klantgegevens_B!A473, MID(Klantgegevens_A!A473, FIND(",", Klantgegevens_A!A473)+2, LEN(Klantgegevens_A!A473)))</f>
        <v/>
      </c>
      <c r="B474">
        <f>IF(Klantgegevens_B!B473&lt;&gt;"", Klantgegevens_B!B473, LEFT(Klantgegevens_A!A473, FIND(",", Klantgegevens_A!A473)-1))</f>
        <v/>
      </c>
      <c r="C474">
        <f>C473 &amp; ", " &amp; B473</f>
        <v/>
      </c>
      <c r="D474">
        <f>IF(Klantgegevens_B!F473&lt;&gt;"", Klantgegevens_B!F473, Klantgegevens_A!D473 &amp; " " &amp; Klantgegevens_A!E473 &amp; ", " &amp; Klantgegevens_A!F473)</f>
        <v/>
      </c>
      <c r="E474">
        <f>IF(Klantgegevens_B!G473&lt;&gt;"", Klantgegevens_B!G473, TEXTJOIN(",", TRUE, REPT("Volwassene,", Klantgegevens_A!G473), REPT("Kind,", Klantgegevens_A!H473)))</f>
        <v/>
      </c>
      <c r="F474">
        <f>IF(Klantgegevens_B!G473&lt;&gt;"", LEN(Klantgegevens_B!G473)-LEN(SUBSTITUTE(Klantgegevens_B!G473, ",", ""))+1, Klantgegevens_A!G473)</f>
        <v/>
      </c>
      <c r="G474">
        <f>IF(Klantgegevens_B!G473&lt;&gt;"", 0, Klantgegevens_A!H473)</f>
        <v/>
      </c>
      <c r="H474">
        <f>IF(Klantgegevens_B!H473&lt;&gt;"", Klantgegevens_B!H473, Klantgegevens_A!I473)</f>
        <v/>
      </c>
      <c r="I474">
        <f>IF(Klantgegevens_B!I473&lt;&gt;"", Klantgegevens_B!I473, SWITCH(Klantgegevens_A!J473, "Zelden", 1, "Af en toe", 4, "Regelmatig", 8, "Vaak", 12))</f>
        <v/>
      </c>
      <c r="J474">
        <f>IF(Klantgegevens_B!J473&lt;&gt;"", Klantgegevens_B!J473, Klantgegevens_A!K473)</f>
        <v/>
      </c>
      <c r="K474">
        <f>IF(Klantgegevens_B!K473&lt;&gt;"", AVERAGE(--(Klantgegevens_B!K473="ja"), --(Klantgegevens_B!L473="ja"), --(Klantgegevens_B!M473="ja"), --(Klantgegevens_B!N473="ja"), --(Klantgegevens_B!O473="ja"))*10, Klantgegevens_A!L473)</f>
        <v/>
      </c>
      <c r="L474">
        <f>IF(Klantgegevens_B!K473&lt;&gt;"", Klantgegevens_B!K473, IF(Klantgegevens_A!L473&gt;=7, "ja", "nee"))</f>
        <v/>
      </c>
      <c r="M474">
        <f>IF(Klantgegevens_B!L473&lt;&gt;"", Klantgegevens_B!L473, IF(Klantgegevens_A!L473&gt;=7, "ja", "nee"))</f>
        <v/>
      </c>
      <c r="N474">
        <f>IF(Klantgegevens_B!M473&lt;&gt;"", Klantgegevens_B!M473, IF(Klantgegevens_A!L473&gt;=7, "ja", "nee"))</f>
        <v/>
      </c>
      <c r="O474">
        <f>IF(Klantgegevens_B!N473&lt;&gt;"", Klantgegevens_B!N473, IF(Klantgegevens_A!L473&gt;=7, "ja", "nee"))</f>
        <v/>
      </c>
      <c r="P474">
        <f>IF(Klantgegevens_B!O473&lt;&gt;"", Klantgegevens_B!O473, IF(Klantgegevens_A!L473&gt;=7, "ja", "nee"))</f>
        <v/>
      </c>
      <c r="Q474">
        <f>IF(Klantgegevens_B!P473&lt;&gt;"", Klantgegevens_B!P473, Klantgegevens_A!M473)</f>
        <v/>
      </c>
      <c r="R474">
        <f>IF(Klantgegevens_B!A473&lt;&gt;"", "B", "A")</f>
        <v/>
      </c>
    </row>
    <row r="475">
      <c r="A475">
        <f>IF(Klantgegevens_B!A474&lt;&gt;"", Klantgegevens_B!A474, MID(Klantgegevens_A!A474, FIND(",", Klantgegevens_A!A474)+2, LEN(Klantgegevens_A!A474)))</f>
        <v/>
      </c>
      <c r="B475">
        <f>IF(Klantgegevens_B!B474&lt;&gt;"", Klantgegevens_B!B474, LEFT(Klantgegevens_A!A474, FIND(",", Klantgegevens_A!A474)-1))</f>
        <v/>
      </c>
      <c r="C475">
        <f>C474 &amp; ", " &amp; B474</f>
        <v/>
      </c>
      <c r="D475">
        <f>IF(Klantgegevens_B!F474&lt;&gt;"", Klantgegevens_B!F474, Klantgegevens_A!D474 &amp; " " &amp; Klantgegevens_A!E474 &amp; ", " &amp; Klantgegevens_A!F474)</f>
        <v/>
      </c>
      <c r="E475">
        <f>IF(Klantgegevens_B!G474&lt;&gt;"", Klantgegevens_B!G474, TEXTJOIN(",", TRUE, REPT("Volwassene,", Klantgegevens_A!G474), REPT("Kind,", Klantgegevens_A!H474)))</f>
        <v/>
      </c>
      <c r="F475">
        <f>IF(Klantgegevens_B!G474&lt;&gt;"", LEN(Klantgegevens_B!G474)-LEN(SUBSTITUTE(Klantgegevens_B!G474, ",", ""))+1, Klantgegevens_A!G474)</f>
        <v/>
      </c>
      <c r="G475">
        <f>IF(Klantgegevens_B!G474&lt;&gt;"", 0, Klantgegevens_A!H474)</f>
        <v/>
      </c>
      <c r="H475">
        <f>IF(Klantgegevens_B!H474&lt;&gt;"", Klantgegevens_B!H474, Klantgegevens_A!I474)</f>
        <v/>
      </c>
      <c r="I475">
        <f>IF(Klantgegevens_B!I474&lt;&gt;"", Klantgegevens_B!I474, SWITCH(Klantgegevens_A!J474, "Zelden", 1, "Af en toe", 4, "Regelmatig", 8, "Vaak", 12))</f>
        <v/>
      </c>
      <c r="J475">
        <f>IF(Klantgegevens_B!J474&lt;&gt;"", Klantgegevens_B!J474, Klantgegevens_A!K474)</f>
        <v/>
      </c>
      <c r="K475">
        <f>IF(Klantgegevens_B!K474&lt;&gt;"", AVERAGE(--(Klantgegevens_B!K474="ja"), --(Klantgegevens_B!L474="ja"), --(Klantgegevens_B!M474="ja"), --(Klantgegevens_B!N474="ja"), --(Klantgegevens_B!O474="ja"))*10, Klantgegevens_A!L474)</f>
        <v/>
      </c>
      <c r="L475">
        <f>IF(Klantgegevens_B!K474&lt;&gt;"", Klantgegevens_B!K474, IF(Klantgegevens_A!L474&gt;=7, "ja", "nee"))</f>
        <v/>
      </c>
      <c r="M475">
        <f>IF(Klantgegevens_B!L474&lt;&gt;"", Klantgegevens_B!L474, IF(Klantgegevens_A!L474&gt;=7, "ja", "nee"))</f>
        <v/>
      </c>
      <c r="N475">
        <f>IF(Klantgegevens_B!M474&lt;&gt;"", Klantgegevens_B!M474, IF(Klantgegevens_A!L474&gt;=7, "ja", "nee"))</f>
        <v/>
      </c>
      <c r="O475">
        <f>IF(Klantgegevens_B!N474&lt;&gt;"", Klantgegevens_B!N474, IF(Klantgegevens_A!L474&gt;=7, "ja", "nee"))</f>
        <v/>
      </c>
      <c r="P475">
        <f>IF(Klantgegevens_B!O474&lt;&gt;"", Klantgegevens_B!O474, IF(Klantgegevens_A!L474&gt;=7, "ja", "nee"))</f>
        <v/>
      </c>
      <c r="Q475">
        <f>IF(Klantgegevens_B!P474&lt;&gt;"", Klantgegevens_B!P474, Klantgegevens_A!M474)</f>
        <v/>
      </c>
      <c r="R475">
        <f>IF(Klantgegevens_B!A474&lt;&gt;"", "B", "A")</f>
        <v/>
      </c>
    </row>
    <row r="476">
      <c r="A476">
        <f>IF(Klantgegevens_B!A475&lt;&gt;"", Klantgegevens_B!A475, MID(Klantgegevens_A!A475, FIND(",", Klantgegevens_A!A475)+2, LEN(Klantgegevens_A!A475)))</f>
        <v/>
      </c>
      <c r="B476">
        <f>IF(Klantgegevens_B!B475&lt;&gt;"", Klantgegevens_B!B475, LEFT(Klantgegevens_A!A475, FIND(",", Klantgegevens_A!A475)-1))</f>
        <v/>
      </c>
      <c r="C476">
        <f>C475 &amp; ", " &amp; B475</f>
        <v/>
      </c>
      <c r="D476">
        <f>IF(Klantgegevens_B!F475&lt;&gt;"", Klantgegevens_B!F475, Klantgegevens_A!D475 &amp; " " &amp; Klantgegevens_A!E475 &amp; ", " &amp; Klantgegevens_A!F475)</f>
        <v/>
      </c>
      <c r="E476">
        <f>IF(Klantgegevens_B!G475&lt;&gt;"", Klantgegevens_B!G475, TEXTJOIN(",", TRUE, REPT("Volwassene,", Klantgegevens_A!G475), REPT("Kind,", Klantgegevens_A!H475)))</f>
        <v/>
      </c>
      <c r="F476">
        <f>IF(Klantgegevens_B!G475&lt;&gt;"", LEN(Klantgegevens_B!G475)-LEN(SUBSTITUTE(Klantgegevens_B!G475, ",", ""))+1, Klantgegevens_A!G475)</f>
        <v/>
      </c>
      <c r="G476">
        <f>IF(Klantgegevens_B!G475&lt;&gt;"", 0, Klantgegevens_A!H475)</f>
        <v/>
      </c>
      <c r="H476">
        <f>IF(Klantgegevens_B!H475&lt;&gt;"", Klantgegevens_B!H475, Klantgegevens_A!I475)</f>
        <v/>
      </c>
      <c r="I476">
        <f>IF(Klantgegevens_B!I475&lt;&gt;"", Klantgegevens_B!I475, SWITCH(Klantgegevens_A!J475, "Zelden", 1, "Af en toe", 4, "Regelmatig", 8, "Vaak", 12))</f>
        <v/>
      </c>
      <c r="J476">
        <f>IF(Klantgegevens_B!J475&lt;&gt;"", Klantgegevens_B!J475, Klantgegevens_A!K475)</f>
        <v/>
      </c>
      <c r="K476">
        <f>IF(Klantgegevens_B!K475&lt;&gt;"", AVERAGE(--(Klantgegevens_B!K475="ja"), --(Klantgegevens_B!L475="ja"), --(Klantgegevens_B!M475="ja"), --(Klantgegevens_B!N475="ja"), --(Klantgegevens_B!O475="ja"))*10, Klantgegevens_A!L475)</f>
        <v/>
      </c>
      <c r="L476">
        <f>IF(Klantgegevens_B!K475&lt;&gt;"", Klantgegevens_B!K475, IF(Klantgegevens_A!L475&gt;=7, "ja", "nee"))</f>
        <v/>
      </c>
      <c r="M476">
        <f>IF(Klantgegevens_B!L475&lt;&gt;"", Klantgegevens_B!L475, IF(Klantgegevens_A!L475&gt;=7, "ja", "nee"))</f>
        <v/>
      </c>
      <c r="N476">
        <f>IF(Klantgegevens_B!M475&lt;&gt;"", Klantgegevens_B!M475, IF(Klantgegevens_A!L475&gt;=7, "ja", "nee"))</f>
        <v/>
      </c>
      <c r="O476">
        <f>IF(Klantgegevens_B!N475&lt;&gt;"", Klantgegevens_B!N475, IF(Klantgegevens_A!L475&gt;=7, "ja", "nee"))</f>
        <v/>
      </c>
      <c r="P476">
        <f>IF(Klantgegevens_B!O475&lt;&gt;"", Klantgegevens_B!O475, IF(Klantgegevens_A!L475&gt;=7, "ja", "nee"))</f>
        <v/>
      </c>
      <c r="Q476">
        <f>IF(Klantgegevens_B!P475&lt;&gt;"", Klantgegevens_B!P475, Klantgegevens_A!M475)</f>
        <v/>
      </c>
      <c r="R476">
        <f>IF(Klantgegevens_B!A475&lt;&gt;"", "B", "A")</f>
        <v/>
      </c>
    </row>
    <row r="477">
      <c r="A477">
        <f>IF(Klantgegevens_B!A476&lt;&gt;"", Klantgegevens_B!A476, MID(Klantgegevens_A!A476, FIND(",", Klantgegevens_A!A476)+2, LEN(Klantgegevens_A!A476)))</f>
        <v/>
      </c>
      <c r="B477">
        <f>IF(Klantgegevens_B!B476&lt;&gt;"", Klantgegevens_B!B476, LEFT(Klantgegevens_A!A476, FIND(",", Klantgegevens_A!A476)-1))</f>
        <v/>
      </c>
      <c r="C477">
        <f>C476 &amp; ", " &amp; B476</f>
        <v/>
      </c>
      <c r="D477">
        <f>IF(Klantgegevens_B!F476&lt;&gt;"", Klantgegevens_B!F476, Klantgegevens_A!D476 &amp; " " &amp; Klantgegevens_A!E476 &amp; ", " &amp; Klantgegevens_A!F476)</f>
        <v/>
      </c>
      <c r="E477">
        <f>IF(Klantgegevens_B!G476&lt;&gt;"", Klantgegevens_B!G476, TEXTJOIN(",", TRUE, REPT("Volwassene,", Klantgegevens_A!G476), REPT("Kind,", Klantgegevens_A!H476)))</f>
        <v/>
      </c>
      <c r="F477">
        <f>IF(Klantgegevens_B!G476&lt;&gt;"", LEN(Klantgegevens_B!G476)-LEN(SUBSTITUTE(Klantgegevens_B!G476, ",", ""))+1, Klantgegevens_A!G476)</f>
        <v/>
      </c>
      <c r="G477">
        <f>IF(Klantgegevens_B!G476&lt;&gt;"", 0, Klantgegevens_A!H476)</f>
        <v/>
      </c>
      <c r="H477">
        <f>IF(Klantgegevens_B!H476&lt;&gt;"", Klantgegevens_B!H476, Klantgegevens_A!I476)</f>
        <v/>
      </c>
      <c r="I477">
        <f>IF(Klantgegevens_B!I476&lt;&gt;"", Klantgegevens_B!I476, SWITCH(Klantgegevens_A!J476, "Zelden", 1, "Af en toe", 4, "Regelmatig", 8, "Vaak", 12))</f>
        <v/>
      </c>
      <c r="J477">
        <f>IF(Klantgegevens_B!J476&lt;&gt;"", Klantgegevens_B!J476, Klantgegevens_A!K476)</f>
        <v/>
      </c>
      <c r="K477">
        <f>IF(Klantgegevens_B!K476&lt;&gt;"", AVERAGE(--(Klantgegevens_B!K476="ja"), --(Klantgegevens_B!L476="ja"), --(Klantgegevens_B!M476="ja"), --(Klantgegevens_B!N476="ja"), --(Klantgegevens_B!O476="ja"))*10, Klantgegevens_A!L476)</f>
        <v/>
      </c>
      <c r="L477">
        <f>IF(Klantgegevens_B!K476&lt;&gt;"", Klantgegevens_B!K476, IF(Klantgegevens_A!L476&gt;=7, "ja", "nee"))</f>
        <v/>
      </c>
      <c r="M477">
        <f>IF(Klantgegevens_B!L476&lt;&gt;"", Klantgegevens_B!L476, IF(Klantgegevens_A!L476&gt;=7, "ja", "nee"))</f>
        <v/>
      </c>
      <c r="N477">
        <f>IF(Klantgegevens_B!M476&lt;&gt;"", Klantgegevens_B!M476, IF(Klantgegevens_A!L476&gt;=7, "ja", "nee"))</f>
        <v/>
      </c>
      <c r="O477">
        <f>IF(Klantgegevens_B!N476&lt;&gt;"", Klantgegevens_B!N476, IF(Klantgegevens_A!L476&gt;=7, "ja", "nee"))</f>
        <v/>
      </c>
      <c r="P477">
        <f>IF(Klantgegevens_B!O476&lt;&gt;"", Klantgegevens_B!O476, IF(Klantgegevens_A!L476&gt;=7, "ja", "nee"))</f>
        <v/>
      </c>
      <c r="Q477">
        <f>IF(Klantgegevens_B!P476&lt;&gt;"", Klantgegevens_B!P476, Klantgegevens_A!M476)</f>
        <v/>
      </c>
      <c r="R477">
        <f>IF(Klantgegevens_B!A476&lt;&gt;"", "B", "A")</f>
        <v/>
      </c>
    </row>
    <row r="478">
      <c r="A478">
        <f>IF(Klantgegevens_B!A477&lt;&gt;"", Klantgegevens_B!A477, MID(Klantgegevens_A!A477, FIND(",", Klantgegevens_A!A477)+2, LEN(Klantgegevens_A!A477)))</f>
        <v/>
      </c>
      <c r="B478">
        <f>IF(Klantgegevens_B!B477&lt;&gt;"", Klantgegevens_B!B477, LEFT(Klantgegevens_A!A477, FIND(",", Klantgegevens_A!A477)-1))</f>
        <v/>
      </c>
      <c r="C478">
        <f>C477 &amp; ", " &amp; B477</f>
        <v/>
      </c>
      <c r="D478">
        <f>IF(Klantgegevens_B!F477&lt;&gt;"", Klantgegevens_B!F477, Klantgegevens_A!D477 &amp; " " &amp; Klantgegevens_A!E477 &amp; ", " &amp; Klantgegevens_A!F477)</f>
        <v/>
      </c>
      <c r="E478">
        <f>IF(Klantgegevens_B!G477&lt;&gt;"", Klantgegevens_B!G477, TEXTJOIN(",", TRUE, REPT("Volwassene,", Klantgegevens_A!G477), REPT("Kind,", Klantgegevens_A!H477)))</f>
        <v/>
      </c>
      <c r="F478">
        <f>IF(Klantgegevens_B!G477&lt;&gt;"", LEN(Klantgegevens_B!G477)-LEN(SUBSTITUTE(Klantgegevens_B!G477, ",", ""))+1, Klantgegevens_A!G477)</f>
        <v/>
      </c>
      <c r="G478">
        <f>IF(Klantgegevens_B!G477&lt;&gt;"", 0, Klantgegevens_A!H477)</f>
        <v/>
      </c>
      <c r="H478">
        <f>IF(Klantgegevens_B!H477&lt;&gt;"", Klantgegevens_B!H477, Klantgegevens_A!I477)</f>
        <v/>
      </c>
      <c r="I478">
        <f>IF(Klantgegevens_B!I477&lt;&gt;"", Klantgegevens_B!I477, SWITCH(Klantgegevens_A!J477, "Zelden", 1, "Af en toe", 4, "Regelmatig", 8, "Vaak", 12))</f>
        <v/>
      </c>
      <c r="J478">
        <f>IF(Klantgegevens_B!J477&lt;&gt;"", Klantgegevens_B!J477, Klantgegevens_A!K477)</f>
        <v/>
      </c>
      <c r="K478">
        <f>IF(Klantgegevens_B!K477&lt;&gt;"", AVERAGE(--(Klantgegevens_B!K477="ja"), --(Klantgegevens_B!L477="ja"), --(Klantgegevens_B!M477="ja"), --(Klantgegevens_B!N477="ja"), --(Klantgegevens_B!O477="ja"))*10, Klantgegevens_A!L477)</f>
        <v/>
      </c>
      <c r="L478">
        <f>IF(Klantgegevens_B!K477&lt;&gt;"", Klantgegevens_B!K477, IF(Klantgegevens_A!L477&gt;=7, "ja", "nee"))</f>
        <v/>
      </c>
      <c r="M478">
        <f>IF(Klantgegevens_B!L477&lt;&gt;"", Klantgegevens_B!L477, IF(Klantgegevens_A!L477&gt;=7, "ja", "nee"))</f>
        <v/>
      </c>
      <c r="N478">
        <f>IF(Klantgegevens_B!M477&lt;&gt;"", Klantgegevens_B!M477, IF(Klantgegevens_A!L477&gt;=7, "ja", "nee"))</f>
        <v/>
      </c>
      <c r="O478">
        <f>IF(Klantgegevens_B!N477&lt;&gt;"", Klantgegevens_B!N477, IF(Klantgegevens_A!L477&gt;=7, "ja", "nee"))</f>
        <v/>
      </c>
      <c r="P478">
        <f>IF(Klantgegevens_B!O477&lt;&gt;"", Klantgegevens_B!O477, IF(Klantgegevens_A!L477&gt;=7, "ja", "nee"))</f>
        <v/>
      </c>
      <c r="Q478">
        <f>IF(Klantgegevens_B!P477&lt;&gt;"", Klantgegevens_B!P477, Klantgegevens_A!M477)</f>
        <v/>
      </c>
      <c r="R478">
        <f>IF(Klantgegevens_B!A477&lt;&gt;"", "B", "A")</f>
        <v/>
      </c>
    </row>
    <row r="479">
      <c r="A479">
        <f>IF(Klantgegevens_B!A478&lt;&gt;"", Klantgegevens_B!A478, MID(Klantgegevens_A!A478, FIND(",", Klantgegevens_A!A478)+2, LEN(Klantgegevens_A!A478)))</f>
        <v/>
      </c>
      <c r="B479">
        <f>IF(Klantgegevens_B!B478&lt;&gt;"", Klantgegevens_B!B478, LEFT(Klantgegevens_A!A478, FIND(",", Klantgegevens_A!A478)-1))</f>
        <v/>
      </c>
      <c r="C479">
        <f>C478 &amp; ", " &amp; B478</f>
        <v/>
      </c>
      <c r="D479">
        <f>IF(Klantgegevens_B!F478&lt;&gt;"", Klantgegevens_B!F478, Klantgegevens_A!D478 &amp; " " &amp; Klantgegevens_A!E478 &amp; ", " &amp; Klantgegevens_A!F478)</f>
        <v/>
      </c>
      <c r="E479">
        <f>IF(Klantgegevens_B!G478&lt;&gt;"", Klantgegevens_B!G478, TEXTJOIN(",", TRUE, REPT("Volwassene,", Klantgegevens_A!G478), REPT("Kind,", Klantgegevens_A!H478)))</f>
        <v/>
      </c>
      <c r="F479">
        <f>IF(Klantgegevens_B!G478&lt;&gt;"", LEN(Klantgegevens_B!G478)-LEN(SUBSTITUTE(Klantgegevens_B!G478, ",", ""))+1, Klantgegevens_A!G478)</f>
        <v/>
      </c>
      <c r="G479">
        <f>IF(Klantgegevens_B!G478&lt;&gt;"", 0, Klantgegevens_A!H478)</f>
        <v/>
      </c>
      <c r="H479">
        <f>IF(Klantgegevens_B!H478&lt;&gt;"", Klantgegevens_B!H478, Klantgegevens_A!I478)</f>
        <v/>
      </c>
      <c r="I479">
        <f>IF(Klantgegevens_B!I478&lt;&gt;"", Klantgegevens_B!I478, SWITCH(Klantgegevens_A!J478, "Zelden", 1, "Af en toe", 4, "Regelmatig", 8, "Vaak", 12))</f>
        <v/>
      </c>
      <c r="J479">
        <f>IF(Klantgegevens_B!J478&lt;&gt;"", Klantgegevens_B!J478, Klantgegevens_A!K478)</f>
        <v/>
      </c>
      <c r="K479">
        <f>IF(Klantgegevens_B!K478&lt;&gt;"", AVERAGE(--(Klantgegevens_B!K478="ja"), --(Klantgegevens_B!L478="ja"), --(Klantgegevens_B!M478="ja"), --(Klantgegevens_B!N478="ja"), --(Klantgegevens_B!O478="ja"))*10, Klantgegevens_A!L478)</f>
        <v/>
      </c>
      <c r="L479">
        <f>IF(Klantgegevens_B!K478&lt;&gt;"", Klantgegevens_B!K478, IF(Klantgegevens_A!L478&gt;=7, "ja", "nee"))</f>
        <v/>
      </c>
      <c r="M479">
        <f>IF(Klantgegevens_B!L478&lt;&gt;"", Klantgegevens_B!L478, IF(Klantgegevens_A!L478&gt;=7, "ja", "nee"))</f>
        <v/>
      </c>
      <c r="N479">
        <f>IF(Klantgegevens_B!M478&lt;&gt;"", Klantgegevens_B!M478, IF(Klantgegevens_A!L478&gt;=7, "ja", "nee"))</f>
        <v/>
      </c>
      <c r="O479">
        <f>IF(Klantgegevens_B!N478&lt;&gt;"", Klantgegevens_B!N478, IF(Klantgegevens_A!L478&gt;=7, "ja", "nee"))</f>
        <v/>
      </c>
      <c r="P479">
        <f>IF(Klantgegevens_B!O478&lt;&gt;"", Klantgegevens_B!O478, IF(Klantgegevens_A!L478&gt;=7, "ja", "nee"))</f>
        <v/>
      </c>
      <c r="Q479">
        <f>IF(Klantgegevens_B!P478&lt;&gt;"", Klantgegevens_B!P478, Klantgegevens_A!M478)</f>
        <v/>
      </c>
      <c r="R479">
        <f>IF(Klantgegevens_B!A478&lt;&gt;"", "B", "A")</f>
        <v/>
      </c>
    </row>
    <row r="480">
      <c r="A480">
        <f>IF(Klantgegevens_B!A479&lt;&gt;"", Klantgegevens_B!A479, MID(Klantgegevens_A!A479, FIND(",", Klantgegevens_A!A479)+2, LEN(Klantgegevens_A!A479)))</f>
        <v/>
      </c>
      <c r="B480">
        <f>IF(Klantgegevens_B!B479&lt;&gt;"", Klantgegevens_B!B479, LEFT(Klantgegevens_A!A479, FIND(",", Klantgegevens_A!A479)-1))</f>
        <v/>
      </c>
      <c r="C480">
        <f>C479 &amp; ", " &amp; B479</f>
        <v/>
      </c>
      <c r="D480">
        <f>IF(Klantgegevens_B!F479&lt;&gt;"", Klantgegevens_B!F479, Klantgegevens_A!D479 &amp; " " &amp; Klantgegevens_A!E479 &amp; ", " &amp; Klantgegevens_A!F479)</f>
        <v/>
      </c>
      <c r="E480">
        <f>IF(Klantgegevens_B!G479&lt;&gt;"", Klantgegevens_B!G479, TEXTJOIN(",", TRUE, REPT("Volwassene,", Klantgegevens_A!G479), REPT("Kind,", Klantgegevens_A!H479)))</f>
        <v/>
      </c>
      <c r="F480">
        <f>IF(Klantgegevens_B!G479&lt;&gt;"", LEN(Klantgegevens_B!G479)-LEN(SUBSTITUTE(Klantgegevens_B!G479, ",", ""))+1, Klantgegevens_A!G479)</f>
        <v/>
      </c>
      <c r="G480">
        <f>IF(Klantgegevens_B!G479&lt;&gt;"", 0, Klantgegevens_A!H479)</f>
        <v/>
      </c>
      <c r="H480">
        <f>IF(Klantgegevens_B!H479&lt;&gt;"", Klantgegevens_B!H479, Klantgegevens_A!I479)</f>
        <v/>
      </c>
      <c r="I480">
        <f>IF(Klantgegevens_B!I479&lt;&gt;"", Klantgegevens_B!I479, SWITCH(Klantgegevens_A!J479, "Zelden", 1, "Af en toe", 4, "Regelmatig", 8, "Vaak", 12))</f>
        <v/>
      </c>
      <c r="J480">
        <f>IF(Klantgegevens_B!J479&lt;&gt;"", Klantgegevens_B!J479, Klantgegevens_A!K479)</f>
        <v/>
      </c>
      <c r="K480">
        <f>IF(Klantgegevens_B!K479&lt;&gt;"", AVERAGE(--(Klantgegevens_B!K479="ja"), --(Klantgegevens_B!L479="ja"), --(Klantgegevens_B!M479="ja"), --(Klantgegevens_B!N479="ja"), --(Klantgegevens_B!O479="ja"))*10, Klantgegevens_A!L479)</f>
        <v/>
      </c>
      <c r="L480">
        <f>IF(Klantgegevens_B!K479&lt;&gt;"", Klantgegevens_B!K479, IF(Klantgegevens_A!L479&gt;=7, "ja", "nee"))</f>
        <v/>
      </c>
      <c r="M480">
        <f>IF(Klantgegevens_B!L479&lt;&gt;"", Klantgegevens_B!L479, IF(Klantgegevens_A!L479&gt;=7, "ja", "nee"))</f>
        <v/>
      </c>
      <c r="N480">
        <f>IF(Klantgegevens_B!M479&lt;&gt;"", Klantgegevens_B!M479, IF(Klantgegevens_A!L479&gt;=7, "ja", "nee"))</f>
        <v/>
      </c>
      <c r="O480">
        <f>IF(Klantgegevens_B!N479&lt;&gt;"", Klantgegevens_B!N479, IF(Klantgegevens_A!L479&gt;=7, "ja", "nee"))</f>
        <v/>
      </c>
      <c r="P480">
        <f>IF(Klantgegevens_B!O479&lt;&gt;"", Klantgegevens_B!O479, IF(Klantgegevens_A!L479&gt;=7, "ja", "nee"))</f>
        <v/>
      </c>
      <c r="Q480">
        <f>IF(Klantgegevens_B!P479&lt;&gt;"", Klantgegevens_B!P479, Klantgegevens_A!M479)</f>
        <v/>
      </c>
      <c r="R480">
        <f>IF(Klantgegevens_B!A479&lt;&gt;"", "B", "A")</f>
        <v/>
      </c>
    </row>
    <row r="481">
      <c r="A481">
        <f>IF(Klantgegevens_B!A480&lt;&gt;"", Klantgegevens_B!A480, MID(Klantgegevens_A!A480, FIND(",", Klantgegevens_A!A480)+2, LEN(Klantgegevens_A!A480)))</f>
        <v/>
      </c>
      <c r="B481">
        <f>IF(Klantgegevens_B!B480&lt;&gt;"", Klantgegevens_B!B480, LEFT(Klantgegevens_A!A480, FIND(",", Klantgegevens_A!A480)-1))</f>
        <v/>
      </c>
      <c r="C481">
        <f>C480 &amp; ", " &amp; B480</f>
        <v/>
      </c>
      <c r="D481">
        <f>IF(Klantgegevens_B!F480&lt;&gt;"", Klantgegevens_B!F480, Klantgegevens_A!D480 &amp; " " &amp; Klantgegevens_A!E480 &amp; ", " &amp; Klantgegevens_A!F480)</f>
        <v/>
      </c>
      <c r="E481">
        <f>IF(Klantgegevens_B!G480&lt;&gt;"", Klantgegevens_B!G480, TEXTJOIN(",", TRUE, REPT("Volwassene,", Klantgegevens_A!G480), REPT("Kind,", Klantgegevens_A!H480)))</f>
        <v/>
      </c>
      <c r="F481">
        <f>IF(Klantgegevens_B!G480&lt;&gt;"", LEN(Klantgegevens_B!G480)-LEN(SUBSTITUTE(Klantgegevens_B!G480, ",", ""))+1, Klantgegevens_A!G480)</f>
        <v/>
      </c>
      <c r="G481">
        <f>IF(Klantgegevens_B!G480&lt;&gt;"", 0, Klantgegevens_A!H480)</f>
        <v/>
      </c>
      <c r="H481">
        <f>IF(Klantgegevens_B!H480&lt;&gt;"", Klantgegevens_B!H480, Klantgegevens_A!I480)</f>
        <v/>
      </c>
      <c r="I481">
        <f>IF(Klantgegevens_B!I480&lt;&gt;"", Klantgegevens_B!I480, SWITCH(Klantgegevens_A!J480, "Zelden", 1, "Af en toe", 4, "Regelmatig", 8, "Vaak", 12))</f>
        <v/>
      </c>
      <c r="J481">
        <f>IF(Klantgegevens_B!J480&lt;&gt;"", Klantgegevens_B!J480, Klantgegevens_A!K480)</f>
        <v/>
      </c>
      <c r="K481">
        <f>IF(Klantgegevens_B!K480&lt;&gt;"", AVERAGE(--(Klantgegevens_B!K480="ja"), --(Klantgegevens_B!L480="ja"), --(Klantgegevens_B!M480="ja"), --(Klantgegevens_B!N480="ja"), --(Klantgegevens_B!O480="ja"))*10, Klantgegevens_A!L480)</f>
        <v/>
      </c>
      <c r="L481">
        <f>IF(Klantgegevens_B!K480&lt;&gt;"", Klantgegevens_B!K480, IF(Klantgegevens_A!L480&gt;=7, "ja", "nee"))</f>
        <v/>
      </c>
      <c r="M481">
        <f>IF(Klantgegevens_B!L480&lt;&gt;"", Klantgegevens_B!L480, IF(Klantgegevens_A!L480&gt;=7, "ja", "nee"))</f>
        <v/>
      </c>
      <c r="N481">
        <f>IF(Klantgegevens_B!M480&lt;&gt;"", Klantgegevens_B!M480, IF(Klantgegevens_A!L480&gt;=7, "ja", "nee"))</f>
        <v/>
      </c>
      <c r="O481">
        <f>IF(Klantgegevens_B!N480&lt;&gt;"", Klantgegevens_B!N480, IF(Klantgegevens_A!L480&gt;=7, "ja", "nee"))</f>
        <v/>
      </c>
      <c r="P481">
        <f>IF(Klantgegevens_B!O480&lt;&gt;"", Klantgegevens_B!O480, IF(Klantgegevens_A!L480&gt;=7, "ja", "nee"))</f>
        <v/>
      </c>
      <c r="Q481">
        <f>IF(Klantgegevens_B!P480&lt;&gt;"", Klantgegevens_B!P480, Klantgegevens_A!M480)</f>
        <v/>
      </c>
      <c r="R481">
        <f>IF(Klantgegevens_B!A480&lt;&gt;"", "B", "A")</f>
        <v/>
      </c>
    </row>
    <row r="482">
      <c r="A482">
        <f>IF(Klantgegevens_B!A481&lt;&gt;"", Klantgegevens_B!A481, MID(Klantgegevens_A!A481, FIND(",", Klantgegevens_A!A481)+2, LEN(Klantgegevens_A!A481)))</f>
        <v/>
      </c>
      <c r="B482">
        <f>IF(Klantgegevens_B!B481&lt;&gt;"", Klantgegevens_B!B481, LEFT(Klantgegevens_A!A481, FIND(",", Klantgegevens_A!A481)-1))</f>
        <v/>
      </c>
      <c r="C482">
        <f>C481 &amp; ", " &amp; B481</f>
        <v/>
      </c>
      <c r="D482">
        <f>IF(Klantgegevens_B!F481&lt;&gt;"", Klantgegevens_B!F481, Klantgegevens_A!D481 &amp; " " &amp; Klantgegevens_A!E481 &amp; ", " &amp; Klantgegevens_A!F481)</f>
        <v/>
      </c>
      <c r="E482">
        <f>IF(Klantgegevens_B!G481&lt;&gt;"", Klantgegevens_B!G481, TEXTJOIN(",", TRUE, REPT("Volwassene,", Klantgegevens_A!G481), REPT("Kind,", Klantgegevens_A!H481)))</f>
        <v/>
      </c>
      <c r="F482">
        <f>IF(Klantgegevens_B!G481&lt;&gt;"", LEN(Klantgegevens_B!G481)-LEN(SUBSTITUTE(Klantgegevens_B!G481, ",", ""))+1, Klantgegevens_A!G481)</f>
        <v/>
      </c>
      <c r="G482">
        <f>IF(Klantgegevens_B!G481&lt;&gt;"", 0, Klantgegevens_A!H481)</f>
        <v/>
      </c>
      <c r="H482">
        <f>IF(Klantgegevens_B!H481&lt;&gt;"", Klantgegevens_B!H481, Klantgegevens_A!I481)</f>
        <v/>
      </c>
      <c r="I482">
        <f>IF(Klantgegevens_B!I481&lt;&gt;"", Klantgegevens_B!I481, SWITCH(Klantgegevens_A!J481, "Zelden", 1, "Af en toe", 4, "Regelmatig", 8, "Vaak", 12))</f>
        <v/>
      </c>
      <c r="J482">
        <f>IF(Klantgegevens_B!J481&lt;&gt;"", Klantgegevens_B!J481, Klantgegevens_A!K481)</f>
        <v/>
      </c>
      <c r="K482">
        <f>IF(Klantgegevens_B!K481&lt;&gt;"", AVERAGE(--(Klantgegevens_B!K481="ja"), --(Klantgegevens_B!L481="ja"), --(Klantgegevens_B!M481="ja"), --(Klantgegevens_B!N481="ja"), --(Klantgegevens_B!O481="ja"))*10, Klantgegevens_A!L481)</f>
        <v/>
      </c>
      <c r="L482">
        <f>IF(Klantgegevens_B!K481&lt;&gt;"", Klantgegevens_B!K481, IF(Klantgegevens_A!L481&gt;=7, "ja", "nee"))</f>
        <v/>
      </c>
      <c r="M482">
        <f>IF(Klantgegevens_B!L481&lt;&gt;"", Klantgegevens_B!L481, IF(Klantgegevens_A!L481&gt;=7, "ja", "nee"))</f>
        <v/>
      </c>
      <c r="N482">
        <f>IF(Klantgegevens_B!M481&lt;&gt;"", Klantgegevens_B!M481, IF(Klantgegevens_A!L481&gt;=7, "ja", "nee"))</f>
        <v/>
      </c>
      <c r="O482">
        <f>IF(Klantgegevens_B!N481&lt;&gt;"", Klantgegevens_B!N481, IF(Klantgegevens_A!L481&gt;=7, "ja", "nee"))</f>
        <v/>
      </c>
      <c r="P482">
        <f>IF(Klantgegevens_B!O481&lt;&gt;"", Klantgegevens_B!O481, IF(Klantgegevens_A!L481&gt;=7, "ja", "nee"))</f>
        <v/>
      </c>
      <c r="Q482">
        <f>IF(Klantgegevens_B!P481&lt;&gt;"", Klantgegevens_B!P481, Klantgegevens_A!M481)</f>
        <v/>
      </c>
      <c r="R482">
        <f>IF(Klantgegevens_B!A481&lt;&gt;"", "B", "A")</f>
        <v/>
      </c>
    </row>
    <row r="483">
      <c r="A483">
        <f>IF(Klantgegevens_B!A482&lt;&gt;"", Klantgegevens_B!A482, MID(Klantgegevens_A!A482, FIND(",", Klantgegevens_A!A482)+2, LEN(Klantgegevens_A!A482)))</f>
        <v/>
      </c>
      <c r="B483">
        <f>IF(Klantgegevens_B!B482&lt;&gt;"", Klantgegevens_B!B482, LEFT(Klantgegevens_A!A482, FIND(",", Klantgegevens_A!A482)-1))</f>
        <v/>
      </c>
      <c r="C483">
        <f>C482 &amp; ", " &amp; B482</f>
        <v/>
      </c>
      <c r="D483">
        <f>IF(Klantgegevens_B!F482&lt;&gt;"", Klantgegevens_B!F482, Klantgegevens_A!D482 &amp; " " &amp; Klantgegevens_A!E482 &amp; ", " &amp; Klantgegevens_A!F482)</f>
        <v/>
      </c>
      <c r="E483">
        <f>IF(Klantgegevens_B!G482&lt;&gt;"", Klantgegevens_B!G482, TEXTJOIN(",", TRUE, REPT("Volwassene,", Klantgegevens_A!G482), REPT("Kind,", Klantgegevens_A!H482)))</f>
        <v/>
      </c>
      <c r="F483">
        <f>IF(Klantgegevens_B!G482&lt;&gt;"", LEN(Klantgegevens_B!G482)-LEN(SUBSTITUTE(Klantgegevens_B!G482, ",", ""))+1, Klantgegevens_A!G482)</f>
        <v/>
      </c>
      <c r="G483">
        <f>IF(Klantgegevens_B!G482&lt;&gt;"", 0, Klantgegevens_A!H482)</f>
        <v/>
      </c>
      <c r="H483">
        <f>IF(Klantgegevens_B!H482&lt;&gt;"", Klantgegevens_B!H482, Klantgegevens_A!I482)</f>
        <v/>
      </c>
      <c r="I483">
        <f>IF(Klantgegevens_B!I482&lt;&gt;"", Klantgegevens_B!I482, SWITCH(Klantgegevens_A!J482, "Zelden", 1, "Af en toe", 4, "Regelmatig", 8, "Vaak", 12))</f>
        <v/>
      </c>
      <c r="J483">
        <f>IF(Klantgegevens_B!J482&lt;&gt;"", Klantgegevens_B!J482, Klantgegevens_A!K482)</f>
        <v/>
      </c>
      <c r="K483">
        <f>IF(Klantgegevens_B!K482&lt;&gt;"", AVERAGE(--(Klantgegevens_B!K482="ja"), --(Klantgegevens_B!L482="ja"), --(Klantgegevens_B!M482="ja"), --(Klantgegevens_B!N482="ja"), --(Klantgegevens_B!O482="ja"))*10, Klantgegevens_A!L482)</f>
        <v/>
      </c>
      <c r="L483">
        <f>IF(Klantgegevens_B!K482&lt;&gt;"", Klantgegevens_B!K482, IF(Klantgegevens_A!L482&gt;=7, "ja", "nee"))</f>
        <v/>
      </c>
      <c r="M483">
        <f>IF(Klantgegevens_B!L482&lt;&gt;"", Klantgegevens_B!L482, IF(Klantgegevens_A!L482&gt;=7, "ja", "nee"))</f>
        <v/>
      </c>
      <c r="N483">
        <f>IF(Klantgegevens_B!M482&lt;&gt;"", Klantgegevens_B!M482, IF(Klantgegevens_A!L482&gt;=7, "ja", "nee"))</f>
        <v/>
      </c>
      <c r="O483">
        <f>IF(Klantgegevens_B!N482&lt;&gt;"", Klantgegevens_B!N482, IF(Klantgegevens_A!L482&gt;=7, "ja", "nee"))</f>
        <v/>
      </c>
      <c r="P483">
        <f>IF(Klantgegevens_B!O482&lt;&gt;"", Klantgegevens_B!O482, IF(Klantgegevens_A!L482&gt;=7, "ja", "nee"))</f>
        <v/>
      </c>
      <c r="Q483">
        <f>IF(Klantgegevens_B!P482&lt;&gt;"", Klantgegevens_B!P482, Klantgegevens_A!M482)</f>
        <v/>
      </c>
      <c r="R483">
        <f>IF(Klantgegevens_B!A482&lt;&gt;"", "B", "A")</f>
        <v/>
      </c>
    </row>
    <row r="484">
      <c r="A484">
        <f>IF(Klantgegevens_B!A483&lt;&gt;"", Klantgegevens_B!A483, MID(Klantgegevens_A!A483, FIND(",", Klantgegevens_A!A483)+2, LEN(Klantgegevens_A!A483)))</f>
        <v/>
      </c>
      <c r="B484">
        <f>IF(Klantgegevens_B!B483&lt;&gt;"", Klantgegevens_B!B483, LEFT(Klantgegevens_A!A483, FIND(",", Klantgegevens_A!A483)-1))</f>
        <v/>
      </c>
      <c r="C484">
        <f>C483 &amp; ", " &amp; B483</f>
        <v/>
      </c>
      <c r="D484">
        <f>IF(Klantgegevens_B!F483&lt;&gt;"", Klantgegevens_B!F483, Klantgegevens_A!D483 &amp; " " &amp; Klantgegevens_A!E483 &amp; ", " &amp; Klantgegevens_A!F483)</f>
        <v/>
      </c>
      <c r="E484">
        <f>IF(Klantgegevens_B!G483&lt;&gt;"", Klantgegevens_B!G483, TEXTJOIN(",", TRUE, REPT("Volwassene,", Klantgegevens_A!G483), REPT("Kind,", Klantgegevens_A!H483)))</f>
        <v/>
      </c>
      <c r="F484">
        <f>IF(Klantgegevens_B!G483&lt;&gt;"", LEN(Klantgegevens_B!G483)-LEN(SUBSTITUTE(Klantgegevens_B!G483, ",", ""))+1, Klantgegevens_A!G483)</f>
        <v/>
      </c>
      <c r="G484">
        <f>IF(Klantgegevens_B!G483&lt;&gt;"", 0, Klantgegevens_A!H483)</f>
        <v/>
      </c>
      <c r="H484">
        <f>IF(Klantgegevens_B!H483&lt;&gt;"", Klantgegevens_B!H483, Klantgegevens_A!I483)</f>
        <v/>
      </c>
      <c r="I484">
        <f>IF(Klantgegevens_B!I483&lt;&gt;"", Klantgegevens_B!I483, SWITCH(Klantgegevens_A!J483, "Zelden", 1, "Af en toe", 4, "Regelmatig", 8, "Vaak", 12))</f>
        <v/>
      </c>
      <c r="J484">
        <f>IF(Klantgegevens_B!J483&lt;&gt;"", Klantgegevens_B!J483, Klantgegevens_A!K483)</f>
        <v/>
      </c>
      <c r="K484">
        <f>IF(Klantgegevens_B!K483&lt;&gt;"", AVERAGE(--(Klantgegevens_B!K483="ja"), --(Klantgegevens_B!L483="ja"), --(Klantgegevens_B!M483="ja"), --(Klantgegevens_B!N483="ja"), --(Klantgegevens_B!O483="ja"))*10, Klantgegevens_A!L483)</f>
        <v/>
      </c>
      <c r="L484">
        <f>IF(Klantgegevens_B!K483&lt;&gt;"", Klantgegevens_B!K483, IF(Klantgegevens_A!L483&gt;=7, "ja", "nee"))</f>
        <v/>
      </c>
      <c r="M484">
        <f>IF(Klantgegevens_B!L483&lt;&gt;"", Klantgegevens_B!L483, IF(Klantgegevens_A!L483&gt;=7, "ja", "nee"))</f>
        <v/>
      </c>
      <c r="N484">
        <f>IF(Klantgegevens_B!M483&lt;&gt;"", Klantgegevens_B!M483, IF(Klantgegevens_A!L483&gt;=7, "ja", "nee"))</f>
        <v/>
      </c>
      <c r="O484">
        <f>IF(Klantgegevens_B!N483&lt;&gt;"", Klantgegevens_B!N483, IF(Klantgegevens_A!L483&gt;=7, "ja", "nee"))</f>
        <v/>
      </c>
      <c r="P484">
        <f>IF(Klantgegevens_B!O483&lt;&gt;"", Klantgegevens_B!O483, IF(Klantgegevens_A!L483&gt;=7, "ja", "nee"))</f>
        <v/>
      </c>
      <c r="Q484">
        <f>IF(Klantgegevens_B!P483&lt;&gt;"", Klantgegevens_B!P483, Klantgegevens_A!M483)</f>
        <v/>
      </c>
      <c r="R484">
        <f>IF(Klantgegevens_B!A483&lt;&gt;"", "B", "A")</f>
        <v/>
      </c>
    </row>
    <row r="485">
      <c r="A485">
        <f>IF(Klantgegevens_B!A484&lt;&gt;"", Klantgegevens_B!A484, MID(Klantgegevens_A!A484, FIND(",", Klantgegevens_A!A484)+2, LEN(Klantgegevens_A!A484)))</f>
        <v/>
      </c>
      <c r="B485">
        <f>IF(Klantgegevens_B!B484&lt;&gt;"", Klantgegevens_B!B484, LEFT(Klantgegevens_A!A484, FIND(",", Klantgegevens_A!A484)-1))</f>
        <v/>
      </c>
      <c r="C485">
        <f>C484 &amp; ", " &amp; B484</f>
        <v/>
      </c>
      <c r="D485">
        <f>IF(Klantgegevens_B!F484&lt;&gt;"", Klantgegevens_B!F484, Klantgegevens_A!D484 &amp; " " &amp; Klantgegevens_A!E484 &amp; ", " &amp; Klantgegevens_A!F484)</f>
        <v/>
      </c>
      <c r="E485">
        <f>IF(Klantgegevens_B!G484&lt;&gt;"", Klantgegevens_B!G484, TEXTJOIN(",", TRUE, REPT("Volwassene,", Klantgegevens_A!G484), REPT("Kind,", Klantgegevens_A!H484)))</f>
        <v/>
      </c>
      <c r="F485">
        <f>IF(Klantgegevens_B!G484&lt;&gt;"", LEN(Klantgegevens_B!G484)-LEN(SUBSTITUTE(Klantgegevens_B!G484, ",", ""))+1, Klantgegevens_A!G484)</f>
        <v/>
      </c>
      <c r="G485">
        <f>IF(Klantgegevens_B!G484&lt;&gt;"", 0, Klantgegevens_A!H484)</f>
        <v/>
      </c>
      <c r="H485">
        <f>IF(Klantgegevens_B!H484&lt;&gt;"", Klantgegevens_B!H484, Klantgegevens_A!I484)</f>
        <v/>
      </c>
      <c r="I485">
        <f>IF(Klantgegevens_B!I484&lt;&gt;"", Klantgegevens_B!I484, SWITCH(Klantgegevens_A!J484, "Zelden", 1, "Af en toe", 4, "Regelmatig", 8, "Vaak", 12))</f>
        <v/>
      </c>
      <c r="J485">
        <f>IF(Klantgegevens_B!J484&lt;&gt;"", Klantgegevens_B!J484, Klantgegevens_A!K484)</f>
        <v/>
      </c>
      <c r="K485">
        <f>IF(Klantgegevens_B!K484&lt;&gt;"", AVERAGE(--(Klantgegevens_B!K484="ja"), --(Klantgegevens_B!L484="ja"), --(Klantgegevens_B!M484="ja"), --(Klantgegevens_B!N484="ja"), --(Klantgegevens_B!O484="ja"))*10, Klantgegevens_A!L484)</f>
        <v/>
      </c>
      <c r="L485">
        <f>IF(Klantgegevens_B!K484&lt;&gt;"", Klantgegevens_B!K484, IF(Klantgegevens_A!L484&gt;=7, "ja", "nee"))</f>
        <v/>
      </c>
      <c r="M485">
        <f>IF(Klantgegevens_B!L484&lt;&gt;"", Klantgegevens_B!L484, IF(Klantgegevens_A!L484&gt;=7, "ja", "nee"))</f>
        <v/>
      </c>
      <c r="N485">
        <f>IF(Klantgegevens_B!M484&lt;&gt;"", Klantgegevens_B!M484, IF(Klantgegevens_A!L484&gt;=7, "ja", "nee"))</f>
        <v/>
      </c>
      <c r="O485">
        <f>IF(Klantgegevens_B!N484&lt;&gt;"", Klantgegevens_B!N484, IF(Klantgegevens_A!L484&gt;=7, "ja", "nee"))</f>
        <v/>
      </c>
      <c r="P485">
        <f>IF(Klantgegevens_B!O484&lt;&gt;"", Klantgegevens_B!O484, IF(Klantgegevens_A!L484&gt;=7, "ja", "nee"))</f>
        <v/>
      </c>
      <c r="Q485">
        <f>IF(Klantgegevens_B!P484&lt;&gt;"", Klantgegevens_B!P484, Klantgegevens_A!M484)</f>
        <v/>
      </c>
      <c r="R485">
        <f>IF(Klantgegevens_B!A484&lt;&gt;"", "B", "A")</f>
        <v/>
      </c>
    </row>
    <row r="486">
      <c r="A486">
        <f>IF(Klantgegevens_B!A485&lt;&gt;"", Klantgegevens_B!A485, MID(Klantgegevens_A!A485, FIND(",", Klantgegevens_A!A485)+2, LEN(Klantgegevens_A!A485)))</f>
        <v/>
      </c>
      <c r="B486">
        <f>IF(Klantgegevens_B!B485&lt;&gt;"", Klantgegevens_B!B485, LEFT(Klantgegevens_A!A485, FIND(",", Klantgegevens_A!A485)-1))</f>
        <v/>
      </c>
      <c r="C486">
        <f>C485 &amp; ", " &amp; B485</f>
        <v/>
      </c>
      <c r="D486">
        <f>IF(Klantgegevens_B!F485&lt;&gt;"", Klantgegevens_B!F485, Klantgegevens_A!D485 &amp; " " &amp; Klantgegevens_A!E485 &amp; ", " &amp; Klantgegevens_A!F485)</f>
        <v/>
      </c>
      <c r="E486">
        <f>IF(Klantgegevens_B!G485&lt;&gt;"", Klantgegevens_B!G485, TEXTJOIN(",", TRUE, REPT("Volwassene,", Klantgegevens_A!G485), REPT("Kind,", Klantgegevens_A!H485)))</f>
        <v/>
      </c>
      <c r="F486">
        <f>IF(Klantgegevens_B!G485&lt;&gt;"", LEN(Klantgegevens_B!G485)-LEN(SUBSTITUTE(Klantgegevens_B!G485, ",", ""))+1, Klantgegevens_A!G485)</f>
        <v/>
      </c>
      <c r="G486">
        <f>IF(Klantgegevens_B!G485&lt;&gt;"", 0, Klantgegevens_A!H485)</f>
        <v/>
      </c>
      <c r="H486">
        <f>IF(Klantgegevens_B!H485&lt;&gt;"", Klantgegevens_B!H485, Klantgegevens_A!I485)</f>
        <v/>
      </c>
      <c r="I486">
        <f>IF(Klantgegevens_B!I485&lt;&gt;"", Klantgegevens_B!I485, SWITCH(Klantgegevens_A!J485, "Zelden", 1, "Af en toe", 4, "Regelmatig", 8, "Vaak", 12))</f>
        <v/>
      </c>
      <c r="J486">
        <f>IF(Klantgegevens_B!J485&lt;&gt;"", Klantgegevens_B!J485, Klantgegevens_A!K485)</f>
        <v/>
      </c>
      <c r="K486">
        <f>IF(Klantgegevens_B!K485&lt;&gt;"", AVERAGE(--(Klantgegevens_B!K485="ja"), --(Klantgegevens_B!L485="ja"), --(Klantgegevens_B!M485="ja"), --(Klantgegevens_B!N485="ja"), --(Klantgegevens_B!O485="ja"))*10, Klantgegevens_A!L485)</f>
        <v/>
      </c>
      <c r="L486">
        <f>IF(Klantgegevens_B!K485&lt;&gt;"", Klantgegevens_B!K485, IF(Klantgegevens_A!L485&gt;=7, "ja", "nee"))</f>
        <v/>
      </c>
      <c r="M486">
        <f>IF(Klantgegevens_B!L485&lt;&gt;"", Klantgegevens_B!L485, IF(Klantgegevens_A!L485&gt;=7, "ja", "nee"))</f>
        <v/>
      </c>
      <c r="N486">
        <f>IF(Klantgegevens_B!M485&lt;&gt;"", Klantgegevens_B!M485, IF(Klantgegevens_A!L485&gt;=7, "ja", "nee"))</f>
        <v/>
      </c>
      <c r="O486">
        <f>IF(Klantgegevens_B!N485&lt;&gt;"", Klantgegevens_B!N485, IF(Klantgegevens_A!L485&gt;=7, "ja", "nee"))</f>
        <v/>
      </c>
      <c r="P486">
        <f>IF(Klantgegevens_B!O485&lt;&gt;"", Klantgegevens_B!O485, IF(Klantgegevens_A!L485&gt;=7, "ja", "nee"))</f>
        <v/>
      </c>
      <c r="Q486">
        <f>IF(Klantgegevens_B!P485&lt;&gt;"", Klantgegevens_B!P485, Klantgegevens_A!M485)</f>
        <v/>
      </c>
      <c r="R486">
        <f>IF(Klantgegevens_B!A485&lt;&gt;"", "B", "A")</f>
        <v/>
      </c>
    </row>
    <row r="487">
      <c r="A487">
        <f>IF(Klantgegevens_B!A486&lt;&gt;"", Klantgegevens_B!A486, MID(Klantgegevens_A!A486, FIND(",", Klantgegevens_A!A486)+2, LEN(Klantgegevens_A!A486)))</f>
        <v/>
      </c>
      <c r="B487">
        <f>IF(Klantgegevens_B!B486&lt;&gt;"", Klantgegevens_B!B486, LEFT(Klantgegevens_A!A486, FIND(",", Klantgegevens_A!A486)-1))</f>
        <v/>
      </c>
      <c r="C487">
        <f>C486 &amp; ", " &amp; B486</f>
        <v/>
      </c>
      <c r="D487">
        <f>IF(Klantgegevens_B!F486&lt;&gt;"", Klantgegevens_B!F486, Klantgegevens_A!D486 &amp; " " &amp; Klantgegevens_A!E486 &amp; ", " &amp; Klantgegevens_A!F486)</f>
        <v/>
      </c>
      <c r="E487">
        <f>IF(Klantgegevens_B!G486&lt;&gt;"", Klantgegevens_B!G486, TEXTJOIN(",", TRUE, REPT("Volwassene,", Klantgegevens_A!G486), REPT("Kind,", Klantgegevens_A!H486)))</f>
        <v/>
      </c>
      <c r="F487">
        <f>IF(Klantgegevens_B!G486&lt;&gt;"", LEN(Klantgegevens_B!G486)-LEN(SUBSTITUTE(Klantgegevens_B!G486, ",", ""))+1, Klantgegevens_A!G486)</f>
        <v/>
      </c>
      <c r="G487">
        <f>IF(Klantgegevens_B!G486&lt;&gt;"", 0, Klantgegevens_A!H486)</f>
        <v/>
      </c>
      <c r="H487">
        <f>IF(Klantgegevens_B!H486&lt;&gt;"", Klantgegevens_B!H486, Klantgegevens_A!I486)</f>
        <v/>
      </c>
      <c r="I487">
        <f>IF(Klantgegevens_B!I486&lt;&gt;"", Klantgegevens_B!I486, SWITCH(Klantgegevens_A!J486, "Zelden", 1, "Af en toe", 4, "Regelmatig", 8, "Vaak", 12))</f>
        <v/>
      </c>
      <c r="J487">
        <f>IF(Klantgegevens_B!J486&lt;&gt;"", Klantgegevens_B!J486, Klantgegevens_A!K486)</f>
        <v/>
      </c>
      <c r="K487">
        <f>IF(Klantgegevens_B!K486&lt;&gt;"", AVERAGE(--(Klantgegevens_B!K486="ja"), --(Klantgegevens_B!L486="ja"), --(Klantgegevens_B!M486="ja"), --(Klantgegevens_B!N486="ja"), --(Klantgegevens_B!O486="ja"))*10, Klantgegevens_A!L486)</f>
        <v/>
      </c>
      <c r="L487">
        <f>IF(Klantgegevens_B!K486&lt;&gt;"", Klantgegevens_B!K486, IF(Klantgegevens_A!L486&gt;=7, "ja", "nee"))</f>
        <v/>
      </c>
      <c r="M487">
        <f>IF(Klantgegevens_B!L486&lt;&gt;"", Klantgegevens_B!L486, IF(Klantgegevens_A!L486&gt;=7, "ja", "nee"))</f>
        <v/>
      </c>
      <c r="N487">
        <f>IF(Klantgegevens_B!M486&lt;&gt;"", Klantgegevens_B!M486, IF(Klantgegevens_A!L486&gt;=7, "ja", "nee"))</f>
        <v/>
      </c>
      <c r="O487">
        <f>IF(Klantgegevens_B!N486&lt;&gt;"", Klantgegevens_B!N486, IF(Klantgegevens_A!L486&gt;=7, "ja", "nee"))</f>
        <v/>
      </c>
      <c r="P487">
        <f>IF(Klantgegevens_B!O486&lt;&gt;"", Klantgegevens_B!O486, IF(Klantgegevens_A!L486&gt;=7, "ja", "nee"))</f>
        <v/>
      </c>
      <c r="Q487">
        <f>IF(Klantgegevens_B!P486&lt;&gt;"", Klantgegevens_B!P486, Klantgegevens_A!M486)</f>
        <v/>
      </c>
      <c r="R487">
        <f>IF(Klantgegevens_B!A486&lt;&gt;"", "B", "A")</f>
        <v/>
      </c>
    </row>
    <row r="488">
      <c r="A488">
        <f>IF(Klantgegevens_B!A487&lt;&gt;"", Klantgegevens_B!A487, MID(Klantgegevens_A!A487, FIND(",", Klantgegevens_A!A487)+2, LEN(Klantgegevens_A!A487)))</f>
        <v/>
      </c>
      <c r="B488">
        <f>IF(Klantgegevens_B!B487&lt;&gt;"", Klantgegevens_B!B487, LEFT(Klantgegevens_A!A487, FIND(",", Klantgegevens_A!A487)-1))</f>
        <v/>
      </c>
      <c r="C488">
        <f>C487 &amp; ", " &amp; B487</f>
        <v/>
      </c>
      <c r="D488">
        <f>IF(Klantgegevens_B!F487&lt;&gt;"", Klantgegevens_B!F487, Klantgegevens_A!D487 &amp; " " &amp; Klantgegevens_A!E487 &amp; ", " &amp; Klantgegevens_A!F487)</f>
        <v/>
      </c>
      <c r="E488">
        <f>IF(Klantgegevens_B!G487&lt;&gt;"", Klantgegevens_B!G487, TEXTJOIN(",", TRUE, REPT("Volwassene,", Klantgegevens_A!G487), REPT("Kind,", Klantgegevens_A!H487)))</f>
        <v/>
      </c>
      <c r="F488">
        <f>IF(Klantgegevens_B!G487&lt;&gt;"", LEN(Klantgegevens_B!G487)-LEN(SUBSTITUTE(Klantgegevens_B!G487, ",", ""))+1, Klantgegevens_A!G487)</f>
        <v/>
      </c>
      <c r="G488">
        <f>IF(Klantgegevens_B!G487&lt;&gt;"", 0, Klantgegevens_A!H487)</f>
        <v/>
      </c>
      <c r="H488">
        <f>IF(Klantgegevens_B!H487&lt;&gt;"", Klantgegevens_B!H487, Klantgegevens_A!I487)</f>
        <v/>
      </c>
      <c r="I488">
        <f>IF(Klantgegevens_B!I487&lt;&gt;"", Klantgegevens_B!I487, SWITCH(Klantgegevens_A!J487, "Zelden", 1, "Af en toe", 4, "Regelmatig", 8, "Vaak", 12))</f>
        <v/>
      </c>
      <c r="J488">
        <f>IF(Klantgegevens_B!J487&lt;&gt;"", Klantgegevens_B!J487, Klantgegevens_A!K487)</f>
        <v/>
      </c>
      <c r="K488">
        <f>IF(Klantgegevens_B!K487&lt;&gt;"", AVERAGE(--(Klantgegevens_B!K487="ja"), --(Klantgegevens_B!L487="ja"), --(Klantgegevens_B!M487="ja"), --(Klantgegevens_B!N487="ja"), --(Klantgegevens_B!O487="ja"))*10, Klantgegevens_A!L487)</f>
        <v/>
      </c>
      <c r="L488">
        <f>IF(Klantgegevens_B!K487&lt;&gt;"", Klantgegevens_B!K487, IF(Klantgegevens_A!L487&gt;=7, "ja", "nee"))</f>
        <v/>
      </c>
      <c r="M488">
        <f>IF(Klantgegevens_B!L487&lt;&gt;"", Klantgegevens_B!L487, IF(Klantgegevens_A!L487&gt;=7, "ja", "nee"))</f>
        <v/>
      </c>
      <c r="N488">
        <f>IF(Klantgegevens_B!M487&lt;&gt;"", Klantgegevens_B!M487, IF(Klantgegevens_A!L487&gt;=7, "ja", "nee"))</f>
        <v/>
      </c>
      <c r="O488">
        <f>IF(Klantgegevens_B!N487&lt;&gt;"", Klantgegevens_B!N487, IF(Klantgegevens_A!L487&gt;=7, "ja", "nee"))</f>
        <v/>
      </c>
      <c r="P488">
        <f>IF(Klantgegevens_B!O487&lt;&gt;"", Klantgegevens_B!O487, IF(Klantgegevens_A!L487&gt;=7, "ja", "nee"))</f>
        <v/>
      </c>
      <c r="Q488">
        <f>IF(Klantgegevens_B!P487&lt;&gt;"", Klantgegevens_B!P487, Klantgegevens_A!M487)</f>
        <v/>
      </c>
      <c r="R488">
        <f>IF(Klantgegevens_B!A487&lt;&gt;"", "B", "A")</f>
        <v/>
      </c>
    </row>
    <row r="489">
      <c r="A489">
        <f>IF(Klantgegevens_B!A488&lt;&gt;"", Klantgegevens_B!A488, MID(Klantgegevens_A!A488, FIND(",", Klantgegevens_A!A488)+2, LEN(Klantgegevens_A!A488)))</f>
        <v/>
      </c>
      <c r="B489">
        <f>IF(Klantgegevens_B!B488&lt;&gt;"", Klantgegevens_B!B488, LEFT(Klantgegevens_A!A488, FIND(",", Klantgegevens_A!A488)-1))</f>
        <v/>
      </c>
      <c r="C489">
        <f>C488 &amp; ", " &amp; B488</f>
        <v/>
      </c>
      <c r="D489">
        <f>IF(Klantgegevens_B!F488&lt;&gt;"", Klantgegevens_B!F488, Klantgegevens_A!D488 &amp; " " &amp; Klantgegevens_A!E488 &amp; ", " &amp; Klantgegevens_A!F488)</f>
        <v/>
      </c>
      <c r="E489">
        <f>IF(Klantgegevens_B!G488&lt;&gt;"", Klantgegevens_B!G488, TEXTJOIN(",", TRUE, REPT("Volwassene,", Klantgegevens_A!G488), REPT("Kind,", Klantgegevens_A!H488)))</f>
        <v/>
      </c>
      <c r="F489">
        <f>IF(Klantgegevens_B!G488&lt;&gt;"", LEN(Klantgegevens_B!G488)-LEN(SUBSTITUTE(Klantgegevens_B!G488, ",", ""))+1, Klantgegevens_A!G488)</f>
        <v/>
      </c>
      <c r="G489">
        <f>IF(Klantgegevens_B!G488&lt;&gt;"", 0, Klantgegevens_A!H488)</f>
        <v/>
      </c>
      <c r="H489">
        <f>IF(Klantgegevens_B!H488&lt;&gt;"", Klantgegevens_B!H488, Klantgegevens_A!I488)</f>
        <v/>
      </c>
      <c r="I489">
        <f>IF(Klantgegevens_B!I488&lt;&gt;"", Klantgegevens_B!I488, SWITCH(Klantgegevens_A!J488, "Zelden", 1, "Af en toe", 4, "Regelmatig", 8, "Vaak", 12))</f>
        <v/>
      </c>
      <c r="J489">
        <f>IF(Klantgegevens_B!J488&lt;&gt;"", Klantgegevens_B!J488, Klantgegevens_A!K488)</f>
        <v/>
      </c>
      <c r="K489">
        <f>IF(Klantgegevens_B!K488&lt;&gt;"", AVERAGE(--(Klantgegevens_B!K488="ja"), --(Klantgegevens_B!L488="ja"), --(Klantgegevens_B!M488="ja"), --(Klantgegevens_B!N488="ja"), --(Klantgegevens_B!O488="ja"))*10, Klantgegevens_A!L488)</f>
        <v/>
      </c>
      <c r="L489">
        <f>IF(Klantgegevens_B!K488&lt;&gt;"", Klantgegevens_B!K488, IF(Klantgegevens_A!L488&gt;=7, "ja", "nee"))</f>
        <v/>
      </c>
      <c r="M489">
        <f>IF(Klantgegevens_B!L488&lt;&gt;"", Klantgegevens_B!L488, IF(Klantgegevens_A!L488&gt;=7, "ja", "nee"))</f>
        <v/>
      </c>
      <c r="N489">
        <f>IF(Klantgegevens_B!M488&lt;&gt;"", Klantgegevens_B!M488, IF(Klantgegevens_A!L488&gt;=7, "ja", "nee"))</f>
        <v/>
      </c>
      <c r="O489">
        <f>IF(Klantgegevens_B!N488&lt;&gt;"", Klantgegevens_B!N488, IF(Klantgegevens_A!L488&gt;=7, "ja", "nee"))</f>
        <v/>
      </c>
      <c r="P489">
        <f>IF(Klantgegevens_B!O488&lt;&gt;"", Klantgegevens_B!O488, IF(Klantgegevens_A!L488&gt;=7, "ja", "nee"))</f>
        <v/>
      </c>
      <c r="Q489">
        <f>IF(Klantgegevens_B!P488&lt;&gt;"", Klantgegevens_B!P488, Klantgegevens_A!M488)</f>
        <v/>
      </c>
      <c r="R489">
        <f>IF(Klantgegevens_B!A488&lt;&gt;"", "B", "A")</f>
        <v/>
      </c>
    </row>
    <row r="490">
      <c r="A490">
        <f>IF(Klantgegevens_B!A489&lt;&gt;"", Klantgegevens_B!A489, MID(Klantgegevens_A!A489, FIND(",", Klantgegevens_A!A489)+2, LEN(Klantgegevens_A!A489)))</f>
        <v/>
      </c>
      <c r="B490">
        <f>IF(Klantgegevens_B!B489&lt;&gt;"", Klantgegevens_B!B489, LEFT(Klantgegevens_A!A489, FIND(",", Klantgegevens_A!A489)-1))</f>
        <v/>
      </c>
      <c r="C490">
        <f>C489 &amp; ", " &amp; B489</f>
        <v/>
      </c>
      <c r="D490">
        <f>IF(Klantgegevens_B!F489&lt;&gt;"", Klantgegevens_B!F489, Klantgegevens_A!D489 &amp; " " &amp; Klantgegevens_A!E489 &amp; ", " &amp; Klantgegevens_A!F489)</f>
        <v/>
      </c>
      <c r="E490">
        <f>IF(Klantgegevens_B!G489&lt;&gt;"", Klantgegevens_B!G489, TEXTJOIN(",", TRUE, REPT("Volwassene,", Klantgegevens_A!G489), REPT("Kind,", Klantgegevens_A!H489)))</f>
        <v/>
      </c>
      <c r="F490">
        <f>IF(Klantgegevens_B!G489&lt;&gt;"", LEN(Klantgegevens_B!G489)-LEN(SUBSTITUTE(Klantgegevens_B!G489, ",", ""))+1, Klantgegevens_A!G489)</f>
        <v/>
      </c>
      <c r="G490">
        <f>IF(Klantgegevens_B!G489&lt;&gt;"", 0, Klantgegevens_A!H489)</f>
        <v/>
      </c>
      <c r="H490">
        <f>IF(Klantgegevens_B!H489&lt;&gt;"", Klantgegevens_B!H489, Klantgegevens_A!I489)</f>
        <v/>
      </c>
      <c r="I490">
        <f>IF(Klantgegevens_B!I489&lt;&gt;"", Klantgegevens_B!I489, SWITCH(Klantgegevens_A!J489, "Zelden", 1, "Af en toe", 4, "Regelmatig", 8, "Vaak", 12))</f>
        <v/>
      </c>
      <c r="J490">
        <f>IF(Klantgegevens_B!J489&lt;&gt;"", Klantgegevens_B!J489, Klantgegevens_A!K489)</f>
        <v/>
      </c>
      <c r="K490">
        <f>IF(Klantgegevens_B!K489&lt;&gt;"", AVERAGE(--(Klantgegevens_B!K489="ja"), --(Klantgegevens_B!L489="ja"), --(Klantgegevens_B!M489="ja"), --(Klantgegevens_B!N489="ja"), --(Klantgegevens_B!O489="ja"))*10, Klantgegevens_A!L489)</f>
        <v/>
      </c>
      <c r="L490">
        <f>IF(Klantgegevens_B!K489&lt;&gt;"", Klantgegevens_B!K489, IF(Klantgegevens_A!L489&gt;=7, "ja", "nee"))</f>
        <v/>
      </c>
      <c r="M490">
        <f>IF(Klantgegevens_B!L489&lt;&gt;"", Klantgegevens_B!L489, IF(Klantgegevens_A!L489&gt;=7, "ja", "nee"))</f>
        <v/>
      </c>
      <c r="N490">
        <f>IF(Klantgegevens_B!M489&lt;&gt;"", Klantgegevens_B!M489, IF(Klantgegevens_A!L489&gt;=7, "ja", "nee"))</f>
        <v/>
      </c>
      <c r="O490">
        <f>IF(Klantgegevens_B!N489&lt;&gt;"", Klantgegevens_B!N489, IF(Klantgegevens_A!L489&gt;=7, "ja", "nee"))</f>
        <v/>
      </c>
      <c r="P490">
        <f>IF(Klantgegevens_B!O489&lt;&gt;"", Klantgegevens_B!O489, IF(Klantgegevens_A!L489&gt;=7, "ja", "nee"))</f>
        <v/>
      </c>
      <c r="Q490">
        <f>IF(Klantgegevens_B!P489&lt;&gt;"", Klantgegevens_B!P489, Klantgegevens_A!M489)</f>
        <v/>
      </c>
      <c r="R490">
        <f>IF(Klantgegevens_B!A489&lt;&gt;"", "B", "A")</f>
        <v/>
      </c>
    </row>
    <row r="491">
      <c r="A491">
        <f>IF(Klantgegevens_B!A490&lt;&gt;"", Klantgegevens_B!A490, MID(Klantgegevens_A!A490, FIND(",", Klantgegevens_A!A490)+2, LEN(Klantgegevens_A!A490)))</f>
        <v/>
      </c>
      <c r="B491">
        <f>IF(Klantgegevens_B!B490&lt;&gt;"", Klantgegevens_B!B490, LEFT(Klantgegevens_A!A490, FIND(",", Klantgegevens_A!A490)-1))</f>
        <v/>
      </c>
      <c r="C491">
        <f>C490 &amp; ", " &amp; B490</f>
        <v/>
      </c>
      <c r="D491">
        <f>IF(Klantgegevens_B!F490&lt;&gt;"", Klantgegevens_B!F490, Klantgegevens_A!D490 &amp; " " &amp; Klantgegevens_A!E490 &amp; ", " &amp; Klantgegevens_A!F490)</f>
        <v/>
      </c>
      <c r="E491">
        <f>IF(Klantgegevens_B!G490&lt;&gt;"", Klantgegevens_B!G490, TEXTJOIN(",", TRUE, REPT("Volwassene,", Klantgegevens_A!G490), REPT("Kind,", Klantgegevens_A!H490)))</f>
        <v/>
      </c>
      <c r="F491">
        <f>IF(Klantgegevens_B!G490&lt;&gt;"", LEN(Klantgegevens_B!G490)-LEN(SUBSTITUTE(Klantgegevens_B!G490, ",", ""))+1, Klantgegevens_A!G490)</f>
        <v/>
      </c>
      <c r="G491">
        <f>IF(Klantgegevens_B!G490&lt;&gt;"", 0, Klantgegevens_A!H490)</f>
        <v/>
      </c>
      <c r="H491">
        <f>IF(Klantgegevens_B!H490&lt;&gt;"", Klantgegevens_B!H490, Klantgegevens_A!I490)</f>
        <v/>
      </c>
      <c r="I491">
        <f>IF(Klantgegevens_B!I490&lt;&gt;"", Klantgegevens_B!I490, SWITCH(Klantgegevens_A!J490, "Zelden", 1, "Af en toe", 4, "Regelmatig", 8, "Vaak", 12))</f>
        <v/>
      </c>
      <c r="J491">
        <f>IF(Klantgegevens_B!J490&lt;&gt;"", Klantgegevens_B!J490, Klantgegevens_A!K490)</f>
        <v/>
      </c>
      <c r="K491">
        <f>IF(Klantgegevens_B!K490&lt;&gt;"", AVERAGE(--(Klantgegevens_B!K490="ja"), --(Klantgegevens_B!L490="ja"), --(Klantgegevens_B!M490="ja"), --(Klantgegevens_B!N490="ja"), --(Klantgegevens_B!O490="ja"))*10, Klantgegevens_A!L490)</f>
        <v/>
      </c>
      <c r="L491">
        <f>IF(Klantgegevens_B!K490&lt;&gt;"", Klantgegevens_B!K490, IF(Klantgegevens_A!L490&gt;=7, "ja", "nee"))</f>
        <v/>
      </c>
      <c r="M491">
        <f>IF(Klantgegevens_B!L490&lt;&gt;"", Klantgegevens_B!L490, IF(Klantgegevens_A!L490&gt;=7, "ja", "nee"))</f>
        <v/>
      </c>
      <c r="N491">
        <f>IF(Klantgegevens_B!M490&lt;&gt;"", Klantgegevens_B!M490, IF(Klantgegevens_A!L490&gt;=7, "ja", "nee"))</f>
        <v/>
      </c>
      <c r="O491">
        <f>IF(Klantgegevens_B!N490&lt;&gt;"", Klantgegevens_B!N490, IF(Klantgegevens_A!L490&gt;=7, "ja", "nee"))</f>
        <v/>
      </c>
      <c r="P491">
        <f>IF(Klantgegevens_B!O490&lt;&gt;"", Klantgegevens_B!O490, IF(Klantgegevens_A!L490&gt;=7, "ja", "nee"))</f>
        <v/>
      </c>
      <c r="Q491">
        <f>IF(Klantgegevens_B!P490&lt;&gt;"", Klantgegevens_B!P490, Klantgegevens_A!M490)</f>
        <v/>
      </c>
      <c r="R491">
        <f>IF(Klantgegevens_B!A490&lt;&gt;"", "B", "A")</f>
        <v/>
      </c>
    </row>
    <row r="492">
      <c r="A492">
        <f>IF(Klantgegevens_B!A491&lt;&gt;"", Klantgegevens_B!A491, MID(Klantgegevens_A!A491, FIND(",", Klantgegevens_A!A491)+2, LEN(Klantgegevens_A!A491)))</f>
        <v/>
      </c>
      <c r="B492">
        <f>IF(Klantgegevens_B!B491&lt;&gt;"", Klantgegevens_B!B491, LEFT(Klantgegevens_A!A491, FIND(",", Klantgegevens_A!A491)-1))</f>
        <v/>
      </c>
      <c r="C492">
        <f>C491 &amp; ", " &amp; B491</f>
        <v/>
      </c>
      <c r="D492">
        <f>IF(Klantgegevens_B!F491&lt;&gt;"", Klantgegevens_B!F491, Klantgegevens_A!D491 &amp; " " &amp; Klantgegevens_A!E491 &amp; ", " &amp; Klantgegevens_A!F491)</f>
        <v/>
      </c>
      <c r="E492">
        <f>IF(Klantgegevens_B!G491&lt;&gt;"", Klantgegevens_B!G491, TEXTJOIN(",", TRUE, REPT("Volwassene,", Klantgegevens_A!G491), REPT("Kind,", Klantgegevens_A!H491)))</f>
        <v/>
      </c>
      <c r="F492">
        <f>IF(Klantgegevens_B!G491&lt;&gt;"", LEN(Klantgegevens_B!G491)-LEN(SUBSTITUTE(Klantgegevens_B!G491, ",", ""))+1, Klantgegevens_A!G491)</f>
        <v/>
      </c>
      <c r="G492">
        <f>IF(Klantgegevens_B!G491&lt;&gt;"", 0, Klantgegevens_A!H491)</f>
        <v/>
      </c>
      <c r="H492">
        <f>IF(Klantgegevens_B!H491&lt;&gt;"", Klantgegevens_B!H491, Klantgegevens_A!I491)</f>
        <v/>
      </c>
      <c r="I492">
        <f>IF(Klantgegevens_B!I491&lt;&gt;"", Klantgegevens_B!I491, SWITCH(Klantgegevens_A!J491, "Zelden", 1, "Af en toe", 4, "Regelmatig", 8, "Vaak", 12))</f>
        <v/>
      </c>
      <c r="J492">
        <f>IF(Klantgegevens_B!J491&lt;&gt;"", Klantgegevens_B!J491, Klantgegevens_A!K491)</f>
        <v/>
      </c>
      <c r="K492">
        <f>IF(Klantgegevens_B!K491&lt;&gt;"", AVERAGE(--(Klantgegevens_B!K491="ja"), --(Klantgegevens_B!L491="ja"), --(Klantgegevens_B!M491="ja"), --(Klantgegevens_B!N491="ja"), --(Klantgegevens_B!O491="ja"))*10, Klantgegevens_A!L491)</f>
        <v/>
      </c>
      <c r="L492">
        <f>IF(Klantgegevens_B!K491&lt;&gt;"", Klantgegevens_B!K491, IF(Klantgegevens_A!L491&gt;=7, "ja", "nee"))</f>
        <v/>
      </c>
      <c r="M492">
        <f>IF(Klantgegevens_B!L491&lt;&gt;"", Klantgegevens_B!L491, IF(Klantgegevens_A!L491&gt;=7, "ja", "nee"))</f>
        <v/>
      </c>
      <c r="N492">
        <f>IF(Klantgegevens_B!M491&lt;&gt;"", Klantgegevens_B!M491, IF(Klantgegevens_A!L491&gt;=7, "ja", "nee"))</f>
        <v/>
      </c>
      <c r="O492">
        <f>IF(Klantgegevens_B!N491&lt;&gt;"", Klantgegevens_B!N491, IF(Klantgegevens_A!L491&gt;=7, "ja", "nee"))</f>
        <v/>
      </c>
      <c r="P492">
        <f>IF(Klantgegevens_B!O491&lt;&gt;"", Klantgegevens_B!O491, IF(Klantgegevens_A!L491&gt;=7, "ja", "nee"))</f>
        <v/>
      </c>
      <c r="Q492">
        <f>IF(Klantgegevens_B!P491&lt;&gt;"", Klantgegevens_B!P491, Klantgegevens_A!M491)</f>
        <v/>
      </c>
      <c r="R492">
        <f>IF(Klantgegevens_B!A491&lt;&gt;"", "B", "A")</f>
        <v/>
      </c>
    </row>
    <row r="493">
      <c r="A493">
        <f>IF(Klantgegevens_B!A492&lt;&gt;"", Klantgegevens_B!A492, MID(Klantgegevens_A!A492, FIND(",", Klantgegevens_A!A492)+2, LEN(Klantgegevens_A!A492)))</f>
        <v/>
      </c>
      <c r="B493">
        <f>IF(Klantgegevens_B!B492&lt;&gt;"", Klantgegevens_B!B492, LEFT(Klantgegevens_A!A492, FIND(",", Klantgegevens_A!A492)-1))</f>
        <v/>
      </c>
      <c r="C493">
        <f>C492 &amp; ", " &amp; B492</f>
        <v/>
      </c>
      <c r="D493">
        <f>IF(Klantgegevens_B!F492&lt;&gt;"", Klantgegevens_B!F492, Klantgegevens_A!D492 &amp; " " &amp; Klantgegevens_A!E492 &amp; ", " &amp; Klantgegevens_A!F492)</f>
        <v/>
      </c>
      <c r="E493">
        <f>IF(Klantgegevens_B!G492&lt;&gt;"", Klantgegevens_B!G492, TEXTJOIN(",", TRUE, REPT("Volwassene,", Klantgegevens_A!G492), REPT("Kind,", Klantgegevens_A!H492)))</f>
        <v/>
      </c>
      <c r="F493">
        <f>IF(Klantgegevens_B!G492&lt;&gt;"", LEN(Klantgegevens_B!G492)-LEN(SUBSTITUTE(Klantgegevens_B!G492, ",", ""))+1, Klantgegevens_A!G492)</f>
        <v/>
      </c>
      <c r="G493">
        <f>IF(Klantgegevens_B!G492&lt;&gt;"", 0, Klantgegevens_A!H492)</f>
        <v/>
      </c>
      <c r="H493">
        <f>IF(Klantgegevens_B!H492&lt;&gt;"", Klantgegevens_B!H492, Klantgegevens_A!I492)</f>
        <v/>
      </c>
      <c r="I493">
        <f>IF(Klantgegevens_B!I492&lt;&gt;"", Klantgegevens_B!I492, SWITCH(Klantgegevens_A!J492, "Zelden", 1, "Af en toe", 4, "Regelmatig", 8, "Vaak", 12))</f>
        <v/>
      </c>
      <c r="J493">
        <f>IF(Klantgegevens_B!J492&lt;&gt;"", Klantgegevens_B!J492, Klantgegevens_A!K492)</f>
        <v/>
      </c>
      <c r="K493">
        <f>IF(Klantgegevens_B!K492&lt;&gt;"", AVERAGE(--(Klantgegevens_B!K492="ja"), --(Klantgegevens_B!L492="ja"), --(Klantgegevens_B!M492="ja"), --(Klantgegevens_B!N492="ja"), --(Klantgegevens_B!O492="ja"))*10, Klantgegevens_A!L492)</f>
        <v/>
      </c>
      <c r="L493">
        <f>IF(Klantgegevens_B!K492&lt;&gt;"", Klantgegevens_B!K492, IF(Klantgegevens_A!L492&gt;=7, "ja", "nee"))</f>
        <v/>
      </c>
      <c r="M493">
        <f>IF(Klantgegevens_B!L492&lt;&gt;"", Klantgegevens_B!L492, IF(Klantgegevens_A!L492&gt;=7, "ja", "nee"))</f>
        <v/>
      </c>
      <c r="N493">
        <f>IF(Klantgegevens_B!M492&lt;&gt;"", Klantgegevens_B!M492, IF(Klantgegevens_A!L492&gt;=7, "ja", "nee"))</f>
        <v/>
      </c>
      <c r="O493">
        <f>IF(Klantgegevens_B!N492&lt;&gt;"", Klantgegevens_B!N492, IF(Klantgegevens_A!L492&gt;=7, "ja", "nee"))</f>
        <v/>
      </c>
      <c r="P493">
        <f>IF(Klantgegevens_B!O492&lt;&gt;"", Klantgegevens_B!O492, IF(Klantgegevens_A!L492&gt;=7, "ja", "nee"))</f>
        <v/>
      </c>
      <c r="Q493">
        <f>IF(Klantgegevens_B!P492&lt;&gt;"", Klantgegevens_B!P492, Klantgegevens_A!M492)</f>
        <v/>
      </c>
      <c r="R493">
        <f>IF(Klantgegevens_B!A492&lt;&gt;"", "B", "A")</f>
        <v/>
      </c>
    </row>
    <row r="494">
      <c r="A494">
        <f>IF(Klantgegevens_B!A493&lt;&gt;"", Klantgegevens_B!A493, MID(Klantgegevens_A!A493, FIND(",", Klantgegevens_A!A493)+2, LEN(Klantgegevens_A!A493)))</f>
        <v/>
      </c>
      <c r="B494">
        <f>IF(Klantgegevens_B!B493&lt;&gt;"", Klantgegevens_B!B493, LEFT(Klantgegevens_A!A493, FIND(",", Klantgegevens_A!A493)-1))</f>
        <v/>
      </c>
      <c r="C494">
        <f>C493 &amp; ", " &amp; B493</f>
        <v/>
      </c>
      <c r="D494">
        <f>IF(Klantgegevens_B!F493&lt;&gt;"", Klantgegevens_B!F493, Klantgegevens_A!D493 &amp; " " &amp; Klantgegevens_A!E493 &amp; ", " &amp; Klantgegevens_A!F493)</f>
        <v/>
      </c>
      <c r="E494">
        <f>IF(Klantgegevens_B!G493&lt;&gt;"", Klantgegevens_B!G493, TEXTJOIN(",", TRUE, REPT("Volwassene,", Klantgegevens_A!G493), REPT("Kind,", Klantgegevens_A!H493)))</f>
        <v/>
      </c>
      <c r="F494">
        <f>IF(Klantgegevens_B!G493&lt;&gt;"", LEN(Klantgegevens_B!G493)-LEN(SUBSTITUTE(Klantgegevens_B!G493, ",", ""))+1, Klantgegevens_A!G493)</f>
        <v/>
      </c>
      <c r="G494">
        <f>IF(Klantgegevens_B!G493&lt;&gt;"", 0, Klantgegevens_A!H493)</f>
        <v/>
      </c>
      <c r="H494">
        <f>IF(Klantgegevens_B!H493&lt;&gt;"", Klantgegevens_B!H493, Klantgegevens_A!I493)</f>
        <v/>
      </c>
      <c r="I494">
        <f>IF(Klantgegevens_B!I493&lt;&gt;"", Klantgegevens_B!I493, SWITCH(Klantgegevens_A!J493, "Zelden", 1, "Af en toe", 4, "Regelmatig", 8, "Vaak", 12))</f>
        <v/>
      </c>
      <c r="J494">
        <f>IF(Klantgegevens_B!J493&lt;&gt;"", Klantgegevens_B!J493, Klantgegevens_A!K493)</f>
        <v/>
      </c>
      <c r="K494">
        <f>IF(Klantgegevens_B!K493&lt;&gt;"", AVERAGE(--(Klantgegevens_B!K493="ja"), --(Klantgegevens_B!L493="ja"), --(Klantgegevens_B!M493="ja"), --(Klantgegevens_B!N493="ja"), --(Klantgegevens_B!O493="ja"))*10, Klantgegevens_A!L493)</f>
        <v/>
      </c>
      <c r="L494">
        <f>IF(Klantgegevens_B!K493&lt;&gt;"", Klantgegevens_B!K493, IF(Klantgegevens_A!L493&gt;=7, "ja", "nee"))</f>
        <v/>
      </c>
      <c r="M494">
        <f>IF(Klantgegevens_B!L493&lt;&gt;"", Klantgegevens_B!L493, IF(Klantgegevens_A!L493&gt;=7, "ja", "nee"))</f>
        <v/>
      </c>
      <c r="N494">
        <f>IF(Klantgegevens_B!M493&lt;&gt;"", Klantgegevens_B!M493, IF(Klantgegevens_A!L493&gt;=7, "ja", "nee"))</f>
        <v/>
      </c>
      <c r="O494">
        <f>IF(Klantgegevens_B!N493&lt;&gt;"", Klantgegevens_B!N493, IF(Klantgegevens_A!L493&gt;=7, "ja", "nee"))</f>
        <v/>
      </c>
      <c r="P494">
        <f>IF(Klantgegevens_B!O493&lt;&gt;"", Klantgegevens_B!O493, IF(Klantgegevens_A!L493&gt;=7, "ja", "nee"))</f>
        <v/>
      </c>
      <c r="Q494">
        <f>IF(Klantgegevens_B!P493&lt;&gt;"", Klantgegevens_B!P493, Klantgegevens_A!M493)</f>
        <v/>
      </c>
      <c r="R494">
        <f>IF(Klantgegevens_B!A493&lt;&gt;"", "B", "A")</f>
        <v/>
      </c>
    </row>
    <row r="495">
      <c r="A495">
        <f>IF(Klantgegevens_B!A494&lt;&gt;"", Klantgegevens_B!A494, MID(Klantgegevens_A!A494, FIND(",", Klantgegevens_A!A494)+2, LEN(Klantgegevens_A!A494)))</f>
        <v/>
      </c>
      <c r="B495">
        <f>IF(Klantgegevens_B!B494&lt;&gt;"", Klantgegevens_B!B494, LEFT(Klantgegevens_A!A494, FIND(",", Klantgegevens_A!A494)-1))</f>
        <v/>
      </c>
      <c r="C495">
        <f>C494 &amp; ", " &amp; B494</f>
        <v/>
      </c>
      <c r="D495">
        <f>IF(Klantgegevens_B!F494&lt;&gt;"", Klantgegevens_B!F494, Klantgegevens_A!D494 &amp; " " &amp; Klantgegevens_A!E494 &amp; ", " &amp; Klantgegevens_A!F494)</f>
        <v/>
      </c>
      <c r="E495">
        <f>IF(Klantgegevens_B!G494&lt;&gt;"", Klantgegevens_B!G494, TEXTJOIN(",", TRUE, REPT("Volwassene,", Klantgegevens_A!G494), REPT("Kind,", Klantgegevens_A!H494)))</f>
        <v/>
      </c>
      <c r="F495">
        <f>IF(Klantgegevens_B!G494&lt;&gt;"", LEN(Klantgegevens_B!G494)-LEN(SUBSTITUTE(Klantgegevens_B!G494, ",", ""))+1, Klantgegevens_A!G494)</f>
        <v/>
      </c>
      <c r="G495">
        <f>IF(Klantgegevens_B!G494&lt;&gt;"", 0, Klantgegevens_A!H494)</f>
        <v/>
      </c>
      <c r="H495">
        <f>IF(Klantgegevens_B!H494&lt;&gt;"", Klantgegevens_B!H494, Klantgegevens_A!I494)</f>
        <v/>
      </c>
      <c r="I495">
        <f>IF(Klantgegevens_B!I494&lt;&gt;"", Klantgegevens_B!I494, SWITCH(Klantgegevens_A!J494, "Zelden", 1, "Af en toe", 4, "Regelmatig", 8, "Vaak", 12))</f>
        <v/>
      </c>
      <c r="J495">
        <f>IF(Klantgegevens_B!J494&lt;&gt;"", Klantgegevens_B!J494, Klantgegevens_A!K494)</f>
        <v/>
      </c>
      <c r="K495">
        <f>IF(Klantgegevens_B!K494&lt;&gt;"", AVERAGE(--(Klantgegevens_B!K494="ja"), --(Klantgegevens_B!L494="ja"), --(Klantgegevens_B!M494="ja"), --(Klantgegevens_B!N494="ja"), --(Klantgegevens_B!O494="ja"))*10, Klantgegevens_A!L494)</f>
        <v/>
      </c>
      <c r="L495">
        <f>IF(Klantgegevens_B!K494&lt;&gt;"", Klantgegevens_B!K494, IF(Klantgegevens_A!L494&gt;=7, "ja", "nee"))</f>
        <v/>
      </c>
      <c r="M495">
        <f>IF(Klantgegevens_B!L494&lt;&gt;"", Klantgegevens_B!L494, IF(Klantgegevens_A!L494&gt;=7, "ja", "nee"))</f>
        <v/>
      </c>
      <c r="N495">
        <f>IF(Klantgegevens_B!M494&lt;&gt;"", Klantgegevens_B!M494, IF(Klantgegevens_A!L494&gt;=7, "ja", "nee"))</f>
        <v/>
      </c>
      <c r="O495">
        <f>IF(Klantgegevens_B!N494&lt;&gt;"", Klantgegevens_B!N494, IF(Klantgegevens_A!L494&gt;=7, "ja", "nee"))</f>
        <v/>
      </c>
      <c r="P495">
        <f>IF(Klantgegevens_B!O494&lt;&gt;"", Klantgegevens_B!O494, IF(Klantgegevens_A!L494&gt;=7, "ja", "nee"))</f>
        <v/>
      </c>
      <c r="Q495">
        <f>IF(Klantgegevens_B!P494&lt;&gt;"", Klantgegevens_B!P494, Klantgegevens_A!M494)</f>
        <v/>
      </c>
      <c r="R495">
        <f>IF(Klantgegevens_B!A494&lt;&gt;"", "B", "A")</f>
        <v/>
      </c>
    </row>
    <row r="496">
      <c r="A496">
        <f>IF(Klantgegevens_B!A495&lt;&gt;"", Klantgegevens_B!A495, MID(Klantgegevens_A!A495, FIND(",", Klantgegevens_A!A495)+2, LEN(Klantgegevens_A!A495)))</f>
        <v/>
      </c>
      <c r="B496">
        <f>IF(Klantgegevens_B!B495&lt;&gt;"", Klantgegevens_B!B495, LEFT(Klantgegevens_A!A495, FIND(",", Klantgegevens_A!A495)-1))</f>
        <v/>
      </c>
      <c r="C496">
        <f>C495 &amp; ", " &amp; B495</f>
        <v/>
      </c>
      <c r="D496">
        <f>IF(Klantgegevens_B!F495&lt;&gt;"", Klantgegevens_B!F495, Klantgegevens_A!D495 &amp; " " &amp; Klantgegevens_A!E495 &amp; ", " &amp; Klantgegevens_A!F495)</f>
        <v/>
      </c>
      <c r="E496">
        <f>IF(Klantgegevens_B!G495&lt;&gt;"", Klantgegevens_B!G495, TEXTJOIN(",", TRUE, REPT("Volwassene,", Klantgegevens_A!G495), REPT("Kind,", Klantgegevens_A!H495)))</f>
        <v/>
      </c>
      <c r="F496">
        <f>IF(Klantgegevens_B!G495&lt;&gt;"", LEN(Klantgegevens_B!G495)-LEN(SUBSTITUTE(Klantgegevens_B!G495, ",", ""))+1, Klantgegevens_A!G495)</f>
        <v/>
      </c>
      <c r="G496">
        <f>IF(Klantgegevens_B!G495&lt;&gt;"", 0, Klantgegevens_A!H495)</f>
        <v/>
      </c>
      <c r="H496">
        <f>IF(Klantgegevens_B!H495&lt;&gt;"", Klantgegevens_B!H495, Klantgegevens_A!I495)</f>
        <v/>
      </c>
      <c r="I496">
        <f>IF(Klantgegevens_B!I495&lt;&gt;"", Klantgegevens_B!I495, SWITCH(Klantgegevens_A!J495, "Zelden", 1, "Af en toe", 4, "Regelmatig", 8, "Vaak", 12))</f>
        <v/>
      </c>
      <c r="J496">
        <f>IF(Klantgegevens_B!J495&lt;&gt;"", Klantgegevens_B!J495, Klantgegevens_A!K495)</f>
        <v/>
      </c>
      <c r="K496">
        <f>IF(Klantgegevens_B!K495&lt;&gt;"", AVERAGE(--(Klantgegevens_B!K495="ja"), --(Klantgegevens_B!L495="ja"), --(Klantgegevens_B!M495="ja"), --(Klantgegevens_B!N495="ja"), --(Klantgegevens_B!O495="ja"))*10, Klantgegevens_A!L495)</f>
        <v/>
      </c>
      <c r="L496">
        <f>IF(Klantgegevens_B!K495&lt;&gt;"", Klantgegevens_B!K495, IF(Klantgegevens_A!L495&gt;=7, "ja", "nee"))</f>
        <v/>
      </c>
      <c r="M496">
        <f>IF(Klantgegevens_B!L495&lt;&gt;"", Klantgegevens_B!L495, IF(Klantgegevens_A!L495&gt;=7, "ja", "nee"))</f>
        <v/>
      </c>
      <c r="N496">
        <f>IF(Klantgegevens_B!M495&lt;&gt;"", Klantgegevens_B!M495, IF(Klantgegevens_A!L495&gt;=7, "ja", "nee"))</f>
        <v/>
      </c>
      <c r="O496">
        <f>IF(Klantgegevens_B!N495&lt;&gt;"", Klantgegevens_B!N495, IF(Klantgegevens_A!L495&gt;=7, "ja", "nee"))</f>
        <v/>
      </c>
      <c r="P496">
        <f>IF(Klantgegevens_B!O495&lt;&gt;"", Klantgegevens_B!O495, IF(Klantgegevens_A!L495&gt;=7, "ja", "nee"))</f>
        <v/>
      </c>
      <c r="Q496">
        <f>IF(Klantgegevens_B!P495&lt;&gt;"", Klantgegevens_B!P495, Klantgegevens_A!M495)</f>
        <v/>
      </c>
      <c r="R496">
        <f>IF(Klantgegevens_B!A495&lt;&gt;"", "B", "A")</f>
        <v/>
      </c>
    </row>
    <row r="497">
      <c r="A497">
        <f>IF(Klantgegevens_B!A496&lt;&gt;"", Klantgegevens_B!A496, MID(Klantgegevens_A!A496, FIND(",", Klantgegevens_A!A496)+2, LEN(Klantgegevens_A!A496)))</f>
        <v/>
      </c>
      <c r="B497">
        <f>IF(Klantgegevens_B!B496&lt;&gt;"", Klantgegevens_B!B496, LEFT(Klantgegevens_A!A496, FIND(",", Klantgegevens_A!A496)-1))</f>
        <v/>
      </c>
      <c r="C497">
        <f>C496 &amp; ", " &amp; B496</f>
        <v/>
      </c>
      <c r="D497">
        <f>IF(Klantgegevens_B!F496&lt;&gt;"", Klantgegevens_B!F496, Klantgegevens_A!D496 &amp; " " &amp; Klantgegevens_A!E496 &amp; ", " &amp; Klantgegevens_A!F496)</f>
        <v/>
      </c>
      <c r="E497">
        <f>IF(Klantgegevens_B!G496&lt;&gt;"", Klantgegevens_B!G496, TEXTJOIN(",", TRUE, REPT("Volwassene,", Klantgegevens_A!G496), REPT("Kind,", Klantgegevens_A!H496)))</f>
        <v/>
      </c>
      <c r="F497">
        <f>IF(Klantgegevens_B!G496&lt;&gt;"", LEN(Klantgegevens_B!G496)-LEN(SUBSTITUTE(Klantgegevens_B!G496, ",", ""))+1, Klantgegevens_A!G496)</f>
        <v/>
      </c>
      <c r="G497">
        <f>IF(Klantgegevens_B!G496&lt;&gt;"", 0, Klantgegevens_A!H496)</f>
        <v/>
      </c>
      <c r="H497">
        <f>IF(Klantgegevens_B!H496&lt;&gt;"", Klantgegevens_B!H496, Klantgegevens_A!I496)</f>
        <v/>
      </c>
      <c r="I497">
        <f>IF(Klantgegevens_B!I496&lt;&gt;"", Klantgegevens_B!I496, SWITCH(Klantgegevens_A!J496, "Zelden", 1, "Af en toe", 4, "Regelmatig", 8, "Vaak", 12))</f>
        <v/>
      </c>
      <c r="J497">
        <f>IF(Klantgegevens_B!J496&lt;&gt;"", Klantgegevens_B!J496, Klantgegevens_A!K496)</f>
        <v/>
      </c>
      <c r="K497">
        <f>IF(Klantgegevens_B!K496&lt;&gt;"", AVERAGE(--(Klantgegevens_B!K496="ja"), --(Klantgegevens_B!L496="ja"), --(Klantgegevens_B!M496="ja"), --(Klantgegevens_B!N496="ja"), --(Klantgegevens_B!O496="ja"))*10, Klantgegevens_A!L496)</f>
        <v/>
      </c>
      <c r="L497">
        <f>IF(Klantgegevens_B!K496&lt;&gt;"", Klantgegevens_B!K496, IF(Klantgegevens_A!L496&gt;=7, "ja", "nee"))</f>
        <v/>
      </c>
      <c r="M497">
        <f>IF(Klantgegevens_B!L496&lt;&gt;"", Klantgegevens_B!L496, IF(Klantgegevens_A!L496&gt;=7, "ja", "nee"))</f>
        <v/>
      </c>
      <c r="N497">
        <f>IF(Klantgegevens_B!M496&lt;&gt;"", Klantgegevens_B!M496, IF(Klantgegevens_A!L496&gt;=7, "ja", "nee"))</f>
        <v/>
      </c>
      <c r="O497">
        <f>IF(Klantgegevens_B!N496&lt;&gt;"", Klantgegevens_B!N496, IF(Klantgegevens_A!L496&gt;=7, "ja", "nee"))</f>
        <v/>
      </c>
      <c r="P497">
        <f>IF(Klantgegevens_B!O496&lt;&gt;"", Klantgegevens_B!O496, IF(Klantgegevens_A!L496&gt;=7, "ja", "nee"))</f>
        <v/>
      </c>
      <c r="Q497">
        <f>IF(Klantgegevens_B!P496&lt;&gt;"", Klantgegevens_B!P496, Klantgegevens_A!M496)</f>
        <v/>
      </c>
      <c r="R497">
        <f>IF(Klantgegevens_B!A496&lt;&gt;"", "B", "A")</f>
        <v/>
      </c>
    </row>
    <row r="498">
      <c r="A498">
        <f>IF(Klantgegevens_B!A497&lt;&gt;"", Klantgegevens_B!A497, MID(Klantgegevens_A!A497, FIND(",", Klantgegevens_A!A497)+2, LEN(Klantgegevens_A!A497)))</f>
        <v/>
      </c>
      <c r="B498">
        <f>IF(Klantgegevens_B!B497&lt;&gt;"", Klantgegevens_B!B497, LEFT(Klantgegevens_A!A497, FIND(",", Klantgegevens_A!A497)-1))</f>
        <v/>
      </c>
      <c r="C498">
        <f>C497 &amp; ", " &amp; B497</f>
        <v/>
      </c>
      <c r="D498">
        <f>IF(Klantgegevens_B!F497&lt;&gt;"", Klantgegevens_B!F497, Klantgegevens_A!D497 &amp; " " &amp; Klantgegevens_A!E497 &amp; ", " &amp; Klantgegevens_A!F497)</f>
        <v/>
      </c>
      <c r="E498">
        <f>IF(Klantgegevens_B!G497&lt;&gt;"", Klantgegevens_B!G497, TEXTJOIN(",", TRUE, REPT("Volwassene,", Klantgegevens_A!G497), REPT("Kind,", Klantgegevens_A!H497)))</f>
        <v/>
      </c>
      <c r="F498">
        <f>IF(Klantgegevens_B!G497&lt;&gt;"", LEN(Klantgegevens_B!G497)-LEN(SUBSTITUTE(Klantgegevens_B!G497, ",", ""))+1, Klantgegevens_A!G497)</f>
        <v/>
      </c>
      <c r="G498">
        <f>IF(Klantgegevens_B!G497&lt;&gt;"", 0, Klantgegevens_A!H497)</f>
        <v/>
      </c>
      <c r="H498">
        <f>IF(Klantgegevens_B!H497&lt;&gt;"", Klantgegevens_B!H497, Klantgegevens_A!I497)</f>
        <v/>
      </c>
      <c r="I498">
        <f>IF(Klantgegevens_B!I497&lt;&gt;"", Klantgegevens_B!I497, SWITCH(Klantgegevens_A!J497, "Zelden", 1, "Af en toe", 4, "Regelmatig", 8, "Vaak", 12))</f>
        <v/>
      </c>
      <c r="J498">
        <f>IF(Klantgegevens_B!J497&lt;&gt;"", Klantgegevens_B!J497, Klantgegevens_A!K497)</f>
        <v/>
      </c>
      <c r="K498">
        <f>IF(Klantgegevens_B!K497&lt;&gt;"", AVERAGE(--(Klantgegevens_B!K497="ja"), --(Klantgegevens_B!L497="ja"), --(Klantgegevens_B!M497="ja"), --(Klantgegevens_B!N497="ja"), --(Klantgegevens_B!O497="ja"))*10, Klantgegevens_A!L497)</f>
        <v/>
      </c>
      <c r="L498">
        <f>IF(Klantgegevens_B!K497&lt;&gt;"", Klantgegevens_B!K497, IF(Klantgegevens_A!L497&gt;=7, "ja", "nee"))</f>
        <v/>
      </c>
      <c r="M498">
        <f>IF(Klantgegevens_B!L497&lt;&gt;"", Klantgegevens_B!L497, IF(Klantgegevens_A!L497&gt;=7, "ja", "nee"))</f>
        <v/>
      </c>
      <c r="N498">
        <f>IF(Klantgegevens_B!M497&lt;&gt;"", Klantgegevens_B!M497, IF(Klantgegevens_A!L497&gt;=7, "ja", "nee"))</f>
        <v/>
      </c>
      <c r="O498">
        <f>IF(Klantgegevens_B!N497&lt;&gt;"", Klantgegevens_B!N497, IF(Klantgegevens_A!L497&gt;=7, "ja", "nee"))</f>
        <v/>
      </c>
      <c r="P498">
        <f>IF(Klantgegevens_B!O497&lt;&gt;"", Klantgegevens_B!O497, IF(Klantgegevens_A!L497&gt;=7, "ja", "nee"))</f>
        <v/>
      </c>
      <c r="Q498">
        <f>IF(Klantgegevens_B!P497&lt;&gt;"", Klantgegevens_B!P497, Klantgegevens_A!M497)</f>
        <v/>
      </c>
      <c r="R498">
        <f>IF(Klantgegevens_B!A497&lt;&gt;"", "B", "A")</f>
        <v/>
      </c>
    </row>
    <row r="499">
      <c r="A499">
        <f>IF(Klantgegevens_B!A498&lt;&gt;"", Klantgegevens_B!A498, MID(Klantgegevens_A!A498, FIND(",", Klantgegevens_A!A498)+2, LEN(Klantgegevens_A!A498)))</f>
        <v/>
      </c>
      <c r="B499">
        <f>IF(Klantgegevens_B!B498&lt;&gt;"", Klantgegevens_B!B498, LEFT(Klantgegevens_A!A498, FIND(",", Klantgegevens_A!A498)-1))</f>
        <v/>
      </c>
      <c r="C499">
        <f>C498 &amp; ", " &amp; B498</f>
        <v/>
      </c>
      <c r="D499">
        <f>IF(Klantgegevens_B!F498&lt;&gt;"", Klantgegevens_B!F498, Klantgegevens_A!D498 &amp; " " &amp; Klantgegevens_A!E498 &amp; ", " &amp; Klantgegevens_A!F498)</f>
        <v/>
      </c>
      <c r="E499">
        <f>IF(Klantgegevens_B!G498&lt;&gt;"", Klantgegevens_B!G498, TEXTJOIN(",", TRUE, REPT("Volwassene,", Klantgegevens_A!G498), REPT("Kind,", Klantgegevens_A!H498)))</f>
        <v/>
      </c>
      <c r="F499">
        <f>IF(Klantgegevens_B!G498&lt;&gt;"", LEN(Klantgegevens_B!G498)-LEN(SUBSTITUTE(Klantgegevens_B!G498, ",", ""))+1, Klantgegevens_A!G498)</f>
        <v/>
      </c>
      <c r="G499">
        <f>IF(Klantgegevens_B!G498&lt;&gt;"", 0, Klantgegevens_A!H498)</f>
        <v/>
      </c>
      <c r="H499">
        <f>IF(Klantgegevens_B!H498&lt;&gt;"", Klantgegevens_B!H498, Klantgegevens_A!I498)</f>
        <v/>
      </c>
      <c r="I499">
        <f>IF(Klantgegevens_B!I498&lt;&gt;"", Klantgegevens_B!I498, SWITCH(Klantgegevens_A!J498, "Zelden", 1, "Af en toe", 4, "Regelmatig", 8, "Vaak", 12))</f>
        <v/>
      </c>
      <c r="J499">
        <f>IF(Klantgegevens_B!J498&lt;&gt;"", Klantgegevens_B!J498, Klantgegevens_A!K498)</f>
        <v/>
      </c>
      <c r="K499">
        <f>IF(Klantgegevens_B!K498&lt;&gt;"", AVERAGE(--(Klantgegevens_B!K498="ja"), --(Klantgegevens_B!L498="ja"), --(Klantgegevens_B!M498="ja"), --(Klantgegevens_B!N498="ja"), --(Klantgegevens_B!O498="ja"))*10, Klantgegevens_A!L498)</f>
        <v/>
      </c>
      <c r="L499">
        <f>IF(Klantgegevens_B!K498&lt;&gt;"", Klantgegevens_B!K498, IF(Klantgegevens_A!L498&gt;=7, "ja", "nee"))</f>
        <v/>
      </c>
      <c r="M499">
        <f>IF(Klantgegevens_B!L498&lt;&gt;"", Klantgegevens_B!L498, IF(Klantgegevens_A!L498&gt;=7, "ja", "nee"))</f>
        <v/>
      </c>
      <c r="N499">
        <f>IF(Klantgegevens_B!M498&lt;&gt;"", Klantgegevens_B!M498, IF(Klantgegevens_A!L498&gt;=7, "ja", "nee"))</f>
        <v/>
      </c>
      <c r="O499">
        <f>IF(Klantgegevens_B!N498&lt;&gt;"", Klantgegevens_B!N498, IF(Klantgegevens_A!L498&gt;=7, "ja", "nee"))</f>
        <v/>
      </c>
      <c r="P499">
        <f>IF(Klantgegevens_B!O498&lt;&gt;"", Klantgegevens_B!O498, IF(Klantgegevens_A!L498&gt;=7, "ja", "nee"))</f>
        <v/>
      </c>
      <c r="Q499">
        <f>IF(Klantgegevens_B!P498&lt;&gt;"", Klantgegevens_B!P498, Klantgegevens_A!M498)</f>
        <v/>
      </c>
      <c r="R499">
        <f>IF(Klantgegevens_B!A498&lt;&gt;"", "B", "A")</f>
        <v/>
      </c>
    </row>
    <row r="500">
      <c r="A500">
        <f>IF(Klantgegevens_B!A499&lt;&gt;"", Klantgegevens_B!A499, MID(Klantgegevens_A!A499, FIND(",", Klantgegevens_A!A499)+2, LEN(Klantgegevens_A!A499)))</f>
        <v/>
      </c>
      <c r="B500">
        <f>IF(Klantgegevens_B!B499&lt;&gt;"", Klantgegevens_B!B499, LEFT(Klantgegevens_A!A499, FIND(",", Klantgegevens_A!A499)-1))</f>
        <v/>
      </c>
      <c r="C500">
        <f>C499 &amp; ", " &amp; B499</f>
        <v/>
      </c>
      <c r="D500">
        <f>IF(Klantgegevens_B!F499&lt;&gt;"", Klantgegevens_B!F499, Klantgegevens_A!D499 &amp; " " &amp; Klantgegevens_A!E499 &amp; ", " &amp; Klantgegevens_A!F499)</f>
        <v/>
      </c>
      <c r="E500">
        <f>IF(Klantgegevens_B!G499&lt;&gt;"", Klantgegevens_B!G499, TEXTJOIN(",", TRUE, REPT("Volwassene,", Klantgegevens_A!G499), REPT("Kind,", Klantgegevens_A!H499)))</f>
        <v/>
      </c>
      <c r="F500">
        <f>IF(Klantgegevens_B!G499&lt;&gt;"", LEN(Klantgegevens_B!G499)-LEN(SUBSTITUTE(Klantgegevens_B!G499, ",", ""))+1, Klantgegevens_A!G499)</f>
        <v/>
      </c>
      <c r="G500">
        <f>IF(Klantgegevens_B!G499&lt;&gt;"", 0, Klantgegevens_A!H499)</f>
        <v/>
      </c>
      <c r="H500">
        <f>IF(Klantgegevens_B!H499&lt;&gt;"", Klantgegevens_B!H499, Klantgegevens_A!I499)</f>
        <v/>
      </c>
      <c r="I500">
        <f>IF(Klantgegevens_B!I499&lt;&gt;"", Klantgegevens_B!I499, SWITCH(Klantgegevens_A!J499, "Zelden", 1, "Af en toe", 4, "Regelmatig", 8, "Vaak", 12))</f>
        <v/>
      </c>
      <c r="J500">
        <f>IF(Klantgegevens_B!J499&lt;&gt;"", Klantgegevens_B!J499, Klantgegevens_A!K499)</f>
        <v/>
      </c>
      <c r="K500">
        <f>IF(Klantgegevens_B!K499&lt;&gt;"", AVERAGE(--(Klantgegevens_B!K499="ja"), --(Klantgegevens_B!L499="ja"), --(Klantgegevens_B!M499="ja"), --(Klantgegevens_B!N499="ja"), --(Klantgegevens_B!O499="ja"))*10, Klantgegevens_A!L499)</f>
        <v/>
      </c>
      <c r="L500">
        <f>IF(Klantgegevens_B!K499&lt;&gt;"", Klantgegevens_B!K499, IF(Klantgegevens_A!L499&gt;=7, "ja", "nee"))</f>
        <v/>
      </c>
      <c r="M500">
        <f>IF(Klantgegevens_B!L499&lt;&gt;"", Klantgegevens_B!L499, IF(Klantgegevens_A!L499&gt;=7, "ja", "nee"))</f>
        <v/>
      </c>
      <c r="N500">
        <f>IF(Klantgegevens_B!M499&lt;&gt;"", Klantgegevens_B!M499, IF(Klantgegevens_A!L499&gt;=7, "ja", "nee"))</f>
        <v/>
      </c>
      <c r="O500">
        <f>IF(Klantgegevens_B!N499&lt;&gt;"", Klantgegevens_B!N499, IF(Klantgegevens_A!L499&gt;=7, "ja", "nee"))</f>
        <v/>
      </c>
      <c r="P500">
        <f>IF(Klantgegevens_B!O499&lt;&gt;"", Klantgegevens_B!O499, IF(Klantgegevens_A!L499&gt;=7, "ja", "nee"))</f>
        <v/>
      </c>
      <c r="Q500">
        <f>IF(Klantgegevens_B!P499&lt;&gt;"", Klantgegevens_B!P499, Klantgegevens_A!M499)</f>
        <v/>
      </c>
      <c r="R500">
        <f>IF(Klantgegevens_B!A499&lt;&gt;"", "B", "A")</f>
        <v/>
      </c>
    </row>
    <row r="501">
      <c r="A501">
        <f>IF(Klantgegevens_B!A500&lt;&gt;"", Klantgegevens_B!A500, MID(Klantgegevens_A!A500, FIND(",", Klantgegevens_A!A500)+2, LEN(Klantgegevens_A!A500)))</f>
        <v/>
      </c>
      <c r="B501">
        <f>IF(Klantgegevens_B!B500&lt;&gt;"", Klantgegevens_B!B500, LEFT(Klantgegevens_A!A500, FIND(",", Klantgegevens_A!A500)-1))</f>
        <v/>
      </c>
      <c r="C501">
        <f>C500 &amp; ", " &amp; B500</f>
        <v/>
      </c>
      <c r="D501">
        <f>IF(Klantgegevens_B!F500&lt;&gt;"", Klantgegevens_B!F500, Klantgegevens_A!D500 &amp; " " &amp; Klantgegevens_A!E500 &amp; ", " &amp; Klantgegevens_A!F500)</f>
        <v/>
      </c>
      <c r="E501">
        <f>IF(Klantgegevens_B!G500&lt;&gt;"", Klantgegevens_B!G500, TEXTJOIN(",", TRUE, REPT("Volwassene,", Klantgegevens_A!G500), REPT("Kind,", Klantgegevens_A!H500)))</f>
        <v/>
      </c>
      <c r="F501">
        <f>IF(Klantgegevens_B!G500&lt;&gt;"", LEN(Klantgegevens_B!G500)-LEN(SUBSTITUTE(Klantgegevens_B!G500, ",", ""))+1, Klantgegevens_A!G500)</f>
        <v/>
      </c>
      <c r="G501">
        <f>IF(Klantgegevens_B!G500&lt;&gt;"", 0, Klantgegevens_A!H500)</f>
        <v/>
      </c>
      <c r="H501">
        <f>IF(Klantgegevens_B!H500&lt;&gt;"", Klantgegevens_B!H500, Klantgegevens_A!I500)</f>
        <v/>
      </c>
      <c r="I501">
        <f>IF(Klantgegevens_B!I500&lt;&gt;"", Klantgegevens_B!I500, SWITCH(Klantgegevens_A!J500, "Zelden", 1, "Af en toe", 4, "Regelmatig", 8, "Vaak", 12))</f>
        <v/>
      </c>
      <c r="J501">
        <f>IF(Klantgegevens_B!J500&lt;&gt;"", Klantgegevens_B!J500, Klantgegevens_A!K500)</f>
        <v/>
      </c>
      <c r="K501">
        <f>IF(Klantgegevens_B!K500&lt;&gt;"", AVERAGE(--(Klantgegevens_B!K500="ja"), --(Klantgegevens_B!L500="ja"), --(Klantgegevens_B!M500="ja"), --(Klantgegevens_B!N500="ja"), --(Klantgegevens_B!O500="ja"))*10, Klantgegevens_A!L500)</f>
        <v/>
      </c>
      <c r="L501">
        <f>IF(Klantgegevens_B!K500&lt;&gt;"", Klantgegevens_B!K500, IF(Klantgegevens_A!L500&gt;=7, "ja", "nee"))</f>
        <v/>
      </c>
      <c r="M501">
        <f>IF(Klantgegevens_B!L500&lt;&gt;"", Klantgegevens_B!L500, IF(Klantgegevens_A!L500&gt;=7, "ja", "nee"))</f>
        <v/>
      </c>
      <c r="N501">
        <f>IF(Klantgegevens_B!M500&lt;&gt;"", Klantgegevens_B!M500, IF(Klantgegevens_A!L500&gt;=7, "ja", "nee"))</f>
        <v/>
      </c>
      <c r="O501">
        <f>IF(Klantgegevens_B!N500&lt;&gt;"", Klantgegevens_B!N500, IF(Klantgegevens_A!L500&gt;=7, "ja", "nee"))</f>
        <v/>
      </c>
      <c r="P501">
        <f>IF(Klantgegevens_B!O500&lt;&gt;"", Klantgegevens_B!O500, IF(Klantgegevens_A!L500&gt;=7, "ja", "nee"))</f>
        <v/>
      </c>
      <c r="Q501">
        <f>IF(Klantgegevens_B!P500&lt;&gt;"", Klantgegevens_B!P500, Klantgegevens_A!M500)</f>
        <v/>
      </c>
      <c r="R501">
        <f>IF(Klantgegevens_B!A500&lt;&gt;"", "B", "A")</f>
        <v/>
      </c>
    </row>
    <row r="502">
      <c r="A502">
        <f>IF(Klantgegevens_B!A501&lt;&gt;"", Klantgegevens_B!A501, MID(Klantgegevens_A!A501, FIND(",", Klantgegevens_A!A501)+2, LEN(Klantgegevens_A!A501)))</f>
        <v/>
      </c>
      <c r="B502">
        <f>IF(Klantgegevens_B!B501&lt;&gt;"", Klantgegevens_B!B501, LEFT(Klantgegevens_A!A501, FIND(",", Klantgegevens_A!A501)-1))</f>
        <v/>
      </c>
      <c r="C502">
        <f>C501 &amp; ", " &amp; B501</f>
        <v/>
      </c>
      <c r="D502">
        <f>IF(Klantgegevens_B!F501&lt;&gt;"", Klantgegevens_B!F501, Klantgegevens_A!D501 &amp; " " &amp; Klantgegevens_A!E501 &amp; ", " &amp; Klantgegevens_A!F501)</f>
        <v/>
      </c>
      <c r="E502">
        <f>IF(Klantgegevens_B!G501&lt;&gt;"", Klantgegevens_B!G501, TEXTJOIN(",", TRUE, REPT("Volwassene,", Klantgegevens_A!G501), REPT("Kind,", Klantgegevens_A!H501)))</f>
        <v/>
      </c>
      <c r="F502">
        <f>IF(Klantgegevens_B!G501&lt;&gt;"", LEN(Klantgegevens_B!G501)-LEN(SUBSTITUTE(Klantgegevens_B!G501, ",", ""))+1, Klantgegevens_A!G501)</f>
        <v/>
      </c>
      <c r="G502">
        <f>IF(Klantgegevens_B!G501&lt;&gt;"", 0, Klantgegevens_A!H501)</f>
        <v/>
      </c>
      <c r="H502">
        <f>IF(Klantgegevens_B!H501&lt;&gt;"", Klantgegevens_B!H501, Klantgegevens_A!I501)</f>
        <v/>
      </c>
      <c r="I502">
        <f>IF(Klantgegevens_B!I501&lt;&gt;"", Klantgegevens_B!I501, SWITCH(Klantgegevens_A!J501, "Zelden", 1, "Af en toe", 4, "Regelmatig", 8, "Vaak", 12))</f>
        <v/>
      </c>
      <c r="J502">
        <f>IF(Klantgegevens_B!J501&lt;&gt;"", Klantgegevens_B!J501, Klantgegevens_A!K501)</f>
        <v/>
      </c>
      <c r="K502">
        <f>IF(Klantgegevens_B!K501&lt;&gt;"", AVERAGE(--(Klantgegevens_B!K501="ja"), --(Klantgegevens_B!L501="ja"), --(Klantgegevens_B!M501="ja"), --(Klantgegevens_B!N501="ja"), --(Klantgegevens_B!O501="ja"))*10, Klantgegevens_A!L501)</f>
        <v/>
      </c>
      <c r="L502">
        <f>IF(Klantgegevens_B!K501&lt;&gt;"", Klantgegevens_B!K501, IF(Klantgegevens_A!L501&gt;=7, "ja", "nee"))</f>
        <v/>
      </c>
      <c r="M502">
        <f>IF(Klantgegevens_B!L501&lt;&gt;"", Klantgegevens_B!L501, IF(Klantgegevens_A!L501&gt;=7, "ja", "nee"))</f>
        <v/>
      </c>
      <c r="N502">
        <f>IF(Klantgegevens_B!M501&lt;&gt;"", Klantgegevens_B!M501, IF(Klantgegevens_A!L501&gt;=7, "ja", "nee"))</f>
        <v/>
      </c>
      <c r="O502">
        <f>IF(Klantgegevens_B!N501&lt;&gt;"", Klantgegevens_B!N501, IF(Klantgegevens_A!L501&gt;=7, "ja", "nee"))</f>
        <v/>
      </c>
      <c r="P502">
        <f>IF(Klantgegevens_B!O501&lt;&gt;"", Klantgegevens_B!O501, IF(Klantgegevens_A!L501&gt;=7, "ja", "nee"))</f>
        <v/>
      </c>
      <c r="Q502">
        <f>IF(Klantgegevens_B!P501&lt;&gt;"", Klantgegevens_B!P501, Klantgegevens_A!M501)</f>
        <v/>
      </c>
      <c r="R502">
        <f>IF(Klantgegevens_B!A501&lt;&gt;"", "B", "A")</f>
        <v/>
      </c>
    </row>
    <row r="503">
      <c r="A503">
        <f>IF(Klantgegevens_B!A502&lt;&gt;"", Klantgegevens_B!A502, MID(Klantgegevens_A!A502, FIND(",", Klantgegevens_A!A502)+2, LEN(Klantgegevens_A!A502)))</f>
        <v/>
      </c>
      <c r="B503">
        <f>IF(Klantgegevens_B!B502&lt;&gt;"", Klantgegevens_B!B502, LEFT(Klantgegevens_A!A502, FIND(",", Klantgegevens_A!A502)-1))</f>
        <v/>
      </c>
      <c r="C503">
        <f>C502 &amp; ", " &amp; B502</f>
        <v/>
      </c>
      <c r="D503">
        <f>IF(Klantgegevens_B!F502&lt;&gt;"", Klantgegevens_B!F502, Klantgegevens_A!D502 &amp; " " &amp; Klantgegevens_A!E502 &amp; ", " &amp; Klantgegevens_A!F502)</f>
        <v/>
      </c>
      <c r="E503">
        <f>IF(Klantgegevens_B!G502&lt;&gt;"", Klantgegevens_B!G502, TEXTJOIN(",", TRUE, REPT("Volwassene,", Klantgegevens_A!G502), REPT("Kind,", Klantgegevens_A!H502)))</f>
        <v/>
      </c>
      <c r="F503">
        <f>IF(Klantgegevens_B!G502&lt;&gt;"", LEN(Klantgegevens_B!G502)-LEN(SUBSTITUTE(Klantgegevens_B!G502, ",", ""))+1, Klantgegevens_A!G502)</f>
        <v/>
      </c>
      <c r="G503">
        <f>IF(Klantgegevens_B!G502&lt;&gt;"", 0, Klantgegevens_A!H502)</f>
        <v/>
      </c>
      <c r="H503">
        <f>IF(Klantgegevens_B!H502&lt;&gt;"", Klantgegevens_B!H502, Klantgegevens_A!I502)</f>
        <v/>
      </c>
      <c r="I503">
        <f>IF(Klantgegevens_B!I502&lt;&gt;"", Klantgegevens_B!I502, SWITCH(Klantgegevens_A!J502, "Zelden", 1, "Af en toe", 4, "Regelmatig", 8, "Vaak", 12))</f>
        <v/>
      </c>
      <c r="J503">
        <f>IF(Klantgegevens_B!J502&lt;&gt;"", Klantgegevens_B!J502, Klantgegevens_A!K502)</f>
        <v/>
      </c>
      <c r="K503">
        <f>IF(Klantgegevens_B!K502&lt;&gt;"", AVERAGE(--(Klantgegevens_B!K502="ja"), --(Klantgegevens_B!L502="ja"), --(Klantgegevens_B!M502="ja"), --(Klantgegevens_B!N502="ja"), --(Klantgegevens_B!O502="ja"))*10, Klantgegevens_A!L502)</f>
        <v/>
      </c>
      <c r="L503">
        <f>IF(Klantgegevens_B!K502&lt;&gt;"", Klantgegevens_B!K502, IF(Klantgegevens_A!L502&gt;=7, "ja", "nee"))</f>
        <v/>
      </c>
      <c r="M503">
        <f>IF(Klantgegevens_B!L502&lt;&gt;"", Klantgegevens_B!L502, IF(Klantgegevens_A!L502&gt;=7, "ja", "nee"))</f>
        <v/>
      </c>
      <c r="N503">
        <f>IF(Klantgegevens_B!M502&lt;&gt;"", Klantgegevens_B!M502, IF(Klantgegevens_A!L502&gt;=7, "ja", "nee"))</f>
        <v/>
      </c>
      <c r="O503">
        <f>IF(Klantgegevens_B!N502&lt;&gt;"", Klantgegevens_B!N502, IF(Klantgegevens_A!L502&gt;=7, "ja", "nee"))</f>
        <v/>
      </c>
      <c r="P503">
        <f>IF(Klantgegevens_B!O502&lt;&gt;"", Klantgegevens_B!O502, IF(Klantgegevens_A!L502&gt;=7, "ja", "nee"))</f>
        <v/>
      </c>
      <c r="Q503">
        <f>IF(Klantgegevens_B!P502&lt;&gt;"", Klantgegevens_B!P502, Klantgegevens_A!M502)</f>
        <v/>
      </c>
      <c r="R503">
        <f>IF(Klantgegevens_B!A502&lt;&gt;"", "B", "A")</f>
        <v/>
      </c>
    </row>
    <row r="504">
      <c r="A504">
        <f>IF(Klantgegevens_B!A503&lt;&gt;"", Klantgegevens_B!A503, MID(Klantgegevens_A!A503, FIND(",", Klantgegevens_A!A503)+2, LEN(Klantgegevens_A!A503)))</f>
        <v/>
      </c>
      <c r="B504">
        <f>IF(Klantgegevens_B!B503&lt;&gt;"", Klantgegevens_B!B503, LEFT(Klantgegevens_A!A503, FIND(",", Klantgegevens_A!A503)-1))</f>
        <v/>
      </c>
      <c r="C504">
        <f>C503 &amp; ", " &amp; B503</f>
        <v/>
      </c>
      <c r="D504">
        <f>IF(Klantgegevens_B!F503&lt;&gt;"", Klantgegevens_B!F503, Klantgegevens_A!D503 &amp; " " &amp; Klantgegevens_A!E503 &amp; ", " &amp; Klantgegevens_A!F503)</f>
        <v/>
      </c>
      <c r="E504">
        <f>IF(Klantgegevens_B!G503&lt;&gt;"", Klantgegevens_B!G503, TEXTJOIN(",", TRUE, REPT("Volwassene,", Klantgegevens_A!G503), REPT("Kind,", Klantgegevens_A!H503)))</f>
        <v/>
      </c>
      <c r="F504">
        <f>IF(Klantgegevens_B!G503&lt;&gt;"", LEN(Klantgegevens_B!G503)-LEN(SUBSTITUTE(Klantgegevens_B!G503, ",", ""))+1, Klantgegevens_A!G503)</f>
        <v/>
      </c>
      <c r="G504">
        <f>IF(Klantgegevens_B!G503&lt;&gt;"", 0, Klantgegevens_A!H503)</f>
        <v/>
      </c>
      <c r="H504">
        <f>IF(Klantgegevens_B!H503&lt;&gt;"", Klantgegevens_B!H503, Klantgegevens_A!I503)</f>
        <v/>
      </c>
      <c r="I504">
        <f>IF(Klantgegevens_B!I503&lt;&gt;"", Klantgegevens_B!I503, SWITCH(Klantgegevens_A!J503, "Zelden", 1, "Af en toe", 4, "Regelmatig", 8, "Vaak", 12))</f>
        <v/>
      </c>
      <c r="J504">
        <f>IF(Klantgegevens_B!J503&lt;&gt;"", Klantgegevens_B!J503, Klantgegevens_A!K503)</f>
        <v/>
      </c>
      <c r="K504">
        <f>IF(Klantgegevens_B!K503&lt;&gt;"", AVERAGE(--(Klantgegevens_B!K503="ja"), --(Klantgegevens_B!L503="ja"), --(Klantgegevens_B!M503="ja"), --(Klantgegevens_B!N503="ja"), --(Klantgegevens_B!O503="ja"))*10, Klantgegevens_A!L503)</f>
        <v/>
      </c>
      <c r="L504">
        <f>IF(Klantgegevens_B!K503&lt;&gt;"", Klantgegevens_B!K503, IF(Klantgegevens_A!L503&gt;=7, "ja", "nee"))</f>
        <v/>
      </c>
      <c r="M504">
        <f>IF(Klantgegevens_B!L503&lt;&gt;"", Klantgegevens_B!L503, IF(Klantgegevens_A!L503&gt;=7, "ja", "nee"))</f>
        <v/>
      </c>
      <c r="N504">
        <f>IF(Klantgegevens_B!M503&lt;&gt;"", Klantgegevens_B!M503, IF(Klantgegevens_A!L503&gt;=7, "ja", "nee"))</f>
        <v/>
      </c>
      <c r="O504">
        <f>IF(Klantgegevens_B!N503&lt;&gt;"", Klantgegevens_B!N503, IF(Klantgegevens_A!L503&gt;=7, "ja", "nee"))</f>
        <v/>
      </c>
      <c r="P504">
        <f>IF(Klantgegevens_B!O503&lt;&gt;"", Klantgegevens_B!O503, IF(Klantgegevens_A!L503&gt;=7, "ja", "nee"))</f>
        <v/>
      </c>
      <c r="Q504">
        <f>IF(Klantgegevens_B!P503&lt;&gt;"", Klantgegevens_B!P503, Klantgegevens_A!M503)</f>
        <v/>
      </c>
      <c r="R504">
        <f>IF(Klantgegevens_B!A503&lt;&gt;"", "B", "A")</f>
        <v/>
      </c>
    </row>
    <row r="505">
      <c r="A505">
        <f>IF(Klantgegevens_B!A504&lt;&gt;"", Klantgegevens_B!A504, MID(Klantgegevens_A!A504, FIND(",", Klantgegevens_A!A504)+2, LEN(Klantgegevens_A!A504)))</f>
        <v/>
      </c>
      <c r="B505">
        <f>IF(Klantgegevens_B!B504&lt;&gt;"", Klantgegevens_B!B504, LEFT(Klantgegevens_A!A504, FIND(",", Klantgegevens_A!A504)-1))</f>
        <v/>
      </c>
      <c r="C505">
        <f>C504 &amp; ", " &amp; B504</f>
        <v/>
      </c>
      <c r="D505">
        <f>IF(Klantgegevens_B!F504&lt;&gt;"", Klantgegevens_B!F504, Klantgegevens_A!D504 &amp; " " &amp; Klantgegevens_A!E504 &amp; ", " &amp; Klantgegevens_A!F504)</f>
        <v/>
      </c>
      <c r="E505">
        <f>IF(Klantgegevens_B!G504&lt;&gt;"", Klantgegevens_B!G504, TEXTJOIN(",", TRUE, REPT("Volwassene,", Klantgegevens_A!G504), REPT("Kind,", Klantgegevens_A!H504)))</f>
        <v/>
      </c>
      <c r="F505">
        <f>IF(Klantgegevens_B!G504&lt;&gt;"", LEN(Klantgegevens_B!G504)-LEN(SUBSTITUTE(Klantgegevens_B!G504, ",", ""))+1, Klantgegevens_A!G504)</f>
        <v/>
      </c>
      <c r="G505">
        <f>IF(Klantgegevens_B!G504&lt;&gt;"", 0, Klantgegevens_A!H504)</f>
        <v/>
      </c>
      <c r="H505">
        <f>IF(Klantgegevens_B!H504&lt;&gt;"", Klantgegevens_B!H504, Klantgegevens_A!I504)</f>
        <v/>
      </c>
      <c r="I505">
        <f>IF(Klantgegevens_B!I504&lt;&gt;"", Klantgegevens_B!I504, SWITCH(Klantgegevens_A!J504, "Zelden", 1, "Af en toe", 4, "Regelmatig", 8, "Vaak", 12))</f>
        <v/>
      </c>
      <c r="J505">
        <f>IF(Klantgegevens_B!J504&lt;&gt;"", Klantgegevens_B!J504, Klantgegevens_A!K504)</f>
        <v/>
      </c>
      <c r="K505">
        <f>IF(Klantgegevens_B!K504&lt;&gt;"", AVERAGE(--(Klantgegevens_B!K504="ja"), --(Klantgegevens_B!L504="ja"), --(Klantgegevens_B!M504="ja"), --(Klantgegevens_B!N504="ja"), --(Klantgegevens_B!O504="ja"))*10, Klantgegevens_A!L504)</f>
        <v/>
      </c>
      <c r="L505">
        <f>IF(Klantgegevens_B!K504&lt;&gt;"", Klantgegevens_B!K504, IF(Klantgegevens_A!L504&gt;=7, "ja", "nee"))</f>
        <v/>
      </c>
      <c r="M505">
        <f>IF(Klantgegevens_B!L504&lt;&gt;"", Klantgegevens_B!L504, IF(Klantgegevens_A!L504&gt;=7, "ja", "nee"))</f>
        <v/>
      </c>
      <c r="N505">
        <f>IF(Klantgegevens_B!M504&lt;&gt;"", Klantgegevens_B!M504, IF(Klantgegevens_A!L504&gt;=7, "ja", "nee"))</f>
        <v/>
      </c>
      <c r="O505">
        <f>IF(Klantgegevens_B!N504&lt;&gt;"", Klantgegevens_B!N504, IF(Klantgegevens_A!L504&gt;=7, "ja", "nee"))</f>
        <v/>
      </c>
      <c r="P505">
        <f>IF(Klantgegevens_B!O504&lt;&gt;"", Klantgegevens_B!O504, IF(Klantgegevens_A!L504&gt;=7, "ja", "nee"))</f>
        <v/>
      </c>
      <c r="Q505">
        <f>IF(Klantgegevens_B!P504&lt;&gt;"", Klantgegevens_B!P504, Klantgegevens_A!M504)</f>
        <v/>
      </c>
      <c r="R505">
        <f>IF(Klantgegevens_B!A504&lt;&gt;"", "B", "A")</f>
        <v/>
      </c>
    </row>
    <row r="506">
      <c r="A506">
        <f>IF(Klantgegevens_B!A505&lt;&gt;"", Klantgegevens_B!A505, MID(Klantgegevens_A!A505, FIND(",", Klantgegevens_A!A505)+2, LEN(Klantgegevens_A!A505)))</f>
        <v/>
      </c>
      <c r="B506">
        <f>IF(Klantgegevens_B!B505&lt;&gt;"", Klantgegevens_B!B505, LEFT(Klantgegevens_A!A505, FIND(",", Klantgegevens_A!A505)-1))</f>
        <v/>
      </c>
      <c r="C506">
        <f>C505 &amp; ", " &amp; B505</f>
        <v/>
      </c>
      <c r="D506">
        <f>IF(Klantgegevens_B!F505&lt;&gt;"", Klantgegevens_B!F505, Klantgegevens_A!D505 &amp; " " &amp; Klantgegevens_A!E505 &amp; ", " &amp; Klantgegevens_A!F505)</f>
        <v/>
      </c>
      <c r="E506">
        <f>IF(Klantgegevens_B!G505&lt;&gt;"", Klantgegevens_B!G505, TEXTJOIN(",", TRUE, REPT("Volwassene,", Klantgegevens_A!G505), REPT("Kind,", Klantgegevens_A!H505)))</f>
        <v/>
      </c>
      <c r="F506">
        <f>IF(Klantgegevens_B!G505&lt;&gt;"", LEN(Klantgegevens_B!G505)-LEN(SUBSTITUTE(Klantgegevens_B!G505, ",", ""))+1, Klantgegevens_A!G505)</f>
        <v/>
      </c>
      <c r="G506">
        <f>IF(Klantgegevens_B!G505&lt;&gt;"", 0, Klantgegevens_A!H505)</f>
        <v/>
      </c>
      <c r="H506">
        <f>IF(Klantgegevens_B!H505&lt;&gt;"", Klantgegevens_B!H505, Klantgegevens_A!I505)</f>
        <v/>
      </c>
      <c r="I506">
        <f>IF(Klantgegevens_B!I505&lt;&gt;"", Klantgegevens_B!I505, SWITCH(Klantgegevens_A!J505, "Zelden", 1, "Af en toe", 4, "Regelmatig", 8, "Vaak", 12))</f>
        <v/>
      </c>
      <c r="J506">
        <f>IF(Klantgegevens_B!J505&lt;&gt;"", Klantgegevens_B!J505, Klantgegevens_A!K505)</f>
        <v/>
      </c>
      <c r="K506">
        <f>IF(Klantgegevens_B!K505&lt;&gt;"", AVERAGE(--(Klantgegevens_B!K505="ja"), --(Klantgegevens_B!L505="ja"), --(Klantgegevens_B!M505="ja"), --(Klantgegevens_B!N505="ja"), --(Klantgegevens_B!O505="ja"))*10, Klantgegevens_A!L505)</f>
        <v/>
      </c>
      <c r="L506">
        <f>IF(Klantgegevens_B!K505&lt;&gt;"", Klantgegevens_B!K505, IF(Klantgegevens_A!L505&gt;=7, "ja", "nee"))</f>
        <v/>
      </c>
      <c r="M506">
        <f>IF(Klantgegevens_B!L505&lt;&gt;"", Klantgegevens_B!L505, IF(Klantgegevens_A!L505&gt;=7, "ja", "nee"))</f>
        <v/>
      </c>
      <c r="N506">
        <f>IF(Klantgegevens_B!M505&lt;&gt;"", Klantgegevens_B!M505, IF(Klantgegevens_A!L505&gt;=7, "ja", "nee"))</f>
        <v/>
      </c>
      <c r="O506">
        <f>IF(Klantgegevens_B!N505&lt;&gt;"", Klantgegevens_B!N505, IF(Klantgegevens_A!L505&gt;=7, "ja", "nee"))</f>
        <v/>
      </c>
      <c r="P506">
        <f>IF(Klantgegevens_B!O505&lt;&gt;"", Klantgegevens_B!O505, IF(Klantgegevens_A!L505&gt;=7, "ja", "nee"))</f>
        <v/>
      </c>
      <c r="Q506">
        <f>IF(Klantgegevens_B!P505&lt;&gt;"", Klantgegevens_B!P505, Klantgegevens_A!M505)</f>
        <v/>
      </c>
      <c r="R506">
        <f>IF(Klantgegevens_B!A505&lt;&gt;"", "B", "A")</f>
        <v/>
      </c>
    </row>
    <row r="507">
      <c r="A507">
        <f>IF(Klantgegevens_B!A506&lt;&gt;"", Klantgegevens_B!A506, MID(Klantgegevens_A!A506, FIND(",", Klantgegevens_A!A506)+2, LEN(Klantgegevens_A!A506)))</f>
        <v/>
      </c>
      <c r="B507">
        <f>IF(Klantgegevens_B!B506&lt;&gt;"", Klantgegevens_B!B506, LEFT(Klantgegevens_A!A506, FIND(",", Klantgegevens_A!A506)-1))</f>
        <v/>
      </c>
      <c r="C507">
        <f>C506 &amp; ", " &amp; B506</f>
        <v/>
      </c>
      <c r="D507">
        <f>IF(Klantgegevens_B!F506&lt;&gt;"", Klantgegevens_B!F506, Klantgegevens_A!D506 &amp; " " &amp; Klantgegevens_A!E506 &amp; ", " &amp; Klantgegevens_A!F506)</f>
        <v/>
      </c>
      <c r="E507">
        <f>IF(Klantgegevens_B!G506&lt;&gt;"", Klantgegevens_B!G506, TEXTJOIN(",", TRUE, REPT("Volwassene,", Klantgegevens_A!G506), REPT("Kind,", Klantgegevens_A!H506)))</f>
        <v/>
      </c>
      <c r="F507">
        <f>IF(Klantgegevens_B!G506&lt;&gt;"", LEN(Klantgegevens_B!G506)-LEN(SUBSTITUTE(Klantgegevens_B!G506, ",", ""))+1, Klantgegevens_A!G506)</f>
        <v/>
      </c>
      <c r="G507">
        <f>IF(Klantgegevens_B!G506&lt;&gt;"", 0, Klantgegevens_A!H506)</f>
        <v/>
      </c>
      <c r="H507">
        <f>IF(Klantgegevens_B!H506&lt;&gt;"", Klantgegevens_B!H506, Klantgegevens_A!I506)</f>
        <v/>
      </c>
      <c r="I507">
        <f>IF(Klantgegevens_B!I506&lt;&gt;"", Klantgegevens_B!I506, SWITCH(Klantgegevens_A!J506, "Zelden", 1, "Af en toe", 4, "Regelmatig", 8, "Vaak", 12))</f>
        <v/>
      </c>
      <c r="J507">
        <f>IF(Klantgegevens_B!J506&lt;&gt;"", Klantgegevens_B!J506, Klantgegevens_A!K506)</f>
        <v/>
      </c>
      <c r="K507">
        <f>IF(Klantgegevens_B!K506&lt;&gt;"", AVERAGE(--(Klantgegevens_B!K506="ja"), --(Klantgegevens_B!L506="ja"), --(Klantgegevens_B!M506="ja"), --(Klantgegevens_B!N506="ja"), --(Klantgegevens_B!O506="ja"))*10, Klantgegevens_A!L506)</f>
        <v/>
      </c>
      <c r="L507">
        <f>IF(Klantgegevens_B!K506&lt;&gt;"", Klantgegevens_B!K506, IF(Klantgegevens_A!L506&gt;=7, "ja", "nee"))</f>
        <v/>
      </c>
      <c r="M507">
        <f>IF(Klantgegevens_B!L506&lt;&gt;"", Klantgegevens_B!L506, IF(Klantgegevens_A!L506&gt;=7, "ja", "nee"))</f>
        <v/>
      </c>
      <c r="N507">
        <f>IF(Klantgegevens_B!M506&lt;&gt;"", Klantgegevens_B!M506, IF(Klantgegevens_A!L506&gt;=7, "ja", "nee"))</f>
        <v/>
      </c>
      <c r="O507">
        <f>IF(Klantgegevens_B!N506&lt;&gt;"", Klantgegevens_B!N506, IF(Klantgegevens_A!L506&gt;=7, "ja", "nee"))</f>
        <v/>
      </c>
      <c r="P507">
        <f>IF(Klantgegevens_B!O506&lt;&gt;"", Klantgegevens_B!O506, IF(Klantgegevens_A!L506&gt;=7, "ja", "nee"))</f>
        <v/>
      </c>
      <c r="Q507">
        <f>IF(Klantgegevens_B!P506&lt;&gt;"", Klantgegevens_B!P506, Klantgegevens_A!M506)</f>
        <v/>
      </c>
      <c r="R507">
        <f>IF(Klantgegevens_B!A506&lt;&gt;"", "B", "A")</f>
        <v/>
      </c>
    </row>
    <row r="508">
      <c r="A508">
        <f>IF(Klantgegevens_B!A507&lt;&gt;"", Klantgegevens_B!A507, MID(Klantgegevens_A!A507, FIND(",", Klantgegevens_A!A507)+2, LEN(Klantgegevens_A!A507)))</f>
        <v/>
      </c>
      <c r="B508">
        <f>IF(Klantgegevens_B!B507&lt;&gt;"", Klantgegevens_B!B507, LEFT(Klantgegevens_A!A507, FIND(",", Klantgegevens_A!A507)-1))</f>
        <v/>
      </c>
      <c r="C508">
        <f>C507 &amp; ", " &amp; B507</f>
        <v/>
      </c>
      <c r="D508">
        <f>IF(Klantgegevens_B!F507&lt;&gt;"", Klantgegevens_B!F507, Klantgegevens_A!D507 &amp; " " &amp; Klantgegevens_A!E507 &amp; ", " &amp; Klantgegevens_A!F507)</f>
        <v/>
      </c>
      <c r="E508">
        <f>IF(Klantgegevens_B!G507&lt;&gt;"", Klantgegevens_B!G507, TEXTJOIN(",", TRUE, REPT("Volwassene,", Klantgegevens_A!G507), REPT("Kind,", Klantgegevens_A!H507)))</f>
        <v/>
      </c>
      <c r="F508">
        <f>IF(Klantgegevens_B!G507&lt;&gt;"", LEN(Klantgegevens_B!G507)-LEN(SUBSTITUTE(Klantgegevens_B!G507, ",", ""))+1, Klantgegevens_A!G507)</f>
        <v/>
      </c>
      <c r="G508">
        <f>IF(Klantgegevens_B!G507&lt;&gt;"", 0, Klantgegevens_A!H507)</f>
        <v/>
      </c>
      <c r="H508">
        <f>IF(Klantgegevens_B!H507&lt;&gt;"", Klantgegevens_B!H507, Klantgegevens_A!I507)</f>
        <v/>
      </c>
      <c r="I508">
        <f>IF(Klantgegevens_B!I507&lt;&gt;"", Klantgegevens_B!I507, SWITCH(Klantgegevens_A!J507, "Zelden", 1, "Af en toe", 4, "Regelmatig", 8, "Vaak", 12))</f>
        <v/>
      </c>
      <c r="J508">
        <f>IF(Klantgegevens_B!J507&lt;&gt;"", Klantgegevens_B!J507, Klantgegevens_A!K507)</f>
        <v/>
      </c>
      <c r="K508">
        <f>IF(Klantgegevens_B!K507&lt;&gt;"", AVERAGE(--(Klantgegevens_B!K507="ja"), --(Klantgegevens_B!L507="ja"), --(Klantgegevens_B!M507="ja"), --(Klantgegevens_B!N507="ja"), --(Klantgegevens_B!O507="ja"))*10, Klantgegevens_A!L507)</f>
        <v/>
      </c>
      <c r="L508">
        <f>IF(Klantgegevens_B!K507&lt;&gt;"", Klantgegevens_B!K507, IF(Klantgegevens_A!L507&gt;=7, "ja", "nee"))</f>
        <v/>
      </c>
      <c r="M508">
        <f>IF(Klantgegevens_B!L507&lt;&gt;"", Klantgegevens_B!L507, IF(Klantgegevens_A!L507&gt;=7, "ja", "nee"))</f>
        <v/>
      </c>
      <c r="N508">
        <f>IF(Klantgegevens_B!M507&lt;&gt;"", Klantgegevens_B!M507, IF(Klantgegevens_A!L507&gt;=7, "ja", "nee"))</f>
        <v/>
      </c>
      <c r="O508">
        <f>IF(Klantgegevens_B!N507&lt;&gt;"", Klantgegevens_B!N507, IF(Klantgegevens_A!L507&gt;=7, "ja", "nee"))</f>
        <v/>
      </c>
      <c r="P508">
        <f>IF(Klantgegevens_B!O507&lt;&gt;"", Klantgegevens_B!O507, IF(Klantgegevens_A!L507&gt;=7, "ja", "nee"))</f>
        <v/>
      </c>
      <c r="Q508">
        <f>IF(Klantgegevens_B!P507&lt;&gt;"", Klantgegevens_B!P507, Klantgegevens_A!M507)</f>
        <v/>
      </c>
      <c r="R508">
        <f>IF(Klantgegevens_B!A507&lt;&gt;"", "B", "A")</f>
        <v/>
      </c>
    </row>
    <row r="509">
      <c r="A509">
        <f>IF(Klantgegevens_B!A508&lt;&gt;"", Klantgegevens_B!A508, MID(Klantgegevens_A!A508, FIND(",", Klantgegevens_A!A508)+2, LEN(Klantgegevens_A!A508)))</f>
        <v/>
      </c>
      <c r="B509">
        <f>IF(Klantgegevens_B!B508&lt;&gt;"", Klantgegevens_B!B508, LEFT(Klantgegevens_A!A508, FIND(",", Klantgegevens_A!A508)-1))</f>
        <v/>
      </c>
      <c r="C509">
        <f>C508 &amp; ", " &amp; B508</f>
        <v/>
      </c>
      <c r="D509">
        <f>IF(Klantgegevens_B!F508&lt;&gt;"", Klantgegevens_B!F508, Klantgegevens_A!D508 &amp; " " &amp; Klantgegevens_A!E508 &amp; ", " &amp; Klantgegevens_A!F508)</f>
        <v/>
      </c>
      <c r="E509">
        <f>IF(Klantgegevens_B!G508&lt;&gt;"", Klantgegevens_B!G508, TEXTJOIN(",", TRUE, REPT("Volwassene,", Klantgegevens_A!G508), REPT("Kind,", Klantgegevens_A!H508)))</f>
        <v/>
      </c>
      <c r="F509">
        <f>IF(Klantgegevens_B!G508&lt;&gt;"", LEN(Klantgegevens_B!G508)-LEN(SUBSTITUTE(Klantgegevens_B!G508, ",", ""))+1, Klantgegevens_A!G508)</f>
        <v/>
      </c>
      <c r="G509">
        <f>IF(Klantgegevens_B!G508&lt;&gt;"", 0, Klantgegevens_A!H508)</f>
        <v/>
      </c>
      <c r="H509">
        <f>IF(Klantgegevens_B!H508&lt;&gt;"", Klantgegevens_B!H508, Klantgegevens_A!I508)</f>
        <v/>
      </c>
      <c r="I509">
        <f>IF(Klantgegevens_B!I508&lt;&gt;"", Klantgegevens_B!I508, SWITCH(Klantgegevens_A!J508, "Zelden", 1, "Af en toe", 4, "Regelmatig", 8, "Vaak", 12))</f>
        <v/>
      </c>
      <c r="J509">
        <f>IF(Klantgegevens_B!J508&lt;&gt;"", Klantgegevens_B!J508, Klantgegevens_A!K508)</f>
        <v/>
      </c>
      <c r="K509">
        <f>IF(Klantgegevens_B!K508&lt;&gt;"", AVERAGE(--(Klantgegevens_B!K508="ja"), --(Klantgegevens_B!L508="ja"), --(Klantgegevens_B!M508="ja"), --(Klantgegevens_B!N508="ja"), --(Klantgegevens_B!O508="ja"))*10, Klantgegevens_A!L508)</f>
        <v/>
      </c>
      <c r="L509">
        <f>IF(Klantgegevens_B!K508&lt;&gt;"", Klantgegevens_B!K508, IF(Klantgegevens_A!L508&gt;=7, "ja", "nee"))</f>
        <v/>
      </c>
      <c r="M509">
        <f>IF(Klantgegevens_B!L508&lt;&gt;"", Klantgegevens_B!L508, IF(Klantgegevens_A!L508&gt;=7, "ja", "nee"))</f>
        <v/>
      </c>
      <c r="N509">
        <f>IF(Klantgegevens_B!M508&lt;&gt;"", Klantgegevens_B!M508, IF(Klantgegevens_A!L508&gt;=7, "ja", "nee"))</f>
        <v/>
      </c>
      <c r="O509">
        <f>IF(Klantgegevens_B!N508&lt;&gt;"", Klantgegevens_B!N508, IF(Klantgegevens_A!L508&gt;=7, "ja", "nee"))</f>
        <v/>
      </c>
      <c r="P509">
        <f>IF(Klantgegevens_B!O508&lt;&gt;"", Klantgegevens_B!O508, IF(Klantgegevens_A!L508&gt;=7, "ja", "nee"))</f>
        <v/>
      </c>
      <c r="Q509">
        <f>IF(Klantgegevens_B!P508&lt;&gt;"", Klantgegevens_B!P508, Klantgegevens_A!M508)</f>
        <v/>
      </c>
      <c r="R509">
        <f>IF(Klantgegevens_B!A508&lt;&gt;"", "B", "A")</f>
        <v/>
      </c>
    </row>
    <row r="510">
      <c r="A510">
        <f>IF(Klantgegevens_B!A509&lt;&gt;"", Klantgegevens_B!A509, MID(Klantgegevens_A!A509, FIND(",", Klantgegevens_A!A509)+2, LEN(Klantgegevens_A!A509)))</f>
        <v/>
      </c>
      <c r="B510">
        <f>IF(Klantgegevens_B!B509&lt;&gt;"", Klantgegevens_B!B509, LEFT(Klantgegevens_A!A509, FIND(",", Klantgegevens_A!A509)-1))</f>
        <v/>
      </c>
      <c r="C510">
        <f>C509 &amp; ", " &amp; B509</f>
        <v/>
      </c>
      <c r="D510">
        <f>IF(Klantgegevens_B!F509&lt;&gt;"", Klantgegevens_B!F509, Klantgegevens_A!D509 &amp; " " &amp; Klantgegevens_A!E509 &amp; ", " &amp; Klantgegevens_A!F509)</f>
        <v/>
      </c>
      <c r="E510">
        <f>IF(Klantgegevens_B!G509&lt;&gt;"", Klantgegevens_B!G509, TEXTJOIN(",", TRUE, REPT("Volwassene,", Klantgegevens_A!G509), REPT("Kind,", Klantgegevens_A!H509)))</f>
        <v/>
      </c>
      <c r="F510">
        <f>IF(Klantgegevens_B!G509&lt;&gt;"", LEN(Klantgegevens_B!G509)-LEN(SUBSTITUTE(Klantgegevens_B!G509, ",", ""))+1, Klantgegevens_A!G509)</f>
        <v/>
      </c>
      <c r="G510">
        <f>IF(Klantgegevens_B!G509&lt;&gt;"", 0, Klantgegevens_A!H509)</f>
        <v/>
      </c>
      <c r="H510">
        <f>IF(Klantgegevens_B!H509&lt;&gt;"", Klantgegevens_B!H509, Klantgegevens_A!I509)</f>
        <v/>
      </c>
      <c r="I510">
        <f>IF(Klantgegevens_B!I509&lt;&gt;"", Klantgegevens_B!I509, SWITCH(Klantgegevens_A!J509, "Zelden", 1, "Af en toe", 4, "Regelmatig", 8, "Vaak", 12))</f>
        <v/>
      </c>
      <c r="J510">
        <f>IF(Klantgegevens_B!J509&lt;&gt;"", Klantgegevens_B!J509, Klantgegevens_A!K509)</f>
        <v/>
      </c>
      <c r="K510">
        <f>IF(Klantgegevens_B!K509&lt;&gt;"", AVERAGE(--(Klantgegevens_B!K509="ja"), --(Klantgegevens_B!L509="ja"), --(Klantgegevens_B!M509="ja"), --(Klantgegevens_B!N509="ja"), --(Klantgegevens_B!O509="ja"))*10, Klantgegevens_A!L509)</f>
        <v/>
      </c>
      <c r="L510">
        <f>IF(Klantgegevens_B!K509&lt;&gt;"", Klantgegevens_B!K509, IF(Klantgegevens_A!L509&gt;=7, "ja", "nee"))</f>
        <v/>
      </c>
      <c r="M510">
        <f>IF(Klantgegevens_B!L509&lt;&gt;"", Klantgegevens_B!L509, IF(Klantgegevens_A!L509&gt;=7, "ja", "nee"))</f>
        <v/>
      </c>
      <c r="N510">
        <f>IF(Klantgegevens_B!M509&lt;&gt;"", Klantgegevens_B!M509, IF(Klantgegevens_A!L509&gt;=7, "ja", "nee"))</f>
        <v/>
      </c>
      <c r="O510">
        <f>IF(Klantgegevens_B!N509&lt;&gt;"", Klantgegevens_B!N509, IF(Klantgegevens_A!L509&gt;=7, "ja", "nee"))</f>
        <v/>
      </c>
      <c r="P510">
        <f>IF(Klantgegevens_B!O509&lt;&gt;"", Klantgegevens_B!O509, IF(Klantgegevens_A!L509&gt;=7, "ja", "nee"))</f>
        <v/>
      </c>
      <c r="Q510">
        <f>IF(Klantgegevens_B!P509&lt;&gt;"", Klantgegevens_B!P509, Klantgegevens_A!M509)</f>
        <v/>
      </c>
      <c r="R510">
        <f>IF(Klantgegevens_B!A509&lt;&gt;"", "B", "A")</f>
        <v/>
      </c>
    </row>
    <row r="511">
      <c r="A511">
        <f>IF(Klantgegevens_B!A510&lt;&gt;"", Klantgegevens_B!A510, MID(Klantgegevens_A!A510, FIND(",", Klantgegevens_A!A510)+2, LEN(Klantgegevens_A!A510)))</f>
        <v/>
      </c>
      <c r="B511">
        <f>IF(Klantgegevens_B!B510&lt;&gt;"", Klantgegevens_B!B510, LEFT(Klantgegevens_A!A510, FIND(",", Klantgegevens_A!A510)-1))</f>
        <v/>
      </c>
      <c r="C511">
        <f>C510 &amp; ", " &amp; B510</f>
        <v/>
      </c>
      <c r="D511">
        <f>IF(Klantgegevens_B!F510&lt;&gt;"", Klantgegevens_B!F510, Klantgegevens_A!D510 &amp; " " &amp; Klantgegevens_A!E510 &amp; ", " &amp; Klantgegevens_A!F510)</f>
        <v/>
      </c>
      <c r="E511">
        <f>IF(Klantgegevens_B!G510&lt;&gt;"", Klantgegevens_B!G510, TEXTJOIN(",", TRUE, REPT("Volwassene,", Klantgegevens_A!G510), REPT("Kind,", Klantgegevens_A!H510)))</f>
        <v/>
      </c>
      <c r="F511">
        <f>IF(Klantgegevens_B!G510&lt;&gt;"", LEN(Klantgegevens_B!G510)-LEN(SUBSTITUTE(Klantgegevens_B!G510, ",", ""))+1, Klantgegevens_A!G510)</f>
        <v/>
      </c>
      <c r="G511">
        <f>IF(Klantgegevens_B!G510&lt;&gt;"", 0, Klantgegevens_A!H510)</f>
        <v/>
      </c>
      <c r="H511">
        <f>IF(Klantgegevens_B!H510&lt;&gt;"", Klantgegevens_B!H510, Klantgegevens_A!I510)</f>
        <v/>
      </c>
      <c r="I511">
        <f>IF(Klantgegevens_B!I510&lt;&gt;"", Klantgegevens_B!I510, SWITCH(Klantgegevens_A!J510, "Zelden", 1, "Af en toe", 4, "Regelmatig", 8, "Vaak", 12))</f>
        <v/>
      </c>
      <c r="J511">
        <f>IF(Klantgegevens_B!J510&lt;&gt;"", Klantgegevens_B!J510, Klantgegevens_A!K510)</f>
        <v/>
      </c>
      <c r="K511">
        <f>IF(Klantgegevens_B!K510&lt;&gt;"", AVERAGE(--(Klantgegevens_B!K510="ja"), --(Klantgegevens_B!L510="ja"), --(Klantgegevens_B!M510="ja"), --(Klantgegevens_B!N510="ja"), --(Klantgegevens_B!O510="ja"))*10, Klantgegevens_A!L510)</f>
        <v/>
      </c>
      <c r="L511">
        <f>IF(Klantgegevens_B!K510&lt;&gt;"", Klantgegevens_B!K510, IF(Klantgegevens_A!L510&gt;=7, "ja", "nee"))</f>
        <v/>
      </c>
      <c r="M511">
        <f>IF(Klantgegevens_B!L510&lt;&gt;"", Klantgegevens_B!L510, IF(Klantgegevens_A!L510&gt;=7, "ja", "nee"))</f>
        <v/>
      </c>
      <c r="N511">
        <f>IF(Klantgegevens_B!M510&lt;&gt;"", Klantgegevens_B!M510, IF(Klantgegevens_A!L510&gt;=7, "ja", "nee"))</f>
        <v/>
      </c>
      <c r="O511">
        <f>IF(Klantgegevens_B!N510&lt;&gt;"", Klantgegevens_B!N510, IF(Klantgegevens_A!L510&gt;=7, "ja", "nee"))</f>
        <v/>
      </c>
      <c r="P511">
        <f>IF(Klantgegevens_B!O510&lt;&gt;"", Klantgegevens_B!O510, IF(Klantgegevens_A!L510&gt;=7, "ja", "nee"))</f>
        <v/>
      </c>
      <c r="Q511">
        <f>IF(Klantgegevens_B!P510&lt;&gt;"", Klantgegevens_B!P510, Klantgegevens_A!M510)</f>
        <v/>
      </c>
      <c r="R511">
        <f>IF(Klantgegevens_B!A510&lt;&gt;"", "B", "A")</f>
        <v/>
      </c>
    </row>
    <row r="512">
      <c r="A512">
        <f>IF(Klantgegevens_B!A511&lt;&gt;"", Klantgegevens_B!A511, MID(Klantgegevens_A!A511, FIND(",", Klantgegevens_A!A511)+2, LEN(Klantgegevens_A!A511)))</f>
        <v/>
      </c>
      <c r="B512">
        <f>IF(Klantgegevens_B!B511&lt;&gt;"", Klantgegevens_B!B511, LEFT(Klantgegevens_A!A511, FIND(",", Klantgegevens_A!A511)-1))</f>
        <v/>
      </c>
      <c r="C512">
        <f>C511 &amp; ", " &amp; B511</f>
        <v/>
      </c>
      <c r="D512">
        <f>IF(Klantgegevens_B!F511&lt;&gt;"", Klantgegevens_B!F511, Klantgegevens_A!D511 &amp; " " &amp; Klantgegevens_A!E511 &amp; ", " &amp; Klantgegevens_A!F511)</f>
        <v/>
      </c>
      <c r="E512">
        <f>IF(Klantgegevens_B!G511&lt;&gt;"", Klantgegevens_B!G511, TEXTJOIN(",", TRUE, REPT("Volwassene,", Klantgegevens_A!G511), REPT("Kind,", Klantgegevens_A!H511)))</f>
        <v/>
      </c>
      <c r="F512">
        <f>IF(Klantgegevens_B!G511&lt;&gt;"", LEN(Klantgegevens_B!G511)-LEN(SUBSTITUTE(Klantgegevens_B!G511, ",", ""))+1, Klantgegevens_A!G511)</f>
        <v/>
      </c>
      <c r="G512">
        <f>IF(Klantgegevens_B!G511&lt;&gt;"", 0, Klantgegevens_A!H511)</f>
        <v/>
      </c>
      <c r="H512">
        <f>IF(Klantgegevens_B!H511&lt;&gt;"", Klantgegevens_B!H511, Klantgegevens_A!I511)</f>
        <v/>
      </c>
      <c r="I512">
        <f>IF(Klantgegevens_B!I511&lt;&gt;"", Klantgegevens_B!I511, SWITCH(Klantgegevens_A!J511, "Zelden", 1, "Af en toe", 4, "Regelmatig", 8, "Vaak", 12))</f>
        <v/>
      </c>
      <c r="J512">
        <f>IF(Klantgegevens_B!J511&lt;&gt;"", Klantgegevens_B!J511, Klantgegevens_A!K511)</f>
        <v/>
      </c>
      <c r="K512">
        <f>IF(Klantgegevens_B!K511&lt;&gt;"", AVERAGE(--(Klantgegevens_B!K511="ja"), --(Klantgegevens_B!L511="ja"), --(Klantgegevens_B!M511="ja"), --(Klantgegevens_B!N511="ja"), --(Klantgegevens_B!O511="ja"))*10, Klantgegevens_A!L511)</f>
        <v/>
      </c>
      <c r="L512">
        <f>IF(Klantgegevens_B!K511&lt;&gt;"", Klantgegevens_B!K511, IF(Klantgegevens_A!L511&gt;=7, "ja", "nee"))</f>
        <v/>
      </c>
      <c r="M512">
        <f>IF(Klantgegevens_B!L511&lt;&gt;"", Klantgegevens_B!L511, IF(Klantgegevens_A!L511&gt;=7, "ja", "nee"))</f>
        <v/>
      </c>
      <c r="N512">
        <f>IF(Klantgegevens_B!M511&lt;&gt;"", Klantgegevens_B!M511, IF(Klantgegevens_A!L511&gt;=7, "ja", "nee"))</f>
        <v/>
      </c>
      <c r="O512">
        <f>IF(Klantgegevens_B!N511&lt;&gt;"", Klantgegevens_B!N511, IF(Klantgegevens_A!L511&gt;=7, "ja", "nee"))</f>
        <v/>
      </c>
      <c r="P512">
        <f>IF(Klantgegevens_B!O511&lt;&gt;"", Klantgegevens_B!O511, IF(Klantgegevens_A!L511&gt;=7, "ja", "nee"))</f>
        <v/>
      </c>
      <c r="Q512">
        <f>IF(Klantgegevens_B!P511&lt;&gt;"", Klantgegevens_B!P511, Klantgegevens_A!M511)</f>
        <v/>
      </c>
      <c r="R512">
        <f>IF(Klantgegevens_B!A511&lt;&gt;"", "B", "A")</f>
        <v/>
      </c>
    </row>
    <row r="513">
      <c r="A513">
        <f>IF(Klantgegevens_B!A512&lt;&gt;"", Klantgegevens_B!A512, MID(Klantgegevens_A!A512, FIND(",", Klantgegevens_A!A512)+2, LEN(Klantgegevens_A!A512)))</f>
        <v/>
      </c>
      <c r="B513">
        <f>IF(Klantgegevens_B!B512&lt;&gt;"", Klantgegevens_B!B512, LEFT(Klantgegevens_A!A512, FIND(",", Klantgegevens_A!A512)-1))</f>
        <v/>
      </c>
      <c r="C513">
        <f>C512 &amp; ", " &amp; B512</f>
        <v/>
      </c>
      <c r="D513">
        <f>IF(Klantgegevens_B!F512&lt;&gt;"", Klantgegevens_B!F512, Klantgegevens_A!D512 &amp; " " &amp; Klantgegevens_A!E512 &amp; ", " &amp; Klantgegevens_A!F512)</f>
        <v/>
      </c>
      <c r="E513">
        <f>IF(Klantgegevens_B!G512&lt;&gt;"", Klantgegevens_B!G512, TEXTJOIN(",", TRUE, REPT("Volwassene,", Klantgegevens_A!G512), REPT("Kind,", Klantgegevens_A!H512)))</f>
        <v/>
      </c>
      <c r="F513">
        <f>IF(Klantgegevens_B!G512&lt;&gt;"", LEN(Klantgegevens_B!G512)-LEN(SUBSTITUTE(Klantgegevens_B!G512, ",", ""))+1, Klantgegevens_A!G512)</f>
        <v/>
      </c>
      <c r="G513">
        <f>IF(Klantgegevens_B!G512&lt;&gt;"", 0, Klantgegevens_A!H512)</f>
        <v/>
      </c>
      <c r="H513">
        <f>IF(Klantgegevens_B!H512&lt;&gt;"", Klantgegevens_B!H512, Klantgegevens_A!I512)</f>
        <v/>
      </c>
      <c r="I513">
        <f>IF(Klantgegevens_B!I512&lt;&gt;"", Klantgegevens_B!I512, SWITCH(Klantgegevens_A!J512, "Zelden", 1, "Af en toe", 4, "Regelmatig", 8, "Vaak", 12))</f>
        <v/>
      </c>
      <c r="J513">
        <f>IF(Klantgegevens_B!J512&lt;&gt;"", Klantgegevens_B!J512, Klantgegevens_A!K512)</f>
        <v/>
      </c>
      <c r="K513">
        <f>IF(Klantgegevens_B!K512&lt;&gt;"", AVERAGE(--(Klantgegevens_B!K512="ja"), --(Klantgegevens_B!L512="ja"), --(Klantgegevens_B!M512="ja"), --(Klantgegevens_B!N512="ja"), --(Klantgegevens_B!O512="ja"))*10, Klantgegevens_A!L512)</f>
        <v/>
      </c>
      <c r="L513">
        <f>IF(Klantgegevens_B!K512&lt;&gt;"", Klantgegevens_B!K512, IF(Klantgegevens_A!L512&gt;=7, "ja", "nee"))</f>
        <v/>
      </c>
      <c r="M513">
        <f>IF(Klantgegevens_B!L512&lt;&gt;"", Klantgegevens_B!L512, IF(Klantgegevens_A!L512&gt;=7, "ja", "nee"))</f>
        <v/>
      </c>
      <c r="N513">
        <f>IF(Klantgegevens_B!M512&lt;&gt;"", Klantgegevens_B!M512, IF(Klantgegevens_A!L512&gt;=7, "ja", "nee"))</f>
        <v/>
      </c>
      <c r="O513">
        <f>IF(Klantgegevens_B!N512&lt;&gt;"", Klantgegevens_B!N512, IF(Klantgegevens_A!L512&gt;=7, "ja", "nee"))</f>
        <v/>
      </c>
      <c r="P513">
        <f>IF(Klantgegevens_B!O512&lt;&gt;"", Klantgegevens_B!O512, IF(Klantgegevens_A!L512&gt;=7, "ja", "nee"))</f>
        <v/>
      </c>
      <c r="Q513">
        <f>IF(Klantgegevens_B!P512&lt;&gt;"", Klantgegevens_B!P512, Klantgegevens_A!M512)</f>
        <v/>
      </c>
      <c r="R513">
        <f>IF(Klantgegevens_B!A512&lt;&gt;"", "B", "A")</f>
        <v/>
      </c>
    </row>
    <row r="514">
      <c r="A514">
        <f>IF(Klantgegevens_B!A513&lt;&gt;"", Klantgegevens_B!A513, MID(Klantgegevens_A!A513, FIND(",", Klantgegevens_A!A513)+2, LEN(Klantgegevens_A!A513)))</f>
        <v/>
      </c>
      <c r="B514">
        <f>IF(Klantgegevens_B!B513&lt;&gt;"", Klantgegevens_B!B513, LEFT(Klantgegevens_A!A513, FIND(",", Klantgegevens_A!A513)-1))</f>
        <v/>
      </c>
      <c r="C514">
        <f>C513 &amp; ", " &amp; B513</f>
        <v/>
      </c>
      <c r="D514">
        <f>IF(Klantgegevens_B!F513&lt;&gt;"", Klantgegevens_B!F513, Klantgegevens_A!D513 &amp; " " &amp; Klantgegevens_A!E513 &amp; ", " &amp; Klantgegevens_A!F513)</f>
        <v/>
      </c>
      <c r="E514">
        <f>IF(Klantgegevens_B!G513&lt;&gt;"", Klantgegevens_B!G513, TEXTJOIN(",", TRUE, REPT("Volwassene,", Klantgegevens_A!G513), REPT("Kind,", Klantgegevens_A!H513)))</f>
        <v/>
      </c>
      <c r="F514">
        <f>IF(Klantgegevens_B!G513&lt;&gt;"", LEN(Klantgegevens_B!G513)-LEN(SUBSTITUTE(Klantgegevens_B!G513, ",", ""))+1, Klantgegevens_A!G513)</f>
        <v/>
      </c>
      <c r="G514">
        <f>IF(Klantgegevens_B!G513&lt;&gt;"", 0, Klantgegevens_A!H513)</f>
        <v/>
      </c>
      <c r="H514">
        <f>IF(Klantgegevens_B!H513&lt;&gt;"", Klantgegevens_B!H513, Klantgegevens_A!I513)</f>
        <v/>
      </c>
      <c r="I514">
        <f>IF(Klantgegevens_B!I513&lt;&gt;"", Klantgegevens_B!I513, SWITCH(Klantgegevens_A!J513, "Zelden", 1, "Af en toe", 4, "Regelmatig", 8, "Vaak", 12))</f>
        <v/>
      </c>
      <c r="J514">
        <f>IF(Klantgegevens_B!J513&lt;&gt;"", Klantgegevens_B!J513, Klantgegevens_A!K513)</f>
        <v/>
      </c>
      <c r="K514">
        <f>IF(Klantgegevens_B!K513&lt;&gt;"", AVERAGE(--(Klantgegevens_B!K513="ja"), --(Klantgegevens_B!L513="ja"), --(Klantgegevens_B!M513="ja"), --(Klantgegevens_B!N513="ja"), --(Klantgegevens_B!O513="ja"))*10, Klantgegevens_A!L513)</f>
        <v/>
      </c>
      <c r="L514">
        <f>IF(Klantgegevens_B!K513&lt;&gt;"", Klantgegevens_B!K513, IF(Klantgegevens_A!L513&gt;=7, "ja", "nee"))</f>
        <v/>
      </c>
      <c r="M514">
        <f>IF(Klantgegevens_B!L513&lt;&gt;"", Klantgegevens_B!L513, IF(Klantgegevens_A!L513&gt;=7, "ja", "nee"))</f>
        <v/>
      </c>
      <c r="N514">
        <f>IF(Klantgegevens_B!M513&lt;&gt;"", Klantgegevens_B!M513, IF(Klantgegevens_A!L513&gt;=7, "ja", "nee"))</f>
        <v/>
      </c>
      <c r="O514">
        <f>IF(Klantgegevens_B!N513&lt;&gt;"", Klantgegevens_B!N513, IF(Klantgegevens_A!L513&gt;=7, "ja", "nee"))</f>
        <v/>
      </c>
      <c r="P514">
        <f>IF(Klantgegevens_B!O513&lt;&gt;"", Klantgegevens_B!O513, IF(Klantgegevens_A!L513&gt;=7, "ja", "nee"))</f>
        <v/>
      </c>
      <c r="Q514">
        <f>IF(Klantgegevens_B!P513&lt;&gt;"", Klantgegevens_B!P513, Klantgegevens_A!M513)</f>
        <v/>
      </c>
      <c r="R514">
        <f>IF(Klantgegevens_B!A513&lt;&gt;"", "B", "A")</f>
        <v/>
      </c>
    </row>
    <row r="515">
      <c r="A515">
        <f>IF(Klantgegevens_B!A514&lt;&gt;"", Klantgegevens_B!A514, MID(Klantgegevens_A!A514, FIND(",", Klantgegevens_A!A514)+2, LEN(Klantgegevens_A!A514)))</f>
        <v/>
      </c>
      <c r="B515">
        <f>IF(Klantgegevens_B!B514&lt;&gt;"", Klantgegevens_B!B514, LEFT(Klantgegevens_A!A514, FIND(",", Klantgegevens_A!A514)-1))</f>
        <v/>
      </c>
      <c r="C515">
        <f>C514 &amp; ", " &amp; B514</f>
        <v/>
      </c>
      <c r="D515">
        <f>IF(Klantgegevens_B!F514&lt;&gt;"", Klantgegevens_B!F514, Klantgegevens_A!D514 &amp; " " &amp; Klantgegevens_A!E514 &amp; ", " &amp; Klantgegevens_A!F514)</f>
        <v/>
      </c>
      <c r="E515">
        <f>IF(Klantgegevens_B!G514&lt;&gt;"", Klantgegevens_B!G514, TEXTJOIN(",", TRUE, REPT("Volwassene,", Klantgegevens_A!G514), REPT("Kind,", Klantgegevens_A!H514)))</f>
        <v/>
      </c>
      <c r="F515">
        <f>IF(Klantgegevens_B!G514&lt;&gt;"", LEN(Klantgegevens_B!G514)-LEN(SUBSTITUTE(Klantgegevens_B!G514, ",", ""))+1, Klantgegevens_A!G514)</f>
        <v/>
      </c>
      <c r="G515">
        <f>IF(Klantgegevens_B!G514&lt;&gt;"", 0, Klantgegevens_A!H514)</f>
        <v/>
      </c>
      <c r="H515">
        <f>IF(Klantgegevens_B!H514&lt;&gt;"", Klantgegevens_B!H514, Klantgegevens_A!I514)</f>
        <v/>
      </c>
      <c r="I515">
        <f>IF(Klantgegevens_B!I514&lt;&gt;"", Klantgegevens_B!I514, SWITCH(Klantgegevens_A!J514, "Zelden", 1, "Af en toe", 4, "Regelmatig", 8, "Vaak", 12))</f>
        <v/>
      </c>
      <c r="J515">
        <f>IF(Klantgegevens_B!J514&lt;&gt;"", Klantgegevens_B!J514, Klantgegevens_A!K514)</f>
        <v/>
      </c>
      <c r="K515">
        <f>IF(Klantgegevens_B!K514&lt;&gt;"", AVERAGE(--(Klantgegevens_B!K514="ja"), --(Klantgegevens_B!L514="ja"), --(Klantgegevens_B!M514="ja"), --(Klantgegevens_B!N514="ja"), --(Klantgegevens_B!O514="ja"))*10, Klantgegevens_A!L514)</f>
        <v/>
      </c>
      <c r="L515">
        <f>IF(Klantgegevens_B!K514&lt;&gt;"", Klantgegevens_B!K514, IF(Klantgegevens_A!L514&gt;=7, "ja", "nee"))</f>
        <v/>
      </c>
      <c r="M515">
        <f>IF(Klantgegevens_B!L514&lt;&gt;"", Klantgegevens_B!L514, IF(Klantgegevens_A!L514&gt;=7, "ja", "nee"))</f>
        <v/>
      </c>
      <c r="N515">
        <f>IF(Klantgegevens_B!M514&lt;&gt;"", Klantgegevens_B!M514, IF(Klantgegevens_A!L514&gt;=7, "ja", "nee"))</f>
        <v/>
      </c>
      <c r="O515">
        <f>IF(Klantgegevens_B!N514&lt;&gt;"", Klantgegevens_B!N514, IF(Klantgegevens_A!L514&gt;=7, "ja", "nee"))</f>
        <v/>
      </c>
      <c r="P515">
        <f>IF(Klantgegevens_B!O514&lt;&gt;"", Klantgegevens_B!O514, IF(Klantgegevens_A!L514&gt;=7, "ja", "nee"))</f>
        <v/>
      </c>
      <c r="Q515">
        <f>IF(Klantgegevens_B!P514&lt;&gt;"", Klantgegevens_B!P514, Klantgegevens_A!M514)</f>
        <v/>
      </c>
      <c r="R515">
        <f>IF(Klantgegevens_B!A514&lt;&gt;"", "B", "A")</f>
        <v/>
      </c>
    </row>
    <row r="516">
      <c r="A516">
        <f>IF(Klantgegevens_B!A515&lt;&gt;"", Klantgegevens_B!A515, MID(Klantgegevens_A!A515, FIND(",", Klantgegevens_A!A515)+2, LEN(Klantgegevens_A!A515)))</f>
        <v/>
      </c>
      <c r="B516">
        <f>IF(Klantgegevens_B!B515&lt;&gt;"", Klantgegevens_B!B515, LEFT(Klantgegevens_A!A515, FIND(",", Klantgegevens_A!A515)-1))</f>
        <v/>
      </c>
      <c r="C516">
        <f>C515 &amp; ", " &amp; B515</f>
        <v/>
      </c>
      <c r="D516">
        <f>IF(Klantgegevens_B!F515&lt;&gt;"", Klantgegevens_B!F515, Klantgegevens_A!D515 &amp; " " &amp; Klantgegevens_A!E515 &amp; ", " &amp; Klantgegevens_A!F515)</f>
        <v/>
      </c>
      <c r="E516">
        <f>IF(Klantgegevens_B!G515&lt;&gt;"", Klantgegevens_B!G515, TEXTJOIN(",", TRUE, REPT("Volwassene,", Klantgegevens_A!G515), REPT("Kind,", Klantgegevens_A!H515)))</f>
        <v/>
      </c>
      <c r="F516">
        <f>IF(Klantgegevens_B!G515&lt;&gt;"", LEN(Klantgegevens_B!G515)-LEN(SUBSTITUTE(Klantgegevens_B!G515, ",", ""))+1, Klantgegevens_A!G515)</f>
        <v/>
      </c>
      <c r="G516">
        <f>IF(Klantgegevens_B!G515&lt;&gt;"", 0, Klantgegevens_A!H515)</f>
        <v/>
      </c>
      <c r="H516">
        <f>IF(Klantgegevens_B!H515&lt;&gt;"", Klantgegevens_B!H515, Klantgegevens_A!I515)</f>
        <v/>
      </c>
      <c r="I516">
        <f>IF(Klantgegevens_B!I515&lt;&gt;"", Klantgegevens_B!I515, SWITCH(Klantgegevens_A!J515, "Zelden", 1, "Af en toe", 4, "Regelmatig", 8, "Vaak", 12))</f>
        <v/>
      </c>
      <c r="J516">
        <f>IF(Klantgegevens_B!J515&lt;&gt;"", Klantgegevens_B!J515, Klantgegevens_A!K515)</f>
        <v/>
      </c>
      <c r="K516">
        <f>IF(Klantgegevens_B!K515&lt;&gt;"", AVERAGE(--(Klantgegevens_B!K515="ja"), --(Klantgegevens_B!L515="ja"), --(Klantgegevens_B!M515="ja"), --(Klantgegevens_B!N515="ja"), --(Klantgegevens_B!O515="ja"))*10, Klantgegevens_A!L515)</f>
        <v/>
      </c>
      <c r="L516">
        <f>IF(Klantgegevens_B!K515&lt;&gt;"", Klantgegevens_B!K515, IF(Klantgegevens_A!L515&gt;=7, "ja", "nee"))</f>
        <v/>
      </c>
      <c r="M516">
        <f>IF(Klantgegevens_B!L515&lt;&gt;"", Klantgegevens_B!L515, IF(Klantgegevens_A!L515&gt;=7, "ja", "nee"))</f>
        <v/>
      </c>
      <c r="N516">
        <f>IF(Klantgegevens_B!M515&lt;&gt;"", Klantgegevens_B!M515, IF(Klantgegevens_A!L515&gt;=7, "ja", "nee"))</f>
        <v/>
      </c>
      <c r="O516">
        <f>IF(Klantgegevens_B!N515&lt;&gt;"", Klantgegevens_B!N515, IF(Klantgegevens_A!L515&gt;=7, "ja", "nee"))</f>
        <v/>
      </c>
      <c r="P516">
        <f>IF(Klantgegevens_B!O515&lt;&gt;"", Klantgegevens_B!O515, IF(Klantgegevens_A!L515&gt;=7, "ja", "nee"))</f>
        <v/>
      </c>
      <c r="Q516">
        <f>IF(Klantgegevens_B!P515&lt;&gt;"", Klantgegevens_B!P515, Klantgegevens_A!M515)</f>
        <v/>
      </c>
      <c r="R516">
        <f>IF(Klantgegevens_B!A515&lt;&gt;"", "B", "A")</f>
        <v/>
      </c>
    </row>
    <row r="517">
      <c r="A517">
        <f>IF(Klantgegevens_B!A516&lt;&gt;"", Klantgegevens_B!A516, MID(Klantgegevens_A!A516, FIND(",", Klantgegevens_A!A516)+2, LEN(Klantgegevens_A!A516)))</f>
        <v/>
      </c>
      <c r="B517">
        <f>IF(Klantgegevens_B!B516&lt;&gt;"", Klantgegevens_B!B516, LEFT(Klantgegevens_A!A516, FIND(",", Klantgegevens_A!A516)-1))</f>
        <v/>
      </c>
      <c r="C517">
        <f>C516 &amp; ", " &amp; B516</f>
        <v/>
      </c>
      <c r="D517">
        <f>IF(Klantgegevens_B!F516&lt;&gt;"", Klantgegevens_B!F516, Klantgegevens_A!D516 &amp; " " &amp; Klantgegevens_A!E516 &amp; ", " &amp; Klantgegevens_A!F516)</f>
        <v/>
      </c>
      <c r="E517">
        <f>IF(Klantgegevens_B!G516&lt;&gt;"", Klantgegevens_B!G516, TEXTJOIN(",", TRUE, REPT("Volwassene,", Klantgegevens_A!G516), REPT("Kind,", Klantgegevens_A!H516)))</f>
        <v/>
      </c>
      <c r="F517">
        <f>IF(Klantgegevens_B!G516&lt;&gt;"", LEN(Klantgegevens_B!G516)-LEN(SUBSTITUTE(Klantgegevens_B!G516, ",", ""))+1, Klantgegevens_A!G516)</f>
        <v/>
      </c>
      <c r="G517">
        <f>IF(Klantgegevens_B!G516&lt;&gt;"", 0, Klantgegevens_A!H516)</f>
        <v/>
      </c>
      <c r="H517">
        <f>IF(Klantgegevens_B!H516&lt;&gt;"", Klantgegevens_B!H516, Klantgegevens_A!I516)</f>
        <v/>
      </c>
      <c r="I517">
        <f>IF(Klantgegevens_B!I516&lt;&gt;"", Klantgegevens_B!I516, SWITCH(Klantgegevens_A!J516, "Zelden", 1, "Af en toe", 4, "Regelmatig", 8, "Vaak", 12))</f>
        <v/>
      </c>
      <c r="J517">
        <f>IF(Klantgegevens_B!J516&lt;&gt;"", Klantgegevens_B!J516, Klantgegevens_A!K516)</f>
        <v/>
      </c>
      <c r="K517">
        <f>IF(Klantgegevens_B!K516&lt;&gt;"", AVERAGE(--(Klantgegevens_B!K516="ja"), --(Klantgegevens_B!L516="ja"), --(Klantgegevens_B!M516="ja"), --(Klantgegevens_B!N516="ja"), --(Klantgegevens_B!O516="ja"))*10, Klantgegevens_A!L516)</f>
        <v/>
      </c>
      <c r="L517">
        <f>IF(Klantgegevens_B!K516&lt;&gt;"", Klantgegevens_B!K516, IF(Klantgegevens_A!L516&gt;=7, "ja", "nee"))</f>
        <v/>
      </c>
      <c r="M517">
        <f>IF(Klantgegevens_B!L516&lt;&gt;"", Klantgegevens_B!L516, IF(Klantgegevens_A!L516&gt;=7, "ja", "nee"))</f>
        <v/>
      </c>
      <c r="N517">
        <f>IF(Klantgegevens_B!M516&lt;&gt;"", Klantgegevens_B!M516, IF(Klantgegevens_A!L516&gt;=7, "ja", "nee"))</f>
        <v/>
      </c>
      <c r="O517">
        <f>IF(Klantgegevens_B!N516&lt;&gt;"", Klantgegevens_B!N516, IF(Klantgegevens_A!L516&gt;=7, "ja", "nee"))</f>
        <v/>
      </c>
      <c r="P517">
        <f>IF(Klantgegevens_B!O516&lt;&gt;"", Klantgegevens_B!O516, IF(Klantgegevens_A!L516&gt;=7, "ja", "nee"))</f>
        <v/>
      </c>
      <c r="Q517">
        <f>IF(Klantgegevens_B!P516&lt;&gt;"", Klantgegevens_B!P516, Klantgegevens_A!M516)</f>
        <v/>
      </c>
      <c r="R517">
        <f>IF(Klantgegevens_B!A516&lt;&gt;"", "B", "A")</f>
        <v/>
      </c>
    </row>
    <row r="518">
      <c r="A518">
        <f>IF(Klantgegevens_B!A517&lt;&gt;"", Klantgegevens_B!A517, MID(Klantgegevens_A!A517, FIND(",", Klantgegevens_A!A517)+2, LEN(Klantgegevens_A!A517)))</f>
        <v/>
      </c>
      <c r="B518">
        <f>IF(Klantgegevens_B!B517&lt;&gt;"", Klantgegevens_B!B517, LEFT(Klantgegevens_A!A517, FIND(",", Klantgegevens_A!A517)-1))</f>
        <v/>
      </c>
      <c r="C518">
        <f>C517 &amp; ", " &amp; B517</f>
        <v/>
      </c>
      <c r="D518">
        <f>IF(Klantgegevens_B!F517&lt;&gt;"", Klantgegevens_B!F517, Klantgegevens_A!D517 &amp; " " &amp; Klantgegevens_A!E517 &amp; ", " &amp; Klantgegevens_A!F517)</f>
        <v/>
      </c>
      <c r="E518">
        <f>IF(Klantgegevens_B!G517&lt;&gt;"", Klantgegevens_B!G517, TEXTJOIN(",", TRUE, REPT("Volwassene,", Klantgegevens_A!G517), REPT("Kind,", Klantgegevens_A!H517)))</f>
        <v/>
      </c>
      <c r="F518">
        <f>IF(Klantgegevens_B!G517&lt;&gt;"", LEN(Klantgegevens_B!G517)-LEN(SUBSTITUTE(Klantgegevens_B!G517, ",", ""))+1, Klantgegevens_A!G517)</f>
        <v/>
      </c>
      <c r="G518">
        <f>IF(Klantgegevens_B!G517&lt;&gt;"", 0, Klantgegevens_A!H517)</f>
        <v/>
      </c>
      <c r="H518">
        <f>IF(Klantgegevens_B!H517&lt;&gt;"", Klantgegevens_B!H517, Klantgegevens_A!I517)</f>
        <v/>
      </c>
      <c r="I518">
        <f>IF(Klantgegevens_B!I517&lt;&gt;"", Klantgegevens_B!I517, SWITCH(Klantgegevens_A!J517, "Zelden", 1, "Af en toe", 4, "Regelmatig", 8, "Vaak", 12))</f>
        <v/>
      </c>
      <c r="J518">
        <f>IF(Klantgegevens_B!J517&lt;&gt;"", Klantgegevens_B!J517, Klantgegevens_A!K517)</f>
        <v/>
      </c>
      <c r="K518">
        <f>IF(Klantgegevens_B!K517&lt;&gt;"", AVERAGE(--(Klantgegevens_B!K517="ja"), --(Klantgegevens_B!L517="ja"), --(Klantgegevens_B!M517="ja"), --(Klantgegevens_B!N517="ja"), --(Klantgegevens_B!O517="ja"))*10, Klantgegevens_A!L517)</f>
        <v/>
      </c>
      <c r="L518">
        <f>IF(Klantgegevens_B!K517&lt;&gt;"", Klantgegevens_B!K517, IF(Klantgegevens_A!L517&gt;=7, "ja", "nee"))</f>
        <v/>
      </c>
      <c r="M518">
        <f>IF(Klantgegevens_B!L517&lt;&gt;"", Klantgegevens_B!L517, IF(Klantgegevens_A!L517&gt;=7, "ja", "nee"))</f>
        <v/>
      </c>
      <c r="N518">
        <f>IF(Klantgegevens_B!M517&lt;&gt;"", Klantgegevens_B!M517, IF(Klantgegevens_A!L517&gt;=7, "ja", "nee"))</f>
        <v/>
      </c>
      <c r="O518">
        <f>IF(Klantgegevens_B!N517&lt;&gt;"", Klantgegevens_B!N517, IF(Klantgegevens_A!L517&gt;=7, "ja", "nee"))</f>
        <v/>
      </c>
      <c r="P518">
        <f>IF(Klantgegevens_B!O517&lt;&gt;"", Klantgegevens_B!O517, IF(Klantgegevens_A!L517&gt;=7, "ja", "nee"))</f>
        <v/>
      </c>
      <c r="Q518">
        <f>IF(Klantgegevens_B!P517&lt;&gt;"", Klantgegevens_B!P517, Klantgegevens_A!M517)</f>
        <v/>
      </c>
      <c r="R518">
        <f>IF(Klantgegevens_B!A517&lt;&gt;"", "B", "A")</f>
        <v/>
      </c>
    </row>
    <row r="519">
      <c r="A519">
        <f>IF(Klantgegevens_B!A518&lt;&gt;"", Klantgegevens_B!A518, MID(Klantgegevens_A!A518, FIND(",", Klantgegevens_A!A518)+2, LEN(Klantgegevens_A!A518)))</f>
        <v/>
      </c>
      <c r="B519">
        <f>IF(Klantgegevens_B!B518&lt;&gt;"", Klantgegevens_B!B518, LEFT(Klantgegevens_A!A518, FIND(",", Klantgegevens_A!A518)-1))</f>
        <v/>
      </c>
      <c r="C519">
        <f>C518 &amp; ", " &amp; B518</f>
        <v/>
      </c>
      <c r="D519">
        <f>IF(Klantgegevens_B!F518&lt;&gt;"", Klantgegevens_B!F518, Klantgegevens_A!D518 &amp; " " &amp; Klantgegevens_A!E518 &amp; ", " &amp; Klantgegevens_A!F518)</f>
        <v/>
      </c>
      <c r="E519">
        <f>IF(Klantgegevens_B!G518&lt;&gt;"", Klantgegevens_B!G518, TEXTJOIN(",", TRUE, REPT("Volwassene,", Klantgegevens_A!G518), REPT("Kind,", Klantgegevens_A!H518)))</f>
        <v/>
      </c>
      <c r="F519">
        <f>IF(Klantgegevens_B!G518&lt;&gt;"", LEN(Klantgegevens_B!G518)-LEN(SUBSTITUTE(Klantgegevens_B!G518, ",", ""))+1, Klantgegevens_A!G518)</f>
        <v/>
      </c>
      <c r="G519">
        <f>IF(Klantgegevens_B!G518&lt;&gt;"", 0, Klantgegevens_A!H518)</f>
        <v/>
      </c>
      <c r="H519">
        <f>IF(Klantgegevens_B!H518&lt;&gt;"", Klantgegevens_B!H518, Klantgegevens_A!I518)</f>
        <v/>
      </c>
      <c r="I519">
        <f>IF(Klantgegevens_B!I518&lt;&gt;"", Klantgegevens_B!I518, SWITCH(Klantgegevens_A!J518, "Zelden", 1, "Af en toe", 4, "Regelmatig", 8, "Vaak", 12))</f>
        <v/>
      </c>
      <c r="J519">
        <f>IF(Klantgegevens_B!J518&lt;&gt;"", Klantgegevens_B!J518, Klantgegevens_A!K518)</f>
        <v/>
      </c>
      <c r="K519">
        <f>IF(Klantgegevens_B!K518&lt;&gt;"", AVERAGE(--(Klantgegevens_B!K518="ja"), --(Klantgegevens_B!L518="ja"), --(Klantgegevens_B!M518="ja"), --(Klantgegevens_B!N518="ja"), --(Klantgegevens_B!O518="ja"))*10, Klantgegevens_A!L518)</f>
        <v/>
      </c>
      <c r="L519">
        <f>IF(Klantgegevens_B!K518&lt;&gt;"", Klantgegevens_B!K518, IF(Klantgegevens_A!L518&gt;=7, "ja", "nee"))</f>
        <v/>
      </c>
      <c r="M519">
        <f>IF(Klantgegevens_B!L518&lt;&gt;"", Klantgegevens_B!L518, IF(Klantgegevens_A!L518&gt;=7, "ja", "nee"))</f>
        <v/>
      </c>
      <c r="N519">
        <f>IF(Klantgegevens_B!M518&lt;&gt;"", Klantgegevens_B!M518, IF(Klantgegevens_A!L518&gt;=7, "ja", "nee"))</f>
        <v/>
      </c>
      <c r="O519">
        <f>IF(Klantgegevens_B!N518&lt;&gt;"", Klantgegevens_B!N518, IF(Klantgegevens_A!L518&gt;=7, "ja", "nee"))</f>
        <v/>
      </c>
      <c r="P519">
        <f>IF(Klantgegevens_B!O518&lt;&gt;"", Klantgegevens_B!O518, IF(Klantgegevens_A!L518&gt;=7, "ja", "nee"))</f>
        <v/>
      </c>
      <c r="Q519">
        <f>IF(Klantgegevens_B!P518&lt;&gt;"", Klantgegevens_B!P518, Klantgegevens_A!M518)</f>
        <v/>
      </c>
      <c r="R519">
        <f>IF(Klantgegevens_B!A518&lt;&gt;"", "B", "A")</f>
        <v/>
      </c>
    </row>
    <row r="520">
      <c r="A520">
        <f>IF(Klantgegevens_B!A519&lt;&gt;"", Klantgegevens_B!A519, MID(Klantgegevens_A!A519, FIND(",", Klantgegevens_A!A519)+2, LEN(Klantgegevens_A!A519)))</f>
        <v/>
      </c>
      <c r="B520">
        <f>IF(Klantgegevens_B!B519&lt;&gt;"", Klantgegevens_B!B519, LEFT(Klantgegevens_A!A519, FIND(",", Klantgegevens_A!A519)-1))</f>
        <v/>
      </c>
      <c r="C520">
        <f>C519 &amp; ", " &amp; B519</f>
        <v/>
      </c>
      <c r="D520">
        <f>IF(Klantgegevens_B!F519&lt;&gt;"", Klantgegevens_B!F519, Klantgegevens_A!D519 &amp; " " &amp; Klantgegevens_A!E519 &amp; ", " &amp; Klantgegevens_A!F519)</f>
        <v/>
      </c>
      <c r="E520">
        <f>IF(Klantgegevens_B!G519&lt;&gt;"", Klantgegevens_B!G519, TEXTJOIN(",", TRUE, REPT("Volwassene,", Klantgegevens_A!G519), REPT("Kind,", Klantgegevens_A!H519)))</f>
        <v/>
      </c>
      <c r="F520">
        <f>IF(Klantgegevens_B!G519&lt;&gt;"", LEN(Klantgegevens_B!G519)-LEN(SUBSTITUTE(Klantgegevens_B!G519, ",", ""))+1, Klantgegevens_A!G519)</f>
        <v/>
      </c>
      <c r="G520">
        <f>IF(Klantgegevens_B!G519&lt;&gt;"", 0, Klantgegevens_A!H519)</f>
        <v/>
      </c>
      <c r="H520">
        <f>IF(Klantgegevens_B!H519&lt;&gt;"", Klantgegevens_B!H519, Klantgegevens_A!I519)</f>
        <v/>
      </c>
      <c r="I520">
        <f>IF(Klantgegevens_B!I519&lt;&gt;"", Klantgegevens_B!I519, SWITCH(Klantgegevens_A!J519, "Zelden", 1, "Af en toe", 4, "Regelmatig", 8, "Vaak", 12))</f>
        <v/>
      </c>
      <c r="J520">
        <f>IF(Klantgegevens_B!J519&lt;&gt;"", Klantgegevens_B!J519, Klantgegevens_A!K519)</f>
        <v/>
      </c>
      <c r="K520">
        <f>IF(Klantgegevens_B!K519&lt;&gt;"", AVERAGE(--(Klantgegevens_B!K519="ja"), --(Klantgegevens_B!L519="ja"), --(Klantgegevens_B!M519="ja"), --(Klantgegevens_B!N519="ja"), --(Klantgegevens_B!O519="ja"))*10, Klantgegevens_A!L519)</f>
        <v/>
      </c>
      <c r="L520">
        <f>IF(Klantgegevens_B!K519&lt;&gt;"", Klantgegevens_B!K519, IF(Klantgegevens_A!L519&gt;=7, "ja", "nee"))</f>
        <v/>
      </c>
      <c r="M520">
        <f>IF(Klantgegevens_B!L519&lt;&gt;"", Klantgegevens_B!L519, IF(Klantgegevens_A!L519&gt;=7, "ja", "nee"))</f>
        <v/>
      </c>
      <c r="N520">
        <f>IF(Klantgegevens_B!M519&lt;&gt;"", Klantgegevens_B!M519, IF(Klantgegevens_A!L519&gt;=7, "ja", "nee"))</f>
        <v/>
      </c>
      <c r="O520">
        <f>IF(Klantgegevens_B!N519&lt;&gt;"", Klantgegevens_B!N519, IF(Klantgegevens_A!L519&gt;=7, "ja", "nee"))</f>
        <v/>
      </c>
      <c r="P520">
        <f>IF(Klantgegevens_B!O519&lt;&gt;"", Klantgegevens_B!O519, IF(Klantgegevens_A!L519&gt;=7, "ja", "nee"))</f>
        <v/>
      </c>
      <c r="Q520">
        <f>IF(Klantgegevens_B!P519&lt;&gt;"", Klantgegevens_B!P519, Klantgegevens_A!M519)</f>
        <v/>
      </c>
      <c r="R520">
        <f>IF(Klantgegevens_B!A519&lt;&gt;"", "B", "A")</f>
        <v/>
      </c>
    </row>
    <row r="521">
      <c r="A521">
        <f>IF(Klantgegevens_B!A520&lt;&gt;"", Klantgegevens_B!A520, MID(Klantgegevens_A!A520, FIND(",", Klantgegevens_A!A520)+2, LEN(Klantgegevens_A!A520)))</f>
        <v/>
      </c>
      <c r="B521">
        <f>IF(Klantgegevens_B!B520&lt;&gt;"", Klantgegevens_B!B520, LEFT(Klantgegevens_A!A520, FIND(",", Klantgegevens_A!A520)-1))</f>
        <v/>
      </c>
      <c r="C521">
        <f>C520 &amp; ", " &amp; B520</f>
        <v/>
      </c>
      <c r="D521">
        <f>IF(Klantgegevens_B!F520&lt;&gt;"", Klantgegevens_B!F520, Klantgegevens_A!D520 &amp; " " &amp; Klantgegevens_A!E520 &amp; ", " &amp; Klantgegevens_A!F520)</f>
        <v/>
      </c>
      <c r="E521">
        <f>IF(Klantgegevens_B!G520&lt;&gt;"", Klantgegevens_B!G520, TEXTJOIN(",", TRUE, REPT("Volwassene,", Klantgegevens_A!G520), REPT("Kind,", Klantgegevens_A!H520)))</f>
        <v/>
      </c>
      <c r="F521">
        <f>IF(Klantgegevens_B!G520&lt;&gt;"", LEN(Klantgegevens_B!G520)-LEN(SUBSTITUTE(Klantgegevens_B!G520, ",", ""))+1, Klantgegevens_A!G520)</f>
        <v/>
      </c>
      <c r="G521">
        <f>IF(Klantgegevens_B!G520&lt;&gt;"", 0, Klantgegevens_A!H520)</f>
        <v/>
      </c>
      <c r="H521">
        <f>IF(Klantgegevens_B!H520&lt;&gt;"", Klantgegevens_B!H520, Klantgegevens_A!I520)</f>
        <v/>
      </c>
      <c r="I521">
        <f>IF(Klantgegevens_B!I520&lt;&gt;"", Klantgegevens_B!I520, SWITCH(Klantgegevens_A!J520, "Zelden", 1, "Af en toe", 4, "Regelmatig", 8, "Vaak", 12))</f>
        <v/>
      </c>
      <c r="J521">
        <f>IF(Klantgegevens_B!J520&lt;&gt;"", Klantgegevens_B!J520, Klantgegevens_A!K520)</f>
        <v/>
      </c>
      <c r="K521">
        <f>IF(Klantgegevens_B!K520&lt;&gt;"", AVERAGE(--(Klantgegevens_B!K520="ja"), --(Klantgegevens_B!L520="ja"), --(Klantgegevens_B!M520="ja"), --(Klantgegevens_B!N520="ja"), --(Klantgegevens_B!O520="ja"))*10, Klantgegevens_A!L520)</f>
        <v/>
      </c>
      <c r="L521">
        <f>IF(Klantgegevens_B!K520&lt;&gt;"", Klantgegevens_B!K520, IF(Klantgegevens_A!L520&gt;=7, "ja", "nee"))</f>
        <v/>
      </c>
      <c r="M521">
        <f>IF(Klantgegevens_B!L520&lt;&gt;"", Klantgegevens_B!L520, IF(Klantgegevens_A!L520&gt;=7, "ja", "nee"))</f>
        <v/>
      </c>
      <c r="N521">
        <f>IF(Klantgegevens_B!M520&lt;&gt;"", Klantgegevens_B!M520, IF(Klantgegevens_A!L520&gt;=7, "ja", "nee"))</f>
        <v/>
      </c>
      <c r="O521">
        <f>IF(Klantgegevens_B!N520&lt;&gt;"", Klantgegevens_B!N520, IF(Klantgegevens_A!L520&gt;=7, "ja", "nee"))</f>
        <v/>
      </c>
      <c r="P521">
        <f>IF(Klantgegevens_B!O520&lt;&gt;"", Klantgegevens_B!O520, IF(Klantgegevens_A!L520&gt;=7, "ja", "nee"))</f>
        <v/>
      </c>
      <c r="Q521">
        <f>IF(Klantgegevens_B!P520&lt;&gt;"", Klantgegevens_B!P520, Klantgegevens_A!M520)</f>
        <v/>
      </c>
      <c r="R521">
        <f>IF(Klantgegevens_B!A520&lt;&gt;"", "B", "A")</f>
        <v/>
      </c>
    </row>
    <row r="522">
      <c r="A522">
        <f>IF(Klantgegevens_B!A521&lt;&gt;"", Klantgegevens_B!A521, MID(Klantgegevens_A!A521, FIND(",", Klantgegevens_A!A521)+2, LEN(Klantgegevens_A!A521)))</f>
        <v/>
      </c>
      <c r="B522">
        <f>IF(Klantgegevens_B!B521&lt;&gt;"", Klantgegevens_B!B521, LEFT(Klantgegevens_A!A521, FIND(",", Klantgegevens_A!A521)-1))</f>
        <v/>
      </c>
      <c r="C522">
        <f>C521 &amp; ", " &amp; B521</f>
        <v/>
      </c>
      <c r="D522">
        <f>IF(Klantgegevens_B!F521&lt;&gt;"", Klantgegevens_B!F521, Klantgegevens_A!D521 &amp; " " &amp; Klantgegevens_A!E521 &amp; ", " &amp; Klantgegevens_A!F521)</f>
        <v/>
      </c>
      <c r="E522">
        <f>IF(Klantgegevens_B!G521&lt;&gt;"", Klantgegevens_B!G521, TEXTJOIN(",", TRUE, REPT("Volwassene,", Klantgegevens_A!G521), REPT("Kind,", Klantgegevens_A!H521)))</f>
        <v/>
      </c>
      <c r="F522">
        <f>IF(Klantgegevens_B!G521&lt;&gt;"", LEN(Klantgegevens_B!G521)-LEN(SUBSTITUTE(Klantgegevens_B!G521, ",", ""))+1, Klantgegevens_A!G521)</f>
        <v/>
      </c>
      <c r="G522">
        <f>IF(Klantgegevens_B!G521&lt;&gt;"", 0, Klantgegevens_A!H521)</f>
        <v/>
      </c>
      <c r="H522">
        <f>IF(Klantgegevens_B!H521&lt;&gt;"", Klantgegevens_B!H521, Klantgegevens_A!I521)</f>
        <v/>
      </c>
      <c r="I522">
        <f>IF(Klantgegevens_B!I521&lt;&gt;"", Klantgegevens_B!I521, SWITCH(Klantgegevens_A!J521, "Zelden", 1, "Af en toe", 4, "Regelmatig", 8, "Vaak", 12))</f>
        <v/>
      </c>
      <c r="J522">
        <f>IF(Klantgegevens_B!J521&lt;&gt;"", Klantgegevens_B!J521, Klantgegevens_A!K521)</f>
        <v/>
      </c>
      <c r="K522">
        <f>IF(Klantgegevens_B!K521&lt;&gt;"", AVERAGE(--(Klantgegevens_B!K521="ja"), --(Klantgegevens_B!L521="ja"), --(Klantgegevens_B!M521="ja"), --(Klantgegevens_B!N521="ja"), --(Klantgegevens_B!O521="ja"))*10, Klantgegevens_A!L521)</f>
        <v/>
      </c>
      <c r="L522">
        <f>IF(Klantgegevens_B!K521&lt;&gt;"", Klantgegevens_B!K521, IF(Klantgegevens_A!L521&gt;=7, "ja", "nee"))</f>
        <v/>
      </c>
      <c r="M522">
        <f>IF(Klantgegevens_B!L521&lt;&gt;"", Klantgegevens_B!L521, IF(Klantgegevens_A!L521&gt;=7, "ja", "nee"))</f>
        <v/>
      </c>
      <c r="N522">
        <f>IF(Klantgegevens_B!M521&lt;&gt;"", Klantgegevens_B!M521, IF(Klantgegevens_A!L521&gt;=7, "ja", "nee"))</f>
        <v/>
      </c>
      <c r="O522">
        <f>IF(Klantgegevens_B!N521&lt;&gt;"", Klantgegevens_B!N521, IF(Klantgegevens_A!L521&gt;=7, "ja", "nee"))</f>
        <v/>
      </c>
      <c r="P522">
        <f>IF(Klantgegevens_B!O521&lt;&gt;"", Klantgegevens_B!O521, IF(Klantgegevens_A!L521&gt;=7, "ja", "nee"))</f>
        <v/>
      </c>
      <c r="Q522">
        <f>IF(Klantgegevens_B!P521&lt;&gt;"", Klantgegevens_B!P521, Klantgegevens_A!M521)</f>
        <v/>
      </c>
      <c r="R522">
        <f>IF(Klantgegevens_B!A521&lt;&gt;"", "B", "A")</f>
        <v/>
      </c>
    </row>
    <row r="523">
      <c r="A523">
        <f>IF(Klantgegevens_B!A522&lt;&gt;"", Klantgegevens_B!A522, MID(Klantgegevens_A!A522, FIND(",", Klantgegevens_A!A522)+2, LEN(Klantgegevens_A!A522)))</f>
        <v/>
      </c>
      <c r="B523">
        <f>IF(Klantgegevens_B!B522&lt;&gt;"", Klantgegevens_B!B522, LEFT(Klantgegevens_A!A522, FIND(",", Klantgegevens_A!A522)-1))</f>
        <v/>
      </c>
      <c r="C523">
        <f>C522 &amp; ", " &amp; B522</f>
        <v/>
      </c>
      <c r="D523">
        <f>IF(Klantgegevens_B!F522&lt;&gt;"", Klantgegevens_B!F522, Klantgegevens_A!D522 &amp; " " &amp; Klantgegevens_A!E522 &amp; ", " &amp; Klantgegevens_A!F522)</f>
        <v/>
      </c>
      <c r="E523">
        <f>IF(Klantgegevens_B!G522&lt;&gt;"", Klantgegevens_B!G522, TEXTJOIN(",", TRUE, REPT("Volwassene,", Klantgegevens_A!G522), REPT("Kind,", Klantgegevens_A!H522)))</f>
        <v/>
      </c>
      <c r="F523">
        <f>IF(Klantgegevens_B!G522&lt;&gt;"", LEN(Klantgegevens_B!G522)-LEN(SUBSTITUTE(Klantgegevens_B!G522, ",", ""))+1, Klantgegevens_A!G522)</f>
        <v/>
      </c>
      <c r="G523">
        <f>IF(Klantgegevens_B!G522&lt;&gt;"", 0, Klantgegevens_A!H522)</f>
        <v/>
      </c>
      <c r="H523">
        <f>IF(Klantgegevens_B!H522&lt;&gt;"", Klantgegevens_B!H522, Klantgegevens_A!I522)</f>
        <v/>
      </c>
      <c r="I523">
        <f>IF(Klantgegevens_B!I522&lt;&gt;"", Klantgegevens_B!I522, SWITCH(Klantgegevens_A!J522, "Zelden", 1, "Af en toe", 4, "Regelmatig", 8, "Vaak", 12))</f>
        <v/>
      </c>
      <c r="J523">
        <f>IF(Klantgegevens_B!J522&lt;&gt;"", Klantgegevens_B!J522, Klantgegevens_A!K522)</f>
        <v/>
      </c>
      <c r="K523">
        <f>IF(Klantgegevens_B!K522&lt;&gt;"", AVERAGE(--(Klantgegevens_B!K522="ja"), --(Klantgegevens_B!L522="ja"), --(Klantgegevens_B!M522="ja"), --(Klantgegevens_B!N522="ja"), --(Klantgegevens_B!O522="ja"))*10, Klantgegevens_A!L522)</f>
        <v/>
      </c>
      <c r="L523">
        <f>IF(Klantgegevens_B!K522&lt;&gt;"", Klantgegevens_B!K522, IF(Klantgegevens_A!L522&gt;=7, "ja", "nee"))</f>
        <v/>
      </c>
      <c r="M523">
        <f>IF(Klantgegevens_B!L522&lt;&gt;"", Klantgegevens_B!L522, IF(Klantgegevens_A!L522&gt;=7, "ja", "nee"))</f>
        <v/>
      </c>
      <c r="N523">
        <f>IF(Klantgegevens_B!M522&lt;&gt;"", Klantgegevens_B!M522, IF(Klantgegevens_A!L522&gt;=7, "ja", "nee"))</f>
        <v/>
      </c>
      <c r="O523">
        <f>IF(Klantgegevens_B!N522&lt;&gt;"", Klantgegevens_B!N522, IF(Klantgegevens_A!L522&gt;=7, "ja", "nee"))</f>
        <v/>
      </c>
      <c r="P523">
        <f>IF(Klantgegevens_B!O522&lt;&gt;"", Klantgegevens_B!O522, IF(Klantgegevens_A!L522&gt;=7, "ja", "nee"))</f>
        <v/>
      </c>
      <c r="Q523">
        <f>IF(Klantgegevens_B!P522&lt;&gt;"", Klantgegevens_B!P522, Klantgegevens_A!M522)</f>
        <v/>
      </c>
      <c r="R523">
        <f>IF(Klantgegevens_B!A522&lt;&gt;"", "B", "A")</f>
        <v/>
      </c>
    </row>
    <row r="524">
      <c r="A524">
        <f>IF(Klantgegevens_B!A523&lt;&gt;"", Klantgegevens_B!A523, MID(Klantgegevens_A!A523, FIND(",", Klantgegevens_A!A523)+2, LEN(Klantgegevens_A!A523)))</f>
        <v/>
      </c>
      <c r="B524">
        <f>IF(Klantgegevens_B!B523&lt;&gt;"", Klantgegevens_B!B523, LEFT(Klantgegevens_A!A523, FIND(",", Klantgegevens_A!A523)-1))</f>
        <v/>
      </c>
      <c r="C524">
        <f>C523 &amp; ", " &amp; B523</f>
        <v/>
      </c>
      <c r="D524">
        <f>IF(Klantgegevens_B!F523&lt;&gt;"", Klantgegevens_B!F523, Klantgegevens_A!D523 &amp; " " &amp; Klantgegevens_A!E523 &amp; ", " &amp; Klantgegevens_A!F523)</f>
        <v/>
      </c>
      <c r="E524">
        <f>IF(Klantgegevens_B!G523&lt;&gt;"", Klantgegevens_B!G523, TEXTJOIN(",", TRUE, REPT("Volwassene,", Klantgegevens_A!G523), REPT("Kind,", Klantgegevens_A!H523)))</f>
        <v/>
      </c>
      <c r="F524">
        <f>IF(Klantgegevens_B!G523&lt;&gt;"", LEN(Klantgegevens_B!G523)-LEN(SUBSTITUTE(Klantgegevens_B!G523, ",", ""))+1, Klantgegevens_A!G523)</f>
        <v/>
      </c>
      <c r="G524">
        <f>IF(Klantgegevens_B!G523&lt;&gt;"", 0, Klantgegevens_A!H523)</f>
        <v/>
      </c>
      <c r="H524">
        <f>IF(Klantgegevens_B!H523&lt;&gt;"", Klantgegevens_B!H523, Klantgegevens_A!I523)</f>
        <v/>
      </c>
      <c r="I524">
        <f>IF(Klantgegevens_B!I523&lt;&gt;"", Klantgegevens_B!I523, SWITCH(Klantgegevens_A!J523, "Zelden", 1, "Af en toe", 4, "Regelmatig", 8, "Vaak", 12))</f>
        <v/>
      </c>
      <c r="J524">
        <f>IF(Klantgegevens_B!J523&lt;&gt;"", Klantgegevens_B!J523, Klantgegevens_A!K523)</f>
        <v/>
      </c>
      <c r="K524">
        <f>IF(Klantgegevens_B!K523&lt;&gt;"", AVERAGE(--(Klantgegevens_B!K523="ja"), --(Klantgegevens_B!L523="ja"), --(Klantgegevens_B!M523="ja"), --(Klantgegevens_B!N523="ja"), --(Klantgegevens_B!O523="ja"))*10, Klantgegevens_A!L523)</f>
        <v/>
      </c>
      <c r="L524">
        <f>IF(Klantgegevens_B!K523&lt;&gt;"", Klantgegevens_B!K523, IF(Klantgegevens_A!L523&gt;=7, "ja", "nee"))</f>
        <v/>
      </c>
      <c r="M524">
        <f>IF(Klantgegevens_B!L523&lt;&gt;"", Klantgegevens_B!L523, IF(Klantgegevens_A!L523&gt;=7, "ja", "nee"))</f>
        <v/>
      </c>
      <c r="N524">
        <f>IF(Klantgegevens_B!M523&lt;&gt;"", Klantgegevens_B!M523, IF(Klantgegevens_A!L523&gt;=7, "ja", "nee"))</f>
        <v/>
      </c>
      <c r="O524">
        <f>IF(Klantgegevens_B!N523&lt;&gt;"", Klantgegevens_B!N523, IF(Klantgegevens_A!L523&gt;=7, "ja", "nee"))</f>
        <v/>
      </c>
      <c r="P524">
        <f>IF(Klantgegevens_B!O523&lt;&gt;"", Klantgegevens_B!O523, IF(Klantgegevens_A!L523&gt;=7, "ja", "nee"))</f>
        <v/>
      </c>
      <c r="Q524">
        <f>IF(Klantgegevens_B!P523&lt;&gt;"", Klantgegevens_B!P523, Klantgegevens_A!M523)</f>
        <v/>
      </c>
      <c r="R524">
        <f>IF(Klantgegevens_B!A523&lt;&gt;"", "B", "A")</f>
        <v/>
      </c>
    </row>
    <row r="525">
      <c r="A525">
        <f>IF(Klantgegevens_B!A524&lt;&gt;"", Klantgegevens_B!A524, MID(Klantgegevens_A!A524, FIND(",", Klantgegevens_A!A524)+2, LEN(Klantgegevens_A!A524)))</f>
        <v/>
      </c>
      <c r="B525">
        <f>IF(Klantgegevens_B!B524&lt;&gt;"", Klantgegevens_B!B524, LEFT(Klantgegevens_A!A524, FIND(",", Klantgegevens_A!A524)-1))</f>
        <v/>
      </c>
      <c r="C525">
        <f>C524 &amp; ", " &amp; B524</f>
        <v/>
      </c>
      <c r="D525">
        <f>IF(Klantgegevens_B!F524&lt;&gt;"", Klantgegevens_B!F524, Klantgegevens_A!D524 &amp; " " &amp; Klantgegevens_A!E524 &amp; ", " &amp; Klantgegevens_A!F524)</f>
        <v/>
      </c>
      <c r="E525">
        <f>IF(Klantgegevens_B!G524&lt;&gt;"", Klantgegevens_B!G524, TEXTJOIN(",", TRUE, REPT("Volwassene,", Klantgegevens_A!G524), REPT("Kind,", Klantgegevens_A!H524)))</f>
        <v/>
      </c>
      <c r="F525">
        <f>IF(Klantgegevens_B!G524&lt;&gt;"", LEN(Klantgegevens_B!G524)-LEN(SUBSTITUTE(Klantgegevens_B!G524, ",", ""))+1, Klantgegevens_A!G524)</f>
        <v/>
      </c>
      <c r="G525">
        <f>IF(Klantgegevens_B!G524&lt;&gt;"", 0, Klantgegevens_A!H524)</f>
        <v/>
      </c>
      <c r="H525">
        <f>IF(Klantgegevens_B!H524&lt;&gt;"", Klantgegevens_B!H524, Klantgegevens_A!I524)</f>
        <v/>
      </c>
      <c r="I525">
        <f>IF(Klantgegevens_B!I524&lt;&gt;"", Klantgegevens_B!I524, SWITCH(Klantgegevens_A!J524, "Zelden", 1, "Af en toe", 4, "Regelmatig", 8, "Vaak", 12))</f>
        <v/>
      </c>
      <c r="J525">
        <f>IF(Klantgegevens_B!J524&lt;&gt;"", Klantgegevens_B!J524, Klantgegevens_A!K524)</f>
        <v/>
      </c>
      <c r="K525">
        <f>IF(Klantgegevens_B!K524&lt;&gt;"", AVERAGE(--(Klantgegevens_B!K524="ja"), --(Klantgegevens_B!L524="ja"), --(Klantgegevens_B!M524="ja"), --(Klantgegevens_B!N524="ja"), --(Klantgegevens_B!O524="ja"))*10, Klantgegevens_A!L524)</f>
        <v/>
      </c>
      <c r="L525">
        <f>IF(Klantgegevens_B!K524&lt;&gt;"", Klantgegevens_B!K524, IF(Klantgegevens_A!L524&gt;=7, "ja", "nee"))</f>
        <v/>
      </c>
      <c r="M525">
        <f>IF(Klantgegevens_B!L524&lt;&gt;"", Klantgegevens_B!L524, IF(Klantgegevens_A!L524&gt;=7, "ja", "nee"))</f>
        <v/>
      </c>
      <c r="N525">
        <f>IF(Klantgegevens_B!M524&lt;&gt;"", Klantgegevens_B!M524, IF(Klantgegevens_A!L524&gt;=7, "ja", "nee"))</f>
        <v/>
      </c>
      <c r="O525">
        <f>IF(Klantgegevens_B!N524&lt;&gt;"", Klantgegevens_B!N524, IF(Klantgegevens_A!L524&gt;=7, "ja", "nee"))</f>
        <v/>
      </c>
      <c r="P525">
        <f>IF(Klantgegevens_B!O524&lt;&gt;"", Klantgegevens_B!O524, IF(Klantgegevens_A!L524&gt;=7, "ja", "nee"))</f>
        <v/>
      </c>
      <c r="Q525">
        <f>IF(Klantgegevens_B!P524&lt;&gt;"", Klantgegevens_B!P524, Klantgegevens_A!M524)</f>
        <v/>
      </c>
      <c r="R525">
        <f>IF(Klantgegevens_B!A524&lt;&gt;"", "B", "A")</f>
        <v/>
      </c>
    </row>
    <row r="526">
      <c r="A526">
        <f>IF(Klantgegevens_B!A525&lt;&gt;"", Klantgegevens_B!A525, MID(Klantgegevens_A!A525, FIND(",", Klantgegevens_A!A525)+2, LEN(Klantgegevens_A!A525)))</f>
        <v/>
      </c>
      <c r="B526">
        <f>IF(Klantgegevens_B!B525&lt;&gt;"", Klantgegevens_B!B525, LEFT(Klantgegevens_A!A525, FIND(",", Klantgegevens_A!A525)-1))</f>
        <v/>
      </c>
      <c r="C526">
        <f>C525 &amp; ", " &amp; B525</f>
        <v/>
      </c>
      <c r="D526">
        <f>IF(Klantgegevens_B!F525&lt;&gt;"", Klantgegevens_B!F525, Klantgegevens_A!D525 &amp; " " &amp; Klantgegevens_A!E525 &amp; ", " &amp; Klantgegevens_A!F525)</f>
        <v/>
      </c>
      <c r="E526">
        <f>IF(Klantgegevens_B!G525&lt;&gt;"", Klantgegevens_B!G525, TEXTJOIN(",", TRUE, REPT("Volwassene,", Klantgegevens_A!G525), REPT("Kind,", Klantgegevens_A!H525)))</f>
        <v/>
      </c>
      <c r="F526">
        <f>IF(Klantgegevens_B!G525&lt;&gt;"", LEN(Klantgegevens_B!G525)-LEN(SUBSTITUTE(Klantgegevens_B!G525, ",", ""))+1, Klantgegevens_A!G525)</f>
        <v/>
      </c>
      <c r="G526">
        <f>IF(Klantgegevens_B!G525&lt;&gt;"", 0, Klantgegevens_A!H525)</f>
        <v/>
      </c>
      <c r="H526">
        <f>IF(Klantgegevens_B!H525&lt;&gt;"", Klantgegevens_B!H525, Klantgegevens_A!I525)</f>
        <v/>
      </c>
      <c r="I526">
        <f>IF(Klantgegevens_B!I525&lt;&gt;"", Klantgegevens_B!I525, SWITCH(Klantgegevens_A!J525, "Zelden", 1, "Af en toe", 4, "Regelmatig", 8, "Vaak", 12))</f>
        <v/>
      </c>
      <c r="J526">
        <f>IF(Klantgegevens_B!J525&lt;&gt;"", Klantgegevens_B!J525, Klantgegevens_A!K525)</f>
        <v/>
      </c>
      <c r="K526">
        <f>IF(Klantgegevens_B!K525&lt;&gt;"", AVERAGE(--(Klantgegevens_B!K525="ja"), --(Klantgegevens_B!L525="ja"), --(Klantgegevens_B!M525="ja"), --(Klantgegevens_B!N525="ja"), --(Klantgegevens_B!O525="ja"))*10, Klantgegevens_A!L525)</f>
        <v/>
      </c>
      <c r="L526">
        <f>IF(Klantgegevens_B!K525&lt;&gt;"", Klantgegevens_B!K525, IF(Klantgegevens_A!L525&gt;=7, "ja", "nee"))</f>
        <v/>
      </c>
      <c r="M526">
        <f>IF(Klantgegevens_B!L525&lt;&gt;"", Klantgegevens_B!L525, IF(Klantgegevens_A!L525&gt;=7, "ja", "nee"))</f>
        <v/>
      </c>
      <c r="N526">
        <f>IF(Klantgegevens_B!M525&lt;&gt;"", Klantgegevens_B!M525, IF(Klantgegevens_A!L525&gt;=7, "ja", "nee"))</f>
        <v/>
      </c>
      <c r="O526">
        <f>IF(Klantgegevens_B!N525&lt;&gt;"", Klantgegevens_B!N525, IF(Klantgegevens_A!L525&gt;=7, "ja", "nee"))</f>
        <v/>
      </c>
      <c r="P526">
        <f>IF(Klantgegevens_B!O525&lt;&gt;"", Klantgegevens_B!O525, IF(Klantgegevens_A!L525&gt;=7, "ja", "nee"))</f>
        <v/>
      </c>
      <c r="Q526">
        <f>IF(Klantgegevens_B!P525&lt;&gt;"", Klantgegevens_B!P525, Klantgegevens_A!M525)</f>
        <v/>
      </c>
      <c r="R526">
        <f>IF(Klantgegevens_B!A525&lt;&gt;"", "B", "A")</f>
        <v/>
      </c>
    </row>
    <row r="527">
      <c r="A527">
        <f>IF(Klantgegevens_B!A526&lt;&gt;"", Klantgegevens_B!A526, MID(Klantgegevens_A!A526, FIND(",", Klantgegevens_A!A526)+2, LEN(Klantgegevens_A!A526)))</f>
        <v/>
      </c>
      <c r="B527">
        <f>IF(Klantgegevens_B!B526&lt;&gt;"", Klantgegevens_B!B526, LEFT(Klantgegevens_A!A526, FIND(",", Klantgegevens_A!A526)-1))</f>
        <v/>
      </c>
      <c r="C527">
        <f>C526 &amp; ", " &amp; B526</f>
        <v/>
      </c>
      <c r="D527">
        <f>IF(Klantgegevens_B!F526&lt;&gt;"", Klantgegevens_B!F526, Klantgegevens_A!D526 &amp; " " &amp; Klantgegevens_A!E526 &amp; ", " &amp; Klantgegevens_A!F526)</f>
        <v/>
      </c>
      <c r="E527">
        <f>IF(Klantgegevens_B!G526&lt;&gt;"", Klantgegevens_B!G526, TEXTJOIN(",", TRUE, REPT("Volwassene,", Klantgegevens_A!G526), REPT("Kind,", Klantgegevens_A!H526)))</f>
        <v/>
      </c>
      <c r="F527">
        <f>IF(Klantgegevens_B!G526&lt;&gt;"", LEN(Klantgegevens_B!G526)-LEN(SUBSTITUTE(Klantgegevens_B!G526, ",", ""))+1, Klantgegevens_A!G526)</f>
        <v/>
      </c>
      <c r="G527">
        <f>IF(Klantgegevens_B!G526&lt;&gt;"", 0, Klantgegevens_A!H526)</f>
        <v/>
      </c>
      <c r="H527">
        <f>IF(Klantgegevens_B!H526&lt;&gt;"", Klantgegevens_B!H526, Klantgegevens_A!I526)</f>
        <v/>
      </c>
      <c r="I527">
        <f>IF(Klantgegevens_B!I526&lt;&gt;"", Klantgegevens_B!I526, SWITCH(Klantgegevens_A!J526, "Zelden", 1, "Af en toe", 4, "Regelmatig", 8, "Vaak", 12))</f>
        <v/>
      </c>
      <c r="J527">
        <f>IF(Klantgegevens_B!J526&lt;&gt;"", Klantgegevens_B!J526, Klantgegevens_A!K526)</f>
        <v/>
      </c>
      <c r="K527">
        <f>IF(Klantgegevens_B!K526&lt;&gt;"", AVERAGE(--(Klantgegevens_B!K526="ja"), --(Klantgegevens_B!L526="ja"), --(Klantgegevens_B!M526="ja"), --(Klantgegevens_B!N526="ja"), --(Klantgegevens_B!O526="ja"))*10, Klantgegevens_A!L526)</f>
        <v/>
      </c>
      <c r="L527">
        <f>IF(Klantgegevens_B!K526&lt;&gt;"", Klantgegevens_B!K526, IF(Klantgegevens_A!L526&gt;=7, "ja", "nee"))</f>
        <v/>
      </c>
      <c r="M527">
        <f>IF(Klantgegevens_B!L526&lt;&gt;"", Klantgegevens_B!L526, IF(Klantgegevens_A!L526&gt;=7, "ja", "nee"))</f>
        <v/>
      </c>
      <c r="N527">
        <f>IF(Klantgegevens_B!M526&lt;&gt;"", Klantgegevens_B!M526, IF(Klantgegevens_A!L526&gt;=7, "ja", "nee"))</f>
        <v/>
      </c>
      <c r="O527">
        <f>IF(Klantgegevens_B!N526&lt;&gt;"", Klantgegevens_B!N526, IF(Klantgegevens_A!L526&gt;=7, "ja", "nee"))</f>
        <v/>
      </c>
      <c r="P527">
        <f>IF(Klantgegevens_B!O526&lt;&gt;"", Klantgegevens_B!O526, IF(Klantgegevens_A!L526&gt;=7, "ja", "nee"))</f>
        <v/>
      </c>
      <c r="Q527">
        <f>IF(Klantgegevens_B!P526&lt;&gt;"", Klantgegevens_B!P526, Klantgegevens_A!M526)</f>
        <v/>
      </c>
      <c r="R527">
        <f>IF(Klantgegevens_B!A526&lt;&gt;"", "B", "A")</f>
        <v/>
      </c>
    </row>
    <row r="528">
      <c r="A528">
        <f>IF(Klantgegevens_B!A527&lt;&gt;"", Klantgegevens_B!A527, MID(Klantgegevens_A!A527, FIND(",", Klantgegevens_A!A527)+2, LEN(Klantgegevens_A!A527)))</f>
        <v/>
      </c>
      <c r="B528">
        <f>IF(Klantgegevens_B!B527&lt;&gt;"", Klantgegevens_B!B527, LEFT(Klantgegevens_A!A527, FIND(",", Klantgegevens_A!A527)-1))</f>
        <v/>
      </c>
      <c r="C528">
        <f>C527 &amp; ", " &amp; B527</f>
        <v/>
      </c>
      <c r="D528">
        <f>IF(Klantgegevens_B!F527&lt;&gt;"", Klantgegevens_B!F527, Klantgegevens_A!D527 &amp; " " &amp; Klantgegevens_A!E527 &amp; ", " &amp; Klantgegevens_A!F527)</f>
        <v/>
      </c>
      <c r="E528">
        <f>IF(Klantgegevens_B!G527&lt;&gt;"", Klantgegevens_B!G527, TEXTJOIN(",", TRUE, REPT("Volwassene,", Klantgegevens_A!G527), REPT("Kind,", Klantgegevens_A!H527)))</f>
        <v/>
      </c>
      <c r="F528">
        <f>IF(Klantgegevens_B!G527&lt;&gt;"", LEN(Klantgegevens_B!G527)-LEN(SUBSTITUTE(Klantgegevens_B!G527, ",", ""))+1, Klantgegevens_A!G527)</f>
        <v/>
      </c>
      <c r="G528">
        <f>IF(Klantgegevens_B!G527&lt;&gt;"", 0, Klantgegevens_A!H527)</f>
        <v/>
      </c>
      <c r="H528">
        <f>IF(Klantgegevens_B!H527&lt;&gt;"", Klantgegevens_B!H527, Klantgegevens_A!I527)</f>
        <v/>
      </c>
      <c r="I528">
        <f>IF(Klantgegevens_B!I527&lt;&gt;"", Klantgegevens_B!I527, SWITCH(Klantgegevens_A!J527, "Zelden", 1, "Af en toe", 4, "Regelmatig", 8, "Vaak", 12))</f>
        <v/>
      </c>
      <c r="J528">
        <f>IF(Klantgegevens_B!J527&lt;&gt;"", Klantgegevens_B!J527, Klantgegevens_A!K527)</f>
        <v/>
      </c>
      <c r="K528">
        <f>IF(Klantgegevens_B!K527&lt;&gt;"", AVERAGE(--(Klantgegevens_B!K527="ja"), --(Klantgegevens_B!L527="ja"), --(Klantgegevens_B!M527="ja"), --(Klantgegevens_B!N527="ja"), --(Klantgegevens_B!O527="ja"))*10, Klantgegevens_A!L527)</f>
        <v/>
      </c>
      <c r="L528">
        <f>IF(Klantgegevens_B!K527&lt;&gt;"", Klantgegevens_B!K527, IF(Klantgegevens_A!L527&gt;=7, "ja", "nee"))</f>
        <v/>
      </c>
      <c r="M528">
        <f>IF(Klantgegevens_B!L527&lt;&gt;"", Klantgegevens_B!L527, IF(Klantgegevens_A!L527&gt;=7, "ja", "nee"))</f>
        <v/>
      </c>
      <c r="N528">
        <f>IF(Klantgegevens_B!M527&lt;&gt;"", Klantgegevens_B!M527, IF(Klantgegevens_A!L527&gt;=7, "ja", "nee"))</f>
        <v/>
      </c>
      <c r="O528">
        <f>IF(Klantgegevens_B!N527&lt;&gt;"", Klantgegevens_B!N527, IF(Klantgegevens_A!L527&gt;=7, "ja", "nee"))</f>
        <v/>
      </c>
      <c r="P528">
        <f>IF(Klantgegevens_B!O527&lt;&gt;"", Klantgegevens_B!O527, IF(Klantgegevens_A!L527&gt;=7, "ja", "nee"))</f>
        <v/>
      </c>
      <c r="Q528">
        <f>IF(Klantgegevens_B!P527&lt;&gt;"", Klantgegevens_B!P527, Klantgegevens_A!M527)</f>
        <v/>
      </c>
      <c r="R528">
        <f>IF(Klantgegevens_B!A527&lt;&gt;"", "B", "A")</f>
        <v/>
      </c>
    </row>
    <row r="529">
      <c r="A529">
        <f>IF(Klantgegevens_B!A528&lt;&gt;"", Klantgegevens_B!A528, MID(Klantgegevens_A!A528, FIND(",", Klantgegevens_A!A528)+2, LEN(Klantgegevens_A!A528)))</f>
        <v/>
      </c>
      <c r="B529">
        <f>IF(Klantgegevens_B!B528&lt;&gt;"", Klantgegevens_B!B528, LEFT(Klantgegevens_A!A528, FIND(",", Klantgegevens_A!A528)-1))</f>
        <v/>
      </c>
      <c r="C529">
        <f>C528 &amp; ", " &amp; B528</f>
        <v/>
      </c>
      <c r="D529">
        <f>IF(Klantgegevens_B!F528&lt;&gt;"", Klantgegevens_B!F528, Klantgegevens_A!D528 &amp; " " &amp; Klantgegevens_A!E528 &amp; ", " &amp; Klantgegevens_A!F528)</f>
        <v/>
      </c>
      <c r="E529">
        <f>IF(Klantgegevens_B!G528&lt;&gt;"", Klantgegevens_B!G528, TEXTJOIN(",", TRUE, REPT("Volwassene,", Klantgegevens_A!G528), REPT("Kind,", Klantgegevens_A!H528)))</f>
        <v/>
      </c>
      <c r="F529">
        <f>IF(Klantgegevens_B!G528&lt;&gt;"", LEN(Klantgegevens_B!G528)-LEN(SUBSTITUTE(Klantgegevens_B!G528, ",", ""))+1, Klantgegevens_A!G528)</f>
        <v/>
      </c>
      <c r="G529">
        <f>IF(Klantgegevens_B!G528&lt;&gt;"", 0, Klantgegevens_A!H528)</f>
        <v/>
      </c>
      <c r="H529">
        <f>IF(Klantgegevens_B!H528&lt;&gt;"", Klantgegevens_B!H528, Klantgegevens_A!I528)</f>
        <v/>
      </c>
      <c r="I529">
        <f>IF(Klantgegevens_B!I528&lt;&gt;"", Klantgegevens_B!I528, SWITCH(Klantgegevens_A!J528, "Zelden", 1, "Af en toe", 4, "Regelmatig", 8, "Vaak", 12))</f>
        <v/>
      </c>
      <c r="J529">
        <f>IF(Klantgegevens_B!J528&lt;&gt;"", Klantgegevens_B!J528, Klantgegevens_A!K528)</f>
        <v/>
      </c>
      <c r="K529">
        <f>IF(Klantgegevens_B!K528&lt;&gt;"", AVERAGE(--(Klantgegevens_B!K528="ja"), --(Klantgegevens_B!L528="ja"), --(Klantgegevens_B!M528="ja"), --(Klantgegevens_B!N528="ja"), --(Klantgegevens_B!O528="ja"))*10, Klantgegevens_A!L528)</f>
        <v/>
      </c>
      <c r="L529">
        <f>IF(Klantgegevens_B!K528&lt;&gt;"", Klantgegevens_B!K528, IF(Klantgegevens_A!L528&gt;=7, "ja", "nee"))</f>
        <v/>
      </c>
      <c r="M529">
        <f>IF(Klantgegevens_B!L528&lt;&gt;"", Klantgegevens_B!L528, IF(Klantgegevens_A!L528&gt;=7, "ja", "nee"))</f>
        <v/>
      </c>
      <c r="N529">
        <f>IF(Klantgegevens_B!M528&lt;&gt;"", Klantgegevens_B!M528, IF(Klantgegevens_A!L528&gt;=7, "ja", "nee"))</f>
        <v/>
      </c>
      <c r="O529">
        <f>IF(Klantgegevens_B!N528&lt;&gt;"", Klantgegevens_B!N528, IF(Klantgegevens_A!L528&gt;=7, "ja", "nee"))</f>
        <v/>
      </c>
      <c r="P529">
        <f>IF(Klantgegevens_B!O528&lt;&gt;"", Klantgegevens_B!O528, IF(Klantgegevens_A!L528&gt;=7, "ja", "nee"))</f>
        <v/>
      </c>
      <c r="Q529">
        <f>IF(Klantgegevens_B!P528&lt;&gt;"", Klantgegevens_B!P528, Klantgegevens_A!M528)</f>
        <v/>
      </c>
      <c r="R529">
        <f>IF(Klantgegevens_B!A528&lt;&gt;"", "B", "A")</f>
        <v/>
      </c>
    </row>
    <row r="530">
      <c r="A530">
        <f>IF(Klantgegevens_B!A529&lt;&gt;"", Klantgegevens_B!A529, MID(Klantgegevens_A!A529, FIND(",", Klantgegevens_A!A529)+2, LEN(Klantgegevens_A!A529)))</f>
        <v/>
      </c>
      <c r="B530">
        <f>IF(Klantgegevens_B!B529&lt;&gt;"", Klantgegevens_B!B529, LEFT(Klantgegevens_A!A529, FIND(",", Klantgegevens_A!A529)-1))</f>
        <v/>
      </c>
      <c r="C530">
        <f>C529 &amp; ", " &amp; B529</f>
        <v/>
      </c>
      <c r="D530">
        <f>IF(Klantgegevens_B!F529&lt;&gt;"", Klantgegevens_B!F529, Klantgegevens_A!D529 &amp; " " &amp; Klantgegevens_A!E529 &amp; ", " &amp; Klantgegevens_A!F529)</f>
        <v/>
      </c>
      <c r="E530">
        <f>IF(Klantgegevens_B!G529&lt;&gt;"", Klantgegevens_B!G529, TEXTJOIN(",", TRUE, REPT("Volwassene,", Klantgegevens_A!G529), REPT("Kind,", Klantgegevens_A!H529)))</f>
        <v/>
      </c>
      <c r="F530">
        <f>IF(Klantgegevens_B!G529&lt;&gt;"", LEN(Klantgegevens_B!G529)-LEN(SUBSTITUTE(Klantgegevens_B!G529, ",", ""))+1, Klantgegevens_A!G529)</f>
        <v/>
      </c>
      <c r="G530">
        <f>IF(Klantgegevens_B!G529&lt;&gt;"", 0, Klantgegevens_A!H529)</f>
        <v/>
      </c>
      <c r="H530">
        <f>IF(Klantgegevens_B!H529&lt;&gt;"", Klantgegevens_B!H529, Klantgegevens_A!I529)</f>
        <v/>
      </c>
      <c r="I530">
        <f>IF(Klantgegevens_B!I529&lt;&gt;"", Klantgegevens_B!I529, SWITCH(Klantgegevens_A!J529, "Zelden", 1, "Af en toe", 4, "Regelmatig", 8, "Vaak", 12))</f>
        <v/>
      </c>
      <c r="J530">
        <f>IF(Klantgegevens_B!J529&lt;&gt;"", Klantgegevens_B!J529, Klantgegevens_A!K529)</f>
        <v/>
      </c>
      <c r="K530">
        <f>IF(Klantgegevens_B!K529&lt;&gt;"", AVERAGE(--(Klantgegevens_B!K529="ja"), --(Klantgegevens_B!L529="ja"), --(Klantgegevens_B!M529="ja"), --(Klantgegevens_B!N529="ja"), --(Klantgegevens_B!O529="ja"))*10, Klantgegevens_A!L529)</f>
        <v/>
      </c>
      <c r="L530">
        <f>IF(Klantgegevens_B!K529&lt;&gt;"", Klantgegevens_B!K529, IF(Klantgegevens_A!L529&gt;=7, "ja", "nee"))</f>
        <v/>
      </c>
      <c r="M530">
        <f>IF(Klantgegevens_B!L529&lt;&gt;"", Klantgegevens_B!L529, IF(Klantgegevens_A!L529&gt;=7, "ja", "nee"))</f>
        <v/>
      </c>
      <c r="N530">
        <f>IF(Klantgegevens_B!M529&lt;&gt;"", Klantgegevens_B!M529, IF(Klantgegevens_A!L529&gt;=7, "ja", "nee"))</f>
        <v/>
      </c>
      <c r="O530">
        <f>IF(Klantgegevens_B!N529&lt;&gt;"", Klantgegevens_B!N529, IF(Klantgegevens_A!L529&gt;=7, "ja", "nee"))</f>
        <v/>
      </c>
      <c r="P530">
        <f>IF(Klantgegevens_B!O529&lt;&gt;"", Klantgegevens_B!O529, IF(Klantgegevens_A!L529&gt;=7, "ja", "nee"))</f>
        <v/>
      </c>
      <c r="Q530">
        <f>IF(Klantgegevens_B!P529&lt;&gt;"", Klantgegevens_B!P529, Klantgegevens_A!M529)</f>
        <v/>
      </c>
      <c r="R530">
        <f>IF(Klantgegevens_B!A529&lt;&gt;"", "B", "A")</f>
        <v/>
      </c>
    </row>
    <row r="531">
      <c r="A531">
        <f>IF(Klantgegevens_B!A530&lt;&gt;"", Klantgegevens_B!A530, MID(Klantgegevens_A!A530, FIND(",", Klantgegevens_A!A530)+2, LEN(Klantgegevens_A!A530)))</f>
        <v/>
      </c>
      <c r="B531">
        <f>IF(Klantgegevens_B!B530&lt;&gt;"", Klantgegevens_B!B530, LEFT(Klantgegevens_A!A530, FIND(",", Klantgegevens_A!A530)-1))</f>
        <v/>
      </c>
      <c r="C531">
        <f>C530 &amp; ", " &amp; B530</f>
        <v/>
      </c>
      <c r="D531">
        <f>IF(Klantgegevens_B!F530&lt;&gt;"", Klantgegevens_B!F530, Klantgegevens_A!D530 &amp; " " &amp; Klantgegevens_A!E530 &amp; ", " &amp; Klantgegevens_A!F530)</f>
        <v/>
      </c>
      <c r="E531">
        <f>IF(Klantgegevens_B!G530&lt;&gt;"", Klantgegevens_B!G530, TEXTJOIN(",", TRUE, REPT("Volwassene,", Klantgegevens_A!G530), REPT("Kind,", Klantgegevens_A!H530)))</f>
        <v/>
      </c>
      <c r="F531">
        <f>IF(Klantgegevens_B!G530&lt;&gt;"", LEN(Klantgegevens_B!G530)-LEN(SUBSTITUTE(Klantgegevens_B!G530, ",", ""))+1, Klantgegevens_A!G530)</f>
        <v/>
      </c>
      <c r="G531">
        <f>IF(Klantgegevens_B!G530&lt;&gt;"", 0, Klantgegevens_A!H530)</f>
        <v/>
      </c>
      <c r="H531">
        <f>IF(Klantgegevens_B!H530&lt;&gt;"", Klantgegevens_B!H530, Klantgegevens_A!I530)</f>
        <v/>
      </c>
      <c r="I531">
        <f>IF(Klantgegevens_B!I530&lt;&gt;"", Klantgegevens_B!I530, SWITCH(Klantgegevens_A!J530, "Zelden", 1, "Af en toe", 4, "Regelmatig", 8, "Vaak", 12))</f>
        <v/>
      </c>
      <c r="J531">
        <f>IF(Klantgegevens_B!J530&lt;&gt;"", Klantgegevens_B!J530, Klantgegevens_A!K530)</f>
        <v/>
      </c>
      <c r="K531">
        <f>IF(Klantgegevens_B!K530&lt;&gt;"", AVERAGE(--(Klantgegevens_B!K530="ja"), --(Klantgegevens_B!L530="ja"), --(Klantgegevens_B!M530="ja"), --(Klantgegevens_B!N530="ja"), --(Klantgegevens_B!O530="ja"))*10, Klantgegevens_A!L530)</f>
        <v/>
      </c>
      <c r="L531">
        <f>IF(Klantgegevens_B!K530&lt;&gt;"", Klantgegevens_B!K530, IF(Klantgegevens_A!L530&gt;=7, "ja", "nee"))</f>
        <v/>
      </c>
      <c r="M531">
        <f>IF(Klantgegevens_B!L530&lt;&gt;"", Klantgegevens_B!L530, IF(Klantgegevens_A!L530&gt;=7, "ja", "nee"))</f>
        <v/>
      </c>
      <c r="N531">
        <f>IF(Klantgegevens_B!M530&lt;&gt;"", Klantgegevens_B!M530, IF(Klantgegevens_A!L530&gt;=7, "ja", "nee"))</f>
        <v/>
      </c>
      <c r="O531">
        <f>IF(Klantgegevens_B!N530&lt;&gt;"", Klantgegevens_B!N530, IF(Klantgegevens_A!L530&gt;=7, "ja", "nee"))</f>
        <v/>
      </c>
      <c r="P531">
        <f>IF(Klantgegevens_B!O530&lt;&gt;"", Klantgegevens_B!O530, IF(Klantgegevens_A!L530&gt;=7, "ja", "nee"))</f>
        <v/>
      </c>
      <c r="Q531">
        <f>IF(Klantgegevens_B!P530&lt;&gt;"", Klantgegevens_B!P530, Klantgegevens_A!M530)</f>
        <v/>
      </c>
      <c r="R531">
        <f>IF(Klantgegevens_B!A530&lt;&gt;"", "B", "A")</f>
        <v/>
      </c>
    </row>
    <row r="532">
      <c r="A532">
        <f>IF(Klantgegevens_B!A531&lt;&gt;"", Klantgegevens_B!A531, MID(Klantgegevens_A!A531, FIND(",", Klantgegevens_A!A531)+2, LEN(Klantgegevens_A!A531)))</f>
        <v/>
      </c>
      <c r="B532">
        <f>IF(Klantgegevens_B!B531&lt;&gt;"", Klantgegevens_B!B531, LEFT(Klantgegevens_A!A531, FIND(",", Klantgegevens_A!A531)-1))</f>
        <v/>
      </c>
      <c r="C532">
        <f>C531 &amp; ", " &amp; B531</f>
        <v/>
      </c>
      <c r="D532">
        <f>IF(Klantgegevens_B!F531&lt;&gt;"", Klantgegevens_B!F531, Klantgegevens_A!D531 &amp; " " &amp; Klantgegevens_A!E531 &amp; ", " &amp; Klantgegevens_A!F531)</f>
        <v/>
      </c>
      <c r="E532">
        <f>IF(Klantgegevens_B!G531&lt;&gt;"", Klantgegevens_B!G531, TEXTJOIN(",", TRUE, REPT("Volwassene,", Klantgegevens_A!G531), REPT("Kind,", Klantgegevens_A!H531)))</f>
        <v/>
      </c>
      <c r="F532">
        <f>IF(Klantgegevens_B!G531&lt;&gt;"", LEN(Klantgegevens_B!G531)-LEN(SUBSTITUTE(Klantgegevens_B!G531, ",", ""))+1, Klantgegevens_A!G531)</f>
        <v/>
      </c>
      <c r="G532">
        <f>IF(Klantgegevens_B!G531&lt;&gt;"", 0, Klantgegevens_A!H531)</f>
        <v/>
      </c>
      <c r="H532">
        <f>IF(Klantgegevens_B!H531&lt;&gt;"", Klantgegevens_B!H531, Klantgegevens_A!I531)</f>
        <v/>
      </c>
      <c r="I532">
        <f>IF(Klantgegevens_B!I531&lt;&gt;"", Klantgegevens_B!I531, SWITCH(Klantgegevens_A!J531, "Zelden", 1, "Af en toe", 4, "Regelmatig", 8, "Vaak", 12))</f>
        <v/>
      </c>
      <c r="J532">
        <f>IF(Klantgegevens_B!J531&lt;&gt;"", Klantgegevens_B!J531, Klantgegevens_A!K531)</f>
        <v/>
      </c>
      <c r="K532">
        <f>IF(Klantgegevens_B!K531&lt;&gt;"", AVERAGE(--(Klantgegevens_B!K531="ja"), --(Klantgegevens_B!L531="ja"), --(Klantgegevens_B!M531="ja"), --(Klantgegevens_B!N531="ja"), --(Klantgegevens_B!O531="ja"))*10, Klantgegevens_A!L531)</f>
        <v/>
      </c>
      <c r="L532">
        <f>IF(Klantgegevens_B!K531&lt;&gt;"", Klantgegevens_B!K531, IF(Klantgegevens_A!L531&gt;=7, "ja", "nee"))</f>
        <v/>
      </c>
      <c r="M532">
        <f>IF(Klantgegevens_B!L531&lt;&gt;"", Klantgegevens_B!L531, IF(Klantgegevens_A!L531&gt;=7, "ja", "nee"))</f>
        <v/>
      </c>
      <c r="N532">
        <f>IF(Klantgegevens_B!M531&lt;&gt;"", Klantgegevens_B!M531, IF(Klantgegevens_A!L531&gt;=7, "ja", "nee"))</f>
        <v/>
      </c>
      <c r="O532">
        <f>IF(Klantgegevens_B!N531&lt;&gt;"", Klantgegevens_B!N531, IF(Klantgegevens_A!L531&gt;=7, "ja", "nee"))</f>
        <v/>
      </c>
      <c r="P532">
        <f>IF(Klantgegevens_B!O531&lt;&gt;"", Klantgegevens_B!O531, IF(Klantgegevens_A!L531&gt;=7, "ja", "nee"))</f>
        <v/>
      </c>
      <c r="Q532">
        <f>IF(Klantgegevens_B!P531&lt;&gt;"", Klantgegevens_B!P531, Klantgegevens_A!M531)</f>
        <v/>
      </c>
      <c r="R532">
        <f>IF(Klantgegevens_B!A531&lt;&gt;"", "B", "A")</f>
        <v/>
      </c>
    </row>
    <row r="533">
      <c r="A533">
        <f>IF(Klantgegevens_B!A532&lt;&gt;"", Klantgegevens_B!A532, MID(Klantgegevens_A!A532, FIND(",", Klantgegevens_A!A532)+2, LEN(Klantgegevens_A!A532)))</f>
        <v/>
      </c>
      <c r="B533">
        <f>IF(Klantgegevens_B!B532&lt;&gt;"", Klantgegevens_B!B532, LEFT(Klantgegevens_A!A532, FIND(",", Klantgegevens_A!A532)-1))</f>
        <v/>
      </c>
      <c r="C533">
        <f>C532 &amp; ", " &amp; B532</f>
        <v/>
      </c>
      <c r="D533">
        <f>IF(Klantgegevens_B!F532&lt;&gt;"", Klantgegevens_B!F532, Klantgegevens_A!D532 &amp; " " &amp; Klantgegevens_A!E532 &amp; ", " &amp; Klantgegevens_A!F532)</f>
        <v/>
      </c>
      <c r="E533">
        <f>IF(Klantgegevens_B!G532&lt;&gt;"", Klantgegevens_B!G532, TEXTJOIN(",", TRUE, REPT("Volwassene,", Klantgegevens_A!G532), REPT("Kind,", Klantgegevens_A!H532)))</f>
        <v/>
      </c>
      <c r="F533">
        <f>IF(Klantgegevens_B!G532&lt;&gt;"", LEN(Klantgegevens_B!G532)-LEN(SUBSTITUTE(Klantgegevens_B!G532, ",", ""))+1, Klantgegevens_A!G532)</f>
        <v/>
      </c>
      <c r="G533">
        <f>IF(Klantgegevens_B!G532&lt;&gt;"", 0, Klantgegevens_A!H532)</f>
        <v/>
      </c>
      <c r="H533">
        <f>IF(Klantgegevens_B!H532&lt;&gt;"", Klantgegevens_B!H532, Klantgegevens_A!I532)</f>
        <v/>
      </c>
      <c r="I533">
        <f>IF(Klantgegevens_B!I532&lt;&gt;"", Klantgegevens_B!I532, SWITCH(Klantgegevens_A!J532, "Zelden", 1, "Af en toe", 4, "Regelmatig", 8, "Vaak", 12))</f>
        <v/>
      </c>
      <c r="J533">
        <f>IF(Klantgegevens_B!J532&lt;&gt;"", Klantgegevens_B!J532, Klantgegevens_A!K532)</f>
        <v/>
      </c>
      <c r="K533">
        <f>IF(Klantgegevens_B!K532&lt;&gt;"", AVERAGE(--(Klantgegevens_B!K532="ja"), --(Klantgegevens_B!L532="ja"), --(Klantgegevens_B!M532="ja"), --(Klantgegevens_B!N532="ja"), --(Klantgegevens_B!O532="ja"))*10, Klantgegevens_A!L532)</f>
        <v/>
      </c>
      <c r="L533">
        <f>IF(Klantgegevens_B!K532&lt;&gt;"", Klantgegevens_B!K532, IF(Klantgegevens_A!L532&gt;=7, "ja", "nee"))</f>
        <v/>
      </c>
      <c r="M533">
        <f>IF(Klantgegevens_B!L532&lt;&gt;"", Klantgegevens_B!L532, IF(Klantgegevens_A!L532&gt;=7, "ja", "nee"))</f>
        <v/>
      </c>
      <c r="N533">
        <f>IF(Klantgegevens_B!M532&lt;&gt;"", Klantgegevens_B!M532, IF(Klantgegevens_A!L532&gt;=7, "ja", "nee"))</f>
        <v/>
      </c>
      <c r="O533">
        <f>IF(Klantgegevens_B!N532&lt;&gt;"", Klantgegevens_B!N532, IF(Klantgegevens_A!L532&gt;=7, "ja", "nee"))</f>
        <v/>
      </c>
      <c r="P533">
        <f>IF(Klantgegevens_B!O532&lt;&gt;"", Klantgegevens_B!O532, IF(Klantgegevens_A!L532&gt;=7, "ja", "nee"))</f>
        <v/>
      </c>
      <c r="Q533">
        <f>IF(Klantgegevens_B!P532&lt;&gt;"", Klantgegevens_B!P532, Klantgegevens_A!M532)</f>
        <v/>
      </c>
      <c r="R533">
        <f>IF(Klantgegevens_B!A532&lt;&gt;"", "B", "A")</f>
        <v/>
      </c>
    </row>
    <row r="534">
      <c r="A534">
        <f>IF(Klantgegevens_B!A533&lt;&gt;"", Klantgegevens_B!A533, MID(Klantgegevens_A!A533, FIND(",", Klantgegevens_A!A533)+2, LEN(Klantgegevens_A!A533)))</f>
        <v/>
      </c>
      <c r="B534">
        <f>IF(Klantgegevens_B!B533&lt;&gt;"", Klantgegevens_B!B533, LEFT(Klantgegevens_A!A533, FIND(",", Klantgegevens_A!A533)-1))</f>
        <v/>
      </c>
      <c r="C534">
        <f>C533 &amp; ", " &amp; B533</f>
        <v/>
      </c>
      <c r="D534">
        <f>IF(Klantgegevens_B!F533&lt;&gt;"", Klantgegevens_B!F533, Klantgegevens_A!D533 &amp; " " &amp; Klantgegevens_A!E533 &amp; ", " &amp; Klantgegevens_A!F533)</f>
        <v/>
      </c>
      <c r="E534">
        <f>IF(Klantgegevens_B!G533&lt;&gt;"", Klantgegevens_B!G533, TEXTJOIN(",", TRUE, REPT("Volwassene,", Klantgegevens_A!G533), REPT("Kind,", Klantgegevens_A!H533)))</f>
        <v/>
      </c>
      <c r="F534">
        <f>IF(Klantgegevens_B!G533&lt;&gt;"", LEN(Klantgegevens_B!G533)-LEN(SUBSTITUTE(Klantgegevens_B!G533, ",", ""))+1, Klantgegevens_A!G533)</f>
        <v/>
      </c>
      <c r="G534">
        <f>IF(Klantgegevens_B!G533&lt;&gt;"", 0, Klantgegevens_A!H533)</f>
        <v/>
      </c>
      <c r="H534">
        <f>IF(Klantgegevens_B!H533&lt;&gt;"", Klantgegevens_B!H533, Klantgegevens_A!I533)</f>
        <v/>
      </c>
      <c r="I534">
        <f>IF(Klantgegevens_B!I533&lt;&gt;"", Klantgegevens_B!I533, SWITCH(Klantgegevens_A!J533, "Zelden", 1, "Af en toe", 4, "Regelmatig", 8, "Vaak", 12))</f>
        <v/>
      </c>
      <c r="J534">
        <f>IF(Klantgegevens_B!J533&lt;&gt;"", Klantgegevens_B!J533, Klantgegevens_A!K533)</f>
        <v/>
      </c>
      <c r="K534">
        <f>IF(Klantgegevens_B!K533&lt;&gt;"", AVERAGE(--(Klantgegevens_B!K533="ja"), --(Klantgegevens_B!L533="ja"), --(Klantgegevens_B!M533="ja"), --(Klantgegevens_B!N533="ja"), --(Klantgegevens_B!O533="ja"))*10, Klantgegevens_A!L533)</f>
        <v/>
      </c>
      <c r="L534">
        <f>IF(Klantgegevens_B!K533&lt;&gt;"", Klantgegevens_B!K533, IF(Klantgegevens_A!L533&gt;=7, "ja", "nee"))</f>
        <v/>
      </c>
      <c r="M534">
        <f>IF(Klantgegevens_B!L533&lt;&gt;"", Klantgegevens_B!L533, IF(Klantgegevens_A!L533&gt;=7, "ja", "nee"))</f>
        <v/>
      </c>
      <c r="N534">
        <f>IF(Klantgegevens_B!M533&lt;&gt;"", Klantgegevens_B!M533, IF(Klantgegevens_A!L533&gt;=7, "ja", "nee"))</f>
        <v/>
      </c>
      <c r="O534">
        <f>IF(Klantgegevens_B!N533&lt;&gt;"", Klantgegevens_B!N533, IF(Klantgegevens_A!L533&gt;=7, "ja", "nee"))</f>
        <v/>
      </c>
      <c r="P534">
        <f>IF(Klantgegevens_B!O533&lt;&gt;"", Klantgegevens_B!O533, IF(Klantgegevens_A!L533&gt;=7, "ja", "nee"))</f>
        <v/>
      </c>
      <c r="Q534">
        <f>IF(Klantgegevens_B!P533&lt;&gt;"", Klantgegevens_B!P533, Klantgegevens_A!M533)</f>
        <v/>
      </c>
      <c r="R534">
        <f>IF(Klantgegevens_B!A533&lt;&gt;"", "B", "A")</f>
        <v/>
      </c>
    </row>
    <row r="535">
      <c r="A535">
        <f>IF(Klantgegevens_B!A534&lt;&gt;"", Klantgegevens_B!A534, MID(Klantgegevens_A!A534, FIND(",", Klantgegevens_A!A534)+2, LEN(Klantgegevens_A!A534)))</f>
        <v/>
      </c>
      <c r="B535">
        <f>IF(Klantgegevens_B!B534&lt;&gt;"", Klantgegevens_B!B534, LEFT(Klantgegevens_A!A534, FIND(",", Klantgegevens_A!A534)-1))</f>
        <v/>
      </c>
      <c r="C535">
        <f>C534 &amp; ", " &amp; B534</f>
        <v/>
      </c>
      <c r="D535">
        <f>IF(Klantgegevens_B!F534&lt;&gt;"", Klantgegevens_B!F534, Klantgegevens_A!D534 &amp; " " &amp; Klantgegevens_A!E534 &amp; ", " &amp; Klantgegevens_A!F534)</f>
        <v/>
      </c>
      <c r="E535">
        <f>IF(Klantgegevens_B!G534&lt;&gt;"", Klantgegevens_B!G534, TEXTJOIN(",", TRUE, REPT("Volwassene,", Klantgegevens_A!G534), REPT("Kind,", Klantgegevens_A!H534)))</f>
        <v/>
      </c>
      <c r="F535">
        <f>IF(Klantgegevens_B!G534&lt;&gt;"", LEN(Klantgegevens_B!G534)-LEN(SUBSTITUTE(Klantgegevens_B!G534, ",", ""))+1, Klantgegevens_A!G534)</f>
        <v/>
      </c>
      <c r="G535">
        <f>IF(Klantgegevens_B!G534&lt;&gt;"", 0, Klantgegevens_A!H534)</f>
        <v/>
      </c>
      <c r="H535">
        <f>IF(Klantgegevens_B!H534&lt;&gt;"", Klantgegevens_B!H534, Klantgegevens_A!I534)</f>
        <v/>
      </c>
      <c r="I535">
        <f>IF(Klantgegevens_B!I534&lt;&gt;"", Klantgegevens_B!I534, SWITCH(Klantgegevens_A!J534, "Zelden", 1, "Af en toe", 4, "Regelmatig", 8, "Vaak", 12))</f>
        <v/>
      </c>
      <c r="J535">
        <f>IF(Klantgegevens_B!J534&lt;&gt;"", Klantgegevens_B!J534, Klantgegevens_A!K534)</f>
        <v/>
      </c>
      <c r="K535">
        <f>IF(Klantgegevens_B!K534&lt;&gt;"", AVERAGE(--(Klantgegevens_B!K534="ja"), --(Klantgegevens_B!L534="ja"), --(Klantgegevens_B!M534="ja"), --(Klantgegevens_B!N534="ja"), --(Klantgegevens_B!O534="ja"))*10, Klantgegevens_A!L534)</f>
        <v/>
      </c>
      <c r="L535">
        <f>IF(Klantgegevens_B!K534&lt;&gt;"", Klantgegevens_B!K534, IF(Klantgegevens_A!L534&gt;=7, "ja", "nee"))</f>
        <v/>
      </c>
      <c r="M535">
        <f>IF(Klantgegevens_B!L534&lt;&gt;"", Klantgegevens_B!L534, IF(Klantgegevens_A!L534&gt;=7, "ja", "nee"))</f>
        <v/>
      </c>
      <c r="N535">
        <f>IF(Klantgegevens_B!M534&lt;&gt;"", Klantgegevens_B!M534, IF(Klantgegevens_A!L534&gt;=7, "ja", "nee"))</f>
        <v/>
      </c>
      <c r="O535">
        <f>IF(Klantgegevens_B!N534&lt;&gt;"", Klantgegevens_B!N534, IF(Klantgegevens_A!L534&gt;=7, "ja", "nee"))</f>
        <v/>
      </c>
      <c r="P535">
        <f>IF(Klantgegevens_B!O534&lt;&gt;"", Klantgegevens_B!O534, IF(Klantgegevens_A!L534&gt;=7, "ja", "nee"))</f>
        <v/>
      </c>
      <c r="Q535">
        <f>IF(Klantgegevens_B!P534&lt;&gt;"", Klantgegevens_B!P534, Klantgegevens_A!M534)</f>
        <v/>
      </c>
      <c r="R535">
        <f>IF(Klantgegevens_B!A534&lt;&gt;"", "B", "A")</f>
        <v/>
      </c>
    </row>
    <row r="536">
      <c r="A536">
        <f>IF(Klantgegevens_B!A535&lt;&gt;"", Klantgegevens_B!A535, MID(Klantgegevens_A!A535, FIND(",", Klantgegevens_A!A535)+2, LEN(Klantgegevens_A!A535)))</f>
        <v/>
      </c>
      <c r="B536">
        <f>IF(Klantgegevens_B!B535&lt;&gt;"", Klantgegevens_B!B535, LEFT(Klantgegevens_A!A535, FIND(",", Klantgegevens_A!A535)-1))</f>
        <v/>
      </c>
      <c r="C536">
        <f>C535 &amp; ", " &amp; B535</f>
        <v/>
      </c>
      <c r="D536">
        <f>IF(Klantgegevens_B!F535&lt;&gt;"", Klantgegevens_B!F535, Klantgegevens_A!D535 &amp; " " &amp; Klantgegevens_A!E535 &amp; ", " &amp; Klantgegevens_A!F535)</f>
        <v/>
      </c>
      <c r="E536">
        <f>IF(Klantgegevens_B!G535&lt;&gt;"", Klantgegevens_B!G535, TEXTJOIN(",", TRUE, REPT("Volwassene,", Klantgegevens_A!G535), REPT("Kind,", Klantgegevens_A!H535)))</f>
        <v/>
      </c>
      <c r="F536">
        <f>IF(Klantgegevens_B!G535&lt;&gt;"", LEN(Klantgegevens_B!G535)-LEN(SUBSTITUTE(Klantgegevens_B!G535, ",", ""))+1, Klantgegevens_A!G535)</f>
        <v/>
      </c>
      <c r="G536">
        <f>IF(Klantgegevens_B!G535&lt;&gt;"", 0, Klantgegevens_A!H535)</f>
        <v/>
      </c>
      <c r="H536">
        <f>IF(Klantgegevens_B!H535&lt;&gt;"", Klantgegevens_B!H535, Klantgegevens_A!I535)</f>
        <v/>
      </c>
      <c r="I536">
        <f>IF(Klantgegevens_B!I535&lt;&gt;"", Klantgegevens_B!I535, SWITCH(Klantgegevens_A!J535, "Zelden", 1, "Af en toe", 4, "Regelmatig", 8, "Vaak", 12))</f>
        <v/>
      </c>
      <c r="J536">
        <f>IF(Klantgegevens_B!J535&lt;&gt;"", Klantgegevens_B!J535, Klantgegevens_A!K535)</f>
        <v/>
      </c>
      <c r="K536">
        <f>IF(Klantgegevens_B!K535&lt;&gt;"", AVERAGE(--(Klantgegevens_B!K535="ja"), --(Klantgegevens_B!L535="ja"), --(Klantgegevens_B!M535="ja"), --(Klantgegevens_B!N535="ja"), --(Klantgegevens_B!O535="ja"))*10, Klantgegevens_A!L535)</f>
        <v/>
      </c>
      <c r="L536">
        <f>IF(Klantgegevens_B!K535&lt;&gt;"", Klantgegevens_B!K535, IF(Klantgegevens_A!L535&gt;=7, "ja", "nee"))</f>
        <v/>
      </c>
      <c r="M536">
        <f>IF(Klantgegevens_B!L535&lt;&gt;"", Klantgegevens_B!L535, IF(Klantgegevens_A!L535&gt;=7, "ja", "nee"))</f>
        <v/>
      </c>
      <c r="N536">
        <f>IF(Klantgegevens_B!M535&lt;&gt;"", Klantgegevens_B!M535, IF(Klantgegevens_A!L535&gt;=7, "ja", "nee"))</f>
        <v/>
      </c>
      <c r="O536">
        <f>IF(Klantgegevens_B!N535&lt;&gt;"", Klantgegevens_B!N535, IF(Klantgegevens_A!L535&gt;=7, "ja", "nee"))</f>
        <v/>
      </c>
      <c r="P536">
        <f>IF(Klantgegevens_B!O535&lt;&gt;"", Klantgegevens_B!O535, IF(Klantgegevens_A!L535&gt;=7, "ja", "nee"))</f>
        <v/>
      </c>
      <c r="Q536">
        <f>IF(Klantgegevens_B!P535&lt;&gt;"", Klantgegevens_B!P535, Klantgegevens_A!M535)</f>
        <v/>
      </c>
      <c r="R536">
        <f>IF(Klantgegevens_B!A535&lt;&gt;"", "B", "A")</f>
        <v/>
      </c>
    </row>
    <row r="537">
      <c r="A537">
        <f>IF(Klantgegevens_B!A536&lt;&gt;"", Klantgegevens_B!A536, MID(Klantgegevens_A!A536, FIND(",", Klantgegevens_A!A536)+2, LEN(Klantgegevens_A!A536)))</f>
        <v/>
      </c>
      <c r="B537">
        <f>IF(Klantgegevens_B!B536&lt;&gt;"", Klantgegevens_B!B536, LEFT(Klantgegevens_A!A536, FIND(",", Klantgegevens_A!A536)-1))</f>
        <v/>
      </c>
      <c r="C537">
        <f>C536 &amp; ", " &amp; B536</f>
        <v/>
      </c>
      <c r="D537">
        <f>IF(Klantgegevens_B!F536&lt;&gt;"", Klantgegevens_B!F536, Klantgegevens_A!D536 &amp; " " &amp; Klantgegevens_A!E536 &amp; ", " &amp; Klantgegevens_A!F536)</f>
        <v/>
      </c>
      <c r="E537">
        <f>IF(Klantgegevens_B!G536&lt;&gt;"", Klantgegevens_B!G536, TEXTJOIN(",", TRUE, REPT("Volwassene,", Klantgegevens_A!G536), REPT("Kind,", Klantgegevens_A!H536)))</f>
        <v/>
      </c>
      <c r="F537">
        <f>IF(Klantgegevens_B!G536&lt;&gt;"", LEN(Klantgegevens_B!G536)-LEN(SUBSTITUTE(Klantgegevens_B!G536, ",", ""))+1, Klantgegevens_A!G536)</f>
        <v/>
      </c>
      <c r="G537">
        <f>IF(Klantgegevens_B!G536&lt;&gt;"", 0, Klantgegevens_A!H536)</f>
        <v/>
      </c>
      <c r="H537">
        <f>IF(Klantgegevens_B!H536&lt;&gt;"", Klantgegevens_B!H536, Klantgegevens_A!I536)</f>
        <v/>
      </c>
      <c r="I537">
        <f>IF(Klantgegevens_B!I536&lt;&gt;"", Klantgegevens_B!I536, SWITCH(Klantgegevens_A!J536, "Zelden", 1, "Af en toe", 4, "Regelmatig", 8, "Vaak", 12))</f>
        <v/>
      </c>
      <c r="J537">
        <f>IF(Klantgegevens_B!J536&lt;&gt;"", Klantgegevens_B!J536, Klantgegevens_A!K536)</f>
        <v/>
      </c>
      <c r="K537">
        <f>IF(Klantgegevens_B!K536&lt;&gt;"", AVERAGE(--(Klantgegevens_B!K536="ja"), --(Klantgegevens_B!L536="ja"), --(Klantgegevens_B!M536="ja"), --(Klantgegevens_B!N536="ja"), --(Klantgegevens_B!O536="ja"))*10, Klantgegevens_A!L536)</f>
        <v/>
      </c>
      <c r="L537">
        <f>IF(Klantgegevens_B!K536&lt;&gt;"", Klantgegevens_B!K536, IF(Klantgegevens_A!L536&gt;=7, "ja", "nee"))</f>
        <v/>
      </c>
      <c r="M537">
        <f>IF(Klantgegevens_B!L536&lt;&gt;"", Klantgegevens_B!L536, IF(Klantgegevens_A!L536&gt;=7, "ja", "nee"))</f>
        <v/>
      </c>
      <c r="N537">
        <f>IF(Klantgegevens_B!M536&lt;&gt;"", Klantgegevens_B!M536, IF(Klantgegevens_A!L536&gt;=7, "ja", "nee"))</f>
        <v/>
      </c>
      <c r="O537">
        <f>IF(Klantgegevens_B!N536&lt;&gt;"", Klantgegevens_B!N536, IF(Klantgegevens_A!L536&gt;=7, "ja", "nee"))</f>
        <v/>
      </c>
      <c r="P537">
        <f>IF(Klantgegevens_B!O536&lt;&gt;"", Klantgegevens_B!O536, IF(Klantgegevens_A!L536&gt;=7, "ja", "nee"))</f>
        <v/>
      </c>
      <c r="Q537">
        <f>IF(Klantgegevens_B!P536&lt;&gt;"", Klantgegevens_B!P536, Klantgegevens_A!M536)</f>
        <v/>
      </c>
      <c r="R537">
        <f>IF(Klantgegevens_B!A536&lt;&gt;"", "B", "A")</f>
        <v/>
      </c>
    </row>
    <row r="538">
      <c r="A538">
        <f>IF(Klantgegevens_B!A537&lt;&gt;"", Klantgegevens_B!A537, MID(Klantgegevens_A!A537, FIND(",", Klantgegevens_A!A537)+2, LEN(Klantgegevens_A!A537)))</f>
        <v/>
      </c>
      <c r="B538">
        <f>IF(Klantgegevens_B!B537&lt;&gt;"", Klantgegevens_B!B537, LEFT(Klantgegevens_A!A537, FIND(",", Klantgegevens_A!A537)-1))</f>
        <v/>
      </c>
      <c r="C538">
        <f>C537 &amp; ", " &amp; B537</f>
        <v/>
      </c>
      <c r="D538">
        <f>IF(Klantgegevens_B!F537&lt;&gt;"", Klantgegevens_B!F537, Klantgegevens_A!D537 &amp; " " &amp; Klantgegevens_A!E537 &amp; ", " &amp; Klantgegevens_A!F537)</f>
        <v/>
      </c>
      <c r="E538">
        <f>IF(Klantgegevens_B!G537&lt;&gt;"", Klantgegevens_B!G537, TEXTJOIN(",", TRUE, REPT("Volwassene,", Klantgegevens_A!G537), REPT("Kind,", Klantgegevens_A!H537)))</f>
        <v/>
      </c>
      <c r="F538">
        <f>IF(Klantgegevens_B!G537&lt;&gt;"", LEN(Klantgegevens_B!G537)-LEN(SUBSTITUTE(Klantgegevens_B!G537, ",", ""))+1, Klantgegevens_A!G537)</f>
        <v/>
      </c>
      <c r="G538">
        <f>IF(Klantgegevens_B!G537&lt;&gt;"", 0, Klantgegevens_A!H537)</f>
        <v/>
      </c>
      <c r="H538">
        <f>IF(Klantgegevens_B!H537&lt;&gt;"", Klantgegevens_B!H537, Klantgegevens_A!I537)</f>
        <v/>
      </c>
      <c r="I538">
        <f>IF(Klantgegevens_B!I537&lt;&gt;"", Klantgegevens_B!I537, SWITCH(Klantgegevens_A!J537, "Zelden", 1, "Af en toe", 4, "Regelmatig", 8, "Vaak", 12))</f>
        <v/>
      </c>
      <c r="J538">
        <f>IF(Klantgegevens_B!J537&lt;&gt;"", Klantgegevens_B!J537, Klantgegevens_A!K537)</f>
        <v/>
      </c>
      <c r="K538">
        <f>IF(Klantgegevens_B!K537&lt;&gt;"", AVERAGE(--(Klantgegevens_B!K537="ja"), --(Klantgegevens_B!L537="ja"), --(Klantgegevens_B!M537="ja"), --(Klantgegevens_B!N537="ja"), --(Klantgegevens_B!O537="ja"))*10, Klantgegevens_A!L537)</f>
        <v/>
      </c>
      <c r="L538">
        <f>IF(Klantgegevens_B!K537&lt;&gt;"", Klantgegevens_B!K537, IF(Klantgegevens_A!L537&gt;=7, "ja", "nee"))</f>
        <v/>
      </c>
      <c r="M538">
        <f>IF(Klantgegevens_B!L537&lt;&gt;"", Klantgegevens_B!L537, IF(Klantgegevens_A!L537&gt;=7, "ja", "nee"))</f>
        <v/>
      </c>
      <c r="N538">
        <f>IF(Klantgegevens_B!M537&lt;&gt;"", Klantgegevens_B!M537, IF(Klantgegevens_A!L537&gt;=7, "ja", "nee"))</f>
        <v/>
      </c>
      <c r="O538">
        <f>IF(Klantgegevens_B!N537&lt;&gt;"", Klantgegevens_B!N537, IF(Klantgegevens_A!L537&gt;=7, "ja", "nee"))</f>
        <v/>
      </c>
      <c r="P538">
        <f>IF(Klantgegevens_B!O537&lt;&gt;"", Klantgegevens_B!O537, IF(Klantgegevens_A!L537&gt;=7, "ja", "nee"))</f>
        <v/>
      </c>
      <c r="Q538">
        <f>IF(Klantgegevens_B!P537&lt;&gt;"", Klantgegevens_B!P537, Klantgegevens_A!M537)</f>
        <v/>
      </c>
      <c r="R538">
        <f>IF(Klantgegevens_B!A537&lt;&gt;"", "B", "A")</f>
        <v/>
      </c>
    </row>
    <row r="539">
      <c r="A539">
        <f>IF(Klantgegevens_B!A538&lt;&gt;"", Klantgegevens_B!A538, MID(Klantgegevens_A!A538, FIND(",", Klantgegevens_A!A538)+2, LEN(Klantgegevens_A!A538)))</f>
        <v/>
      </c>
      <c r="B539">
        <f>IF(Klantgegevens_B!B538&lt;&gt;"", Klantgegevens_B!B538, LEFT(Klantgegevens_A!A538, FIND(",", Klantgegevens_A!A538)-1))</f>
        <v/>
      </c>
      <c r="C539">
        <f>C538 &amp; ", " &amp; B538</f>
        <v/>
      </c>
      <c r="D539">
        <f>IF(Klantgegevens_B!F538&lt;&gt;"", Klantgegevens_B!F538, Klantgegevens_A!D538 &amp; " " &amp; Klantgegevens_A!E538 &amp; ", " &amp; Klantgegevens_A!F538)</f>
        <v/>
      </c>
      <c r="E539">
        <f>IF(Klantgegevens_B!G538&lt;&gt;"", Klantgegevens_B!G538, TEXTJOIN(",", TRUE, REPT("Volwassene,", Klantgegevens_A!G538), REPT("Kind,", Klantgegevens_A!H538)))</f>
        <v/>
      </c>
      <c r="F539">
        <f>IF(Klantgegevens_B!G538&lt;&gt;"", LEN(Klantgegevens_B!G538)-LEN(SUBSTITUTE(Klantgegevens_B!G538, ",", ""))+1, Klantgegevens_A!G538)</f>
        <v/>
      </c>
      <c r="G539">
        <f>IF(Klantgegevens_B!G538&lt;&gt;"", 0, Klantgegevens_A!H538)</f>
        <v/>
      </c>
      <c r="H539">
        <f>IF(Klantgegevens_B!H538&lt;&gt;"", Klantgegevens_B!H538, Klantgegevens_A!I538)</f>
        <v/>
      </c>
      <c r="I539">
        <f>IF(Klantgegevens_B!I538&lt;&gt;"", Klantgegevens_B!I538, SWITCH(Klantgegevens_A!J538, "Zelden", 1, "Af en toe", 4, "Regelmatig", 8, "Vaak", 12))</f>
        <v/>
      </c>
      <c r="J539">
        <f>IF(Klantgegevens_B!J538&lt;&gt;"", Klantgegevens_B!J538, Klantgegevens_A!K538)</f>
        <v/>
      </c>
      <c r="K539">
        <f>IF(Klantgegevens_B!K538&lt;&gt;"", AVERAGE(--(Klantgegevens_B!K538="ja"), --(Klantgegevens_B!L538="ja"), --(Klantgegevens_B!M538="ja"), --(Klantgegevens_B!N538="ja"), --(Klantgegevens_B!O538="ja"))*10, Klantgegevens_A!L538)</f>
        <v/>
      </c>
      <c r="L539">
        <f>IF(Klantgegevens_B!K538&lt;&gt;"", Klantgegevens_B!K538, IF(Klantgegevens_A!L538&gt;=7, "ja", "nee"))</f>
        <v/>
      </c>
      <c r="M539">
        <f>IF(Klantgegevens_B!L538&lt;&gt;"", Klantgegevens_B!L538, IF(Klantgegevens_A!L538&gt;=7, "ja", "nee"))</f>
        <v/>
      </c>
      <c r="N539">
        <f>IF(Klantgegevens_B!M538&lt;&gt;"", Klantgegevens_B!M538, IF(Klantgegevens_A!L538&gt;=7, "ja", "nee"))</f>
        <v/>
      </c>
      <c r="O539">
        <f>IF(Klantgegevens_B!N538&lt;&gt;"", Klantgegevens_B!N538, IF(Klantgegevens_A!L538&gt;=7, "ja", "nee"))</f>
        <v/>
      </c>
      <c r="P539">
        <f>IF(Klantgegevens_B!O538&lt;&gt;"", Klantgegevens_B!O538, IF(Klantgegevens_A!L538&gt;=7, "ja", "nee"))</f>
        <v/>
      </c>
      <c r="Q539">
        <f>IF(Klantgegevens_B!P538&lt;&gt;"", Klantgegevens_B!P538, Klantgegevens_A!M538)</f>
        <v/>
      </c>
      <c r="R539">
        <f>IF(Klantgegevens_B!A538&lt;&gt;"", "B", "A")</f>
        <v/>
      </c>
    </row>
    <row r="540">
      <c r="A540">
        <f>IF(Klantgegevens_B!A539&lt;&gt;"", Klantgegevens_B!A539, MID(Klantgegevens_A!A539, FIND(",", Klantgegevens_A!A539)+2, LEN(Klantgegevens_A!A539)))</f>
        <v/>
      </c>
      <c r="B540">
        <f>IF(Klantgegevens_B!B539&lt;&gt;"", Klantgegevens_B!B539, LEFT(Klantgegevens_A!A539, FIND(",", Klantgegevens_A!A539)-1))</f>
        <v/>
      </c>
      <c r="C540">
        <f>C539 &amp; ", " &amp; B539</f>
        <v/>
      </c>
      <c r="D540">
        <f>IF(Klantgegevens_B!F539&lt;&gt;"", Klantgegevens_B!F539, Klantgegevens_A!D539 &amp; " " &amp; Klantgegevens_A!E539 &amp; ", " &amp; Klantgegevens_A!F539)</f>
        <v/>
      </c>
      <c r="E540">
        <f>IF(Klantgegevens_B!G539&lt;&gt;"", Klantgegevens_B!G539, TEXTJOIN(",", TRUE, REPT("Volwassene,", Klantgegevens_A!G539), REPT("Kind,", Klantgegevens_A!H539)))</f>
        <v/>
      </c>
      <c r="F540">
        <f>IF(Klantgegevens_B!G539&lt;&gt;"", LEN(Klantgegevens_B!G539)-LEN(SUBSTITUTE(Klantgegevens_B!G539, ",", ""))+1, Klantgegevens_A!G539)</f>
        <v/>
      </c>
      <c r="G540">
        <f>IF(Klantgegevens_B!G539&lt;&gt;"", 0, Klantgegevens_A!H539)</f>
        <v/>
      </c>
      <c r="H540">
        <f>IF(Klantgegevens_B!H539&lt;&gt;"", Klantgegevens_B!H539, Klantgegevens_A!I539)</f>
        <v/>
      </c>
      <c r="I540">
        <f>IF(Klantgegevens_B!I539&lt;&gt;"", Klantgegevens_B!I539, SWITCH(Klantgegevens_A!J539, "Zelden", 1, "Af en toe", 4, "Regelmatig", 8, "Vaak", 12))</f>
        <v/>
      </c>
      <c r="J540">
        <f>IF(Klantgegevens_B!J539&lt;&gt;"", Klantgegevens_B!J539, Klantgegevens_A!K539)</f>
        <v/>
      </c>
      <c r="K540">
        <f>IF(Klantgegevens_B!K539&lt;&gt;"", AVERAGE(--(Klantgegevens_B!K539="ja"), --(Klantgegevens_B!L539="ja"), --(Klantgegevens_B!M539="ja"), --(Klantgegevens_B!N539="ja"), --(Klantgegevens_B!O539="ja"))*10, Klantgegevens_A!L539)</f>
        <v/>
      </c>
      <c r="L540">
        <f>IF(Klantgegevens_B!K539&lt;&gt;"", Klantgegevens_B!K539, IF(Klantgegevens_A!L539&gt;=7, "ja", "nee"))</f>
        <v/>
      </c>
      <c r="M540">
        <f>IF(Klantgegevens_B!L539&lt;&gt;"", Klantgegevens_B!L539, IF(Klantgegevens_A!L539&gt;=7, "ja", "nee"))</f>
        <v/>
      </c>
      <c r="N540">
        <f>IF(Klantgegevens_B!M539&lt;&gt;"", Klantgegevens_B!M539, IF(Klantgegevens_A!L539&gt;=7, "ja", "nee"))</f>
        <v/>
      </c>
      <c r="O540">
        <f>IF(Klantgegevens_B!N539&lt;&gt;"", Klantgegevens_B!N539, IF(Klantgegevens_A!L539&gt;=7, "ja", "nee"))</f>
        <v/>
      </c>
      <c r="P540">
        <f>IF(Klantgegevens_B!O539&lt;&gt;"", Klantgegevens_B!O539, IF(Klantgegevens_A!L539&gt;=7, "ja", "nee"))</f>
        <v/>
      </c>
      <c r="Q540">
        <f>IF(Klantgegevens_B!P539&lt;&gt;"", Klantgegevens_B!P539, Klantgegevens_A!M539)</f>
        <v/>
      </c>
      <c r="R540">
        <f>IF(Klantgegevens_B!A539&lt;&gt;"", "B", "A")</f>
        <v/>
      </c>
    </row>
    <row r="541">
      <c r="A541">
        <f>IF(Klantgegevens_B!A540&lt;&gt;"", Klantgegevens_B!A540, MID(Klantgegevens_A!A540, FIND(",", Klantgegevens_A!A540)+2, LEN(Klantgegevens_A!A540)))</f>
        <v/>
      </c>
      <c r="B541">
        <f>IF(Klantgegevens_B!B540&lt;&gt;"", Klantgegevens_B!B540, LEFT(Klantgegevens_A!A540, FIND(",", Klantgegevens_A!A540)-1))</f>
        <v/>
      </c>
      <c r="C541">
        <f>C540 &amp; ", " &amp; B540</f>
        <v/>
      </c>
      <c r="D541">
        <f>IF(Klantgegevens_B!F540&lt;&gt;"", Klantgegevens_B!F540, Klantgegevens_A!D540 &amp; " " &amp; Klantgegevens_A!E540 &amp; ", " &amp; Klantgegevens_A!F540)</f>
        <v/>
      </c>
      <c r="E541">
        <f>IF(Klantgegevens_B!G540&lt;&gt;"", Klantgegevens_B!G540, TEXTJOIN(",", TRUE, REPT("Volwassene,", Klantgegevens_A!G540), REPT("Kind,", Klantgegevens_A!H540)))</f>
        <v/>
      </c>
      <c r="F541">
        <f>IF(Klantgegevens_B!G540&lt;&gt;"", LEN(Klantgegevens_B!G540)-LEN(SUBSTITUTE(Klantgegevens_B!G540, ",", ""))+1, Klantgegevens_A!G540)</f>
        <v/>
      </c>
      <c r="G541">
        <f>IF(Klantgegevens_B!G540&lt;&gt;"", 0, Klantgegevens_A!H540)</f>
        <v/>
      </c>
      <c r="H541">
        <f>IF(Klantgegevens_B!H540&lt;&gt;"", Klantgegevens_B!H540, Klantgegevens_A!I540)</f>
        <v/>
      </c>
      <c r="I541">
        <f>IF(Klantgegevens_B!I540&lt;&gt;"", Klantgegevens_B!I540, SWITCH(Klantgegevens_A!J540, "Zelden", 1, "Af en toe", 4, "Regelmatig", 8, "Vaak", 12))</f>
        <v/>
      </c>
      <c r="J541">
        <f>IF(Klantgegevens_B!J540&lt;&gt;"", Klantgegevens_B!J540, Klantgegevens_A!K540)</f>
        <v/>
      </c>
      <c r="K541">
        <f>IF(Klantgegevens_B!K540&lt;&gt;"", AVERAGE(--(Klantgegevens_B!K540="ja"), --(Klantgegevens_B!L540="ja"), --(Klantgegevens_B!M540="ja"), --(Klantgegevens_B!N540="ja"), --(Klantgegevens_B!O540="ja"))*10, Klantgegevens_A!L540)</f>
        <v/>
      </c>
      <c r="L541">
        <f>IF(Klantgegevens_B!K540&lt;&gt;"", Klantgegevens_B!K540, IF(Klantgegevens_A!L540&gt;=7, "ja", "nee"))</f>
        <v/>
      </c>
      <c r="M541">
        <f>IF(Klantgegevens_B!L540&lt;&gt;"", Klantgegevens_B!L540, IF(Klantgegevens_A!L540&gt;=7, "ja", "nee"))</f>
        <v/>
      </c>
      <c r="N541">
        <f>IF(Klantgegevens_B!M540&lt;&gt;"", Klantgegevens_B!M540, IF(Klantgegevens_A!L540&gt;=7, "ja", "nee"))</f>
        <v/>
      </c>
      <c r="O541">
        <f>IF(Klantgegevens_B!N540&lt;&gt;"", Klantgegevens_B!N540, IF(Klantgegevens_A!L540&gt;=7, "ja", "nee"))</f>
        <v/>
      </c>
      <c r="P541">
        <f>IF(Klantgegevens_B!O540&lt;&gt;"", Klantgegevens_B!O540, IF(Klantgegevens_A!L540&gt;=7, "ja", "nee"))</f>
        <v/>
      </c>
      <c r="Q541">
        <f>IF(Klantgegevens_B!P540&lt;&gt;"", Klantgegevens_B!P540, Klantgegevens_A!M540)</f>
        <v/>
      </c>
      <c r="R541">
        <f>IF(Klantgegevens_B!A540&lt;&gt;"", "B", "A")</f>
        <v/>
      </c>
    </row>
    <row r="542">
      <c r="A542">
        <f>IF(Klantgegevens_B!A541&lt;&gt;"", Klantgegevens_B!A541, MID(Klantgegevens_A!A541, FIND(",", Klantgegevens_A!A541)+2, LEN(Klantgegevens_A!A541)))</f>
        <v/>
      </c>
      <c r="B542">
        <f>IF(Klantgegevens_B!B541&lt;&gt;"", Klantgegevens_B!B541, LEFT(Klantgegevens_A!A541, FIND(",", Klantgegevens_A!A541)-1))</f>
        <v/>
      </c>
      <c r="C542">
        <f>C541 &amp; ", " &amp; B541</f>
        <v/>
      </c>
      <c r="D542">
        <f>IF(Klantgegevens_B!F541&lt;&gt;"", Klantgegevens_B!F541, Klantgegevens_A!D541 &amp; " " &amp; Klantgegevens_A!E541 &amp; ", " &amp; Klantgegevens_A!F541)</f>
        <v/>
      </c>
      <c r="E542">
        <f>IF(Klantgegevens_B!G541&lt;&gt;"", Klantgegevens_B!G541, TEXTJOIN(",", TRUE, REPT("Volwassene,", Klantgegevens_A!G541), REPT("Kind,", Klantgegevens_A!H541)))</f>
        <v/>
      </c>
      <c r="F542">
        <f>IF(Klantgegevens_B!G541&lt;&gt;"", LEN(Klantgegevens_B!G541)-LEN(SUBSTITUTE(Klantgegevens_B!G541, ",", ""))+1, Klantgegevens_A!G541)</f>
        <v/>
      </c>
      <c r="G542">
        <f>IF(Klantgegevens_B!G541&lt;&gt;"", 0, Klantgegevens_A!H541)</f>
        <v/>
      </c>
      <c r="H542">
        <f>IF(Klantgegevens_B!H541&lt;&gt;"", Klantgegevens_B!H541, Klantgegevens_A!I541)</f>
        <v/>
      </c>
      <c r="I542">
        <f>IF(Klantgegevens_B!I541&lt;&gt;"", Klantgegevens_B!I541, SWITCH(Klantgegevens_A!J541, "Zelden", 1, "Af en toe", 4, "Regelmatig", 8, "Vaak", 12))</f>
        <v/>
      </c>
      <c r="J542">
        <f>IF(Klantgegevens_B!J541&lt;&gt;"", Klantgegevens_B!J541, Klantgegevens_A!K541)</f>
        <v/>
      </c>
      <c r="K542">
        <f>IF(Klantgegevens_B!K541&lt;&gt;"", AVERAGE(--(Klantgegevens_B!K541="ja"), --(Klantgegevens_B!L541="ja"), --(Klantgegevens_B!M541="ja"), --(Klantgegevens_B!N541="ja"), --(Klantgegevens_B!O541="ja"))*10, Klantgegevens_A!L541)</f>
        <v/>
      </c>
      <c r="L542">
        <f>IF(Klantgegevens_B!K541&lt;&gt;"", Klantgegevens_B!K541, IF(Klantgegevens_A!L541&gt;=7, "ja", "nee"))</f>
        <v/>
      </c>
      <c r="M542">
        <f>IF(Klantgegevens_B!L541&lt;&gt;"", Klantgegevens_B!L541, IF(Klantgegevens_A!L541&gt;=7, "ja", "nee"))</f>
        <v/>
      </c>
      <c r="N542">
        <f>IF(Klantgegevens_B!M541&lt;&gt;"", Klantgegevens_B!M541, IF(Klantgegevens_A!L541&gt;=7, "ja", "nee"))</f>
        <v/>
      </c>
      <c r="O542">
        <f>IF(Klantgegevens_B!N541&lt;&gt;"", Klantgegevens_B!N541, IF(Klantgegevens_A!L541&gt;=7, "ja", "nee"))</f>
        <v/>
      </c>
      <c r="P542">
        <f>IF(Klantgegevens_B!O541&lt;&gt;"", Klantgegevens_B!O541, IF(Klantgegevens_A!L541&gt;=7, "ja", "nee"))</f>
        <v/>
      </c>
      <c r="Q542">
        <f>IF(Klantgegevens_B!P541&lt;&gt;"", Klantgegevens_B!P541, Klantgegevens_A!M541)</f>
        <v/>
      </c>
      <c r="R542">
        <f>IF(Klantgegevens_B!A541&lt;&gt;"", "B", "A")</f>
        <v/>
      </c>
    </row>
    <row r="543">
      <c r="A543">
        <f>IF(Klantgegevens_B!A542&lt;&gt;"", Klantgegevens_B!A542, MID(Klantgegevens_A!A542, FIND(",", Klantgegevens_A!A542)+2, LEN(Klantgegevens_A!A542)))</f>
        <v/>
      </c>
      <c r="B543">
        <f>IF(Klantgegevens_B!B542&lt;&gt;"", Klantgegevens_B!B542, LEFT(Klantgegevens_A!A542, FIND(",", Klantgegevens_A!A542)-1))</f>
        <v/>
      </c>
      <c r="C543">
        <f>C542 &amp; ", " &amp; B542</f>
        <v/>
      </c>
      <c r="D543">
        <f>IF(Klantgegevens_B!F542&lt;&gt;"", Klantgegevens_B!F542, Klantgegevens_A!D542 &amp; " " &amp; Klantgegevens_A!E542 &amp; ", " &amp; Klantgegevens_A!F542)</f>
        <v/>
      </c>
      <c r="E543">
        <f>IF(Klantgegevens_B!G542&lt;&gt;"", Klantgegevens_B!G542, TEXTJOIN(",", TRUE, REPT("Volwassene,", Klantgegevens_A!G542), REPT("Kind,", Klantgegevens_A!H542)))</f>
        <v/>
      </c>
      <c r="F543">
        <f>IF(Klantgegevens_B!G542&lt;&gt;"", LEN(Klantgegevens_B!G542)-LEN(SUBSTITUTE(Klantgegevens_B!G542, ",", ""))+1, Klantgegevens_A!G542)</f>
        <v/>
      </c>
      <c r="G543">
        <f>IF(Klantgegevens_B!G542&lt;&gt;"", 0, Klantgegevens_A!H542)</f>
        <v/>
      </c>
      <c r="H543">
        <f>IF(Klantgegevens_B!H542&lt;&gt;"", Klantgegevens_B!H542, Klantgegevens_A!I542)</f>
        <v/>
      </c>
      <c r="I543">
        <f>IF(Klantgegevens_B!I542&lt;&gt;"", Klantgegevens_B!I542, SWITCH(Klantgegevens_A!J542, "Zelden", 1, "Af en toe", 4, "Regelmatig", 8, "Vaak", 12))</f>
        <v/>
      </c>
      <c r="J543">
        <f>IF(Klantgegevens_B!J542&lt;&gt;"", Klantgegevens_B!J542, Klantgegevens_A!K542)</f>
        <v/>
      </c>
      <c r="K543">
        <f>IF(Klantgegevens_B!K542&lt;&gt;"", AVERAGE(--(Klantgegevens_B!K542="ja"), --(Klantgegevens_B!L542="ja"), --(Klantgegevens_B!M542="ja"), --(Klantgegevens_B!N542="ja"), --(Klantgegevens_B!O542="ja"))*10, Klantgegevens_A!L542)</f>
        <v/>
      </c>
      <c r="L543">
        <f>IF(Klantgegevens_B!K542&lt;&gt;"", Klantgegevens_B!K542, IF(Klantgegevens_A!L542&gt;=7, "ja", "nee"))</f>
        <v/>
      </c>
      <c r="M543">
        <f>IF(Klantgegevens_B!L542&lt;&gt;"", Klantgegevens_B!L542, IF(Klantgegevens_A!L542&gt;=7, "ja", "nee"))</f>
        <v/>
      </c>
      <c r="N543">
        <f>IF(Klantgegevens_B!M542&lt;&gt;"", Klantgegevens_B!M542, IF(Klantgegevens_A!L542&gt;=7, "ja", "nee"))</f>
        <v/>
      </c>
      <c r="O543">
        <f>IF(Klantgegevens_B!N542&lt;&gt;"", Klantgegevens_B!N542, IF(Klantgegevens_A!L542&gt;=7, "ja", "nee"))</f>
        <v/>
      </c>
      <c r="P543">
        <f>IF(Klantgegevens_B!O542&lt;&gt;"", Klantgegevens_B!O542, IF(Klantgegevens_A!L542&gt;=7, "ja", "nee"))</f>
        <v/>
      </c>
      <c r="Q543">
        <f>IF(Klantgegevens_B!P542&lt;&gt;"", Klantgegevens_B!P542, Klantgegevens_A!M542)</f>
        <v/>
      </c>
      <c r="R543">
        <f>IF(Klantgegevens_B!A542&lt;&gt;"", "B", "A")</f>
        <v/>
      </c>
    </row>
    <row r="544">
      <c r="A544">
        <f>IF(Klantgegevens_B!A543&lt;&gt;"", Klantgegevens_B!A543, MID(Klantgegevens_A!A543, FIND(",", Klantgegevens_A!A543)+2, LEN(Klantgegevens_A!A543)))</f>
        <v/>
      </c>
      <c r="B544">
        <f>IF(Klantgegevens_B!B543&lt;&gt;"", Klantgegevens_B!B543, LEFT(Klantgegevens_A!A543, FIND(",", Klantgegevens_A!A543)-1))</f>
        <v/>
      </c>
      <c r="C544">
        <f>C543 &amp; ", " &amp; B543</f>
        <v/>
      </c>
      <c r="D544">
        <f>IF(Klantgegevens_B!F543&lt;&gt;"", Klantgegevens_B!F543, Klantgegevens_A!D543 &amp; " " &amp; Klantgegevens_A!E543 &amp; ", " &amp; Klantgegevens_A!F543)</f>
        <v/>
      </c>
      <c r="E544">
        <f>IF(Klantgegevens_B!G543&lt;&gt;"", Klantgegevens_B!G543, TEXTJOIN(",", TRUE, REPT("Volwassene,", Klantgegevens_A!G543), REPT("Kind,", Klantgegevens_A!H543)))</f>
        <v/>
      </c>
      <c r="F544">
        <f>IF(Klantgegevens_B!G543&lt;&gt;"", LEN(Klantgegevens_B!G543)-LEN(SUBSTITUTE(Klantgegevens_B!G543, ",", ""))+1, Klantgegevens_A!G543)</f>
        <v/>
      </c>
      <c r="G544">
        <f>IF(Klantgegevens_B!G543&lt;&gt;"", 0, Klantgegevens_A!H543)</f>
        <v/>
      </c>
      <c r="H544">
        <f>IF(Klantgegevens_B!H543&lt;&gt;"", Klantgegevens_B!H543, Klantgegevens_A!I543)</f>
        <v/>
      </c>
      <c r="I544">
        <f>IF(Klantgegevens_B!I543&lt;&gt;"", Klantgegevens_B!I543, SWITCH(Klantgegevens_A!J543, "Zelden", 1, "Af en toe", 4, "Regelmatig", 8, "Vaak", 12))</f>
        <v/>
      </c>
      <c r="J544">
        <f>IF(Klantgegevens_B!J543&lt;&gt;"", Klantgegevens_B!J543, Klantgegevens_A!K543)</f>
        <v/>
      </c>
      <c r="K544">
        <f>IF(Klantgegevens_B!K543&lt;&gt;"", AVERAGE(--(Klantgegevens_B!K543="ja"), --(Klantgegevens_B!L543="ja"), --(Klantgegevens_B!M543="ja"), --(Klantgegevens_B!N543="ja"), --(Klantgegevens_B!O543="ja"))*10, Klantgegevens_A!L543)</f>
        <v/>
      </c>
      <c r="L544">
        <f>IF(Klantgegevens_B!K543&lt;&gt;"", Klantgegevens_B!K543, IF(Klantgegevens_A!L543&gt;=7, "ja", "nee"))</f>
        <v/>
      </c>
      <c r="M544">
        <f>IF(Klantgegevens_B!L543&lt;&gt;"", Klantgegevens_B!L543, IF(Klantgegevens_A!L543&gt;=7, "ja", "nee"))</f>
        <v/>
      </c>
      <c r="N544">
        <f>IF(Klantgegevens_B!M543&lt;&gt;"", Klantgegevens_B!M543, IF(Klantgegevens_A!L543&gt;=7, "ja", "nee"))</f>
        <v/>
      </c>
      <c r="O544">
        <f>IF(Klantgegevens_B!N543&lt;&gt;"", Klantgegevens_B!N543, IF(Klantgegevens_A!L543&gt;=7, "ja", "nee"))</f>
        <v/>
      </c>
      <c r="P544">
        <f>IF(Klantgegevens_B!O543&lt;&gt;"", Klantgegevens_B!O543, IF(Klantgegevens_A!L543&gt;=7, "ja", "nee"))</f>
        <v/>
      </c>
      <c r="Q544">
        <f>IF(Klantgegevens_B!P543&lt;&gt;"", Klantgegevens_B!P543, Klantgegevens_A!M543)</f>
        <v/>
      </c>
      <c r="R544">
        <f>IF(Klantgegevens_B!A543&lt;&gt;"", "B", "A")</f>
        <v/>
      </c>
    </row>
    <row r="545">
      <c r="A545">
        <f>IF(Klantgegevens_B!A544&lt;&gt;"", Klantgegevens_B!A544, MID(Klantgegevens_A!A544, FIND(",", Klantgegevens_A!A544)+2, LEN(Klantgegevens_A!A544)))</f>
        <v/>
      </c>
      <c r="B545">
        <f>IF(Klantgegevens_B!B544&lt;&gt;"", Klantgegevens_B!B544, LEFT(Klantgegevens_A!A544, FIND(",", Klantgegevens_A!A544)-1))</f>
        <v/>
      </c>
      <c r="C545">
        <f>C544 &amp; ", " &amp; B544</f>
        <v/>
      </c>
      <c r="D545">
        <f>IF(Klantgegevens_B!F544&lt;&gt;"", Klantgegevens_B!F544, Klantgegevens_A!D544 &amp; " " &amp; Klantgegevens_A!E544 &amp; ", " &amp; Klantgegevens_A!F544)</f>
        <v/>
      </c>
      <c r="E545">
        <f>IF(Klantgegevens_B!G544&lt;&gt;"", Klantgegevens_B!G544, TEXTJOIN(",", TRUE, REPT("Volwassene,", Klantgegevens_A!G544), REPT("Kind,", Klantgegevens_A!H544)))</f>
        <v/>
      </c>
      <c r="F545">
        <f>IF(Klantgegevens_B!G544&lt;&gt;"", LEN(Klantgegevens_B!G544)-LEN(SUBSTITUTE(Klantgegevens_B!G544, ",", ""))+1, Klantgegevens_A!G544)</f>
        <v/>
      </c>
      <c r="G545">
        <f>IF(Klantgegevens_B!G544&lt;&gt;"", 0, Klantgegevens_A!H544)</f>
        <v/>
      </c>
      <c r="H545">
        <f>IF(Klantgegevens_B!H544&lt;&gt;"", Klantgegevens_B!H544, Klantgegevens_A!I544)</f>
        <v/>
      </c>
      <c r="I545">
        <f>IF(Klantgegevens_B!I544&lt;&gt;"", Klantgegevens_B!I544, SWITCH(Klantgegevens_A!J544, "Zelden", 1, "Af en toe", 4, "Regelmatig", 8, "Vaak", 12))</f>
        <v/>
      </c>
      <c r="J545">
        <f>IF(Klantgegevens_B!J544&lt;&gt;"", Klantgegevens_B!J544, Klantgegevens_A!K544)</f>
        <v/>
      </c>
      <c r="K545">
        <f>IF(Klantgegevens_B!K544&lt;&gt;"", AVERAGE(--(Klantgegevens_B!K544="ja"), --(Klantgegevens_B!L544="ja"), --(Klantgegevens_B!M544="ja"), --(Klantgegevens_B!N544="ja"), --(Klantgegevens_B!O544="ja"))*10, Klantgegevens_A!L544)</f>
        <v/>
      </c>
      <c r="L545">
        <f>IF(Klantgegevens_B!K544&lt;&gt;"", Klantgegevens_B!K544, IF(Klantgegevens_A!L544&gt;=7, "ja", "nee"))</f>
        <v/>
      </c>
      <c r="M545">
        <f>IF(Klantgegevens_B!L544&lt;&gt;"", Klantgegevens_B!L544, IF(Klantgegevens_A!L544&gt;=7, "ja", "nee"))</f>
        <v/>
      </c>
      <c r="N545">
        <f>IF(Klantgegevens_B!M544&lt;&gt;"", Klantgegevens_B!M544, IF(Klantgegevens_A!L544&gt;=7, "ja", "nee"))</f>
        <v/>
      </c>
      <c r="O545">
        <f>IF(Klantgegevens_B!N544&lt;&gt;"", Klantgegevens_B!N544, IF(Klantgegevens_A!L544&gt;=7, "ja", "nee"))</f>
        <v/>
      </c>
      <c r="P545">
        <f>IF(Klantgegevens_B!O544&lt;&gt;"", Klantgegevens_B!O544, IF(Klantgegevens_A!L544&gt;=7, "ja", "nee"))</f>
        <v/>
      </c>
      <c r="Q545">
        <f>IF(Klantgegevens_B!P544&lt;&gt;"", Klantgegevens_B!P544, Klantgegevens_A!M544)</f>
        <v/>
      </c>
      <c r="R545">
        <f>IF(Klantgegevens_B!A544&lt;&gt;"", "B", "A")</f>
        <v/>
      </c>
    </row>
    <row r="546">
      <c r="A546">
        <f>IF(Klantgegevens_B!A545&lt;&gt;"", Klantgegevens_B!A545, MID(Klantgegevens_A!A545, FIND(",", Klantgegevens_A!A545)+2, LEN(Klantgegevens_A!A545)))</f>
        <v/>
      </c>
      <c r="B546">
        <f>IF(Klantgegevens_B!B545&lt;&gt;"", Klantgegevens_B!B545, LEFT(Klantgegevens_A!A545, FIND(",", Klantgegevens_A!A545)-1))</f>
        <v/>
      </c>
      <c r="C546">
        <f>C545 &amp; ", " &amp; B545</f>
        <v/>
      </c>
      <c r="D546">
        <f>IF(Klantgegevens_B!F545&lt;&gt;"", Klantgegevens_B!F545, Klantgegevens_A!D545 &amp; " " &amp; Klantgegevens_A!E545 &amp; ", " &amp; Klantgegevens_A!F545)</f>
        <v/>
      </c>
      <c r="E546">
        <f>IF(Klantgegevens_B!G545&lt;&gt;"", Klantgegevens_B!G545, TEXTJOIN(",", TRUE, REPT("Volwassene,", Klantgegevens_A!G545), REPT("Kind,", Klantgegevens_A!H545)))</f>
        <v/>
      </c>
      <c r="F546">
        <f>IF(Klantgegevens_B!G545&lt;&gt;"", LEN(Klantgegevens_B!G545)-LEN(SUBSTITUTE(Klantgegevens_B!G545, ",", ""))+1, Klantgegevens_A!G545)</f>
        <v/>
      </c>
      <c r="G546">
        <f>IF(Klantgegevens_B!G545&lt;&gt;"", 0, Klantgegevens_A!H545)</f>
        <v/>
      </c>
      <c r="H546">
        <f>IF(Klantgegevens_B!H545&lt;&gt;"", Klantgegevens_B!H545, Klantgegevens_A!I545)</f>
        <v/>
      </c>
      <c r="I546">
        <f>IF(Klantgegevens_B!I545&lt;&gt;"", Klantgegevens_B!I545, SWITCH(Klantgegevens_A!J545, "Zelden", 1, "Af en toe", 4, "Regelmatig", 8, "Vaak", 12))</f>
        <v/>
      </c>
      <c r="J546">
        <f>IF(Klantgegevens_B!J545&lt;&gt;"", Klantgegevens_B!J545, Klantgegevens_A!K545)</f>
        <v/>
      </c>
      <c r="K546">
        <f>IF(Klantgegevens_B!K545&lt;&gt;"", AVERAGE(--(Klantgegevens_B!K545="ja"), --(Klantgegevens_B!L545="ja"), --(Klantgegevens_B!M545="ja"), --(Klantgegevens_B!N545="ja"), --(Klantgegevens_B!O545="ja"))*10, Klantgegevens_A!L545)</f>
        <v/>
      </c>
      <c r="L546">
        <f>IF(Klantgegevens_B!K545&lt;&gt;"", Klantgegevens_B!K545, IF(Klantgegevens_A!L545&gt;=7, "ja", "nee"))</f>
        <v/>
      </c>
      <c r="M546">
        <f>IF(Klantgegevens_B!L545&lt;&gt;"", Klantgegevens_B!L545, IF(Klantgegevens_A!L545&gt;=7, "ja", "nee"))</f>
        <v/>
      </c>
      <c r="N546">
        <f>IF(Klantgegevens_B!M545&lt;&gt;"", Klantgegevens_B!M545, IF(Klantgegevens_A!L545&gt;=7, "ja", "nee"))</f>
        <v/>
      </c>
      <c r="O546">
        <f>IF(Klantgegevens_B!N545&lt;&gt;"", Klantgegevens_B!N545, IF(Klantgegevens_A!L545&gt;=7, "ja", "nee"))</f>
        <v/>
      </c>
      <c r="P546">
        <f>IF(Klantgegevens_B!O545&lt;&gt;"", Klantgegevens_B!O545, IF(Klantgegevens_A!L545&gt;=7, "ja", "nee"))</f>
        <v/>
      </c>
      <c r="Q546">
        <f>IF(Klantgegevens_B!P545&lt;&gt;"", Klantgegevens_B!P545, Klantgegevens_A!M545)</f>
        <v/>
      </c>
      <c r="R546">
        <f>IF(Klantgegevens_B!A545&lt;&gt;"", "B", "A")</f>
        <v/>
      </c>
    </row>
    <row r="547">
      <c r="A547">
        <f>IF(Klantgegevens_B!A546&lt;&gt;"", Klantgegevens_B!A546, MID(Klantgegevens_A!A546, FIND(",", Klantgegevens_A!A546)+2, LEN(Klantgegevens_A!A546)))</f>
        <v/>
      </c>
      <c r="B547">
        <f>IF(Klantgegevens_B!B546&lt;&gt;"", Klantgegevens_B!B546, LEFT(Klantgegevens_A!A546, FIND(",", Klantgegevens_A!A546)-1))</f>
        <v/>
      </c>
      <c r="C547">
        <f>C546 &amp; ", " &amp; B546</f>
        <v/>
      </c>
      <c r="D547">
        <f>IF(Klantgegevens_B!F546&lt;&gt;"", Klantgegevens_B!F546, Klantgegevens_A!D546 &amp; " " &amp; Klantgegevens_A!E546 &amp; ", " &amp; Klantgegevens_A!F546)</f>
        <v/>
      </c>
      <c r="E547">
        <f>IF(Klantgegevens_B!G546&lt;&gt;"", Klantgegevens_B!G546, TEXTJOIN(",", TRUE, REPT("Volwassene,", Klantgegevens_A!G546), REPT("Kind,", Klantgegevens_A!H546)))</f>
        <v/>
      </c>
      <c r="F547">
        <f>IF(Klantgegevens_B!G546&lt;&gt;"", LEN(Klantgegevens_B!G546)-LEN(SUBSTITUTE(Klantgegevens_B!G546, ",", ""))+1, Klantgegevens_A!G546)</f>
        <v/>
      </c>
      <c r="G547">
        <f>IF(Klantgegevens_B!G546&lt;&gt;"", 0, Klantgegevens_A!H546)</f>
        <v/>
      </c>
      <c r="H547">
        <f>IF(Klantgegevens_B!H546&lt;&gt;"", Klantgegevens_B!H546, Klantgegevens_A!I546)</f>
        <v/>
      </c>
      <c r="I547">
        <f>IF(Klantgegevens_B!I546&lt;&gt;"", Klantgegevens_B!I546, SWITCH(Klantgegevens_A!J546, "Zelden", 1, "Af en toe", 4, "Regelmatig", 8, "Vaak", 12))</f>
        <v/>
      </c>
      <c r="J547">
        <f>IF(Klantgegevens_B!J546&lt;&gt;"", Klantgegevens_B!J546, Klantgegevens_A!K546)</f>
        <v/>
      </c>
      <c r="K547">
        <f>IF(Klantgegevens_B!K546&lt;&gt;"", AVERAGE(--(Klantgegevens_B!K546="ja"), --(Klantgegevens_B!L546="ja"), --(Klantgegevens_B!M546="ja"), --(Klantgegevens_B!N546="ja"), --(Klantgegevens_B!O546="ja"))*10, Klantgegevens_A!L546)</f>
        <v/>
      </c>
      <c r="L547">
        <f>IF(Klantgegevens_B!K546&lt;&gt;"", Klantgegevens_B!K546, IF(Klantgegevens_A!L546&gt;=7, "ja", "nee"))</f>
        <v/>
      </c>
      <c r="M547">
        <f>IF(Klantgegevens_B!L546&lt;&gt;"", Klantgegevens_B!L546, IF(Klantgegevens_A!L546&gt;=7, "ja", "nee"))</f>
        <v/>
      </c>
      <c r="N547">
        <f>IF(Klantgegevens_B!M546&lt;&gt;"", Klantgegevens_B!M546, IF(Klantgegevens_A!L546&gt;=7, "ja", "nee"))</f>
        <v/>
      </c>
      <c r="O547">
        <f>IF(Klantgegevens_B!N546&lt;&gt;"", Klantgegevens_B!N546, IF(Klantgegevens_A!L546&gt;=7, "ja", "nee"))</f>
        <v/>
      </c>
      <c r="P547">
        <f>IF(Klantgegevens_B!O546&lt;&gt;"", Klantgegevens_B!O546, IF(Klantgegevens_A!L546&gt;=7, "ja", "nee"))</f>
        <v/>
      </c>
      <c r="Q547">
        <f>IF(Klantgegevens_B!P546&lt;&gt;"", Klantgegevens_B!P546, Klantgegevens_A!M546)</f>
        <v/>
      </c>
      <c r="R547">
        <f>IF(Klantgegevens_B!A546&lt;&gt;"", "B", "A")</f>
        <v/>
      </c>
    </row>
    <row r="548">
      <c r="A548">
        <f>IF(Klantgegevens_B!A547&lt;&gt;"", Klantgegevens_B!A547, MID(Klantgegevens_A!A547, FIND(",", Klantgegevens_A!A547)+2, LEN(Klantgegevens_A!A547)))</f>
        <v/>
      </c>
      <c r="B548">
        <f>IF(Klantgegevens_B!B547&lt;&gt;"", Klantgegevens_B!B547, LEFT(Klantgegevens_A!A547, FIND(",", Klantgegevens_A!A547)-1))</f>
        <v/>
      </c>
      <c r="C548">
        <f>C547 &amp; ", " &amp; B547</f>
        <v/>
      </c>
      <c r="D548">
        <f>IF(Klantgegevens_B!F547&lt;&gt;"", Klantgegevens_B!F547, Klantgegevens_A!D547 &amp; " " &amp; Klantgegevens_A!E547 &amp; ", " &amp; Klantgegevens_A!F547)</f>
        <v/>
      </c>
      <c r="E548">
        <f>IF(Klantgegevens_B!G547&lt;&gt;"", Klantgegevens_B!G547, TEXTJOIN(",", TRUE, REPT("Volwassene,", Klantgegevens_A!G547), REPT("Kind,", Klantgegevens_A!H547)))</f>
        <v/>
      </c>
      <c r="F548">
        <f>IF(Klantgegevens_B!G547&lt;&gt;"", LEN(Klantgegevens_B!G547)-LEN(SUBSTITUTE(Klantgegevens_B!G547, ",", ""))+1, Klantgegevens_A!G547)</f>
        <v/>
      </c>
      <c r="G548">
        <f>IF(Klantgegevens_B!G547&lt;&gt;"", 0, Klantgegevens_A!H547)</f>
        <v/>
      </c>
      <c r="H548">
        <f>IF(Klantgegevens_B!H547&lt;&gt;"", Klantgegevens_B!H547, Klantgegevens_A!I547)</f>
        <v/>
      </c>
      <c r="I548">
        <f>IF(Klantgegevens_B!I547&lt;&gt;"", Klantgegevens_B!I547, SWITCH(Klantgegevens_A!J547, "Zelden", 1, "Af en toe", 4, "Regelmatig", 8, "Vaak", 12))</f>
        <v/>
      </c>
      <c r="J548">
        <f>IF(Klantgegevens_B!J547&lt;&gt;"", Klantgegevens_B!J547, Klantgegevens_A!K547)</f>
        <v/>
      </c>
      <c r="K548">
        <f>IF(Klantgegevens_B!K547&lt;&gt;"", AVERAGE(--(Klantgegevens_B!K547="ja"), --(Klantgegevens_B!L547="ja"), --(Klantgegevens_B!M547="ja"), --(Klantgegevens_B!N547="ja"), --(Klantgegevens_B!O547="ja"))*10, Klantgegevens_A!L547)</f>
        <v/>
      </c>
      <c r="L548">
        <f>IF(Klantgegevens_B!K547&lt;&gt;"", Klantgegevens_B!K547, IF(Klantgegevens_A!L547&gt;=7, "ja", "nee"))</f>
        <v/>
      </c>
      <c r="M548">
        <f>IF(Klantgegevens_B!L547&lt;&gt;"", Klantgegevens_B!L547, IF(Klantgegevens_A!L547&gt;=7, "ja", "nee"))</f>
        <v/>
      </c>
      <c r="N548">
        <f>IF(Klantgegevens_B!M547&lt;&gt;"", Klantgegevens_B!M547, IF(Klantgegevens_A!L547&gt;=7, "ja", "nee"))</f>
        <v/>
      </c>
      <c r="O548">
        <f>IF(Klantgegevens_B!N547&lt;&gt;"", Klantgegevens_B!N547, IF(Klantgegevens_A!L547&gt;=7, "ja", "nee"))</f>
        <v/>
      </c>
      <c r="P548">
        <f>IF(Klantgegevens_B!O547&lt;&gt;"", Klantgegevens_B!O547, IF(Klantgegevens_A!L547&gt;=7, "ja", "nee"))</f>
        <v/>
      </c>
      <c r="Q548">
        <f>IF(Klantgegevens_B!P547&lt;&gt;"", Klantgegevens_B!P547, Klantgegevens_A!M547)</f>
        <v/>
      </c>
      <c r="R548">
        <f>IF(Klantgegevens_B!A547&lt;&gt;"", "B", "A")</f>
        <v/>
      </c>
    </row>
    <row r="549">
      <c r="A549">
        <f>IF(Klantgegevens_B!A548&lt;&gt;"", Klantgegevens_B!A548, MID(Klantgegevens_A!A548, FIND(",", Klantgegevens_A!A548)+2, LEN(Klantgegevens_A!A548)))</f>
        <v/>
      </c>
      <c r="B549">
        <f>IF(Klantgegevens_B!B548&lt;&gt;"", Klantgegevens_B!B548, LEFT(Klantgegevens_A!A548, FIND(",", Klantgegevens_A!A548)-1))</f>
        <v/>
      </c>
      <c r="C549">
        <f>C548 &amp; ", " &amp; B548</f>
        <v/>
      </c>
      <c r="D549">
        <f>IF(Klantgegevens_B!F548&lt;&gt;"", Klantgegevens_B!F548, Klantgegevens_A!D548 &amp; " " &amp; Klantgegevens_A!E548 &amp; ", " &amp; Klantgegevens_A!F548)</f>
        <v/>
      </c>
      <c r="E549">
        <f>IF(Klantgegevens_B!G548&lt;&gt;"", Klantgegevens_B!G548, TEXTJOIN(",", TRUE, REPT("Volwassene,", Klantgegevens_A!G548), REPT("Kind,", Klantgegevens_A!H548)))</f>
        <v/>
      </c>
      <c r="F549">
        <f>IF(Klantgegevens_B!G548&lt;&gt;"", LEN(Klantgegevens_B!G548)-LEN(SUBSTITUTE(Klantgegevens_B!G548, ",", ""))+1, Klantgegevens_A!G548)</f>
        <v/>
      </c>
      <c r="G549">
        <f>IF(Klantgegevens_B!G548&lt;&gt;"", 0, Klantgegevens_A!H548)</f>
        <v/>
      </c>
      <c r="H549">
        <f>IF(Klantgegevens_B!H548&lt;&gt;"", Klantgegevens_B!H548, Klantgegevens_A!I548)</f>
        <v/>
      </c>
      <c r="I549">
        <f>IF(Klantgegevens_B!I548&lt;&gt;"", Klantgegevens_B!I548, SWITCH(Klantgegevens_A!J548, "Zelden", 1, "Af en toe", 4, "Regelmatig", 8, "Vaak", 12))</f>
        <v/>
      </c>
      <c r="J549">
        <f>IF(Klantgegevens_B!J548&lt;&gt;"", Klantgegevens_B!J548, Klantgegevens_A!K548)</f>
        <v/>
      </c>
      <c r="K549">
        <f>IF(Klantgegevens_B!K548&lt;&gt;"", AVERAGE(--(Klantgegevens_B!K548="ja"), --(Klantgegevens_B!L548="ja"), --(Klantgegevens_B!M548="ja"), --(Klantgegevens_B!N548="ja"), --(Klantgegevens_B!O548="ja"))*10, Klantgegevens_A!L548)</f>
        <v/>
      </c>
      <c r="L549">
        <f>IF(Klantgegevens_B!K548&lt;&gt;"", Klantgegevens_B!K548, IF(Klantgegevens_A!L548&gt;=7, "ja", "nee"))</f>
        <v/>
      </c>
      <c r="M549">
        <f>IF(Klantgegevens_B!L548&lt;&gt;"", Klantgegevens_B!L548, IF(Klantgegevens_A!L548&gt;=7, "ja", "nee"))</f>
        <v/>
      </c>
      <c r="N549">
        <f>IF(Klantgegevens_B!M548&lt;&gt;"", Klantgegevens_B!M548, IF(Klantgegevens_A!L548&gt;=7, "ja", "nee"))</f>
        <v/>
      </c>
      <c r="O549">
        <f>IF(Klantgegevens_B!N548&lt;&gt;"", Klantgegevens_B!N548, IF(Klantgegevens_A!L548&gt;=7, "ja", "nee"))</f>
        <v/>
      </c>
      <c r="P549">
        <f>IF(Klantgegevens_B!O548&lt;&gt;"", Klantgegevens_B!O548, IF(Klantgegevens_A!L548&gt;=7, "ja", "nee"))</f>
        <v/>
      </c>
      <c r="Q549">
        <f>IF(Klantgegevens_B!P548&lt;&gt;"", Klantgegevens_B!P548, Klantgegevens_A!M548)</f>
        <v/>
      </c>
      <c r="R549">
        <f>IF(Klantgegevens_B!A548&lt;&gt;"", "B", "A")</f>
        <v/>
      </c>
    </row>
    <row r="550">
      <c r="A550">
        <f>IF(Klantgegevens_B!A549&lt;&gt;"", Klantgegevens_B!A549, MID(Klantgegevens_A!A549, FIND(",", Klantgegevens_A!A549)+2, LEN(Klantgegevens_A!A549)))</f>
        <v/>
      </c>
      <c r="B550">
        <f>IF(Klantgegevens_B!B549&lt;&gt;"", Klantgegevens_B!B549, LEFT(Klantgegevens_A!A549, FIND(",", Klantgegevens_A!A549)-1))</f>
        <v/>
      </c>
      <c r="C550">
        <f>C549 &amp; ", " &amp; B549</f>
        <v/>
      </c>
      <c r="D550">
        <f>IF(Klantgegevens_B!F549&lt;&gt;"", Klantgegevens_B!F549, Klantgegevens_A!D549 &amp; " " &amp; Klantgegevens_A!E549 &amp; ", " &amp; Klantgegevens_A!F549)</f>
        <v/>
      </c>
      <c r="E550">
        <f>IF(Klantgegevens_B!G549&lt;&gt;"", Klantgegevens_B!G549, TEXTJOIN(",", TRUE, REPT("Volwassene,", Klantgegevens_A!G549), REPT("Kind,", Klantgegevens_A!H549)))</f>
        <v/>
      </c>
      <c r="F550">
        <f>IF(Klantgegevens_B!G549&lt;&gt;"", LEN(Klantgegevens_B!G549)-LEN(SUBSTITUTE(Klantgegevens_B!G549, ",", ""))+1, Klantgegevens_A!G549)</f>
        <v/>
      </c>
      <c r="G550">
        <f>IF(Klantgegevens_B!G549&lt;&gt;"", 0, Klantgegevens_A!H549)</f>
        <v/>
      </c>
      <c r="H550">
        <f>IF(Klantgegevens_B!H549&lt;&gt;"", Klantgegevens_B!H549, Klantgegevens_A!I549)</f>
        <v/>
      </c>
      <c r="I550">
        <f>IF(Klantgegevens_B!I549&lt;&gt;"", Klantgegevens_B!I549, SWITCH(Klantgegevens_A!J549, "Zelden", 1, "Af en toe", 4, "Regelmatig", 8, "Vaak", 12))</f>
        <v/>
      </c>
      <c r="J550">
        <f>IF(Klantgegevens_B!J549&lt;&gt;"", Klantgegevens_B!J549, Klantgegevens_A!K549)</f>
        <v/>
      </c>
      <c r="K550">
        <f>IF(Klantgegevens_B!K549&lt;&gt;"", AVERAGE(--(Klantgegevens_B!K549="ja"), --(Klantgegevens_B!L549="ja"), --(Klantgegevens_B!M549="ja"), --(Klantgegevens_B!N549="ja"), --(Klantgegevens_B!O549="ja"))*10, Klantgegevens_A!L549)</f>
        <v/>
      </c>
      <c r="L550">
        <f>IF(Klantgegevens_B!K549&lt;&gt;"", Klantgegevens_B!K549, IF(Klantgegevens_A!L549&gt;=7, "ja", "nee"))</f>
        <v/>
      </c>
      <c r="M550">
        <f>IF(Klantgegevens_B!L549&lt;&gt;"", Klantgegevens_B!L549, IF(Klantgegevens_A!L549&gt;=7, "ja", "nee"))</f>
        <v/>
      </c>
      <c r="N550">
        <f>IF(Klantgegevens_B!M549&lt;&gt;"", Klantgegevens_B!M549, IF(Klantgegevens_A!L549&gt;=7, "ja", "nee"))</f>
        <v/>
      </c>
      <c r="O550">
        <f>IF(Klantgegevens_B!N549&lt;&gt;"", Klantgegevens_B!N549, IF(Klantgegevens_A!L549&gt;=7, "ja", "nee"))</f>
        <v/>
      </c>
      <c r="P550">
        <f>IF(Klantgegevens_B!O549&lt;&gt;"", Klantgegevens_B!O549, IF(Klantgegevens_A!L549&gt;=7, "ja", "nee"))</f>
        <v/>
      </c>
      <c r="Q550">
        <f>IF(Klantgegevens_B!P549&lt;&gt;"", Klantgegevens_B!P549, Klantgegevens_A!M549)</f>
        <v/>
      </c>
      <c r="R550">
        <f>IF(Klantgegevens_B!A549&lt;&gt;"", "B", "A")</f>
        <v/>
      </c>
    </row>
    <row r="551">
      <c r="A551">
        <f>IF(Klantgegevens_B!A550&lt;&gt;"", Klantgegevens_B!A550, MID(Klantgegevens_A!A550, FIND(",", Klantgegevens_A!A550)+2, LEN(Klantgegevens_A!A550)))</f>
        <v/>
      </c>
      <c r="B551">
        <f>IF(Klantgegevens_B!B550&lt;&gt;"", Klantgegevens_B!B550, LEFT(Klantgegevens_A!A550, FIND(",", Klantgegevens_A!A550)-1))</f>
        <v/>
      </c>
      <c r="C551">
        <f>C550 &amp; ", " &amp; B550</f>
        <v/>
      </c>
      <c r="D551">
        <f>IF(Klantgegevens_B!F550&lt;&gt;"", Klantgegevens_B!F550, Klantgegevens_A!D550 &amp; " " &amp; Klantgegevens_A!E550 &amp; ", " &amp; Klantgegevens_A!F550)</f>
        <v/>
      </c>
      <c r="E551">
        <f>IF(Klantgegevens_B!G550&lt;&gt;"", Klantgegevens_B!G550, TEXTJOIN(",", TRUE, REPT("Volwassene,", Klantgegevens_A!G550), REPT("Kind,", Klantgegevens_A!H550)))</f>
        <v/>
      </c>
      <c r="F551">
        <f>IF(Klantgegevens_B!G550&lt;&gt;"", LEN(Klantgegevens_B!G550)-LEN(SUBSTITUTE(Klantgegevens_B!G550, ",", ""))+1, Klantgegevens_A!G550)</f>
        <v/>
      </c>
      <c r="G551">
        <f>IF(Klantgegevens_B!G550&lt;&gt;"", 0, Klantgegevens_A!H550)</f>
        <v/>
      </c>
      <c r="H551">
        <f>IF(Klantgegevens_B!H550&lt;&gt;"", Klantgegevens_B!H550, Klantgegevens_A!I550)</f>
        <v/>
      </c>
      <c r="I551">
        <f>IF(Klantgegevens_B!I550&lt;&gt;"", Klantgegevens_B!I550, SWITCH(Klantgegevens_A!J550, "Zelden", 1, "Af en toe", 4, "Regelmatig", 8, "Vaak", 12))</f>
        <v/>
      </c>
      <c r="J551">
        <f>IF(Klantgegevens_B!J550&lt;&gt;"", Klantgegevens_B!J550, Klantgegevens_A!K550)</f>
        <v/>
      </c>
      <c r="K551">
        <f>IF(Klantgegevens_B!K550&lt;&gt;"", AVERAGE(--(Klantgegevens_B!K550="ja"), --(Klantgegevens_B!L550="ja"), --(Klantgegevens_B!M550="ja"), --(Klantgegevens_B!N550="ja"), --(Klantgegevens_B!O550="ja"))*10, Klantgegevens_A!L550)</f>
        <v/>
      </c>
      <c r="L551">
        <f>IF(Klantgegevens_B!K550&lt;&gt;"", Klantgegevens_B!K550, IF(Klantgegevens_A!L550&gt;=7, "ja", "nee"))</f>
        <v/>
      </c>
      <c r="M551">
        <f>IF(Klantgegevens_B!L550&lt;&gt;"", Klantgegevens_B!L550, IF(Klantgegevens_A!L550&gt;=7, "ja", "nee"))</f>
        <v/>
      </c>
      <c r="N551">
        <f>IF(Klantgegevens_B!M550&lt;&gt;"", Klantgegevens_B!M550, IF(Klantgegevens_A!L550&gt;=7, "ja", "nee"))</f>
        <v/>
      </c>
      <c r="O551">
        <f>IF(Klantgegevens_B!N550&lt;&gt;"", Klantgegevens_B!N550, IF(Klantgegevens_A!L550&gt;=7, "ja", "nee"))</f>
        <v/>
      </c>
      <c r="P551">
        <f>IF(Klantgegevens_B!O550&lt;&gt;"", Klantgegevens_B!O550, IF(Klantgegevens_A!L550&gt;=7, "ja", "nee"))</f>
        <v/>
      </c>
      <c r="Q551">
        <f>IF(Klantgegevens_B!P550&lt;&gt;"", Klantgegevens_B!P550, Klantgegevens_A!M550)</f>
        <v/>
      </c>
      <c r="R551">
        <f>IF(Klantgegevens_B!A550&lt;&gt;"", "B", "A")</f>
        <v/>
      </c>
    </row>
    <row r="552">
      <c r="A552">
        <f>IF(Klantgegevens_B!A551&lt;&gt;"", Klantgegevens_B!A551, MID(Klantgegevens_A!A551, FIND(",", Klantgegevens_A!A551)+2, LEN(Klantgegevens_A!A551)))</f>
        <v/>
      </c>
      <c r="B552">
        <f>IF(Klantgegevens_B!B551&lt;&gt;"", Klantgegevens_B!B551, LEFT(Klantgegevens_A!A551, FIND(",", Klantgegevens_A!A551)-1))</f>
        <v/>
      </c>
      <c r="C552">
        <f>C551 &amp; ", " &amp; B551</f>
        <v/>
      </c>
      <c r="D552">
        <f>IF(Klantgegevens_B!F551&lt;&gt;"", Klantgegevens_B!F551, Klantgegevens_A!D551 &amp; " " &amp; Klantgegevens_A!E551 &amp; ", " &amp; Klantgegevens_A!F551)</f>
        <v/>
      </c>
      <c r="E552">
        <f>IF(Klantgegevens_B!G551&lt;&gt;"", Klantgegevens_B!G551, TEXTJOIN(",", TRUE, REPT("Volwassene,", Klantgegevens_A!G551), REPT("Kind,", Klantgegevens_A!H551)))</f>
        <v/>
      </c>
      <c r="F552">
        <f>IF(Klantgegevens_B!G551&lt;&gt;"", LEN(Klantgegevens_B!G551)-LEN(SUBSTITUTE(Klantgegevens_B!G551, ",", ""))+1, Klantgegevens_A!G551)</f>
        <v/>
      </c>
      <c r="G552">
        <f>IF(Klantgegevens_B!G551&lt;&gt;"", 0, Klantgegevens_A!H551)</f>
        <v/>
      </c>
      <c r="H552">
        <f>IF(Klantgegevens_B!H551&lt;&gt;"", Klantgegevens_B!H551, Klantgegevens_A!I551)</f>
        <v/>
      </c>
      <c r="I552">
        <f>IF(Klantgegevens_B!I551&lt;&gt;"", Klantgegevens_B!I551, SWITCH(Klantgegevens_A!J551, "Zelden", 1, "Af en toe", 4, "Regelmatig", 8, "Vaak", 12))</f>
        <v/>
      </c>
      <c r="J552">
        <f>IF(Klantgegevens_B!J551&lt;&gt;"", Klantgegevens_B!J551, Klantgegevens_A!K551)</f>
        <v/>
      </c>
      <c r="K552">
        <f>IF(Klantgegevens_B!K551&lt;&gt;"", AVERAGE(--(Klantgegevens_B!K551="ja"), --(Klantgegevens_B!L551="ja"), --(Klantgegevens_B!M551="ja"), --(Klantgegevens_B!N551="ja"), --(Klantgegevens_B!O551="ja"))*10, Klantgegevens_A!L551)</f>
        <v/>
      </c>
      <c r="L552">
        <f>IF(Klantgegevens_B!K551&lt;&gt;"", Klantgegevens_B!K551, IF(Klantgegevens_A!L551&gt;=7, "ja", "nee"))</f>
        <v/>
      </c>
      <c r="M552">
        <f>IF(Klantgegevens_B!L551&lt;&gt;"", Klantgegevens_B!L551, IF(Klantgegevens_A!L551&gt;=7, "ja", "nee"))</f>
        <v/>
      </c>
      <c r="N552">
        <f>IF(Klantgegevens_B!M551&lt;&gt;"", Klantgegevens_B!M551, IF(Klantgegevens_A!L551&gt;=7, "ja", "nee"))</f>
        <v/>
      </c>
      <c r="O552">
        <f>IF(Klantgegevens_B!N551&lt;&gt;"", Klantgegevens_B!N551, IF(Klantgegevens_A!L551&gt;=7, "ja", "nee"))</f>
        <v/>
      </c>
      <c r="P552">
        <f>IF(Klantgegevens_B!O551&lt;&gt;"", Klantgegevens_B!O551, IF(Klantgegevens_A!L551&gt;=7, "ja", "nee"))</f>
        <v/>
      </c>
      <c r="Q552">
        <f>IF(Klantgegevens_B!P551&lt;&gt;"", Klantgegevens_B!P551, Klantgegevens_A!M551)</f>
        <v/>
      </c>
      <c r="R552">
        <f>IF(Klantgegevens_B!A551&lt;&gt;"", "B", "A")</f>
        <v/>
      </c>
    </row>
    <row r="553">
      <c r="A553">
        <f>IF(Klantgegevens_B!A552&lt;&gt;"", Klantgegevens_B!A552, MID(Klantgegevens_A!A552, FIND(",", Klantgegevens_A!A552)+2, LEN(Klantgegevens_A!A552)))</f>
        <v/>
      </c>
      <c r="B553">
        <f>IF(Klantgegevens_B!B552&lt;&gt;"", Klantgegevens_B!B552, LEFT(Klantgegevens_A!A552, FIND(",", Klantgegevens_A!A552)-1))</f>
        <v/>
      </c>
      <c r="C553">
        <f>C552 &amp; ", " &amp; B552</f>
        <v/>
      </c>
      <c r="D553">
        <f>IF(Klantgegevens_B!F552&lt;&gt;"", Klantgegevens_B!F552, Klantgegevens_A!D552 &amp; " " &amp; Klantgegevens_A!E552 &amp; ", " &amp; Klantgegevens_A!F552)</f>
        <v/>
      </c>
      <c r="E553">
        <f>IF(Klantgegevens_B!G552&lt;&gt;"", Klantgegevens_B!G552, TEXTJOIN(",", TRUE, REPT("Volwassene,", Klantgegevens_A!G552), REPT("Kind,", Klantgegevens_A!H552)))</f>
        <v/>
      </c>
      <c r="F553">
        <f>IF(Klantgegevens_B!G552&lt;&gt;"", LEN(Klantgegevens_B!G552)-LEN(SUBSTITUTE(Klantgegevens_B!G552, ",", ""))+1, Klantgegevens_A!G552)</f>
        <v/>
      </c>
      <c r="G553">
        <f>IF(Klantgegevens_B!G552&lt;&gt;"", 0, Klantgegevens_A!H552)</f>
        <v/>
      </c>
      <c r="H553">
        <f>IF(Klantgegevens_B!H552&lt;&gt;"", Klantgegevens_B!H552, Klantgegevens_A!I552)</f>
        <v/>
      </c>
      <c r="I553">
        <f>IF(Klantgegevens_B!I552&lt;&gt;"", Klantgegevens_B!I552, SWITCH(Klantgegevens_A!J552, "Zelden", 1, "Af en toe", 4, "Regelmatig", 8, "Vaak", 12))</f>
        <v/>
      </c>
      <c r="J553">
        <f>IF(Klantgegevens_B!J552&lt;&gt;"", Klantgegevens_B!J552, Klantgegevens_A!K552)</f>
        <v/>
      </c>
      <c r="K553">
        <f>IF(Klantgegevens_B!K552&lt;&gt;"", AVERAGE(--(Klantgegevens_B!K552="ja"), --(Klantgegevens_B!L552="ja"), --(Klantgegevens_B!M552="ja"), --(Klantgegevens_B!N552="ja"), --(Klantgegevens_B!O552="ja"))*10, Klantgegevens_A!L552)</f>
        <v/>
      </c>
      <c r="L553">
        <f>IF(Klantgegevens_B!K552&lt;&gt;"", Klantgegevens_B!K552, IF(Klantgegevens_A!L552&gt;=7, "ja", "nee"))</f>
        <v/>
      </c>
      <c r="M553">
        <f>IF(Klantgegevens_B!L552&lt;&gt;"", Klantgegevens_B!L552, IF(Klantgegevens_A!L552&gt;=7, "ja", "nee"))</f>
        <v/>
      </c>
      <c r="N553">
        <f>IF(Klantgegevens_B!M552&lt;&gt;"", Klantgegevens_B!M552, IF(Klantgegevens_A!L552&gt;=7, "ja", "nee"))</f>
        <v/>
      </c>
      <c r="O553">
        <f>IF(Klantgegevens_B!N552&lt;&gt;"", Klantgegevens_B!N552, IF(Klantgegevens_A!L552&gt;=7, "ja", "nee"))</f>
        <v/>
      </c>
      <c r="P553">
        <f>IF(Klantgegevens_B!O552&lt;&gt;"", Klantgegevens_B!O552, IF(Klantgegevens_A!L552&gt;=7, "ja", "nee"))</f>
        <v/>
      </c>
      <c r="Q553">
        <f>IF(Klantgegevens_B!P552&lt;&gt;"", Klantgegevens_B!P552, Klantgegevens_A!M552)</f>
        <v/>
      </c>
      <c r="R553">
        <f>IF(Klantgegevens_B!A552&lt;&gt;"", "B", "A")</f>
        <v/>
      </c>
    </row>
    <row r="554">
      <c r="A554">
        <f>IF(Klantgegevens_B!A553&lt;&gt;"", Klantgegevens_B!A553, MID(Klantgegevens_A!A553, FIND(",", Klantgegevens_A!A553)+2, LEN(Klantgegevens_A!A553)))</f>
        <v/>
      </c>
      <c r="B554">
        <f>IF(Klantgegevens_B!B553&lt;&gt;"", Klantgegevens_B!B553, LEFT(Klantgegevens_A!A553, FIND(",", Klantgegevens_A!A553)-1))</f>
        <v/>
      </c>
      <c r="C554">
        <f>C553 &amp; ", " &amp; B553</f>
        <v/>
      </c>
      <c r="D554">
        <f>IF(Klantgegevens_B!F553&lt;&gt;"", Klantgegevens_B!F553, Klantgegevens_A!D553 &amp; " " &amp; Klantgegevens_A!E553 &amp; ", " &amp; Klantgegevens_A!F553)</f>
        <v/>
      </c>
      <c r="E554">
        <f>IF(Klantgegevens_B!G553&lt;&gt;"", Klantgegevens_B!G553, TEXTJOIN(",", TRUE, REPT("Volwassene,", Klantgegevens_A!G553), REPT("Kind,", Klantgegevens_A!H553)))</f>
        <v/>
      </c>
      <c r="F554">
        <f>IF(Klantgegevens_B!G553&lt;&gt;"", LEN(Klantgegevens_B!G553)-LEN(SUBSTITUTE(Klantgegevens_B!G553, ",", ""))+1, Klantgegevens_A!G553)</f>
        <v/>
      </c>
      <c r="G554">
        <f>IF(Klantgegevens_B!G553&lt;&gt;"", 0, Klantgegevens_A!H553)</f>
        <v/>
      </c>
      <c r="H554">
        <f>IF(Klantgegevens_B!H553&lt;&gt;"", Klantgegevens_B!H553, Klantgegevens_A!I553)</f>
        <v/>
      </c>
      <c r="I554">
        <f>IF(Klantgegevens_B!I553&lt;&gt;"", Klantgegevens_B!I553, SWITCH(Klantgegevens_A!J553, "Zelden", 1, "Af en toe", 4, "Regelmatig", 8, "Vaak", 12))</f>
        <v/>
      </c>
      <c r="J554">
        <f>IF(Klantgegevens_B!J553&lt;&gt;"", Klantgegevens_B!J553, Klantgegevens_A!K553)</f>
        <v/>
      </c>
      <c r="K554">
        <f>IF(Klantgegevens_B!K553&lt;&gt;"", AVERAGE(--(Klantgegevens_B!K553="ja"), --(Klantgegevens_B!L553="ja"), --(Klantgegevens_B!M553="ja"), --(Klantgegevens_B!N553="ja"), --(Klantgegevens_B!O553="ja"))*10, Klantgegevens_A!L553)</f>
        <v/>
      </c>
      <c r="L554">
        <f>IF(Klantgegevens_B!K553&lt;&gt;"", Klantgegevens_B!K553, IF(Klantgegevens_A!L553&gt;=7, "ja", "nee"))</f>
        <v/>
      </c>
      <c r="M554">
        <f>IF(Klantgegevens_B!L553&lt;&gt;"", Klantgegevens_B!L553, IF(Klantgegevens_A!L553&gt;=7, "ja", "nee"))</f>
        <v/>
      </c>
      <c r="N554">
        <f>IF(Klantgegevens_B!M553&lt;&gt;"", Klantgegevens_B!M553, IF(Klantgegevens_A!L553&gt;=7, "ja", "nee"))</f>
        <v/>
      </c>
      <c r="O554">
        <f>IF(Klantgegevens_B!N553&lt;&gt;"", Klantgegevens_B!N553, IF(Klantgegevens_A!L553&gt;=7, "ja", "nee"))</f>
        <v/>
      </c>
      <c r="P554">
        <f>IF(Klantgegevens_B!O553&lt;&gt;"", Klantgegevens_B!O553, IF(Klantgegevens_A!L553&gt;=7, "ja", "nee"))</f>
        <v/>
      </c>
      <c r="Q554">
        <f>IF(Klantgegevens_B!P553&lt;&gt;"", Klantgegevens_B!P553, Klantgegevens_A!M553)</f>
        <v/>
      </c>
      <c r="R554">
        <f>IF(Klantgegevens_B!A553&lt;&gt;"", "B", "A")</f>
        <v/>
      </c>
    </row>
    <row r="555">
      <c r="A555">
        <f>IF(Klantgegevens_B!A554&lt;&gt;"", Klantgegevens_B!A554, MID(Klantgegevens_A!A554, FIND(",", Klantgegevens_A!A554)+2, LEN(Klantgegevens_A!A554)))</f>
        <v/>
      </c>
      <c r="B555">
        <f>IF(Klantgegevens_B!B554&lt;&gt;"", Klantgegevens_B!B554, LEFT(Klantgegevens_A!A554, FIND(",", Klantgegevens_A!A554)-1))</f>
        <v/>
      </c>
      <c r="C555">
        <f>C554 &amp; ", " &amp; B554</f>
        <v/>
      </c>
      <c r="D555">
        <f>IF(Klantgegevens_B!F554&lt;&gt;"", Klantgegevens_B!F554, Klantgegevens_A!D554 &amp; " " &amp; Klantgegevens_A!E554 &amp; ", " &amp; Klantgegevens_A!F554)</f>
        <v/>
      </c>
      <c r="E555">
        <f>IF(Klantgegevens_B!G554&lt;&gt;"", Klantgegevens_B!G554, TEXTJOIN(",", TRUE, REPT("Volwassene,", Klantgegevens_A!G554), REPT("Kind,", Klantgegevens_A!H554)))</f>
        <v/>
      </c>
      <c r="F555">
        <f>IF(Klantgegevens_B!G554&lt;&gt;"", LEN(Klantgegevens_B!G554)-LEN(SUBSTITUTE(Klantgegevens_B!G554, ",", ""))+1, Klantgegevens_A!G554)</f>
        <v/>
      </c>
      <c r="G555">
        <f>IF(Klantgegevens_B!G554&lt;&gt;"", 0, Klantgegevens_A!H554)</f>
        <v/>
      </c>
      <c r="H555">
        <f>IF(Klantgegevens_B!H554&lt;&gt;"", Klantgegevens_B!H554, Klantgegevens_A!I554)</f>
        <v/>
      </c>
      <c r="I555">
        <f>IF(Klantgegevens_B!I554&lt;&gt;"", Klantgegevens_B!I554, SWITCH(Klantgegevens_A!J554, "Zelden", 1, "Af en toe", 4, "Regelmatig", 8, "Vaak", 12))</f>
        <v/>
      </c>
      <c r="J555">
        <f>IF(Klantgegevens_B!J554&lt;&gt;"", Klantgegevens_B!J554, Klantgegevens_A!K554)</f>
        <v/>
      </c>
      <c r="K555">
        <f>IF(Klantgegevens_B!K554&lt;&gt;"", AVERAGE(--(Klantgegevens_B!K554="ja"), --(Klantgegevens_B!L554="ja"), --(Klantgegevens_B!M554="ja"), --(Klantgegevens_B!N554="ja"), --(Klantgegevens_B!O554="ja"))*10, Klantgegevens_A!L554)</f>
        <v/>
      </c>
      <c r="L555">
        <f>IF(Klantgegevens_B!K554&lt;&gt;"", Klantgegevens_B!K554, IF(Klantgegevens_A!L554&gt;=7, "ja", "nee"))</f>
        <v/>
      </c>
      <c r="M555">
        <f>IF(Klantgegevens_B!L554&lt;&gt;"", Klantgegevens_B!L554, IF(Klantgegevens_A!L554&gt;=7, "ja", "nee"))</f>
        <v/>
      </c>
      <c r="N555">
        <f>IF(Klantgegevens_B!M554&lt;&gt;"", Klantgegevens_B!M554, IF(Klantgegevens_A!L554&gt;=7, "ja", "nee"))</f>
        <v/>
      </c>
      <c r="O555">
        <f>IF(Klantgegevens_B!N554&lt;&gt;"", Klantgegevens_B!N554, IF(Klantgegevens_A!L554&gt;=7, "ja", "nee"))</f>
        <v/>
      </c>
      <c r="P555">
        <f>IF(Klantgegevens_B!O554&lt;&gt;"", Klantgegevens_B!O554, IF(Klantgegevens_A!L554&gt;=7, "ja", "nee"))</f>
        <v/>
      </c>
      <c r="Q555">
        <f>IF(Klantgegevens_B!P554&lt;&gt;"", Klantgegevens_B!P554, Klantgegevens_A!M554)</f>
        <v/>
      </c>
      <c r="R555">
        <f>IF(Klantgegevens_B!A554&lt;&gt;"", "B", "A")</f>
        <v/>
      </c>
    </row>
    <row r="556">
      <c r="A556">
        <f>IF(Klantgegevens_B!A555&lt;&gt;"", Klantgegevens_B!A555, MID(Klantgegevens_A!A555, FIND(",", Klantgegevens_A!A555)+2, LEN(Klantgegevens_A!A555)))</f>
        <v/>
      </c>
      <c r="B556">
        <f>IF(Klantgegevens_B!B555&lt;&gt;"", Klantgegevens_B!B555, LEFT(Klantgegevens_A!A555, FIND(",", Klantgegevens_A!A555)-1))</f>
        <v/>
      </c>
      <c r="C556">
        <f>C555 &amp; ", " &amp; B555</f>
        <v/>
      </c>
      <c r="D556">
        <f>IF(Klantgegevens_B!F555&lt;&gt;"", Klantgegevens_B!F555, Klantgegevens_A!D555 &amp; " " &amp; Klantgegevens_A!E555 &amp; ", " &amp; Klantgegevens_A!F555)</f>
        <v/>
      </c>
      <c r="E556">
        <f>IF(Klantgegevens_B!G555&lt;&gt;"", Klantgegevens_B!G555, TEXTJOIN(",", TRUE, REPT("Volwassene,", Klantgegevens_A!G555), REPT("Kind,", Klantgegevens_A!H555)))</f>
        <v/>
      </c>
      <c r="F556">
        <f>IF(Klantgegevens_B!G555&lt;&gt;"", LEN(Klantgegevens_B!G555)-LEN(SUBSTITUTE(Klantgegevens_B!G555, ",", ""))+1, Klantgegevens_A!G555)</f>
        <v/>
      </c>
      <c r="G556">
        <f>IF(Klantgegevens_B!G555&lt;&gt;"", 0, Klantgegevens_A!H555)</f>
        <v/>
      </c>
      <c r="H556">
        <f>IF(Klantgegevens_B!H555&lt;&gt;"", Klantgegevens_B!H555, Klantgegevens_A!I555)</f>
        <v/>
      </c>
      <c r="I556">
        <f>IF(Klantgegevens_B!I555&lt;&gt;"", Klantgegevens_B!I555, SWITCH(Klantgegevens_A!J555, "Zelden", 1, "Af en toe", 4, "Regelmatig", 8, "Vaak", 12))</f>
        <v/>
      </c>
      <c r="J556">
        <f>IF(Klantgegevens_B!J555&lt;&gt;"", Klantgegevens_B!J555, Klantgegevens_A!K555)</f>
        <v/>
      </c>
      <c r="K556">
        <f>IF(Klantgegevens_B!K555&lt;&gt;"", AVERAGE(--(Klantgegevens_B!K555="ja"), --(Klantgegevens_B!L555="ja"), --(Klantgegevens_B!M555="ja"), --(Klantgegevens_B!N555="ja"), --(Klantgegevens_B!O555="ja"))*10, Klantgegevens_A!L555)</f>
        <v/>
      </c>
      <c r="L556">
        <f>IF(Klantgegevens_B!K555&lt;&gt;"", Klantgegevens_B!K555, IF(Klantgegevens_A!L555&gt;=7, "ja", "nee"))</f>
        <v/>
      </c>
      <c r="M556">
        <f>IF(Klantgegevens_B!L555&lt;&gt;"", Klantgegevens_B!L555, IF(Klantgegevens_A!L555&gt;=7, "ja", "nee"))</f>
        <v/>
      </c>
      <c r="N556">
        <f>IF(Klantgegevens_B!M555&lt;&gt;"", Klantgegevens_B!M555, IF(Klantgegevens_A!L555&gt;=7, "ja", "nee"))</f>
        <v/>
      </c>
      <c r="O556">
        <f>IF(Klantgegevens_B!N555&lt;&gt;"", Klantgegevens_B!N555, IF(Klantgegevens_A!L555&gt;=7, "ja", "nee"))</f>
        <v/>
      </c>
      <c r="P556">
        <f>IF(Klantgegevens_B!O555&lt;&gt;"", Klantgegevens_B!O555, IF(Klantgegevens_A!L555&gt;=7, "ja", "nee"))</f>
        <v/>
      </c>
      <c r="Q556">
        <f>IF(Klantgegevens_B!P555&lt;&gt;"", Klantgegevens_B!P555, Klantgegevens_A!M555)</f>
        <v/>
      </c>
      <c r="R556">
        <f>IF(Klantgegevens_B!A555&lt;&gt;"", "B", "A")</f>
        <v/>
      </c>
    </row>
    <row r="557">
      <c r="A557">
        <f>IF(Klantgegevens_B!A556&lt;&gt;"", Klantgegevens_B!A556, MID(Klantgegevens_A!A556, FIND(",", Klantgegevens_A!A556)+2, LEN(Klantgegevens_A!A556)))</f>
        <v/>
      </c>
      <c r="B557">
        <f>IF(Klantgegevens_B!B556&lt;&gt;"", Klantgegevens_B!B556, LEFT(Klantgegevens_A!A556, FIND(",", Klantgegevens_A!A556)-1))</f>
        <v/>
      </c>
      <c r="C557">
        <f>C556 &amp; ", " &amp; B556</f>
        <v/>
      </c>
      <c r="D557">
        <f>IF(Klantgegevens_B!F556&lt;&gt;"", Klantgegevens_B!F556, Klantgegevens_A!D556 &amp; " " &amp; Klantgegevens_A!E556 &amp; ", " &amp; Klantgegevens_A!F556)</f>
        <v/>
      </c>
      <c r="E557">
        <f>IF(Klantgegevens_B!G556&lt;&gt;"", Klantgegevens_B!G556, TEXTJOIN(",", TRUE, REPT("Volwassene,", Klantgegevens_A!G556), REPT("Kind,", Klantgegevens_A!H556)))</f>
        <v/>
      </c>
      <c r="F557">
        <f>IF(Klantgegevens_B!G556&lt;&gt;"", LEN(Klantgegevens_B!G556)-LEN(SUBSTITUTE(Klantgegevens_B!G556, ",", ""))+1, Klantgegevens_A!G556)</f>
        <v/>
      </c>
      <c r="G557">
        <f>IF(Klantgegevens_B!G556&lt;&gt;"", 0, Klantgegevens_A!H556)</f>
        <v/>
      </c>
      <c r="H557">
        <f>IF(Klantgegevens_B!H556&lt;&gt;"", Klantgegevens_B!H556, Klantgegevens_A!I556)</f>
        <v/>
      </c>
      <c r="I557">
        <f>IF(Klantgegevens_B!I556&lt;&gt;"", Klantgegevens_B!I556, SWITCH(Klantgegevens_A!J556, "Zelden", 1, "Af en toe", 4, "Regelmatig", 8, "Vaak", 12))</f>
        <v/>
      </c>
      <c r="J557">
        <f>IF(Klantgegevens_B!J556&lt;&gt;"", Klantgegevens_B!J556, Klantgegevens_A!K556)</f>
        <v/>
      </c>
      <c r="K557">
        <f>IF(Klantgegevens_B!K556&lt;&gt;"", AVERAGE(--(Klantgegevens_B!K556="ja"), --(Klantgegevens_B!L556="ja"), --(Klantgegevens_B!M556="ja"), --(Klantgegevens_B!N556="ja"), --(Klantgegevens_B!O556="ja"))*10, Klantgegevens_A!L556)</f>
        <v/>
      </c>
      <c r="L557">
        <f>IF(Klantgegevens_B!K556&lt;&gt;"", Klantgegevens_B!K556, IF(Klantgegevens_A!L556&gt;=7, "ja", "nee"))</f>
        <v/>
      </c>
      <c r="M557">
        <f>IF(Klantgegevens_B!L556&lt;&gt;"", Klantgegevens_B!L556, IF(Klantgegevens_A!L556&gt;=7, "ja", "nee"))</f>
        <v/>
      </c>
      <c r="N557">
        <f>IF(Klantgegevens_B!M556&lt;&gt;"", Klantgegevens_B!M556, IF(Klantgegevens_A!L556&gt;=7, "ja", "nee"))</f>
        <v/>
      </c>
      <c r="O557">
        <f>IF(Klantgegevens_B!N556&lt;&gt;"", Klantgegevens_B!N556, IF(Klantgegevens_A!L556&gt;=7, "ja", "nee"))</f>
        <v/>
      </c>
      <c r="P557">
        <f>IF(Klantgegevens_B!O556&lt;&gt;"", Klantgegevens_B!O556, IF(Klantgegevens_A!L556&gt;=7, "ja", "nee"))</f>
        <v/>
      </c>
      <c r="Q557">
        <f>IF(Klantgegevens_B!P556&lt;&gt;"", Klantgegevens_B!P556, Klantgegevens_A!M556)</f>
        <v/>
      </c>
      <c r="R557">
        <f>IF(Klantgegevens_B!A556&lt;&gt;"", "B", "A")</f>
        <v/>
      </c>
    </row>
    <row r="558">
      <c r="A558">
        <f>IF(Klantgegevens_B!A557&lt;&gt;"", Klantgegevens_B!A557, MID(Klantgegevens_A!A557, FIND(",", Klantgegevens_A!A557)+2, LEN(Klantgegevens_A!A557)))</f>
        <v/>
      </c>
      <c r="B558">
        <f>IF(Klantgegevens_B!B557&lt;&gt;"", Klantgegevens_B!B557, LEFT(Klantgegevens_A!A557, FIND(",", Klantgegevens_A!A557)-1))</f>
        <v/>
      </c>
      <c r="C558">
        <f>C557 &amp; ", " &amp; B557</f>
        <v/>
      </c>
      <c r="D558">
        <f>IF(Klantgegevens_B!F557&lt;&gt;"", Klantgegevens_B!F557, Klantgegevens_A!D557 &amp; " " &amp; Klantgegevens_A!E557 &amp; ", " &amp; Klantgegevens_A!F557)</f>
        <v/>
      </c>
      <c r="E558">
        <f>IF(Klantgegevens_B!G557&lt;&gt;"", Klantgegevens_B!G557, TEXTJOIN(",", TRUE, REPT("Volwassene,", Klantgegevens_A!G557), REPT("Kind,", Klantgegevens_A!H557)))</f>
        <v/>
      </c>
      <c r="F558">
        <f>IF(Klantgegevens_B!G557&lt;&gt;"", LEN(Klantgegevens_B!G557)-LEN(SUBSTITUTE(Klantgegevens_B!G557, ",", ""))+1, Klantgegevens_A!G557)</f>
        <v/>
      </c>
      <c r="G558">
        <f>IF(Klantgegevens_B!G557&lt;&gt;"", 0, Klantgegevens_A!H557)</f>
        <v/>
      </c>
      <c r="H558">
        <f>IF(Klantgegevens_B!H557&lt;&gt;"", Klantgegevens_B!H557, Klantgegevens_A!I557)</f>
        <v/>
      </c>
      <c r="I558">
        <f>IF(Klantgegevens_B!I557&lt;&gt;"", Klantgegevens_B!I557, SWITCH(Klantgegevens_A!J557, "Zelden", 1, "Af en toe", 4, "Regelmatig", 8, "Vaak", 12))</f>
        <v/>
      </c>
      <c r="J558">
        <f>IF(Klantgegevens_B!J557&lt;&gt;"", Klantgegevens_B!J557, Klantgegevens_A!K557)</f>
        <v/>
      </c>
      <c r="K558">
        <f>IF(Klantgegevens_B!K557&lt;&gt;"", AVERAGE(--(Klantgegevens_B!K557="ja"), --(Klantgegevens_B!L557="ja"), --(Klantgegevens_B!M557="ja"), --(Klantgegevens_B!N557="ja"), --(Klantgegevens_B!O557="ja"))*10, Klantgegevens_A!L557)</f>
        <v/>
      </c>
      <c r="L558">
        <f>IF(Klantgegevens_B!K557&lt;&gt;"", Klantgegevens_B!K557, IF(Klantgegevens_A!L557&gt;=7, "ja", "nee"))</f>
        <v/>
      </c>
      <c r="M558">
        <f>IF(Klantgegevens_B!L557&lt;&gt;"", Klantgegevens_B!L557, IF(Klantgegevens_A!L557&gt;=7, "ja", "nee"))</f>
        <v/>
      </c>
      <c r="N558">
        <f>IF(Klantgegevens_B!M557&lt;&gt;"", Klantgegevens_B!M557, IF(Klantgegevens_A!L557&gt;=7, "ja", "nee"))</f>
        <v/>
      </c>
      <c r="O558">
        <f>IF(Klantgegevens_B!N557&lt;&gt;"", Klantgegevens_B!N557, IF(Klantgegevens_A!L557&gt;=7, "ja", "nee"))</f>
        <v/>
      </c>
      <c r="P558">
        <f>IF(Klantgegevens_B!O557&lt;&gt;"", Klantgegevens_B!O557, IF(Klantgegevens_A!L557&gt;=7, "ja", "nee"))</f>
        <v/>
      </c>
      <c r="Q558">
        <f>IF(Klantgegevens_B!P557&lt;&gt;"", Klantgegevens_B!P557, Klantgegevens_A!M557)</f>
        <v/>
      </c>
      <c r="R558">
        <f>IF(Klantgegevens_B!A557&lt;&gt;"", "B", "A")</f>
        <v/>
      </c>
    </row>
    <row r="559">
      <c r="A559">
        <f>IF(Klantgegevens_B!A558&lt;&gt;"", Klantgegevens_B!A558, MID(Klantgegevens_A!A558, FIND(",", Klantgegevens_A!A558)+2, LEN(Klantgegevens_A!A558)))</f>
        <v/>
      </c>
      <c r="B559">
        <f>IF(Klantgegevens_B!B558&lt;&gt;"", Klantgegevens_B!B558, LEFT(Klantgegevens_A!A558, FIND(",", Klantgegevens_A!A558)-1))</f>
        <v/>
      </c>
      <c r="C559">
        <f>C558 &amp; ", " &amp; B558</f>
        <v/>
      </c>
      <c r="D559">
        <f>IF(Klantgegevens_B!F558&lt;&gt;"", Klantgegevens_B!F558, Klantgegevens_A!D558 &amp; " " &amp; Klantgegevens_A!E558 &amp; ", " &amp; Klantgegevens_A!F558)</f>
        <v/>
      </c>
      <c r="E559">
        <f>IF(Klantgegevens_B!G558&lt;&gt;"", Klantgegevens_B!G558, TEXTJOIN(",", TRUE, REPT("Volwassene,", Klantgegevens_A!G558), REPT("Kind,", Klantgegevens_A!H558)))</f>
        <v/>
      </c>
      <c r="F559">
        <f>IF(Klantgegevens_B!G558&lt;&gt;"", LEN(Klantgegevens_B!G558)-LEN(SUBSTITUTE(Klantgegevens_B!G558, ",", ""))+1, Klantgegevens_A!G558)</f>
        <v/>
      </c>
      <c r="G559">
        <f>IF(Klantgegevens_B!G558&lt;&gt;"", 0, Klantgegevens_A!H558)</f>
        <v/>
      </c>
      <c r="H559">
        <f>IF(Klantgegevens_B!H558&lt;&gt;"", Klantgegevens_B!H558, Klantgegevens_A!I558)</f>
        <v/>
      </c>
      <c r="I559">
        <f>IF(Klantgegevens_B!I558&lt;&gt;"", Klantgegevens_B!I558, SWITCH(Klantgegevens_A!J558, "Zelden", 1, "Af en toe", 4, "Regelmatig", 8, "Vaak", 12))</f>
        <v/>
      </c>
      <c r="J559">
        <f>IF(Klantgegevens_B!J558&lt;&gt;"", Klantgegevens_B!J558, Klantgegevens_A!K558)</f>
        <v/>
      </c>
      <c r="K559">
        <f>IF(Klantgegevens_B!K558&lt;&gt;"", AVERAGE(--(Klantgegevens_B!K558="ja"), --(Klantgegevens_B!L558="ja"), --(Klantgegevens_B!M558="ja"), --(Klantgegevens_B!N558="ja"), --(Klantgegevens_B!O558="ja"))*10, Klantgegevens_A!L558)</f>
        <v/>
      </c>
      <c r="L559">
        <f>IF(Klantgegevens_B!K558&lt;&gt;"", Klantgegevens_B!K558, IF(Klantgegevens_A!L558&gt;=7, "ja", "nee"))</f>
        <v/>
      </c>
      <c r="M559">
        <f>IF(Klantgegevens_B!L558&lt;&gt;"", Klantgegevens_B!L558, IF(Klantgegevens_A!L558&gt;=7, "ja", "nee"))</f>
        <v/>
      </c>
      <c r="N559">
        <f>IF(Klantgegevens_B!M558&lt;&gt;"", Klantgegevens_B!M558, IF(Klantgegevens_A!L558&gt;=7, "ja", "nee"))</f>
        <v/>
      </c>
      <c r="O559">
        <f>IF(Klantgegevens_B!N558&lt;&gt;"", Klantgegevens_B!N558, IF(Klantgegevens_A!L558&gt;=7, "ja", "nee"))</f>
        <v/>
      </c>
      <c r="P559">
        <f>IF(Klantgegevens_B!O558&lt;&gt;"", Klantgegevens_B!O558, IF(Klantgegevens_A!L558&gt;=7, "ja", "nee"))</f>
        <v/>
      </c>
      <c r="Q559">
        <f>IF(Klantgegevens_B!P558&lt;&gt;"", Klantgegevens_B!P558, Klantgegevens_A!M558)</f>
        <v/>
      </c>
      <c r="R559">
        <f>IF(Klantgegevens_B!A558&lt;&gt;"", "B", "A")</f>
        <v/>
      </c>
    </row>
    <row r="560">
      <c r="A560">
        <f>IF(Klantgegevens_B!A559&lt;&gt;"", Klantgegevens_B!A559, MID(Klantgegevens_A!A559, FIND(",", Klantgegevens_A!A559)+2, LEN(Klantgegevens_A!A559)))</f>
        <v/>
      </c>
      <c r="B560">
        <f>IF(Klantgegevens_B!B559&lt;&gt;"", Klantgegevens_B!B559, LEFT(Klantgegevens_A!A559, FIND(",", Klantgegevens_A!A559)-1))</f>
        <v/>
      </c>
      <c r="C560">
        <f>C559 &amp; ", " &amp; B559</f>
        <v/>
      </c>
      <c r="D560">
        <f>IF(Klantgegevens_B!F559&lt;&gt;"", Klantgegevens_B!F559, Klantgegevens_A!D559 &amp; " " &amp; Klantgegevens_A!E559 &amp; ", " &amp; Klantgegevens_A!F559)</f>
        <v/>
      </c>
      <c r="E560">
        <f>IF(Klantgegevens_B!G559&lt;&gt;"", Klantgegevens_B!G559, TEXTJOIN(",", TRUE, REPT("Volwassene,", Klantgegevens_A!G559), REPT("Kind,", Klantgegevens_A!H559)))</f>
        <v/>
      </c>
      <c r="F560">
        <f>IF(Klantgegevens_B!G559&lt;&gt;"", LEN(Klantgegevens_B!G559)-LEN(SUBSTITUTE(Klantgegevens_B!G559, ",", ""))+1, Klantgegevens_A!G559)</f>
        <v/>
      </c>
      <c r="G560">
        <f>IF(Klantgegevens_B!G559&lt;&gt;"", 0, Klantgegevens_A!H559)</f>
        <v/>
      </c>
      <c r="H560">
        <f>IF(Klantgegevens_B!H559&lt;&gt;"", Klantgegevens_B!H559, Klantgegevens_A!I559)</f>
        <v/>
      </c>
      <c r="I560">
        <f>IF(Klantgegevens_B!I559&lt;&gt;"", Klantgegevens_B!I559, SWITCH(Klantgegevens_A!J559, "Zelden", 1, "Af en toe", 4, "Regelmatig", 8, "Vaak", 12))</f>
        <v/>
      </c>
      <c r="J560">
        <f>IF(Klantgegevens_B!J559&lt;&gt;"", Klantgegevens_B!J559, Klantgegevens_A!K559)</f>
        <v/>
      </c>
      <c r="K560">
        <f>IF(Klantgegevens_B!K559&lt;&gt;"", AVERAGE(--(Klantgegevens_B!K559="ja"), --(Klantgegevens_B!L559="ja"), --(Klantgegevens_B!M559="ja"), --(Klantgegevens_B!N559="ja"), --(Klantgegevens_B!O559="ja"))*10, Klantgegevens_A!L559)</f>
        <v/>
      </c>
      <c r="L560">
        <f>IF(Klantgegevens_B!K559&lt;&gt;"", Klantgegevens_B!K559, IF(Klantgegevens_A!L559&gt;=7, "ja", "nee"))</f>
        <v/>
      </c>
      <c r="M560">
        <f>IF(Klantgegevens_B!L559&lt;&gt;"", Klantgegevens_B!L559, IF(Klantgegevens_A!L559&gt;=7, "ja", "nee"))</f>
        <v/>
      </c>
      <c r="N560">
        <f>IF(Klantgegevens_B!M559&lt;&gt;"", Klantgegevens_B!M559, IF(Klantgegevens_A!L559&gt;=7, "ja", "nee"))</f>
        <v/>
      </c>
      <c r="O560">
        <f>IF(Klantgegevens_B!N559&lt;&gt;"", Klantgegevens_B!N559, IF(Klantgegevens_A!L559&gt;=7, "ja", "nee"))</f>
        <v/>
      </c>
      <c r="P560">
        <f>IF(Klantgegevens_B!O559&lt;&gt;"", Klantgegevens_B!O559, IF(Klantgegevens_A!L559&gt;=7, "ja", "nee"))</f>
        <v/>
      </c>
      <c r="Q560">
        <f>IF(Klantgegevens_B!P559&lt;&gt;"", Klantgegevens_B!P559, Klantgegevens_A!M559)</f>
        <v/>
      </c>
      <c r="R560">
        <f>IF(Klantgegevens_B!A559&lt;&gt;"", "B", "A")</f>
        <v/>
      </c>
    </row>
    <row r="561">
      <c r="A561">
        <f>IF(Klantgegevens_B!A560&lt;&gt;"", Klantgegevens_B!A560, MID(Klantgegevens_A!A560, FIND(",", Klantgegevens_A!A560)+2, LEN(Klantgegevens_A!A560)))</f>
        <v/>
      </c>
      <c r="B561">
        <f>IF(Klantgegevens_B!B560&lt;&gt;"", Klantgegevens_B!B560, LEFT(Klantgegevens_A!A560, FIND(",", Klantgegevens_A!A560)-1))</f>
        <v/>
      </c>
      <c r="C561">
        <f>C560 &amp; ", " &amp; B560</f>
        <v/>
      </c>
      <c r="D561">
        <f>IF(Klantgegevens_B!F560&lt;&gt;"", Klantgegevens_B!F560, Klantgegevens_A!D560 &amp; " " &amp; Klantgegevens_A!E560 &amp; ", " &amp; Klantgegevens_A!F560)</f>
        <v/>
      </c>
      <c r="E561">
        <f>IF(Klantgegevens_B!G560&lt;&gt;"", Klantgegevens_B!G560, TEXTJOIN(",", TRUE, REPT("Volwassene,", Klantgegevens_A!G560), REPT("Kind,", Klantgegevens_A!H560)))</f>
        <v/>
      </c>
      <c r="F561">
        <f>IF(Klantgegevens_B!G560&lt;&gt;"", LEN(Klantgegevens_B!G560)-LEN(SUBSTITUTE(Klantgegevens_B!G560, ",", ""))+1, Klantgegevens_A!G560)</f>
        <v/>
      </c>
      <c r="G561">
        <f>IF(Klantgegevens_B!G560&lt;&gt;"", 0, Klantgegevens_A!H560)</f>
        <v/>
      </c>
      <c r="H561">
        <f>IF(Klantgegevens_B!H560&lt;&gt;"", Klantgegevens_B!H560, Klantgegevens_A!I560)</f>
        <v/>
      </c>
      <c r="I561">
        <f>IF(Klantgegevens_B!I560&lt;&gt;"", Klantgegevens_B!I560, SWITCH(Klantgegevens_A!J560, "Zelden", 1, "Af en toe", 4, "Regelmatig", 8, "Vaak", 12))</f>
        <v/>
      </c>
      <c r="J561">
        <f>IF(Klantgegevens_B!J560&lt;&gt;"", Klantgegevens_B!J560, Klantgegevens_A!K560)</f>
        <v/>
      </c>
      <c r="K561">
        <f>IF(Klantgegevens_B!K560&lt;&gt;"", AVERAGE(--(Klantgegevens_B!K560="ja"), --(Klantgegevens_B!L560="ja"), --(Klantgegevens_B!M560="ja"), --(Klantgegevens_B!N560="ja"), --(Klantgegevens_B!O560="ja"))*10, Klantgegevens_A!L560)</f>
        <v/>
      </c>
      <c r="L561">
        <f>IF(Klantgegevens_B!K560&lt;&gt;"", Klantgegevens_B!K560, IF(Klantgegevens_A!L560&gt;=7, "ja", "nee"))</f>
        <v/>
      </c>
      <c r="M561">
        <f>IF(Klantgegevens_B!L560&lt;&gt;"", Klantgegevens_B!L560, IF(Klantgegevens_A!L560&gt;=7, "ja", "nee"))</f>
        <v/>
      </c>
      <c r="N561">
        <f>IF(Klantgegevens_B!M560&lt;&gt;"", Klantgegevens_B!M560, IF(Klantgegevens_A!L560&gt;=7, "ja", "nee"))</f>
        <v/>
      </c>
      <c r="O561">
        <f>IF(Klantgegevens_B!N560&lt;&gt;"", Klantgegevens_B!N560, IF(Klantgegevens_A!L560&gt;=7, "ja", "nee"))</f>
        <v/>
      </c>
      <c r="P561">
        <f>IF(Klantgegevens_B!O560&lt;&gt;"", Klantgegevens_B!O560, IF(Klantgegevens_A!L560&gt;=7, "ja", "nee"))</f>
        <v/>
      </c>
      <c r="Q561">
        <f>IF(Klantgegevens_B!P560&lt;&gt;"", Klantgegevens_B!P560, Klantgegevens_A!M560)</f>
        <v/>
      </c>
      <c r="R561">
        <f>IF(Klantgegevens_B!A560&lt;&gt;"", "B", "A")</f>
        <v/>
      </c>
    </row>
    <row r="562">
      <c r="A562">
        <f>IF(Klantgegevens_B!A561&lt;&gt;"", Klantgegevens_B!A561, MID(Klantgegevens_A!A561, FIND(",", Klantgegevens_A!A561)+2, LEN(Klantgegevens_A!A561)))</f>
        <v/>
      </c>
      <c r="B562">
        <f>IF(Klantgegevens_B!B561&lt;&gt;"", Klantgegevens_B!B561, LEFT(Klantgegevens_A!A561, FIND(",", Klantgegevens_A!A561)-1))</f>
        <v/>
      </c>
      <c r="C562">
        <f>C561 &amp; ", " &amp; B561</f>
        <v/>
      </c>
      <c r="D562">
        <f>IF(Klantgegevens_B!F561&lt;&gt;"", Klantgegevens_B!F561, Klantgegevens_A!D561 &amp; " " &amp; Klantgegevens_A!E561 &amp; ", " &amp; Klantgegevens_A!F561)</f>
        <v/>
      </c>
      <c r="E562">
        <f>IF(Klantgegevens_B!G561&lt;&gt;"", Klantgegevens_B!G561, TEXTJOIN(",", TRUE, REPT("Volwassene,", Klantgegevens_A!G561), REPT("Kind,", Klantgegevens_A!H561)))</f>
        <v/>
      </c>
      <c r="F562">
        <f>IF(Klantgegevens_B!G561&lt;&gt;"", LEN(Klantgegevens_B!G561)-LEN(SUBSTITUTE(Klantgegevens_B!G561, ",", ""))+1, Klantgegevens_A!G561)</f>
        <v/>
      </c>
      <c r="G562">
        <f>IF(Klantgegevens_B!G561&lt;&gt;"", 0, Klantgegevens_A!H561)</f>
        <v/>
      </c>
      <c r="H562">
        <f>IF(Klantgegevens_B!H561&lt;&gt;"", Klantgegevens_B!H561, Klantgegevens_A!I561)</f>
        <v/>
      </c>
      <c r="I562">
        <f>IF(Klantgegevens_B!I561&lt;&gt;"", Klantgegevens_B!I561, SWITCH(Klantgegevens_A!J561, "Zelden", 1, "Af en toe", 4, "Regelmatig", 8, "Vaak", 12))</f>
        <v/>
      </c>
      <c r="J562">
        <f>IF(Klantgegevens_B!J561&lt;&gt;"", Klantgegevens_B!J561, Klantgegevens_A!K561)</f>
        <v/>
      </c>
      <c r="K562">
        <f>IF(Klantgegevens_B!K561&lt;&gt;"", AVERAGE(--(Klantgegevens_B!K561="ja"), --(Klantgegevens_B!L561="ja"), --(Klantgegevens_B!M561="ja"), --(Klantgegevens_B!N561="ja"), --(Klantgegevens_B!O561="ja"))*10, Klantgegevens_A!L561)</f>
        <v/>
      </c>
      <c r="L562">
        <f>IF(Klantgegevens_B!K561&lt;&gt;"", Klantgegevens_B!K561, IF(Klantgegevens_A!L561&gt;=7, "ja", "nee"))</f>
        <v/>
      </c>
      <c r="M562">
        <f>IF(Klantgegevens_B!L561&lt;&gt;"", Klantgegevens_B!L561, IF(Klantgegevens_A!L561&gt;=7, "ja", "nee"))</f>
        <v/>
      </c>
      <c r="N562">
        <f>IF(Klantgegevens_B!M561&lt;&gt;"", Klantgegevens_B!M561, IF(Klantgegevens_A!L561&gt;=7, "ja", "nee"))</f>
        <v/>
      </c>
      <c r="O562">
        <f>IF(Klantgegevens_B!N561&lt;&gt;"", Klantgegevens_B!N561, IF(Klantgegevens_A!L561&gt;=7, "ja", "nee"))</f>
        <v/>
      </c>
      <c r="P562">
        <f>IF(Klantgegevens_B!O561&lt;&gt;"", Klantgegevens_B!O561, IF(Klantgegevens_A!L561&gt;=7, "ja", "nee"))</f>
        <v/>
      </c>
      <c r="Q562">
        <f>IF(Klantgegevens_B!P561&lt;&gt;"", Klantgegevens_B!P561, Klantgegevens_A!M561)</f>
        <v/>
      </c>
      <c r="R562">
        <f>IF(Klantgegevens_B!A561&lt;&gt;"", "B", "A")</f>
        <v/>
      </c>
    </row>
    <row r="563">
      <c r="A563">
        <f>IF(Klantgegevens_B!A562&lt;&gt;"", Klantgegevens_B!A562, MID(Klantgegevens_A!A562, FIND(",", Klantgegevens_A!A562)+2, LEN(Klantgegevens_A!A562)))</f>
        <v/>
      </c>
      <c r="B563">
        <f>IF(Klantgegevens_B!B562&lt;&gt;"", Klantgegevens_B!B562, LEFT(Klantgegevens_A!A562, FIND(",", Klantgegevens_A!A562)-1))</f>
        <v/>
      </c>
      <c r="C563">
        <f>C562 &amp; ", " &amp; B562</f>
        <v/>
      </c>
      <c r="D563">
        <f>IF(Klantgegevens_B!F562&lt;&gt;"", Klantgegevens_B!F562, Klantgegevens_A!D562 &amp; " " &amp; Klantgegevens_A!E562 &amp; ", " &amp; Klantgegevens_A!F562)</f>
        <v/>
      </c>
      <c r="E563">
        <f>IF(Klantgegevens_B!G562&lt;&gt;"", Klantgegevens_B!G562, TEXTJOIN(",", TRUE, REPT("Volwassene,", Klantgegevens_A!G562), REPT("Kind,", Klantgegevens_A!H562)))</f>
        <v/>
      </c>
      <c r="F563">
        <f>IF(Klantgegevens_B!G562&lt;&gt;"", LEN(Klantgegevens_B!G562)-LEN(SUBSTITUTE(Klantgegevens_B!G562, ",", ""))+1, Klantgegevens_A!G562)</f>
        <v/>
      </c>
      <c r="G563">
        <f>IF(Klantgegevens_B!G562&lt;&gt;"", 0, Klantgegevens_A!H562)</f>
        <v/>
      </c>
      <c r="H563">
        <f>IF(Klantgegevens_B!H562&lt;&gt;"", Klantgegevens_B!H562, Klantgegevens_A!I562)</f>
        <v/>
      </c>
      <c r="I563">
        <f>IF(Klantgegevens_B!I562&lt;&gt;"", Klantgegevens_B!I562, SWITCH(Klantgegevens_A!J562, "Zelden", 1, "Af en toe", 4, "Regelmatig", 8, "Vaak", 12))</f>
        <v/>
      </c>
      <c r="J563">
        <f>IF(Klantgegevens_B!J562&lt;&gt;"", Klantgegevens_B!J562, Klantgegevens_A!K562)</f>
        <v/>
      </c>
      <c r="K563">
        <f>IF(Klantgegevens_B!K562&lt;&gt;"", AVERAGE(--(Klantgegevens_B!K562="ja"), --(Klantgegevens_B!L562="ja"), --(Klantgegevens_B!M562="ja"), --(Klantgegevens_B!N562="ja"), --(Klantgegevens_B!O562="ja"))*10, Klantgegevens_A!L562)</f>
        <v/>
      </c>
      <c r="L563">
        <f>IF(Klantgegevens_B!K562&lt;&gt;"", Klantgegevens_B!K562, IF(Klantgegevens_A!L562&gt;=7, "ja", "nee"))</f>
        <v/>
      </c>
      <c r="M563">
        <f>IF(Klantgegevens_B!L562&lt;&gt;"", Klantgegevens_B!L562, IF(Klantgegevens_A!L562&gt;=7, "ja", "nee"))</f>
        <v/>
      </c>
      <c r="N563">
        <f>IF(Klantgegevens_B!M562&lt;&gt;"", Klantgegevens_B!M562, IF(Klantgegevens_A!L562&gt;=7, "ja", "nee"))</f>
        <v/>
      </c>
      <c r="O563">
        <f>IF(Klantgegevens_B!N562&lt;&gt;"", Klantgegevens_B!N562, IF(Klantgegevens_A!L562&gt;=7, "ja", "nee"))</f>
        <v/>
      </c>
      <c r="P563">
        <f>IF(Klantgegevens_B!O562&lt;&gt;"", Klantgegevens_B!O562, IF(Klantgegevens_A!L562&gt;=7, "ja", "nee"))</f>
        <v/>
      </c>
      <c r="Q563">
        <f>IF(Klantgegevens_B!P562&lt;&gt;"", Klantgegevens_B!P562, Klantgegevens_A!M562)</f>
        <v/>
      </c>
      <c r="R563">
        <f>IF(Klantgegevens_B!A562&lt;&gt;"", "B", "A")</f>
        <v/>
      </c>
    </row>
    <row r="564">
      <c r="A564">
        <f>IF(Klantgegevens_B!A563&lt;&gt;"", Klantgegevens_B!A563, MID(Klantgegevens_A!A563, FIND(",", Klantgegevens_A!A563)+2, LEN(Klantgegevens_A!A563)))</f>
        <v/>
      </c>
      <c r="B564">
        <f>IF(Klantgegevens_B!B563&lt;&gt;"", Klantgegevens_B!B563, LEFT(Klantgegevens_A!A563, FIND(",", Klantgegevens_A!A563)-1))</f>
        <v/>
      </c>
      <c r="C564">
        <f>C563 &amp; ", " &amp; B563</f>
        <v/>
      </c>
      <c r="D564">
        <f>IF(Klantgegevens_B!F563&lt;&gt;"", Klantgegevens_B!F563, Klantgegevens_A!D563 &amp; " " &amp; Klantgegevens_A!E563 &amp; ", " &amp; Klantgegevens_A!F563)</f>
        <v/>
      </c>
      <c r="E564">
        <f>IF(Klantgegevens_B!G563&lt;&gt;"", Klantgegevens_B!G563, TEXTJOIN(",", TRUE, REPT("Volwassene,", Klantgegevens_A!G563), REPT("Kind,", Klantgegevens_A!H563)))</f>
        <v/>
      </c>
      <c r="F564">
        <f>IF(Klantgegevens_B!G563&lt;&gt;"", LEN(Klantgegevens_B!G563)-LEN(SUBSTITUTE(Klantgegevens_B!G563, ",", ""))+1, Klantgegevens_A!G563)</f>
        <v/>
      </c>
      <c r="G564">
        <f>IF(Klantgegevens_B!G563&lt;&gt;"", 0, Klantgegevens_A!H563)</f>
        <v/>
      </c>
      <c r="H564">
        <f>IF(Klantgegevens_B!H563&lt;&gt;"", Klantgegevens_B!H563, Klantgegevens_A!I563)</f>
        <v/>
      </c>
      <c r="I564">
        <f>IF(Klantgegevens_B!I563&lt;&gt;"", Klantgegevens_B!I563, SWITCH(Klantgegevens_A!J563, "Zelden", 1, "Af en toe", 4, "Regelmatig", 8, "Vaak", 12))</f>
        <v/>
      </c>
      <c r="J564">
        <f>IF(Klantgegevens_B!J563&lt;&gt;"", Klantgegevens_B!J563, Klantgegevens_A!K563)</f>
        <v/>
      </c>
      <c r="K564">
        <f>IF(Klantgegevens_B!K563&lt;&gt;"", AVERAGE(--(Klantgegevens_B!K563="ja"), --(Klantgegevens_B!L563="ja"), --(Klantgegevens_B!M563="ja"), --(Klantgegevens_B!N563="ja"), --(Klantgegevens_B!O563="ja"))*10, Klantgegevens_A!L563)</f>
        <v/>
      </c>
      <c r="L564">
        <f>IF(Klantgegevens_B!K563&lt;&gt;"", Klantgegevens_B!K563, IF(Klantgegevens_A!L563&gt;=7, "ja", "nee"))</f>
        <v/>
      </c>
      <c r="M564">
        <f>IF(Klantgegevens_B!L563&lt;&gt;"", Klantgegevens_B!L563, IF(Klantgegevens_A!L563&gt;=7, "ja", "nee"))</f>
        <v/>
      </c>
      <c r="N564">
        <f>IF(Klantgegevens_B!M563&lt;&gt;"", Klantgegevens_B!M563, IF(Klantgegevens_A!L563&gt;=7, "ja", "nee"))</f>
        <v/>
      </c>
      <c r="O564">
        <f>IF(Klantgegevens_B!N563&lt;&gt;"", Klantgegevens_B!N563, IF(Klantgegevens_A!L563&gt;=7, "ja", "nee"))</f>
        <v/>
      </c>
      <c r="P564">
        <f>IF(Klantgegevens_B!O563&lt;&gt;"", Klantgegevens_B!O563, IF(Klantgegevens_A!L563&gt;=7, "ja", "nee"))</f>
        <v/>
      </c>
      <c r="Q564">
        <f>IF(Klantgegevens_B!P563&lt;&gt;"", Klantgegevens_B!P563, Klantgegevens_A!M563)</f>
        <v/>
      </c>
      <c r="R564">
        <f>IF(Klantgegevens_B!A563&lt;&gt;"", "B", "A")</f>
        <v/>
      </c>
    </row>
    <row r="565">
      <c r="A565">
        <f>IF(Klantgegevens_B!A564&lt;&gt;"", Klantgegevens_B!A564, MID(Klantgegevens_A!A564, FIND(",", Klantgegevens_A!A564)+2, LEN(Klantgegevens_A!A564)))</f>
        <v/>
      </c>
      <c r="B565">
        <f>IF(Klantgegevens_B!B564&lt;&gt;"", Klantgegevens_B!B564, LEFT(Klantgegevens_A!A564, FIND(",", Klantgegevens_A!A564)-1))</f>
        <v/>
      </c>
      <c r="C565">
        <f>C564 &amp; ", " &amp; B564</f>
        <v/>
      </c>
      <c r="D565">
        <f>IF(Klantgegevens_B!F564&lt;&gt;"", Klantgegevens_B!F564, Klantgegevens_A!D564 &amp; " " &amp; Klantgegevens_A!E564 &amp; ", " &amp; Klantgegevens_A!F564)</f>
        <v/>
      </c>
      <c r="E565">
        <f>IF(Klantgegevens_B!G564&lt;&gt;"", Klantgegevens_B!G564, TEXTJOIN(",", TRUE, REPT("Volwassene,", Klantgegevens_A!G564), REPT("Kind,", Klantgegevens_A!H564)))</f>
        <v/>
      </c>
      <c r="F565">
        <f>IF(Klantgegevens_B!G564&lt;&gt;"", LEN(Klantgegevens_B!G564)-LEN(SUBSTITUTE(Klantgegevens_B!G564, ",", ""))+1, Klantgegevens_A!G564)</f>
        <v/>
      </c>
      <c r="G565">
        <f>IF(Klantgegevens_B!G564&lt;&gt;"", 0, Klantgegevens_A!H564)</f>
        <v/>
      </c>
      <c r="H565">
        <f>IF(Klantgegevens_B!H564&lt;&gt;"", Klantgegevens_B!H564, Klantgegevens_A!I564)</f>
        <v/>
      </c>
      <c r="I565">
        <f>IF(Klantgegevens_B!I564&lt;&gt;"", Klantgegevens_B!I564, SWITCH(Klantgegevens_A!J564, "Zelden", 1, "Af en toe", 4, "Regelmatig", 8, "Vaak", 12))</f>
        <v/>
      </c>
      <c r="J565">
        <f>IF(Klantgegevens_B!J564&lt;&gt;"", Klantgegevens_B!J564, Klantgegevens_A!K564)</f>
        <v/>
      </c>
      <c r="K565">
        <f>IF(Klantgegevens_B!K564&lt;&gt;"", AVERAGE(--(Klantgegevens_B!K564="ja"), --(Klantgegevens_B!L564="ja"), --(Klantgegevens_B!M564="ja"), --(Klantgegevens_B!N564="ja"), --(Klantgegevens_B!O564="ja"))*10, Klantgegevens_A!L564)</f>
        <v/>
      </c>
      <c r="L565">
        <f>IF(Klantgegevens_B!K564&lt;&gt;"", Klantgegevens_B!K564, IF(Klantgegevens_A!L564&gt;=7, "ja", "nee"))</f>
        <v/>
      </c>
      <c r="M565">
        <f>IF(Klantgegevens_B!L564&lt;&gt;"", Klantgegevens_B!L564, IF(Klantgegevens_A!L564&gt;=7, "ja", "nee"))</f>
        <v/>
      </c>
      <c r="N565">
        <f>IF(Klantgegevens_B!M564&lt;&gt;"", Klantgegevens_B!M564, IF(Klantgegevens_A!L564&gt;=7, "ja", "nee"))</f>
        <v/>
      </c>
      <c r="O565">
        <f>IF(Klantgegevens_B!N564&lt;&gt;"", Klantgegevens_B!N564, IF(Klantgegevens_A!L564&gt;=7, "ja", "nee"))</f>
        <v/>
      </c>
      <c r="P565">
        <f>IF(Klantgegevens_B!O564&lt;&gt;"", Klantgegevens_B!O564, IF(Klantgegevens_A!L564&gt;=7, "ja", "nee"))</f>
        <v/>
      </c>
      <c r="Q565">
        <f>IF(Klantgegevens_B!P564&lt;&gt;"", Klantgegevens_B!P564, Klantgegevens_A!M564)</f>
        <v/>
      </c>
      <c r="R565">
        <f>IF(Klantgegevens_B!A564&lt;&gt;"", "B", "A")</f>
        <v/>
      </c>
    </row>
    <row r="566">
      <c r="A566">
        <f>IF(Klantgegevens_B!A565&lt;&gt;"", Klantgegevens_B!A565, MID(Klantgegevens_A!A565, FIND(",", Klantgegevens_A!A565)+2, LEN(Klantgegevens_A!A565)))</f>
        <v/>
      </c>
      <c r="B566">
        <f>IF(Klantgegevens_B!B565&lt;&gt;"", Klantgegevens_B!B565, LEFT(Klantgegevens_A!A565, FIND(",", Klantgegevens_A!A565)-1))</f>
        <v/>
      </c>
      <c r="C566">
        <f>C565 &amp; ", " &amp; B565</f>
        <v/>
      </c>
      <c r="D566">
        <f>IF(Klantgegevens_B!F565&lt;&gt;"", Klantgegevens_B!F565, Klantgegevens_A!D565 &amp; " " &amp; Klantgegevens_A!E565 &amp; ", " &amp; Klantgegevens_A!F565)</f>
        <v/>
      </c>
      <c r="E566">
        <f>IF(Klantgegevens_B!G565&lt;&gt;"", Klantgegevens_B!G565, TEXTJOIN(",", TRUE, REPT("Volwassene,", Klantgegevens_A!G565), REPT("Kind,", Klantgegevens_A!H565)))</f>
        <v/>
      </c>
      <c r="F566">
        <f>IF(Klantgegevens_B!G565&lt;&gt;"", LEN(Klantgegevens_B!G565)-LEN(SUBSTITUTE(Klantgegevens_B!G565, ",", ""))+1, Klantgegevens_A!G565)</f>
        <v/>
      </c>
      <c r="G566">
        <f>IF(Klantgegevens_B!G565&lt;&gt;"", 0, Klantgegevens_A!H565)</f>
        <v/>
      </c>
      <c r="H566">
        <f>IF(Klantgegevens_B!H565&lt;&gt;"", Klantgegevens_B!H565, Klantgegevens_A!I565)</f>
        <v/>
      </c>
      <c r="I566">
        <f>IF(Klantgegevens_B!I565&lt;&gt;"", Klantgegevens_B!I565, SWITCH(Klantgegevens_A!J565, "Zelden", 1, "Af en toe", 4, "Regelmatig", 8, "Vaak", 12))</f>
        <v/>
      </c>
      <c r="J566">
        <f>IF(Klantgegevens_B!J565&lt;&gt;"", Klantgegevens_B!J565, Klantgegevens_A!K565)</f>
        <v/>
      </c>
      <c r="K566">
        <f>IF(Klantgegevens_B!K565&lt;&gt;"", AVERAGE(--(Klantgegevens_B!K565="ja"), --(Klantgegevens_B!L565="ja"), --(Klantgegevens_B!M565="ja"), --(Klantgegevens_B!N565="ja"), --(Klantgegevens_B!O565="ja"))*10, Klantgegevens_A!L565)</f>
        <v/>
      </c>
      <c r="L566">
        <f>IF(Klantgegevens_B!K565&lt;&gt;"", Klantgegevens_B!K565, IF(Klantgegevens_A!L565&gt;=7, "ja", "nee"))</f>
        <v/>
      </c>
      <c r="M566">
        <f>IF(Klantgegevens_B!L565&lt;&gt;"", Klantgegevens_B!L565, IF(Klantgegevens_A!L565&gt;=7, "ja", "nee"))</f>
        <v/>
      </c>
      <c r="N566">
        <f>IF(Klantgegevens_B!M565&lt;&gt;"", Klantgegevens_B!M565, IF(Klantgegevens_A!L565&gt;=7, "ja", "nee"))</f>
        <v/>
      </c>
      <c r="O566">
        <f>IF(Klantgegevens_B!N565&lt;&gt;"", Klantgegevens_B!N565, IF(Klantgegevens_A!L565&gt;=7, "ja", "nee"))</f>
        <v/>
      </c>
      <c r="P566">
        <f>IF(Klantgegevens_B!O565&lt;&gt;"", Klantgegevens_B!O565, IF(Klantgegevens_A!L565&gt;=7, "ja", "nee"))</f>
        <v/>
      </c>
      <c r="Q566">
        <f>IF(Klantgegevens_B!P565&lt;&gt;"", Klantgegevens_B!P565, Klantgegevens_A!M565)</f>
        <v/>
      </c>
      <c r="R566">
        <f>IF(Klantgegevens_B!A565&lt;&gt;"", "B", "A")</f>
        <v/>
      </c>
    </row>
    <row r="567">
      <c r="A567">
        <f>IF(Klantgegevens_B!A566&lt;&gt;"", Klantgegevens_B!A566, MID(Klantgegevens_A!A566, FIND(",", Klantgegevens_A!A566)+2, LEN(Klantgegevens_A!A566)))</f>
        <v/>
      </c>
      <c r="B567">
        <f>IF(Klantgegevens_B!B566&lt;&gt;"", Klantgegevens_B!B566, LEFT(Klantgegevens_A!A566, FIND(",", Klantgegevens_A!A566)-1))</f>
        <v/>
      </c>
      <c r="C567">
        <f>C566 &amp; ", " &amp; B566</f>
        <v/>
      </c>
      <c r="D567">
        <f>IF(Klantgegevens_B!F566&lt;&gt;"", Klantgegevens_B!F566, Klantgegevens_A!D566 &amp; " " &amp; Klantgegevens_A!E566 &amp; ", " &amp; Klantgegevens_A!F566)</f>
        <v/>
      </c>
      <c r="E567">
        <f>IF(Klantgegevens_B!G566&lt;&gt;"", Klantgegevens_B!G566, TEXTJOIN(",", TRUE, REPT("Volwassene,", Klantgegevens_A!G566), REPT("Kind,", Klantgegevens_A!H566)))</f>
        <v/>
      </c>
      <c r="F567">
        <f>IF(Klantgegevens_B!G566&lt;&gt;"", LEN(Klantgegevens_B!G566)-LEN(SUBSTITUTE(Klantgegevens_B!G566, ",", ""))+1, Klantgegevens_A!G566)</f>
        <v/>
      </c>
      <c r="G567">
        <f>IF(Klantgegevens_B!G566&lt;&gt;"", 0, Klantgegevens_A!H566)</f>
        <v/>
      </c>
      <c r="H567">
        <f>IF(Klantgegevens_B!H566&lt;&gt;"", Klantgegevens_B!H566, Klantgegevens_A!I566)</f>
        <v/>
      </c>
      <c r="I567">
        <f>IF(Klantgegevens_B!I566&lt;&gt;"", Klantgegevens_B!I566, SWITCH(Klantgegevens_A!J566, "Zelden", 1, "Af en toe", 4, "Regelmatig", 8, "Vaak", 12))</f>
        <v/>
      </c>
      <c r="J567">
        <f>IF(Klantgegevens_B!J566&lt;&gt;"", Klantgegevens_B!J566, Klantgegevens_A!K566)</f>
        <v/>
      </c>
      <c r="K567">
        <f>IF(Klantgegevens_B!K566&lt;&gt;"", AVERAGE(--(Klantgegevens_B!K566="ja"), --(Klantgegevens_B!L566="ja"), --(Klantgegevens_B!M566="ja"), --(Klantgegevens_B!N566="ja"), --(Klantgegevens_B!O566="ja"))*10, Klantgegevens_A!L566)</f>
        <v/>
      </c>
      <c r="L567">
        <f>IF(Klantgegevens_B!K566&lt;&gt;"", Klantgegevens_B!K566, IF(Klantgegevens_A!L566&gt;=7, "ja", "nee"))</f>
        <v/>
      </c>
      <c r="M567">
        <f>IF(Klantgegevens_B!L566&lt;&gt;"", Klantgegevens_B!L566, IF(Klantgegevens_A!L566&gt;=7, "ja", "nee"))</f>
        <v/>
      </c>
      <c r="N567">
        <f>IF(Klantgegevens_B!M566&lt;&gt;"", Klantgegevens_B!M566, IF(Klantgegevens_A!L566&gt;=7, "ja", "nee"))</f>
        <v/>
      </c>
      <c r="O567">
        <f>IF(Klantgegevens_B!N566&lt;&gt;"", Klantgegevens_B!N566, IF(Klantgegevens_A!L566&gt;=7, "ja", "nee"))</f>
        <v/>
      </c>
      <c r="P567">
        <f>IF(Klantgegevens_B!O566&lt;&gt;"", Klantgegevens_B!O566, IF(Klantgegevens_A!L566&gt;=7, "ja", "nee"))</f>
        <v/>
      </c>
      <c r="Q567">
        <f>IF(Klantgegevens_B!P566&lt;&gt;"", Klantgegevens_B!P566, Klantgegevens_A!M566)</f>
        <v/>
      </c>
      <c r="R567">
        <f>IF(Klantgegevens_B!A566&lt;&gt;"", "B", "A")</f>
        <v/>
      </c>
    </row>
    <row r="568">
      <c r="A568">
        <f>IF(Klantgegevens_B!A567&lt;&gt;"", Klantgegevens_B!A567, MID(Klantgegevens_A!A567, FIND(",", Klantgegevens_A!A567)+2, LEN(Klantgegevens_A!A567)))</f>
        <v/>
      </c>
      <c r="B568">
        <f>IF(Klantgegevens_B!B567&lt;&gt;"", Klantgegevens_B!B567, LEFT(Klantgegevens_A!A567, FIND(",", Klantgegevens_A!A567)-1))</f>
        <v/>
      </c>
      <c r="C568">
        <f>C567 &amp; ", " &amp; B567</f>
        <v/>
      </c>
      <c r="D568">
        <f>IF(Klantgegevens_B!F567&lt;&gt;"", Klantgegevens_B!F567, Klantgegevens_A!D567 &amp; " " &amp; Klantgegevens_A!E567 &amp; ", " &amp; Klantgegevens_A!F567)</f>
        <v/>
      </c>
      <c r="E568">
        <f>IF(Klantgegevens_B!G567&lt;&gt;"", Klantgegevens_B!G567, TEXTJOIN(",", TRUE, REPT("Volwassene,", Klantgegevens_A!G567), REPT("Kind,", Klantgegevens_A!H567)))</f>
        <v/>
      </c>
      <c r="F568">
        <f>IF(Klantgegevens_B!G567&lt;&gt;"", LEN(Klantgegevens_B!G567)-LEN(SUBSTITUTE(Klantgegevens_B!G567, ",", ""))+1, Klantgegevens_A!G567)</f>
        <v/>
      </c>
      <c r="G568">
        <f>IF(Klantgegevens_B!G567&lt;&gt;"", 0, Klantgegevens_A!H567)</f>
        <v/>
      </c>
      <c r="H568">
        <f>IF(Klantgegevens_B!H567&lt;&gt;"", Klantgegevens_B!H567, Klantgegevens_A!I567)</f>
        <v/>
      </c>
      <c r="I568">
        <f>IF(Klantgegevens_B!I567&lt;&gt;"", Klantgegevens_B!I567, SWITCH(Klantgegevens_A!J567, "Zelden", 1, "Af en toe", 4, "Regelmatig", 8, "Vaak", 12))</f>
        <v/>
      </c>
      <c r="J568">
        <f>IF(Klantgegevens_B!J567&lt;&gt;"", Klantgegevens_B!J567, Klantgegevens_A!K567)</f>
        <v/>
      </c>
      <c r="K568">
        <f>IF(Klantgegevens_B!K567&lt;&gt;"", AVERAGE(--(Klantgegevens_B!K567="ja"), --(Klantgegevens_B!L567="ja"), --(Klantgegevens_B!M567="ja"), --(Klantgegevens_B!N567="ja"), --(Klantgegevens_B!O567="ja"))*10, Klantgegevens_A!L567)</f>
        <v/>
      </c>
      <c r="L568">
        <f>IF(Klantgegevens_B!K567&lt;&gt;"", Klantgegevens_B!K567, IF(Klantgegevens_A!L567&gt;=7, "ja", "nee"))</f>
        <v/>
      </c>
      <c r="M568">
        <f>IF(Klantgegevens_B!L567&lt;&gt;"", Klantgegevens_B!L567, IF(Klantgegevens_A!L567&gt;=7, "ja", "nee"))</f>
        <v/>
      </c>
      <c r="N568">
        <f>IF(Klantgegevens_B!M567&lt;&gt;"", Klantgegevens_B!M567, IF(Klantgegevens_A!L567&gt;=7, "ja", "nee"))</f>
        <v/>
      </c>
      <c r="O568">
        <f>IF(Klantgegevens_B!N567&lt;&gt;"", Klantgegevens_B!N567, IF(Klantgegevens_A!L567&gt;=7, "ja", "nee"))</f>
        <v/>
      </c>
      <c r="P568">
        <f>IF(Klantgegevens_B!O567&lt;&gt;"", Klantgegevens_B!O567, IF(Klantgegevens_A!L567&gt;=7, "ja", "nee"))</f>
        <v/>
      </c>
      <c r="Q568">
        <f>IF(Klantgegevens_B!P567&lt;&gt;"", Klantgegevens_B!P567, Klantgegevens_A!M567)</f>
        <v/>
      </c>
      <c r="R568">
        <f>IF(Klantgegevens_B!A567&lt;&gt;"", "B", "A")</f>
        <v/>
      </c>
    </row>
    <row r="569">
      <c r="A569">
        <f>IF(Klantgegevens_B!A568&lt;&gt;"", Klantgegevens_B!A568, MID(Klantgegevens_A!A568, FIND(",", Klantgegevens_A!A568)+2, LEN(Klantgegevens_A!A568)))</f>
        <v/>
      </c>
      <c r="B569">
        <f>IF(Klantgegevens_B!B568&lt;&gt;"", Klantgegevens_B!B568, LEFT(Klantgegevens_A!A568, FIND(",", Klantgegevens_A!A568)-1))</f>
        <v/>
      </c>
      <c r="C569">
        <f>C568 &amp; ", " &amp; B568</f>
        <v/>
      </c>
      <c r="D569">
        <f>IF(Klantgegevens_B!F568&lt;&gt;"", Klantgegevens_B!F568, Klantgegevens_A!D568 &amp; " " &amp; Klantgegevens_A!E568 &amp; ", " &amp; Klantgegevens_A!F568)</f>
        <v/>
      </c>
      <c r="E569">
        <f>IF(Klantgegevens_B!G568&lt;&gt;"", Klantgegevens_B!G568, TEXTJOIN(",", TRUE, REPT("Volwassene,", Klantgegevens_A!G568), REPT("Kind,", Klantgegevens_A!H568)))</f>
        <v/>
      </c>
      <c r="F569">
        <f>IF(Klantgegevens_B!G568&lt;&gt;"", LEN(Klantgegevens_B!G568)-LEN(SUBSTITUTE(Klantgegevens_B!G568, ",", ""))+1, Klantgegevens_A!G568)</f>
        <v/>
      </c>
      <c r="G569">
        <f>IF(Klantgegevens_B!G568&lt;&gt;"", 0, Klantgegevens_A!H568)</f>
        <v/>
      </c>
      <c r="H569">
        <f>IF(Klantgegevens_B!H568&lt;&gt;"", Klantgegevens_B!H568, Klantgegevens_A!I568)</f>
        <v/>
      </c>
      <c r="I569">
        <f>IF(Klantgegevens_B!I568&lt;&gt;"", Klantgegevens_B!I568, SWITCH(Klantgegevens_A!J568, "Zelden", 1, "Af en toe", 4, "Regelmatig", 8, "Vaak", 12))</f>
        <v/>
      </c>
      <c r="J569">
        <f>IF(Klantgegevens_B!J568&lt;&gt;"", Klantgegevens_B!J568, Klantgegevens_A!K568)</f>
        <v/>
      </c>
      <c r="K569">
        <f>IF(Klantgegevens_B!K568&lt;&gt;"", AVERAGE(--(Klantgegevens_B!K568="ja"), --(Klantgegevens_B!L568="ja"), --(Klantgegevens_B!M568="ja"), --(Klantgegevens_B!N568="ja"), --(Klantgegevens_B!O568="ja"))*10, Klantgegevens_A!L568)</f>
        <v/>
      </c>
      <c r="L569">
        <f>IF(Klantgegevens_B!K568&lt;&gt;"", Klantgegevens_B!K568, IF(Klantgegevens_A!L568&gt;=7, "ja", "nee"))</f>
        <v/>
      </c>
      <c r="M569">
        <f>IF(Klantgegevens_B!L568&lt;&gt;"", Klantgegevens_B!L568, IF(Klantgegevens_A!L568&gt;=7, "ja", "nee"))</f>
        <v/>
      </c>
      <c r="N569">
        <f>IF(Klantgegevens_B!M568&lt;&gt;"", Klantgegevens_B!M568, IF(Klantgegevens_A!L568&gt;=7, "ja", "nee"))</f>
        <v/>
      </c>
      <c r="O569">
        <f>IF(Klantgegevens_B!N568&lt;&gt;"", Klantgegevens_B!N568, IF(Klantgegevens_A!L568&gt;=7, "ja", "nee"))</f>
        <v/>
      </c>
      <c r="P569">
        <f>IF(Klantgegevens_B!O568&lt;&gt;"", Klantgegevens_B!O568, IF(Klantgegevens_A!L568&gt;=7, "ja", "nee"))</f>
        <v/>
      </c>
      <c r="Q569">
        <f>IF(Klantgegevens_B!P568&lt;&gt;"", Klantgegevens_B!P568, Klantgegevens_A!M568)</f>
        <v/>
      </c>
      <c r="R569">
        <f>IF(Klantgegevens_B!A568&lt;&gt;"", "B", "A")</f>
        <v/>
      </c>
    </row>
    <row r="570">
      <c r="A570">
        <f>IF(Klantgegevens_B!A569&lt;&gt;"", Klantgegevens_B!A569, MID(Klantgegevens_A!A569, FIND(",", Klantgegevens_A!A569)+2, LEN(Klantgegevens_A!A569)))</f>
        <v/>
      </c>
      <c r="B570">
        <f>IF(Klantgegevens_B!B569&lt;&gt;"", Klantgegevens_B!B569, LEFT(Klantgegevens_A!A569, FIND(",", Klantgegevens_A!A569)-1))</f>
        <v/>
      </c>
      <c r="C570">
        <f>C569 &amp; ", " &amp; B569</f>
        <v/>
      </c>
      <c r="D570">
        <f>IF(Klantgegevens_B!F569&lt;&gt;"", Klantgegevens_B!F569, Klantgegevens_A!D569 &amp; " " &amp; Klantgegevens_A!E569 &amp; ", " &amp; Klantgegevens_A!F569)</f>
        <v/>
      </c>
      <c r="E570">
        <f>IF(Klantgegevens_B!G569&lt;&gt;"", Klantgegevens_B!G569, TEXTJOIN(",", TRUE, REPT("Volwassene,", Klantgegevens_A!G569), REPT("Kind,", Klantgegevens_A!H569)))</f>
        <v/>
      </c>
      <c r="F570">
        <f>IF(Klantgegevens_B!G569&lt;&gt;"", LEN(Klantgegevens_B!G569)-LEN(SUBSTITUTE(Klantgegevens_B!G569, ",", ""))+1, Klantgegevens_A!G569)</f>
        <v/>
      </c>
      <c r="G570">
        <f>IF(Klantgegevens_B!G569&lt;&gt;"", 0, Klantgegevens_A!H569)</f>
        <v/>
      </c>
      <c r="H570">
        <f>IF(Klantgegevens_B!H569&lt;&gt;"", Klantgegevens_B!H569, Klantgegevens_A!I569)</f>
        <v/>
      </c>
      <c r="I570">
        <f>IF(Klantgegevens_B!I569&lt;&gt;"", Klantgegevens_B!I569, SWITCH(Klantgegevens_A!J569, "Zelden", 1, "Af en toe", 4, "Regelmatig", 8, "Vaak", 12))</f>
        <v/>
      </c>
      <c r="J570">
        <f>IF(Klantgegevens_B!J569&lt;&gt;"", Klantgegevens_B!J569, Klantgegevens_A!K569)</f>
        <v/>
      </c>
      <c r="K570">
        <f>IF(Klantgegevens_B!K569&lt;&gt;"", AVERAGE(--(Klantgegevens_B!K569="ja"), --(Klantgegevens_B!L569="ja"), --(Klantgegevens_B!M569="ja"), --(Klantgegevens_B!N569="ja"), --(Klantgegevens_B!O569="ja"))*10, Klantgegevens_A!L569)</f>
        <v/>
      </c>
      <c r="L570">
        <f>IF(Klantgegevens_B!K569&lt;&gt;"", Klantgegevens_B!K569, IF(Klantgegevens_A!L569&gt;=7, "ja", "nee"))</f>
        <v/>
      </c>
      <c r="M570">
        <f>IF(Klantgegevens_B!L569&lt;&gt;"", Klantgegevens_B!L569, IF(Klantgegevens_A!L569&gt;=7, "ja", "nee"))</f>
        <v/>
      </c>
      <c r="N570">
        <f>IF(Klantgegevens_B!M569&lt;&gt;"", Klantgegevens_B!M569, IF(Klantgegevens_A!L569&gt;=7, "ja", "nee"))</f>
        <v/>
      </c>
      <c r="O570">
        <f>IF(Klantgegevens_B!N569&lt;&gt;"", Klantgegevens_B!N569, IF(Klantgegevens_A!L569&gt;=7, "ja", "nee"))</f>
        <v/>
      </c>
      <c r="P570">
        <f>IF(Klantgegevens_B!O569&lt;&gt;"", Klantgegevens_B!O569, IF(Klantgegevens_A!L569&gt;=7, "ja", "nee"))</f>
        <v/>
      </c>
      <c r="Q570">
        <f>IF(Klantgegevens_B!P569&lt;&gt;"", Klantgegevens_B!P569, Klantgegevens_A!M569)</f>
        <v/>
      </c>
      <c r="R570">
        <f>IF(Klantgegevens_B!A569&lt;&gt;"", "B", "A")</f>
        <v/>
      </c>
    </row>
    <row r="571">
      <c r="A571">
        <f>IF(Klantgegevens_B!A570&lt;&gt;"", Klantgegevens_B!A570, MID(Klantgegevens_A!A570, FIND(",", Klantgegevens_A!A570)+2, LEN(Klantgegevens_A!A570)))</f>
        <v/>
      </c>
      <c r="B571">
        <f>IF(Klantgegevens_B!B570&lt;&gt;"", Klantgegevens_B!B570, LEFT(Klantgegevens_A!A570, FIND(",", Klantgegevens_A!A570)-1))</f>
        <v/>
      </c>
      <c r="C571">
        <f>C570 &amp; ", " &amp; B570</f>
        <v/>
      </c>
      <c r="D571">
        <f>IF(Klantgegevens_B!F570&lt;&gt;"", Klantgegevens_B!F570, Klantgegevens_A!D570 &amp; " " &amp; Klantgegevens_A!E570 &amp; ", " &amp; Klantgegevens_A!F570)</f>
        <v/>
      </c>
      <c r="E571">
        <f>IF(Klantgegevens_B!G570&lt;&gt;"", Klantgegevens_B!G570, TEXTJOIN(",", TRUE, REPT("Volwassene,", Klantgegevens_A!G570), REPT("Kind,", Klantgegevens_A!H570)))</f>
        <v/>
      </c>
      <c r="F571">
        <f>IF(Klantgegevens_B!G570&lt;&gt;"", LEN(Klantgegevens_B!G570)-LEN(SUBSTITUTE(Klantgegevens_B!G570, ",", ""))+1, Klantgegevens_A!G570)</f>
        <v/>
      </c>
      <c r="G571">
        <f>IF(Klantgegevens_B!G570&lt;&gt;"", 0, Klantgegevens_A!H570)</f>
        <v/>
      </c>
      <c r="H571">
        <f>IF(Klantgegevens_B!H570&lt;&gt;"", Klantgegevens_B!H570, Klantgegevens_A!I570)</f>
        <v/>
      </c>
      <c r="I571">
        <f>IF(Klantgegevens_B!I570&lt;&gt;"", Klantgegevens_B!I570, SWITCH(Klantgegevens_A!J570, "Zelden", 1, "Af en toe", 4, "Regelmatig", 8, "Vaak", 12))</f>
        <v/>
      </c>
      <c r="J571">
        <f>IF(Klantgegevens_B!J570&lt;&gt;"", Klantgegevens_B!J570, Klantgegevens_A!K570)</f>
        <v/>
      </c>
      <c r="K571">
        <f>IF(Klantgegevens_B!K570&lt;&gt;"", AVERAGE(--(Klantgegevens_B!K570="ja"), --(Klantgegevens_B!L570="ja"), --(Klantgegevens_B!M570="ja"), --(Klantgegevens_B!N570="ja"), --(Klantgegevens_B!O570="ja"))*10, Klantgegevens_A!L570)</f>
        <v/>
      </c>
      <c r="L571">
        <f>IF(Klantgegevens_B!K570&lt;&gt;"", Klantgegevens_B!K570, IF(Klantgegevens_A!L570&gt;=7, "ja", "nee"))</f>
        <v/>
      </c>
      <c r="M571">
        <f>IF(Klantgegevens_B!L570&lt;&gt;"", Klantgegevens_B!L570, IF(Klantgegevens_A!L570&gt;=7, "ja", "nee"))</f>
        <v/>
      </c>
      <c r="N571">
        <f>IF(Klantgegevens_B!M570&lt;&gt;"", Klantgegevens_B!M570, IF(Klantgegevens_A!L570&gt;=7, "ja", "nee"))</f>
        <v/>
      </c>
      <c r="O571">
        <f>IF(Klantgegevens_B!N570&lt;&gt;"", Klantgegevens_B!N570, IF(Klantgegevens_A!L570&gt;=7, "ja", "nee"))</f>
        <v/>
      </c>
      <c r="P571">
        <f>IF(Klantgegevens_B!O570&lt;&gt;"", Klantgegevens_B!O570, IF(Klantgegevens_A!L570&gt;=7, "ja", "nee"))</f>
        <v/>
      </c>
      <c r="Q571">
        <f>IF(Klantgegevens_B!P570&lt;&gt;"", Klantgegevens_B!P570, Klantgegevens_A!M570)</f>
        <v/>
      </c>
      <c r="R571">
        <f>IF(Klantgegevens_B!A570&lt;&gt;"", "B", "A")</f>
        <v/>
      </c>
    </row>
    <row r="572">
      <c r="A572">
        <f>IF(Klantgegevens_B!A571&lt;&gt;"", Klantgegevens_B!A571, MID(Klantgegevens_A!A571, FIND(",", Klantgegevens_A!A571)+2, LEN(Klantgegevens_A!A571)))</f>
        <v/>
      </c>
      <c r="B572">
        <f>IF(Klantgegevens_B!B571&lt;&gt;"", Klantgegevens_B!B571, LEFT(Klantgegevens_A!A571, FIND(",", Klantgegevens_A!A571)-1))</f>
        <v/>
      </c>
      <c r="C572">
        <f>C571 &amp; ", " &amp; B571</f>
        <v/>
      </c>
      <c r="D572">
        <f>IF(Klantgegevens_B!F571&lt;&gt;"", Klantgegevens_B!F571, Klantgegevens_A!D571 &amp; " " &amp; Klantgegevens_A!E571 &amp; ", " &amp; Klantgegevens_A!F571)</f>
        <v/>
      </c>
      <c r="E572">
        <f>IF(Klantgegevens_B!G571&lt;&gt;"", Klantgegevens_B!G571, TEXTJOIN(",", TRUE, REPT("Volwassene,", Klantgegevens_A!G571), REPT("Kind,", Klantgegevens_A!H571)))</f>
        <v/>
      </c>
      <c r="F572">
        <f>IF(Klantgegevens_B!G571&lt;&gt;"", LEN(Klantgegevens_B!G571)-LEN(SUBSTITUTE(Klantgegevens_B!G571, ",", ""))+1, Klantgegevens_A!G571)</f>
        <v/>
      </c>
      <c r="G572">
        <f>IF(Klantgegevens_B!G571&lt;&gt;"", 0, Klantgegevens_A!H571)</f>
        <v/>
      </c>
      <c r="H572">
        <f>IF(Klantgegevens_B!H571&lt;&gt;"", Klantgegevens_B!H571, Klantgegevens_A!I571)</f>
        <v/>
      </c>
      <c r="I572">
        <f>IF(Klantgegevens_B!I571&lt;&gt;"", Klantgegevens_B!I571, SWITCH(Klantgegevens_A!J571, "Zelden", 1, "Af en toe", 4, "Regelmatig", 8, "Vaak", 12))</f>
        <v/>
      </c>
      <c r="J572">
        <f>IF(Klantgegevens_B!J571&lt;&gt;"", Klantgegevens_B!J571, Klantgegevens_A!K571)</f>
        <v/>
      </c>
      <c r="K572">
        <f>IF(Klantgegevens_B!K571&lt;&gt;"", AVERAGE(--(Klantgegevens_B!K571="ja"), --(Klantgegevens_B!L571="ja"), --(Klantgegevens_B!M571="ja"), --(Klantgegevens_B!N571="ja"), --(Klantgegevens_B!O571="ja"))*10, Klantgegevens_A!L571)</f>
        <v/>
      </c>
      <c r="L572">
        <f>IF(Klantgegevens_B!K571&lt;&gt;"", Klantgegevens_B!K571, IF(Klantgegevens_A!L571&gt;=7, "ja", "nee"))</f>
        <v/>
      </c>
      <c r="M572">
        <f>IF(Klantgegevens_B!L571&lt;&gt;"", Klantgegevens_B!L571, IF(Klantgegevens_A!L571&gt;=7, "ja", "nee"))</f>
        <v/>
      </c>
      <c r="N572">
        <f>IF(Klantgegevens_B!M571&lt;&gt;"", Klantgegevens_B!M571, IF(Klantgegevens_A!L571&gt;=7, "ja", "nee"))</f>
        <v/>
      </c>
      <c r="O572">
        <f>IF(Klantgegevens_B!N571&lt;&gt;"", Klantgegevens_B!N571, IF(Klantgegevens_A!L571&gt;=7, "ja", "nee"))</f>
        <v/>
      </c>
      <c r="P572">
        <f>IF(Klantgegevens_B!O571&lt;&gt;"", Klantgegevens_B!O571, IF(Klantgegevens_A!L571&gt;=7, "ja", "nee"))</f>
        <v/>
      </c>
      <c r="Q572">
        <f>IF(Klantgegevens_B!P571&lt;&gt;"", Klantgegevens_B!P571, Klantgegevens_A!M571)</f>
        <v/>
      </c>
      <c r="R572">
        <f>IF(Klantgegevens_B!A571&lt;&gt;"", "B", "A")</f>
        <v/>
      </c>
    </row>
    <row r="573">
      <c r="A573">
        <f>IF(Klantgegevens_B!A572&lt;&gt;"", Klantgegevens_B!A572, MID(Klantgegevens_A!A572, FIND(",", Klantgegevens_A!A572)+2, LEN(Klantgegevens_A!A572)))</f>
        <v/>
      </c>
      <c r="B573">
        <f>IF(Klantgegevens_B!B572&lt;&gt;"", Klantgegevens_B!B572, LEFT(Klantgegevens_A!A572, FIND(",", Klantgegevens_A!A572)-1))</f>
        <v/>
      </c>
      <c r="C573">
        <f>C572 &amp; ", " &amp; B572</f>
        <v/>
      </c>
      <c r="D573">
        <f>IF(Klantgegevens_B!F572&lt;&gt;"", Klantgegevens_B!F572, Klantgegevens_A!D572 &amp; " " &amp; Klantgegevens_A!E572 &amp; ", " &amp; Klantgegevens_A!F572)</f>
        <v/>
      </c>
      <c r="E573">
        <f>IF(Klantgegevens_B!G572&lt;&gt;"", Klantgegevens_B!G572, TEXTJOIN(",", TRUE, REPT("Volwassene,", Klantgegevens_A!G572), REPT("Kind,", Klantgegevens_A!H572)))</f>
        <v/>
      </c>
      <c r="F573">
        <f>IF(Klantgegevens_B!G572&lt;&gt;"", LEN(Klantgegevens_B!G572)-LEN(SUBSTITUTE(Klantgegevens_B!G572, ",", ""))+1, Klantgegevens_A!G572)</f>
        <v/>
      </c>
      <c r="G573">
        <f>IF(Klantgegevens_B!G572&lt;&gt;"", 0, Klantgegevens_A!H572)</f>
        <v/>
      </c>
      <c r="H573">
        <f>IF(Klantgegevens_B!H572&lt;&gt;"", Klantgegevens_B!H572, Klantgegevens_A!I572)</f>
        <v/>
      </c>
      <c r="I573">
        <f>IF(Klantgegevens_B!I572&lt;&gt;"", Klantgegevens_B!I572, SWITCH(Klantgegevens_A!J572, "Zelden", 1, "Af en toe", 4, "Regelmatig", 8, "Vaak", 12))</f>
        <v/>
      </c>
      <c r="J573">
        <f>IF(Klantgegevens_B!J572&lt;&gt;"", Klantgegevens_B!J572, Klantgegevens_A!K572)</f>
        <v/>
      </c>
      <c r="K573">
        <f>IF(Klantgegevens_B!K572&lt;&gt;"", AVERAGE(--(Klantgegevens_B!K572="ja"), --(Klantgegevens_B!L572="ja"), --(Klantgegevens_B!M572="ja"), --(Klantgegevens_B!N572="ja"), --(Klantgegevens_B!O572="ja"))*10, Klantgegevens_A!L572)</f>
        <v/>
      </c>
      <c r="L573">
        <f>IF(Klantgegevens_B!K572&lt;&gt;"", Klantgegevens_B!K572, IF(Klantgegevens_A!L572&gt;=7, "ja", "nee"))</f>
        <v/>
      </c>
      <c r="M573">
        <f>IF(Klantgegevens_B!L572&lt;&gt;"", Klantgegevens_B!L572, IF(Klantgegevens_A!L572&gt;=7, "ja", "nee"))</f>
        <v/>
      </c>
      <c r="N573">
        <f>IF(Klantgegevens_B!M572&lt;&gt;"", Klantgegevens_B!M572, IF(Klantgegevens_A!L572&gt;=7, "ja", "nee"))</f>
        <v/>
      </c>
      <c r="O573">
        <f>IF(Klantgegevens_B!N572&lt;&gt;"", Klantgegevens_B!N572, IF(Klantgegevens_A!L572&gt;=7, "ja", "nee"))</f>
        <v/>
      </c>
      <c r="P573">
        <f>IF(Klantgegevens_B!O572&lt;&gt;"", Klantgegevens_B!O572, IF(Klantgegevens_A!L572&gt;=7, "ja", "nee"))</f>
        <v/>
      </c>
      <c r="Q573">
        <f>IF(Klantgegevens_B!P572&lt;&gt;"", Klantgegevens_B!P572, Klantgegevens_A!M572)</f>
        <v/>
      </c>
      <c r="R573">
        <f>IF(Klantgegevens_B!A572&lt;&gt;"", "B", "A")</f>
        <v/>
      </c>
    </row>
    <row r="574">
      <c r="A574">
        <f>IF(Klantgegevens_B!A573&lt;&gt;"", Klantgegevens_B!A573, MID(Klantgegevens_A!A573, FIND(",", Klantgegevens_A!A573)+2, LEN(Klantgegevens_A!A573)))</f>
        <v/>
      </c>
      <c r="B574">
        <f>IF(Klantgegevens_B!B573&lt;&gt;"", Klantgegevens_B!B573, LEFT(Klantgegevens_A!A573, FIND(",", Klantgegevens_A!A573)-1))</f>
        <v/>
      </c>
      <c r="C574">
        <f>C573 &amp; ", " &amp; B573</f>
        <v/>
      </c>
      <c r="D574">
        <f>IF(Klantgegevens_B!F573&lt;&gt;"", Klantgegevens_B!F573, Klantgegevens_A!D573 &amp; " " &amp; Klantgegevens_A!E573 &amp; ", " &amp; Klantgegevens_A!F573)</f>
        <v/>
      </c>
      <c r="E574">
        <f>IF(Klantgegevens_B!G573&lt;&gt;"", Klantgegevens_B!G573, TEXTJOIN(",", TRUE, REPT("Volwassene,", Klantgegevens_A!G573), REPT("Kind,", Klantgegevens_A!H573)))</f>
        <v/>
      </c>
      <c r="F574">
        <f>IF(Klantgegevens_B!G573&lt;&gt;"", LEN(Klantgegevens_B!G573)-LEN(SUBSTITUTE(Klantgegevens_B!G573, ",", ""))+1, Klantgegevens_A!G573)</f>
        <v/>
      </c>
      <c r="G574">
        <f>IF(Klantgegevens_B!G573&lt;&gt;"", 0, Klantgegevens_A!H573)</f>
        <v/>
      </c>
      <c r="H574">
        <f>IF(Klantgegevens_B!H573&lt;&gt;"", Klantgegevens_B!H573, Klantgegevens_A!I573)</f>
        <v/>
      </c>
      <c r="I574">
        <f>IF(Klantgegevens_B!I573&lt;&gt;"", Klantgegevens_B!I573, SWITCH(Klantgegevens_A!J573, "Zelden", 1, "Af en toe", 4, "Regelmatig", 8, "Vaak", 12))</f>
        <v/>
      </c>
      <c r="J574">
        <f>IF(Klantgegevens_B!J573&lt;&gt;"", Klantgegevens_B!J573, Klantgegevens_A!K573)</f>
        <v/>
      </c>
      <c r="K574">
        <f>IF(Klantgegevens_B!K573&lt;&gt;"", AVERAGE(--(Klantgegevens_B!K573="ja"), --(Klantgegevens_B!L573="ja"), --(Klantgegevens_B!M573="ja"), --(Klantgegevens_B!N573="ja"), --(Klantgegevens_B!O573="ja"))*10, Klantgegevens_A!L573)</f>
        <v/>
      </c>
      <c r="L574">
        <f>IF(Klantgegevens_B!K573&lt;&gt;"", Klantgegevens_B!K573, IF(Klantgegevens_A!L573&gt;=7, "ja", "nee"))</f>
        <v/>
      </c>
      <c r="M574">
        <f>IF(Klantgegevens_B!L573&lt;&gt;"", Klantgegevens_B!L573, IF(Klantgegevens_A!L573&gt;=7, "ja", "nee"))</f>
        <v/>
      </c>
      <c r="N574">
        <f>IF(Klantgegevens_B!M573&lt;&gt;"", Klantgegevens_B!M573, IF(Klantgegevens_A!L573&gt;=7, "ja", "nee"))</f>
        <v/>
      </c>
      <c r="O574">
        <f>IF(Klantgegevens_B!N573&lt;&gt;"", Klantgegevens_B!N573, IF(Klantgegevens_A!L573&gt;=7, "ja", "nee"))</f>
        <v/>
      </c>
      <c r="P574">
        <f>IF(Klantgegevens_B!O573&lt;&gt;"", Klantgegevens_B!O573, IF(Klantgegevens_A!L573&gt;=7, "ja", "nee"))</f>
        <v/>
      </c>
      <c r="Q574">
        <f>IF(Klantgegevens_B!P573&lt;&gt;"", Klantgegevens_B!P573, Klantgegevens_A!M573)</f>
        <v/>
      </c>
      <c r="R574">
        <f>IF(Klantgegevens_B!A573&lt;&gt;"", "B", "A")</f>
        <v/>
      </c>
    </row>
    <row r="575">
      <c r="A575">
        <f>IF(Klantgegevens_B!A574&lt;&gt;"", Klantgegevens_B!A574, MID(Klantgegevens_A!A574, FIND(",", Klantgegevens_A!A574)+2, LEN(Klantgegevens_A!A574)))</f>
        <v/>
      </c>
      <c r="B575">
        <f>IF(Klantgegevens_B!B574&lt;&gt;"", Klantgegevens_B!B574, LEFT(Klantgegevens_A!A574, FIND(",", Klantgegevens_A!A574)-1))</f>
        <v/>
      </c>
      <c r="C575">
        <f>C574 &amp; ", " &amp; B574</f>
        <v/>
      </c>
      <c r="D575">
        <f>IF(Klantgegevens_B!F574&lt;&gt;"", Klantgegevens_B!F574, Klantgegevens_A!D574 &amp; " " &amp; Klantgegevens_A!E574 &amp; ", " &amp; Klantgegevens_A!F574)</f>
        <v/>
      </c>
      <c r="E575">
        <f>IF(Klantgegevens_B!G574&lt;&gt;"", Klantgegevens_B!G574, TEXTJOIN(",", TRUE, REPT("Volwassene,", Klantgegevens_A!G574), REPT("Kind,", Klantgegevens_A!H574)))</f>
        <v/>
      </c>
      <c r="F575">
        <f>IF(Klantgegevens_B!G574&lt;&gt;"", LEN(Klantgegevens_B!G574)-LEN(SUBSTITUTE(Klantgegevens_B!G574, ",", ""))+1, Klantgegevens_A!G574)</f>
        <v/>
      </c>
      <c r="G575">
        <f>IF(Klantgegevens_B!G574&lt;&gt;"", 0, Klantgegevens_A!H574)</f>
        <v/>
      </c>
      <c r="H575">
        <f>IF(Klantgegevens_B!H574&lt;&gt;"", Klantgegevens_B!H574, Klantgegevens_A!I574)</f>
        <v/>
      </c>
      <c r="I575">
        <f>IF(Klantgegevens_B!I574&lt;&gt;"", Klantgegevens_B!I574, SWITCH(Klantgegevens_A!J574, "Zelden", 1, "Af en toe", 4, "Regelmatig", 8, "Vaak", 12))</f>
        <v/>
      </c>
      <c r="J575">
        <f>IF(Klantgegevens_B!J574&lt;&gt;"", Klantgegevens_B!J574, Klantgegevens_A!K574)</f>
        <v/>
      </c>
      <c r="K575">
        <f>IF(Klantgegevens_B!K574&lt;&gt;"", AVERAGE(--(Klantgegevens_B!K574="ja"), --(Klantgegevens_B!L574="ja"), --(Klantgegevens_B!M574="ja"), --(Klantgegevens_B!N574="ja"), --(Klantgegevens_B!O574="ja"))*10, Klantgegevens_A!L574)</f>
        <v/>
      </c>
      <c r="L575">
        <f>IF(Klantgegevens_B!K574&lt;&gt;"", Klantgegevens_B!K574, IF(Klantgegevens_A!L574&gt;=7, "ja", "nee"))</f>
        <v/>
      </c>
      <c r="M575">
        <f>IF(Klantgegevens_B!L574&lt;&gt;"", Klantgegevens_B!L574, IF(Klantgegevens_A!L574&gt;=7, "ja", "nee"))</f>
        <v/>
      </c>
      <c r="N575">
        <f>IF(Klantgegevens_B!M574&lt;&gt;"", Klantgegevens_B!M574, IF(Klantgegevens_A!L574&gt;=7, "ja", "nee"))</f>
        <v/>
      </c>
      <c r="O575">
        <f>IF(Klantgegevens_B!N574&lt;&gt;"", Klantgegevens_B!N574, IF(Klantgegevens_A!L574&gt;=7, "ja", "nee"))</f>
        <v/>
      </c>
      <c r="P575">
        <f>IF(Klantgegevens_B!O574&lt;&gt;"", Klantgegevens_B!O574, IF(Klantgegevens_A!L574&gt;=7, "ja", "nee"))</f>
        <v/>
      </c>
      <c r="Q575">
        <f>IF(Klantgegevens_B!P574&lt;&gt;"", Klantgegevens_B!P574, Klantgegevens_A!M574)</f>
        <v/>
      </c>
      <c r="R575">
        <f>IF(Klantgegevens_B!A574&lt;&gt;"", "B", "A")</f>
        <v/>
      </c>
    </row>
    <row r="576">
      <c r="A576">
        <f>IF(Klantgegevens_B!A575&lt;&gt;"", Klantgegevens_B!A575, MID(Klantgegevens_A!A575, FIND(",", Klantgegevens_A!A575)+2, LEN(Klantgegevens_A!A575)))</f>
        <v/>
      </c>
      <c r="B576">
        <f>IF(Klantgegevens_B!B575&lt;&gt;"", Klantgegevens_B!B575, LEFT(Klantgegevens_A!A575, FIND(",", Klantgegevens_A!A575)-1))</f>
        <v/>
      </c>
      <c r="C576">
        <f>C575 &amp; ", " &amp; B575</f>
        <v/>
      </c>
      <c r="D576">
        <f>IF(Klantgegevens_B!F575&lt;&gt;"", Klantgegevens_B!F575, Klantgegevens_A!D575 &amp; " " &amp; Klantgegevens_A!E575 &amp; ", " &amp; Klantgegevens_A!F575)</f>
        <v/>
      </c>
      <c r="E576">
        <f>IF(Klantgegevens_B!G575&lt;&gt;"", Klantgegevens_B!G575, TEXTJOIN(",", TRUE, REPT("Volwassene,", Klantgegevens_A!G575), REPT("Kind,", Klantgegevens_A!H575)))</f>
        <v/>
      </c>
      <c r="F576">
        <f>IF(Klantgegevens_B!G575&lt;&gt;"", LEN(Klantgegevens_B!G575)-LEN(SUBSTITUTE(Klantgegevens_B!G575, ",", ""))+1, Klantgegevens_A!G575)</f>
        <v/>
      </c>
      <c r="G576">
        <f>IF(Klantgegevens_B!G575&lt;&gt;"", 0, Klantgegevens_A!H575)</f>
        <v/>
      </c>
      <c r="H576">
        <f>IF(Klantgegevens_B!H575&lt;&gt;"", Klantgegevens_B!H575, Klantgegevens_A!I575)</f>
        <v/>
      </c>
      <c r="I576">
        <f>IF(Klantgegevens_B!I575&lt;&gt;"", Klantgegevens_B!I575, SWITCH(Klantgegevens_A!J575, "Zelden", 1, "Af en toe", 4, "Regelmatig", 8, "Vaak", 12))</f>
        <v/>
      </c>
      <c r="J576">
        <f>IF(Klantgegevens_B!J575&lt;&gt;"", Klantgegevens_B!J575, Klantgegevens_A!K575)</f>
        <v/>
      </c>
      <c r="K576">
        <f>IF(Klantgegevens_B!K575&lt;&gt;"", AVERAGE(--(Klantgegevens_B!K575="ja"), --(Klantgegevens_B!L575="ja"), --(Klantgegevens_B!M575="ja"), --(Klantgegevens_B!N575="ja"), --(Klantgegevens_B!O575="ja"))*10, Klantgegevens_A!L575)</f>
        <v/>
      </c>
      <c r="L576">
        <f>IF(Klantgegevens_B!K575&lt;&gt;"", Klantgegevens_B!K575, IF(Klantgegevens_A!L575&gt;=7, "ja", "nee"))</f>
        <v/>
      </c>
      <c r="M576">
        <f>IF(Klantgegevens_B!L575&lt;&gt;"", Klantgegevens_B!L575, IF(Klantgegevens_A!L575&gt;=7, "ja", "nee"))</f>
        <v/>
      </c>
      <c r="N576">
        <f>IF(Klantgegevens_B!M575&lt;&gt;"", Klantgegevens_B!M575, IF(Klantgegevens_A!L575&gt;=7, "ja", "nee"))</f>
        <v/>
      </c>
      <c r="O576">
        <f>IF(Klantgegevens_B!N575&lt;&gt;"", Klantgegevens_B!N575, IF(Klantgegevens_A!L575&gt;=7, "ja", "nee"))</f>
        <v/>
      </c>
      <c r="P576">
        <f>IF(Klantgegevens_B!O575&lt;&gt;"", Klantgegevens_B!O575, IF(Klantgegevens_A!L575&gt;=7, "ja", "nee"))</f>
        <v/>
      </c>
      <c r="Q576">
        <f>IF(Klantgegevens_B!P575&lt;&gt;"", Klantgegevens_B!P575, Klantgegevens_A!M575)</f>
        <v/>
      </c>
      <c r="R576">
        <f>IF(Klantgegevens_B!A575&lt;&gt;"", "B", "A")</f>
        <v/>
      </c>
    </row>
    <row r="577">
      <c r="A577">
        <f>IF(Klantgegevens_B!A576&lt;&gt;"", Klantgegevens_B!A576, MID(Klantgegevens_A!A576, FIND(",", Klantgegevens_A!A576)+2, LEN(Klantgegevens_A!A576)))</f>
        <v/>
      </c>
      <c r="B577">
        <f>IF(Klantgegevens_B!B576&lt;&gt;"", Klantgegevens_B!B576, LEFT(Klantgegevens_A!A576, FIND(",", Klantgegevens_A!A576)-1))</f>
        <v/>
      </c>
      <c r="C577">
        <f>C576 &amp; ", " &amp; B576</f>
        <v/>
      </c>
      <c r="D577">
        <f>IF(Klantgegevens_B!F576&lt;&gt;"", Klantgegevens_B!F576, Klantgegevens_A!D576 &amp; " " &amp; Klantgegevens_A!E576 &amp; ", " &amp; Klantgegevens_A!F576)</f>
        <v/>
      </c>
      <c r="E577">
        <f>IF(Klantgegevens_B!G576&lt;&gt;"", Klantgegevens_B!G576, TEXTJOIN(",", TRUE, REPT("Volwassene,", Klantgegevens_A!G576), REPT("Kind,", Klantgegevens_A!H576)))</f>
        <v/>
      </c>
      <c r="F577">
        <f>IF(Klantgegevens_B!G576&lt;&gt;"", LEN(Klantgegevens_B!G576)-LEN(SUBSTITUTE(Klantgegevens_B!G576, ",", ""))+1, Klantgegevens_A!G576)</f>
        <v/>
      </c>
      <c r="G577">
        <f>IF(Klantgegevens_B!G576&lt;&gt;"", 0, Klantgegevens_A!H576)</f>
        <v/>
      </c>
      <c r="H577">
        <f>IF(Klantgegevens_B!H576&lt;&gt;"", Klantgegevens_B!H576, Klantgegevens_A!I576)</f>
        <v/>
      </c>
      <c r="I577">
        <f>IF(Klantgegevens_B!I576&lt;&gt;"", Klantgegevens_B!I576, SWITCH(Klantgegevens_A!J576, "Zelden", 1, "Af en toe", 4, "Regelmatig", 8, "Vaak", 12))</f>
        <v/>
      </c>
      <c r="J577">
        <f>IF(Klantgegevens_B!J576&lt;&gt;"", Klantgegevens_B!J576, Klantgegevens_A!K576)</f>
        <v/>
      </c>
      <c r="K577">
        <f>IF(Klantgegevens_B!K576&lt;&gt;"", AVERAGE(--(Klantgegevens_B!K576="ja"), --(Klantgegevens_B!L576="ja"), --(Klantgegevens_B!M576="ja"), --(Klantgegevens_B!N576="ja"), --(Klantgegevens_B!O576="ja"))*10, Klantgegevens_A!L576)</f>
        <v/>
      </c>
      <c r="L577">
        <f>IF(Klantgegevens_B!K576&lt;&gt;"", Klantgegevens_B!K576, IF(Klantgegevens_A!L576&gt;=7, "ja", "nee"))</f>
        <v/>
      </c>
      <c r="M577">
        <f>IF(Klantgegevens_B!L576&lt;&gt;"", Klantgegevens_B!L576, IF(Klantgegevens_A!L576&gt;=7, "ja", "nee"))</f>
        <v/>
      </c>
      <c r="N577">
        <f>IF(Klantgegevens_B!M576&lt;&gt;"", Klantgegevens_B!M576, IF(Klantgegevens_A!L576&gt;=7, "ja", "nee"))</f>
        <v/>
      </c>
      <c r="O577">
        <f>IF(Klantgegevens_B!N576&lt;&gt;"", Klantgegevens_B!N576, IF(Klantgegevens_A!L576&gt;=7, "ja", "nee"))</f>
        <v/>
      </c>
      <c r="P577">
        <f>IF(Klantgegevens_B!O576&lt;&gt;"", Klantgegevens_B!O576, IF(Klantgegevens_A!L576&gt;=7, "ja", "nee"))</f>
        <v/>
      </c>
      <c r="Q577">
        <f>IF(Klantgegevens_B!P576&lt;&gt;"", Klantgegevens_B!P576, Klantgegevens_A!M576)</f>
        <v/>
      </c>
      <c r="R577">
        <f>IF(Klantgegevens_B!A576&lt;&gt;"", "B", "A")</f>
        <v/>
      </c>
    </row>
    <row r="578">
      <c r="A578">
        <f>IF(Klantgegevens_B!A577&lt;&gt;"", Klantgegevens_B!A577, MID(Klantgegevens_A!A577, FIND(",", Klantgegevens_A!A577)+2, LEN(Klantgegevens_A!A577)))</f>
        <v/>
      </c>
      <c r="B578">
        <f>IF(Klantgegevens_B!B577&lt;&gt;"", Klantgegevens_B!B577, LEFT(Klantgegevens_A!A577, FIND(",", Klantgegevens_A!A577)-1))</f>
        <v/>
      </c>
      <c r="C578">
        <f>C577 &amp; ", " &amp; B577</f>
        <v/>
      </c>
      <c r="D578">
        <f>IF(Klantgegevens_B!F577&lt;&gt;"", Klantgegevens_B!F577, Klantgegevens_A!D577 &amp; " " &amp; Klantgegevens_A!E577 &amp; ", " &amp; Klantgegevens_A!F577)</f>
        <v/>
      </c>
      <c r="E578">
        <f>IF(Klantgegevens_B!G577&lt;&gt;"", Klantgegevens_B!G577, TEXTJOIN(",", TRUE, REPT("Volwassene,", Klantgegevens_A!G577), REPT("Kind,", Klantgegevens_A!H577)))</f>
        <v/>
      </c>
      <c r="F578">
        <f>IF(Klantgegevens_B!G577&lt;&gt;"", LEN(Klantgegevens_B!G577)-LEN(SUBSTITUTE(Klantgegevens_B!G577, ",", ""))+1, Klantgegevens_A!G577)</f>
        <v/>
      </c>
      <c r="G578">
        <f>IF(Klantgegevens_B!G577&lt;&gt;"", 0, Klantgegevens_A!H577)</f>
        <v/>
      </c>
      <c r="H578">
        <f>IF(Klantgegevens_B!H577&lt;&gt;"", Klantgegevens_B!H577, Klantgegevens_A!I577)</f>
        <v/>
      </c>
      <c r="I578">
        <f>IF(Klantgegevens_B!I577&lt;&gt;"", Klantgegevens_B!I577, SWITCH(Klantgegevens_A!J577, "Zelden", 1, "Af en toe", 4, "Regelmatig", 8, "Vaak", 12))</f>
        <v/>
      </c>
      <c r="J578">
        <f>IF(Klantgegevens_B!J577&lt;&gt;"", Klantgegevens_B!J577, Klantgegevens_A!K577)</f>
        <v/>
      </c>
      <c r="K578">
        <f>IF(Klantgegevens_B!K577&lt;&gt;"", AVERAGE(--(Klantgegevens_B!K577="ja"), --(Klantgegevens_B!L577="ja"), --(Klantgegevens_B!M577="ja"), --(Klantgegevens_B!N577="ja"), --(Klantgegevens_B!O577="ja"))*10, Klantgegevens_A!L577)</f>
        <v/>
      </c>
      <c r="L578">
        <f>IF(Klantgegevens_B!K577&lt;&gt;"", Klantgegevens_B!K577, IF(Klantgegevens_A!L577&gt;=7, "ja", "nee"))</f>
        <v/>
      </c>
      <c r="M578">
        <f>IF(Klantgegevens_B!L577&lt;&gt;"", Klantgegevens_B!L577, IF(Klantgegevens_A!L577&gt;=7, "ja", "nee"))</f>
        <v/>
      </c>
      <c r="N578">
        <f>IF(Klantgegevens_B!M577&lt;&gt;"", Klantgegevens_B!M577, IF(Klantgegevens_A!L577&gt;=7, "ja", "nee"))</f>
        <v/>
      </c>
      <c r="O578">
        <f>IF(Klantgegevens_B!N577&lt;&gt;"", Klantgegevens_B!N577, IF(Klantgegevens_A!L577&gt;=7, "ja", "nee"))</f>
        <v/>
      </c>
      <c r="P578">
        <f>IF(Klantgegevens_B!O577&lt;&gt;"", Klantgegevens_B!O577, IF(Klantgegevens_A!L577&gt;=7, "ja", "nee"))</f>
        <v/>
      </c>
      <c r="Q578">
        <f>IF(Klantgegevens_B!P577&lt;&gt;"", Klantgegevens_B!P577, Klantgegevens_A!M577)</f>
        <v/>
      </c>
      <c r="R578">
        <f>IF(Klantgegevens_B!A577&lt;&gt;"", "B", "A")</f>
        <v/>
      </c>
    </row>
    <row r="579">
      <c r="A579">
        <f>IF(Klantgegevens_B!A578&lt;&gt;"", Klantgegevens_B!A578, MID(Klantgegevens_A!A578, FIND(",", Klantgegevens_A!A578)+2, LEN(Klantgegevens_A!A578)))</f>
        <v/>
      </c>
      <c r="B579">
        <f>IF(Klantgegevens_B!B578&lt;&gt;"", Klantgegevens_B!B578, LEFT(Klantgegevens_A!A578, FIND(",", Klantgegevens_A!A578)-1))</f>
        <v/>
      </c>
      <c r="C579">
        <f>C578 &amp; ", " &amp; B578</f>
        <v/>
      </c>
      <c r="D579">
        <f>IF(Klantgegevens_B!F578&lt;&gt;"", Klantgegevens_B!F578, Klantgegevens_A!D578 &amp; " " &amp; Klantgegevens_A!E578 &amp; ", " &amp; Klantgegevens_A!F578)</f>
        <v/>
      </c>
      <c r="E579">
        <f>IF(Klantgegevens_B!G578&lt;&gt;"", Klantgegevens_B!G578, TEXTJOIN(",", TRUE, REPT("Volwassene,", Klantgegevens_A!G578), REPT("Kind,", Klantgegevens_A!H578)))</f>
        <v/>
      </c>
      <c r="F579">
        <f>IF(Klantgegevens_B!G578&lt;&gt;"", LEN(Klantgegevens_B!G578)-LEN(SUBSTITUTE(Klantgegevens_B!G578, ",", ""))+1, Klantgegevens_A!G578)</f>
        <v/>
      </c>
      <c r="G579">
        <f>IF(Klantgegevens_B!G578&lt;&gt;"", 0, Klantgegevens_A!H578)</f>
        <v/>
      </c>
      <c r="H579">
        <f>IF(Klantgegevens_B!H578&lt;&gt;"", Klantgegevens_B!H578, Klantgegevens_A!I578)</f>
        <v/>
      </c>
      <c r="I579">
        <f>IF(Klantgegevens_B!I578&lt;&gt;"", Klantgegevens_B!I578, SWITCH(Klantgegevens_A!J578, "Zelden", 1, "Af en toe", 4, "Regelmatig", 8, "Vaak", 12))</f>
        <v/>
      </c>
      <c r="J579">
        <f>IF(Klantgegevens_B!J578&lt;&gt;"", Klantgegevens_B!J578, Klantgegevens_A!K578)</f>
        <v/>
      </c>
      <c r="K579">
        <f>IF(Klantgegevens_B!K578&lt;&gt;"", AVERAGE(--(Klantgegevens_B!K578="ja"), --(Klantgegevens_B!L578="ja"), --(Klantgegevens_B!M578="ja"), --(Klantgegevens_B!N578="ja"), --(Klantgegevens_B!O578="ja"))*10, Klantgegevens_A!L578)</f>
        <v/>
      </c>
      <c r="L579">
        <f>IF(Klantgegevens_B!K578&lt;&gt;"", Klantgegevens_B!K578, IF(Klantgegevens_A!L578&gt;=7, "ja", "nee"))</f>
        <v/>
      </c>
      <c r="M579">
        <f>IF(Klantgegevens_B!L578&lt;&gt;"", Klantgegevens_B!L578, IF(Klantgegevens_A!L578&gt;=7, "ja", "nee"))</f>
        <v/>
      </c>
      <c r="N579">
        <f>IF(Klantgegevens_B!M578&lt;&gt;"", Klantgegevens_B!M578, IF(Klantgegevens_A!L578&gt;=7, "ja", "nee"))</f>
        <v/>
      </c>
      <c r="O579">
        <f>IF(Klantgegevens_B!N578&lt;&gt;"", Klantgegevens_B!N578, IF(Klantgegevens_A!L578&gt;=7, "ja", "nee"))</f>
        <v/>
      </c>
      <c r="P579">
        <f>IF(Klantgegevens_B!O578&lt;&gt;"", Klantgegevens_B!O578, IF(Klantgegevens_A!L578&gt;=7, "ja", "nee"))</f>
        <v/>
      </c>
      <c r="Q579">
        <f>IF(Klantgegevens_B!P578&lt;&gt;"", Klantgegevens_B!P578, Klantgegevens_A!M578)</f>
        <v/>
      </c>
      <c r="R579">
        <f>IF(Klantgegevens_B!A578&lt;&gt;"", "B", "A")</f>
        <v/>
      </c>
    </row>
    <row r="580">
      <c r="A580">
        <f>IF(Klantgegevens_B!A579&lt;&gt;"", Klantgegevens_B!A579, MID(Klantgegevens_A!A579, FIND(",", Klantgegevens_A!A579)+2, LEN(Klantgegevens_A!A579)))</f>
        <v/>
      </c>
      <c r="B580">
        <f>IF(Klantgegevens_B!B579&lt;&gt;"", Klantgegevens_B!B579, LEFT(Klantgegevens_A!A579, FIND(",", Klantgegevens_A!A579)-1))</f>
        <v/>
      </c>
      <c r="C580">
        <f>C579 &amp; ", " &amp; B579</f>
        <v/>
      </c>
      <c r="D580">
        <f>IF(Klantgegevens_B!F579&lt;&gt;"", Klantgegevens_B!F579, Klantgegevens_A!D579 &amp; " " &amp; Klantgegevens_A!E579 &amp; ", " &amp; Klantgegevens_A!F579)</f>
        <v/>
      </c>
      <c r="E580">
        <f>IF(Klantgegevens_B!G579&lt;&gt;"", Klantgegevens_B!G579, TEXTJOIN(",", TRUE, REPT("Volwassene,", Klantgegevens_A!G579), REPT("Kind,", Klantgegevens_A!H579)))</f>
        <v/>
      </c>
      <c r="F580">
        <f>IF(Klantgegevens_B!G579&lt;&gt;"", LEN(Klantgegevens_B!G579)-LEN(SUBSTITUTE(Klantgegevens_B!G579, ",", ""))+1, Klantgegevens_A!G579)</f>
        <v/>
      </c>
      <c r="G580">
        <f>IF(Klantgegevens_B!G579&lt;&gt;"", 0, Klantgegevens_A!H579)</f>
        <v/>
      </c>
      <c r="H580">
        <f>IF(Klantgegevens_B!H579&lt;&gt;"", Klantgegevens_B!H579, Klantgegevens_A!I579)</f>
        <v/>
      </c>
      <c r="I580">
        <f>IF(Klantgegevens_B!I579&lt;&gt;"", Klantgegevens_B!I579, SWITCH(Klantgegevens_A!J579, "Zelden", 1, "Af en toe", 4, "Regelmatig", 8, "Vaak", 12))</f>
        <v/>
      </c>
      <c r="J580">
        <f>IF(Klantgegevens_B!J579&lt;&gt;"", Klantgegevens_B!J579, Klantgegevens_A!K579)</f>
        <v/>
      </c>
      <c r="K580">
        <f>IF(Klantgegevens_B!K579&lt;&gt;"", AVERAGE(--(Klantgegevens_B!K579="ja"), --(Klantgegevens_B!L579="ja"), --(Klantgegevens_B!M579="ja"), --(Klantgegevens_B!N579="ja"), --(Klantgegevens_B!O579="ja"))*10, Klantgegevens_A!L579)</f>
        <v/>
      </c>
      <c r="L580">
        <f>IF(Klantgegevens_B!K579&lt;&gt;"", Klantgegevens_B!K579, IF(Klantgegevens_A!L579&gt;=7, "ja", "nee"))</f>
        <v/>
      </c>
      <c r="M580">
        <f>IF(Klantgegevens_B!L579&lt;&gt;"", Klantgegevens_B!L579, IF(Klantgegevens_A!L579&gt;=7, "ja", "nee"))</f>
        <v/>
      </c>
      <c r="N580">
        <f>IF(Klantgegevens_B!M579&lt;&gt;"", Klantgegevens_B!M579, IF(Klantgegevens_A!L579&gt;=7, "ja", "nee"))</f>
        <v/>
      </c>
      <c r="O580">
        <f>IF(Klantgegevens_B!N579&lt;&gt;"", Klantgegevens_B!N579, IF(Klantgegevens_A!L579&gt;=7, "ja", "nee"))</f>
        <v/>
      </c>
      <c r="P580">
        <f>IF(Klantgegevens_B!O579&lt;&gt;"", Klantgegevens_B!O579, IF(Klantgegevens_A!L579&gt;=7, "ja", "nee"))</f>
        <v/>
      </c>
      <c r="Q580">
        <f>IF(Klantgegevens_B!P579&lt;&gt;"", Klantgegevens_B!P579, Klantgegevens_A!M579)</f>
        <v/>
      </c>
      <c r="R580">
        <f>IF(Klantgegevens_B!A579&lt;&gt;"", "B", "A")</f>
        <v/>
      </c>
    </row>
    <row r="581">
      <c r="A581">
        <f>IF(Klantgegevens_B!A580&lt;&gt;"", Klantgegevens_B!A580, MID(Klantgegevens_A!A580, FIND(",", Klantgegevens_A!A580)+2, LEN(Klantgegevens_A!A580)))</f>
        <v/>
      </c>
      <c r="B581">
        <f>IF(Klantgegevens_B!B580&lt;&gt;"", Klantgegevens_B!B580, LEFT(Klantgegevens_A!A580, FIND(",", Klantgegevens_A!A580)-1))</f>
        <v/>
      </c>
      <c r="C581">
        <f>C580 &amp; ", " &amp; B580</f>
        <v/>
      </c>
      <c r="D581">
        <f>IF(Klantgegevens_B!F580&lt;&gt;"", Klantgegevens_B!F580, Klantgegevens_A!D580 &amp; " " &amp; Klantgegevens_A!E580 &amp; ", " &amp; Klantgegevens_A!F580)</f>
        <v/>
      </c>
      <c r="E581">
        <f>IF(Klantgegevens_B!G580&lt;&gt;"", Klantgegevens_B!G580, TEXTJOIN(",", TRUE, REPT("Volwassene,", Klantgegevens_A!G580), REPT("Kind,", Klantgegevens_A!H580)))</f>
        <v/>
      </c>
      <c r="F581">
        <f>IF(Klantgegevens_B!G580&lt;&gt;"", LEN(Klantgegevens_B!G580)-LEN(SUBSTITUTE(Klantgegevens_B!G580, ",", ""))+1, Klantgegevens_A!G580)</f>
        <v/>
      </c>
      <c r="G581">
        <f>IF(Klantgegevens_B!G580&lt;&gt;"", 0, Klantgegevens_A!H580)</f>
        <v/>
      </c>
      <c r="H581">
        <f>IF(Klantgegevens_B!H580&lt;&gt;"", Klantgegevens_B!H580, Klantgegevens_A!I580)</f>
        <v/>
      </c>
      <c r="I581">
        <f>IF(Klantgegevens_B!I580&lt;&gt;"", Klantgegevens_B!I580, SWITCH(Klantgegevens_A!J580, "Zelden", 1, "Af en toe", 4, "Regelmatig", 8, "Vaak", 12))</f>
        <v/>
      </c>
      <c r="J581">
        <f>IF(Klantgegevens_B!J580&lt;&gt;"", Klantgegevens_B!J580, Klantgegevens_A!K580)</f>
        <v/>
      </c>
      <c r="K581">
        <f>IF(Klantgegevens_B!K580&lt;&gt;"", AVERAGE(--(Klantgegevens_B!K580="ja"), --(Klantgegevens_B!L580="ja"), --(Klantgegevens_B!M580="ja"), --(Klantgegevens_B!N580="ja"), --(Klantgegevens_B!O580="ja"))*10, Klantgegevens_A!L580)</f>
        <v/>
      </c>
      <c r="L581">
        <f>IF(Klantgegevens_B!K580&lt;&gt;"", Klantgegevens_B!K580, IF(Klantgegevens_A!L580&gt;=7, "ja", "nee"))</f>
        <v/>
      </c>
      <c r="M581">
        <f>IF(Klantgegevens_B!L580&lt;&gt;"", Klantgegevens_B!L580, IF(Klantgegevens_A!L580&gt;=7, "ja", "nee"))</f>
        <v/>
      </c>
      <c r="N581">
        <f>IF(Klantgegevens_B!M580&lt;&gt;"", Klantgegevens_B!M580, IF(Klantgegevens_A!L580&gt;=7, "ja", "nee"))</f>
        <v/>
      </c>
      <c r="O581">
        <f>IF(Klantgegevens_B!N580&lt;&gt;"", Klantgegevens_B!N580, IF(Klantgegevens_A!L580&gt;=7, "ja", "nee"))</f>
        <v/>
      </c>
      <c r="P581">
        <f>IF(Klantgegevens_B!O580&lt;&gt;"", Klantgegevens_B!O580, IF(Klantgegevens_A!L580&gt;=7, "ja", "nee"))</f>
        <v/>
      </c>
      <c r="Q581">
        <f>IF(Klantgegevens_B!P580&lt;&gt;"", Klantgegevens_B!P580, Klantgegevens_A!M580)</f>
        <v/>
      </c>
      <c r="R581">
        <f>IF(Klantgegevens_B!A580&lt;&gt;"", "B", "A")</f>
        <v/>
      </c>
    </row>
    <row r="582">
      <c r="A582">
        <f>IF(Klantgegevens_B!A581&lt;&gt;"", Klantgegevens_B!A581, MID(Klantgegevens_A!A581, FIND(",", Klantgegevens_A!A581)+2, LEN(Klantgegevens_A!A581)))</f>
        <v/>
      </c>
      <c r="B582">
        <f>IF(Klantgegevens_B!B581&lt;&gt;"", Klantgegevens_B!B581, LEFT(Klantgegevens_A!A581, FIND(",", Klantgegevens_A!A581)-1))</f>
        <v/>
      </c>
      <c r="C582">
        <f>C581 &amp; ", " &amp; B581</f>
        <v/>
      </c>
      <c r="D582">
        <f>IF(Klantgegevens_B!F581&lt;&gt;"", Klantgegevens_B!F581, Klantgegevens_A!D581 &amp; " " &amp; Klantgegevens_A!E581 &amp; ", " &amp; Klantgegevens_A!F581)</f>
        <v/>
      </c>
      <c r="E582">
        <f>IF(Klantgegevens_B!G581&lt;&gt;"", Klantgegevens_B!G581, TEXTJOIN(",", TRUE, REPT("Volwassene,", Klantgegevens_A!G581), REPT("Kind,", Klantgegevens_A!H581)))</f>
        <v/>
      </c>
      <c r="F582">
        <f>IF(Klantgegevens_B!G581&lt;&gt;"", LEN(Klantgegevens_B!G581)-LEN(SUBSTITUTE(Klantgegevens_B!G581, ",", ""))+1, Klantgegevens_A!G581)</f>
        <v/>
      </c>
      <c r="G582">
        <f>IF(Klantgegevens_B!G581&lt;&gt;"", 0, Klantgegevens_A!H581)</f>
        <v/>
      </c>
      <c r="H582">
        <f>IF(Klantgegevens_B!H581&lt;&gt;"", Klantgegevens_B!H581, Klantgegevens_A!I581)</f>
        <v/>
      </c>
      <c r="I582">
        <f>IF(Klantgegevens_B!I581&lt;&gt;"", Klantgegevens_B!I581, SWITCH(Klantgegevens_A!J581, "Zelden", 1, "Af en toe", 4, "Regelmatig", 8, "Vaak", 12))</f>
        <v/>
      </c>
      <c r="J582">
        <f>IF(Klantgegevens_B!J581&lt;&gt;"", Klantgegevens_B!J581, Klantgegevens_A!K581)</f>
        <v/>
      </c>
      <c r="K582">
        <f>IF(Klantgegevens_B!K581&lt;&gt;"", AVERAGE(--(Klantgegevens_B!K581="ja"), --(Klantgegevens_B!L581="ja"), --(Klantgegevens_B!M581="ja"), --(Klantgegevens_B!N581="ja"), --(Klantgegevens_B!O581="ja"))*10, Klantgegevens_A!L581)</f>
        <v/>
      </c>
      <c r="L582">
        <f>IF(Klantgegevens_B!K581&lt;&gt;"", Klantgegevens_B!K581, IF(Klantgegevens_A!L581&gt;=7, "ja", "nee"))</f>
        <v/>
      </c>
      <c r="M582">
        <f>IF(Klantgegevens_B!L581&lt;&gt;"", Klantgegevens_B!L581, IF(Klantgegevens_A!L581&gt;=7, "ja", "nee"))</f>
        <v/>
      </c>
      <c r="N582">
        <f>IF(Klantgegevens_B!M581&lt;&gt;"", Klantgegevens_B!M581, IF(Klantgegevens_A!L581&gt;=7, "ja", "nee"))</f>
        <v/>
      </c>
      <c r="O582">
        <f>IF(Klantgegevens_B!N581&lt;&gt;"", Klantgegevens_B!N581, IF(Klantgegevens_A!L581&gt;=7, "ja", "nee"))</f>
        <v/>
      </c>
      <c r="P582">
        <f>IF(Klantgegevens_B!O581&lt;&gt;"", Klantgegevens_B!O581, IF(Klantgegevens_A!L581&gt;=7, "ja", "nee"))</f>
        <v/>
      </c>
      <c r="Q582">
        <f>IF(Klantgegevens_B!P581&lt;&gt;"", Klantgegevens_B!P581, Klantgegevens_A!M581)</f>
        <v/>
      </c>
      <c r="R582">
        <f>IF(Klantgegevens_B!A581&lt;&gt;"", "B", "A")</f>
        <v/>
      </c>
    </row>
    <row r="583">
      <c r="A583">
        <f>IF(Klantgegevens_B!A582&lt;&gt;"", Klantgegevens_B!A582, MID(Klantgegevens_A!A582, FIND(",", Klantgegevens_A!A582)+2, LEN(Klantgegevens_A!A582)))</f>
        <v/>
      </c>
      <c r="B583">
        <f>IF(Klantgegevens_B!B582&lt;&gt;"", Klantgegevens_B!B582, LEFT(Klantgegevens_A!A582, FIND(",", Klantgegevens_A!A582)-1))</f>
        <v/>
      </c>
      <c r="C583">
        <f>C582 &amp; ", " &amp; B582</f>
        <v/>
      </c>
      <c r="D583">
        <f>IF(Klantgegevens_B!F582&lt;&gt;"", Klantgegevens_B!F582, Klantgegevens_A!D582 &amp; " " &amp; Klantgegevens_A!E582 &amp; ", " &amp; Klantgegevens_A!F582)</f>
        <v/>
      </c>
      <c r="E583">
        <f>IF(Klantgegevens_B!G582&lt;&gt;"", Klantgegevens_B!G582, TEXTJOIN(",", TRUE, REPT("Volwassene,", Klantgegevens_A!G582), REPT("Kind,", Klantgegevens_A!H582)))</f>
        <v/>
      </c>
      <c r="F583">
        <f>IF(Klantgegevens_B!G582&lt;&gt;"", LEN(Klantgegevens_B!G582)-LEN(SUBSTITUTE(Klantgegevens_B!G582, ",", ""))+1, Klantgegevens_A!G582)</f>
        <v/>
      </c>
      <c r="G583">
        <f>IF(Klantgegevens_B!G582&lt;&gt;"", 0, Klantgegevens_A!H582)</f>
        <v/>
      </c>
      <c r="H583">
        <f>IF(Klantgegevens_B!H582&lt;&gt;"", Klantgegevens_B!H582, Klantgegevens_A!I582)</f>
        <v/>
      </c>
      <c r="I583">
        <f>IF(Klantgegevens_B!I582&lt;&gt;"", Klantgegevens_B!I582, SWITCH(Klantgegevens_A!J582, "Zelden", 1, "Af en toe", 4, "Regelmatig", 8, "Vaak", 12))</f>
        <v/>
      </c>
      <c r="J583">
        <f>IF(Klantgegevens_B!J582&lt;&gt;"", Klantgegevens_B!J582, Klantgegevens_A!K582)</f>
        <v/>
      </c>
      <c r="K583">
        <f>IF(Klantgegevens_B!K582&lt;&gt;"", AVERAGE(--(Klantgegevens_B!K582="ja"), --(Klantgegevens_B!L582="ja"), --(Klantgegevens_B!M582="ja"), --(Klantgegevens_B!N582="ja"), --(Klantgegevens_B!O582="ja"))*10, Klantgegevens_A!L582)</f>
        <v/>
      </c>
      <c r="L583">
        <f>IF(Klantgegevens_B!K582&lt;&gt;"", Klantgegevens_B!K582, IF(Klantgegevens_A!L582&gt;=7, "ja", "nee"))</f>
        <v/>
      </c>
      <c r="M583">
        <f>IF(Klantgegevens_B!L582&lt;&gt;"", Klantgegevens_B!L582, IF(Klantgegevens_A!L582&gt;=7, "ja", "nee"))</f>
        <v/>
      </c>
      <c r="N583">
        <f>IF(Klantgegevens_B!M582&lt;&gt;"", Klantgegevens_B!M582, IF(Klantgegevens_A!L582&gt;=7, "ja", "nee"))</f>
        <v/>
      </c>
      <c r="O583">
        <f>IF(Klantgegevens_B!N582&lt;&gt;"", Klantgegevens_B!N582, IF(Klantgegevens_A!L582&gt;=7, "ja", "nee"))</f>
        <v/>
      </c>
      <c r="P583">
        <f>IF(Klantgegevens_B!O582&lt;&gt;"", Klantgegevens_B!O582, IF(Klantgegevens_A!L582&gt;=7, "ja", "nee"))</f>
        <v/>
      </c>
      <c r="Q583">
        <f>IF(Klantgegevens_B!P582&lt;&gt;"", Klantgegevens_B!P582, Klantgegevens_A!M582)</f>
        <v/>
      </c>
      <c r="R583">
        <f>IF(Klantgegevens_B!A582&lt;&gt;"", "B", "A")</f>
        <v/>
      </c>
    </row>
    <row r="584">
      <c r="A584">
        <f>IF(Klantgegevens_B!A583&lt;&gt;"", Klantgegevens_B!A583, MID(Klantgegevens_A!A583, FIND(",", Klantgegevens_A!A583)+2, LEN(Klantgegevens_A!A583)))</f>
        <v/>
      </c>
      <c r="B584">
        <f>IF(Klantgegevens_B!B583&lt;&gt;"", Klantgegevens_B!B583, LEFT(Klantgegevens_A!A583, FIND(",", Klantgegevens_A!A583)-1))</f>
        <v/>
      </c>
      <c r="C584">
        <f>C583 &amp; ", " &amp; B583</f>
        <v/>
      </c>
      <c r="D584">
        <f>IF(Klantgegevens_B!F583&lt;&gt;"", Klantgegevens_B!F583, Klantgegevens_A!D583 &amp; " " &amp; Klantgegevens_A!E583 &amp; ", " &amp; Klantgegevens_A!F583)</f>
        <v/>
      </c>
      <c r="E584">
        <f>IF(Klantgegevens_B!G583&lt;&gt;"", Klantgegevens_B!G583, TEXTJOIN(",", TRUE, REPT("Volwassene,", Klantgegevens_A!G583), REPT("Kind,", Klantgegevens_A!H583)))</f>
        <v/>
      </c>
      <c r="F584">
        <f>IF(Klantgegevens_B!G583&lt;&gt;"", LEN(Klantgegevens_B!G583)-LEN(SUBSTITUTE(Klantgegevens_B!G583, ",", ""))+1, Klantgegevens_A!G583)</f>
        <v/>
      </c>
      <c r="G584">
        <f>IF(Klantgegevens_B!G583&lt;&gt;"", 0, Klantgegevens_A!H583)</f>
        <v/>
      </c>
      <c r="H584">
        <f>IF(Klantgegevens_B!H583&lt;&gt;"", Klantgegevens_B!H583, Klantgegevens_A!I583)</f>
        <v/>
      </c>
      <c r="I584">
        <f>IF(Klantgegevens_B!I583&lt;&gt;"", Klantgegevens_B!I583, SWITCH(Klantgegevens_A!J583, "Zelden", 1, "Af en toe", 4, "Regelmatig", 8, "Vaak", 12))</f>
        <v/>
      </c>
      <c r="J584">
        <f>IF(Klantgegevens_B!J583&lt;&gt;"", Klantgegevens_B!J583, Klantgegevens_A!K583)</f>
        <v/>
      </c>
      <c r="K584">
        <f>IF(Klantgegevens_B!K583&lt;&gt;"", AVERAGE(--(Klantgegevens_B!K583="ja"), --(Klantgegevens_B!L583="ja"), --(Klantgegevens_B!M583="ja"), --(Klantgegevens_B!N583="ja"), --(Klantgegevens_B!O583="ja"))*10, Klantgegevens_A!L583)</f>
        <v/>
      </c>
      <c r="L584">
        <f>IF(Klantgegevens_B!K583&lt;&gt;"", Klantgegevens_B!K583, IF(Klantgegevens_A!L583&gt;=7, "ja", "nee"))</f>
        <v/>
      </c>
      <c r="M584">
        <f>IF(Klantgegevens_B!L583&lt;&gt;"", Klantgegevens_B!L583, IF(Klantgegevens_A!L583&gt;=7, "ja", "nee"))</f>
        <v/>
      </c>
      <c r="N584">
        <f>IF(Klantgegevens_B!M583&lt;&gt;"", Klantgegevens_B!M583, IF(Klantgegevens_A!L583&gt;=7, "ja", "nee"))</f>
        <v/>
      </c>
      <c r="O584">
        <f>IF(Klantgegevens_B!N583&lt;&gt;"", Klantgegevens_B!N583, IF(Klantgegevens_A!L583&gt;=7, "ja", "nee"))</f>
        <v/>
      </c>
      <c r="P584">
        <f>IF(Klantgegevens_B!O583&lt;&gt;"", Klantgegevens_B!O583, IF(Klantgegevens_A!L583&gt;=7, "ja", "nee"))</f>
        <v/>
      </c>
      <c r="Q584">
        <f>IF(Klantgegevens_B!P583&lt;&gt;"", Klantgegevens_B!P583, Klantgegevens_A!M583)</f>
        <v/>
      </c>
      <c r="R584">
        <f>IF(Klantgegevens_B!A583&lt;&gt;"", "B", "A")</f>
        <v/>
      </c>
    </row>
    <row r="585">
      <c r="A585">
        <f>IF(Klantgegevens_B!A584&lt;&gt;"", Klantgegevens_B!A584, MID(Klantgegevens_A!A584, FIND(",", Klantgegevens_A!A584)+2, LEN(Klantgegevens_A!A584)))</f>
        <v/>
      </c>
      <c r="B585">
        <f>IF(Klantgegevens_B!B584&lt;&gt;"", Klantgegevens_B!B584, LEFT(Klantgegevens_A!A584, FIND(",", Klantgegevens_A!A584)-1))</f>
        <v/>
      </c>
      <c r="C585">
        <f>C584 &amp; ", " &amp; B584</f>
        <v/>
      </c>
      <c r="D585">
        <f>IF(Klantgegevens_B!F584&lt;&gt;"", Klantgegevens_B!F584, Klantgegevens_A!D584 &amp; " " &amp; Klantgegevens_A!E584 &amp; ", " &amp; Klantgegevens_A!F584)</f>
        <v/>
      </c>
      <c r="E585">
        <f>IF(Klantgegevens_B!G584&lt;&gt;"", Klantgegevens_B!G584, TEXTJOIN(",", TRUE, REPT("Volwassene,", Klantgegevens_A!G584), REPT("Kind,", Klantgegevens_A!H584)))</f>
        <v/>
      </c>
      <c r="F585">
        <f>IF(Klantgegevens_B!G584&lt;&gt;"", LEN(Klantgegevens_B!G584)-LEN(SUBSTITUTE(Klantgegevens_B!G584, ",", ""))+1, Klantgegevens_A!G584)</f>
        <v/>
      </c>
      <c r="G585">
        <f>IF(Klantgegevens_B!G584&lt;&gt;"", 0, Klantgegevens_A!H584)</f>
        <v/>
      </c>
      <c r="H585">
        <f>IF(Klantgegevens_B!H584&lt;&gt;"", Klantgegevens_B!H584, Klantgegevens_A!I584)</f>
        <v/>
      </c>
      <c r="I585">
        <f>IF(Klantgegevens_B!I584&lt;&gt;"", Klantgegevens_B!I584, SWITCH(Klantgegevens_A!J584, "Zelden", 1, "Af en toe", 4, "Regelmatig", 8, "Vaak", 12))</f>
        <v/>
      </c>
      <c r="J585">
        <f>IF(Klantgegevens_B!J584&lt;&gt;"", Klantgegevens_B!J584, Klantgegevens_A!K584)</f>
        <v/>
      </c>
      <c r="K585">
        <f>IF(Klantgegevens_B!K584&lt;&gt;"", AVERAGE(--(Klantgegevens_B!K584="ja"), --(Klantgegevens_B!L584="ja"), --(Klantgegevens_B!M584="ja"), --(Klantgegevens_B!N584="ja"), --(Klantgegevens_B!O584="ja"))*10, Klantgegevens_A!L584)</f>
        <v/>
      </c>
      <c r="L585">
        <f>IF(Klantgegevens_B!K584&lt;&gt;"", Klantgegevens_B!K584, IF(Klantgegevens_A!L584&gt;=7, "ja", "nee"))</f>
        <v/>
      </c>
      <c r="M585">
        <f>IF(Klantgegevens_B!L584&lt;&gt;"", Klantgegevens_B!L584, IF(Klantgegevens_A!L584&gt;=7, "ja", "nee"))</f>
        <v/>
      </c>
      <c r="N585">
        <f>IF(Klantgegevens_B!M584&lt;&gt;"", Klantgegevens_B!M584, IF(Klantgegevens_A!L584&gt;=7, "ja", "nee"))</f>
        <v/>
      </c>
      <c r="O585">
        <f>IF(Klantgegevens_B!N584&lt;&gt;"", Klantgegevens_B!N584, IF(Klantgegevens_A!L584&gt;=7, "ja", "nee"))</f>
        <v/>
      </c>
      <c r="P585">
        <f>IF(Klantgegevens_B!O584&lt;&gt;"", Klantgegevens_B!O584, IF(Klantgegevens_A!L584&gt;=7, "ja", "nee"))</f>
        <v/>
      </c>
      <c r="Q585">
        <f>IF(Klantgegevens_B!P584&lt;&gt;"", Klantgegevens_B!P584, Klantgegevens_A!M584)</f>
        <v/>
      </c>
      <c r="R585">
        <f>IF(Klantgegevens_B!A584&lt;&gt;"", "B", "A")</f>
        <v/>
      </c>
    </row>
    <row r="586">
      <c r="A586">
        <f>IF(Klantgegevens_B!A585&lt;&gt;"", Klantgegevens_B!A585, MID(Klantgegevens_A!A585, FIND(",", Klantgegevens_A!A585)+2, LEN(Klantgegevens_A!A585)))</f>
        <v/>
      </c>
      <c r="B586">
        <f>IF(Klantgegevens_B!B585&lt;&gt;"", Klantgegevens_B!B585, LEFT(Klantgegevens_A!A585, FIND(",", Klantgegevens_A!A585)-1))</f>
        <v/>
      </c>
      <c r="C586">
        <f>C585 &amp; ", " &amp; B585</f>
        <v/>
      </c>
      <c r="D586">
        <f>IF(Klantgegevens_B!F585&lt;&gt;"", Klantgegevens_B!F585, Klantgegevens_A!D585 &amp; " " &amp; Klantgegevens_A!E585 &amp; ", " &amp; Klantgegevens_A!F585)</f>
        <v/>
      </c>
      <c r="E586">
        <f>IF(Klantgegevens_B!G585&lt;&gt;"", Klantgegevens_B!G585, TEXTJOIN(",", TRUE, REPT("Volwassene,", Klantgegevens_A!G585), REPT("Kind,", Klantgegevens_A!H585)))</f>
        <v/>
      </c>
      <c r="F586">
        <f>IF(Klantgegevens_B!G585&lt;&gt;"", LEN(Klantgegevens_B!G585)-LEN(SUBSTITUTE(Klantgegevens_B!G585, ",", ""))+1, Klantgegevens_A!G585)</f>
        <v/>
      </c>
      <c r="G586">
        <f>IF(Klantgegevens_B!G585&lt;&gt;"", 0, Klantgegevens_A!H585)</f>
        <v/>
      </c>
      <c r="H586">
        <f>IF(Klantgegevens_B!H585&lt;&gt;"", Klantgegevens_B!H585, Klantgegevens_A!I585)</f>
        <v/>
      </c>
      <c r="I586">
        <f>IF(Klantgegevens_B!I585&lt;&gt;"", Klantgegevens_B!I585, SWITCH(Klantgegevens_A!J585, "Zelden", 1, "Af en toe", 4, "Regelmatig", 8, "Vaak", 12))</f>
        <v/>
      </c>
      <c r="J586">
        <f>IF(Klantgegevens_B!J585&lt;&gt;"", Klantgegevens_B!J585, Klantgegevens_A!K585)</f>
        <v/>
      </c>
      <c r="K586">
        <f>IF(Klantgegevens_B!K585&lt;&gt;"", AVERAGE(--(Klantgegevens_B!K585="ja"), --(Klantgegevens_B!L585="ja"), --(Klantgegevens_B!M585="ja"), --(Klantgegevens_B!N585="ja"), --(Klantgegevens_B!O585="ja"))*10, Klantgegevens_A!L585)</f>
        <v/>
      </c>
      <c r="L586">
        <f>IF(Klantgegevens_B!K585&lt;&gt;"", Klantgegevens_B!K585, IF(Klantgegevens_A!L585&gt;=7, "ja", "nee"))</f>
        <v/>
      </c>
      <c r="M586">
        <f>IF(Klantgegevens_B!L585&lt;&gt;"", Klantgegevens_B!L585, IF(Klantgegevens_A!L585&gt;=7, "ja", "nee"))</f>
        <v/>
      </c>
      <c r="N586">
        <f>IF(Klantgegevens_B!M585&lt;&gt;"", Klantgegevens_B!M585, IF(Klantgegevens_A!L585&gt;=7, "ja", "nee"))</f>
        <v/>
      </c>
      <c r="O586">
        <f>IF(Klantgegevens_B!N585&lt;&gt;"", Klantgegevens_B!N585, IF(Klantgegevens_A!L585&gt;=7, "ja", "nee"))</f>
        <v/>
      </c>
      <c r="P586">
        <f>IF(Klantgegevens_B!O585&lt;&gt;"", Klantgegevens_B!O585, IF(Klantgegevens_A!L585&gt;=7, "ja", "nee"))</f>
        <v/>
      </c>
      <c r="Q586">
        <f>IF(Klantgegevens_B!P585&lt;&gt;"", Klantgegevens_B!P585, Klantgegevens_A!M585)</f>
        <v/>
      </c>
      <c r="R586">
        <f>IF(Klantgegevens_B!A585&lt;&gt;"", "B", "A")</f>
        <v/>
      </c>
    </row>
    <row r="587">
      <c r="A587">
        <f>IF(Klantgegevens_B!A586&lt;&gt;"", Klantgegevens_B!A586, MID(Klantgegevens_A!A586, FIND(",", Klantgegevens_A!A586)+2, LEN(Klantgegevens_A!A586)))</f>
        <v/>
      </c>
      <c r="B587">
        <f>IF(Klantgegevens_B!B586&lt;&gt;"", Klantgegevens_B!B586, LEFT(Klantgegevens_A!A586, FIND(",", Klantgegevens_A!A586)-1))</f>
        <v/>
      </c>
      <c r="C587">
        <f>C586 &amp; ", " &amp; B586</f>
        <v/>
      </c>
      <c r="D587">
        <f>IF(Klantgegevens_B!F586&lt;&gt;"", Klantgegevens_B!F586, Klantgegevens_A!D586 &amp; " " &amp; Klantgegevens_A!E586 &amp; ", " &amp; Klantgegevens_A!F586)</f>
        <v/>
      </c>
      <c r="E587">
        <f>IF(Klantgegevens_B!G586&lt;&gt;"", Klantgegevens_B!G586, TEXTJOIN(",", TRUE, REPT("Volwassene,", Klantgegevens_A!G586), REPT("Kind,", Klantgegevens_A!H586)))</f>
        <v/>
      </c>
      <c r="F587">
        <f>IF(Klantgegevens_B!G586&lt;&gt;"", LEN(Klantgegevens_B!G586)-LEN(SUBSTITUTE(Klantgegevens_B!G586, ",", ""))+1, Klantgegevens_A!G586)</f>
        <v/>
      </c>
      <c r="G587">
        <f>IF(Klantgegevens_B!G586&lt;&gt;"", 0, Klantgegevens_A!H586)</f>
        <v/>
      </c>
      <c r="H587">
        <f>IF(Klantgegevens_B!H586&lt;&gt;"", Klantgegevens_B!H586, Klantgegevens_A!I586)</f>
        <v/>
      </c>
      <c r="I587">
        <f>IF(Klantgegevens_B!I586&lt;&gt;"", Klantgegevens_B!I586, SWITCH(Klantgegevens_A!J586, "Zelden", 1, "Af en toe", 4, "Regelmatig", 8, "Vaak", 12))</f>
        <v/>
      </c>
      <c r="J587">
        <f>IF(Klantgegevens_B!J586&lt;&gt;"", Klantgegevens_B!J586, Klantgegevens_A!K586)</f>
        <v/>
      </c>
      <c r="K587">
        <f>IF(Klantgegevens_B!K586&lt;&gt;"", AVERAGE(--(Klantgegevens_B!K586="ja"), --(Klantgegevens_B!L586="ja"), --(Klantgegevens_B!M586="ja"), --(Klantgegevens_B!N586="ja"), --(Klantgegevens_B!O586="ja"))*10, Klantgegevens_A!L586)</f>
        <v/>
      </c>
      <c r="L587">
        <f>IF(Klantgegevens_B!K586&lt;&gt;"", Klantgegevens_B!K586, IF(Klantgegevens_A!L586&gt;=7, "ja", "nee"))</f>
        <v/>
      </c>
      <c r="M587">
        <f>IF(Klantgegevens_B!L586&lt;&gt;"", Klantgegevens_B!L586, IF(Klantgegevens_A!L586&gt;=7, "ja", "nee"))</f>
        <v/>
      </c>
      <c r="N587">
        <f>IF(Klantgegevens_B!M586&lt;&gt;"", Klantgegevens_B!M586, IF(Klantgegevens_A!L586&gt;=7, "ja", "nee"))</f>
        <v/>
      </c>
      <c r="O587">
        <f>IF(Klantgegevens_B!N586&lt;&gt;"", Klantgegevens_B!N586, IF(Klantgegevens_A!L586&gt;=7, "ja", "nee"))</f>
        <v/>
      </c>
      <c r="P587">
        <f>IF(Klantgegevens_B!O586&lt;&gt;"", Klantgegevens_B!O586, IF(Klantgegevens_A!L586&gt;=7, "ja", "nee"))</f>
        <v/>
      </c>
      <c r="Q587">
        <f>IF(Klantgegevens_B!P586&lt;&gt;"", Klantgegevens_B!P586, Klantgegevens_A!M586)</f>
        <v/>
      </c>
      <c r="R587">
        <f>IF(Klantgegevens_B!A586&lt;&gt;"", "B", "A")</f>
        <v/>
      </c>
    </row>
    <row r="588">
      <c r="A588">
        <f>IF(Klantgegevens_B!A587&lt;&gt;"", Klantgegevens_B!A587, MID(Klantgegevens_A!A587, FIND(",", Klantgegevens_A!A587)+2, LEN(Klantgegevens_A!A587)))</f>
        <v/>
      </c>
      <c r="B588">
        <f>IF(Klantgegevens_B!B587&lt;&gt;"", Klantgegevens_B!B587, LEFT(Klantgegevens_A!A587, FIND(",", Klantgegevens_A!A587)-1))</f>
        <v/>
      </c>
      <c r="C588">
        <f>C587 &amp; ", " &amp; B587</f>
        <v/>
      </c>
      <c r="D588">
        <f>IF(Klantgegevens_B!F587&lt;&gt;"", Klantgegevens_B!F587, Klantgegevens_A!D587 &amp; " " &amp; Klantgegevens_A!E587 &amp; ", " &amp; Klantgegevens_A!F587)</f>
        <v/>
      </c>
      <c r="E588">
        <f>IF(Klantgegevens_B!G587&lt;&gt;"", Klantgegevens_B!G587, TEXTJOIN(",", TRUE, REPT("Volwassene,", Klantgegevens_A!G587), REPT("Kind,", Klantgegevens_A!H587)))</f>
        <v/>
      </c>
      <c r="F588">
        <f>IF(Klantgegevens_B!G587&lt;&gt;"", LEN(Klantgegevens_B!G587)-LEN(SUBSTITUTE(Klantgegevens_B!G587, ",", ""))+1, Klantgegevens_A!G587)</f>
        <v/>
      </c>
      <c r="G588">
        <f>IF(Klantgegevens_B!G587&lt;&gt;"", 0, Klantgegevens_A!H587)</f>
        <v/>
      </c>
      <c r="H588">
        <f>IF(Klantgegevens_B!H587&lt;&gt;"", Klantgegevens_B!H587, Klantgegevens_A!I587)</f>
        <v/>
      </c>
      <c r="I588">
        <f>IF(Klantgegevens_B!I587&lt;&gt;"", Klantgegevens_B!I587, SWITCH(Klantgegevens_A!J587, "Zelden", 1, "Af en toe", 4, "Regelmatig", 8, "Vaak", 12))</f>
        <v/>
      </c>
      <c r="J588">
        <f>IF(Klantgegevens_B!J587&lt;&gt;"", Klantgegevens_B!J587, Klantgegevens_A!K587)</f>
        <v/>
      </c>
      <c r="K588">
        <f>IF(Klantgegevens_B!K587&lt;&gt;"", AVERAGE(--(Klantgegevens_B!K587="ja"), --(Klantgegevens_B!L587="ja"), --(Klantgegevens_B!M587="ja"), --(Klantgegevens_B!N587="ja"), --(Klantgegevens_B!O587="ja"))*10, Klantgegevens_A!L587)</f>
        <v/>
      </c>
      <c r="L588">
        <f>IF(Klantgegevens_B!K587&lt;&gt;"", Klantgegevens_B!K587, IF(Klantgegevens_A!L587&gt;=7, "ja", "nee"))</f>
        <v/>
      </c>
      <c r="M588">
        <f>IF(Klantgegevens_B!L587&lt;&gt;"", Klantgegevens_B!L587, IF(Klantgegevens_A!L587&gt;=7, "ja", "nee"))</f>
        <v/>
      </c>
      <c r="N588">
        <f>IF(Klantgegevens_B!M587&lt;&gt;"", Klantgegevens_B!M587, IF(Klantgegevens_A!L587&gt;=7, "ja", "nee"))</f>
        <v/>
      </c>
      <c r="O588">
        <f>IF(Klantgegevens_B!N587&lt;&gt;"", Klantgegevens_B!N587, IF(Klantgegevens_A!L587&gt;=7, "ja", "nee"))</f>
        <v/>
      </c>
      <c r="P588">
        <f>IF(Klantgegevens_B!O587&lt;&gt;"", Klantgegevens_B!O587, IF(Klantgegevens_A!L587&gt;=7, "ja", "nee"))</f>
        <v/>
      </c>
      <c r="Q588">
        <f>IF(Klantgegevens_B!P587&lt;&gt;"", Klantgegevens_B!P587, Klantgegevens_A!M587)</f>
        <v/>
      </c>
      <c r="R588">
        <f>IF(Klantgegevens_B!A587&lt;&gt;"", "B", "A")</f>
        <v/>
      </c>
    </row>
    <row r="589">
      <c r="A589">
        <f>IF(Klantgegevens_B!A588&lt;&gt;"", Klantgegevens_B!A588, MID(Klantgegevens_A!A588, FIND(",", Klantgegevens_A!A588)+2, LEN(Klantgegevens_A!A588)))</f>
        <v/>
      </c>
      <c r="B589">
        <f>IF(Klantgegevens_B!B588&lt;&gt;"", Klantgegevens_B!B588, LEFT(Klantgegevens_A!A588, FIND(",", Klantgegevens_A!A588)-1))</f>
        <v/>
      </c>
      <c r="C589">
        <f>C588 &amp; ", " &amp; B588</f>
        <v/>
      </c>
      <c r="D589">
        <f>IF(Klantgegevens_B!F588&lt;&gt;"", Klantgegevens_B!F588, Klantgegevens_A!D588 &amp; " " &amp; Klantgegevens_A!E588 &amp; ", " &amp; Klantgegevens_A!F588)</f>
        <v/>
      </c>
      <c r="E589">
        <f>IF(Klantgegevens_B!G588&lt;&gt;"", Klantgegevens_B!G588, TEXTJOIN(",", TRUE, REPT("Volwassene,", Klantgegevens_A!G588), REPT("Kind,", Klantgegevens_A!H588)))</f>
        <v/>
      </c>
      <c r="F589">
        <f>IF(Klantgegevens_B!G588&lt;&gt;"", LEN(Klantgegevens_B!G588)-LEN(SUBSTITUTE(Klantgegevens_B!G588, ",", ""))+1, Klantgegevens_A!G588)</f>
        <v/>
      </c>
      <c r="G589">
        <f>IF(Klantgegevens_B!G588&lt;&gt;"", 0, Klantgegevens_A!H588)</f>
        <v/>
      </c>
      <c r="H589">
        <f>IF(Klantgegevens_B!H588&lt;&gt;"", Klantgegevens_B!H588, Klantgegevens_A!I588)</f>
        <v/>
      </c>
      <c r="I589">
        <f>IF(Klantgegevens_B!I588&lt;&gt;"", Klantgegevens_B!I588, SWITCH(Klantgegevens_A!J588, "Zelden", 1, "Af en toe", 4, "Regelmatig", 8, "Vaak", 12))</f>
        <v/>
      </c>
      <c r="J589">
        <f>IF(Klantgegevens_B!J588&lt;&gt;"", Klantgegevens_B!J588, Klantgegevens_A!K588)</f>
        <v/>
      </c>
      <c r="K589">
        <f>IF(Klantgegevens_B!K588&lt;&gt;"", AVERAGE(--(Klantgegevens_B!K588="ja"), --(Klantgegevens_B!L588="ja"), --(Klantgegevens_B!M588="ja"), --(Klantgegevens_B!N588="ja"), --(Klantgegevens_B!O588="ja"))*10, Klantgegevens_A!L588)</f>
        <v/>
      </c>
      <c r="L589">
        <f>IF(Klantgegevens_B!K588&lt;&gt;"", Klantgegevens_B!K588, IF(Klantgegevens_A!L588&gt;=7, "ja", "nee"))</f>
        <v/>
      </c>
      <c r="M589">
        <f>IF(Klantgegevens_B!L588&lt;&gt;"", Klantgegevens_B!L588, IF(Klantgegevens_A!L588&gt;=7, "ja", "nee"))</f>
        <v/>
      </c>
      <c r="N589">
        <f>IF(Klantgegevens_B!M588&lt;&gt;"", Klantgegevens_B!M588, IF(Klantgegevens_A!L588&gt;=7, "ja", "nee"))</f>
        <v/>
      </c>
      <c r="O589">
        <f>IF(Klantgegevens_B!N588&lt;&gt;"", Klantgegevens_B!N588, IF(Klantgegevens_A!L588&gt;=7, "ja", "nee"))</f>
        <v/>
      </c>
      <c r="P589">
        <f>IF(Klantgegevens_B!O588&lt;&gt;"", Klantgegevens_B!O588, IF(Klantgegevens_A!L588&gt;=7, "ja", "nee"))</f>
        <v/>
      </c>
      <c r="Q589">
        <f>IF(Klantgegevens_B!P588&lt;&gt;"", Klantgegevens_B!P588, Klantgegevens_A!M588)</f>
        <v/>
      </c>
      <c r="R589">
        <f>IF(Klantgegevens_B!A588&lt;&gt;"", "B", "A")</f>
        <v/>
      </c>
    </row>
    <row r="590">
      <c r="A590">
        <f>IF(Klantgegevens_B!A589&lt;&gt;"", Klantgegevens_B!A589, MID(Klantgegevens_A!A589, FIND(",", Klantgegevens_A!A589)+2, LEN(Klantgegevens_A!A589)))</f>
        <v/>
      </c>
      <c r="B590">
        <f>IF(Klantgegevens_B!B589&lt;&gt;"", Klantgegevens_B!B589, LEFT(Klantgegevens_A!A589, FIND(",", Klantgegevens_A!A589)-1))</f>
        <v/>
      </c>
      <c r="C590">
        <f>C589 &amp; ", " &amp; B589</f>
        <v/>
      </c>
      <c r="D590">
        <f>IF(Klantgegevens_B!F589&lt;&gt;"", Klantgegevens_B!F589, Klantgegevens_A!D589 &amp; " " &amp; Klantgegevens_A!E589 &amp; ", " &amp; Klantgegevens_A!F589)</f>
        <v/>
      </c>
      <c r="E590">
        <f>IF(Klantgegevens_B!G589&lt;&gt;"", Klantgegevens_B!G589, TEXTJOIN(",", TRUE, REPT("Volwassene,", Klantgegevens_A!G589), REPT("Kind,", Klantgegevens_A!H589)))</f>
        <v/>
      </c>
      <c r="F590">
        <f>IF(Klantgegevens_B!G589&lt;&gt;"", LEN(Klantgegevens_B!G589)-LEN(SUBSTITUTE(Klantgegevens_B!G589, ",", ""))+1, Klantgegevens_A!G589)</f>
        <v/>
      </c>
      <c r="G590">
        <f>IF(Klantgegevens_B!G589&lt;&gt;"", 0, Klantgegevens_A!H589)</f>
        <v/>
      </c>
      <c r="H590">
        <f>IF(Klantgegevens_B!H589&lt;&gt;"", Klantgegevens_B!H589, Klantgegevens_A!I589)</f>
        <v/>
      </c>
      <c r="I590">
        <f>IF(Klantgegevens_B!I589&lt;&gt;"", Klantgegevens_B!I589, SWITCH(Klantgegevens_A!J589, "Zelden", 1, "Af en toe", 4, "Regelmatig", 8, "Vaak", 12))</f>
        <v/>
      </c>
      <c r="J590">
        <f>IF(Klantgegevens_B!J589&lt;&gt;"", Klantgegevens_B!J589, Klantgegevens_A!K589)</f>
        <v/>
      </c>
      <c r="K590">
        <f>IF(Klantgegevens_B!K589&lt;&gt;"", AVERAGE(--(Klantgegevens_B!K589="ja"), --(Klantgegevens_B!L589="ja"), --(Klantgegevens_B!M589="ja"), --(Klantgegevens_B!N589="ja"), --(Klantgegevens_B!O589="ja"))*10, Klantgegevens_A!L589)</f>
        <v/>
      </c>
      <c r="L590">
        <f>IF(Klantgegevens_B!K589&lt;&gt;"", Klantgegevens_B!K589, IF(Klantgegevens_A!L589&gt;=7, "ja", "nee"))</f>
        <v/>
      </c>
      <c r="M590">
        <f>IF(Klantgegevens_B!L589&lt;&gt;"", Klantgegevens_B!L589, IF(Klantgegevens_A!L589&gt;=7, "ja", "nee"))</f>
        <v/>
      </c>
      <c r="N590">
        <f>IF(Klantgegevens_B!M589&lt;&gt;"", Klantgegevens_B!M589, IF(Klantgegevens_A!L589&gt;=7, "ja", "nee"))</f>
        <v/>
      </c>
      <c r="O590">
        <f>IF(Klantgegevens_B!N589&lt;&gt;"", Klantgegevens_B!N589, IF(Klantgegevens_A!L589&gt;=7, "ja", "nee"))</f>
        <v/>
      </c>
      <c r="P590">
        <f>IF(Klantgegevens_B!O589&lt;&gt;"", Klantgegevens_B!O589, IF(Klantgegevens_A!L589&gt;=7, "ja", "nee"))</f>
        <v/>
      </c>
      <c r="Q590">
        <f>IF(Klantgegevens_B!P589&lt;&gt;"", Klantgegevens_B!P589, Klantgegevens_A!M589)</f>
        <v/>
      </c>
      <c r="R590">
        <f>IF(Klantgegevens_B!A589&lt;&gt;"", "B", "A")</f>
        <v/>
      </c>
    </row>
    <row r="591">
      <c r="A591">
        <f>IF(Klantgegevens_B!A590&lt;&gt;"", Klantgegevens_B!A590, MID(Klantgegevens_A!A590, FIND(",", Klantgegevens_A!A590)+2, LEN(Klantgegevens_A!A590)))</f>
        <v/>
      </c>
      <c r="B591">
        <f>IF(Klantgegevens_B!B590&lt;&gt;"", Klantgegevens_B!B590, LEFT(Klantgegevens_A!A590, FIND(",", Klantgegevens_A!A590)-1))</f>
        <v/>
      </c>
      <c r="C591">
        <f>C590 &amp; ", " &amp; B590</f>
        <v/>
      </c>
      <c r="D591">
        <f>IF(Klantgegevens_B!F590&lt;&gt;"", Klantgegevens_B!F590, Klantgegevens_A!D590 &amp; " " &amp; Klantgegevens_A!E590 &amp; ", " &amp; Klantgegevens_A!F590)</f>
        <v/>
      </c>
      <c r="E591">
        <f>IF(Klantgegevens_B!G590&lt;&gt;"", Klantgegevens_B!G590, TEXTJOIN(",", TRUE, REPT("Volwassene,", Klantgegevens_A!G590), REPT("Kind,", Klantgegevens_A!H590)))</f>
        <v/>
      </c>
      <c r="F591">
        <f>IF(Klantgegevens_B!G590&lt;&gt;"", LEN(Klantgegevens_B!G590)-LEN(SUBSTITUTE(Klantgegevens_B!G590, ",", ""))+1, Klantgegevens_A!G590)</f>
        <v/>
      </c>
      <c r="G591">
        <f>IF(Klantgegevens_B!G590&lt;&gt;"", 0, Klantgegevens_A!H590)</f>
        <v/>
      </c>
      <c r="H591">
        <f>IF(Klantgegevens_B!H590&lt;&gt;"", Klantgegevens_B!H590, Klantgegevens_A!I590)</f>
        <v/>
      </c>
      <c r="I591">
        <f>IF(Klantgegevens_B!I590&lt;&gt;"", Klantgegevens_B!I590, SWITCH(Klantgegevens_A!J590, "Zelden", 1, "Af en toe", 4, "Regelmatig", 8, "Vaak", 12))</f>
        <v/>
      </c>
      <c r="J591">
        <f>IF(Klantgegevens_B!J590&lt;&gt;"", Klantgegevens_B!J590, Klantgegevens_A!K590)</f>
        <v/>
      </c>
      <c r="K591">
        <f>IF(Klantgegevens_B!K590&lt;&gt;"", AVERAGE(--(Klantgegevens_B!K590="ja"), --(Klantgegevens_B!L590="ja"), --(Klantgegevens_B!M590="ja"), --(Klantgegevens_B!N590="ja"), --(Klantgegevens_B!O590="ja"))*10, Klantgegevens_A!L590)</f>
        <v/>
      </c>
      <c r="L591">
        <f>IF(Klantgegevens_B!K590&lt;&gt;"", Klantgegevens_B!K590, IF(Klantgegevens_A!L590&gt;=7, "ja", "nee"))</f>
        <v/>
      </c>
      <c r="M591">
        <f>IF(Klantgegevens_B!L590&lt;&gt;"", Klantgegevens_B!L590, IF(Klantgegevens_A!L590&gt;=7, "ja", "nee"))</f>
        <v/>
      </c>
      <c r="N591">
        <f>IF(Klantgegevens_B!M590&lt;&gt;"", Klantgegevens_B!M590, IF(Klantgegevens_A!L590&gt;=7, "ja", "nee"))</f>
        <v/>
      </c>
      <c r="O591">
        <f>IF(Klantgegevens_B!N590&lt;&gt;"", Klantgegevens_B!N590, IF(Klantgegevens_A!L590&gt;=7, "ja", "nee"))</f>
        <v/>
      </c>
      <c r="P591">
        <f>IF(Klantgegevens_B!O590&lt;&gt;"", Klantgegevens_B!O590, IF(Klantgegevens_A!L590&gt;=7, "ja", "nee"))</f>
        <v/>
      </c>
      <c r="Q591">
        <f>IF(Klantgegevens_B!P590&lt;&gt;"", Klantgegevens_B!P590, Klantgegevens_A!M590)</f>
        <v/>
      </c>
      <c r="R591">
        <f>IF(Klantgegevens_B!A590&lt;&gt;"", "B", "A")</f>
        <v/>
      </c>
    </row>
    <row r="592">
      <c r="A592">
        <f>IF(Klantgegevens_B!A591&lt;&gt;"", Klantgegevens_B!A591, MID(Klantgegevens_A!A591, FIND(",", Klantgegevens_A!A591)+2, LEN(Klantgegevens_A!A591)))</f>
        <v/>
      </c>
      <c r="B592">
        <f>IF(Klantgegevens_B!B591&lt;&gt;"", Klantgegevens_B!B591, LEFT(Klantgegevens_A!A591, FIND(",", Klantgegevens_A!A591)-1))</f>
        <v/>
      </c>
      <c r="C592">
        <f>C591 &amp; ", " &amp; B591</f>
        <v/>
      </c>
      <c r="D592">
        <f>IF(Klantgegevens_B!F591&lt;&gt;"", Klantgegevens_B!F591, Klantgegevens_A!D591 &amp; " " &amp; Klantgegevens_A!E591 &amp; ", " &amp; Klantgegevens_A!F591)</f>
        <v/>
      </c>
      <c r="E592">
        <f>IF(Klantgegevens_B!G591&lt;&gt;"", Klantgegevens_B!G591, TEXTJOIN(",", TRUE, REPT("Volwassene,", Klantgegevens_A!G591), REPT("Kind,", Klantgegevens_A!H591)))</f>
        <v/>
      </c>
      <c r="F592">
        <f>IF(Klantgegevens_B!G591&lt;&gt;"", LEN(Klantgegevens_B!G591)-LEN(SUBSTITUTE(Klantgegevens_B!G591, ",", ""))+1, Klantgegevens_A!G591)</f>
        <v/>
      </c>
      <c r="G592">
        <f>IF(Klantgegevens_B!G591&lt;&gt;"", 0, Klantgegevens_A!H591)</f>
        <v/>
      </c>
      <c r="H592">
        <f>IF(Klantgegevens_B!H591&lt;&gt;"", Klantgegevens_B!H591, Klantgegevens_A!I591)</f>
        <v/>
      </c>
      <c r="I592">
        <f>IF(Klantgegevens_B!I591&lt;&gt;"", Klantgegevens_B!I591, SWITCH(Klantgegevens_A!J591, "Zelden", 1, "Af en toe", 4, "Regelmatig", 8, "Vaak", 12))</f>
        <v/>
      </c>
      <c r="J592">
        <f>IF(Klantgegevens_B!J591&lt;&gt;"", Klantgegevens_B!J591, Klantgegevens_A!K591)</f>
        <v/>
      </c>
      <c r="K592">
        <f>IF(Klantgegevens_B!K591&lt;&gt;"", AVERAGE(--(Klantgegevens_B!K591="ja"), --(Klantgegevens_B!L591="ja"), --(Klantgegevens_B!M591="ja"), --(Klantgegevens_B!N591="ja"), --(Klantgegevens_B!O591="ja"))*10, Klantgegevens_A!L591)</f>
        <v/>
      </c>
      <c r="L592">
        <f>IF(Klantgegevens_B!K591&lt;&gt;"", Klantgegevens_B!K591, IF(Klantgegevens_A!L591&gt;=7, "ja", "nee"))</f>
        <v/>
      </c>
      <c r="M592">
        <f>IF(Klantgegevens_B!L591&lt;&gt;"", Klantgegevens_B!L591, IF(Klantgegevens_A!L591&gt;=7, "ja", "nee"))</f>
        <v/>
      </c>
      <c r="N592">
        <f>IF(Klantgegevens_B!M591&lt;&gt;"", Klantgegevens_B!M591, IF(Klantgegevens_A!L591&gt;=7, "ja", "nee"))</f>
        <v/>
      </c>
      <c r="O592">
        <f>IF(Klantgegevens_B!N591&lt;&gt;"", Klantgegevens_B!N591, IF(Klantgegevens_A!L591&gt;=7, "ja", "nee"))</f>
        <v/>
      </c>
      <c r="P592">
        <f>IF(Klantgegevens_B!O591&lt;&gt;"", Klantgegevens_B!O591, IF(Klantgegevens_A!L591&gt;=7, "ja", "nee"))</f>
        <v/>
      </c>
      <c r="Q592">
        <f>IF(Klantgegevens_B!P591&lt;&gt;"", Klantgegevens_B!P591, Klantgegevens_A!M591)</f>
        <v/>
      </c>
      <c r="R592">
        <f>IF(Klantgegevens_B!A591&lt;&gt;"", "B", "A")</f>
        <v/>
      </c>
    </row>
    <row r="593">
      <c r="A593">
        <f>IF(Klantgegevens_B!A592&lt;&gt;"", Klantgegevens_B!A592, MID(Klantgegevens_A!A592, FIND(",", Klantgegevens_A!A592)+2, LEN(Klantgegevens_A!A592)))</f>
        <v/>
      </c>
      <c r="B593">
        <f>IF(Klantgegevens_B!B592&lt;&gt;"", Klantgegevens_B!B592, LEFT(Klantgegevens_A!A592, FIND(",", Klantgegevens_A!A592)-1))</f>
        <v/>
      </c>
      <c r="C593">
        <f>C592 &amp; ", " &amp; B592</f>
        <v/>
      </c>
      <c r="D593">
        <f>IF(Klantgegevens_B!F592&lt;&gt;"", Klantgegevens_B!F592, Klantgegevens_A!D592 &amp; " " &amp; Klantgegevens_A!E592 &amp; ", " &amp; Klantgegevens_A!F592)</f>
        <v/>
      </c>
      <c r="E593">
        <f>IF(Klantgegevens_B!G592&lt;&gt;"", Klantgegevens_B!G592, TEXTJOIN(",", TRUE, REPT("Volwassene,", Klantgegevens_A!G592), REPT("Kind,", Klantgegevens_A!H592)))</f>
        <v/>
      </c>
      <c r="F593">
        <f>IF(Klantgegevens_B!G592&lt;&gt;"", LEN(Klantgegevens_B!G592)-LEN(SUBSTITUTE(Klantgegevens_B!G592, ",", ""))+1, Klantgegevens_A!G592)</f>
        <v/>
      </c>
      <c r="G593">
        <f>IF(Klantgegevens_B!G592&lt;&gt;"", 0, Klantgegevens_A!H592)</f>
        <v/>
      </c>
      <c r="H593">
        <f>IF(Klantgegevens_B!H592&lt;&gt;"", Klantgegevens_B!H592, Klantgegevens_A!I592)</f>
        <v/>
      </c>
      <c r="I593">
        <f>IF(Klantgegevens_B!I592&lt;&gt;"", Klantgegevens_B!I592, SWITCH(Klantgegevens_A!J592, "Zelden", 1, "Af en toe", 4, "Regelmatig", 8, "Vaak", 12))</f>
        <v/>
      </c>
      <c r="J593">
        <f>IF(Klantgegevens_B!J592&lt;&gt;"", Klantgegevens_B!J592, Klantgegevens_A!K592)</f>
        <v/>
      </c>
      <c r="K593">
        <f>IF(Klantgegevens_B!K592&lt;&gt;"", AVERAGE(--(Klantgegevens_B!K592="ja"), --(Klantgegevens_B!L592="ja"), --(Klantgegevens_B!M592="ja"), --(Klantgegevens_B!N592="ja"), --(Klantgegevens_B!O592="ja"))*10, Klantgegevens_A!L592)</f>
        <v/>
      </c>
      <c r="L593">
        <f>IF(Klantgegevens_B!K592&lt;&gt;"", Klantgegevens_B!K592, IF(Klantgegevens_A!L592&gt;=7, "ja", "nee"))</f>
        <v/>
      </c>
      <c r="M593">
        <f>IF(Klantgegevens_B!L592&lt;&gt;"", Klantgegevens_B!L592, IF(Klantgegevens_A!L592&gt;=7, "ja", "nee"))</f>
        <v/>
      </c>
      <c r="N593">
        <f>IF(Klantgegevens_B!M592&lt;&gt;"", Klantgegevens_B!M592, IF(Klantgegevens_A!L592&gt;=7, "ja", "nee"))</f>
        <v/>
      </c>
      <c r="O593">
        <f>IF(Klantgegevens_B!N592&lt;&gt;"", Klantgegevens_B!N592, IF(Klantgegevens_A!L592&gt;=7, "ja", "nee"))</f>
        <v/>
      </c>
      <c r="P593">
        <f>IF(Klantgegevens_B!O592&lt;&gt;"", Klantgegevens_B!O592, IF(Klantgegevens_A!L592&gt;=7, "ja", "nee"))</f>
        <v/>
      </c>
      <c r="Q593">
        <f>IF(Klantgegevens_B!P592&lt;&gt;"", Klantgegevens_B!P592, Klantgegevens_A!M592)</f>
        <v/>
      </c>
      <c r="R593">
        <f>IF(Klantgegevens_B!A592&lt;&gt;"", "B", "A")</f>
        <v/>
      </c>
    </row>
    <row r="594">
      <c r="A594">
        <f>IF(Klantgegevens_B!A593&lt;&gt;"", Klantgegevens_B!A593, MID(Klantgegevens_A!A593, FIND(",", Klantgegevens_A!A593)+2, LEN(Klantgegevens_A!A593)))</f>
        <v/>
      </c>
      <c r="B594">
        <f>IF(Klantgegevens_B!B593&lt;&gt;"", Klantgegevens_B!B593, LEFT(Klantgegevens_A!A593, FIND(",", Klantgegevens_A!A593)-1))</f>
        <v/>
      </c>
      <c r="C594">
        <f>C593 &amp; ", " &amp; B593</f>
        <v/>
      </c>
      <c r="D594">
        <f>IF(Klantgegevens_B!F593&lt;&gt;"", Klantgegevens_B!F593, Klantgegevens_A!D593 &amp; " " &amp; Klantgegevens_A!E593 &amp; ", " &amp; Klantgegevens_A!F593)</f>
        <v/>
      </c>
      <c r="E594">
        <f>IF(Klantgegevens_B!G593&lt;&gt;"", Klantgegevens_B!G593, TEXTJOIN(",", TRUE, REPT("Volwassene,", Klantgegevens_A!G593), REPT("Kind,", Klantgegevens_A!H593)))</f>
        <v/>
      </c>
      <c r="F594">
        <f>IF(Klantgegevens_B!G593&lt;&gt;"", LEN(Klantgegevens_B!G593)-LEN(SUBSTITUTE(Klantgegevens_B!G593, ",", ""))+1, Klantgegevens_A!G593)</f>
        <v/>
      </c>
      <c r="G594">
        <f>IF(Klantgegevens_B!G593&lt;&gt;"", 0, Klantgegevens_A!H593)</f>
        <v/>
      </c>
      <c r="H594">
        <f>IF(Klantgegevens_B!H593&lt;&gt;"", Klantgegevens_B!H593, Klantgegevens_A!I593)</f>
        <v/>
      </c>
      <c r="I594">
        <f>IF(Klantgegevens_B!I593&lt;&gt;"", Klantgegevens_B!I593, SWITCH(Klantgegevens_A!J593, "Zelden", 1, "Af en toe", 4, "Regelmatig", 8, "Vaak", 12))</f>
        <v/>
      </c>
      <c r="J594">
        <f>IF(Klantgegevens_B!J593&lt;&gt;"", Klantgegevens_B!J593, Klantgegevens_A!K593)</f>
        <v/>
      </c>
      <c r="K594">
        <f>IF(Klantgegevens_B!K593&lt;&gt;"", AVERAGE(--(Klantgegevens_B!K593="ja"), --(Klantgegevens_B!L593="ja"), --(Klantgegevens_B!M593="ja"), --(Klantgegevens_B!N593="ja"), --(Klantgegevens_B!O593="ja"))*10, Klantgegevens_A!L593)</f>
        <v/>
      </c>
      <c r="L594">
        <f>IF(Klantgegevens_B!K593&lt;&gt;"", Klantgegevens_B!K593, IF(Klantgegevens_A!L593&gt;=7, "ja", "nee"))</f>
        <v/>
      </c>
      <c r="M594">
        <f>IF(Klantgegevens_B!L593&lt;&gt;"", Klantgegevens_B!L593, IF(Klantgegevens_A!L593&gt;=7, "ja", "nee"))</f>
        <v/>
      </c>
      <c r="N594">
        <f>IF(Klantgegevens_B!M593&lt;&gt;"", Klantgegevens_B!M593, IF(Klantgegevens_A!L593&gt;=7, "ja", "nee"))</f>
        <v/>
      </c>
      <c r="O594">
        <f>IF(Klantgegevens_B!N593&lt;&gt;"", Klantgegevens_B!N593, IF(Klantgegevens_A!L593&gt;=7, "ja", "nee"))</f>
        <v/>
      </c>
      <c r="P594">
        <f>IF(Klantgegevens_B!O593&lt;&gt;"", Klantgegevens_B!O593, IF(Klantgegevens_A!L593&gt;=7, "ja", "nee"))</f>
        <v/>
      </c>
      <c r="Q594">
        <f>IF(Klantgegevens_B!P593&lt;&gt;"", Klantgegevens_B!P593, Klantgegevens_A!M593)</f>
        <v/>
      </c>
      <c r="R594">
        <f>IF(Klantgegevens_B!A593&lt;&gt;"", "B", "A")</f>
        <v/>
      </c>
    </row>
    <row r="595">
      <c r="A595">
        <f>IF(Klantgegevens_B!A594&lt;&gt;"", Klantgegevens_B!A594, MID(Klantgegevens_A!A594, FIND(",", Klantgegevens_A!A594)+2, LEN(Klantgegevens_A!A594)))</f>
        <v/>
      </c>
      <c r="B595">
        <f>IF(Klantgegevens_B!B594&lt;&gt;"", Klantgegevens_B!B594, LEFT(Klantgegevens_A!A594, FIND(",", Klantgegevens_A!A594)-1))</f>
        <v/>
      </c>
      <c r="C595">
        <f>C594 &amp; ", " &amp; B594</f>
        <v/>
      </c>
      <c r="D595">
        <f>IF(Klantgegevens_B!F594&lt;&gt;"", Klantgegevens_B!F594, Klantgegevens_A!D594 &amp; " " &amp; Klantgegevens_A!E594 &amp; ", " &amp; Klantgegevens_A!F594)</f>
        <v/>
      </c>
      <c r="E595">
        <f>IF(Klantgegevens_B!G594&lt;&gt;"", Klantgegevens_B!G594, TEXTJOIN(",", TRUE, REPT("Volwassene,", Klantgegevens_A!G594), REPT("Kind,", Klantgegevens_A!H594)))</f>
        <v/>
      </c>
      <c r="F595">
        <f>IF(Klantgegevens_B!G594&lt;&gt;"", LEN(Klantgegevens_B!G594)-LEN(SUBSTITUTE(Klantgegevens_B!G594, ",", ""))+1, Klantgegevens_A!G594)</f>
        <v/>
      </c>
      <c r="G595">
        <f>IF(Klantgegevens_B!G594&lt;&gt;"", 0, Klantgegevens_A!H594)</f>
        <v/>
      </c>
      <c r="H595">
        <f>IF(Klantgegevens_B!H594&lt;&gt;"", Klantgegevens_B!H594, Klantgegevens_A!I594)</f>
        <v/>
      </c>
      <c r="I595">
        <f>IF(Klantgegevens_B!I594&lt;&gt;"", Klantgegevens_B!I594, SWITCH(Klantgegevens_A!J594, "Zelden", 1, "Af en toe", 4, "Regelmatig", 8, "Vaak", 12))</f>
        <v/>
      </c>
      <c r="J595">
        <f>IF(Klantgegevens_B!J594&lt;&gt;"", Klantgegevens_B!J594, Klantgegevens_A!K594)</f>
        <v/>
      </c>
      <c r="K595">
        <f>IF(Klantgegevens_B!K594&lt;&gt;"", AVERAGE(--(Klantgegevens_B!K594="ja"), --(Klantgegevens_B!L594="ja"), --(Klantgegevens_B!M594="ja"), --(Klantgegevens_B!N594="ja"), --(Klantgegevens_B!O594="ja"))*10, Klantgegevens_A!L594)</f>
        <v/>
      </c>
      <c r="L595">
        <f>IF(Klantgegevens_B!K594&lt;&gt;"", Klantgegevens_B!K594, IF(Klantgegevens_A!L594&gt;=7, "ja", "nee"))</f>
        <v/>
      </c>
      <c r="M595">
        <f>IF(Klantgegevens_B!L594&lt;&gt;"", Klantgegevens_B!L594, IF(Klantgegevens_A!L594&gt;=7, "ja", "nee"))</f>
        <v/>
      </c>
      <c r="N595">
        <f>IF(Klantgegevens_B!M594&lt;&gt;"", Klantgegevens_B!M594, IF(Klantgegevens_A!L594&gt;=7, "ja", "nee"))</f>
        <v/>
      </c>
      <c r="O595">
        <f>IF(Klantgegevens_B!N594&lt;&gt;"", Klantgegevens_B!N594, IF(Klantgegevens_A!L594&gt;=7, "ja", "nee"))</f>
        <v/>
      </c>
      <c r="P595">
        <f>IF(Klantgegevens_B!O594&lt;&gt;"", Klantgegevens_B!O594, IF(Klantgegevens_A!L594&gt;=7, "ja", "nee"))</f>
        <v/>
      </c>
      <c r="Q595">
        <f>IF(Klantgegevens_B!P594&lt;&gt;"", Klantgegevens_B!P594, Klantgegevens_A!M594)</f>
        <v/>
      </c>
      <c r="R595">
        <f>IF(Klantgegevens_B!A594&lt;&gt;"", "B", "A")</f>
        <v/>
      </c>
    </row>
    <row r="596">
      <c r="A596">
        <f>IF(Klantgegevens_B!A595&lt;&gt;"", Klantgegevens_B!A595, MID(Klantgegevens_A!A595, FIND(",", Klantgegevens_A!A595)+2, LEN(Klantgegevens_A!A595)))</f>
        <v/>
      </c>
      <c r="B596">
        <f>IF(Klantgegevens_B!B595&lt;&gt;"", Klantgegevens_B!B595, LEFT(Klantgegevens_A!A595, FIND(",", Klantgegevens_A!A595)-1))</f>
        <v/>
      </c>
      <c r="C596">
        <f>C595 &amp; ", " &amp; B595</f>
        <v/>
      </c>
      <c r="D596">
        <f>IF(Klantgegevens_B!F595&lt;&gt;"", Klantgegevens_B!F595, Klantgegevens_A!D595 &amp; " " &amp; Klantgegevens_A!E595 &amp; ", " &amp; Klantgegevens_A!F595)</f>
        <v/>
      </c>
      <c r="E596">
        <f>IF(Klantgegevens_B!G595&lt;&gt;"", Klantgegevens_B!G595, TEXTJOIN(",", TRUE, REPT("Volwassene,", Klantgegevens_A!G595), REPT("Kind,", Klantgegevens_A!H595)))</f>
        <v/>
      </c>
      <c r="F596">
        <f>IF(Klantgegevens_B!G595&lt;&gt;"", LEN(Klantgegevens_B!G595)-LEN(SUBSTITUTE(Klantgegevens_B!G595, ",", ""))+1, Klantgegevens_A!G595)</f>
        <v/>
      </c>
      <c r="G596">
        <f>IF(Klantgegevens_B!G595&lt;&gt;"", 0, Klantgegevens_A!H595)</f>
        <v/>
      </c>
      <c r="H596">
        <f>IF(Klantgegevens_B!H595&lt;&gt;"", Klantgegevens_B!H595, Klantgegevens_A!I595)</f>
        <v/>
      </c>
      <c r="I596">
        <f>IF(Klantgegevens_B!I595&lt;&gt;"", Klantgegevens_B!I595, SWITCH(Klantgegevens_A!J595, "Zelden", 1, "Af en toe", 4, "Regelmatig", 8, "Vaak", 12))</f>
        <v/>
      </c>
      <c r="J596">
        <f>IF(Klantgegevens_B!J595&lt;&gt;"", Klantgegevens_B!J595, Klantgegevens_A!K595)</f>
        <v/>
      </c>
      <c r="K596">
        <f>IF(Klantgegevens_B!K595&lt;&gt;"", AVERAGE(--(Klantgegevens_B!K595="ja"), --(Klantgegevens_B!L595="ja"), --(Klantgegevens_B!M595="ja"), --(Klantgegevens_B!N595="ja"), --(Klantgegevens_B!O595="ja"))*10, Klantgegevens_A!L595)</f>
        <v/>
      </c>
      <c r="L596">
        <f>IF(Klantgegevens_B!K595&lt;&gt;"", Klantgegevens_B!K595, IF(Klantgegevens_A!L595&gt;=7, "ja", "nee"))</f>
        <v/>
      </c>
      <c r="M596">
        <f>IF(Klantgegevens_B!L595&lt;&gt;"", Klantgegevens_B!L595, IF(Klantgegevens_A!L595&gt;=7, "ja", "nee"))</f>
        <v/>
      </c>
      <c r="N596">
        <f>IF(Klantgegevens_B!M595&lt;&gt;"", Klantgegevens_B!M595, IF(Klantgegevens_A!L595&gt;=7, "ja", "nee"))</f>
        <v/>
      </c>
      <c r="O596">
        <f>IF(Klantgegevens_B!N595&lt;&gt;"", Klantgegevens_B!N595, IF(Klantgegevens_A!L595&gt;=7, "ja", "nee"))</f>
        <v/>
      </c>
      <c r="P596">
        <f>IF(Klantgegevens_B!O595&lt;&gt;"", Klantgegevens_B!O595, IF(Klantgegevens_A!L595&gt;=7, "ja", "nee"))</f>
        <v/>
      </c>
      <c r="Q596">
        <f>IF(Klantgegevens_B!P595&lt;&gt;"", Klantgegevens_B!P595, Klantgegevens_A!M595)</f>
        <v/>
      </c>
      <c r="R596">
        <f>IF(Klantgegevens_B!A595&lt;&gt;"", "B", "A")</f>
        <v/>
      </c>
    </row>
    <row r="597">
      <c r="A597">
        <f>IF(Klantgegevens_B!A596&lt;&gt;"", Klantgegevens_B!A596, MID(Klantgegevens_A!A596, FIND(",", Klantgegevens_A!A596)+2, LEN(Klantgegevens_A!A596)))</f>
        <v/>
      </c>
      <c r="B597">
        <f>IF(Klantgegevens_B!B596&lt;&gt;"", Klantgegevens_B!B596, LEFT(Klantgegevens_A!A596, FIND(",", Klantgegevens_A!A596)-1))</f>
        <v/>
      </c>
      <c r="C597">
        <f>C596 &amp; ", " &amp; B596</f>
        <v/>
      </c>
      <c r="D597">
        <f>IF(Klantgegevens_B!F596&lt;&gt;"", Klantgegevens_B!F596, Klantgegevens_A!D596 &amp; " " &amp; Klantgegevens_A!E596 &amp; ", " &amp; Klantgegevens_A!F596)</f>
        <v/>
      </c>
      <c r="E597">
        <f>IF(Klantgegevens_B!G596&lt;&gt;"", Klantgegevens_B!G596, TEXTJOIN(",", TRUE, REPT("Volwassene,", Klantgegevens_A!G596), REPT("Kind,", Klantgegevens_A!H596)))</f>
        <v/>
      </c>
      <c r="F597">
        <f>IF(Klantgegevens_B!G596&lt;&gt;"", LEN(Klantgegevens_B!G596)-LEN(SUBSTITUTE(Klantgegevens_B!G596, ",", ""))+1, Klantgegevens_A!G596)</f>
        <v/>
      </c>
      <c r="G597">
        <f>IF(Klantgegevens_B!G596&lt;&gt;"", 0, Klantgegevens_A!H596)</f>
        <v/>
      </c>
      <c r="H597">
        <f>IF(Klantgegevens_B!H596&lt;&gt;"", Klantgegevens_B!H596, Klantgegevens_A!I596)</f>
        <v/>
      </c>
      <c r="I597">
        <f>IF(Klantgegevens_B!I596&lt;&gt;"", Klantgegevens_B!I596, SWITCH(Klantgegevens_A!J596, "Zelden", 1, "Af en toe", 4, "Regelmatig", 8, "Vaak", 12))</f>
        <v/>
      </c>
      <c r="J597">
        <f>IF(Klantgegevens_B!J596&lt;&gt;"", Klantgegevens_B!J596, Klantgegevens_A!K596)</f>
        <v/>
      </c>
      <c r="K597">
        <f>IF(Klantgegevens_B!K596&lt;&gt;"", AVERAGE(--(Klantgegevens_B!K596="ja"), --(Klantgegevens_B!L596="ja"), --(Klantgegevens_B!M596="ja"), --(Klantgegevens_B!N596="ja"), --(Klantgegevens_B!O596="ja"))*10, Klantgegevens_A!L596)</f>
        <v/>
      </c>
      <c r="L597">
        <f>IF(Klantgegevens_B!K596&lt;&gt;"", Klantgegevens_B!K596, IF(Klantgegevens_A!L596&gt;=7, "ja", "nee"))</f>
        <v/>
      </c>
      <c r="M597">
        <f>IF(Klantgegevens_B!L596&lt;&gt;"", Klantgegevens_B!L596, IF(Klantgegevens_A!L596&gt;=7, "ja", "nee"))</f>
        <v/>
      </c>
      <c r="N597">
        <f>IF(Klantgegevens_B!M596&lt;&gt;"", Klantgegevens_B!M596, IF(Klantgegevens_A!L596&gt;=7, "ja", "nee"))</f>
        <v/>
      </c>
      <c r="O597">
        <f>IF(Klantgegevens_B!N596&lt;&gt;"", Klantgegevens_B!N596, IF(Klantgegevens_A!L596&gt;=7, "ja", "nee"))</f>
        <v/>
      </c>
      <c r="P597">
        <f>IF(Klantgegevens_B!O596&lt;&gt;"", Klantgegevens_B!O596, IF(Klantgegevens_A!L596&gt;=7, "ja", "nee"))</f>
        <v/>
      </c>
      <c r="Q597">
        <f>IF(Klantgegevens_B!P596&lt;&gt;"", Klantgegevens_B!P596, Klantgegevens_A!M596)</f>
        <v/>
      </c>
      <c r="R597">
        <f>IF(Klantgegevens_B!A596&lt;&gt;"", "B", "A")</f>
        <v/>
      </c>
    </row>
    <row r="598">
      <c r="A598">
        <f>IF(Klantgegevens_B!A597&lt;&gt;"", Klantgegevens_B!A597, MID(Klantgegevens_A!A597, FIND(",", Klantgegevens_A!A597)+2, LEN(Klantgegevens_A!A597)))</f>
        <v/>
      </c>
      <c r="B598">
        <f>IF(Klantgegevens_B!B597&lt;&gt;"", Klantgegevens_B!B597, LEFT(Klantgegevens_A!A597, FIND(",", Klantgegevens_A!A597)-1))</f>
        <v/>
      </c>
      <c r="C598">
        <f>C597 &amp; ", " &amp; B597</f>
        <v/>
      </c>
      <c r="D598">
        <f>IF(Klantgegevens_B!F597&lt;&gt;"", Klantgegevens_B!F597, Klantgegevens_A!D597 &amp; " " &amp; Klantgegevens_A!E597 &amp; ", " &amp; Klantgegevens_A!F597)</f>
        <v/>
      </c>
      <c r="E598">
        <f>IF(Klantgegevens_B!G597&lt;&gt;"", Klantgegevens_B!G597, TEXTJOIN(",", TRUE, REPT("Volwassene,", Klantgegevens_A!G597), REPT("Kind,", Klantgegevens_A!H597)))</f>
        <v/>
      </c>
      <c r="F598">
        <f>IF(Klantgegevens_B!G597&lt;&gt;"", LEN(Klantgegevens_B!G597)-LEN(SUBSTITUTE(Klantgegevens_B!G597, ",", ""))+1, Klantgegevens_A!G597)</f>
        <v/>
      </c>
      <c r="G598">
        <f>IF(Klantgegevens_B!G597&lt;&gt;"", 0, Klantgegevens_A!H597)</f>
        <v/>
      </c>
      <c r="H598">
        <f>IF(Klantgegevens_B!H597&lt;&gt;"", Klantgegevens_B!H597, Klantgegevens_A!I597)</f>
        <v/>
      </c>
      <c r="I598">
        <f>IF(Klantgegevens_B!I597&lt;&gt;"", Klantgegevens_B!I597, SWITCH(Klantgegevens_A!J597, "Zelden", 1, "Af en toe", 4, "Regelmatig", 8, "Vaak", 12))</f>
        <v/>
      </c>
      <c r="J598">
        <f>IF(Klantgegevens_B!J597&lt;&gt;"", Klantgegevens_B!J597, Klantgegevens_A!K597)</f>
        <v/>
      </c>
      <c r="K598">
        <f>IF(Klantgegevens_B!K597&lt;&gt;"", AVERAGE(--(Klantgegevens_B!K597="ja"), --(Klantgegevens_B!L597="ja"), --(Klantgegevens_B!M597="ja"), --(Klantgegevens_B!N597="ja"), --(Klantgegevens_B!O597="ja"))*10, Klantgegevens_A!L597)</f>
        <v/>
      </c>
      <c r="L598">
        <f>IF(Klantgegevens_B!K597&lt;&gt;"", Klantgegevens_B!K597, IF(Klantgegevens_A!L597&gt;=7, "ja", "nee"))</f>
        <v/>
      </c>
      <c r="M598">
        <f>IF(Klantgegevens_B!L597&lt;&gt;"", Klantgegevens_B!L597, IF(Klantgegevens_A!L597&gt;=7, "ja", "nee"))</f>
        <v/>
      </c>
      <c r="N598">
        <f>IF(Klantgegevens_B!M597&lt;&gt;"", Klantgegevens_B!M597, IF(Klantgegevens_A!L597&gt;=7, "ja", "nee"))</f>
        <v/>
      </c>
      <c r="O598">
        <f>IF(Klantgegevens_B!N597&lt;&gt;"", Klantgegevens_B!N597, IF(Klantgegevens_A!L597&gt;=7, "ja", "nee"))</f>
        <v/>
      </c>
      <c r="P598">
        <f>IF(Klantgegevens_B!O597&lt;&gt;"", Klantgegevens_B!O597, IF(Klantgegevens_A!L597&gt;=7, "ja", "nee"))</f>
        <v/>
      </c>
      <c r="Q598">
        <f>IF(Klantgegevens_B!P597&lt;&gt;"", Klantgegevens_B!P597, Klantgegevens_A!M597)</f>
        <v/>
      </c>
      <c r="R598">
        <f>IF(Klantgegevens_B!A597&lt;&gt;"", "B", "A")</f>
        <v/>
      </c>
    </row>
    <row r="599">
      <c r="A599">
        <f>IF(Klantgegevens_B!A598&lt;&gt;"", Klantgegevens_B!A598, MID(Klantgegevens_A!A598, FIND(",", Klantgegevens_A!A598)+2, LEN(Klantgegevens_A!A598)))</f>
        <v/>
      </c>
      <c r="B599">
        <f>IF(Klantgegevens_B!B598&lt;&gt;"", Klantgegevens_B!B598, LEFT(Klantgegevens_A!A598, FIND(",", Klantgegevens_A!A598)-1))</f>
        <v/>
      </c>
      <c r="C599">
        <f>C598 &amp; ", " &amp; B598</f>
        <v/>
      </c>
      <c r="D599">
        <f>IF(Klantgegevens_B!F598&lt;&gt;"", Klantgegevens_B!F598, Klantgegevens_A!D598 &amp; " " &amp; Klantgegevens_A!E598 &amp; ", " &amp; Klantgegevens_A!F598)</f>
        <v/>
      </c>
      <c r="E599">
        <f>IF(Klantgegevens_B!G598&lt;&gt;"", Klantgegevens_B!G598, TEXTJOIN(",", TRUE, REPT("Volwassene,", Klantgegevens_A!G598), REPT("Kind,", Klantgegevens_A!H598)))</f>
        <v/>
      </c>
      <c r="F599">
        <f>IF(Klantgegevens_B!G598&lt;&gt;"", LEN(Klantgegevens_B!G598)-LEN(SUBSTITUTE(Klantgegevens_B!G598, ",", ""))+1, Klantgegevens_A!G598)</f>
        <v/>
      </c>
      <c r="G599">
        <f>IF(Klantgegevens_B!G598&lt;&gt;"", 0, Klantgegevens_A!H598)</f>
        <v/>
      </c>
      <c r="H599">
        <f>IF(Klantgegevens_B!H598&lt;&gt;"", Klantgegevens_B!H598, Klantgegevens_A!I598)</f>
        <v/>
      </c>
      <c r="I599">
        <f>IF(Klantgegevens_B!I598&lt;&gt;"", Klantgegevens_B!I598, SWITCH(Klantgegevens_A!J598, "Zelden", 1, "Af en toe", 4, "Regelmatig", 8, "Vaak", 12))</f>
        <v/>
      </c>
      <c r="J599">
        <f>IF(Klantgegevens_B!J598&lt;&gt;"", Klantgegevens_B!J598, Klantgegevens_A!K598)</f>
        <v/>
      </c>
      <c r="K599">
        <f>IF(Klantgegevens_B!K598&lt;&gt;"", AVERAGE(--(Klantgegevens_B!K598="ja"), --(Klantgegevens_B!L598="ja"), --(Klantgegevens_B!M598="ja"), --(Klantgegevens_B!N598="ja"), --(Klantgegevens_B!O598="ja"))*10, Klantgegevens_A!L598)</f>
        <v/>
      </c>
      <c r="L599">
        <f>IF(Klantgegevens_B!K598&lt;&gt;"", Klantgegevens_B!K598, IF(Klantgegevens_A!L598&gt;=7, "ja", "nee"))</f>
        <v/>
      </c>
      <c r="M599">
        <f>IF(Klantgegevens_B!L598&lt;&gt;"", Klantgegevens_B!L598, IF(Klantgegevens_A!L598&gt;=7, "ja", "nee"))</f>
        <v/>
      </c>
      <c r="N599">
        <f>IF(Klantgegevens_B!M598&lt;&gt;"", Klantgegevens_B!M598, IF(Klantgegevens_A!L598&gt;=7, "ja", "nee"))</f>
        <v/>
      </c>
      <c r="O599">
        <f>IF(Klantgegevens_B!N598&lt;&gt;"", Klantgegevens_B!N598, IF(Klantgegevens_A!L598&gt;=7, "ja", "nee"))</f>
        <v/>
      </c>
      <c r="P599">
        <f>IF(Klantgegevens_B!O598&lt;&gt;"", Klantgegevens_B!O598, IF(Klantgegevens_A!L598&gt;=7, "ja", "nee"))</f>
        <v/>
      </c>
      <c r="Q599">
        <f>IF(Klantgegevens_B!P598&lt;&gt;"", Klantgegevens_B!P598, Klantgegevens_A!M598)</f>
        <v/>
      </c>
      <c r="R599">
        <f>IF(Klantgegevens_B!A598&lt;&gt;"", "B", "A")</f>
        <v/>
      </c>
    </row>
    <row r="600">
      <c r="A600">
        <f>IF(Klantgegevens_B!A599&lt;&gt;"", Klantgegevens_B!A599, MID(Klantgegevens_A!A599, FIND(",", Klantgegevens_A!A599)+2, LEN(Klantgegevens_A!A599)))</f>
        <v/>
      </c>
      <c r="B600">
        <f>IF(Klantgegevens_B!B599&lt;&gt;"", Klantgegevens_B!B599, LEFT(Klantgegevens_A!A599, FIND(",", Klantgegevens_A!A599)-1))</f>
        <v/>
      </c>
      <c r="C600">
        <f>C599 &amp; ", " &amp; B599</f>
        <v/>
      </c>
      <c r="D600">
        <f>IF(Klantgegevens_B!F599&lt;&gt;"", Klantgegevens_B!F599, Klantgegevens_A!D599 &amp; " " &amp; Klantgegevens_A!E599 &amp; ", " &amp; Klantgegevens_A!F599)</f>
        <v/>
      </c>
      <c r="E600">
        <f>IF(Klantgegevens_B!G599&lt;&gt;"", Klantgegevens_B!G599, TEXTJOIN(",", TRUE, REPT("Volwassene,", Klantgegevens_A!G599), REPT("Kind,", Klantgegevens_A!H599)))</f>
        <v/>
      </c>
      <c r="F600">
        <f>IF(Klantgegevens_B!G599&lt;&gt;"", LEN(Klantgegevens_B!G599)-LEN(SUBSTITUTE(Klantgegevens_B!G599, ",", ""))+1, Klantgegevens_A!G599)</f>
        <v/>
      </c>
      <c r="G600">
        <f>IF(Klantgegevens_B!G599&lt;&gt;"", 0, Klantgegevens_A!H599)</f>
        <v/>
      </c>
      <c r="H600">
        <f>IF(Klantgegevens_B!H599&lt;&gt;"", Klantgegevens_B!H599, Klantgegevens_A!I599)</f>
        <v/>
      </c>
      <c r="I600">
        <f>IF(Klantgegevens_B!I599&lt;&gt;"", Klantgegevens_B!I599, SWITCH(Klantgegevens_A!J599, "Zelden", 1, "Af en toe", 4, "Regelmatig", 8, "Vaak", 12))</f>
        <v/>
      </c>
      <c r="J600">
        <f>IF(Klantgegevens_B!J599&lt;&gt;"", Klantgegevens_B!J599, Klantgegevens_A!K599)</f>
        <v/>
      </c>
      <c r="K600">
        <f>IF(Klantgegevens_B!K599&lt;&gt;"", AVERAGE(--(Klantgegevens_B!K599="ja"), --(Klantgegevens_B!L599="ja"), --(Klantgegevens_B!M599="ja"), --(Klantgegevens_B!N599="ja"), --(Klantgegevens_B!O599="ja"))*10, Klantgegevens_A!L599)</f>
        <v/>
      </c>
      <c r="L600">
        <f>IF(Klantgegevens_B!K599&lt;&gt;"", Klantgegevens_B!K599, IF(Klantgegevens_A!L599&gt;=7, "ja", "nee"))</f>
        <v/>
      </c>
      <c r="M600">
        <f>IF(Klantgegevens_B!L599&lt;&gt;"", Klantgegevens_B!L599, IF(Klantgegevens_A!L599&gt;=7, "ja", "nee"))</f>
        <v/>
      </c>
      <c r="N600">
        <f>IF(Klantgegevens_B!M599&lt;&gt;"", Klantgegevens_B!M599, IF(Klantgegevens_A!L599&gt;=7, "ja", "nee"))</f>
        <v/>
      </c>
      <c r="O600">
        <f>IF(Klantgegevens_B!N599&lt;&gt;"", Klantgegevens_B!N599, IF(Klantgegevens_A!L599&gt;=7, "ja", "nee"))</f>
        <v/>
      </c>
      <c r="P600">
        <f>IF(Klantgegevens_B!O599&lt;&gt;"", Klantgegevens_B!O599, IF(Klantgegevens_A!L599&gt;=7, "ja", "nee"))</f>
        <v/>
      </c>
      <c r="Q600">
        <f>IF(Klantgegevens_B!P599&lt;&gt;"", Klantgegevens_B!P599, Klantgegevens_A!M599)</f>
        <v/>
      </c>
      <c r="R600">
        <f>IF(Klantgegevens_B!A599&lt;&gt;"", "B", "A")</f>
        <v/>
      </c>
    </row>
    <row r="601">
      <c r="A601">
        <f>IF(Klantgegevens_B!A600&lt;&gt;"", Klantgegevens_B!A600, MID(Klantgegevens_A!A600, FIND(",", Klantgegevens_A!A600)+2, LEN(Klantgegevens_A!A600)))</f>
        <v/>
      </c>
      <c r="B601">
        <f>IF(Klantgegevens_B!B600&lt;&gt;"", Klantgegevens_B!B600, LEFT(Klantgegevens_A!A600, FIND(",", Klantgegevens_A!A600)-1))</f>
        <v/>
      </c>
      <c r="C601">
        <f>C600 &amp; ", " &amp; B600</f>
        <v/>
      </c>
      <c r="D601">
        <f>IF(Klantgegevens_B!F600&lt;&gt;"", Klantgegevens_B!F600, Klantgegevens_A!D600 &amp; " " &amp; Klantgegevens_A!E600 &amp; ", " &amp; Klantgegevens_A!F600)</f>
        <v/>
      </c>
      <c r="E601">
        <f>IF(Klantgegevens_B!G600&lt;&gt;"", Klantgegevens_B!G600, TEXTJOIN(",", TRUE, REPT("Volwassene,", Klantgegevens_A!G600), REPT("Kind,", Klantgegevens_A!H600)))</f>
        <v/>
      </c>
      <c r="F601">
        <f>IF(Klantgegevens_B!G600&lt;&gt;"", LEN(Klantgegevens_B!G600)-LEN(SUBSTITUTE(Klantgegevens_B!G600, ",", ""))+1, Klantgegevens_A!G600)</f>
        <v/>
      </c>
      <c r="G601">
        <f>IF(Klantgegevens_B!G600&lt;&gt;"", 0, Klantgegevens_A!H600)</f>
        <v/>
      </c>
      <c r="H601">
        <f>IF(Klantgegevens_B!H600&lt;&gt;"", Klantgegevens_B!H600, Klantgegevens_A!I600)</f>
        <v/>
      </c>
      <c r="I601">
        <f>IF(Klantgegevens_B!I600&lt;&gt;"", Klantgegevens_B!I600, SWITCH(Klantgegevens_A!J600, "Zelden", 1, "Af en toe", 4, "Regelmatig", 8, "Vaak", 12))</f>
        <v/>
      </c>
      <c r="J601">
        <f>IF(Klantgegevens_B!J600&lt;&gt;"", Klantgegevens_B!J600, Klantgegevens_A!K600)</f>
        <v/>
      </c>
      <c r="K601">
        <f>IF(Klantgegevens_B!K600&lt;&gt;"", AVERAGE(--(Klantgegevens_B!K600="ja"), --(Klantgegevens_B!L600="ja"), --(Klantgegevens_B!M600="ja"), --(Klantgegevens_B!N600="ja"), --(Klantgegevens_B!O600="ja"))*10, Klantgegevens_A!L600)</f>
        <v/>
      </c>
      <c r="L601">
        <f>IF(Klantgegevens_B!K600&lt;&gt;"", Klantgegevens_B!K600, IF(Klantgegevens_A!L600&gt;=7, "ja", "nee"))</f>
        <v/>
      </c>
      <c r="M601">
        <f>IF(Klantgegevens_B!L600&lt;&gt;"", Klantgegevens_B!L600, IF(Klantgegevens_A!L600&gt;=7, "ja", "nee"))</f>
        <v/>
      </c>
      <c r="N601">
        <f>IF(Klantgegevens_B!M600&lt;&gt;"", Klantgegevens_B!M600, IF(Klantgegevens_A!L600&gt;=7, "ja", "nee"))</f>
        <v/>
      </c>
      <c r="O601">
        <f>IF(Klantgegevens_B!N600&lt;&gt;"", Klantgegevens_B!N600, IF(Klantgegevens_A!L600&gt;=7, "ja", "nee"))</f>
        <v/>
      </c>
      <c r="P601">
        <f>IF(Klantgegevens_B!O600&lt;&gt;"", Klantgegevens_B!O600, IF(Klantgegevens_A!L600&gt;=7, "ja", "nee"))</f>
        <v/>
      </c>
      <c r="Q601">
        <f>IF(Klantgegevens_B!P600&lt;&gt;"", Klantgegevens_B!P600, Klantgegevens_A!M600)</f>
        <v/>
      </c>
      <c r="R601">
        <f>IF(Klantgegevens_B!A600&lt;&gt;"", "B", "A")</f>
        <v/>
      </c>
    </row>
    <row r="602">
      <c r="A602">
        <f>IF(Klantgegevens_B!A601&lt;&gt;"", Klantgegevens_B!A601, MID(Klantgegevens_A!A601, FIND(",", Klantgegevens_A!A601)+2, LEN(Klantgegevens_A!A601)))</f>
        <v/>
      </c>
      <c r="B602">
        <f>IF(Klantgegevens_B!B601&lt;&gt;"", Klantgegevens_B!B601, LEFT(Klantgegevens_A!A601, FIND(",", Klantgegevens_A!A601)-1))</f>
        <v/>
      </c>
      <c r="C602">
        <f>C601 &amp; ", " &amp; B601</f>
        <v/>
      </c>
      <c r="D602">
        <f>IF(Klantgegevens_B!F601&lt;&gt;"", Klantgegevens_B!F601, Klantgegevens_A!D601 &amp; " " &amp; Klantgegevens_A!E601 &amp; ", " &amp; Klantgegevens_A!F601)</f>
        <v/>
      </c>
      <c r="E602">
        <f>IF(Klantgegevens_B!G601&lt;&gt;"", Klantgegevens_B!G601, TEXTJOIN(",", TRUE, REPT("Volwassene,", Klantgegevens_A!G601), REPT("Kind,", Klantgegevens_A!H601)))</f>
        <v/>
      </c>
      <c r="F602">
        <f>IF(Klantgegevens_B!G601&lt;&gt;"", LEN(Klantgegevens_B!G601)-LEN(SUBSTITUTE(Klantgegevens_B!G601, ",", ""))+1, Klantgegevens_A!G601)</f>
        <v/>
      </c>
      <c r="G602">
        <f>IF(Klantgegevens_B!G601&lt;&gt;"", 0, Klantgegevens_A!H601)</f>
        <v/>
      </c>
      <c r="H602">
        <f>IF(Klantgegevens_B!H601&lt;&gt;"", Klantgegevens_B!H601, Klantgegevens_A!I601)</f>
        <v/>
      </c>
      <c r="I602">
        <f>IF(Klantgegevens_B!I601&lt;&gt;"", Klantgegevens_B!I601, SWITCH(Klantgegevens_A!J601, "Zelden", 1, "Af en toe", 4, "Regelmatig", 8, "Vaak", 12))</f>
        <v/>
      </c>
      <c r="J602">
        <f>IF(Klantgegevens_B!J601&lt;&gt;"", Klantgegevens_B!J601, Klantgegevens_A!K601)</f>
        <v/>
      </c>
      <c r="K602">
        <f>IF(Klantgegevens_B!K601&lt;&gt;"", AVERAGE(--(Klantgegevens_B!K601="ja"), --(Klantgegevens_B!L601="ja"), --(Klantgegevens_B!M601="ja"), --(Klantgegevens_B!N601="ja"), --(Klantgegevens_B!O601="ja"))*10, Klantgegevens_A!L601)</f>
        <v/>
      </c>
      <c r="L602">
        <f>IF(Klantgegevens_B!K601&lt;&gt;"", Klantgegevens_B!K601, IF(Klantgegevens_A!L601&gt;=7, "ja", "nee"))</f>
        <v/>
      </c>
      <c r="M602">
        <f>IF(Klantgegevens_B!L601&lt;&gt;"", Klantgegevens_B!L601, IF(Klantgegevens_A!L601&gt;=7, "ja", "nee"))</f>
        <v/>
      </c>
      <c r="N602">
        <f>IF(Klantgegevens_B!M601&lt;&gt;"", Klantgegevens_B!M601, IF(Klantgegevens_A!L601&gt;=7, "ja", "nee"))</f>
        <v/>
      </c>
      <c r="O602">
        <f>IF(Klantgegevens_B!N601&lt;&gt;"", Klantgegevens_B!N601, IF(Klantgegevens_A!L601&gt;=7, "ja", "nee"))</f>
        <v/>
      </c>
      <c r="P602">
        <f>IF(Klantgegevens_B!O601&lt;&gt;"", Klantgegevens_B!O601, IF(Klantgegevens_A!L601&gt;=7, "ja", "nee"))</f>
        <v/>
      </c>
      <c r="Q602">
        <f>IF(Klantgegevens_B!P601&lt;&gt;"", Klantgegevens_B!P601, Klantgegevens_A!M601)</f>
        <v/>
      </c>
      <c r="R602">
        <f>IF(Klantgegevens_B!A601&lt;&gt;"", "B", "A")</f>
        <v/>
      </c>
    </row>
    <row r="603">
      <c r="A603">
        <f>IF(Klantgegevens_B!A602&lt;&gt;"", Klantgegevens_B!A602, MID(Klantgegevens_A!A602, FIND(",", Klantgegevens_A!A602)+2, LEN(Klantgegevens_A!A602)))</f>
        <v/>
      </c>
      <c r="B603">
        <f>IF(Klantgegevens_B!B602&lt;&gt;"", Klantgegevens_B!B602, LEFT(Klantgegevens_A!A602, FIND(",", Klantgegevens_A!A602)-1))</f>
        <v/>
      </c>
      <c r="C603">
        <f>C602 &amp; ", " &amp; B602</f>
        <v/>
      </c>
      <c r="D603">
        <f>IF(Klantgegevens_B!F602&lt;&gt;"", Klantgegevens_B!F602, Klantgegevens_A!D602 &amp; " " &amp; Klantgegevens_A!E602 &amp; ", " &amp; Klantgegevens_A!F602)</f>
        <v/>
      </c>
      <c r="E603">
        <f>IF(Klantgegevens_B!G602&lt;&gt;"", Klantgegevens_B!G602, TEXTJOIN(",", TRUE, REPT("Volwassene,", Klantgegevens_A!G602), REPT("Kind,", Klantgegevens_A!H602)))</f>
        <v/>
      </c>
      <c r="F603">
        <f>IF(Klantgegevens_B!G602&lt;&gt;"", LEN(Klantgegevens_B!G602)-LEN(SUBSTITUTE(Klantgegevens_B!G602, ",", ""))+1, Klantgegevens_A!G602)</f>
        <v/>
      </c>
      <c r="G603">
        <f>IF(Klantgegevens_B!G602&lt;&gt;"", 0, Klantgegevens_A!H602)</f>
        <v/>
      </c>
      <c r="H603">
        <f>IF(Klantgegevens_B!H602&lt;&gt;"", Klantgegevens_B!H602, Klantgegevens_A!I602)</f>
        <v/>
      </c>
      <c r="I603">
        <f>IF(Klantgegevens_B!I602&lt;&gt;"", Klantgegevens_B!I602, SWITCH(Klantgegevens_A!J602, "Zelden", 1, "Af en toe", 4, "Regelmatig", 8, "Vaak", 12))</f>
        <v/>
      </c>
      <c r="J603">
        <f>IF(Klantgegevens_B!J602&lt;&gt;"", Klantgegevens_B!J602, Klantgegevens_A!K602)</f>
        <v/>
      </c>
      <c r="K603">
        <f>IF(Klantgegevens_B!K602&lt;&gt;"", AVERAGE(--(Klantgegevens_B!K602="ja"), --(Klantgegevens_B!L602="ja"), --(Klantgegevens_B!M602="ja"), --(Klantgegevens_B!N602="ja"), --(Klantgegevens_B!O602="ja"))*10, Klantgegevens_A!L602)</f>
        <v/>
      </c>
      <c r="L603">
        <f>IF(Klantgegevens_B!K602&lt;&gt;"", Klantgegevens_B!K602, IF(Klantgegevens_A!L602&gt;=7, "ja", "nee"))</f>
        <v/>
      </c>
      <c r="M603">
        <f>IF(Klantgegevens_B!L602&lt;&gt;"", Klantgegevens_B!L602, IF(Klantgegevens_A!L602&gt;=7, "ja", "nee"))</f>
        <v/>
      </c>
      <c r="N603">
        <f>IF(Klantgegevens_B!M602&lt;&gt;"", Klantgegevens_B!M602, IF(Klantgegevens_A!L602&gt;=7, "ja", "nee"))</f>
        <v/>
      </c>
      <c r="O603">
        <f>IF(Klantgegevens_B!N602&lt;&gt;"", Klantgegevens_B!N602, IF(Klantgegevens_A!L602&gt;=7, "ja", "nee"))</f>
        <v/>
      </c>
      <c r="P603">
        <f>IF(Klantgegevens_B!O602&lt;&gt;"", Klantgegevens_B!O602, IF(Klantgegevens_A!L602&gt;=7, "ja", "nee"))</f>
        <v/>
      </c>
      <c r="Q603">
        <f>IF(Klantgegevens_B!P602&lt;&gt;"", Klantgegevens_B!P602, Klantgegevens_A!M602)</f>
        <v/>
      </c>
      <c r="R603">
        <f>IF(Klantgegevens_B!A602&lt;&gt;"", "B", "A")</f>
        <v/>
      </c>
    </row>
    <row r="604">
      <c r="A604">
        <f>IF(Klantgegevens_B!A603&lt;&gt;"", Klantgegevens_B!A603, MID(Klantgegevens_A!A603, FIND(",", Klantgegevens_A!A603)+2, LEN(Klantgegevens_A!A603)))</f>
        <v/>
      </c>
      <c r="B604">
        <f>IF(Klantgegevens_B!B603&lt;&gt;"", Klantgegevens_B!B603, LEFT(Klantgegevens_A!A603, FIND(",", Klantgegevens_A!A603)-1))</f>
        <v/>
      </c>
      <c r="C604">
        <f>C603 &amp; ", " &amp; B603</f>
        <v/>
      </c>
      <c r="D604">
        <f>IF(Klantgegevens_B!F603&lt;&gt;"", Klantgegevens_B!F603, Klantgegevens_A!D603 &amp; " " &amp; Klantgegevens_A!E603 &amp; ", " &amp; Klantgegevens_A!F603)</f>
        <v/>
      </c>
      <c r="E604">
        <f>IF(Klantgegevens_B!G603&lt;&gt;"", Klantgegevens_B!G603, TEXTJOIN(",", TRUE, REPT("Volwassene,", Klantgegevens_A!G603), REPT("Kind,", Klantgegevens_A!H603)))</f>
        <v/>
      </c>
      <c r="F604">
        <f>IF(Klantgegevens_B!G603&lt;&gt;"", LEN(Klantgegevens_B!G603)-LEN(SUBSTITUTE(Klantgegevens_B!G603, ",", ""))+1, Klantgegevens_A!G603)</f>
        <v/>
      </c>
      <c r="G604">
        <f>IF(Klantgegevens_B!G603&lt;&gt;"", 0, Klantgegevens_A!H603)</f>
        <v/>
      </c>
      <c r="H604">
        <f>IF(Klantgegevens_B!H603&lt;&gt;"", Klantgegevens_B!H603, Klantgegevens_A!I603)</f>
        <v/>
      </c>
      <c r="I604">
        <f>IF(Klantgegevens_B!I603&lt;&gt;"", Klantgegevens_B!I603, SWITCH(Klantgegevens_A!J603, "Zelden", 1, "Af en toe", 4, "Regelmatig", 8, "Vaak", 12))</f>
        <v/>
      </c>
      <c r="J604">
        <f>IF(Klantgegevens_B!J603&lt;&gt;"", Klantgegevens_B!J603, Klantgegevens_A!K603)</f>
        <v/>
      </c>
      <c r="K604">
        <f>IF(Klantgegevens_B!K603&lt;&gt;"", AVERAGE(--(Klantgegevens_B!K603="ja"), --(Klantgegevens_B!L603="ja"), --(Klantgegevens_B!M603="ja"), --(Klantgegevens_B!N603="ja"), --(Klantgegevens_B!O603="ja"))*10, Klantgegevens_A!L603)</f>
        <v/>
      </c>
      <c r="L604">
        <f>IF(Klantgegevens_B!K603&lt;&gt;"", Klantgegevens_B!K603, IF(Klantgegevens_A!L603&gt;=7, "ja", "nee"))</f>
        <v/>
      </c>
      <c r="M604">
        <f>IF(Klantgegevens_B!L603&lt;&gt;"", Klantgegevens_B!L603, IF(Klantgegevens_A!L603&gt;=7, "ja", "nee"))</f>
        <v/>
      </c>
      <c r="N604">
        <f>IF(Klantgegevens_B!M603&lt;&gt;"", Klantgegevens_B!M603, IF(Klantgegevens_A!L603&gt;=7, "ja", "nee"))</f>
        <v/>
      </c>
      <c r="O604">
        <f>IF(Klantgegevens_B!N603&lt;&gt;"", Klantgegevens_B!N603, IF(Klantgegevens_A!L603&gt;=7, "ja", "nee"))</f>
        <v/>
      </c>
      <c r="P604">
        <f>IF(Klantgegevens_B!O603&lt;&gt;"", Klantgegevens_B!O603, IF(Klantgegevens_A!L603&gt;=7, "ja", "nee"))</f>
        <v/>
      </c>
      <c r="Q604">
        <f>IF(Klantgegevens_B!P603&lt;&gt;"", Klantgegevens_B!P603, Klantgegevens_A!M603)</f>
        <v/>
      </c>
      <c r="R604">
        <f>IF(Klantgegevens_B!A603&lt;&gt;"", "B", "A")</f>
        <v/>
      </c>
    </row>
    <row r="605">
      <c r="A605">
        <f>IF(Klantgegevens_B!A604&lt;&gt;"", Klantgegevens_B!A604, MID(Klantgegevens_A!A604, FIND(",", Klantgegevens_A!A604)+2, LEN(Klantgegevens_A!A604)))</f>
        <v/>
      </c>
      <c r="B605">
        <f>IF(Klantgegevens_B!B604&lt;&gt;"", Klantgegevens_B!B604, LEFT(Klantgegevens_A!A604, FIND(",", Klantgegevens_A!A604)-1))</f>
        <v/>
      </c>
      <c r="C605">
        <f>C604 &amp; ", " &amp; B604</f>
        <v/>
      </c>
      <c r="D605">
        <f>IF(Klantgegevens_B!F604&lt;&gt;"", Klantgegevens_B!F604, Klantgegevens_A!D604 &amp; " " &amp; Klantgegevens_A!E604 &amp; ", " &amp; Klantgegevens_A!F604)</f>
        <v/>
      </c>
      <c r="E605">
        <f>IF(Klantgegevens_B!G604&lt;&gt;"", Klantgegevens_B!G604, TEXTJOIN(",", TRUE, REPT("Volwassene,", Klantgegevens_A!G604), REPT("Kind,", Klantgegevens_A!H604)))</f>
        <v/>
      </c>
      <c r="F605">
        <f>IF(Klantgegevens_B!G604&lt;&gt;"", LEN(Klantgegevens_B!G604)-LEN(SUBSTITUTE(Klantgegevens_B!G604, ",", ""))+1, Klantgegevens_A!G604)</f>
        <v/>
      </c>
      <c r="G605">
        <f>IF(Klantgegevens_B!G604&lt;&gt;"", 0, Klantgegevens_A!H604)</f>
        <v/>
      </c>
      <c r="H605">
        <f>IF(Klantgegevens_B!H604&lt;&gt;"", Klantgegevens_B!H604, Klantgegevens_A!I604)</f>
        <v/>
      </c>
      <c r="I605">
        <f>IF(Klantgegevens_B!I604&lt;&gt;"", Klantgegevens_B!I604, SWITCH(Klantgegevens_A!J604, "Zelden", 1, "Af en toe", 4, "Regelmatig", 8, "Vaak", 12))</f>
        <v/>
      </c>
      <c r="J605">
        <f>IF(Klantgegevens_B!J604&lt;&gt;"", Klantgegevens_B!J604, Klantgegevens_A!K604)</f>
        <v/>
      </c>
      <c r="K605">
        <f>IF(Klantgegevens_B!K604&lt;&gt;"", AVERAGE(--(Klantgegevens_B!K604="ja"), --(Klantgegevens_B!L604="ja"), --(Klantgegevens_B!M604="ja"), --(Klantgegevens_B!N604="ja"), --(Klantgegevens_B!O604="ja"))*10, Klantgegevens_A!L604)</f>
        <v/>
      </c>
      <c r="L605">
        <f>IF(Klantgegevens_B!K604&lt;&gt;"", Klantgegevens_B!K604, IF(Klantgegevens_A!L604&gt;=7, "ja", "nee"))</f>
        <v/>
      </c>
      <c r="M605">
        <f>IF(Klantgegevens_B!L604&lt;&gt;"", Klantgegevens_B!L604, IF(Klantgegevens_A!L604&gt;=7, "ja", "nee"))</f>
        <v/>
      </c>
      <c r="N605">
        <f>IF(Klantgegevens_B!M604&lt;&gt;"", Klantgegevens_B!M604, IF(Klantgegevens_A!L604&gt;=7, "ja", "nee"))</f>
        <v/>
      </c>
      <c r="O605">
        <f>IF(Klantgegevens_B!N604&lt;&gt;"", Klantgegevens_B!N604, IF(Klantgegevens_A!L604&gt;=7, "ja", "nee"))</f>
        <v/>
      </c>
      <c r="P605">
        <f>IF(Klantgegevens_B!O604&lt;&gt;"", Klantgegevens_B!O604, IF(Klantgegevens_A!L604&gt;=7, "ja", "nee"))</f>
        <v/>
      </c>
      <c r="Q605">
        <f>IF(Klantgegevens_B!P604&lt;&gt;"", Klantgegevens_B!P604, Klantgegevens_A!M604)</f>
        <v/>
      </c>
      <c r="R605">
        <f>IF(Klantgegevens_B!A604&lt;&gt;"", "B", "A")</f>
        <v/>
      </c>
    </row>
    <row r="606">
      <c r="A606">
        <f>IF(Klantgegevens_B!A605&lt;&gt;"", Klantgegevens_B!A605, MID(Klantgegevens_A!A605, FIND(",", Klantgegevens_A!A605)+2, LEN(Klantgegevens_A!A605)))</f>
        <v/>
      </c>
      <c r="B606">
        <f>IF(Klantgegevens_B!B605&lt;&gt;"", Klantgegevens_B!B605, LEFT(Klantgegevens_A!A605, FIND(",", Klantgegevens_A!A605)-1))</f>
        <v/>
      </c>
      <c r="C606">
        <f>C605 &amp; ", " &amp; B605</f>
        <v/>
      </c>
      <c r="D606">
        <f>IF(Klantgegevens_B!F605&lt;&gt;"", Klantgegevens_B!F605, Klantgegevens_A!D605 &amp; " " &amp; Klantgegevens_A!E605 &amp; ", " &amp; Klantgegevens_A!F605)</f>
        <v/>
      </c>
      <c r="E606">
        <f>IF(Klantgegevens_B!G605&lt;&gt;"", Klantgegevens_B!G605, TEXTJOIN(",", TRUE, REPT("Volwassene,", Klantgegevens_A!G605), REPT("Kind,", Klantgegevens_A!H605)))</f>
        <v/>
      </c>
      <c r="F606">
        <f>IF(Klantgegevens_B!G605&lt;&gt;"", LEN(Klantgegevens_B!G605)-LEN(SUBSTITUTE(Klantgegevens_B!G605, ",", ""))+1, Klantgegevens_A!G605)</f>
        <v/>
      </c>
      <c r="G606">
        <f>IF(Klantgegevens_B!G605&lt;&gt;"", 0, Klantgegevens_A!H605)</f>
        <v/>
      </c>
      <c r="H606">
        <f>IF(Klantgegevens_B!H605&lt;&gt;"", Klantgegevens_B!H605, Klantgegevens_A!I605)</f>
        <v/>
      </c>
      <c r="I606">
        <f>IF(Klantgegevens_B!I605&lt;&gt;"", Klantgegevens_B!I605, SWITCH(Klantgegevens_A!J605, "Zelden", 1, "Af en toe", 4, "Regelmatig", 8, "Vaak", 12))</f>
        <v/>
      </c>
      <c r="J606">
        <f>IF(Klantgegevens_B!J605&lt;&gt;"", Klantgegevens_B!J605, Klantgegevens_A!K605)</f>
        <v/>
      </c>
      <c r="K606">
        <f>IF(Klantgegevens_B!K605&lt;&gt;"", AVERAGE(--(Klantgegevens_B!K605="ja"), --(Klantgegevens_B!L605="ja"), --(Klantgegevens_B!M605="ja"), --(Klantgegevens_B!N605="ja"), --(Klantgegevens_B!O605="ja"))*10, Klantgegevens_A!L605)</f>
        <v/>
      </c>
      <c r="L606">
        <f>IF(Klantgegevens_B!K605&lt;&gt;"", Klantgegevens_B!K605, IF(Klantgegevens_A!L605&gt;=7, "ja", "nee"))</f>
        <v/>
      </c>
      <c r="M606">
        <f>IF(Klantgegevens_B!L605&lt;&gt;"", Klantgegevens_B!L605, IF(Klantgegevens_A!L605&gt;=7, "ja", "nee"))</f>
        <v/>
      </c>
      <c r="N606">
        <f>IF(Klantgegevens_B!M605&lt;&gt;"", Klantgegevens_B!M605, IF(Klantgegevens_A!L605&gt;=7, "ja", "nee"))</f>
        <v/>
      </c>
      <c r="O606">
        <f>IF(Klantgegevens_B!N605&lt;&gt;"", Klantgegevens_B!N605, IF(Klantgegevens_A!L605&gt;=7, "ja", "nee"))</f>
        <v/>
      </c>
      <c r="P606">
        <f>IF(Klantgegevens_B!O605&lt;&gt;"", Klantgegevens_B!O605, IF(Klantgegevens_A!L605&gt;=7, "ja", "nee"))</f>
        <v/>
      </c>
      <c r="Q606">
        <f>IF(Klantgegevens_B!P605&lt;&gt;"", Klantgegevens_B!P605, Klantgegevens_A!M605)</f>
        <v/>
      </c>
      <c r="R606">
        <f>IF(Klantgegevens_B!A605&lt;&gt;"", "B", "A")</f>
        <v/>
      </c>
    </row>
    <row r="607">
      <c r="A607">
        <f>IF(Klantgegevens_B!A606&lt;&gt;"", Klantgegevens_B!A606, MID(Klantgegevens_A!A606, FIND(",", Klantgegevens_A!A606)+2, LEN(Klantgegevens_A!A606)))</f>
        <v/>
      </c>
      <c r="B607">
        <f>IF(Klantgegevens_B!B606&lt;&gt;"", Klantgegevens_B!B606, LEFT(Klantgegevens_A!A606, FIND(",", Klantgegevens_A!A606)-1))</f>
        <v/>
      </c>
      <c r="C607">
        <f>C606 &amp; ", " &amp; B606</f>
        <v/>
      </c>
      <c r="D607">
        <f>IF(Klantgegevens_B!F606&lt;&gt;"", Klantgegevens_B!F606, Klantgegevens_A!D606 &amp; " " &amp; Klantgegevens_A!E606 &amp; ", " &amp; Klantgegevens_A!F606)</f>
        <v/>
      </c>
      <c r="E607">
        <f>IF(Klantgegevens_B!G606&lt;&gt;"", Klantgegevens_B!G606, TEXTJOIN(",", TRUE, REPT("Volwassene,", Klantgegevens_A!G606), REPT("Kind,", Klantgegevens_A!H606)))</f>
        <v/>
      </c>
      <c r="F607">
        <f>IF(Klantgegevens_B!G606&lt;&gt;"", LEN(Klantgegevens_B!G606)-LEN(SUBSTITUTE(Klantgegevens_B!G606, ",", ""))+1, Klantgegevens_A!G606)</f>
        <v/>
      </c>
      <c r="G607">
        <f>IF(Klantgegevens_B!G606&lt;&gt;"", 0, Klantgegevens_A!H606)</f>
        <v/>
      </c>
      <c r="H607">
        <f>IF(Klantgegevens_B!H606&lt;&gt;"", Klantgegevens_B!H606, Klantgegevens_A!I606)</f>
        <v/>
      </c>
      <c r="I607">
        <f>IF(Klantgegevens_B!I606&lt;&gt;"", Klantgegevens_B!I606, SWITCH(Klantgegevens_A!J606, "Zelden", 1, "Af en toe", 4, "Regelmatig", 8, "Vaak", 12))</f>
        <v/>
      </c>
      <c r="J607">
        <f>IF(Klantgegevens_B!J606&lt;&gt;"", Klantgegevens_B!J606, Klantgegevens_A!K606)</f>
        <v/>
      </c>
      <c r="K607">
        <f>IF(Klantgegevens_B!K606&lt;&gt;"", AVERAGE(--(Klantgegevens_B!K606="ja"), --(Klantgegevens_B!L606="ja"), --(Klantgegevens_B!M606="ja"), --(Klantgegevens_B!N606="ja"), --(Klantgegevens_B!O606="ja"))*10, Klantgegevens_A!L606)</f>
        <v/>
      </c>
      <c r="L607">
        <f>IF(Klantgegevens_B!K606&lt;&gt;"", Klantgegevens_B!K606, IF(Klantgegevens_A!L606&gt;=7, "ja", "nee"))</f>
        <v/>
      </c>
      <c r="M607">
        <f>IF(Klantgegevens_B!L606&lt;&gt;"", Klantgegevens_B!L606, IF(Klantgegevens_A!L606&gt;=7, "ja", "nee"))</f>
        <v/>
      </c>
      <c r="N607">
        <f>IF(Klantgegevens_B!M606&lt;&gt;"", Klantgegevens_B!M606, IF(Klantgegevens_A!L606&gt;=7, "ja", "nee"))</f>
        <v/>
      </c>
      <c r="O607">
        <f>IF(Klantgegevens_B!N606&lt;&gt;"", Klantgegevens_B!N606, IF(Klantgegevens_A!L606&gt;=7, "ja", "nee"))</f>
        <v/>
      </c>
      <c r="P607">
        <f>IF(Klantgegevens_B!O606&lt;&gt;"", Klantgegevens_B!O606, IF(Klantgegevens_A!L606&gt;=7, "ja", "nee"))</f>
        <v/>
      </c>
      <c r="Q607">
        <f>IF(Klantgegevens_B!P606&lt;&gt;"", Klantgegevens_B!P606, Klantgegevens_A!M606)</f>
        <v/>
      </c>
      <c r="R607">
        <f>IF(Klantgegevens_B!A606&lt;&gt;"", "B", "A")</f>
        <v/>
      </c>
    </row>
    <row r="608">
      <c r="A608">
        <f>IF(Klantgegevens_B!A607&lt;&gt;"", Klantgegevens_B!A607, MID(Klantgegevens_A!A607, FIND(",", Klantgegevens_A!A607)+2, LEN(Klantgegevens_A!A607)))</f>
        <v/>
      </c>
      <c r="B608">
        <f>IF(Klantgegevens_B!B607&lt;&gt;"", Klantgegevens_B!B607, LEFT(Klantgegevens_A!A607, FIND(",", Klantgegevens_A!A607)-1))</f>
        <v/>
      </c>
      <c r="C608">
        <f>C607 &amp; ", " &amp; B607</f>
        <v/>
      </c>
      <c r="D608">
        <f>IF(Klantgegevens_B!F607&lt;&gt;"", Klantgegevens_B!F607, Klantgegevens_A!D607 &amp; " " &amp; Klantgegevens_A!E607 &amp; ", " &amp; Klantgegevens_A!F607)</f>
        <v/>
      </c>
      <c r="E608">
        <f>IF(Klantgegevens_B!G607&lt;&gt;"", Klantgegevens_B!G607, TEXTJOIN(",", TRUE, REPT("Volwassene,", Klantgegevens_A!G607), REPT("Kind,", Klantgegevens_A!H607)))</f>
        <v/>
      </c>
      <c r="F608">
        <f>IF(Klantgegevens_B!G607&lt;&gt;"", LEN(Klantgegevens_B!G607)-LEN(SUBSTITUTE(Klantgegevens_B!G607, ",", ""))+1, Klantgegevens_A!G607)</f>
        <v/>
      </c>
      <c r="G608">
        <f>IF(Klantgegevens_B!G607&lt;&gt;"", 0, Klantgegevens_A!H607)</f>
        <v/>
      </c>
      <c r="H608">
        <f>IF(Klantgegevens_B!H607&lt;&gt;"", Klantgegevens_B!H607, Klantgegevens_A!I607)</f>
        <v/>
      </c>
      <c r="I608">
        <f>IF(Klantgegevens_B!I607&lt;&gt;"", Klantgegevens_B!I607, SWITCH(Klantgegevens_A!J607, "Zelden", 1, "Af en toe", 4, "Regelmatig", 8, "Vaak", 12))</f>
        <v/>
      </c>
      <c r="J608">
        <f>IF(Klantgegevens_B!J607&lt;&gt;"", Klantgegevens_B!J607, Klantgegevens_A!K607)</f>
        <v/>
      </c>
      <c r="K608">
        <f>IF(Klantgegevens_B!K607&lt;&gt;"", AVERAGE(--(Klantgegevens_B!K607="ja"), --(Klantgegevens_B!L607="ja"), --(Klantgegevens_B!M607="ja"), --(Klantgegevens_B!N607="ja"), --(Klantgegevens_B!O607="ja"))*10, Klantgegevens_A!L607)</f>
        <v/>
      </c>
      <c r="L608">
        <f>IF(Klantgegevens_B!K607&lt;&gt;"", Klantgegevens_B!K607, IF(Klantgegevens_A!L607&gt;=7, "ja", "nee"))</f>
        <v/>
      </c>
      <c r="M608">
        <f>IF(Klantgegevens_B!L607&lt;&gt;"", Klantgegevens_B!L607, IF(Klantgegevens_A!L607&gt;=7, "ja", "nee"))</f>
        <v/>
      </c>
      <c r="N608">
        <f>IF(Klantgegevens_B!M607&lt;&gt;"", Klantgegevens_B!M607, IF(Klantgegevens_A!L607&gt;=7, "ja", "nee"))</f>
        <v/>
      </c>
      <c r="O608">
        <f>IF(Klantgegevens_B!N607&lt;&gt;"", Klantgegevens_B!N607, IF(Klantgegevens_A!L607&gt;=7, "ja", "nee"))</f>
        <v/>
      </c>
      <c r="P608">
        <f>IF(Klantgegevens_B!O607&lt;&gt;"", Klantgegevens_B!O607, IF(Klantgegevens_A!L607&gt;=7, "ja", "nee"))</f>
        <v/>
      </c>
      <c r="Q608">
        <f>IF(Klantgegevens_B!P607&lt;&gt;"", Klantgegevens_B!P607, Klantgegevens_A!M607)</f>
        <v/>
      </c>
      <c r="R608">
        <f>IF(Klantgegevens_B!A607&lt;&gt;"", "B", "A")</f>
        <v/>
      </c>
    </row>
    <row r="609">
      <c r="A609">
        <f>IF(Klantgegevens_B!A608&lt;&gt;"", Klantgegevens_B!A608, MID(Klantgegevens_A!A608, FIND(",", Klantgegevens_A!A608)+2, LEN(Klantgegevens_A!A608)))</f>
        <v/>
      </c>
      <c r="B609">
        <f>IF(Klantgegevens_B!B608&lt;&gt;"", Klantgegevens_B!B608, LEFT(Klantgegevens_A!A608, FIND(",", Klantgegevens_A!A608)-1))</f>
        <v/>
      </c>
      <c r="C609">
        <f>C608 &amp; ", " &amp; B608</f>
        <v/>
      </c>
      <c r="D609">
        <f>IF(Klantgegevens_B!F608&lt;&gt;"", Klantgegevens_B!F608, Klantgegevens_A!D608 &amp; " " &amp; Klantgegevens_A!E608 &amp; ", " &amp; Klantgegevens_A!F608)</f>
        <v/>
      </c>
      <c r="E609">
        <f>IF(Klantgegevens_B!G608&lt;&gt;"", Klantgegevens_B!G608, TEXTJOIN(",", TRUE, REPT("Volwassene,", Klantgegevens_A!G608), REPT("Kind,", Klantgegevens_A!H608)))</f>
        <v/>
      </c>
      <c r="F609">
        <f>IF(Klantgegevens_B!G608&lt;&gt;"", LEN(Klantgegevens_B!G608)-LEN(SUBSTITUTE(Klantgegevens_B!G608, ",", ""))+1, Klantgegevens_A!G608)</f>
        <v/>
      </c>
      <c r="G609">
        <f>IF(Klantgegevens_B!G608&lt;&gt;"", 0, Klantgegevens_A!H608)</f>
        <v/>
      </c>
      <c r="H609">
        <f>IF(Klantgegevens_B!H608&lt;&gt;"", Klantgegevens_B!H608, Klantgegevens_A!I608)</f>
        <v/>
      </c>
      <c r="I609">
        <f>IF(Klantgegevens_B!I608&lt;&gt;"", Klantgegevens_B!I608, SWITCH(Klantgegevens_A!J608, "Zelden", 1, "Af en toe", 4, "Regelmatig", 8, "Vaak", 12))</f>
        <v/>
      </c>
      <c r="J609">
        <f>IF(Klantgegevens_B!J608&lt;&gt;"", Klantgegevens_B!J608, Klantgegevens_A!K608)</f>
        <v/>
      </c>
      <c r="K609">
        <f>IF(Klantgegevens_B!K608&lt;&gt;"", AVERAGE(--(Klantgegevens_B!K608="ja"), --(Klantgegevens_B!L608="ja"), --(Klantgegevens_B!M608="ja"), --(Klantgegevens_B!N608="ja"), --(Klantgegevens_B!O608="ja"))*10, Klantgegevens_A!L608)</f>
        <v/>
      </c>
      <c r="L609">
        <f>IF(Klantgegevens_B!K608&lt;&gt;"", Klantgegevens_B!K608, IF(Klantgegevens_A!L608&gt;=7, "ja", "nee"))</f>
        <v/>
      </c>
      <c r="M609">
        <f>IF(Klantgegevens_B!L608&lt;&gt;"", Klantgegevens_B!L608, IF(Klantgegevens_A!L608&gt;=7, "ja", "nee"))</f>
        <v/>
      </c>
      <c r="N609">
        <f>IF(Klantgegevens_B!M608&lt;&gt;"", Klantgegevens_B!M608, IF(Klantgegevens_A!L608&gt;=7, "ja", "nee"))</f>
        <v/>
      </c>
      <c r="O609">
        <f>IF(Klantgegevens_B!N608&lt;&gt;"", Klantgegevens_B!N608, IF(Klantgegevens_A!L608&gt;=7, "ja", "nee"))</f>
        <v/>
      </c>
      <c r="P609">
        <f>IF(Klantgegevens_B!O608&lt;&gt;"", Klantgegevens_B!O608, IF(Klantgegevens_A!L608&gt;=7, "ja", "nee"))</f>
        <v/>
      </c>
      <c r="Q609">
        <f>IF(Klantgegevens_B!P608&lt;&gt;"", Klantgegevens_B!P608, Klantgegevens_A!M608)</f>
        <v/>
      </c>
      <c r="R609">
        <f>IF(Klantgegevens_B!A608&lt;&gt;"", "B", "A")</f>
        <v/>
      </c>
    </row>
    <row r="610">
      <c r="A610">
        <f>IF(Klantgegevens_B!A609&lt;&gt;"", Klantgegevens_B!A609, MID(Klantgegevens_A!A609, FIND(",", Klantgegevens_A!A609)+2, LEN(Klantgegevens_A!A609)))</f>
        <v/>
      </c>
      <c r="B610">
        <f>IF(Klantgegevens_B!B609&lt;&gt;"", Klantgegevens_B!B609, LEFT(Klantgegevens_A!A609, FIND(",", Klantgegevens_A!A609)-1))</f>
        <v/>
      </c>
      <c r="C610">
        <f>C609 &amp; ", " &amp; B609</f>
        <v/>
      </c>
      <c r="D610">
        <f>IF(Klantgegevens_B!F609&lt;&gt;"", Klantgegevens_B!F609, Klantgegevens_A!D609 &amp; " " &amp; Klantgegevens_A!E609 &amp; ", " &amp; Klantgegevens_A!F609)</f>
        <v/>
      </c>
      <c r="E610">
        <f>IF(Klantgegevens_B!G609&lt;&gt;"", Klantgegevens_B!G609, TEXTJOIN(",", TRUE, REPT("Volwassene,", Klantgegevens_A!G609), REPT("Kind,", Klantgegevens_A!H609)))</f>
        <v/>
      </c>
      <c r="F610">
        <f>IF(Klantgegevens_B!G609&lt;&gt;"", LEN(Klantgegevens_B!G609)-LEN(SUBSTITUTE(Klantgegevens_B!G609, ",", ""))+1, Klantgegevens_A!G609)</f>
        <v/>
      </c>
      <c r="G610">
        <f>IF(Klantgegevens_B!G609&lt;&gt;"", 0, Klantgegevens_A!H609)</f>
        <v/>
      </c>
      <c r="H610">
        <f>IF(Klantgegevens_B!H609&lt;&gt;"", Klantgegevens_B!H609, Klantgegevens_A!I609)</f>
        <v/>
      </c>
      <c r="I610">
        <f>IF(Klantgegevens_B!I609&lt;&gt;"", Klantgegevens_B!I609, SWITCH(Klantgegevens_A!J609, "Zelden", 1, "Af en toe", 4, "Regelmatig", 8, "Vaak", 12))</f>
        <v/>
      </c>
      <c r="J610">
        <f>IF(Klantgegevens_B!J609&lt;&gt;"", Klantgegevens_B!J609, Klantgegevens_A!K609)</f>
        <v/>
      </c>
      <c r="K610">
        <f>IF(Klantgegevens_B!K609&lt;&gt;"", AVERAGE(--(Klantgegevens_B!K609="ja"), --(Klantgegevens_B!L609="ja"), --(Klantgegevens_B!M609="ja"), --(Klantgegevens_B!N609="ja"), --(Klantgegevens_B!O609="ja"))*10, Klantgegevens_A!L609)</f>
        <v/>
      </c>
      <c r="L610">
        <f>IF(Klantgegevens_B!K609&lt;&gt;"", Klantgegevens_B!K609, IF(Klantgegevens_A!L609&gt;=7, "ja", "nee"))</f>
        <v/>
      </c>
      <c r="M610">
        <f>IF(Klantgegevens_B!L609&lt;&gt;"", Klantgegevens_B!L609, IF(Klantgegevens_A!L609&gt;=7, "ja", "nee"))</f>
        <v/>
      </c>
      <c r="N610">
        <f>IF(Klantgegevens_B!M609&lt;&gt;"", Klantgegevens_B!M609, IF(Klantgegevens_A!L609&gt;=7, "ja", "nee"))</f>
        <v/>
      </c>
      <c r="O610">
        <f>IF(Klantgegevens_B!N609&lt;&gt;"", Klantgegevens_B!N609, IF(Klantgegevens_A!L609&gt;=7, "ja", "nee"))</f>
        <v/>
      </c>
      <c r="P610">
        <f>IF(Klantgegevens_B!O609&lt;&gt;"", Klantgegevens_B!O609, IF(Klantgegevens_A!L609&gt;=7, "ja", "nee"))</f>
        <v/>
      </c>
      <c r="Q610">
        <f>IF(Klantgegevens_B!P609&lt;&gt;"", Klantgegevens_B!P609, Klantgegevens_A!M609)</f>
        <v/>
      </c>
      <c r="R610">
        <f>IF(Klantgegevens_B!A609&lt;&gt;"", "B", "A")</f>
        <v/>
      </c>
    </row>
    <row r="611">
      <c r="A611">
        <f>IF(Klantgegevens_B!A610&lt;&gt;"", Klantgegevens_B!A610, MID(Klantgegevens_A!A610, FIND(",", Klantgegevens_A!A610)+2, LEN(Klantgegevens_A!A610)))</f>
        <v/>
      </c>
      <c r="B611">
        <f>IF(Klantgegevens_B!B610&lt;&gt;"", Klantgegevens_B!B610, LEFT(Klantgegevens_A!A610, FIND(",", Klantgegevens_A!A610)-1))</f>
        <v/>
      </c>
      <c r="C611">
        <f>C610 &amp; ", " &amp; B610</f>
        <v/>
      </c>
      <c r="D611">
        <f>IF(Klantgegevens_B!F610&lt;&gt;"", Klantgegevens_B!F610, Klantgegevens_A!D610 &amp; " " &amp; Klantgegevens_A!E610 &amp; ", " &amp; Klantgegevens_A!F610)</f>
        <v/>
      </c>
      <c r="E611">
        <f>IF(Klantgegevens_B!G610&lt;&gt;"", Klantgegevens_B!G610, TEXTJOIN(",", TRUE, REPT("Volwassene,", Klantgegevens_A!G610), REPT("Kind,", Klantgegevens_A!H610)))</f>
        <v/>
      </c>
      <c r="F611">
        <f>IF(Klantgegevens_B!G610&lt;&gt;"", LEN(Klantgegevens_B!G610)-LEN(SUBSTITUTE(Klantgegevens_B!G610, ",", ""))+1, Klantgegevens_A!G610)</f>
        <v/>
      </c>
      <c r="G611">
        <f>IF(Klantgegevens_B!G610&lt;&gt;"", 0, Klantgegevens_A!H610)</f>
        <v/>
      </c>
      <c r="H611">
        <f>IF(Klantgegevens_B!H610&lt;&gt;"", Klantgegevens_B!H610, Klantgegevens_A!I610)</f>
        <v/>
      </c>
      <c r="I611">
        <f>IF(Klantgegevens_B!I610&lt;&gt;"", Klantgegevens_B!I610, SWITCH(Klantgegevens_A!J610, "Zelden", 1, "Af en toe", 4, "Regelmatig", 8, "Vaak", 12))</f>
        <v/>
      </c>
      <c r="J611">
        <f>IF(Klantgegevens_B!J610&lt;&gt;"", Klantgegevens_B!J610, Klantgegevens_A!K610)</f>
        <v/>
      </c>
      <c r="K611">
        <f>IF(Klantgegevens_B!K610&lt;&gt;"", AVERAGE(--(Klantgegevens_B!K610="ja"), --(Klantgegevens_B!L610="ja"), --(Klantgegevens_B!M610="ja"), --(Klantgegevens_B!N610="ja"), --(Klantgegevens_B!O610="ja"))*10, Klantgegevens_A!L610)</f>
        <v/>
      </c>
      <c r="L611">
        <f>IF(Klantgegevens_B!K610&lt;&gt;"", Klantgegevens_B!K610, IF(Klantgegevens_A!L610&gt;=7, "ja", "nee"))</f>
        <v/>
      </c>
      <c r="M611">
        <f>IF(Klantgegevens_B!L610&lt;&gt;"", Klantgegevens_B!L610, IF(Klantgegevens_A!L610&gt;=7, "ja", "nee"))</f>
        <v/>
      </c>
      <c r="N611">
        <f>IF(Klantgegevens_B!M610&lt;&gt;"", Klantgegevens_B!M610, IF(Klantgegevens_A!L610&gt;=7, "ja", "nee"))</f>
        <v/>
      </c>
      <c r="O611">
        <f>IF(Klantgegevens_B!N610&lt;&gt;"", Klantgegevens_B!N610, IF(Klantgegevens_A!L610&gt;=7, "ja", "nee"))</f>
        <v/>
      </c>
      <c r="P611">
        <f>IF(Klantgegevens_B!O610&lt;&gt;"", Klantgegevens_B!O610, IF(Klantgegevens_A!L610&gt;=7, "ja", "nee"))</f>
        <v/>
      </c>
      <c r="Q611">
        <f>IF(Klantgegevens_B!P610&lt;&gt;"", Klantgegevens_B!P610, Klantgegevens_A!M610)</f>
        <v/>
      </c>
      <c r="R611">
        <f>IF(Klantgegevens_B!A610&lt;&gt;"", "B", "A")</f>
        <v/>
      </c>
    </row>
    <row r="612">
      <c r="A612">
        <f>IF(Klantgegevens_B!A611&lt;&gt;"", Klantgegevens_B!A611, MID(Klantgegevens_A!A611, FIND(",", Klantgegevens_A!A611)+2, LEN(Klantgegevens_A!A611)))</f>
        <v/>
      </c>
      <c r="B612">
        <f>IF(Klantgegevens_B!B611&lt;&gt;"", Klantgegevens_B!B611, LEFT(Klantgegevens_A!A611, FIND(",", Klantgegevens_A!A611)-1))</f>
        <v/>
      </c>
      <c r="C612">
        <f>C611 &amp; ", " &amp; B611</f>
        <v/>
      </c>
      <c r="D612">
        <f>IF(Klantgegevens_B!F611&lt;&gt;"", Klantgegevens_B!F611, Klantgegevens_A!D611 &amp; " " &amp; Klantgegevens_A!E611 &amp; ", " &amp; Klantgegevens_A!F611)</f>
        <v/>
      </c>
      <c r="E612">
        <f>IF(Klantgegevens_B!G611&lt;&gt;"", Klantgegevens_B!G611, TEXTJOIN(",", TRUE, REPT("Volwassene,", Klantgegevens_A!G611), REPT("Kind,", Klantgegevens_A!H611)))</f>
        <v/>
      </c>
      <c r="F612">
        <f>IF(Klantgegevens_B!G611&lt;&gt;"", LEN(Klantgegevens_B!G611)-LEN(SUBSTITUTE(Klantgegevens_B!G611, ",", ""))+1, Klantgegevens_A!G611)</f>
        <v/>
      </c>
      <c r="G612">
        <f>IF(Klantgegevens_B!G611&lt;&gt;"", 0, Klantgegevens_A!H611)</f>
        <v/>
      </c>
      <c r="H612">
        <f>IF(Klantgegevens_B!H611&lt;&gt;"", Klantgegevens_B!H611, Klantgegevens_A!I611)</f>
        <v/>
      </c>
      <c r="I612">
        <f>IF(Klantgegevens_B!I611&lt;&gt;"", Klantgegevens_B!I611, SWITCH(Klantgegevens_A!J611, "Zelden", 1, "Af en toe", 4, "Regelmatig", 8, "Vaak", 12))</f>
        <v/>
      </c>
      <c r="J612">
        <f>IF(Klantgegevens_B!J611&lt;&gt;"", Klantgegevens_B!J611, Klantgegevens_A!K611)</f>
        <v/>
      </c>
      <c r="K612">
        <f>IF(Klantgegevens_B!K611&lt;&gt;"", AVERAGE(--(Klantgegevens_B!K611="ja"), --(Klantgegevens_B!L611="ja"), --(Klantgegevens_B!M611="ja"), --(Klantgegevens_B!N611="ja"), --(Klantgegevens_B!O611="ja"))*10, Klantgegevens_A!L611)</f>
        <v/>
      </c>
      <c r="L612">
        <f>IF(Klantgegevens_B!K611&lt;&gt;"", Klantgegevens_B!K611, IF(Klantgegevens_A!L611&gt;=7, "ja", "nee"))</f>
        <v/>
      </c>
      <c r="M612">
        <f>IF(Klantgegevens_B!L611&lt;&gt;"", Klantgegevens_B!L611, IF(Klantgegevens_A!L611&gt;=7, "ja", "nee"))</f>
        <v/>
      </c>
      <c r="N612">
        <f>IF(Klantgegevens_B!M611&lt;&gt;"", Klantgegevens_B!M611, IF(Klantgegevens_A!L611&gt;=7, "ja", "nee"))</f>
        <v/>
      </c>
      <c r="O612">
        <f>IF(Klantgegevens_B!N611&lt;&gt;"", Klantgegevens_B!N611, IF(Klantgegevens_A!L611&gt;=7, "ja", "nee"))</f>
        <v/>
      </c>
      <c r="P612">
        <f>IF(Klantgegevens_B!O611&lt;&gt;"", Klantgegevens_B!O611, IF(Klantgegevens_A!L611&gt;=7, "ja", "nee"))</f>
        <v/>
      </c>
      <c r="Q612">
        <f>IF(Klantgegevens_B!P611&lt;&gt;"", Klantgegevens_B!P611, Klantgegevens_A!M611)</f>
        <v/>
      </c>
      <c r="R612">
        <f>IF(Klantgegevens_B!A611&lt;&gt;"", "B", "A")</f>
        <v/>
      </c>
    </row>
    <row r="613">
      <c r="A613">
        <f>IF(Klantgegevens_B!A612&lt;&gt;"", Klantgegevens_B!A612, MID(Klantgegevens_A!A612, FIND(",", Klantgegevens_A!A612)+2, LEN(Klantgegevens_A!A612)))</f>
        <v/>
      </c>
      <c r="B613">
        <f>IF(Klantgegevens_B!B612&lt;&gt;"", Klantgegevens_B!B612, LEFT(Klantgegevens_A!A612, FIND(",", Klantgegevens_A!A612)-1))</f>
        <v/>
      </c>
      <c r="C613">
        <f>C612 &amp; ", " &amp; B612</f>
        <v/>
      </c>
      <c r="D613">
        <f>IF(Klantgegevens_B!F612&lt;&gt;"", Klantgegevens_B!F612, Klantgegevens_A!D612 &amp; " " &amp; Klantgegevens_A!E612 &amp; ", " &amp; Klantgegevens_A!F612)</f>
        <v/>
      </c>
      <c r="E613">
        <f>IF(Klantgegevens_B!G612&lt;&gt;"", Klantgegevens_B!G612, TEXTJOIN(",", TRUE, REPT("Volwassene,", Klantgegevens_A!G612), REPT("Kind,", Klantgegevens_A!H612)))</f>
        <v/>
      </c>
      <c r="F613">
        <f>IF(Klantgegevens_B!G612&lt;&gt;"", LEN(Klantgegevens_B!G612)-LEN(SUBSTITUTE(Klantgegevens_B!G612, ",", ""))+1, Klantgegevens_A!G612)</f>
        <v/>
      </c>
      <c r="G613">
        <f>IF(Klantgegevens_B!G612&lt;&gt;"", 0, Klantgegevens_A!H612)</f>
        <v/>
      </c>
      <c r="H613">
        <f>IF(Klantgegevens_B!H612&lt;&gt;"", Klantgegevens_B!H612, Klantgegevens_A!I612)</f>
        <v/>
      </c>
      <c r="I613">
        <f>IF(Klantgegevens_B!I612&lt;&gt;"", Klantgegevens_B!I612, SWITCH(Klantgegevens_A!J612, "Zelden", 1, "Af en toe", 4, "Regelmatig", 8, "Vaak", 12))</f>
        <v/>
      </c>
      <c r="J613">
        <f>IF(Klantgegevens_B!J612&lt;&gt;"", Klantgegevens_B!J612, Klantgegevens_A!K612)</f>
        <v/>
      </c>
      <c r="K613">
        <f>IF(Klantgegevens_B!K612&lt;&gt;"", AVERAGE(--(Klantgegevens_B!K612="ja"), --(Klantgegevens_B!L612="ja"), --(Klantgegevens_B!M612="ja"), --(Klantgegevens_B!N612="ja"), --(Klantgegevens_B!O612="ja"))*10, Klantgegevens_A!L612)</f>
        <v/>
      </c>
      <c r="L613">
        <f>IF(Klantgegevens_B!K612&lt;&gt;"", Klantgegevens_B!K612, IF(Klantgegevens_A!L612&gt;=7, "ja", "nee"))</f>
        <v/>
      </c>
      <c r="M613">
        <f>IF(Klantgegevens_B!L612&lt;&gt;"", Klantgegevens_B!L612, IF(Klantgegevens_A!L612&gt;=7, "ja", "nee"))</f>
        <v/>
      </c>
      <c r="N613">
        <f>IF(Klantgegevens_B!M612&lt;&gt;"", Klantgegevens_B!M612, IF(Klantgegevens_A!L612&gt;=7, "ja", "nee"))</f>
        <v/>
      </c>
      <c r="O613">
        <f>IF(Klantgegevens_B!N612&lt;&gt;"", Klantgegevens_B!N612, IF(Klantgegevens_A!L612&gt;=7, "ja", "nee"))</f>
        <v/>
      </c>
      <c r="P613">
        <f>IF(Klantgegevens_B!O612&lt;&gt;"", Klantgegevens_B!O612, IF(Klantgegevens_A!L612&gt;=7, "ja", "nee"))</f>
        <v/>
      </c>
      <c r="Q613">
        <f>IF(Klantgegevens_B!P612&lt;&gt;"", Klantgegevens_B!P612, Klantgegevens_A!M612)</f>
        <v/>
      </c>
      <c r="R613">
        <f>IF(Klantgegevens_B!A612&lt;&gt;"", "B", "A")</f>
        <v/>
      </c>
    </row>
    <row r="614">
      <c r="A614">
        <f>IF(Klantgegevens_B!A613&lt;&gt;"", Klantgegevens_B!A613, MID(Klantgegevens_A!A613, FIND(",", Klantgegevens_A!A613)+2, LEN(Klantgegevens_A!A613)))</f>
        <v/>
      </c>
      <c r="B614">
        <f>IF(Klantgegevens_B!B613&lt;&gt;"", Klantgegevens_B!B613, LEFT(Klantgegevens_A!A613, FIND(",", Klantgegevens_A!A613)-1))</f>
        <v/>
      </c>
      <c r="C614">
        <f>C613 &amp; ", " &amp; B613</f>
        <v/>
      </c>
      <c r="D614">
        <f>IF(Klantgegevens_B!F613&lt;&gt;"", Klantgegevens_B!F613, Klantgegevens_A!D613 &amp; " " &amp; Klantgegevens_A!E613 &amp; ", " &amp; Klantgegevens_A!F613)</f>
        <v/>
      </c>
      <c r="E614">
        <f>IF(Klantgegevens_B!G613&lt;&gt;"", Klantgegevens_B!G613, TEXTJOIN(",", TRUE, REPT("Volwassene,", Klantgegevens_A!G613), REPT("Kind,", Klantgegevens_A!H613)))</f>
        <v/>
      </c>
      <c r="F614">
        <f>IF(Klantgegevens_B!G613&lt;&gt;"", LEN(Klantgegevens_B!G613)-LEN(SUBSTITUTE(Klantgegevens_B!G613, ",", ""))+1, Klantgegevens_A!G613)</f>
        <v/>
      </c>
      <c r="G614">
        <f>IF(Klantgegevens_B!G613&lt;&gt;"", 0, Klantgegevens_A!H613)</f>
        <v/>
      </c>
      <c r="H614">
        <f>IF(Klantgegevens_B!H613&lt;&gt;"", Klantgegevens_B!H613, Klantgegevens_A!I613)</f>
        <v/>
      </c>
      <c r="I614">
        <f>IF(Klantgegevens_B!I613&lt;&gt;"", Klantgegevens_B!I613, SWITCH(Klantgegevens_A!J613, "Zelden", 1, "Af en toe", 4, "Regelmatig", 8, "Vaak", 12))</f>
        <v/>
      </c>
      <c r="J614">
        <f>IF(Klantgegevens_B!J613&lt;&gt;"", Klantgegevens_B!J613, Klantgegevens_A!K613)</f>
        <v/>
      </c>
      <c r="K614">
        <f>IF(Klantgegevens_B!K613&lt;&gt;"", AVERAGE(--(Klantgegevens_B!K613="ja"), --(Klantgegevens_B!L613="ja"), --(Klantgegevens_B!M613="ja"), --(Klantgegevens_B!N613="ja"), --(Klantgegevens_B!O613="ja"))*10, Klantgegevens_A!L613)</f>
        <v/>
      </c>
      <c r="L614">
        <f>IF(Klantgegevens_B!K613&lt;&gt;"", Klantgegevens_B!K613, IF(Klantgegevens_A!L613&gt;=7, "ja", "nee"))</f>
        <v/>
      </c>
      <c r="M614">
        <f>IF(Klantgegevens_B!L613&lt;&gt;"", Klantgegevens_B!L613, IF(Klantgegevens_A!L613&gt;=7, "ja", "nee"))</f>
        <v/>
      </c>
      <c r="N614">
        <f>IF(Klantgegevens_B!M613&lt;&gt;"", Klantgegevens_B!M613, IF(Klantgegevens_A!L613&gt;=7, "ja", "nee"))</f>
        <v/>
      </c>
      <c r="O614">
        <f>IF(Klantgegevens_B!N613&lt;&gt;"", Klantgegevens_B!N613, IF(Klantgegevens_A!L613&gt;=7, "ja", "nee"))</f>
        <v/>
      </c>
      <c r="P614">
        <f>IF(Klantgegevens_B!O613&lt;&gt;"", Klantgegevens_B!O613, IF(Klantgegevens_A!L613&gt;=7, "ja", "nee"))</f>
        <v/>
      </c>
      <c r="Q614">
        <f>IF(Klantgegevens_B!P613&lt;&gt;"", Klantgegevens_B!P613, Klantgegevens_A!M613)</f>
        <v/>
      </c>
      <c r="R614">
        <f>IF(Klantgegevens_B!A613&lt;&gt;"", "B", "A")</f>
        <v/>
      </c>
    </row>
    <row r="615">
      <c r="A615">
        <f>IF(Klantgegevens_B!A614&lt;&gt;"", Klantgegevens_B!A614, MID(Klantgegevens_A!A614, FIND(",", Klantgegevens_A!A614)+2, LEN(Klantgegevens_A!A614)))</f>
        <v/>
      </c>
      <c r="B615">
        <f>IF(Klantgegevens_B!B614&lt;&gt;"", Klantgegevens_B!B614, LEFT(Klantgegevens_A!A614, FIND(",", Klantgegevens_A!A614)-1))</f>
        <v/>
      </c>
      <c r="C615">
        <f>C614 &amp; ", " &amp; B614</f>
        <v/>
      </c>
      <c r="D615">
        <f>IF(Klantgegevens_B!F614&lt;&gt;"", Klantgegevens_B!F614, Klantgegevens_A!D614 &amp; " " &amp; Klantgegevens_A!E614 &amp; ", " &amp; Klantgegevens_A!F614)</f>
        <v/>
      </c>
      <c r="E615">
        <f>IF(Klantgegevens_B!G614&lt;&gt;"", Klantgegevens_B!G614, TEXTJOIN(",", TRUE, REPT("Volwassene,", Klantgegevens_A!G614), REPT("Kind,", Klantgegevens_A!H614)))</f>
        <v/>
      </c>
      <c r="F615">
        <f>IF(Klantgegevens_B!G614&lt;&gt;"", LEN(Klantgegevens_B!G614)-LEN(SUBSTITUTE(Klantgegevens_B!G614, ",", ""))+1, Klantgegevens_A!G614)</f>
        <v/>
      </c>
      <c r="G615">
        <f>IF(Klantgegevens_B!G614&lt;&gt;"", 0, Klantgegevens_A!H614)</f>
        <v/>
      </c>
      <c r="H615">
        <f>IF(Klantgegevens_B!H614&lt;&gt;"", Klantgegevens_B!H614, Klantgegevens_A!I614)</f>
        <v/>
      </c>
      <c r="I615">
        <f>IF(Klantgegevens_B!I614&lt;&gt;"", Klantgegevens_B!I614, SWITCH(Klantgegevens_A!J614, "Zelden", 1, "Af en toe", 4, "Regelmatig", 8, "Vaak", 12))</f>
        <v/>
      </c>
      <c r="J615">
        <f>IF(Klantgegevens_B!J614&lt;&gt;"", Klantgegevens_B!J614, Klantgegevens_A!K614)</f>
        <v/>
      </c>
      <c r="K615">
        <f>IF(Klantgegevens_B!K614&lt;&gt;"", AVERAGE(--(Klantgegevens_B!K614="ja"), --(Klantgegevens_B!L614="ja"), --(Klantgegevens_B!M614="ja"), --(Klantgegevens_B!N614="ja"), --(Klantgegevens_B!O614="ja"))*10, Klantgegevens_A!L614)</f>
        <v/>
      </c>
      <c r="L615">
        <f>IF(Klantgegevens_B!K614&lt;&gt;"", Klantgegevens_B!K614, IF(Klantgegevens_A!L614&gt;=7, "ja", "nee"))</f>
        <v/>
      </c>
      <c r="M615">
        <f>IF(Klantgegevens_B!L614&lt;&gt;"", Klantgegevens_B!L614, IF(Klantgegevens_A!L614&gt;=7, "ja", "nee"))</f>
        <v/>
      </c>
      <c r="N615">
        <f>IF(Klantgegevens_B!M614&lt;&gt;"", Klantgegevens_B!M614, IF(Klantgegevens_A!L614&gt;=7, "ja", "nee"))</f>
        <v/>
      </c>
      <c r="O615">
        <f>IF(Klantgegevens_B!N614&lt;&gt;"", Klantgegevens_B!N614, IF(Klantgegevens_A!L614&gt;=7, "ja", "nee"))</f>
        <v/>
      </c>
      <c r="P615">
        <f>IF(Klantgegevens_B!O614&lt;&gt;"", Klantgegevens_B!O614, IF(Klantgegevens_A!L614&gt;=7, "ja", "nee"))</f>
        <v/>
      </c>
      <c r="Q615">
        <f>IF(Klantgegevens_B!P614&lt;&gt;"", Klantgegevens_B!P614, Klantgegevens_A!M614)</f>
        <v/>
      </c>
      <c r="R615">
        <f>IF(Klantgegevens_B!A614&lt;&gt;"", "B", "A")</f>
        <v/>
      </c>
    </row>
    <row r="616">
      <c r="A616">
        <f>IF(Klantgegevens_B!A615&lt;&gt;"", Klantgegevens_B!A615, MID(Klantgegevens_A!A615, FIND(",", Klantgegevens_A!A615)+2, LEN(Klantgegevens_A!A615)))</f>
        <v/>
      </c>
      <c r="B616">
        <f>IF(Klantgegevens_B!B615&lt;&gt;"", Klantgegevens_B!B615, LEFT(Klantgegevens_A!A615, FIND(",", Klantgegevens_A!A615)-1))</f>
        <v/>
      </c>
      <c r="C616">
        <f>C615 &amp; ", " &amp; B615</f>
        <v/>
      </c>
      <c r="D616">
        <f>IF(Klantgegevens_B!F615&lt;&gt;"", Klantgegevens_B!F615, Klantgegevens_A!D615 &amp; " " &amp; Klantgegevens_A!E615 &amp; ", " &amp; Klantgegevens_A!F615)</f>
        <v/>
      </c>
      <c r="E616">
        <f>IF(Klantgegevens_B!G615&lt;&gt;"", Klantgegevens_B!G615, TEXTJOIN(",", TRUE, REPT("Volwassene,", Klantgegevens_A!G615), REPT("Kind,", Klantgegevens_A!H615)))</f>
        <v/>
      </c>
      <c r="F616">
        <f>IF(Klantgegevens_B!G615&lt;&gt;"", LEN(Klantgegevens_B!G615)-LEN(SUBSTITUTE(Klantgegevens_B!G615, ",", ""))+1, Klantgegevens_A!G615)</f>
        <v/>
      </c>
      <c r="G616">
        <f>IF(Klantgegevens_B!G615&lt;&gt;"", 0, Klantgegevens_A!H615)</f>
        <v/>
      </c>
      <c r="H616">
        <f>IF(Klantgegevens_B!H615&lt;&gt;"", Klantgegevens_B!H615, Klantgegevens_A!I615)</f>
        <v/>
      </c>
      <c r="I616">
        <f>IF(Klantgegevens_B!I615&lt;&gt;"", Klantgegevens_B!I615, SWITCH(Klantgegevens_A!J615, "Zelden", 1, "Af en toe", 4, "Regelmatig", 8, "Vaak", 12))</f>
        <v/>
      </c>
      <c r="J616">
        <f>IF(Klantgegevens_B!J615&lt;&gt;"", Klantgegevens_B!J615, Klantgegevens_A!K615)</f>
        <v/>
      </c>
      <c r="K616">
        <f>IF(Klantgegevens_B!K615&lt;&gt;"", AVERAGE(--(Klantgegevens_B!K615="ja"), --(Klantgegevens_B!L615="ja"), --(Klantgegevens_B!M615="ja"), --(Klantgegevens_B!N615="ja"), --(Klantgegevens_B!O615="ja"))*10, Klantgegevens_A!L615)</f>
        <v/>
      </c>
      <c r="L616">
        <f>IF(Klantgegevens_B!K615&lt;&gt;"", Klantgegevens_B!K615, IF(Klantgegevens_A!L615&gt;=7, "ja", "nee"))</f>
        <v/>
      </c>
      <c r="M616">
        <f>IF(Klantgegevens_B!L615&lt;&gt;"", Klantgegevens_B!L615, IF(Klantgegevens_A!L615&gt;=7, "ja", "nee"))</f>
        <v/>
      </c>
      <c r="N616">
        <f>IF(Klantgegevens_B!M615&lt;&gt;"", Klantgegevens_B!M615, IF(Klantgegevens_A!L615&gt;=7, "ja", "nee"))</f>
        <v/>
      </c>
      <c r="O616">
        <f>IF(Klantgegevens_B!N615&lt;&gt;"", Klantgegevens_B!N615, IF(Klantgegevens_A!L615&gt;=7, "ja", "nee"))</f>
        <v/>
      </c>
      <c r="P616">
        <f>IF(Klantgegevens_B!O615&lt;&gt;"", Klantgegevens_B!O615, IF(Klantgegevens_A!L615&gt;=7, "ja", "nee"))</f>
        <v/>
      </c>
      <c r="Q616">
        <f>IF(Klantgegevens_B!P615&lt;&gt;"", Klantgegevens_B!P615, Klantgegevens_A!M615)</f>
        <v/>
      </c>
      <c r="R616">
        <f>IF(Klantgegevens_B!A615&lt;&gt;"", "B", "A")</f>
        <v/>
      </c>
    </row>
    <row r="617">
      <c r="A617">
        <f>IF(Klantgegevens_B!A616&lt;&gt;"", Klantgegevens_B!A616, MID(Klantgegevens_A!A616, FIND(",", Klantgegevens_A!A616)+2, LEN(Klantgegevens_A!A616)))</f>
        <v/>
      </c>
      <c r="B617">
        <f>IF(Klantgegevens_B!B616&lt;&gt;"", Klantgegevens_B!B616, LEFT(Klantgegevens_A!A616, FIND(",", Klantgegevens_A!A616)-1))</f>
        <v/>
      </c>
      <c r="C617">
        <f>C616 &amp; ", " &amp; B616</f>
        <v/>
      </c>
      <c r="D617">
        <f>IF(Klantgegevens_B!F616&lt;&gt;"", Klantgegevens_B!F616, Klantgegevens_A!D616 &amp; " " &amp; Klantgegevens_A!E616 &amp; ", " &amp; Klantgegevens_A!F616)</f>
        <v/>
      </c>
      <c r="E617">
        <f>IF(Klantgegevens_B!G616&lt;&gt;"", Klantgegevens_B!G616, TEXTJOIN(",", TRUE, REPT("Volwassene,", Klantgegevens_A!G616), REPT("Kind,", Klantgegevens_A!H616)))</f>
        <v/>
      </c>
      <c r="F617">
        <f>IF(Klantgegevens_B!G616&lt;&gt;"", LEN(Klantgegevens_B!G616)-LEN(SUBSTITUTE(Klantgegevens_B!G616, ",", ""))+1, Klantgegevens_A!G616)</f>
        <v/>
      </c>
      <c r="G617">
        <f>IF(Klantgegevens_B!G616&lt;&gt;"", 0, Klantgegevens_A!H616)</f>
        <v/>
      </c>
      <c r="H617">
        <f>IF(Klantgegevens_B!H616&lt;&gt;"", Klantgegevens_B!H616, Klantgegevens_A!I616)</f>
        <v/>
      </c>
      <c r="I617">
        <f>IF(Klantgegevens_B!I616&lt;&gt;"", Klantgegevens_B!I616, SWITCH(Klantgegevens_A!J616, "Zelden", 1, "Af en toe", 4, "Regelmatig", 8, "Vaak", 12))</f>
        <v/>
      </c>
      <c r="J617">
        <f>IF(Klantgegevens_B!J616&lt;&gt;"", Klantgegevens_B!J616, Klantgegevens_A!K616)</f>
        <v/>
      </c>
      <c r="K617">
        <f>IF(Klantgegevens_B!K616&lt;&gt;"", AVERAGE(--(Klantgegevens_B!K616="ja"), --(Klantgegevens_B!L616="ja"), --(Klantgegevens_B!M616="ja"), --(Klantgegevens_B!N616="ja"), --(Klantgegevens_B!O616="ja"))*10, Klantgegevens_A!L616)</f>
        <v/>
      </c>
      <c r="L617">
        <f>IF(Klantgegevens_B!K616&lt;&gt;"", Klantgegevens_B!K616, IF(Klantgegevens_A!L616&gt;=7, "ja", "nee"))</f>
        <v/>
      </c>
      <c r="M617">
        <f>IF(Klantgegevens_B!L616&lt;&gt;"", Klantgegevens_B!L616, IF(Klantgegevens_A!L616&gt;=7, "ja", "nee"))</f>
        <v/>
      </c>
      <c r="N617">
        <f>IF(Klantgegevens_B!M616&lt;&gt;"", Klantgegevens_B!M616, IF(Klantgegevens_A!L616&gt;=7, "ja", "nee"))</f>
        <v/>
      </c>
      <c r="O617">
        <f>IF(Klantgegevens_B!N616&lt;&gt;"", Klantgegevens_B!N616, IF(Klantgegevens_A!L616&gt;=7, "ja", "nee"))</f>
        <v/>
      </c>
      <c r="P617">
        <f>IF(Klantgegevens_B!O616&lt;&gt;"", Klantgegevens_B!O616, IF(Klantgegevens_A!L616&gt;=7, "ja", "nee"))</f>
        <v/>
      </c>
      <c r="Q617">
        <f>IF(Klantgegevens_B!P616&lt;&gt;"", Klantgegevens_B!P616, Klantgegevens_A!M616)</f>
        <v/>
      </c>
      <c r="R617">
        <f>IF(Klantgegevens_B!A616&lt;&gt;"", "B", "A")</f>
        <v/>
      </c>
    </row>
    <row r="618">
      <c r="A618">
        <f>IF(Klantgegevens_B!A617&lt;&gt;"", Klantgegevens_B!A617, MID(Klantgegevens_A!A617, FIND(",", Klantgegevens_A!A617)+2, LEN(Klantgegevens_A!A617)))</f>
        <v/>
      </c>
      <c r="B618">
        <f>IF(Klantgegevens_B!B617&lt;&gt;"", Klantgegevens_B!B617, LEFT(Klantgegevens_A!A617, FIND(",", Klantgegevens_A!A617)-1))</f>
        <v/>
      </c>
      <c r="C618">
        <f>C617 &amp; ", " &amp; B617</f>
        <v/>
      </c>
      <c r="D618">
        <f>IF(Klantgegevens_B!F617&lt;&gt;"", Klantgegevens_B!F617, Klantgegevens_A!D617 &amp; " " &amp; Klantgegevens_A!E617 &amp; ", " &amp; Klantgegevens_A!F617)</f>
        <v/>
      </c>
      <c r="E618">
        <f>IF(Klantgegevens_B!G617&lt;&gt;"", Klantgegevens_B!G617, TEXTJOIN(",", TRUE, REPT("Volwassene,", Klantgegevens_A!G617), REPT("Kind,", Klantgegevens_A!H617)))</f>
        <v/>
      </c>
      <c r="F618">
        <f>IF(Klantgegevens_B!G617&lt;&gt;"", LEN(Klantgegevens_B!G617)-LEN(SUBSTITUTE(Klantgegevens_B!G617, ",", ""))+1, Klantgegevens_A!G617)</f>
        <v/>
      </c>
      <c r="G618">
        <f>IF(Klantgegevens_B!G617&lt;&gt;"", 0, Klantgegevens_A!H617)</f>
        <v/>
      </c>
      <c r="H618">
        <f>IF(Klantgegevens_B!H617&lt;&gt;"", Klantgegevens_B!H617, Klantgegevens_A!I617)</f>
        <v/>
      </c>
      <c r="I618">
        <f>IF(Klantgegevens_B!I617&lt;&gt;"", Klantgegevens_B!I617, SWITCH(Klantgegevens_A!J617, "Zelden", 1, "Af en toe", 4, "Regelmatig", 8, "Vaak", 12))</f>
        <v/>
      </c>
      <c r="J618">
        <f>IF(Klantgegevens_B!J617&lt;&gt;"", Klantgegevens_B!J617, Klantgegevens_A!K617)</f>
        <v/>
      </c>
      <c r="K618">
        <f>IF(Klantgegevens_B!K617&lt;&gt;"", AVERAGE(--(Klantgegevens_B!K617="ja"), --(Klantgegevens_B!L617="ja"), --(Klantgegevens_B!M617="ja"), --(Klantgegevens_B!N617="ja"), --(Klantgegevens_B!O617="ja"))*10, Klantgegevens_A!L617)</f>
        <v/>
      </c>
      <c r="L618">
        <f>IF(Klantgegevens_B!K617&lt;&gt;"", Klantgegevens_B!K617, IF(Klantgegevens_A!L617&gt;=7, "ja", "nee"))</f>
        <v/>
      </c>
      <c r="M618">
        <f>IF(Klantgegevens_B!L617&lt;&gt;"", Klantgegevens_B!L617, IF(Klantgegevens_A!L617&gt;=7, "ja", "nee"))</f>
        <v/>
      </c>
      <c r="N618">
        <f>IF(Klantgegevens_B!M617&lt;&gt;"", Klantgegevens_B!M617, IF(Klantgegevens_A!L617&gt;=7, "ja", "nee"))</f>
        <v/>
      </c>
      <c r="O618">
        <f>IF(Klantgegevens_B!N617&lt;&gt;"", Klantgegevens_B!N617, IF(Klantgegevens_A!L617&gt;=7, "ja", "nee"))</f>
        <v/>
      </c>
      <c r="P618">
        <f>IF(Klantgegevens_B!O617&lt;&gt;"", Klantgegevens_B!O617, IF(Klantgegevens_A!L617&gt;=7, "ja", "nee"))</f>
        <v/>
      </c>
      <c r="Q618">
        <f>IF(Klantgegevens_B!P617&lt;&gt;"", Klantgegevens_B!P617, Klantgegevens_A!M617)</f>
        <v/>
      </c>
      <c r="R618">
        <f>IF(Klantgegevens_B!A617&lt;&gt;"", "B", "A")</f>
        <v/>
      </c>
    </row>
    <row r="619">
      <c r="A619">
        <f>IF(Klantgegevens_B!A618&lt;&gt;"", Klantgegevens_B!A618, MID(Klantgegevens_A!A618, FIND(",", Klantgegevens_A!A618)+2, LEN(Klantgegevens_A!A618)))</f>
        <v/>
      </c>
      <c r="B619">
        <f>IF(Klantgegevens_B!B618&lt;&gt;"", Klantgegevens_B!B618, LEFT(Klantgegevens_A!A618, FIND(",", Klantgegevens_A!A618)-1))</f>
        <v/>
      </c>
      <c r="C619">
        <f>C618 &amp; ", " &amp; B618</f>
        <v/>
      </c>
      <c r="D619">
        <f>IF(Klantgegevens_B!F618&lt;&gt;"", Klantgegevens_B!F618, Klantgegevens_A!D618 &amp; " " &amp; Klantgegevens_A!E618 &amp; ", " &amp; Klantgegevens_A!F618)</f>
        <v/>
      </c>
      <c r="E619">
        <f>IF(Klantgegevens_B!G618&lt;&gt;"", Klantgegevens_B!G618, TEXTJOIN(",", TRUE, REPT("Volwassene,", Klantgegevens_A!G618), REPT("Kind,", Klantgegevens_A!H618)))</f>
        <v/>
      </c>
      <c r="F619">
        <f>IF(Klantgegevens_B!G618&lt;&gt;"", LEN(Klantgegevens_B!G618)-LEN(SUBSTITUTE(Klantgegevens_B!G618, ",", ""))+1, Klantgegevens_A!G618)</f>
        <v/>
      </c>
      <c r="G619">
        <f>IF(Klantgegevens_B!G618&lt;&gt;"", 0, Klantgegevens_A!H618)</f>
        <v/>
      </c>
      <c r="H619">
        <f>IF(Klantgegevens_B!H618&lt;&gt;"", Klantgegevens_B!H618, Klantgegevens_A!I618)</f>
        <v/>
      </c>
      <c r="I619">
        <f>IF(Klantgegevens_B!I618&lt;&gt;"", Klantgegevens_B!I618, SWITCH(Klantgegevens_A!J618, "Zelden", 1, "Af en toe", 4, "Regelmatig", 8, "Vaak", 12))</f>
        <v/>
      </c>
      <c r="J619">
        <f>IF(Klantgegevens_B!J618&lt;&gt;"", Klantgegevens_B!J618, Klantgegevens_A!K618)</f>
        <v/>
      </c>
      <c r="K619">
        <f>IF(Klantgegevens_B!K618&lt;&gt;"", AVERAGE(--(Klantgegevens_B!K618="ja"), --(Klantgegevens_B!L618="ja"), --(Klantgegevens_B!M618="ja"), --(Klantgegevens_B!N618="ja"), --(Klantgegevens_B!O618="ja"))*10, Klantgegevens_A!L618)</f>
        <v/>
      </c>
      <c r="L619">
        <f>IF(Klantgegevens_B!K618&lt;&gt;"", Klantgegevens_B!K618, IF(Klantgegevens_A!L618&gt;=7, "ja", "nee"))</f>
        <v/>
      </c>
      <c r="M619">
        <f>IF(Klantgegevens_B!L618&lt;&gt;"", Klantgegevens_B!L618, IF(Klantgegevens_A!L618&gt;=7, "ja", "nee"))</f>
        <v/>
      </c>
      <c r="N619">
        <f>IF(Klantgegevens_B!M618&lt;&gt;"", Klantgegevens_B!M618, IF(Klantgegevens_A!L618&gt;=7, "ja", "nee"))</f>
        <v/>
      </c>
      <c r="O619">
        <f>IF(Klantgegevens_B!N618&lt;&gt;"", Klantgegevens_B!N618, IF(Klantgegevens_A!L618&gt;=7, "ja", "nee"))</f>
        <v/>
      </c>
      <c r="P619">
        <f>IF(Klantgegevens_B!O618&lt;&gt;"", Klantgegevens_B!O618, IF(Klantgegevens_A!L618&gt;=7, "ja", "nee"))</f>
        <v/>
      </c>
      <c r="Q619">
        <f>IF(Klantgegevens_B!P618&lt;&gt;"", Klantgegevens_B!P618, Klantgegevens_A!M618)</f>
        <v/>
      </c>
      <c r="R619">
        <f>IF(Klantgegevens_B!A618&lt;&gt;"", "B", "A")</f>
        <v/>
      </c>
    </row>
    <row r="620">
      <c r="A620">
        <f>IF(Klantgegevens_B!A619&lt;&gt;"", Klantgegevens_B!A619, MID(Klantgegevens_A!A619, FIND(",", Klantgegevens_A!A619)+2, LEN(Klantgegevens_A!A619)))</f>
        <v/>
      </c>
      <c r="B620">
        <f>IF(Klantgegevens_B!B619&lt;&gt;"", Klantgegevens_B!B619, LEFT(Klantgegevens_A!A619, FIND(",", Klantgegevens_A!A619)-1))</f>
        <v/>
      </c>
      <c r="C620">
        <f>C619 &amp; ", " &amp; B619</f>
        <v/>
      </c>
      <c r="D620">
        <f>IF(Klantgegevens_B!F619&lt;&gt;"", Klantgegevens_B!F619, Klantgegevens_A!D619 &amp; " " &amp; Klantgegevens_A!E619 &amp; ", " &amp; Klantgegevens_A!F619)</f>
        <v/>
      </c>
      <c r="E620">
        <f>IF(Klantgegevens_B!G619&lt;&gt;"", Klantgegevens_B!G619, TEXTJOIN(",", TRUE, REPT("Volwassene,", Klantgegevens_A!G619), REPT("Kind,", Klantgegevens_A!H619)))</f>
        <v/>
      </c>
      <c r="F620">
        <f>IF(Klantgegevens_B!G619&lt;&gt;"", LEN(Klantgegevens_B!G619)-LEN(SUBSTITUTE(Klantgegevens_B!G619, ",", ""))+1, Klantgegevens_A!G619)</f>
        <v/>
      </c>
      <c r="G620">
        <f>IF(Klantgegevens_B!G619&lt;&gt;"", 0, Klantgegevens_A!H619)</f>
        <v/>
      </c>
      <c r="H620">
        <f>IF(Klantgegevens_B!H619&lt;&gt;"", Klantgegevens_B!H619, Klantgegevens_A!I619)</f>
        <v/>
      </c>
      <c r="I620">
        <f>IF(Klantgegevens_B!I619&lt;&gt;"", Klantgegevens_B!I619, SWITCH(Klantgegevens_A!J619, "Zelden", 1, "Af en toe", 4, "Regelmatig", 8, "Vaak", 12))</f>
        <v/>
      </c>
      <c r="J620">
        <f>IF(Klantgegevens_B!J619&lt;&gt;"", Klantgegevens_B!J619, Klantgegevens_A!K619)</f>
        <v/>
      </c>
      <c r="K620">
        <f>IF(Klantgegevens_B!K619&lt;&gt;"", AVERAGE(--(Klantgegevens_B!K619="ja"), --(Klantgegevens_B!L619="ja"), --(Klantgegevens_B!M619="ja"), --(Klantgegevens_B!N619="ja"), --(Klantgegevens_B!O619="ja"))*10, Klantgegevens_A!L619)</f>
        <v/>
      </c>
      <c r="L620">
        <f>IF(Klantgegevens_B!K619&lt;&gt;"", Klantgegevens_B!K619, IF(Klantgegevens_A!L619&gt;=7, "ja", "nee"))</f>
        <v/>
      </c>
      <c r="M620">
        <f>IF(Klantgegevens_B!L619&lt;&gt;"", Klantgegevens_B!L619, IF(Klantgegevens_A!L619&gt;=7, "ja", "nee"))</f>
        <v/>
      </c>
      <c r="N620">
        <f>IF(Klantgegevens_B!M619&lt;&gt;"", Klantgegevens_B!M619, IF(Klantgegevens_A!L619&gt;=7, "ja", "nee"))</f>
        <v/>
      </c>
      <c r="O620">
        <f>IF(Klantgegevens_B!N619&lt;&gt;"", Klantgegevens_B!N619, IF(Klantgegevens_A!L619&gt;=7, "ja", "nee"))</f>
        <v/>
      </c>
      <c r="P620">
        <f>IF(Klantgegevens_B!O619&lt;&gt;"", Klantgegevens_B!O619, IF(Klantgegevens_A!L619&gt;=7, "ja", "nee"))</f>
        <v/>
      </c>
      <c r="Q620">
        <f>IF(Klantgegevens_B!P619&lt;&gt;"", Klantgegevens_B!P619, Klantgegevens_A!M619)</f>
        <v/>
      </c>
      <c r="R620">
        <f>IF(Klantgegevens_B!A619&lt;&gt;"", "B", "A")</f>
        <v/>
      </c>
    </row>
    <row r="621">
      <c r="A621">
        <f>IF(Klantgegevens_B!A620&lt;&gt;"", Klantgegevens_B!A620, MID(Klantgegevens_A!A620, FIND(",", Klantgegevens_A!A620)+2, LEN(Klantgegevens_A!A620)))</f>
        <v/>
      </c>
      <c r="B621">
        <f>IF(Klantgegevens_B!B620&lt;&gt;"", Klantgegevens_B!B620, LEFT(Klantgegevens_A!A620, FIND(",", Klantgegevens_A!A620)-1))</f>
        <v/>
      </c>
      <c r="C621">
        <f>C620 &amp; ", " &amp; B620</f>
        <v/>
      </c>
      <c r="D621">
        <f>IF(Klantgegevens_B!F620&lt;&gt;"", Klantgegevens_B!F620, Klantgegevens_A!D620 &amp; " " &amp; Klantgegevens_A!E620 &amp; ", " &amp; Klantgegevens_A!F620)</f>
        <v/>
      </c>
      <c r="E621">
        <f>IF(Klantgegevens_B!G620&lt;&gt;"", Klantgegevens_B!G620, TEXTJOIN(",", TRUE, REPT("Volwassene,", Klantgegevens_A!G620), REPT("Kind,", Klantgegevens_A!H620)))</f>
        <v/>
      </c>
      <c r="F621">
        <f>IF(Klantgegevens_B!G620&lt;&gt;"", LEN(Klantgegevens_B!G620)-LEN(SUBSTITUTE(Klantgegevens_B!G620, ",", ""))+1, Klantgegevens_A!G620)</f>
        <v/>
      </c>
      <c r="G621">
        <f>IF(Klantgegevens_B!G620&lt;&gt;"", 0, Klantgegevens_A!H620)</f>
        <v/>
      </c>
      <c r="H621">
        <f>IF(Klantgegevens_B!H620&lt;&gt;"", Klantgegevens_B!H620, Klantgegevens_A!I620)</f>
        <v/>
      </c>
      <c r="I621">
        <f>IF(Klantgegevens_B!I620&lt;&gt;"", Klantgegevens_B!I620, SWITCH(Klantgegevens_A!J620, "Zelden", 1, "Af en toe", 4, "Regelmatig", 8, "Vaak", 12))</f>
        <v/>
      </c>
      <c r="J621">
        <f>IF(Klantgegevens_B!J620&lt;&gt;"", Klantgegevens_B!J620, Klantgegevens_A!K620)</f>
        <v/>
      </c>
      <c r="K621">
        <f>IF(Klantgegevens_B!K620&lt;&gt;"", AVERAGE(--(Klantgegevens_B!K620="ja"), --(Klantgegevens_B!L620="ja"), --(Klantgegevens_B!M620="ja"), --(Klantgegevens_B!N620="ja"), --(Klantgegevens_B!O620="ja"))*10, Klantgegevens_A!L620)</f>
        <v/>
      </c>
      <c r="L621">
        <f>IF(Klantgegevens_B!K620&lt;&gt;"", Klantgegevens_B!K620, IF(Klantgegevens_A!L620&gt;=7, "ja", "nee"))</f>
        <v/>
      </c>
      <c r="M621">
        <f>IF(Klantgegevens_B!L620&lt;&gt;"", Klantgegevens_B!L620, IF(Klantgegevens_A!L620&gt;=7, "ja", "nee"))</f>
        <v/>
      </c>
      <c r="N621">
        <f>IF(Klantgegevens_B!M620&lt;&gt;"", Klantgegevens_B!M620, IF(Klantgegevens_A!L620&gt;=7, "ja", "nee"))</f>
        <v/>
      </c>
      <c r="O621">
        <f>IF(Klantgegevens_B!N620&lt;&gt;"", Klantgegevens_B!N620, IF(Klantgegevens_A!L620&gt;=7, "ja", "nee"))</f>
        <v/>
      </c>
      <c r="P621">
        <f>IF(Klantgegevens_B!O620&lt;&gt;"", Klantgegevens_B!O620, IF(Klantgegevens_A!L620&gt;=7, "ja", "nee"))</f>
        <v/>
      </c>
      <c r="Q621">
        <f>IF(Klantgegevens_B!P620&lt;&gt;"", Klantgegevens_B!P620, Klantgegevens_A!M620)</f>
        <v/>
      </c>
      <c r="R621">
        <f>IF(Klantgegevens_B!A620&lt;&gt;"", "B", "A")</f>
        <v/>
      </c>
    </row>
    <row r="622">
      <c r="A622">
        <f>IF(Klantgegevens_B!A621&lt;&gt;"", Klantgegevens_B!A621, MID(Klantgegevens_A!A621, FIND(",", Klantgegevens_A!A621)+2, LEN(Klantgegevens_A!A621)))</f>
        <v/>
      </c>
      <c r="B622">
        <f>IF(Klantgegevens_B!B621&lt;&gt;"", Klantgegevens_B!B621, LEFT(Klantgegevens_A!A621, FIND(",", Klantgegevens_A!A621)-1))</f>
        <v/>
      </c>
      <c r="C622">
        <f>C621 &amp; ", " &amp; B621</f>
        <v/>
      </c>
      <c r="D622">
        <f>IF(Klantgegevens_B!F621&lt;&gt;"", Klantgegevens_B!F621, Klantgegevens_A!D621 &amp; " " &amp; Klantgegevens_A!E621 &amp; ", " &amp; Klantgegevens_A!F621)</f>
        <v/>
      </c>
      <c r="E622">
        <f>IF(Klantgegevens_B!G621&lt;&gt;"", Klantgegevens_B!G621, TEXTJOIN(",", TRUE, REPT("Volwassene,", Klantgegevens_A!G621), REPT("Kind,", Klantgegevens_A!H621)))</f>
        <v/>
      </c>
      <c r="F622">
        <f>IF(Klantgegevens_B!G621&lt;&gt;"", LEN(Klantgegevens_B!G621)-LEN(SUBSTITUTE(Klantgegevens_B!G621, ",", ""))+1, Klantgegevens_A!G621)</f>
        <v/>
      </c>
      <c r="G622">
        <f>IF(Klantgegevens_B!G621&lt;&gt;"", 0, Klantgegevens_A!H621)</f>
        <v/>
      </c>
      <c r="H622">
        <f>IF(Klantgegevens_B!H621&lt;&gt;"", Klantgegevens_B!H621, Klantgegevens_A!I621)</f>
        <v/>
      </c>
      <c r="I622">
        <f>IF(Klantgegevens_B!I621&lt;&gt;"", Klantgegevens_B!I621, SWITCH(Klantgegevens_A!J621, "Zelden", 1, "Af en toe", 4, "Regelmatig", 8, "Vaak", 12))</f>
        <v/>
      </c>
      <c r="J622">
        <f>IF(Klantgegevens_B!J621&lt;&gt;"", Klantgegevens_B!J621, Klantgegevens_A!K621)</f>
        <v/>
      </c>
      <c r="K622">
        <f>IF(Klantgegevens_B!K621&lt;&gt;"", AVERAGE(--(Klantgegevens_B!K621="ja"), --(Klantgegevens_B!L621="ja"), --(Klantgegevens_B!M621="ja"), --(Klantgegevens_B!N621="ja"), --(Klantgegevens_B!O621="ja"))*10, Klantgegevens_A!L621)</f>
        <v/>
      </c>
      <c r="L622">
        <f>IF(Klantgegevens_B!K621&lt;&gt;"", Klantgegevens_B!K621, IF(Klantgegevens_A!L621&gt;=7, "ja", "nee"))</f>
        <v/>
      </c>
      <c r="M622">
        <f>IF(Klantgegevens_B!L621&lt;&gt;"", Klantgegevens_B!L621, IF(Klantgegevens_A!L621&gt;=7, "ja", "nee"))</f>
        <v/>
      </c>
      <c r="N622">
        <f>IF(Klantgegevens_B!M621&lt;&gt;"", Klantgegevens_B!M621, IF(Klantgegevens_A!L621&gt;=7, "ja", "nee"))</f>
        <v/>
      </c>
      <c r="O622">
        <f>IF(Klantgegevens_B!N621&lt;&gt;"", Klantgegevens_B!N621, IF(Klantgegevens_A!L621&gt;=7, "ja", "nee"))</f>
        <v/>
      </c>
      <c r="P622">
        <f>IF(Klantgegevens_B!O621&lt;&gt;"", Klantgegevens_B!O621, IF(Klantgegevens_A!L621&gt;=7, "ja", "nee"))</f>
        <v/>
      </c>
      <c r="Q622">
        <f>IF(Klantgegevens_B!P621&lt;&gt;"", Klantgegevens_B!P621, Klantgegevens_A!M621)</f>
        <v/>
      </c>
      <c r="R622">
        <f>IF(Klantgegevens_B!A621&lt;&gt;"", "B", "A")</f>
        <v/>
      </c>
    </row>
    <row r="623">
      <c r="A623">
        <f>IF(Klantgegevens_B!A622&lt;&gt;"", Klantgegevens_B!A622, MID(Klantgegevens_A!A622, FIND(",", Klantgegevens_A!A622)+2, LEN(Klantgegevens_A!A622)))</f>
        <v/>
      </c>
      <c r="B623">
        <f>IF(Klantgegevens_B!B622&lt;&gt;"", Klantgegevens_B!B622, LEFT(Klantgegevens_A!A622, FIND(",", Klantgegevens_A!A622)-1))</f>
        <v/>
      </c>
      <c r="C623">
        <f>C622 &amp; ", " &amp; B622</f>
        <v/>
      </c>
      <c r="D623">
        <f>IF(Klantgegevens_B!F622&lt;&gt;"", Klantgegevens_B!F622, Klantgegevens_A!D622 &amp; " " &amp; Klantgegevens_A!E622 &amp; ", " &amp; Klantgegevens_A!F622)</f>
        <v/>
      </c>
      <c r="E623">
        <f>IF(Klantgegevens_B!G622&lt;&gt;"", Klantgegevens_B!G622, TEXTJOIN(",", TRUE, REPT("Volwassene,", Klantgegevens_A!G622), REPT("Kind,", Klantgegevens_A!H622)))</f>
        <v/>
      </c>
      <c r="F623">
        <f>IF(Klantgegevens_B!G622&lt;&gt;"", LEN(Klantgegevens_B!G622)-LEN(SUBSTITUTE(Klantgegevens_B!G622, ",", ""))+1, Klantgegevens_A!G622)</f>
        <v/>
      </c>
      <c r="G623">
        <f>IF(Klantgegevens_B!G622&lt;&gt;"", 0, Klantgegevens_A!H622)</f>
        <v/>
      </c>
      <c r="H623">
        <f>IF(Klantgegevens_B!H622&lt;&gt;"", Klantgegevens_B!H622, Klantgegevens_A!I622)</f>
        <v/>
      </c>
      <c r="I623">
        <f>IF(Klantgegevens_B!I622&lt;&gt;"", Klantgegevens_B!I622, SWITCH(Klantgegevens_A!J622, "Zelden", 1, "Af en toe", 4, "Regelmatig", 8, "Vaak", 12))</f>
        <v/>
      </c>
      <c r="J623">
        <f>IF(Klantgegevens_B!J622&lt;&gt;"", Klantgegevens_B!J622, Klantgegevens_A!K622)</f>
        <v/>
      </c>
      <c r="K623">
        <f>IF(Klantgegevens_B!K622&lt;&gt;"", AVERAGE(--(Klantgegevens_B!K622="ja"), --(Klantgegevens_B!L622="ja"), --(Klantgegevens_B!M622="ja"), --(Klantgegevens_B!N622="ja"), --(Klantgegevens_B!O622="ja"))*10, Klantgegevens_A!L622)</f>
        <v/>
      </c>
      <c r="L623">
        <f>IF(Klantgegevens_B!K622&lt;&gt;"", Klantgegevens_B!K622, IF(Klantgegevens_A!L622&gt;=7, "ja", "nee"))</f>
        <v/>
      </c>
      <c r="M623">
        <f>IF(Klantgegevens_B!L622&lt;&gt;"", Klantgegevens_B!L622, IF(Klantgegevens_A!L622&gt;=7, "ja", "nee"))</f>
        <v/>
      </c>
      <c r="N623">
        <f>IF(Klantgegevens_B!M622&lt;&gt;"", Klantgegevens_B!M622, IF(Klantgegevens_A!L622&gt;=7, "ja", "nee"))</f>
        <v/>
      </c>
      <c r="O623">
        <f>IF(Klantgegevens_B!N622&lt;&gt;"", Klantgegevens_B!N622, IF(Klantgegevens_A!L622&gt;=7, "ja", "nee"))</f>
        <v/>
      </c>
      <c r="P623">
        <f>IF(Klantgegevens_B!O622&lt;&gt;"", Klantgegevens_B!O622, IF(Klantgegevens_A!L622&gt;=7, "ja", "nee"))</f>
        <v/>
      </c>
      <c r="Q623">
        <f>IF(Klantgegevens_B!P622&lt;&gt;"", Klantgegevens_B!P622, Klantgegevens_A!M622)</f>
        <v/>
      </c>
      <c r="R623">
        <f>IF(Klantgegevens_B!A622&lt;&gt;"", "B", "A")</f>
        <v/>
      </c>
    </row>
    <row r="624">
      <c r="A624">
        <f>IF(Klantgegevens_B!A623&lt;&gt;"", Klantgegevens_B!A623, MID(Klantgegevens_A!A623, FIND(",", Klantgegevens_A!A623)+2, LEN(Klantgegevens_A!A623)))</f>
        <v/>
      </c>
      <c r="B624">
        <f>IF(Klantgegevens_B!B623&lt;&gt;"", Klantgegevens_B!B623, LEFT(Klantgegevens_A!A623, FIND(",", Klantgegevens_A!A623)-1))</f>
        <v/>
      </c>
      <c r="C624">
        <f>C623 &amp; ", " &amp; B623</f>
        <v/>
      </c>
      <c r="D624">
        <f>IF(Klantgegevens_B!F623&lt;&gt;"", Klantgegevens_B!F623, Klantgegevens_A!D623 &amp; " " &amp; Klantgegevens_A!E623 &amp; ", " &amp; Klantgegevens_A!F623)</f>
        <v/>
      </c>
      <c r="E624">
        <f>IF(Klantgegevens_B!G623&lt;&gt;"", Klantgegevens_B!G623, TEXTJOIN(",", TRUE, REPT("Volwassene,", Klantgegevens_A!G623), REPT("Kind,", Klantgegevens_A!H623)))</f>
        <v/>
      </c>
      <c r="F624">
        <f>IF(Klantgegevens_B!G623&lt;&gt;"", LEN(Klantgegevens_B!G623)-LEN(SUBSTITUTE(Klantgegevens_B!G623, ",", ""))+1, Klantgegevens_A!G623)</f>
        <v/>
      </c>
      <c r="G624">
        <f>IF(Klantgegevens_B!G623&lt;&gt;"", 0, Klantgegevens_A!H623)</f>
        <v/>
      </c>
      <c r="H624">
        <f>IF(Klantgegevens_B!H623&lt;&gt;"", Klantgegevens_B!H623, Klantgegevens_A!I623)</f>
        <v/>
      </c>
      <c r="I624">
        <f>IF(Klantgegevens_B!I623&lt;&gt;"", Klantgegevens_B!I623, SWITCH(Klantgegevens_A!J623, "Zelden", 1, "Af en toe", 4, "Regelmatig", 8, "Vaak", 12))</f>
        <v/>
      </c>
      <c r="J624">
        <f>IF(Klantgegevens_B!J623&lt;&gt;"", Klantgegevens_B!J623, Klantgegevens_A!K623)</f>
        <v/>
      </c>
      <c r="K624">
        <f>IF(Klantgegevens_B!K623&lt;&gt;"", AVERAGE(--(Klantgegevens_B!K623="ja"), --(Klantgegevens_B!L623="ja"), --(Klantgegevens_B!M623="ja"), --(Klantgegevens_B!N623="ja"), --(Klantgegevens_B!O623="ja"))*10, Klantgegevens_A!L623)</f>
        <v/>
      </c>
      <c r="L624">
        <f>IF(Klantgegevens_B!K623&lt;&gt;"", Klantgegevens_B!K623, IF(Klantgegevens_A!L623&gt;=7, "ja", "nee"))</f>
        <v/>
      </c>
      <c r="M624">
        <f>IF(Klantgegevens_B!L623&lt;&gt;"", Klantgegevens_B!L623, IF(Klantgegevens_A!L623&gt;=7, "ja", "nee"))</f>
        <v/>
      </c>
      <c r="N624">
        <f>IF(Klantgegevens_B!M623&lt;&gt;"", Klantgegevens_B!M623, IF(Klantgegevens_A!L623&gt;=7, "ja", "nee"))</f>
        <v/>
      </c>
      <c r="O624">
        <f>IF(Klantgegevens_B!N623&lt;&gt;"", Klantgegevens_B!N623, IF(Klantgegevens_A!L623&gt;=7, "ja", "nee"))</f>
        <v/>
      </c>
      <c r="P624">
        <f>IF(Klantgegevens_B!O623&lt;&gt;"", Klantgegevens_B!O623, IF(Klantgegevens_A!L623&gt;=7, "ja", "nee"))</f>
        <v/>
      </c>
      <c r="Q624">
        <f>IF(Klantgegevens_B!P623&lt;&gt;"", Klantgegevens_B!P623, Klantgegevens_A!M623)</f>
        <v/>
      </c>
      <c r="R624">
        <f>IF(Klantgegevens_B!A623&lt;&gt;"", "B", "A")</f>
        <v/>
      </c>
    </row>
    <row r="625">
      <c r="A625">
        <f>IF(Klantgegevens_B!A624&lt;&gt;"", Klantgegevens_B!A624, MID(Klantgegevens_A!A624, FIND(",", Klantgegevens_A!A624)+2, LEN(Klantgegevens_A!A624)))</f>
        <v/>
      </c>
      <c r="B625">
        <f>IF(Klantgegevens_B!B624&lt;&gt;"", Klantgegevens_B!B624, LEFT(Klantgegevens_A!A624, FIND(",", Klantgegevens_A!A624)-1))</f>
        <v/>
      </c>
      <c r="C625">
        <f>C624 &amp; ", " &amp; B624</f>
        <v/>
      </c>
      <c r="D625">
        <f>IF(Klantgegevens_B!F624&lt;&gt;"", Klantgegevens_B!F624, Klantgegevens_A!D624 &amp; " " &amp; Klantgegevens_A!E624 &amp; ", " &amp; Klantgegevens_A!F624)</f>
        <v/>
      </c>
      <c r="E625">
        <f>IF(Klantgegevens_B!G624&lt;&gt;"", Klantgegevens_B!G624, TEXTJOIN(",", TRUE, REPT("Volwassene,", Klantgegevens_A!G624), REPT("Kind,", Klantgegevens_A!H624)))</f>
        <v/>
      </c>
      <c r="F625">
        <f>IF(Klantgegevens_B!G624&lt;&gt;"", LEN(Klantgegevens_B!G624)-LEN(SUBSTITUTE(Klantgegevens_B!G624, ",", ""))+1, Klantgegevens_A!G624)</f>
        <v/>
      </c>
      <c r="G625">
        <f>IF(Klantgegevens_B!G624&lt;&gt;"", 0, Klantgegevens_A!H624)</f>
        <v/>
      </c>
      <c r="H625">
        <f>IF(Klantgegevens_B!H624&lt;&gt;"", Klantgegevens_B!H624, Klantgegevens_A!I624)</f>
        <v/>
      </c>
      <c r="I625">
        <f>IF(Klantgegevens_B!I624&lt;&gt;"", Klantgegevens_B!I624, SWITCH(Klantgegevens_A!J624, "Zelden", 1, "Af en toe", 4, "Regelmatig", 8, "Vaak", 12))</f>
        <v/>
      </c>
      <c r="J625">
        <f>IF(Klantgegevens_B!J624&lt;&gt;"", Klantgegevens_B!J624, Klantgegevens_A!K624)</f>
        <v/>
      </c>
      <c r="K625">
        <f>IF(Klantgegevens_B!K624&lt;&gt;"", AVERAGE(--(Klantgegevens_B!K624="ja"), --(Klantgegevens_B!L624="ja"), --(Klantgegevens_B!M624="ja"), --(Klantgegevens_B!N624="ja"), --(Klantgegevens_B!O624="ja"))*10, Klantgegevens_A!L624)</f>
        <v/>
      </c>
      <c r="L625">
        <f>IF(Klantgegevens_B!K624&lt;&gt;"", Klantgegevens_B!K624, IF(Klantgegevens_A!L624&gt;=7, "ja", "nee"))</f>
        <v/>
      </c>
      <c r="M625">
        <f>IF(Klantgegevens_B!L624&lt;&gt;"", Klantgegevens_B!L624, IF(Klantgegevens_A!L624&gt;=7, "ja", "nee"))</f>
        <v/>
      </c>
      <c r="N625">
        <f>IF(Klantgegevens_B!M624&lt;&gt;"", Klantgegevens_B!M624, IF(Klantgegevens_A!L624&gt;=7, "ja", "nee"))</f>
        <v/>
      </c>
      <c r="O625">
        <f>IF(Klantgegevens_B!N624&lt;&gt;"", Klantgegevens_B!N624, IF(Klantgegevens_A!L624&gt;=7, "ja", "nee"))</f>
        <v/>
      </c>
      <c r="P625">
        <f>IF(Klantgegevens_B!O624&lt;&gt;"", Klantgegevens_B!O624, IF(Klantgegevens_A!L624&gt;=7, "ja", "nee"))</f>
        <v/>
      </c>
      <c r="Q625">
        <f>IF(Klantgegevens_B!P624&lt;&gt;"", Klantgegevens_B!P624, Klantgegevens_A!M624)</f>
        <v/>
      </c>
      <c r="R625">
        <f>IF(Klantgegevens_B!A624&lt;&gt;"", "B", "A")</f>
        <v/>
      </c>
    </row>
    <row r="626">
      <c r="A626">
        <f>IF(Klantgegevens_B!A625&lt;&gt;"", Klantgegevens_B!A625, MID(Klantgegevens_A!A625, FIND(",", Klantgegevens_A!A625)+2, LEN(Klantgegevens_A!A625)))</f>
        <v/>
      </c>
      <c r="B626">
        <f>IF(Klantgegevens_B!B625&lt;&gt;"", Klantgegevens_B!B625, LEFT(Klantgegevens_A!A625, FIND(",", Klantgegevens_A!A625)-1))</f>
        <v/>
      </c>
      <c r="C626">
        <f>C625 &amp; ", " &amp; B625</f>
        <v/>
      </c>
      <c r="D626">
        <f>IF(Klantgegevens_B!F625&lt;&gt;"", Klantgegevens_B!F625, Klantgegevens_A!D625 &amp; " " &amp; Klantgegevens_A!E625 &amp; ", " &amp; Klantgegevens_A!F625)</f>
        <v/>
      </c>
      <c r="E626">
        <f>IF(Klantgegevens_B!G625&lt;&gt;"", Klantgegevens_B!G625, TEXTJOIN(",", TRUE, REPT("Volwassene,", Klantgegevens_A!G625), REPT("Kind,", Klantgegevens_A!H625)))</f>
        <v/>
      </c>
      <c r="F626">
        <f>IF(Klantgegevens_B!G625&lt;&gt;"", LEN(Klantgegevens_B!G625)-LEN(SUBSTITUTE(Klantgegevens_B!G625, ",", ""))+1, Klantgegevens_A!G625)</f>
        <v/>
      </c>
      <c r="G626">
        <f>IF(Klantgegevens_B!G625&lt;&gt;"", 0, Klantgegevens_A!H625)</f>
        <v/>
      </c>
      <c r="H626">
        <f>IF(Klantgegevens_B!H625&lt;&gt;"", Klantgegevens_B!H625, Klantgegevens_A!I625)</f>
        <v/>
      </c>
      <c r="I626">
        <f>IF(Klantgegevens_B!I625&lt;&gt;"", Klantgegevens_B!I625, SWITCH(Klantgegevens_A!J625, "Zelden", 1, "Af en toe", 4, "Regelmatig", 8, "Vaak", 12))</f>
        <v/>
      </c>
      <c r="J626">
        <f>IF(Klantgegevens_B!J625&lt;&gt;"", Klantgegevens_B!J625, Klantgegevens_A!K625)</f>
        <v/>
      </c>
      <c r="K626">
        <f>IF(Klantgegevens_B!K625&lt;&gt;"", AVERAGE(--(Klantgegevens_B!K625="ja"), --(Klantgegevens_B!L625="ja"), --(Klantgegevens_B!M625="ja"), --(Klantgegevens_B!N625="ja"), --(Klantgegevens_B!O625="ja"))*10, Klantgegevens_A!L625)</f>
        <v/>
      </c>
      <c r="L626">
        <f>IF(Klantgegevens_B!K625&lt;&gt;"", Klantgegevens_B!K625, IF(Klantgegevens_A!L625&gt;=7, "ja", "nee"))</f>
        <v/>
      </c>
      <c r="M626">
        <f>IF(Klantgegevens_B!L625&lt;&gt;"", Klantgegevens_B!L625, IF(Klantgegevens_A!L625&gt;=7, "ja", "nee"))</f>
        <v/>
      </c>
      <c r="N626">
        <f>IF(Klantgegevens_B!M625&lt;&gt;"", Klantgegevens_B!M625, IF(Klantgegevens_A!L625&gt;=7, "ja", "nee"))</f>
        <v/>
      </c>
      <c r="O626">
        <f>IF(Klantgegevens_B!N625&lt;&gt;"", Klantgegevens_B!N625, IF(Klantgegevens_A!L625&gt;=7, "ja", "nee"))</f>
        <v/>
      </c>
      <c r="P626">
        <f>IF(Klantgegevens_B!O625&lt;&gt;"", Klantgegevens_B!O625, IF(Klantgegevens_A!L625&gt;=7, "ja", "nee"))</f>
        <v/>
      </c>
      <c r="Q626">
        <f>IF(Klantgegevens_B!P625&lt;&gt;"", Klantgegevens_B!P625, Klantgegevens_A!M625)</f>
        <v/>
      </c>
      <c r="R626">
        <f>IF(Klantgegevens_B!A625&lt;&gt;"", "B", "A")</f>
        <v/>
      </c>
    </row>
    <row r="627">
      <c r="A627">
        <f>IF(Klantgegevens_B!A626&lt;&gt;"", Klantgegevens_B!A626, MID(Klantgegevens_A!A626, FIND(",", Klantgegevens_A!A626)+2, LEN(Klantgegevens_A!A626)))</f>
        <v/>
      </c>
      <c r="B627">
        <f>IF(Klantgegevens_B!B626&lt;&gt;"", Klantgegevens_B!B626, LEFT(Klantgegevens_A!A626, FIND(",", Klantgegevens_A!A626)-1))</f>
        <v/>
      </c>
      <c r="C627">
        <f>C626 &amp; ", " &amp; B626</f>
        <v/>
      </c>
      <c r="D627">
        <f>IF(Klantgegevens_B!F626&lt;&gt;"", Klantgegevens_B!F626, Klantgegevens_A!D626 &amp; " " &amp; Klantgegevens_A!E626 &amp; ", " &amp; Klantgegevens_A!F626)</f>
        <v/>
      </c>
      <c r="E627">
        <f>IF(Klantgegevens_B!G626&lt;&gt;"", Klantgegevens_B!G626, TEXTJOIN(",", TRUE, REPT("Volwassene,", Klantgegevens_A!G626), REPT("Kind,", Klantgegevens_A!H626)))</f>
        <v/>
      </c>
      <c r="F627">
        <f>IF(Klantgegevens_B!G626&lt;&gt;"", LEN(Klantgegevens_B!G626)-LEN(SUBSTITUTE(Klantgegevens_B!G626, ",", ""))+1, Klantgegevens_A!G626)</f>
        <v/>
      </c>
      <c r="G627">
        <f>IF(Klantgegevens_B!G626&lt;&gt;"", 0, Klantgegevens_A!H626)</f>
        <v/>
      </c>
      <c r="H627">
        <f>IF(Klantgegevens_B!H626&lt;&gt;"", Klantgegevens_B!H626, Klantgegevens_A!I626)</f>
        <v/>
      </c>
      <c r="I627">
        <f>IF(Klantgegevens_B!I626&lt;&gt;"", Klantgegevens_B!I626, SWITCH(Klantgegevens_A!J626, "Zelden", 1, "Af en toe", 4, "Regelmatig", 8, "Vaak", 12))</f>
        <v/>
      </c>
      <c r="J627">
        <f>IF(Klantgegevens_B!J626&lt;&gt;"", Klantgegevens_B!J626, Klantgegevens_A!K626)</f>
        <v/>
      </c>
      <c r="K627">
        <f>IF(Klantgegevens_B!K626&lt;&gt;"", AVERAGE(--(Klantgegevens_B!K626="ja"), --(Klantgegevens_B!L626="ja"), --(Klantgegevens_B!M626="ja"), --(Klantgegevens_B!N626="ja"), --(Klantgegevens_B!O626="ja"))*10, Klantgegevens_A!L626)</f>
        <v/>
      </c>
      <c r="L627">
        <f>IF(Klantgegevens_B!K626&lt;&gt;"", Klantgegevens_B!K626, IF(Klantgegevens_A!L626&gt;=7, "ja", "nee"))</f>
        <v/>
      </c>
      <c r="M627">
        <f>IF(Klantgegevens_B!L626&lt;&gt;"", Klantgegevens_B!L626, IF(Klantgegevens_A!L626&gt;=7, "ja", "nee"))</f>
        <v/>
      </c>
      <c r="N627">
        <f>IF(Klantgegevens_B!M626&lt;&gt;"", Klantgegevens_B!M626, IF(Klantgegevens_A!L626&gt;=7, "ja", "nee"))</f>
        <v/>
      </c>
      <c r="O627">
        <f>IF(Klantgegevens_B!N626&lt;&gt;"", Klantgegevens_B!N626, IF(Klantgegevens_A!L626&gt;=7, "ja", "nee"))</f>
        <v/>
      </c>
      <c r="P627">
        <f>IF(Klantgegevens_B!O626&lt;&gt;"", Klantgegevens_B!O626, IF(Klantgegevens_A!L626&gt;=7, "ja", "nee"))</f>
        <v/>
      </c>
      <c r="Q627">
        <f>IF(Klantgegevens_B!P626&lt;&gt;"", Klantgegevens_B!P626, Klantgegevens_A!M626)</f>
        <v/>
      </c>
      <c r="R627">
        <f>IF(Klantgegevens_B!A626&lt;&gt;"", "B", "A")</f>
        <v/>
      </c>
    </row>
    <row r="628">
      <c r="A628">
        <f>IF(Klantgegevens_B!A627&lt;&gt;"", Klantgegevens_B!A627, MID(Klantgegevens_A!A627, FIND(",", Klantgegevens_A!A627)+2, LEN(Klantgegevens_A!A627)))</f>
        <v/>
      </c>
      <c r="B628">
        <f>IF(Klantgegevens_B!B627&lt;&gt;"", Klantgegevens_B!B627, LEFT(Klantgegevens_A!A627, FIND(",", Klantgegevens_A!A627)-1))</f>
        <v/>
      </c>
      <c r="C628">
        <f>C627 &amp; ", " &amp; B627</f>
        <v/>
      </c>
      <c r="D628">
        <f>IF(Klantgegevens_B!F627&lt;&gt;"", Klantgegevens_B!F627, Klantgegevens_A!D627 &amp; " " &amp; Klantgegevens_A!E627 &amp; ", " &amp; Klantgegevens_A!F627)</f>
        <v/>
      </c>
      <c r="E628">
        <f>IF(Klantgegevens_B!G627&lt;&gt;"", Klantgegevens_B!G627, TEXTJOIN(",", TRUE, REPT("Volwassene,", Klantgegevens_A!G627), REPT("Kind,", Klantgegevens_A!H627)))</f>
        <v/>
      </c>
      <c r="F628">
        <f>IF(Klantgegevens_B!G627&lt;&gt;"", LEN(Klantgegevens_B!G627)-LEN(SUBSTITUTE(Klantgegevens_B!G627, ",", ""))+1, Klantgegevens_A!G627)</f>
        <v/>
      </c>
      <c r="G628">
        <f>IF(Klantgegevens_B!G627&lt;&gt;"", 0, Klantgegevens_A!H627)</f>
        <v/>
      </c>
      <c r="H628">
        <f>IF(Klantgegevens_B!H627&lt;&gt;"", Klantgegevens_B!H627, Klantgegevens_A!I627)</f>
        <v/>
      </c>
      <c r="I628">
        <f>IF(Klantgegevens_B!I627&lt;&gt;"", Klantgegevens_B!I627, SWITCH(Klantgegevens_A!J627, "Zelden", 1, "Af en toe", 4, "Regelmatig", 8, "Vaak", 12))</f>
        <v/>
      </c>
      <c r="J628">
        <f>IF(Klantgegevens_B!J627&lt;&gt;"", Klantgegevens_B!J627, Klantgegevens_A!K627)</f>
        <v/>
      </c>
      <c r="K628">
        <f>IF(Klantgegevens_B!K627&lt;&gt;"", AVERAGE(--(Klantgegevens_B!K627="ja"), --(Klantgegevens_B!L627="ja"), --(Klantgegevens_B!M627="ja"), --(Klantgegevens_B!N627="ja"), --(Klantgegevens_B!O627="ja"))*10, Klantgegevens_A!L627)</f>
        <v/>
      </c>
      <c r="L628">
        <f>IF(Klantgegevens_B!K627&lt;&gt;"", Klantgegevens_B!K627, IF(Klantgegevens_A!L627&gt;=7, "ja", "nee"))</f>
        <v/>
      </c>
      <c r="M628">
        <f>IF(Klantgegevens_B!L627&lt;&gt;"", Klantgegevens_B!L627, IF(Klantgegevens_A!L627&gt;=7, "ja", "nee"))</f>
        <v/>
      </c>
      <c r="N628">
        <f>IF(Klantgegevens_B!M627&lt;&gt;"", Klantgegevens_B!M627, IF(Klantgegevens_A!L627&gt;=7, "ja", "nee"))</f>
        <v/>
      </c>
      <c r="O628">
        <f>IF(Klantgegevens_B!N627&lt;&gt;"", Klantgegevens_B!N627, IF(Klantgegevens_A!L627&gt;=7, "ja", "nee"))</f>
        <v/>
      </c>
      <c r="P628">
        <f>IF(Klantgegevens_B!O627&lt;&gt;"", Klantgegevens_B!O627, IF(Klantgegevens_A!L627&gt;=7, "ja", "nee"))</f>
        <v/>
      </c>
      <c r="Q628">
        <f>IF(Klantgegevens_B!P627&lt;&gt;"", Klantgegevens_B!P627, Klantgegevens_A!M627)</f>
        <v/>
      </c>
      <c r="R628">
        <f>IF(Klantgegevens_B!A627&lt;&gt;"", "B", "A")</f>
        <v/>
      </c>
    </row>
    <row r="629">
      <c r="A629">
        <f>IF(Klantgegevens_B!A628&lt;&gt;"", Klantgegevens_B!A628, MID(Klantgegevens_A!A628, FIND(",", Klantgegevens_A!A628)+2, LEN(Klantgegevens_A!A628)))</f>
        <v/>
      </c>
      <c r="B629">
        <f>IF(Klantgegevens_B!B628&lt;&gt;"", Klantgegevens_B!B628, LEFT(Klantgegevens_A!A628, FIND(",", Klantgegevens_A!A628)-1))</f>
        <v/>
      </c>
      <c r="C629">
        <f>C628 &amp; ", " &amp; B628</f>
        <v/>
      </c>
      <c r="D629">
        <f>IF(Klantgegevens_B!F628&lt;&gt;"", Klantgegevens_B!F628, Klantgegevens_A!D628 &amp; " " &amp; Klantgegevens_A!E628 &amp; ", " &amp; Klantgegevens_A!F628)</f>
        <v/>
      </c>
      <c r="E629">
        <f>IF(Klantgegevens_B!G628&lt;&gt;"", Klantgegevens_B!G628, TEXTJOIN(",", TRUE, REPT("Volwassene,", Klantgegevens_A!G628), REPT("Kind,", Klantgegevens_A!H628)))</f>
        <v/>
      </c>
      <c r="F629">
        <f>IF(Klantgegevens_B!G628&lt;&gt;"", LEN(Klantgegevens_B!G628)-LEN(SUBSTITUTE(Klantgegevens_B!G628, ",", ""))+1, Klantgegevens_A!G628)</f>
        <v/>
      </c>
      <c r="G629">
        <f>IF(Klantgegevens_B!G628&lt;&gt;"", 0, Klantgegevens_A!H628)</f>
        <v/>
      </c>
      <c r="H629">
        <f>IF(Klantgegevens_B!H628&lt;&gt;"", Klantgegevens_B!H628, Klantgegevens_A!I628)</f>
        <v/>
      </c>
      <c r="I629">
        <f>IF(Klantgegevens_B!I628&lt;&gt;"", Klantgegevens_B!I628, SWITCH(Klantgegevens_A!J628, "Zelden", 1, "Af en toe", 4, "Regelmatig", 8, "Vaak", 12))</f>
        <v/>
      </c>
      <c r="J629">
        <f>IF(Klantgegevens_B!J628&lt;&gt;"", Klantgegevens_B!J628, Klantgegevens_A!K628)</f>
        <v/>
      </c>
      <c r="K629">
        <f>IF(Klantgegevens_B!K628&lt;&gt;"", AVERAGE(--(Klantgegevens_B!K628="ja"), --(Klantgegevens_B!L628="ja"), --(Klantgegevens_B!M628="ja"), --(Klantgegevens_B!N628="ja"), --(Klantgegevens_B!O628="ja"))*10, Klantgegevens_A!L628)</f>
        <v/>
      </c>
      <c r="L629">
        <f>IF(Klantgegevens_B!K628&lt;&gt;"", Klantgegevens_B!K628, IF(Klantgegevens_A!L628&gt;=7, "ja", "nee"))</f>
        <v/>
      </c>
      <c r="M629">
        <f>IF(Klantgegevens_B!L628&lt;&gt;"", Klantgegevens_B!L628, IF(Klantgegevens_A!L628&gt;=7, "ja", "nee"))</f>
        <v/>
      </c>
      <c r="N629">
        <f>IF(Klantgegevens_B!M628&lt;&gt;"", Klantgegevens_B!M628, IF(Klantgegevens_A!L628&gt;=7, "ja", "nee"))</f>
        <v/>
      </c>
      <c r="O629">
        <f>IF(Klantgegevens_B!N628&lt;&gt;"", Klantgegevens_B!N628, IF(Klantgegevens_A!L628&gt;=7, "ja", "nee"))</f>
        <v/>
      </c>
      <c r="P629">
        <f>IF(Klantgegevens_B!O628&lt;&gt;"", Klantgegevens_B!O628, IF(Klantgegevens_A!L628&gt;=7, "ja", "nee"))</f>
        <v/>
      </c>
      <c r="Q629">
        <f>IF(Klantgegevens_B!P628&lt;&gt;"", Klantgegevens_B!P628, Klantgegevens_A!M628)</f>
        <v/>
      </c>
      <c r="R629">
        <f>IF(Klantgegevens_B!A628&lt;&gt;"", "B", "A")</f>
        <v/>
      </c>
    </row>
    <row r="630">
      <c r="A630">
        <f>IF(Klantgegevens_B!A629&lt;&gt;"", Klantgegevens_B!A629, MID(Klantgegevens_A!A629, FIND(",", Klantgegevens_A!A629)+2, LEN(Klantgegevens_A!A629)))</f>
        <v/>
      </c>
      <c r="B630">
        <f>IF(Klantgegevens_B!B629&lt;&gt;"", Klantgegevens_B!B629, LEFT(Klantgegevens_A!A629, FIND(",", Klantgegevens_A!A629)-1))</f>
        <v/>
      </c>
      <c r="C630">
        <f>C629 &amp; ", " &amp; B629</f>
        <v/>
      </c>
      <c r="D630">
        <f>IF(Klantgegevens_B!F629&lt;&gt;"", Klantgegevens_B!F629, Klantgegevens_A!D629 &amp; " " &amp; Klantgegevens_A!E629 &amp; ", " &amp; Klantgegevens_A!F629)</f>
        <v/>
      </c>
      <c r="E630">
        <f>IF(Klantgegevens_B!G629&lt;&gt;"", Klantgegevens_B!G629, TEXTJOIN(",", TRUE, REPT("Volwassene,", Klantgegevens_A!G629), REPT("Kind,", Klantgegevens_A!H629)))</f>
        <v/>
      </c>
      <c r="F630">
        <f>IF(Klantgegevens_B!G629&lt;&gt;"", LEN(Klantgegevens_B!G629)-LEN(SUBSTITUTE(Klantgegevens_B!G629, ",", ""))+1, Klantgegevens_A!G629)</f>
        <v/>
      </c>
      <c r="G630">
        <f>IF(Klantgegevens_B!G629&lt;&gt;"", 0, Klantgegevens_A!H629)</f>
        <v/>
      </c>
      <c r="H630">
        <f>IF(Klantgegevens_B!H629&lt;&gt;"", Klantgegevens_B!H629, Klantgegevens_A!I629)</f>
        <v/>
      </c>
      <c r="I630">
        <f>IF(Klantgegevens_B!I629&lt;&gt;"", Klantgegevens_B!I629, SWITCH(Klantgegevens_A!J629, "Zelden", 1, "Af en toe", 4, "Regelmatig", 8, "Vaak", 12))</f>
        <v/>
      </c>
      <c r="J630">
        <f>IF(Klantgegevens_B!J629&lt;&gt;"", Klantgegevens_B!J629, Klantgegevens_A!K629)</f>
        <v/>
      </c>
      <c r="K630">
        <f>IF(Klantgegevens_B!K629&lt;&gt;"", AVERAGE(--(Klantgegevens_B!K629="ja"), --(Klantgegevens_B!L629="ja"), --(Klantgegevens_B!M629="ja"), --(Klantgegevens_B!N629="ja"), --(Klantgegevens_B!O629="ja"))*10, Klantgegevens_A!L629)</f>
        <v/>
      </c>
      <c r="L630">
        <f>IF(Klantgegevens_B!K629&lt;&gt;"", Klantgegevens_B!K629, IF(Klantgegevens_A!L629&gt;=7, "ja", "nee"))</f>
        <v/>
      </c>
      <c r="M630">
        <f>IF(Klantgegevens_B!L629&lt;&gt;"", Klantgegevens_B!L629, IF(Klantgegevens_A!L629&gt;=7, "ja", "nee"))</f>
        <v/>
      </c>
      <c r="N630">
        <f>IF(Klantgegevens_B!M629&lt;&gt;"", Klantgegevens_B!M629, IF(Klantgegevens_A!L629&gt;=7, "ja", "nee"))</f>
        <v/>
      </c>
      <c r="O630">
        <f>IF(Klantgegevens_B!N629&lt;&gt;"", Klantgegevens_B!N629, IF(Klantgegevens_A!L629&gt;=7, "ja", "nee"))</f>
        <v/>
      </c>
      <c r="P630">
        <f>IF(Klantgegevens_B!O629&lt;&gt;"", Klantgegevens_B!O629, IF(Klantgegevens_A!L629&gt;=7, "ja", "nee"))</f>
        <v/>
      </c>
      <c r="Q630">
        <f>IF(Klantgegevens_B!P629&lt;&gt;"", Klantgegevens_B!P629, Klantgegevens_A!M629)</f>
        <v/>
      </c>
      <c r="R630">
        <f>IF(Klantgegevens_B!A629&lt;&gt;"", "B", "A")</f>
        <v/>
      </c>
    </row>
    <row r="631">
      <c r="A631">
        <f>IF(Klantgegevens_B!A630&lt;&gt;"", Klantgegevens_B!A630, MID(Klantgegevens_A!A630, FIND(",", Klantgegevens_A!A630)+2, LEN(Klantgegevens_A!A630)))</f>
        <v/>
      </c>
      <c r="B631">
        <f>IF(Klantgegevens_B!B630&lt;&gt;"", Klantgegevens_B!B630, LEFT(Klantgegevens_A!A630, FIND(",", Klantgegevens_A!A630)-1))</f>
        <v/>
      </c>
      <c r="C631">
        <f>C630 &amp; ", " &amp; B630</f>
        <v/>
      </c>
      <c r="D631">
        <f>IF(Klantgegevens_B!F630&lt;&gt;"", Klantgegevens_B!F630, Klantgegevens_A!D630 &amp; " " &amp; Klantgegevens_A!E630 &amp; ", " &amp; Klantgegevens_A!F630)</f>
        <v/>
      </c>
      <c r="E631">
        <f>IF(Klantgegevens_B!G630&lt;&gt;"", Klantgegevens_B!G630, TEXTJOIN(",", TRUE, REPT("Volwassene,", Klantgegevens_A!G630), REPT("Kind,", Klantgegevens_A!H630)))</f>
        <v/>
      </c>
      <c r="F631">
        <f>IF(Klantgegevens_B!G630&lt;&gt;"", LEN(Klantgegevens_B!G630)-LEN(SUBSTITUTE(Klantgegevens_B!G630, ",", ""))+1, Klantgegevens_A!G630)</f>
        <v/>
      </c>
      <c r="G631">
        <f>IF(Klantgegevens_B!G630&lt;&gt;"", 0, Klantgegevens_A!H630)</f>
        <v/>
      </c>
      <c r="H631">
        <f>IF(Klantgegevens_B!H630&lt;&gt;"", Klantgegevens_B!H630, Klantgegevens_A!I630)</f>
        <v/>
      </c>
      <c r="I631">
        <f>IF(Klantgegevens_B!I630&lt;&gt;"", Klantgegevens_B!I630, SWITCH(Klantgegevens_A!J630, "Zelden", 1, "Af en toe", 4, "Regelmatig", 8, "Vaak", 12))</f>
        <v/>
      </c>
      <c r="J631">
        <f>IF(Klantgegevens_B!J630&lt;&gt;"", Klantgegevens_B!J630, Klantgegevens_A!K630)</f>
        <v/>
      </c>
      <c r="K631">
        <f>IF(Klantgegevens_B!K630&lt;&gt;"", AVERAGE(--(Klantgegevens_B!K630="ja"), --(Klantgegevens_B!L630="ja"), --(Klantgegevens_B!M630="ja"), --(Klantgegevens_B!N630="ja"), --(Klantgegevens_B!O630="ja"))*10, Klantgegevens_A!L630)</f>
        <v/>
      </c>
      <c r="L631">
        <f>IF(Klantgegevens_B!K630&lt;&gt;"", Klantgegevens_B!K630, IF(Klantgegevens_A!L630&gt;=7, "ja", "nee"))</f>
        <v/>
      </c>
      <c r="M631">
        <f>IF(Klantgegevens_B!L630&lt;&gt;"", Klantgegevens_B!L630, IF(Klantgegevens_A!L630&gt;=7, "ja", "nee"))</f>
        <v/>
      </c>
      <c r="N631">
        <f>IF(Klantgegevens_B!M630&lt;&gt;"", Klantgegevens_B!M630, IF(Klantgegevens_A!L630&gt;=7, "ja", "nee"))</f>
        <v/>
      </c>
      <c r="O631">
        <f>IF(Klantgegevens_B!N630&lt;&gt;"", Klantgegevens_B!N630, IF(Klantgegevens_A!L630&gt;=7, "ja", "nee"))</f>
        <v/>
      </c>
      <c r="P631">
        <f>IF(Klantgegevens_B!O630&lt;&gt;"", Klantgegevens_B!O630, IF(Klantgegevens_A!L630&gt;=7, "ja", "nee"))</f>
        <v/>
      </c>
      <c r="Q631">
        <f>IF(Klantgegevens_B!P630&lt;&gt;"", Klantgegevens_B!P630, Klantgegevens_A!M630)</f>
        <v/>
      </c>
      <c r="R631">
        <f>IF(Klantgegevens_B!A630&lt;&gt;"", "B", "A")</f>
        <v/>
      </c>
    </row>
    <row r="632">
      <c r="A632">
        <f>IF(Klantgegevens_B!A631&lt;&gt;"", Klantgegevens_B!A631, MID(Klantgegevens_A!A631, FIND(",", Klantgegevens_A!A631)+2, LEN(Klantgegevens_A!A631)))</f>
        <v/>
      </c>
      <c r="B632">
        <f>IF(Klantgegevens_B!B631&lt;&gt;"", Klantgegevens_B!B631, LEFT(Klantgegevens_A!A631, FIND(",", Klantgegevens_A!A631)-1))</f>
        <v/>
      </c>
      <c r="C632">
        <f>C631 &amp; ", " &amp; B631</f>
        <v/>
      </c>
      <c r="D632">
        <f>IF(Klantgegevens_B!F631&lt;&gt;"", Klantgegevens_B!F631, Klantgegevens_A!D631 &amp; " " &amp; Klantgegevens_A!E631 &amp; ", " &amp; Klantgegevens_A!F631)</f>
        <v/>
      </c>
      <c r="E632">
        <f>IF(Klantgegevens_B!G631&lt;&gt;"", Klantgegevens_B!G631, TEXTJOIN(",", TRUE, REPT("Volwassene,", Klantgegevens_A!G631), REPT("Kind,", Klantgegevens_A!H631)))</f>
        <v/>
      </c>
      <c r="F632">
        <f>IF(Klantgegevens_B!G631&lt;&gt;"", LEN(Klantgegevens_B!G631)-LEN(SUBSTITUTE(Klantgegevens_B!G631, ",", ""))+1, Klantgegevens_A!G631)</f>
        <v/>
      </c>
      <c r="G632">
        <f>IF(Klantgegevens_B!G631&lt;&gt;"", 0, Klantgegevens_A!H631)</f>
        <v/>
      </c>
      <c r="H632">
        <f>IF(Klantgegevens_B!H631&lt;&gt;"", Klantgegevens_B!H631, Klantgegevens_A!I631)</f>
        <v/>
      </c>
      <c r="I632">
        <f>IF(Klantgegevens_B!I631&lt;&gt;"", Klantgegevens_B!I631, SWITCH(Klantgegevens_A!J631, "Zelden", 1, "Af en toe", 4, "Regelmatig", 8, "Vaak", 12))</f>
        <v/>
      </c>
      <c r="J632">
        <f>IF(Klantgegevens_B!J631&lt;&gt;"", Klantgegevens_B!J631, Klantgegevens_A!K631)</f>
        <v/>
      </c>
      <c r="K632">
        <f>IF(Klantgegevens_B!K631&lt;&gt;"", AVERAGE(--(Klantgegevens_B!K631="ja"), --(Klantgegevens_B!L631="ja"), --(Klantgegevens_B!M631="ja"), --(Klantgegevens_B!N631="ja"), --(Klantgegevens_B!O631="ja"))*10, Klantgegevens_A!L631)</f>
        <v/>
      </c>
      <c r="L632">
        <f>IF(Klantgegevens_B!K631&lt;&gt;"", Klantgegevens_B!K631, IF(Klantgegevens_A!L631&gt;=7, "ja", "nee"))</f>
        <v/>
      </c>
      <c r="M632">
        <f>IF(Klantgegevens_B!L631&lt;&gt;"", Klantgegevens_B!L631, IF(Klantgegevens_A!L631&gt;=7, "ja", "nee"))</f>
        <v/>
      </c>
      <c r="N632">
        <f>IF(Klantgegevens_B!M631&lt;&gt;"", Klantgegevens_B!M631, IF(Klantgegevens_A!L631&gt;=7, "ja", "nee"))</f>
        <v/>
      </c>
      <c r="O632">
        <f>IF(Klantgegevens_B!N631&lt;&gt;"", Klantgegevens_B!N631, IF(Klantgegevens_A!L631&gt;=7, "ja", "nee"))</f>
        <v/>
      </c>
      <c r="P632">
        <f>IF(Klantgegevens_B!O631&lt;&gt;"", Klantgegevens_B!O631, IF(Klantgegevens_A!L631&gt;=7, "ja", "nee"))</f>
        <v/>
      </c>
      <c r="Q632">
        <f>IF(Klantgegevens_B!P631&lt;&gt;"", Klantgegevens_B!P631, Klantgegevens_A!M631)</f>
        <v/>
      </c>
      <c r="R632">
        <f>IF(Klantgegevens_B!A631&lt;&gt;"", "B", "A")</f>
        <v/>
      </c>
    </row>
    <row r="633">
      <c r="A633">
        <f>IF(Klantgegevens_B!A632&lt;&gt;"", Klantgegevens_B!A632, MID(Klantgegevens_A!A632, FIND(",", Klantgegevens_A!A632)+2, LEN(Klantgegevens_A!A632)))</f>
        <v/>
      </c>
      <c r="B633">
        <f>IF(Klantgegevens_B!B632&lt;&gt;"", Klantgegevens_B!B632, LEFT(Klantgegevens_A!A632, FIND(",", Klantgegevens_A!A632)-1))</f>
        <v/>
      </c>
      <c r="C633">
        <f>C632 &amp; ", " &amp; B632</f>
        <v/>
      </c>
      <c r="D633">
        <f>IF(Klantgegevens_B!F632&lt;&gt;"", Klantgegevens_B!F632, Klantgegevens_A!D632 &amp; " " &amp; Klantgegevens_A!E632 &amp; ", " &amp; Klantgegevens_A!F632)</f>
        <v/>
      </c>
      <c r="E633">
        <f>IF(Klantgegevens_B!G632&lt;&gt;"", Klantgegevens_B!G632, TEXTJOIN(",", TRUE, REPT("Volwassene,", Klantgegevens_A!G632), REPT("Kind,", Klantgegevens_A!H632)))</f>
        <v/>
      </c>
      <c r="F633">
        <f>IF(Klantgegevens_B!G632&lt;&gt;"", LEN(Klantgegevens_B!G632)-LEN(SUBSTITUTE(Klantgegevens_B!G632, ",", ""))+1, Klantgegevens_A!G632)</f>
        <v/>
      </c>
      <c r="G633">
        <f>IF(Klantgegevens_B!G632&lt;&gt;"", 0, Klantgegevens_A!H632)</f>
        <v/>
      </c>
      <c r="H633">
        <f>IF(Klantgegevens_B!H632&lt;&gt;"", Klantgegevens_B!H632, Klantgegevens_A!I632)</f>
        <v/>
      </c>
      <c r="I633">
        <f>IF(Klantgegevens_B!I632&lt;&gt;"", Klantgegevens_B!I632, SWITCH(Klantgegevens_A!J632, "Zelden", 1, "Af en toe", 4, "Regelmatig", 8, "Vaak", 12))</f>
        <v/>
      </c>
      <c r="J633">
        <f>IF(Klantgegevens_B!J632&lt;&gt;"", Klantgegevens_B!J632, Klantgegevens_A!K632)</f>
        <v/>
      </c>
      <c r="K633">
        <f>IF(Klantgegevens_B!K632&lt;&gt;"", AVERAGE(--(Klantgegevens_B!K632="ja"), --(Klantgegevens_B!L632="ja"), --(Klantgegevens_B!M632="ja"), --(Klantgegevens_B!N632="ja"), --(Klantgegevens_B!O632="ja"))*10, Klantgegevens_A!L632)</f>
        <v/>
      </c>
      <c r="L633">
        <f>IF(Klantgegevens_B!K632&lt;&gt;"", Klantgegevens_B!K632, IF(Klantgegevens_A!L632&gt;=7, "ja", "nee"))</f>
        <v/>
      </c>
      <c r="M633">
        <f>IF(Klantgegevens_B!L632&lt;&gt;"", Klantgegevens_B!L632, IF(Klantgegevens_A!L632&gt;=7, "ja", "nee"))</f>
        <v/>
      </c>
      <c r="N633">
        <f>IF(Klantgegevens_B!M632&lt;&gt;"", Klantgegevens_B!M632, IF(Klantgegevens_A!L632&gt;=7, "ja", "nee"))</f>
        <v/>
      </c>
      <c r="O633">
        <f>IF(Klantgegevens_B!N632&lt;&gt;"", Klantgegevens_B!N632, IF(Klantgegevens_A!L632&gt;=7, "ja", "nee"))</f>
        <v/>
      </c>
      <c r="P633">
        <f>IF(Klantgegevens_B!O632&lt;&gt;"", Klantgegevens_B!O632, IF(Klantgegevens_A!L632&gt;=7, "ja", "nee"))</f>
        <v/>
      </c>
      <c r="Q633">
        <f>IF(Klantgegevens_B!P632&lt;&gt;"", Klantgegevens_B!P632, Klantgegevens_A!M632)</f>
        <v/>
      </c>
      <c r="R633">
        <f>IF(Klantgegevens_B!A632&lt;&gt;"", "B", "A")</f>
        <v/>
      </c>
    </row>
    <row r="634">
      <c r="A634">
        <f>IF(Klantgegevens_B!A633&lt;&gt;"", Klantgegevens_B!A633, MID(Klantgegevens_A!A633, FIND(",", Klantgegevens_A!A633)+2, LEN(Klantgegevens_A!A633)))</f>
        <v/>
      </c>
      <c r="B634">
        <f>IF(Klantgegevens_B!B633&lt;&gt;"", Klantgegevens_B!B633, LEFT(Klantgegevens_A!A633, FIND(",", Klantgegevens_A!A633)-1))</f>
        <v/>
      </c>
      <c r="C634">
        <f>C633 &amp; ", " &amp; B633</f>
        <v/>
      </c>
      <c r="D634">
        <f>IF(Klantgegevens_B!F633&lt;&gt;"", Klantgegevens_B!F633, Klantgegevens_A!D633 &amp; " " &amp; Klantgegevens_A!E633 &amp; ", " &amp; Klantgegevens_A!F633)</f>
        <v/>
      </c>
      <c r="E634">
        <f>IF(Klantgegevens_B!G633&lt;&gt;"", Klantgegevens_B!G633, TEXTJOIN(",", TRUE, REPT("Volwassene,", Klantgegevens_A!G633), REPT("Kind,", Klantgegevens_A!H633)))</f>
        <v/>
      </c>
      <c r="F634">
        <f>IF(Klantgegevens_B!G633&lt;&gt;"", LEN(Klantgegevens_B!G633)-LEN(SUBSTITUTE(Klantgegevens_B!G633, ",", ""))+1, Klantgegevens_A!G633)</f>
        <v/>
      </c>
      <c r="G634">
        <f>IF(Klantgegevens_B!G633&lt;&gt;"", 0, Klantgegevens_A!H633)</f>
        <v/>
      </c>
      <c r="H634">
        <f>IF(Klantgegevens_B!H633&lt;&gt;"", Klantgegevens_B!H633, Klantgegevens_A!I633)</f>
        <v/>
      </c>
      <c r="I634">
        <f>IF(Klantgegevens_B!I633&lt;&gt;"", Klantgegevens_B!I633, SWITCH(Klantgegevens_A!J633, "Zelden", 1, "Af en toe", 4, "Regelmatig", 8, "Vaak", 12))</f>
        <v/>
      </c>
      <c r="J634">
        <f>IF(Klantgegevens_B!J633&lt;&gt;"", Klantgegevens_B!J633, Klantgegevens_A!K633)</f>
        <v/>
      </c>
      <c r="K634">
        <f>IF(Klantgegevens_B!K633&lt;&gt;"", AVERAGE(--(Klantgegevens_B!K633="ja"), --(Klantgegevens_B!L633="ja"), --(Klantgegevens_B!M633="ja"), --(Klantgegevens_B!N633="ja"), --(Klantgegevens_B!O633="ja"))*10, Klantgegevens_A!L633)</f>
        <v/>
      </c>
      <c r="L634">
        <f>IF(Klantgegevens_B!K633&lt;&gt;"", Klantgegevens_B!K633, IF(Klantgegevens_A!L633&gt;=7, "ja", "nee"))</f>
        <v/>
      </c>
      <c r="M634">
        <f>IF(Klantgegevens_B!L633&lt;&gt;"", Klantgegevens_B!L633, IF(Klantgegevens_A!L633&gt;=7, "ja", "nee"))</f>
        <v/>
      </c>
      <c r="N634">
        <f>IF(Klantgegevens_B!M633&lt;&gt;"", Klantgegevens_B!M633, IF(Klantgegevens_A!L633&gt;=7, "ja", "nee"))</f>
        <v/>
      </c>
      <c r="O634">
        <f>IF(Klantgegevens_B!N633&lt;&gt;"", Klantgegevens_B!N633, IF(Klantgegevens_A!L633&gt;=7, "ja", "nee"))</f>
        <v/>
      </c>
      <c r="P634">
        <f>IF(Klantgegevens_B!O633&lt;&gt;"", Klantgegevens_B!O633, IF(Klantgegevens_A!L633&gt;=7, "ja", "nee"))</f>
        <v/>
      </c>
      <c r="Q634">
        <f>IF(Klantgegevens_B!P633&lt;&gt;"", Klantgegevens_B!P633, Klantgegevens_A!M633)</f>
        <v/>
      </c>
      <c r="R634">
        <f>IF(Klantgegevens_B!A633&lt;&gt;"", "B", "A")</f>
        <v/>
      </c>
    </row>
    <row r="635">
      <c r="A635">
        <f>IF(Klantgegevens_B!A634&lt;&gt;"", Klantgegevens_B!A634, MID(Klantgegevens_A!A634, FIND(",", Klantgegevens_A!A634)+2, LEN(Klantgegevens_A!A634)))</f>
        <v/>
      </c>
      <c r="B635">
        <f>IF(Klantgegevens_B!B634&lt;&gt;"", Klantgegevens_B!B634, LEFT(Klantgegevens_A!A634, FIND(",", Klantgegevens_A!A634)-1))</f>
        <v/>
      </c>
      <c r="C635">
        <f>C634 &amp; ", " &amp; B634</f>
        <v/>
      </c>
      <c r="D635">
        <f>IF(Klantgegevens_B!F634&lt;&gt;"", Klantgegevens_B!F634, Klantgegevens_A!D634 &amp; " " &amp; Klantgegevens_A!E634 &amp; ", " &amp; Klantgegevens_A!F634)</f>
        <v/>
      </c>
      <c r="E635">
        <f>IF(Klantgegevens_B!G634&lt;&gt;"", Klantgegevens_B!G634, TEXTJOIN(",", TRUE, REPT("Volwassene,", Klantgegevens_A!G634), REPT("Kind,", Klantgegevens_A!H634)))</f>
        <v/>
      </c>
      <c r="F635">
        <f>IF(Klantgegevens_B!G634&lt;&gt;"", LEN(Klantgegevens_B!G634)-LEN(SUBSTITUTE(Klantgegevens_B!G634, ",", ""))+1, Klantgegevens_A!G634)</f>
        <v/>
      </c>
      <c r="G635">
        <f>IF(Klantgegevens_B!G634&lt;&gt;"", 0, Klantgegevens_A!H634)</f>
        <v/>
      </c>
      <c r="H635">
        <f>IF(Klantgegevens_B!H634&lt;&gt;"", Klantgegevens_B!H634, Klantgegevens_A!I634)</f>
        <v/>
      </c>
      <c r="I635">
        <f>IF(Klantgegevens_B!I634&lt;&gt;"", Klantgegevens_B!I634, SWITCH(Klantgegevens_A!J634, "Zelden", 1, "Af en toe", 4, "Regelmatig", 8, "Vaak", 12))</f>
        <v/>
      </c>
      <c r="J635">
        <f>IF(Klantgegevens_B!J634&lt;&gt;"", Klantgegevens_B!J634, Klantgegevens_A!K634)</f>
        <v/>
      </c>
      <c r="K635">
        <f>IF(Klantgegevens_B!K634&lt;&gt;"", AVERAGE(--(Klantgegevens_B!K634="ja"), --(Klantgegevens_B!L634="ja"), --(Klantgegevens_B!M634="ja"), --(Klantgegevens_B!N634="ja"), --(Klantgegevens_B!O634="ja"))*10, Klantgegevens_A!L634)</f>
        <v/>
      </c>
      <c r="L635">
        <f>IF(Klantgegevens_B!K634&lt;&gt;"", Klantgegevens_B!K634, IF(Klantgegevens_A!L634&gt;=7, "ja", "nee"))</f>
        <v/>
      </c>
      <c r="M635">
        <f>IF(Klantgegevens_B!L634&lt;&gt;"", Klantgegevens_B!L634, IF(Klantgegevens_A!L634&gt;=7, "ja", "nee"))</f>
        <v/>
      </c>
      <c r="N635">
        <f>IF(Klantgegevens_B!M634&lt;&gt;"", Klantgegevens_B!M634, IF(Klantgegevens_A!L634&gt;=7, "ja", "nee"))</f>
        <v/>
      </c>
      <c r="O635">
        <f>IF(Klantgegevens_B!N634&lt;&gt;"", Klantgegevens_B!N634, IF(Klantgegevens_A!L634&gt;=7, "ja", "nee"))</f>
        <v/>
      </c>
      <c r="P635">
        <f>IF(Klantgegevens_B!O634&lt;&gt;"", Klantgegevens_B!O634, IF(Klantgegevens_A!L634&gt;=7, "ja", "nee"))</f>
        <v/>
      </c>
      <c r="Q635">
        <f>IF(Klantgegevens_B!P634&lt;&gt;"", Klantgegevens_B!P634, Klantgegevens_A!M634)</f>
        <v/>
      </c>
      <c r="R635">
        <f>IF(Klantgegevens_B!A634&lt;&gt;"", "B", "A")</f>
        <v/>
      </c>
    </row>
    <row r="636">
      <c r="A636">
        <f>IF(Klantgegevens_B!A635&lt;&gt;"", Klantgegevens_B!A635, MID(Klantgegevens_A!A635, FIND(",", Klantgegevens_A!A635)+2, LEN(Klantgegevens_A!A635)))</f>
        <v/>
      </c>
      <c r="B636">
        <f>IF(Klantgegevens_B!B635&lt;&gt;"", Klantgegevens_B!B635, LEFT(Klantgegevens_A!A635, FIND(",", Klantgegevens_A!A635)-1))</f>
        <v/>
      </c>
      <c r="C636">
        <f>C635 &amp; ", " &amp; B635</f>
        <v/>
      </c>
      <c r="D636">
        <f>IF(Klantgegevens_B!F635&lt;&gt;"", Klantgegevens_B!F635, Klantgegevens_A!D635 &amp; " " &amp; Klantgegevens_A!E635 &amp; ", " &amp; Klantgegevens_A!F635)</f>
        <v/>
      </c>
      <c r="E636">
        <f>IF(Klantgegevens_B!G635&lt;&gt;"", Klantgegevens_B!G635, TEXTJOIN(",", TRUE, REPT("Volwassene,", Klantgegevens_A!G635), REPT("Kind,", Klantgegevens_A!H635)))</f>
        <v/>
      </c>
      <c r="F636">
        <f>IF(Klantgegevens_B!G635&lt;&gt;"", LEN(Klantgegevens_B!G635)-LEN(SUBSTITUTE(Klantgegevens_B!G635, ",", ""))+1, Klantgegevens_A!G635)</f>
        <v/>
      </c>
      <c r="G636">
        <f>IF(Klantgegevens_B!G635&lt;&gt;"", 0, Klantgegevens_A!H635)</f>
        <v/>
      </c>
      <c r="H636">
        <f>IF(Klantgegevens_B!H635&lt;&gt;"", Klantgegevens_B!H635, Klantgegevens_A!I635)</f>
        <v/>
      </c>
      <c r="I636">
        <f>IF(Klantgegevens_B!I635&lt;&gt;"", Klantgegevens_B!I635, SWITCH(Klantgegevens_A!J635, "Zelden", 1, "Af en toe", 4, "Regelmatig", 8, "Vaak", 12))</f>
        <v/>
      </c>
      <c r="J636">
        <f>IF(Klantgegevens_B!J635&lt;&gt;"", Klantgegevens_B!J635, Klantgegevens_A!K635)</f>
        <v/>
      </c>
      <c r="K636">
        <f>IF(Klantgegevens_B!K635&lt;&gt;"", AVERAGE(--(Klantgegevens_B!K635="ja"), --(Klantgegevens_B!L635="ja"), --(Klantgegevens_B!M635="ja"), --(Klantgegevens_B!N635="ja"), --(Klantgegevens_B!O635="ja"))*10, Klantgegevens_A!L635)</f>
        <v/>
      </c>
      <c r="L636">
        <f>IF(Klantgegevens_B!K635&lt;&gt;"", Klantgegevens_B!K635, IF(Klantgegevens_A!L635&gt;=7, "ja", "nee"))</f>
        <v/>
      </c>
      <c r="M636">
        <f>IF(Klantgegevens_B!L635&lt;&gt;"", Klantgegevens_B!L635, IF(Klantgegevens_A!L635&gt;=7, "ja", "nee"))</f>
        <v/>
      </c>
      <c r="N636">
        <f>IF(Klantgegevens_B!M635&lt;&gt;"", Klantgegevens_B!M635, IF(Klantgegevens_A!L635&gt;=7, "ja", "nee"))</f>
        <v/>
      </c>
      <c r="O636">
        <f>IF(Klantgegevens_B!N635&lt;&gt;"", Klantgegevens_B!N635, IF(Klantgegevens_A!L635&gt;=7, "ja", "nee"))</f>
        <v/>
      </c>
      <c r="P636">
        <f>IF(Klantgegevens_B!O635&lt;&gt;"", Klantgegevens_B!O635, IF(Klantgegevens_A!L635&gt;=7, "ja", "nee"))</f>
        <v/>
      </c>
      <c r="Q636">
        <f>IF(Klantgegevens_B!P635&lt;&gt;"", Klantgegevens_B!P635, Klantgegevens_A!M635)</f>
        <v/>
      </c>
      <c r="R636">
        <f>IF(Klantgegevens_B!A635&lt;&gt;"", "B", "A")</f>
        <v/>
      </c>
    </row>
    <row r="637">
      <c r="A637">
        <f>IF(Klantgegevens_B!A636&lt;&gt;"", Klantgegevens_B!A636, MID(Klantgegevens_A!A636, FIND(",", Klantgegevens_A!A636)+2, LEN(Klantgegevens_A!A636)))</f>
        <v/>
      </c>
      <c r="B637">
        <f>IF(Klantgegevens_B!B636&lt;&gt;"", Klantgegevens_B!B636, LEFT(Klantgegevens_A!A636, FIND(",", Klantgegevens_A!A636)-1))</f>
        <v/>
      </c>
      <c r="C637">
        <f>C636 &amp; ", " &amp; B636</f>
        <v/>
      </c>
      <c r="D637">
        <f>IF(Klantgegevens_B!F636&lt;&gt;"", Klantgegevens_B!F636, Klantgegevens_A!D636 &amp; " " &amp; Klantgegevens_A!E636 &amp; ", " &amp; Klantgegevens_A!F636)</f>
        <v/>
      </c>
      <c r="E637">
        <f>IF(Klantgegevens_B!G636&lt;&gt;"", Klantgegevens_B!G636, TEXTJOIN(",", TRUE, REPT("Volwassene,", Klantgegevens_A!G636), REPT("Kind,", Klantgegevens_A!H636)))</f>
        <v/>
      </c>
      <c r="F637">
        <f>IF(Klantgegevens_B!G636&lt;&gt;"", LEN(Klantgegevens_B!G636)-LEN(SUBSTITUTE(Klantgegevens_B!G636, ",", ""))+1, Klantgegevens_A!G636)</f>
        <v/>
      </c>
      <c r="G637">
        <f>IF(Klantgegevens_B!G636&lt;&gt;"", 0, Klantgegevens_A!H636)</f>
        <v/>
      </c>
      <c r="H637">
        <f>IF(Klantgegevens_B!H636&lt;&gt;"", Klantgegevens_B!H636, Klantgegevens_A!I636)</f>
        <v/>
      </c>
      <c r="I637">
        <f>IF(Klantgegevens_B!I636&lt;&gt;"", Klantgegevens_B!I636, SWITCH(Klantgegevens_A!J636, "Zelden", 1, "Af en toe", 4, "Regelmatig", 8, "Vaak", 12))</f>
        <v/>
      </c>
      <c r="J637">
        <f>IF(Klantgegevens_B!J636&lt;&gt;"", Klantgegevens_B!J636, Klantgegevens_A!K636)</f>
        <v/>
      </c>
      <c r="K637">
        <f>IF(Klantgegevens_B!K636&lt;&gt;"", AVERAGE(--(Klantgegevens_B!K636="ja"), --(Klantgegevens_B!L636="ja"), --(Klantgegevens_B!M636="ja"), --(Klantgegevens_B!N636="ja"), --(Klantgegevens_B!O636="ja"))*10, Klantgegevens_A!L636)</f>
        <v/>
      </c>
      <c r="L637">
        <f>IF(Klantgegevens_B!K636&lt;&gt;"", Klantgegevens_B!K636, IF(Klantgegevens_A!L636&gt;=7, "ja", "nee"))</f>
        <v/>
      </c>
      <c r="M637">
        <f>IF(Klantgegevens_B!L636&lt;&gt;"", Klantgegevens_B!L636, IF(Klantgegevens_A!L636&gt;=7, "ja", "nee"))</f>
        <v/>
      </c>
      <c r="N637">
        <f>IF(Klantgegevens_B!M636&lt;&gt;"", Klantgegevens_B!M636, IF(Klantgegevens_A!L636&gt;=7, "ja", "nee"))</f>
        <v/>
      </c>
      <c r="O637">
        <f>IF(Klantgegevens_B!N636&lt;&gt;"", Klantgegevens_B!N636, IF(Klantgegevens_A!L636&gt;=7, "ja", "nee"))</f>
        <v/>
      </c>
      <c r="P637">
        <f>IF(Klantgegevens_B!O636&lt;&gt;"", Klantgegevens_B!O636, IF(Klantgegevens_A!L636&gt;=7, "ja", "nee"))</f>
        <v/>
      </c>
      <c r="Q637">
        <f>IF(Klantgegevens_B!P636&lt;&gt;"", Klantgegevens_B!P636, Klantgegevens_A!M636)</f>
        <v/>
      </c>
      <c r="R637">
        <f>IF(Klantgegevens_B!A636&lt;&gt;"", "B", "A")</f>
        <v/>
      </c>
    </row>
    <row r="638">
      <c r="A638">
        <f>IF(Klantgegevens_B!A637&lt;&gt;"", Klantgegevens_B!A637, MID(Klantgegevens_A!A637, FIND(",", Klantgegevens_A!A637)+2, LEN(Klantgegevens_A!A637)))</f>
        <v/>
      </c>
      <c r="B638">
        <f>IF(Klantgegevens_B!B637&lt;&gt;"", Klantgegevens_B!B637, LEFT(Klantgegevens_A!A637, FIND(",", Klantgegevens_A!A637)-1))</f>
        <v/>
      </c>
      <c r="C638">
        <f>C637 &amp; ", " &amp; B637</f>
        <v/>
      </c>
      <c r="D638">
        <f>IF(Klantgegevens_B!F637&lt;&gt;"", Klantgegevens_B!F637, Klantgegevens_A!D637 &amp; " " &amp; Klantgegevens_A!E637 &amp; ", " &amp; Klantgegevens_A!F637)</f>
        <v/>
      </c>
      <c r="E638">
        <f>IF(Klantgegevens_B!G637&lt;&gt;"", Klantgegevens_B!G637, TEXTJOIN(",", TRUE, REPT("Volwassene,", Klantgegevens_A!G637), REPT("Kind,", Klantgegevens_A!H637)))</f>
        <v/>
      </c>
      <c r="F638">
        <f>IF(Klantgegevens_B!G637&lt;&gt;"", LEN(Klantgegevens_B!G637)-LEN(SUBSTITUTE(Klantgegevens_B!G637, ",", ""))+1, Klantgegevens_A!G637)</f>
        <v/>
      </c>
      <c r="G638">
        <f>IF(Klantgegevens_B!G637&lt;&gt;"", 0, Klantgegevens_A!H637)</f>
        <v/>
      </c>
      <c r="H638">
        <f>IF(Klantgegevens_B!H637&lt;&gt;"", Klantgegevens_B!H637, Klantgegevens_A!I637)</f>
        <v/>
      </c>
      <c r="I638">
        <f>IF(Klantgegevens_B!I637&lt;&gt;"", Klantgegevens_B!I637, SWITCH(Klantgegevens_A!J637, "Zelden", 1, "Af en toe", 4, "Regelmatig", 8, "Vaak", 12))</f>
        <v/>
      </c>
      <c r="J638">
        <f>IF(Klantgegevens_B!J637&lt;&gt;"", Klantgegevens_B!J637, Klantgegevens_A!K637)</f>
        <v/>
      </c>
      <c r="K638">
        <f>IF(Klantgegevens_B!K637&lt;&gt;"", AVERAGE(--(Klantgegevens_B!K637="ja"), --(Klantgegevens_B!L637="ja"), --(Klantgegevens_B!M637="ja"), --(Klantgegevens_B!N637="ja"), --(Klantgegevens_B!O637="ja"))*10, Klantgegevens_A!L637)</f>
        <v/>
      </c>
      <c r="L638">
        <f>IF(Klantgegevens_B!K637&lt;&gt;"", Klantgegevens_B!K637, IF(Klantgegevens_A!L637&gt;=7, "ja", "nee"))</f>
        <v/>
      </c>
      <c r="M638">
        <f>IF(Klantgegevens_B!L637&lt;&gt;"", Klantgegevens_B!L637, IF(Klantgegevens_A!L637&gt;=7, "ja", "nee"))</f>
        <v/>
      </c>
      <c r="N638">
        <f>IF(Klantgegevens_B!M637&lt;&gt;"", Klantgegevens_B!M637, IF(Klantgegevens_A!L637&gt;=7, "ja", "nee"))</f>
        <v/>
      </c>
      <c r="O638">
        <f>IF(Klantgegevens_B!N637&lt;&gt;"", Klantgegevens_B!N637, IF(Klantgegevens_A!L637&gt;=7, "ja", "nee"))</f>
        <v/>
      </c>
      <c r="P638">
        <f>IF(Klantgegevens_B!O637&lt;&gt;"", Klantgegevens_B!O637, IF(Klantgegevens_A!L637&gt;=7, "ja", "nee"))</f>
        <v/>
      </c>
      <c r="Q638">
        <f>IF(Klantgegevens_B!P637&lt;&gt;"", Klantgegevens_B!P637, Klantgegevens_A!M637)</f>
        <v/>
      </c>
      <c r="R638">
        <f>IF(Klantgegevens_B!A637&lt;&gt;"", "B", "A")</f>
        <v/>
      </c>
    </row>
    <row r="639">
      <c r="A639">
        <f>IF(Klantgegevens_B!A638&lt;&gt;"", Klantgegevens_B!A638, MID(Klantgegevens_A!A638, FIND(",", Klantgegevens_A!A638)+2, LEN(Klantgegevens_A!A638)))</f>
        <v/>
      </c>
      <c r="B639">
        <f>IF(Klantgegevens_B!B638&lt;&gt;"", Klantgegevens_B!B638, LEFT(Klantgegevens_A!A638, FIND(",", Klantgegevens_A!A638)-1))</f>
        <v/>
      </c>
      <c r="C639">
        <f>C638 &amp; ", " &amp; B638</f>
        <v/>
      </c>
      <c r="D639">
        <f>IF(Klantgegevens_B!F638&lt;&gt;"", Klantgegevens_B!F638, Klantgegevens_A!D638 &amp; " " &amp; Klantgegevens_A!E638 &amp; ", " &amp; Klantgegevens_A!F638)</f>
        <v/>
      </c>
      <c r="E639">
        <f>IF(Klantgegevens_B!G638&lt;&gt;"", Klantgegevens_B!G638, TEXTJOIN(",", TRUE, REPT("Volwassene,", Klantgegevens_A!G638), REPT("Kind,", Klantgegevens_A!H638)))</f>
        <v/>
      </c>
      <c r="F639">
        <f>IF(Klantgegevens_B!G638&lt;&gt;"", LEN(Klantgegevens_B!G638)-LEN(SUBSTITUTE(Klantgegevens_B!G638, ",", ""))+1, Klantgegevens_A!G638)</f>
        <v/>
      </c>
      <c r="G639">
        <f>IF(Klantgegevens_B!G638&lt;&gt;"", 0, Klantgegevens_A!H638)</f>
        <v/>
      </c>
      <c r="H639">
        <f>IF(Klantgegevens_B!H638&lt;&gt;"", Klantgegevens_B!H638, Klantgegevens_A!I638)</f>
        <v/>
      </c>
      <c r="I639">
        <f>IF(Klantgegevens_B!I638&lt;&gt;"", Klantgegevens_B!I638, SWITCH(Klantgegevens_A!J638, "Zelden", 1, "Af en toe", 4, "Regelmatig", 8, "Vaak", 12))</f>
        <v/>
      </c>
      <c r="J639">
        <f>IF(Klantgegevens_B!J638&lt;&gt;"", Klantgegevens_B!J638, Klantgegevens_A!K638)</f>
        <v/>
      </c>
      <c r="K639">
        <f>IF(Klantgegevens_B!K638&lt;&gt;"", AVERAGE(--(Klantgegevens_B!K638="ja"), --(Klantgegevens_B!L638="ja"), --(Klantgegevens_B!M638="ja"), --(Klantgegevens_B!N638="ja"), --(Klantgegevens_B!O638="ja"))*10, Klantgegevens_A!L638)</f>
        <v/>
      </c>
      <c r="L639">
        <f>IF(Klantgegevens_B!K638&lt;&gt;"", Klantgegevens_B!K638, IF(Klantgegevens_A!L638&gt;=7, "ja", "nee"))</f>
        <v/>
      </c>
      <c r="M639">
        <f>IF(Klantgegevens_B!L638&lt;&gt;"", Klantgegevens_B!L638, IF(Klantgegevens_A!L638&gt;=7, "ja", "nee"))</f>
        <v/>
      </c>
      <c r="N639">
        <f>IF(Klantgegevens_B!M638&lt;&gt;"", Klantgegevens_B!M638, IF(Klantgegevens_A!L638&gt;=7, "ja", "nee"))</f>
        <v/>
      </c>
      <c r="O639">
        <f>IF(Klantgegevens_B!N638&lt;&gt;"", Klantgegevens_B!N638, IF(Klantgegevens_A!L638&gt;=7, "ja", "nee"))</f>
        <v/>
      </c>
      <c r="P639">
        <f>IF(Klantgegevens_B!O638&lt;&gt;"", Klantgegevens_B!O638, IF(Klantgegevens_A!L638&gt;=7, "ja", "nee"))</f>
        <v/>
      </c>
      <c r="Q639">
        <f>IF(Klantgegevens_B!P638&lt;&gt;"", Klantgegevens_B!P638, Klantgegevens_A!M638)</f>
        <v/>
      </c>
      <c r="R639">
        <f>IF(Klantgegevens_B!A638&lt;&gt;"", "B", "A")</f>
        <v/>
      </c>
    </row>
    <row r="640">
      <c r="A640">
        <f>IF(Klantgegevens_B!A639&lt;&gt;"", Klantgegevens_B!A639, MID(Klantgegevens_A!A639, FIND(",", Klantgegevens_A!A639)+2, LEN(Klantgegevens_A!A639)))</f>
        <v/>
      </c>
      <c r="B640">
        <f>IF(Klantgegevens_B!B639&lt;&gt;"", Klantgegevens_B!B639, LEFT(Klantgegevens_A!A639, FIND(",", Klantgegevens_A!A639)-1))</f>
        <v/>
      </c>
      <c r="C640">
        <f>C639 &amp; ", " &amp; B639</f>
        <v/>
      </c>
      <c r="D640">
        <f>IF(Klantgegevens_B!F639&lt;&gt;"", Klantgegevens_B!F639, Klantgegevens_A!D639 &amp; " " &amp; Klantgegevens_A!E639 &amp; ", " &amp; Klantgegevens_A!F639)</f>
        <v/>
      </c>
      <c r="E640">
        <f>IF(Klantgegevens_B!G639&lt;&gt;"", Klantgegevens_B!G639, TEXTJOIN(",", TRUE, REPT("Volwassene,", Klantgegevens_A!G639), REPT("Kind,", Klantgegevens_A!H639)))</f>
        <v/>
      </c>
      <c r="F640">
        <f>IF(Klantgegevens_B!G639&lt;&gt;"", LEN(Klantgegevens_B!G639)-LEN(SUBSTITUTE(Klantgegevens_B!G639, ",", ""))+1, Klantgegevens_A!G639)</f>
        <v/>
      </c>
      <c r="G640">
        <f>IF(Klantgegevens_B!G639&lt;&gt;"", 0, Klantgegevens_A!H639)</f>
        <v/>
      </c>
      <c r="H640">
        <f>IF(Klantgegevens_B!H639&lt;&gt;"", Klantgegevens_B!H639, Klantgegevens_A!I639)</f>
        <v/>
      </c>
      <c r="I640">
        <f>IF(Klantgegevens_B!I639&lt;&gt;"", Klantgegevens_B!I639, SWITCH(Klantgegevens_A!J639, "Zelden", 1, "Af en toe", 4, "Regelmatig", 8, "Vaak", 12))</f>
        <v/>
      </c>
      <c r="J640">
        <f>IF(Klantgegevens_B!J639&lt;&gt;"", Klantgegevens_B!J639, Klantgegevens_A!K639)</f>
        <v/>
      </c>
      <c r="K640">
        <f>IF(Klantgegevens_B!K639&lt;&gt;"", AVERAGE(--(Klantgegevens_B!K639="ja"), --(Klantgegevens_B!L639="ja"), --(Klantgegevens_B!M639="ja"), --(Klantgegevens_B!N639="ja"), --(Klantgegevens_B!O639="ja"))*10, Klantgegevens_A!L639)</f>
        <v/>
      </c>
      <c r="L640">
        <f>IF(Klantgegevens_B!K639&lt;&gt;"", Klantgegevens_B!K639, IF(Klantgegevens_A!L639&gt;=7, "ja", "nee"))</f>
        <v/>
      </c>
      <c r="M640">
        <f>IF(Klantgegevens_B!L639&lt;&gt;"", Klantgegevens_B!L639, IF(Klantgegevens_A!L639&gt;=7, "ja", "nee"))</f>
        <v/>
      </c>
      <c r="N640">
        <f>IF(Klantgegevens_B!M639&lt;&gt;"", Klantgegevens_B!M639, IF(Klantgegevens_A!L639&gt;=7, "ja", "nee"))</f>
        <v/>
      </c>
      <c r="O640">
        <f>IF(Klantgegevens_B!N639&lt;&gt;"", Klantgegevens_B!N639, IF(Klantgegevens_A!L639&gt;=7, "ja", "nee"))</f>
        <v/>
      </c>
      <c r="P640">
        <f>IF(Klantgegevens_B!O639&lt;&gt;"", Klantgegevens_B!O639, IF(Klantgegevens_A!L639&gt;=7, "ja", "nee"))</f>
        <v/>
      </c>
      <c r="Q640">
        <f>IF(Klantgegevens_B!P639&lt;&gt;"", Klantgegevens_B!P639, Klantgegevens_A!M639)</f>
        <v/>
      </c>
      <c r="R640">
        <f>IF(Klantgegevens_B!A639&lt;&gt;"", "B", "A")</f>
        <v/>
      </c>
    </row>
    <row r="641">
      <c r="A641">
        <f>IF(Klantgegevens_B!A640&lt;&gt;"", Klantgegevens_B!A640, MID(Klantgegevens_A!A640, FIND(",", Klantgegevens_A!A640)+2, LEN(Klantgegevens_A!A640)))</f>
        <v/>
      </c>
      <c r="B641">
        <f>IF(Klantgegevens_B!B640&lt;&gt;"", Klantgegevens_B!B640, LEFT(Klantgegevens_A!A640, FIND(",", Klantgegevens_A!A640)-1))</f>
        <v/>
      </c>
      <c r="C641">
        <f>C640 &amp; ", " &amp; B640</f>
        <v/>
      </c>
      <c r="D641">
        <f>IF(Klantgegevens_B!F640&lt;&gt;"", Klantgegevens_B!F640, Klantgegevens_A!D640 &amp; " " &amp; Klantgegevens_A!E640 &amp; ", " &amp; Klantgegevens_A!F640)</f>
        <v/>
      </c>
      <c r="E641">
        <f>IF(Klantgegevens_B!G640&lt;&gt;"", Klantgegevens_B!G640, TEXTJOIN(",", TRUE, REPT("Volwassene,", Klantgegevens_A!G640), REPT("Kind,", Klantgegevens_A!H640)))</f>
        <v/>
      </c>
      <c r="F641">
        <f>IF(Klantgegevens_B!G640&lt;&gt;"", LEN(Klantgegevens_B!G640)-LEN(SUBSTITUTE(Klantgegevens_B!G640, ",", ""))+1, Klantgegevens_A!G640)</f>
        <v/>
      </c>
      <c r="G641">
        <f>IF(Klantgegevens_B!G640&lt;&gt;"", 0, Klantgegevens_A!H640)</f>
        <v/>
      </c>
      <c r="H641">
        <f>IF(Klantgegevens_B!H640&lt;&gt;"", Klantgegevens_B!H640, Klantgegevens_A!I640)</f>
        <v/>
      </c>
      <c r="I641">
        <f>IF(Klantgegevens_B!I640&lt;&gt;"", Klantgegevens_B!I640, SWITCH(Klantgegevens_A!J640, "Zelden", 1, "Af en toe", 4, "Regelmatig", 8, "Vaak", 12))</f>
        <v/>
      </c>
      <c r="J641">
        <f>IF(Klantgegevens_B!J640&lt;&gt;"", Klantgegevens_B!J640, Klantgegevens_A!K640)</f>
        <v/>
      </c>
      <c r="K641">
        <f>IF(Klantgegevens_B!K640&lt;&gt;"", AVERAGE(--(Klantgegevens_B!K640="ja"), --(Klantgegevens_B!L640="ja"), --(Klantgegevens_B!M640="ja"), --(Klantgegevens_B!N640="ja"), --(Klantgegevens_B!O640="ja"))*10, Klantgegevens_A!L640)</f>
        <v/>
      </c>
      <c r="L641">
        <f>IF(Klantgegevens_B!K640&lt;&gt;"", Klantgegevens_B!K640, IF(Klantgegevens_A!L640&gt;=7, "ja", "nee"))</f>
        <v/>
      </c>
      <c r="M641">
        <f>IF(Klantgegevens_B!L640&lt;&gt;"", Klantgegevens_B!L640, IF(Klantgegevens_A!L640&gt;=7, "ja", "nee"))</f>
        <v/>
      </c>
      <c r="N641">
        <f>IF(Klantgegevens_B!M640&lt;&gt;"", Klantgegevens_B!M640, IF(Klantgegevens_A!L640&gt;=7, "ja", "nee"))</f>
        <v/>
      </c>
      <c r="O641">
        <f>IF(Klantgegevens_B!N640&lt;&gt;"", Klantgegevens_B!N640, IF(Klantgegevens_A!L640&gt;=7, "ja", "nee"))</f>
        <v/>
      </c>
      <c r="P641">
        <f>IF(Klantgegevens_B!O640&lt;&gt;"", Klantgegevens_B!O640, IF(Klantgegevens_A!L640&gt;=7, "ja", "nee"))</f>
        <v/>
      </c>
      <c r="Q641">
        <f>IF(Klantgegevens_B!P640&lt;&gt;"", Klantgegevens_B!P640, Klantgegevens_A!M640)</f>
        <v/>
      </c>
      <c r="R641">
        <f>IF(Klantgegevens_B!A640&lt;&gt;"", "B", "A")</f>
        <v/>
      </c>
    </row>
    <row r="642">
      <c r="A642">
        <f>IF(Klantgegevens_B!A641&lt;&gt;"", Klantgegevens_B!A641, MID(Klantgegevens_A!A641, FIND(",", Klantgegevens_A!A641)+2, LEN(Klantgegevens_A!A641)))</f>
        <v/>
      </c>
      <c r="B642">
        <f>IF(Klantgegevens_B!B641&lt;&gt;"", Klantgegevens_B!B641, LEFT(Klantgegevens_A!A641, FIND(",", Klantgegevens_A!A641)-1))</f>
        <v/>
      </c>
      <c r="C642">
        <f>C641 &amp; ", " &amp; B641</f>
        <v/>
      </c>
      <c r="D642">
        <f>IF(Klantgegevens_B!F641&lt;&gt;"", Klantgegevens_B!F641, Klantgegevens_A!D641 &amp; " " &amp; Klantgegevens_A!E641 &amp; ", " &amp; Klantgegevens_A!F641)</f>
        <v/>
      </c>
      <c r="E642">
        <f>IF(Klantgegevens_B!G641&lt;&gt;"", Klantgegevens_B!G641, TEXTJOIN(",", TRUE, REPT("Volwassene,", Klantgegevens_A!G641), REPT("Kind,", Klantgegevens_A!H641)))</f>
        <v/>
      </c>
      <c r="F642">
        <f>IF(Klantgegevens_B!G641&lt;&gt;"", LEN(Klantgegevens_B!G641)-LEN(SUBSTITUTE(Klantgegevens_B!G641, ",", ""))+1, Klantgegevens_A!G641)</f>
        <v/>
      </c>
      <c r="G642">
        <f>IF(Klantgegevens_B!G641&lt;&gt;"", 0, Klantgegevens_A!H641)</f>
        <v/>
      </c>
      <c r="H642">
        <f>IF(Klantgegevens_B!H641&lt;&gt;"", Klantgegevens_B!H641, Klantgegevens_A!I641)</f>
        <v/>
      </c>
      <c r="I642">
        <f>IF(Klantgegevens_B!I641&lt;&gt;"", Klantgegevens_B!I641, SWITCH(Klantgegevens_A!J641, "Zelden", 1, "Af en toe", 4, "Regelmatig", 8, "Vaak", 12))</f>
        <v/>
      </c>
      <c r="J642">
        <f>IF(Klantgegevens_B!J641&lt;&gt;"", Klantgegevens_B!J641, Klantgegevens_A!K641)</f>
        <v/>
      </c>
      <c r="K642">
        <f>IF(Klantgegevens_B!K641&lt;&gt;"", AVERAGE(--(Klantgegevens_B!K641="ja"), --(Klantgegevens_B!L641="ja"), --(Klantgegevens_B!M641="ja"), --(Klantgegevens_B!N641="ja"), --(Klantgegevens_B!O641="ja"))*10, Klantgegevens_A!L641)</f>
        <v/>
      </c>
      <c r="L642">
        <f>IF(Klantgegevens_B!K641&lt;&gt;"", Klantgegevens_B!K641, IF(Klantgegevens_A!L641&gt;=7, "ja", "nee"))</f>
        <v/>
      </c>
      <c r="M642">
        <f>IF(Klantgegevens_B!L641&lt;&gt;"", Klantgegevens_B!L641, IF(Klantgegevens_A!L641&gt;=7, "ja", "nee"))</f>
        <v/>
      </c>
      <c r="N642">
        <f>IF(Klantgegevens_B!M641&lt;&gt;"", Klantgegevens_B!M641, IF(Klantgegevens_A!L641&gt;=7, "ja", "nee"))</f>
        <v/>
      </c>
      <c r="O642">
        <f>IF(Klantgegevens_B!N641&lt;&gt;"", Klantgegevens_B!N641, IF(Klantgegevens_A!L641&gt;=7, "ja", "nee"))</f>
        <v/>
      </c>
      <c r="P642">
        <f>IF(Klantgegevens_B!O641&lt;&gt;"", Klantgegevens_B!O641, IF(Klantgegevens_A!L641&gt;=7, "ja", "nee"))</f>
        <v/>
      </c>
      <c r="Q642">
        <f>IF(Klantgegevens_B!P641&lt;&gt;"", Klantgegevens_B!P641, Klantgegevens_A!M641)</f>
        <v/>
      </c>
      <c r="R642">
        <f>IF(Klantgegevens_B!A641&lt;&gt;"", "B", "A")</f>
        <v/>
      </c>
    </row>
    <row r="643">
      <c r="A643">
        <f>IF(Klantgegevens_B!A642&lt;&gt;"", Klantgegevens_B!A642, MID(Klantgegevens_A!A642, FIND(",", Klantgegevens_A!A642)+2, LEN(Klantgegevens_A!A642)))</f>
        <v/>
      </c>
      <c r="B643">
        <f>IF(Klantgegevens_B!B642&lt;&gt;"", Klantgegevens_B!B642, LEFT(Klantgegevens_A!A642, FIND(",", Klantgegevens_A!A642)-1))</f>
        <v/>
      </c>
      <c r="C643">
        <f>C642 &amp; ", " &amp; B642</f>
        <v/>
      </c>
      <c r="D643">
        <f>IF(Klantgegevens_B!F642&lt;&gt;"", Klantgegevens_B!F642, Klantgegevens_A!D642 &amp; " " &amp; Klantgegevens_A!E642 &amp; ", " &amp; Klantgegevens_A!F642)</f>
        <v/>
      </c>
      <c r="E643">
        <f>IF(Klantgegevens_B!G642&lt;&gt;"", Klantgegevens_B!G642, TEXTJOIN(",", TRUE, REPT("Volwassene,", Klantgegevens_A!G642), REPT("Kind,", Klantgegevens_A!H642)))</f>
        <v/>
      </c>
      <c r="F643">
        <f>IF(Klantgegevens_B!G642&lt;&gt;"", LEN(Klantgegevens_B!G642)-LEN(SUBSTITUTE(Klantgegevens_B!G642, ",", ""))+1, Klantgegevens_A!G642)</f>
        <v/>
      </c>
      <c r="G643">
        <f>IF(Klantgegevens_B!G642&lt;&gt;"", 0, Klantgegevens_A!H642)</f>
        <v/>
      </c>
      <c r="H643">
        <f>IF(Klantgegevens_B!H642&lt;&gt;"", Klantgegevens_B!H642, Klantgegevens_A!I642)</f>
        <v/>
      </c>
      <c r="I643">
        <f>IF(Klantgegevens_B!I642&lt;&gt;"", Klantgegevens_B!I642, SWITCH(Klantgegevens_A!J642, "Zelden", 1, "Af en toe", 4, "Regelmatig", 8, "Vaak", 12))</f>
        <v/>
      </c>
      <c r="J643">
        <f>IF(Klantgegevens_B!J642&lt;&gt;"", Klantgegevens_B!J642, Klantgegevens_A!K642)</f>
        <v/>
      </c>
      <c r="K643">
        <f>IF(Klantgegevens_B!K642&lt;&gt;"", AVERAGE(--(Klantgegevens_B!K642="ja"), --(Klantgegevens_B!L642="ja"), --(Klantgegevens_B!M642="ja"), --(Klantgegevens_B!N642="ja"), --(Klantgegevens_B!O642="ja"))*10, Klantgegevens_A!L642)</f>
        <v/>
      </c>
      <c r="L643">
        <f>IF(Klantgegevens_B!K642&lt;&gt;"", Klantgegevens_B!K642, IF(Klantgegevens_A!L642&gt;=7, "ja", "nee"))</f>
        <v/>
      </c>
      <c r="M643">
        <f>IF(Klantgegevens_B!L642&lt;&gt;"", Klantgegevens_B!L642, IF(Klantgegevens_A!L642&gt;=7, "ja", "nee"))</f>
        <v/>
      </c>
      <c r="N643">
        <f>IF(Klantgegevens_B!M642&lt;&gt;"", Klantgegevens_B!M642, IF(Klantgegevens_A!L642&gt;=7, "ja", "nee"))</f>
        <v/>
      </c>
      <c r="O643">
        <f>IF(Klantgegevens_B!N642&lt;&gt;"", Klantgegevens_B!N642, IF(Klantgegevens_A!L642&gt;=7, "ja", "nee"))</f>
        <v/>
      </c>
      <c r="P643">
        <f>IF(Klantgegevens_B!O642&lt;&gt;"", Klantgegevens_B!O642, IF(Klantgegevens_A!L642&gt;=7, "ja", "nee"))</f>
        <v/>
      </c>
      <c r="Q643">
        <f>IF(Klantgegevens_B!P642&lt;&gt;"", Klantgegevens_B!P642, Klantgegevens_A!M642)</f>
        <v/>
      </c>
      <c r="R643">
        <f>IF(Klantgegevens_B!A642&lt;&gt;"", "B", "A")</f>
        <v/>
      </c>
    </row>
    <row r="644">
      <c r="A644">
        <f>IF(Klantgegevens_B!A643&lt;&gt;"", Klantgegevens_B!A643, MID(Klantgegevens_A!A643, FIND(",", Klantgegevens_A!A643)+2, LEN(Klantgegevens_A!A643)))</f>
        <v/>
      </c>
      <c r="B644">
        <f>IF(Klantgegevens_B!B643&lt;&gt;"", Klantgegevens_B!B643, LEFT(Klantgegevens_A!A643, FIND(",", Klantgegevens_A!A643)-1))</f>
        <v/>
      </c>
      <c r="C644">
        <f>C643 &amp; ", " &amp; B643</f>
        <v/>
      </c>
      <c r="D644">
        <f>IF(Klantgegevens_B!F643&lt;&gt;"", Klantgegevens_B!F643, Klantgegevens_A!D643 &amp; " " &amp; Klantgegevens_A!E643 &amp; ", " &amp; Klantgegevens_A!F643)</f>
        <v/>
      </c>
      <c r="E644">
        <f>IF(Klantgegevens_B!G643&lt;&gt;"", Klantgegevens_B!G643, TEXTJOIN(",", TRUE, REPT("Volwassene,", Klantgegevens_A!G643), REPT("Kind,", Klantgegevens_A!H643)))</f>
        <v/>
      </c>
      <c r="F644">
        <f>IF(Klantgegevens_B!G643&lt;&gt;"", LEN(Klantgegevens_B!G643)-LEN(SUBSTITUTE(Klantgegevens_B!G643, ",", ""))+1, Klantgegevens_A!G643)</f>
        <v/>
      </c>
      <c r="G644">
        <f>IF(Klantgegevens_B!G643&lt;&gt;"", 0, Klantgegevens_A!H643)</f>
        <v/>
      </c>
      <c r="H644">
        <f>IF(Klantgegevens_B!H643&lt;&gt;"", Klantgegevens_B!H643, Klantgegevens_A!I643)</f>
        <v/>
      </c>
      <c r="I644">
        <f>IF(Klantgegevens_B!I643&lt;&gt;"", Klantgegevens_B!I643, SWITCH(Klantgegevens_A!J643, "Zelden", 1, "Af en toe", 4, "Regelmatig", 8, "Vaak", 12))</f>
        <v/>
      </c>
      <c r="J644">
        <f>IF(Klantgegevens_B!J643&lt;&gt;"", Klantgegevens_B!J643, Klantgegevens_A!K643)</f>
        <v/>
      </c>
      <c r="K644">
        <f>IF(Klantgegevens_B!K643&lt;&gt;"", AVERAGE(--(Klantgegevens_B!K643="ja"), --(Klantgegevens_B!L643="ja"), --(Klantgegevens_B!M643="ja"), --(Klantgegevens_B!N643="ja"), --(Klantgegevens_B!O643="ja"))*10, Klantgegevens_A!L643)</f>
        <v/>
      </c>
      <c r="L644">
        <f>IF(Klantgegevens_B!K643&lt;&gt;"", Klantgegevens_B!K643, IF(Klantgegevens_A!L643&gt;=7, "ja", "nee"))</f>
        <v/>
      </c>
      <c r="M644">
        <f>IF(Klantgegevens_B!L643&lt;&gt;"", Klantgegevens_B!L643, IF(Klantgegevens_A!L643&gt;=7, "ja", "nee"))</f>
        <v/>
      </c>
      <c r="N644">
        <f>IF(Klantgegevens_B!M643&lt;&gt;"", Klantgegevens_B!M643, IF(Klantgegevens_A!L643&gt;=7, "ja", "nee"))</f>
        <v/>
      </c>
      <c r="O644">
        <f>IF(Klantgegevens_B!N643&lt;&gt;"", Klantgegevens_B!N643, IF(Klantgegevens_A!L643&gt;=7, "ja", "nee"))</f>
        <v/>
      </c>
      <c r="P644">
        <f>IF(Klantgegevens_B!O643&lt;&gt;"", Klantgegevens_B!O643, IF(Klantgegevens_A!L643&gt;=7, "ja", "nee"))</f>
        <v/>
      </c>
      <c r="Q644">
        <f>IF(Klantgegevens_B!P643&lt;&gt;"", Klantgegevens_B!P643, Klantgegevens_A!M643)</f>
        <v/>
      </c>
      <c r="R644">
        <f>IF(Klantgegevens_B!A643&lt;&gt;"", "B", "A")</f>
        <v/>
      </c>
    </row>
    <row r="645">
      <c r="A645">
        <f>IF(Klantgegevens_B!A644&lt;&gt;"", Klantgegevens_B!A644, MID(Klantgegevens_A!A644, FIND(",", Klantgegevens_A!A644)+2, LEN(Klantgegevens_A!A644)))</f>
        <v/>
      </c>
      <c r="B645">
        <f>IF(Klantgegevens_B!B644&lt;&gt;"", Klantgegevens_B!B644, LEFT(Klantgegevens_A!A644, FIND(",", Klantgegevens_A!A644)-1))</f>
        <v/>
      </c>
      <c r="C645">
        <f>C644 &amp; ", " &amp; B644</f>
        <v/>
      </c>
      <c r="D645">
        <f>IF(Klantgegevens_B!F644&lt;&gt;"", Klantgegevens_B!F644, Klantgegevens_A!D644 &amp; " " &amp; Klantgegevens_A!E644 &amp; ", " &amp; Klantgegevens_A!F644)</f>
        <v/>
      </c>
      <c r="E645">
        <f>IF(Klantgegevens_B!G644&lt;&gt;"", Klantgegevens_B!G644, TEXTJOIN(",", TRUE, REPT("Volwassene,", Klantgegevens_A!G644), REPT("Kind,", Klantgegevens_A!H644)))</f>
        <v/>
      </c>
      <c r="F645">
        <f>IF(Klantgegevens_B!G644&lt;&gt;"", LEN(Klantgegevens_B!G644)-LEN(SUBSTITUTE(Klantgegevens_B!G644, ",", ""))+1, Klantgegevens_A!G644)</f>
        <v/>
      </c>
      <c r="G645">
        <f>IF(Klantgegevens_B!G644&lt;&gt;"", 0, Klantgegevens_A!H644)</f>
        <v/>
      </c>
      <c r="H645">
        <f>IF(Klantgegevens_B!H644&lt;&gt;"", Klantgegevens_B!H644, Klantgegevens_A!I644)</f>
        <v/>
      </c>
      <c r="I645">
        <f>IF(Klantgegevens_B!I644&lt;&gt;"", Klantgegevens_B!I644, SWITCH(Klantgegevens_A!J644, "Zelden", 1, "Af en toe", 4, "Regelmatig", 8, "Vaak", 12))</f>
        <v/>
      </c>
      <c r="J645">
        <f>IF(Klantgegevens_B!J644&lt;&gt;"", Klantgegevens_B!J644, Klantgegevens_A!K644)</f>
        <v/>
      </c>
      <c r="K645">
        <f>IF(Klantgegevens_B!K644&lt;&gt;"", AVERAGE(--(Klantgegevens_B!K644="ja"), --(Klantgegevens_B!L644="ja"), --(Klantgegevens_B!M644="ja"), --(Klantgegevens_B!N644="ja"), --(Klantgegevens_B!O644="ja"))*10, Klantgegevens_A!L644)</f>
        <v/>
      </c>
      <c r="L645">
        <f>IF(Klantgegevens_B!K644&lt;&gt;"", Klantgegevens_B!K644, IF(Klantgegevens_A!L644&gt;=7, "ja", "nee"))</f>
        <v/>
      </c>
      <c r="M645">
        <f>IF(Klantgegevens_B!L644&lt;&gt;"", Klantgegevens_B!L644, IF(Klantgegevens_A!L644&gt;=7, "ja", "nee"))</f>
        <v/>
      </c>
      <c r="N645">
        <f>IF(Klantgegevens_B!M644&lt;&gt;"", Klantgegevens_B!M644, IF(Klantgegevens_A!L644&gt;=7, "ja", "nee"))</f>
        <v/>
      </c>
      <c r="O645">
        <f>IF(Klantgegevens_B!N644&lt;&gt;"", Klantgegevens_B!N644, IF(Klantgegevens_A!L644&gt;=7, "ja", "nee"))</f>
        <v/>
      </c>
      <c r="P645">
        <f>IF(Klantgegevens_B!O644&lt;&gt;"", Klantgegevens_B!O644, IF(Klantgegevens_A!L644&gt;=7, "ja", "nee"))</f>
        <v/>
      </c>
      <c r="Q645">
        <f>IF(Klantgegevens_B!P644&lt;&gt;"", Klantgegevens_B!P644, Klantgegevens_A!M644)</f>
        <v/>
      </c>
      <c r="R645">
        <f>IF(Klantgegevens_B!A644&lt;&gt;"", "B", "A")</f>
        <v/>
      </c>
    </row>
    <row r="646">
      <c r="A646">
        <f>IF(Klantgegevens_B!A645&lt;&gt;"", Klantgegevens_B!A645, MID(Klantgegevens_A!A645, FIND(",", Klantgegevens_A!A645)+2, LEN(Klantgegevens_A!A645)))</f>
        <v/>
      </c>
      <c r="B646">
        <f>IF(Klantgegevens_B!B645&lt;&gt;"", Klantgegevens_B!B645, LEFT(Klantgegevens_A!A645, FIND(",", Klantgegevens_A!A645)-1))</f>
        <v/>
      </c>
      <c r="C646">
        <f>C645 &amp; ", " &amp; B645</f>
        <v/>
      </c>
      <c r="D646">
        <f>IF(Klantgegevens_B!F645&lt;&gt;"", Klantgegevens_B!F645, Klantgegevens_A!D645 &amp; " " &amp; Klantgegevens_A!E645 &amp; ", " &amp; Klantgegevens_A!F645)</f>
        <v/>
      </c>
      <c r="E646">
        <f>IF(Klantgegevens_B!G645&lt;&gt;"", Klantgegevens_B!G645, TEXTJOIN(",", TRUE, REPT("Volwassene,", Klantgegevens_A!G645), REPT("Kind,", Klantgegevens_A!H645)))</f>
        <v/>
      </c>
      <c r="F646">
        <f>IF(Klantgegevens_B!G645&lt;&gt;"", LEN(Klantgegevens_B!G645)-LEN(SUBSTITUTE(Klantgegevens_B!G645, ",", ""))+1, Klantgegevens_A!G645)</f>
        <v/>
      </c>
      <c r="G646">
        <f>IF(Klantgegevens_B!G645&lt;&gt;"", 0, Klantgegevens_A!H645)</f>
        <v/>
      </c>
      <c r="H646">
        <f>IF(Klantgegevens_B!H645&lt;&gt;"", Klantgegevens_B!H645, Klantgegevens_A!I645)</f>
        <v/>
      </c>
      <c r="I646">
        <f>IF(Klantgegevens_B!I645&lt;&gt;"", Klantgegevens_B!I645, SWITCH(Klantgegevens_A!J645, "Zelden", 1, "Af en toe", 4, "Regelmatig", 8, "Vaak", 12))</f>
        <v/>
      </c>
      <c r="J646">
        <f>IF(Klantgegevens_B!J645&lt;&gt;"", Klantgegevens_B!J645, Klantgegevens_A!K645)</f>
        <v/>
      </c>
      <c r="K646">
        <f>IF(Klantgegevens_B!K645&lt;&gt;"", AVERAGE(--(Klantgegevens_B!K645="ja"), --(Klantgegevens_B!L645="ja"), --(Klantgegevens_B!M645="ja"), --(Klantgegevens_B!N645="ja"), --(Klantgegevens_B!O645="ja"))*10, Klantgegevens_A!L645)</f>
        <v/>
      </c>
      <c r="L646">
        <f>IF(Klantgegevens_B!K645&lt;&gt;"", Klantgegevens_B!K645, IF(Klantgegevens_A!L645&gt;=7, "ja", "nee"))</f>
        <v/>
      </c>
      <c r="M646">
        <f>IF(Klantgegevens_B!L645&lt;&gt;"", Klantgegevens_B!L645, IF(Klantgegevens_A!L645&gt;=7, "ja", "nee"))</f>
        <v/>
      </c>
      <c r="N646">
        <f>IF(Klantgegevens_B!M645&lt;&gt;"", Klantgegevens_B!M645, IF(Klantgegevens_A!L645&gt;=7, "ja", "nee"))</f>
        <v/>
      </c>
      <c r="O646">
        <f>IF(Klantgegevens_B!N645&lt;&gt;"", Klantgegevens_B!N645, IF(Klantgegevens_A!L645&gt;=7, "ja", "nee"))</f>
        <v/>
      </c>
      <c r="P646">
        <f>IF(Klantgegevens_B!O645&lt;&gt;"", Klantgegevens_B!O645, IF(Klantgegevens_A!L645&gt;=7, "ja", "nee"))</f>
        <v/>
      </c>
      <c r="Q646">
        <f>IF(Klantgegevens_B!P645&lt;&gt;"", Klantgegevens_B!P645, Klantgegevens_A!M645)</f>
        <v/>
      </c>
      <c r="R646">
        <f>IF(Klantgegevens_B!A645&lt;&gt;"", "B", "A")</f>
        <v/>
      </c>
    </row>
    <row r="647">
      <c r="A647">
        <f>IF(Klantgegevens_B!A646&lt;&gt;"", Klantgegevens_B!A646, MID(Klantgegevens_A!A646, FIND(",", Klantgegevens_A!A646)+2, LEN(Klantgegevens_A!A646)))</f>
        <v/>
      </c>
      <c r="B647">
        <f>IF(Klantgegevens_B!B646&lt;&gt;"", Klantgegevens_B!B646, LEFT(Klantgegevens_A!A646, FIND(",", Klantgegevens_A!A646)-1))</f>
        <v/>
      </c>
      <c r="C647">
        <f>C646 &amp; ", " &amp; B646</f>
        <v/>
      </c>
      <c r="D647">
        <f>IF(Klantgegevens_B!F646&lt;&gt;"", Klantgegevens_B!F646, Klantgegevens_A!D646 &amp; " " &amp; Klantgegevens_A!E646 &amp; ", " &amp; Klantgegevens_A!F646)</f>
        <v/>
      </c>
      <c r="E647">
        <f>IF(Klantgegevens_B!G646&lt;&gt;"", Klantgegevens_B!G646, TEXTJOIN(",", TRUE, REPT("Volwassene,", Klantgegevens_A!G646), REPT("Kind,", Klantgegevens_A!H646)))</f>
        <v/>
      </c>
      <c r="F647">
        <f>IF(Klantgegevens_B!G646&lt;&gt;"", LEN(Klantgegevens_B!G646)-LEN(SUBSTITUTE(Klantgegevens_B!G646, ",", ""))+1, Klantgegevens_A!G646)</f>
        <v/>
      </c>
      <c r="G647">
        <f>IF(Klantgegevens_B!G646&lt;&gt;"", 0, Klantgegevens_A!H646)</f>
        <v/>
      </c>
      <c r="H647">
        <f>IF(Klantgegevens_B!H646&lt;&gt;"", Klantgegevens_B!H646, Klantgegevens_A!I646)</f>
        <v/>
      </c>
      <c r="I647">
        <f>IF(Klantgegevens_B!I646&lt;&gt;"", Klantgegevens_B!I646, SWITCH(Klantgegevens_A!J646, "Zelden", 1, "Af en toe", 4, "Regelmatig", 8, "Vaak", 12))</f>
        <v/>
      </c>
      <c r="J647">
        <f>IF(Klantgegevens_B!J646&lt;&gt;"", Klantgegevens_B!J646, Klantgegevens_A!K646)</f>
        <v/>
      </c>
      <c r="K647">
        <f>IF(Klantgegevens_B!K646&lt;&gt;"", AVERAGE(--(Klantgegevens_B!K646="ja"), --(Klantgegevens_B!L646="ja"), --(Klantgegevens_B!M646="ja"), --(Klantgegevens_B!N646="ja"), --(Klantgegevens_B!O646="ja"))*10, Klantgegevens_A!L646)</f>
        <v/>
      </c>
      <c r="L647">
        <f>IF(Klantgegevens_B!K646&lt;&gt;"", Klantgegevens_B!K646, IF(Klantgegevens_A!L646&gt;=7, "ja", "nee"))</f>
        <v/>
      </c>
      <c r="M647">
        <f>IF(Klantgegevens_B!L646&lt;&gt;"", Klantgegevens_B!L646, IF(Klantgegevens_A!L646&gt;=7, "ja", "nee"))</f>
        <v/>
      </c>
      <c r="N647">
        <f>IF(Klantgegevens_B!M646&lt;&gt;"", Klantgegevens_B!M646, IF(Klantgegevens_A!L646&gt;=7, "ja", "nee"))</f>
        <v/>
      </c>
      <c r="O647">
        <f>IF(Klantgegevens_B!N646&lt;&gt;"", Klantgegevens_B!N646, IF(Klantgegevens_A!L646&gt;=7, "ja", "nee"))</f>
        <v/>
      </c>
      <c r="P647">
        <f>IF(Klantgegevens_B!O646&lt;&gt;"", Klantgegevens_B!O646, IF(Klantgegevens_A!L646&gt;=7, "ja", "nee"))</f>
        <v/>
      </c>
      <c r="Q647">
        <f>IF(Klantgegevens_B!P646&lt;&gt;"", Klantgegevens_B!P646, Klantgegevens_A!M646)</f>
        <v/>
      </c>
      <c r="R647">
        <f>IF(Klantgegevens_B!A646&lt;&gt;"", "B", "A")</f>
        <v/>
      </c>
    </row>
    <row r="648">
      <c r="A648">
        <f>IF(Klantgegevens_B!A647&lt;&gt;"", Klantgegevens_B!A647, MID(Klantgegevens_A!A647, FIND(",", Klantgegevens_A!A647)+2, LEN(Klantgegevens_A!A647)))</f>
        <v/>
      </c>
      <c r="B648">
        <f>IF(Klantgegevens_B!B647&lt;&gt;"", Klantgegevens_B!B647, LEFT(Klantgegevens_A!A647, FIND(",", Klantgegevens_A!A647)-1))</f>
        <v/>
      </c>
      <c r="C648">
        <f>C647 &amp; ", " &amp; B647</f>
        <v/>
      </c>
      <c r="D648">
        <f>IF(Klantgegevens_B!F647&lt;&gt;"", Klantgegevens_B!F647, Klantgegevens_A!D647 &amp; " " &amp; Klantgegevens_A!E647 &amp; ", " &amp; Klantgegevens_A!F647)</f>
        <v/>
      </c>
      <c r="E648">
        <f>IF(Klantgegevens_B!G647&lt;&gt;"", Klantgegevens_B!G647, TEXTJOIN(",", TRUE, REPT("Volwassene,", Klantgegevens_A!G647), REPT("Kind,", Klantgegevens_A!H647)))</f>
        <v/>
      </c>
      <c r="F648">
        <f>IF(Klantgegevens_B!G647&lt;&gt;"", LEN(Klantgegevens_B!G647)-LEN(SUBSTITUTE(Klantgegevens_B!G647, ",", ""))+1, Klantgegevens_A!G647)</f>
        <v/>
      </c>
      <c r="G648">
        <f>IF(Klantgegevens_B!G647&lt;&gt;"", 0, Klantgegevens_A!H647)</f>
        <v/>
      </c>
      <c r="H648">
        <f>IF(Klantgegevens_B!H647&lt;&gt;"", Klantgegevens_B!H647, Klantgegevens_A!I647)</f>
        <v/>
      </c>
      <c r="I648">
        <f>IF(Klantgegevens_B!I647&lt;&gt;"", Klantgegevens_B!I647, SWITCH(Klantgegevens_A!J647, "Zelden", 1, "Af en toe", 4, "Regelmatig", 8, "Vaak", 12))</f>
        <v/>
      </c>
      <c r="J648">
        <f>IF(Klantgegevens_B!J647&lt;&gt;"", Klantgegevens_B!J647, Klantgegevens_A!K647)</f>
        <v/>
      </c>
      <c r="K648">
        <f>IF(Klantgegevens_B!K647&lt;&gt;"", AVERAGE(--(Klantgegevens_B!K647="ja"), --(Klantgegevens_B!L647="ja"), --(Klantgegevens_B!M647="ja"), --(Klantgegevens_B!N647="ja"), --(Klantgegevens_B!O647="ja"))*10, Klantgegevens_A!L647)</f>
        <v/>
      </c>
      <c r="L648">
        <f>IF(Klantgegevens_B!K647&lt;&gt;"", Klantgegevens_B!K647, IF(Klantgegevens_A!L647&gt;=7, "ja", "nee"))</f>
        <v/>
      </c>
      <c r="M648">
        <f>IF(Klantgegevens_B!L647&lt;&gt;"", Klantgegevens_B!L647, IF(Klantgegevens_A!L647&gt;=7, "ja", "nee"))</f>
        <v/>
      </c>
      <c r="N648">
        <f>IF(Klantgegevens_B!M647&lt;&gt;"", Klantgegevens_B!M647, IF(Klantgegevens_A!L647&gt;=7, "ja", "nee"))</f>
        <v/>
      </c>
      <c r="O648">
        <f>IF(Klantgegevens_B!N647&lt;&gt;"", Klantgegevens_B!N647, IF(Klantgegevens_A!L647&gt;=7, "ja", "nee"))</f>
        <v/>
      </c>
      <c r="P648">
        <f>IF(Klantgegevens_B!O647&lt;&gt;"", Klantgegevens_B!O647, IF(Klantgegevens_A!L647&gt;=7, "ja", "nee"))</f>
        <v/>
      </c>
      <c r="Q648">
        <f>IF(Klantgegevens_B!P647&lt;&gt;"", Klantgegevens_B!P647, Klantgegevens_A!M647)</f>
        <v/>
      </c>
      <c r="R648">
        <f>IF(Klantgegevens_B!A647&lt;&gt;"", "B", "A")</f>
        <v/>
      </c>
    </row>
    <row r="649">
      <c r="A649">
        <f>IF(Klantgegevens_B!A648&lt;&gt;"", Klantgegevens_B!A648, MID(Klantgegevens_A!A648, FIND(",", Klantgegevens_A!A648)+2, LEN(Klantgegevens_A!A648)))</f>
        <v/>
      </c>
      <c r="B649">
        <f>IF(Klantgegevens_B!B648&lt;&gt;"", Klantgegevens_B!B648, LEFT(Klantgegevens_A!A648, FIND(",", Klantgegevens_A!A648)-1))</f>
        <v/>
      </c>
      <c r="C649">
        <f>C648 &amp; ", " &amp; B648</f>
        <v/>
      </c>
      <c r="D649">
        <f>IF(Klantgegevens_B!F648&lt;&gt;"", Klantgegevens_B!F648, Klantgegevens_A!D648 &amp; " " &amp; Klantgegevens_A!E648 &amp; ", " &amp; Klantgegevens_A!F648)</f>
        <v/>
      </c>
      <c r="E649">
        <f>IF(Klantgegevens_B!G648&lt;&gt;"", Klantgegevens_B!G648, TEXTJOIN(",", TRUE, REPT("Volwassene,", Klantgegevens_A!G648), REPT("Kind,", Klantgegevens_A!H648)))</f>
        <v/>
      </c>
      <c r="F649">
        <f>IF(Klantgegevens_B!G648&lt;&gt;"", LEN(Klantgegevens_B!G648)-LEN(SUBSTITUTE(Klantgegevens_B!G648, ",", ""))+1, Klantgegevens_A!G648)</f>
        <v/>
      </c>
      <c r="G649">
        <f>IF(Klantgegevens_B!G648&lt;&gt;"", 0, Klantgegevens_A!H648)</f>
        <v/>
      </c>
      <c r="H649">
        <f>IF(Klantgegevens_B!H648&lt;&gt;"", Klantgegevens_B!H648, Klantgegevens_A!I648)</f>
        <v/>
      </c>
      <c r="I649">
        <f>IF(Klantgegevens_B!I648&lt;&gt;"", Klantgegevens_B!I648, SWITCH(Klantgegevens_A!J648, "Zelden", 1, "Af en toe", 4, "Regelmatig", 8, "Vaak", 12))</f>
        <v/>
      </c>
      <c r="J649">
        <f>IF(Klantgegevens_B!J648&lt;&gt;"", Klantgegevens_B!J648, Klantgegevens_A!K648)</f>
        <v/>
      </c>
      <c r="K649">
        <f>IF(Klantgegevens_B!K648&lt;&gt;"", AVERAGE(--(Klantgegevens_B!K648="ja"), --(Klantgegevens_B!L648="ja"), --(Klantgegevens_B!M648="ja"), --(Klantgegevens_B!N648="ja"), --(Klantgegevens_B!O648="ja"))*10, Klantgegevens_A!L648)</f>
        <v/>
      </c>
      <c r="L649">
        <f>IF(Klantgegevens_B!K648&lt;&gt;"", Klantgegevens_B!K648, IF(Klantgegevens_A!L648&gt;=7, "ja", "nee"))</f>
        <v/>
      </c>
      <c r="M649">
        <f>IF(Klantgegevens_B!L648&lt;&gt;"", Klantgegevens_B!L648, IF(Klantgegevens_A!L648&gt;=7, "ja", "nee"))</f>
        <v/>
      </c>
      <c r="N649">
        <f>IF(Klantgegevens_B!M648&lt;&gt;"", Klantgegevens_B!M648, IF(Klantgegevens_A!L648&gt;=7, "ja", "nee"))</f>
        <v/>
      </c>
      <c r="O649">
        <f>IF(Klantgegevens_B!N648&lt;&gt;"", Klantgegevens_B!N648, IF(Klantgegevens_A!L648&gt;=7, "ja", "nee"))</f>
        <v/>
      </c>
      <c r="P649">
        <f>IF(Klantgegevens_B!O648&lt;&gt;"", Klantgegevens_B!O648, IF(Klantgegevens_A!L648&gt;=7, "ja", "nee"))</f>
        <v/>
      </c>
      <c r="Q649">
        <f>IF(Klantgegevens_B!P648&lt;&gt;"", Klantgegevens_B!P648, Klantgegevens_A!M648)</f>
        <v/>
      </c>
      <c r="R649">
        <f>IF(Klantgegevens_B!A648&lt;&gt;"", "B", "A")</f>
        <v/>
      </c>
    </row>
    <row r="650">
      <c r="A650">
        <f>IF(Klantgegevens_B!A649&lt;&gt;"", Klantgegevens_B!A649, MID(Klantgegevens_A!A649, FIND(",", Klantgegevens_A!A649)+2, LEN(Klantgegevens_A!A649)))</f>
        <v/>
      </c>
      <c r="B650">
        <f>IF(Klantgegevens_B!B649&lt;&gt;"", Klantgegevens_B!B649, LEFT(Klantgegevens_A!A649, FIND(",", Klantgegevens_A!A649)-1))</f>
        <v/>
      </c>
      <c r="C650">
        <f>C649 &amp; ", " &amp; B649</f>
        <v/>
      </c>
      <c r="D650">
        <f>IF(Klantgegevens_B!F649&lt;&gt;"", Klantgegevens_B!F649, Klantgegevens_A!D649 &amp; " " &amp; Klantgegevens_A!E649 &amp; ", " &amp; Klantgegevens_A!F649)</f>
        <v/>
      </c>
      <c r="E650">
        <f>IF(Klantgegevens_B!G649&lt;&gt;"", Klantgegevens_B!G649, TEXTJOIN(",", TRUE, REPT("Volwassene,", Klantgegevens_A!G649), REPT("Kind,", Klantgegevens_A!H649)))</f>
        <v/>
      </c>
      <c r="F650">
        <f>IF(Klantgegevens_B!G649&lt;&gt;"", LEN(Klantgegevens_B!G649)-LEN(SUBSTITUTE(Klantgegevens_B!G649, ",", ""))+1, Klantgegevens_A!G649)</f>
        <v/>
      </c>
      <c r="G650">
        <f>IF(Klantgegevens_B!G649&lt;&gt;"", 0, Klantgegevens_A!H649)</f>
        <v/>
      </c>
      <c r="H650">
        <f>IF(Klantgegevens_B!H649&lt;&gt;"", Klantgegevens_B!H649, Klantgegevens_A!I649)</f>
        <v/>
      </c>
      <c r="I650">
        <f>IF(Klantgegevens_B!I649&lt;&gt;"", Klantgegevens_B!I649, SWITCH(Klantgegevens_A!J649, "Zelden", 1, "Af en toe", 4, "Regelmatig", 8, "Vaak", 12))</f>
        <v/>
      </c>
      <c r="J650">
        <f>IF(Klantgegevens_B!J649&lt;&gt;"", Klantgegevens_B!J649, Klantgegevens_A!K649)</f>
        <v/>
      </c>
      <c r="K650">
        <f>IF(Klantgegevens_B!K649&lt;&gt;"", AVERAGE(--(Klantgegevens_B!K649="ja"), --(Klantgegevens_B!L649="ja"), --(Klantgegevens_B!M649="ja"), --(Klantgegevens_B!N649="ja"), --(Klantgegevens_B!O649="ja"))*10, Klantgegevens_A!L649)</f>
        <v/>
      </c>
      <c r="L650">
        <f>IF(Klantgegevens_B!K649&lt;&gt;"", Klantgegevens_B!K649, IF(Klantgegevens_A!L649&gt;=7, "ja", "nee"))</f>
        <v/>
      </c>
      <c r="M650">
        <f>IF(Klantgegevens_B!L649&lt;&gt;"", Klantgegevens_B!L649, IF(Klantgegevens_A!L649&gt;=7, "ja", "nee"))</f>
        <v/>
      </c>
      <c r="N650">
        <f>IF(Klantgegevens_B!M649&lt;&gt;"", Klantgegevens_B!M649, IF(Klantgegevens_A!L649&gt;=7, "ja", "nee"))</f>
        <v/>
      </c>
      <c r="O650">
        <f>IF(Klantgegevens_B!N649&lt;&gt;"", Klantgegevens_B!N649, IF(Klantgegevens_A!L649&gt;=7, "ja", "nee"))</f>
        <v/>
      </c>
      <c r="P650">
        <f>IF(Klantgegevens_B!O649&lt;&gt;"", Klantgegevens_B!O649, IF(Klantgegevens_A!L649&gt;=7, "ja", "nee"))</f>
        <v/>
      </c>
      <c r="Q650">
        <f>IF(Klantgegevens_B!P649&lt;&gt;"", Klantgegevens_B!P649, Klantgegevens_A!M649)</f>
        <v/>
      </c>
      <c r="R650">
        <f>IF(Klantgegevens_B!A649&lt;&gt;"", "B", "A")</f>
        <v/>
      </c>
    </row>
    <row r="651">
      <c r="A651">
        <f>IF(Klantgegevens_B!A650&lt;&gt;"", Klantgegevens_B!A650, MID(Klantgegevens_A!A650, FIND(",", Klantgegevens_A!A650)+2, LEN(Klantgegevens_A!A650)))</f>
        <v/>
      </c>
      <c r="B651">
        <f>IF(Klantgegevens_B!B650&lt;&gt;"", Klantgegevens_B!B650, LEFT(Klantgegevens_A!A650, FIND(",", Klantgegevens_A!A650)-1))</f>
        <v/>
      </c>
      <c r="C651">
        <f>C650 &amp; ", " &amp; B650</f>
        <v/>
      </c>
      <c r="D651">
        <f>IF(Klantgegevens_B!F650&lt;&gt;"", Klantgegevens_B!F650, Klantgegevens_A!D650 &amp; " " &amp; Klantgegevens_A!E650 &amp; ", " &amp; Klantgegevens_A!F650)</f>
        <v/>
      </c>
      <c r="E651">
        <f>IF(Klantgegevens_B!G650&lt;&gt;"", Klantgegevens_B!G650, TEXTJOIN(",", TRUE, REPT("Volwassene,", Klantgegevens_A!G650), REPT("Kind,", Klantgegevens_A!H650)))</f>
        <v/>
      </c>
      <c r="F651">
        <f>IF(Klantgegevens_B!G650&lt;&gt;"", LEN(Klantgegevens_B!G650)-LEN(SUBSTITUTE(Klantgegevens_B!G650, ",", ""))+1, Klantgegevens_A!G650)</f>
        <v/>
      </c>
      <c r="G651">
        <f>IF(Klantgegevens_B!G650&lt;&gt;"", 0, Klantgegevens_A!H650)</f>
        <v/>
      </c>
      <c r="H651">
        <f>IF(Klantgegevens_B!H650&lt;&gt;"", Klantgegevens_B!H650, Klantgegevens_A!I650)</f>
        <v/>
      </c>
      <c r="I651">
        <f>IF(Klantgegevens_B!I650&lt;&gt;"", Klantgegevens_B!I650, SWITCH(Klantgegevens_A!J650, "Zelden", 1, "Af en toe", 4, "Regelmatig", 8, "Vaak", 12))</f>
        <v/>
      </c>
      <c r="J651">
        <f>IF(Klantgegevens_B!J650&lt;&gt;"", Klantgegevens_B!J650, Klantgegevens_A!K650)</f>
        <v/>
      </c>
      <c r="K651">
        <f>IF(Klantgegevens_B!K650&lt;&gt;"", AVERAGE(--(Klantgegevens_B!K650="ja"), --(Klantgegevens_B!L650="ja"), --(Klantgegevens_B!M650="ja"), --(Klantgegevens_B!N650="ja"), --(Klantgegevens_B!O650="ja"))*10, Klantgegevens_A!L650)</f>
        <v/>
      </c>
      <c r="L651">
        <f>IF(Klantgegevens_B!K650&lt;&gt;"", Klantgegevens_B!K650, IF(Klantgegevens_A!L650&gt;=7, "ja", "nee"))</f>
        <v/>
      </c>
      <c r="M651">
        <f>IF(Klantgegevens_B!L650&lt;&gt;"", Klantgegevens_B!L650, IF(Klantgegevens_A!L650&gt;=7, "ja", "nee"))</f>
        <v/>
      </c>
      <c r="N651">
        <f>IF(Klantgegevens_B!M650&lt;&gt;"", Klantgegevens_B!M650, IF(Klantgegevens_A!L650&gt;=7, "ja", "nee"))</f>
        <v/>
      </c>
      <c r="O651">
        <f>IF(Klantgegevens_B!N650&lt;&gt;"", Klantgegevens_B!N650, IF(Klantgegevens_A!L650&gt;=7, "ja", "nee"))</f>
        <v/>
      </c>
      <c r="P651">
        <f>IF(Klantgegevens_B!O650&lt;&gt;"", Klantgegevens_B!O650, IF(Klantgegevens_A!L650&gt;=7, "ja", "nee"))</f>
        <v/>
      </c>
      <c r="Q651">
        <f>IF(Klantgegevens_B!P650&lt;&gt;"", Klantgegevens_B!P650, Klantgegevens_A!M650)</f>
        <v/>
      </c>
      <c r="R651">
        <f>IF(Klantgegevens_B!A650&lt;&gt;"", "B", "A")</f>
        <v/>
      </c>
    </row>
    <row r="652">
      <c r="A652">
        <f>IF(Klantgegevens_B!A651&lt;&gt;"", Klantgegevens_B!A651, MID(Klantgegevens_A!A651, FIND(",", Klantgegevens_A!A651)+2, LEN(Klantgegevens_A!A651)))</f>
        <v/>
      </c>
      <c r="B652">
        <f>IF(Klantgegevens_B!B651&lt;&gt;"", Klantgegevens_B!B651, LEFT(Klantgegevens_A!A651, FIND(",", Klantgegevens_A!A651)-1))</f>
        <v/>
      </c>
      <c r="C652">
        <f>C651 &amp; ", " &amp; B651</f>
        <v/>
      </c>
      <c r="D652">
        <f>IF(Klantgegevens_B!F651&lt;&gt;"", Klantgegevens_B!F651, Klantgegevens_A!D651 &amp; " " &amp; Klantgegevens_A!E651 &amp; ", " &amp; Klantgegevens_A!F651)</f>
        <v/>
      </c>
      <c r="E652">
        <f>IF(Klantgegevens_B!G651&lt;&gt;"", Klantgegevens_B!G651, TEXTJOIN(",", TRUE, REPT("Volwassene,", Klantgegevens_A!G651), REPT("Kind,", Klantgegevens_A!H651)))</f>
        <v/>
      </c>
      <c r="F652">
        <f>IF(Klantgegevens_B!G651&lt;&gt;"", LEN(Klantgegevens_B!G651)-LEN(SUBSTITUTE(Klantgegevens_B!G651, ",", ""))+1, Klantgegevens_A!G651)</f>
        <v/>
      </c>
      <c r="G652">
        <f>IF(Klantgegevens_B!G651&lt;&gt;"", 0, Klantgegevens_A!H651)</f>
        <v/>
      </c>
      <c r="H652">
        <f>IF(Klantgegevens_B!H651&lt;&gt;"", Klantgegevens_B!H651, Klantgegevens_A!I651)</f>
        <v/>
      </c>
      <c r="I652">
        <f>IF(Klantgegevens_B!I651&lt;&gt;"", Klantgegevens_B!I651, SWITCH(Klantgegevens_A!J651, "Zelden", 1, "Af en toe", 4, "Regelmatig", 8, "Vaak", 12))</f>
        <v/>
      </c>
      <c r="J652">
        <f>IF(Klantgegevens_B!J651&lt;&gt;"", Klantgegevens_B!J651, Klantgegevens_A!K651)</f>
        <v/>
      </c>
      <c r="K652">
        <f>IF(Klantgegevens_B!K651&lt;&gt;"", AVERAGE(--(Klantgegevens_B!K651="ja"), --(Klantgegevens_B!L651="ja"), --(Klantgegevens_B!M651="ja"), --(Klantgegevens_B!N651="ja"), --(Klantgegevens_B!O651="ja"))*10, Klantgegevens_A!L651)</f>
        <v/>
      </c>
      <c r="L652">
        <f>IF(Klantgegevens_B!K651&lt;&gt;"", Klantgegevens_B!K651, IF(Klantgegevens_A!L651&gt;=7, "ja", "nee"))</f>
        <v/>
      </c>
      <c r="M652">
        <f>IF(Klantgegevens_B!L651&lt;&gt;"", Klantgegevens_B!L651, IF(Klantgegevens_A!L651&gt;=7, "ja", "nee"))</f>
        <v/>
      </c>
      <c r="N652">
        <f>IF(Klantgegevens_B!M651&lt;&gt;"", Klantgegevens_B!M651, IF(Klantgegevens_A!L651&gt;=7, "ja", "nee"))</f>
        <v/>
      </c>
      <c r="O652">
        <f>IF(Klantgegevens_B!N651&lt;&gt;"", Klantgegevens_B!N651, IF(Klantgegevens_A!L651&gt;=7, "ja", "nee"))</f>
        <v/>
      </c>
      <c r="P652">
        <f>IF(Klantgegevens_B!O651&lt;&gt;"", Klantgegevens_B!O651, IF(Klantgegevens_A!L651&gt;=7, "ja", "nee"))</f>
        <v/>
      </c>
      <c r="Q652">
        <f>IF(Klantgegevens_B!P651&lt;&gt;"", Klantgegevens_B!P651, Klantgegevens_A!M651)</f>
        <v/>
      </c>
      <c r="R652">
        <f>IF(Klantgegevens_B!A651&lt;&gt;"", "B", "A")</f>
        <v/>
      </c>
    </row>
    <row r="653">
      <c r="A653">
        <f>IF(Klantgegevens_B!A652&lt;&gt;"", Klantgegevens_B!A652, MID(Klantgegevens_A!A652, FIND(",", Klantgegevens_A!A652)+2, LEN(Klantgegevens_A!A652)))</f>
        <v/>
      </c>
      <c r="B653">
        <f>IF(Klantgegevens_B!B652&lt;&gt;"", Klantgegevens_B!B652, LEFT(Klantgegevens_A!A652, FIND(",", Klantgegevens_A!A652)-1))</f>
        <v/>
      </c>
      <c r="C653">
        <f>C652 &amp; ", " &amp; B652</f>
        <v/>
      </c>
      <c r="D653">
        <f>IF(Klantgegevens_B!F652&lt;&gt;"", Klantgegevens_B!F652, Klantgegevens_A!D652 &amp; " " &amp; Klantgegevens_A!E652 &amp; ", " &amp; Klantgegevens_A!F652)</f>
        <v/>
      </c>
      <c r="E653">
        <f>IF(Klantgegevens_B!G652&lt;&gt;"", Klantgegevens_B!G652, TEXTJOIN(",", TRUE, REPT("Volwassene,", Klantgegevens_A!G652), REPT("Kind,", Klantgegevens_A!H652)))</f>
        <v/>
      </c>
      <c r="F653">
        <f>IF(Klantgegevens_B!G652&lt;&gt;"", LEN(Klantgegevens_B!G652)-LEN(SUBSTITUTE(Klantgegevens_B!G652, ",", ""))+1, Klantgegevens_A!G652)</f>
        <v/>
      </c>
      <c r="G653">
        <f>IF(Klantgegevens_B!G652&lt;&gt;"", 0, Klantgegevens_A!H652)</f>
        <v/>
      </c>
      <c r="H653">
        <f>IF(Klantgegevens_B!H652&lt;&gt;"", Klantgegevens_B!H652, Klantgegevens_A!I652)</f>
        <v/>
      </c>
      <c r="I653">
        <f>IF(Klantgegevens_B!I652&lt;&gt;"", Klantgegevens_B!I652, SWITCH(Klantgegevens_A!J652, "Zelden", 1, "Af en toe", 4, "Regelmatig", 8, "Vaak", 12))</f>
        <v/>
      </c>
      <c r="J653">
        <f>IF(Klantgegevens_B!J652&lt;&gt;"", Klantgegevens_B!J652, Klantgegevens_A!K652)</f>
        <v/>
      </c>
      <c r="K653">
        <f>IF(Klantgegevens_B!K652&lt;&gt;"", AVERAGE(--(Klantgegevens_B!K652="ja"), --(Klantgegevens_B!L652="ja"), --(Klantgegevens_B!M652="ja"), --(Klantgegevens_B!N652="ja"), --(Klantgegevens_B!O652="ja"))*10, Klantgegevens_A!L652)</f>
        <v/>
      </c>
      <c r="L653">
        <f>IF(Klantgegevens_B!K652&lt;&gt;"", Klantgegevens_B!K652, IF(Klantgegevens_A!L652&gt;=7, "ja", "nee"))</f>
        <v/>
      </c>
      <c r="M653">
        <f>IF(Klantgegevens_B!L652&lt;&gt;"", Klantgegevens_B!L652, IF(Klantgegevens_A!L652&gt;=7, "ja", "nee"))</f>
        <v/>
      </c>
      <c r="N653">
        <f>IF(Klantgegevens_B!M652&lt;&gt;"", Klantgegevens_B!M652, IF(Klantgegevens_A!L652&gt;=7, "ja", "nee"))</f>
        <v/>
      </c>
      <c r="O653">
        <f>IF(Klantgegevens_B!N652&lt;&gt;"", Klantgegevens_B!N652, IF(Klantgegevens_A!L652&gt;=7, "ja", "nee"))</f>
        <v/>
      </c>
      <c r="P653">
        <f>IF(Klantgegevens_B!O652&lt;&gt;"", Klantgegevens_B!O652, IF(Klantgegevens_A!L652&gt;=7, "ja", "nee"))</f>
        <v/>
      </c>
      <c r="Q653">
        <f>IF(Klantgegevens_B!P652&lt;&gt;"", Klantgegevens_B!P652, Klantgegevens_A!M652)</f>
        <v/>
      </c>
      <c r="R653">
        <f>IF(Klantgegevens_B!A652&lt;&gt;"", "B", "A")</f>
        <v/>
      </c>
    </row>
    <row r="654">
      <c r="A654">
        <f>IF(Klantgegevens_B!A653&lt;&gt;"", Klantgegevens_B!A653, MID(Klantgegevens_A!A653, FIND(",", Klantgegevens_A!A653)+2, LEN(Klantgegevens_A!A653)))</f>
        <v/>
      </c>
      <c r="B654">
        <f>IF(Klantgegevens_B!B653&lt;&gt;"", Klantgegevens_B!B653, LEFT(Klantgegevens_A!A653, FIND(",", Klantgegevens_A!A653)-1))</f>
        <v/>
      </c>
      <c r="C654">
        <f>C653 &amp; ", " &amp; B653</f>
        <v/>
      </c>
      <c r="D654">
        <f>IF(Klantgegevens_B!F653&lt;&gt;"", Klantgegevens_B!F653, Klantgegevens_A!D653 &amp; " " &amp; Klantgegevens_A!E653 &amp; ", " &amp; Klantgegevens_A!F653)</f>
        <v/>
      </c>
      <c r="E654">
        <f>IF(Klantgegevens_B!G653&lt;&gt;"", Klantgegevens_B!G653, TEXTJOIN(",", TRUE, REPT("Volwassene,", Klantgegevens_A!G653), REPT("Kind,", Klantgegevens_A!H653)))</f>
        <v/>
      </c>
      <c r="F654">
        <f>IF(Klantgegevens_B!G653&lt;&gt;"", LEN(Klantgegevens_B!G653)-LEN(SUBSTITUTE(Klantgegevens_B!G653, ",", ""))+1, Klantgegevens_A!G653)</f>
        <v/>
      </c>
      <c r="G654">
        <f>IF(Klantgegevens_B!G653&lt;&gt;"", 0, Klantgegevens_A!H653)</f>
        <v/>
      </c>
      <c r="H654">
        <f>IF(Klantgegevens_B!H653&lt;&gt;"", Klantgegevens_B!H653, Klantgegevens_A!I653)</f>
        <v/>
      </c>
      <c r="I654">
        <f>IF(Klantgegevens_B!I653&lt;&gt;"", Klantgegevens_B!I653, SWITCH(Klantgegevens_A!J653, "Zelden", 1, "Af en toe", 4, "Regelmatig", 8, "Vaak", 12))</f>
        <v/>
      </c>
      <c r="J654">
        <f>IF(Klantgegevens_B!J653&lt;&gt;"", Klantgegevens_B!J653, Klantgegevens_A!K653)</f>
        <v/>
      </c>
      <c r="K654">
        <f>IF(Klantgegevens_B!K653&lt;&gt;"", AVERAGE(--(Klantgegevens_B!K653="ja"), --(Klantgegevens_B!L653="ja"), --(Klantgegevens_B!M653="ja"), --(Klantgegevens_B!N653="ja"), --(Klantgegevens_B!O653="ja"))*10, Klantgegevens_A!L653)</f>
        <v/>
      </c>
      <c r="L654">
        <f>IF(Klantgegevens_B!K653&lt;&gt;"", Klantgegevens_B!K653, IF(Klantgegevens_A!L653&gt;=7, "ja", "nee"))</f>
        <v/>
      </c>
      <c r="M654">
        <f>IF(Klantgegevens_B!L653&lt;&gt;"", Klantgegevens_B!L653, IF(Klantgegevens_A!L653&gt;=7, "ja", "nee"))</f>
        <v/>
      </c>
      <c r="N654">
        <f>IF(Klantgegevens_B!M653&lt;&gt;"", Klantgegevens_B!M653, IF(Klantgegevens_A!L653&gt;=7, "ja", "nee"))</f>
        <v/>
      </c>
      <c r="O654">
        <f>IF(Klantgegevens_B!N653&lt;&gt;"", Klantgegevens_B!N653, IF(Klantgegevens_A!L653&gt;=7, "ja", "nee"))</f>
        <v/>
      </c>
      <c r="P654">
        <f>IF(Klantgegevens_B!O653&lt;&gt;"", Klantgegevens_B!O653, IF(Klantgegevens_A!L653&gt;=7, "ja", "nee"))</f>
        <v/>
      </c>
      <c r="Q654">
        <f>IF(Klantgegevens_B!P653&lt;&gt;"", Klantgegevens_B!P653, Klantgegevens_A!M653)</f>
        <v/>
      </c>
      <c r="R654">
        <f>IF(Klantgegevens_B!A653&lt;&gt;"", "B", "A")</f>
        <v/>
      </c>
    </row>
    <row r="655">
      <c r="A655">
        <f>IF(Klantgegevens_B!A654&lt;&gt;"", Klantgegevens_B!A654, MID(Klantgegevens_A!A654, FIND(",", Klantgegevens_A!A654)+2, LEN(Klantgegevens_A!A654)))</f>
        <v/>
      </c>
      <c r="B655">
        <f>IF(Klantgegevens_B!B654&lt;&gt;"", Klantgegevens_B!B654, LEFT(Klantgegevens_A!A654, FIND(",", Klantgegevens_A!A654)-1))</f>
        <v/>
      </c>
      <c r="C655">
        <f>C654 &amp; ", " &amp; B654</f>
        <v/>
      </c>
      <c r="D655">
        <f>IF(Klantgegevens_B!F654&lt;&gt;"", Klantgegevens_B!F654, Klantgegevens_A!D654 &amp; " " &amp; Klantgegevens_A!E654 &amp; ", " &amp; Klantgegevens_A!F654)</f>
        <v/>
      </c>
      <c r="E655">
        <f>IF(Klantgegevens_B!G654&lt;&gt;"", Klantgegevens_B!G654, TEXTJOIN(",", TRUE, REPT("Volwassene,", Klantgegevens_A!G654), REPT("Kind,", Klantgegevens_A!H654)))</f>
        <v/>
      </c>
      <c r="F655">
        <f>IF(Klantgegevens_B!G654&lt;&gt;"", LEN(Klantgegevens_B!G654)-LEN(SUBSTITUTE(Klantgegevens_B!G654, ",", ""))+1, Klantgegevens_A!G654)</f>
        <v/>
      </c>
      <c r="G655">
        <f>IF(Klantgegevens_B!G654&lt;&gt;"", 0, Klantgegevens_A!H654)</f>
        <v/>
      </c>
      <c r="H655">
        <f>IF(Klantgegevens_B!H654&lt;&gt;"", Klantgegevens_B!H654, Klantgegevens_A!I654)</f>
        <v/>
      </c>
      <c r="I655">
        <f>IF(Klantgegevens_B!I654&lt;&gt;"", Klantgegevens_B!I654, SWITCH(Klantgegevens_A!J654, "Zelden", 1, "Af en toe", 4, "Regelmatig", 8, "Vaak", 12))</f>
        <v/>
      </c>
      <c r="J655">
        <f>IF(Klantgegevens_B!J654&lt;&gt;"", Klantgegevens_B!J654, Klantgegevens_A!K654)</f>
        <v/>
      </c>
      <c r="K655">
        <f>IF(Klantgegevens_B!K654&lt;&gt;"", AVERAGE(--(Klantgegevens_B!K654="ja"), --(Klantgegevens_B!L654="ja"), --(Klantgegevens_B!M654="ja"), --(Klantgegevens_B!N654="ja"), --(Klantgegevens_B!O654="ja"))*10, Klantgegevens_A!L654)</f>
        <v/>
      </c>
      <c r="L655">
        <f>IF(Klantgegevens_B!K654&lt;&gt;"", Klantgegevens_B!K654, IF(Klantgegevens_A!L654&gt;=7, "ja", "nee"))</f>
        <v/>
      </c>
      <c r="M655">
        <f>IF(Klantgegevens_B!L654&lt;&gt;"", Klantgegevens_B!L654, IF(Klantgegevens_A!L654&gt;=7, "ja", "nee"))</f>
        <v/>
      </c>
      <c r="N655">
        <f>IF(Klantgegevens_B!M654&lt;&gt;"", Klantgegevens_B!M654, IF(Klantgegevens_A!L654&gt;=7, "ja", "nee"))</f>
        <v/>
      </c>
      <c r="O655">
        <f>IF(Klantgegevens_B!N654&lt;&gt;"", Klantgegevens_B!N654, IF(Klantgegevens_A!L654&gt;=7, "ja", "nee"))</f>
        <v/>
      </c>
      <c r="P655">
        <f>IF(Klantgegevens_B!O654&lt;&gt;"", Klantgegevens_B!O654, IF(Klantgegevens_A!L654&gt;=7, "ja", "nee"))</f>
        <v/>
      </c>
      <c r="Q655">
        <f>IF(Klantgegevens_B!P654&lt;&gt;"", Klantgegevens_B!P654, Klantgegevens_A!M654)</f>
        <v/>
      </c>
      <c r="R655">
        <f>IF(Klantgegevens_B!A654&lt;&gt;"", "B", "A")</f>
        <v/>
      </c>
    </row>
    <row r="656">
      <c r="A656">
        <f>IF(Klantgegevens_B!A655&lt;&gt;"", Klantgegevens_B!A655, MID(Klantgegevens_A!A655, FIND(",", Klantgegevens_A!A655)+2, LEN(Klantgegevens_A!A655)))</f>
        <v/>
      </c>
      <c r="B656">
        <f>IF(Klantgegevens_B!B655&lt;&gt;"", Klantgegevens_B!B655, LEFT(Klantgegevens_A!A655, FIND(",", Klantgegevens_A!A655)-1))</f>
        <v/>
      </c>
      <c r="C656">
        <f>C655 &amp; ", " &amp; B655</f>
        <v/>
      </c>
      <c r="D656">
        <f>IF(Klantgegevens_B!F655&lt;&gt;"", Klantgegevens_B!F655, Klantgegevens_A!D655 &amp; " " &amp; Klantgegevens_A!E655 &amp; ", " &amp; Klantgegevens_A!F655)</f>
        <v/>
      </c>
      <c r="E656">
        <f>IF(Klantgegevens_B!G655&lt;&gt;"", Klantgegevens_B!G655, TEXTJOIN(",", TRUE, REPT("Volwassene,", Klantgegevens_A!G655), REPT("Kind,", Klantgegevens_A!H655)))</f>
        <v/>
      </c>
      <c r="F656">
        <f>IF(Klantgegevens_B!G655&lt;&gt;"", LEN(Klantgegevens_B!G655)-LEN(SUBSTITUTE(Klantgegevens_B!G655, ",", ""))+1, Klantgegevens_A!G655)</f>
        <v/>
      </c>
      <c r="G656">
        <f>IF(Klantgegevens_B!G655&lt;&gt;"", 0, Klantgegevens_A!H655)</f>
        <v/>
      </c>
      <c r="H656">
        <f>IF(Klantgegevens_B!H655&lt;&gt;"", Klantgegevens_B!H655, Klantgegevens_A!I655)</f>
        <v/>
      </c>
      <c r="I656">
        <f>IF(Klantgegevens_B!I655&lt;&gt;"", Klantgegevens_B!I655, SWITCH(Klantgegevens_A!J655, "Zelden", 1, "Af en toe", 4, "Regelmatig", 8, "Vaak", 12))</f>
        <v/>
      </c>
      <c r="J656">
        <f>IF(Klantgegevens_B!J655&lt;&gt;"", Klantgegevens_B!J655, Klantgegevens_A!K655)</f>
        <v/>
      </c>
      <c r="K656">
        <f>IF(Klantgegevens_B!K655&lt;&gt;"", AVERAGE(--(Klantgegevens_B!K655="ja"), --(Klantgegevens_B!L655="ja"), --(Klantgegevens_B!M655="ja"), --(Klantgegevens_B!N655="ja"), --(Klantgegevens_B!O655="ja"))*10, Klantgegevens_A!L655)</f>
        <v/>
      </c>
      <c r="L656">
        <f>IF(Klantgegevens_B!K655&lt;&gt;"", Klantgegevens_B!K655, IF(Klantgegevens_A!L655&gt;=7, "ja", "nee"))</f>
        <v/>
      </c>
      <c r="M656">
        <f>IF(Klantgegevens_B!L655&lt;&gt;"", Klantgegevens_B!L655, IF(Klantgegevens_A!L655&gt;=7, "ja", "nee"))</f>
        <v/>
      </c>
      <c r="N656">
        <f>IF(Klantgegevens_B!M655&lt;&gt;"", Klantgegevens_B!M655, IF(Klantgegevens_A!L655&gt;=7, "ja", "nee"))</f>
        <v/>
      </c>
      <c r="O656">
        <f>IF(Klantgegevens_B!N655&lt;&gt;"", Klantgegevens_B!N655, IF(Klantgegevens_A!L655&gt;=7, "ja", "nee"))</f>
        <v/>
      </c>
      <c r="P656">
        <f>IF(Klantgegevens_B!O655&lt;&gt;"", Klantgegevens_B!O655, IF(Klantgegevens_A!L655&gt;=7, "ja", "nee"))</f>
        <v/>
      </c>
      <c r="Q656">
        <f>IF(Klantgegevens_B!P655&lt;&gt;"", Klantgegevens_B!P655, Klantgegevens_A!M655)</f>
        <v/>
      </c>
      <c r="R656">
        <f>IF(Klantgegevens_B!A655&lt;&gt;"", "B", "A")</f>
        <v/>
      </c>
    </row>
    <row r="657">
      <c r="A657">
        <f>IF(Klantgegevens_B!A656&lt;&gt;"", Klantgegevens_B!A656, MID(Klantgegevens_A!A656, FIND(",", Klantgegevens_A!A656)+2, LEN(Klantgegevens_A!A656)))</f>
        <v/>
      </c>
      <c r="B657">
        <f>IF(Klantgegevens_B!B656&lt;&gt;"", Klantgegevens_B!B656, LEFT(Klantgegevens_A!A656, FIND(",", Klantgegevens_A!A656)-1))</f>
        <v/>
      </c>
      <c r="C657">
        <f>C656 &amp; ", " &amp; B656</f>
        <v/>
      </c>
      <c r="D657">
        <f>IF(Klantgegevens_B!F656&lt;&gt;"", Klantgegevens_B!F656, Klantgegevens_A!D656 &amp; " " &amp; Klantgegevens_A!E656 &amp; ", " &amp; Klantgegevens_A!F656)</f>
        <v/>
      </c>
      <c r="E657">
        <f>IF(Klantgegevens_B!G656&lt;&gt;"", Klantgegevens_B!G656, TEXTJOIN(",", TRUE, REPT("Volwassene,", Klantgegevens_A!G656), REPT("Kind,", Klantgegevens_A!H656)))</f>
        <v/>
      </c>
      <c r="F657">
        <f>IF(Klantgegevens_B!G656&lt;&gt;"", LEN(Klantgegevens_B!G656)-LEN(SUBSTITUTE(Klantgegevens_B!G656, ",", ""))+1, Klantgegevens_A!G656)</f>
        <v/>
      </c>
      <c r="G657">
        <f>IF(Klantgegevens_B!G656&lt;&gt;"", 0, Klantgegevens_A!H656)</f>
        <v/>
      </c>
      <c r="H657">
        <f>IF(Klantgegevens_B!H656&lt;&gt;"", Klantgegevens_B!H656, Klantgegevens_A!I656)</f>
        <v/>
      </c>
      <c r="I657">
        <f>IF(Klantgegevens_B!I656&lt;&gt;"", Klantgegevens_B!I656, SWITCH(Klantgegevens_A!J656, "Zelden", 1, "Af en toe", 4, "Regelmatig", 8, "Vaak", 12))</f>
        <v/>
      </c>
      <c r="J657">
        <f>IF(Klantgegevens_B!J656&lt;&gt;"", Klantgegevens_B!J656, Klantgegevens_A!K656)</f>
        <v/>
      </c>
      <c r="K657">
        <f>IF(Klantgegevens_B!K656&lt;&gt;"", AVERAGE(--(Klantgegevens_B!K656="ja"), --(Klantgegevens_B!L656="ja"), --(Klantgegevens_B!M656="ja"), --(Klantgegevens_B!N656="ja"), --(Klantgegevens_B!O656="ja"))*10, Klantgegevens_A!L656)</f>
        <v/>
      </c>
      <c r="L657">
        <f>IF(Klantgegevens_B!K656&lt;&gt;"", Klantgegevens_B!K656, IF(Klantgegevens_A!L656&gt;=7, "ja", "nee"))</f>
        <v/>
      </c>
      <c r="M657">
        <f>IF(Klantgegevens_B!L656&lt;&gt;"", Klantgegevens_B!L656, IF(Klantgegevens_A!L656&gt;=7, "ja", "nee"))</f>
        <v/>
      </c>
      <c r="N657">
        <f>IF(Klantgegevens_B!M656&lt;&gt;"", Klantgegevens_B!M656, IF(Klantgegevens_A!L656&gt;=7, "ja", "nee"))</f>
        <v/>
      </c>
      <c r="O657">
        <f>IF(Klantgegevens_B!N656&lt;&gt;"", Klantgegevens_B!N656, IF(Klantgegevens_A!L656&gt;=7, "ja", "nee"))</f>
        <v/>
      </c>
      <c r="P657">
        <f>IF(Klantgegevens_B!O656&lt;&gt;"", Klantgegevens_B!O656, IF(Klantgegevens_A!L656&gt;=7, "ja", "nee"))</f>
        <v/>
      </c>
      <c r="Q657">
        <f>IF(Klantgegevens_B!P656&lt;&gt;"", Klantgegevens_B!P656, Klantgegevens_A!M656)</f>
        <v/>
      </c>
      <c r="R657">
        <f>IF(Klantgegevens_B!A656&lt;&gt;"", "B", "A")</f>
        <v/>
      </c>
    </row>
    <row r="658">
      <c r="A658">
        <f>IF(Klantgegevens_B!A657&lt;&gt;"", Klantgegevens_B!A657, MID(Klantgegevens_A!A657, FIND(",", Klantgegevens_A!A657)+2, LEN(Klantgegevens_A!A657)))</f>
        <v/>
      </c>
      <c r="B658">
        <f>IF(Klantgegevens_B!B657&lt;&gt;"", Klantgegevens_B!B657, LEFT(Klantgegevens_A!A657, FIND(",", Klantgegevens_A!A657)-1))</f>
        <v/>
      </c>
      <c r="C658">
        <f>C657 &amp; ", " &amp; B657</f>
        <v/>
      </c>
      <c r="D658">
        <f>IF(Klantgegevens_B!F657&lt;&gt;"", Klantgegevens_B!F657, Klantgegevens_A!D657 &amp; " " &amp; Klantgegevens_A!E657 &amp; ", " &amp; Klantgegevens_A!F657)</f>
        <v/>
      </c>
      <c r="E658">
        <f>IF(Klantgegevens_B!G657&lt;&gt;"", Klantgegevens_B!G657, TEXTJOIN(",", TRUE, REPT("Volwassene,", Klantgegevens_A!G657), REPT("Kind,", Klantgegevens_A!H657)))</f>
        <v/>
      </c>
      <c r="F658">
        <f>IF(Klantgegevens_B!G657&lt;&gt;"", LEN(Klantgegevens_B!G657)-LEN(SUBSTITUTE(Klantgegevens_B!G657, ",", ""))+1, Klantgegevens_A!G657)</f>
        <v/>
      </c>
      <c r="G658">
        <f>IF(Klantgegevens_B!G657&lt;&gt;"", 0, Klantgegevens_A!H657)</f>
        <v/>
      </c>
      <c r="H658">
        <f>IF(Klantgegevens_B!H657&lt;&gt;"", Klantgegevens_B!H657, Klantgegevens_A!I657)</f>
        <v/>
      </c>
      <c r="I658">
        <f>IF(Klantgegevens_B!I657&lt;&gt;"", Klantgegevens_B!I657, SWITCH(Klantgegevens_A!J657, "Zelden", 1, "Af en toe", 4, "Regelmatig", 8, "Vaak", 12))</f>
        <v/>
      </c>
      <c r="J658">
        <f>IF(Klantgegevens_B!J657&lt;&gt;"", Klantgegevens_B!J657, Klantgegevens_A!K657)</f>
        <v/>
      </c>
      <c r="K658">
        <f>IF(Klantgegevens_B!K657&lt;&gt;"", AVERAGE(--(Klantgegevens_B!K657="ja"), --(Klantgegevens_B!L657="ja"), --(Klantgegevens_B!M657="ja"), --(Klantgegevens_B!N657="ja"), --(Klantgegevens_B!O657="ja"))*10, Klantgegevens_A!L657)</f>
        <v/>
      </c>
      <c r="L658">
        <f>IF(Klantgegevens_B!K657&lt;&gt;"", Klantgegevens_B!K657, IF(Klantgegevens_A!L657&gt;=7, "ja", "nee"))</f>
        <v/>
      </c>
      <c r="M658">
        <f>IF(Klantgegevens_B!L657&lt;&gt;"", Klantgegevens_B!L657, IF(Klantgegevens_A!L657&gt;=7, "ja", "nee"))</f>
        <v/>
      </c>
      <c r="N658">
        <f>IF(Klantgegevens_B!M657&lt;&gt;"", Klantgegevens_B!M657, IF(Klantgegevens_A!L657&gt;=7, "ja", "nee"))</f>
        <v/>
      </c>
      <c r="O658">
        <f>IF(Klantgegevens_B!N657&lt;&gt;"", Klantgegevens_B!N657, IF(Klantgegevens_A!L657&gt;=7, "ja", "nee"))</f>
        <v/>
      </c>
      <c r="P658">
        <f>IF(Klantgegevens_B!O657&lt;&gt;"", Klantgegevens_B!O657, IF(Klantgegevens_A!L657&gt;=7, "ja", "nee"))</f>
        <v/>
      </c>
      <c r="Q658">
        <f>IF(Klantgegevens_B!P657&lt;&gt;"", Klantgegevens_B!P657, Klantgegevens_A!M657)</f>
        <v/>
      </c>
      <c r="R658">
        <f>IF(Klantgegevens_B!A657&lt;&gt;"", "B", "A")</f>
        <v/>
      </c>
    </row>
    <row r="659">
      <c r="A659">
        <f>IF(Klantgegevens_B!A658&lt;&gt;"", Klantgegevens_B!A658, MID(Klantgegevens_A!A658, FIND(",", Klantgegevens_A!A658)+2, LEN(Klantgegevens_A!A658)))</f>
        <v/>
      </c>
      <c r="B659">
        <f>IF(Klantgegevens_B!B658&lt;&gt;"", Klantgegevens_B!B658, LEFT(Klantgegevens_A!A658, FIND(",", Klantgegevens_A!A658)-1))</f>
        <v/>
      </c>
      <c r="C659">
        <f>C658 &amp; ", " &amp; B658</f>
        <v/>
      </c>
      <c r="D659">
        <f>IF(Klantgegevens_B!F658&lt;&gt;"", Klantgegevens_B!F658, Klantgegevens_A!D658 &amp; " " &amp; Klantgegevens_A!E658 &amp; ", " &amp; Klantgegevens_A!F658)</f>
        <v/>
      </c>
      <c r="E659">
        <f>IF(Klantgegevens_B!G658&lt;&gt;"", Klantgegevens_B!G658, TEXTJOIN(",", TRUE, REPT("Volwassene,", Klantgegevens_A!G658), REPT("Kind,", Klantgegevens_A!H658)))</f>
        <v/>
      </c>
      <c r="F659">
        <f>IF(Klantgegevens_B!G658&lt;&gt;"", LEN(Klantgegevens_B!G658)-LEN(SUBSTITUTE(Klantgegevens_B!G658, ",", ""))+1, Klantgegevens_A!G658)</f>
        <v/>
      </c>
      <c r="G659">
        <f>IF(Klantgegevens_B!G658&lt;&gt;"", 0, Klantgegevens_A!H658)</f>
        <v/>
      </c>
      <c r="H659">
        <f>IF(Klantgegevens_B!H658&lt;&gt;"", Klantgegevens_B!H658, Klantgegevens_A!I658)</f>
        <v/>
      </c>
      <c r="I659">
        <f>IF(Klantgegevens_B!I658&lt;&gt;"", Klantgegevens_B!I658, SWITCH(Klantgegevens_A!J658, "Zelden", 1, "Af en toe", 4, "Regelmatig", 8, "Vaak", 12))</f>
        <v/>
      </c>
      <c r="J659">
        <f>IF(Klantgegevens_B!J658&lt;&gt;"", Klantgegevens_B!J658, Klantgegevens_A!K658)</f>
        <v/>
      </c>
      <c r="K659">
        <f>IF(Klantgegevens_B!K658&lt;&gt;"", AVERAGE(--(Klantgegevens_B!K658="ja"), --(Klantgegevens_B!L658="ja"), --(Klantgegevens_B!M658="ja"), --(Klantgegevens_B!N658="ja"), --(Klantgegevens_B!O658="ja"))*10, Klantgegevens_A!L658)</f>
        <v/>
      </c>
      <c r="L659">
        <f>IF(Klantgegevens_B!K658&lt;&gt;"", Klantgegevens_B!K658, IF(Klantgegevens_A!L658&gt;=7, "ja", "nee"))</f>
        <v/>
      </c>
      <c r="M659">
        <f>IF(Klantgegevens_B!L658&lt;&gt;"", Klantgegevens_B!L658, IF(Klantgegevens_A!L658&gt;=7, "ja", "nee"))</f>
        <v/>
      </c>
      <c r="N659">
        <f>IF(Klantgegevens_B!M658&lt;&gt;"", Klantgegevens_B!M658, IF(Klantgegevens_A!L658&gt;=7, "ja", "nee"))</f>
        <v/>
      </c>
      <c r="O659">
        <f>IF(Klantgegevens_B!N658&lt;&gt;"", Klantgegevens_B!N658, IF(Klantgegevens_A!L658&gt;=7, "ja", "nee"))</f>
        <v/>
      </c>
      <c r="P659">
        <f>IF(Klantgegevens_B!O658&lt;&gt;"", Klantgegevens_B!O658, IF(Klantgegevens_A!L658&gt;=7, "ja", "nee"))</f>
        <v/>
      </c>
      <c r="Q659">
        <f>IF(Klantgegevens_B!P658&lt;&gt;"", Klantgegevens_B!P658, Klantgegevens_A!M658)</f>
        <v/>
      </c>
      <c r="R659">
        <f>IF(Klantgegevens_B!A658&lt;&gt;"", "B", "A")</f>
        <v/>
      </c>
    </row>
    <row r="660">
      <c r="A660">
        <f>IF(Klantgegevens_B!A659&lt;&gt;"", Klantgegevens_B!A659, MID(Klantgegevens_A!A659, FIND(",", Klantgegevens_A!A659)+2, LEN(Klantgegevens_A!A659)))</f>
        <v/>
      </c>
      <c r="B660">
        <f>IF(Klantgegevens_B!B659&lt;&gt;"", Klantgegevens_B!B659, LEFT(Klantgegevens_A!A659, FIND(",", Klantgegevens_A!A659)-1))</f>
        <v/>
      </c>
      <c r="C660">
        <f>C659 &amp; ", " &amp; B659</f>
        <v/>
      </c>
      <c r="D660">
        <f>IF(Klantgegevens_B!F659&lt;&gt;"", Klantgegevens_B!F659, Klantgegevens_A!D659 &amp; " " &amp; Klantgegevens_A!E659 &amp; ", " &amp; Klantgegevens_A!F659)</f>
        <v/>
      </c>
      <c r="E660">
        <f>IF(Klantgegevens_B!G659&lt;&gt;"", Klantgegevens_B!G659, TEXTJOIN(",", TRUE, REPT("Volwassene,", Klantgegevens_A!G659), REPT("Kind,", Klantgegevens_A!H659)))</f>
        <v/>
      </c>
      <c r="F660">
        <f>IF(Klantgegevens_B!G659&lt;&gt;"", LEN(Klantgegevens_B!G659)-LEN(SUBSTITUTE(Klantgegevens_B!G659, ",", ""))+1, Klantgegevens_A!G659)</f>
        <v/>
      </c>
      <c r="G660">
        <f>IF(Klantgegevens_B!G659&lt;&gt;"", 0, Klantgegevens_A!H659)</f>
        <v/>
      </c>
      <c r="H660">
        <f>IF(Klantgegevens_B!H659&lt;&gt;"", Klantgegevens_B!H659, Klantgegevens_A!I659)</f>
        <v/>
      </c>
      <c r="I660">
        <f>IF(Klantgegevens_B!I659&lt;&gt;"", Klantgegevens_B!I659, SWITCH(Klantgegevens_A!J659, "Zelden", 1, "Af en toe", 4, "Regelmatig", 8, "Vaak", 12))</f>
        <v/>
      </c>
      <c r="J660">
        <f>IF(Klantgegevens_B!J659&lt;&gt;"", Klantgegevens_B!J659, Klantgegevens_A!K659)</f>
        <v/>
      </c>
      <c r="K660">
        <f>IF(Klantgegevens_B!K659&lt;&gt;"", AVERAGE(--(Klantgegevens_B!K659="ja"), --(Klantgegevens_B!L659="ja"), --(Klantgegevens_B!M659="ja"), --(Klantgegevens_B!N659="ja"), --(Klantgegevens_B!O659="ja"))*10, Klantgegevens_A!L659)</f>
        <v/>
      </c>
      <c r="L660">
        <f>IF(Klantgegevens_B!K659&lt;&gt;"", Klantgegevens_B!K659, IF(Klantgegevens_A!L659&gt;=7, "ja", "nee"))</f>
        <v/>
      </c>
      <c r="M660">
        <f>IF(Klantgegevens_B!L659&lt;&gt;"", Klantgegevens_B!L659, IF(Klantgegevens_A!L659&gt;=7, "ja", "nee"))</f>
        <v/>
      </c>
      <c r="N660">
        <f>IF(Klantgegevens_B!M659&lt;&gt;"", Klantgegevens_B!M659, IF(Klantgegevens_A!L659&gt;=7, "ja", "nee"))</f>
        <v/>
      </c>
      <c r="O660">
        <f>IF(Klantgegevens_B!N659&lt;&gt;"", Klantgegevens_B!N659, IF(Klantgegevens_A!L659&gt;=7, "ja", "nee"))</f>
        <v/>
      </c>
      <c r="P660">
        <f>IF(Klantgegevens_B!O659&lt;&gt;"", Klantgegevens_B!O659, IF(Klantgegevens_A!L659&gt;=7, "ja", "nee"))</f>
        <v/>
      </c>
      <c r="Q660">
        <f>IF(Klantgegevens_B!P659&lt;&gt;"", Klantgegevens_B!P659, Klantgegevens_A!M659)</f>
        <v/>
      </c>
      <c r="R660">
        <f>IF(Klantgegevens_B!A659&lt;&gt;"", "B", "A")</f>
        <v/>
      </c>
    </row>
    <row r="661">
      <c r="A661">
        <f>IF(Klantgegevens_B!A660&lt;&gt;"", Klantgegevens_B!A660, MID(Klantgegevens_A!A660, FIND(",", Klantgegevens_A!A660)+2, LEN(Klantgegevens_A!A660)))</f>
        <v/>
      </c>
      <c r="B661">
        <f>IF(Klantgegevens_B!B660&lt;&gt;"", Klantgegevens_B!B660, LEFT(Klantgegevens_A!A660, FIND(",", Klantgegevens_A!A660)-1))</f>
        <v/>
      </c>
      <c r="C661">
        <f>C660 &amp; ", " &amp; B660</f>
        <v/>
      </c>
      <c r="D661">
        <f>IF(Klantgegevens_B!F660&lt;&gt;"", Klantgegevens_B!F660, Klantgegevens_A!D660 &amp; " " &amp; Klantgegevens_A!E660 &amp; ", " &amp; Klantgegevens_A!F660)</f>
        <v/>
      </c>
      <c r="E661">
        <f>IF(Klantgegevens_B!G660&lt;&gt;"", Klantgegevens_B!G660, TEXTJOIN(",", TRUE, REPT("Volwassene,", Klantgegevens_A!G660), REPT("Kind,", Klantgegevens_A!H660)))</f>
        <v/>
      </c>
      <c r="F661">
        <f>IF(Klantgegevens_B!G660&lt;&gt;"", LEN(Klantgegevens_B!G660)-LEN(SUBSTITUTE(Klantgegevens_B!G660, ",", ""))+1, Klantgegevens_A!G660)</f>
        <v/>
      </c>
      <c r="G661">
        <f>IF(Klantgegevens_B!G660&lt;&gt;"", 0, Klantgegevens_A!H660)</f>
        <v/>
      </c>
      <c r="H661">
        <f>IF(Klantgegevens_B!H660&lt;&gt;"", Klantgegevens_B!H660, Klantgegevens_A!I660)</f>
        <v/>
      </c>
      <c r="I661">
        <f>IF(Klantgegevens_B!I660&lt;&gt;"", Klantgegevens_B!I660, SWITCH(Klantgegevens_A!J660, "Zelden", 1, "Af en toe", 4, "Regelmatig", 8, "Vaak", 12))</f>
        <v/>
      </c>
      <c r="J661">
        <f>IF(Klantgegevens_B!J660&lt;&gt;"", Klantgegevens_B!J660, Klantgegevens_A!K660)</f>
        <v/>
      </c>
      <c r="K661">
        <f>IF(Klantgegevens_B!K660&lt;&gt;"", AVERAGE(--(Klantgegevens_B!K660="ja"), --(Klantgegevens_B!L660="ja"), --(Klantgegevens_B!M660="ja"), --(Klantgegevens_B!N660="ja"), --(Klantgegevens_B!O660="ja"))*10, Klantgegevens_A!L660)</f>
        <v/>
      </c>
      <c r="L661">
        <f>IF(Klantgegevens_B!K660&lt;&gt;"", Klantgegevens_B!K660, IF(Klantgegevens_A!L660&gt;=7, "ja", "nee"))</f>
        <v/>
      </c>
      <c r="M661">
        <f>IF(Klantgegevens_B!L660&lt;&gt;"", Klantgegevens_B!L660, IF(Klantgegevens_A!L660&gt;=7, "ja", "nee"))</f>
        <v/>
      </c>
      <c r="N661">
        <f>IF(Klantgegevens_B!M660&lt;&gt;"", Klantgegevens_B!M660, IF(Klantgegevens_A!L660&gt;=7, "ja", "nee"))</f>
        <v/>
      </c>
      <c r="O661">
        <f>IF(Klantgegevens_B!N660&lt;&gt;"", Klantgegevens_B!N660, IF(Klantgegevens_A!L660&gt;=7, "ja", "nee"))</f>
        <v/>
      </c>
      <c r="P661">
        <f>IF(Klantgegevens_B!O660&lt;&gt;"", Klantgegevens_B!O660, IF(Klantgegevens_A!L660&gt;=7, "ja", "nee"))</f>
        <v/>
      </c>
      <c r="Q661">
        <f>IF(Klantgegevens_B!P660&lt;&gt;"", Klantgegevens_B!P660, Klantgegevens_A!M660)</f>
        <v/>
      </c>
      <c r="R661">
        <f>IF(Klantgegevens_B!A660&lt;&gt;"", "B", "A")</f>
        <v/>
      </c>
    </row>
    <row r="662">
      <c r="A662">
        <f>IF(Klantgegevens_B!A661&lt;&gt;"", Klantgegevens_B!A661, MID(Klantgegevens_A!A661, FIND(",", Klantgegevens_A!A661)+2, LEN(Klantgegevens_A!A661)))</f>
        <v/>
      </c>
      <c r="B662">
        <f>IF(Klantgegevens_B!B661&lt;&gt;"", Klantgegevens_B!B661, LEFT(Klantgegevens_A!A661, FIND(",", Klantgegevens_A!A661)-1))</f>
        <v/>
      </c>
      <c r="C662">
        <f>C661 &amp; ", " &amp; B661</f>
        <v/>
      </c>
      <c r="D662">
        <f>IF(Klantgegevens_B!F661&lt;&gt;"", Klantgegevens_B!F661, Klantgegevens_A!D661 &amp; " " &amp; Klantgegevens_A!E661 &amp; ", " &amp; Klantgegevens_A!F661)</f>
        <v/>
      </c>
      <c r="E662">
        <f>IF(Klantgegevens_B!G661&lt;&gt;"", Klantgegevens_B!G661, TEXTJOIN(",", TRUE, REPT("Volwassene,", Klantgegevens_A!G661), REPT("Kind,", Klantgegevens_A!H661)))</f>
        <v/>
      </c>
      <c r="F662">
        <f>IF(Klantgegevens_B!G661&lt;&gt;"", LEN(Klantgegevens_B!G661)-LEN(SUBSTITUTE(Klantgegevens_B!G661, ",", ""))+1, Klantgegevens_A!G661)</f>
        <v/>
      </c>
      <c r="G662">
        <f>IF(Klantgegevens_B!G661&lt;&gt;"", 0, Klantgegevens_A!H661)</f>
        <v/>
      </c>
      <c r="H662">
        <f>IF(Klantgegevens_B!H661&lt;&gt;"", Klantgegevens_B!H661, Klantgegevens_A!I661)</f>
        <v/>
      </c>
      <c r="I662">
        <f>IF(Klantgegevens_B!I661&lt;&gt;"", Klantgegevens_B!I661, SWITCH(Klantgegevens_A!J661, "Zelden", 1, "Af en toe", 4, "Regelmatig", 8, "Vaak", 12))</f>
        <v/>
      </c>
      <c r="J662">
        <f>IF(Klantgegevens_B!J661&lt;&gt;"", Klantgegevens_B!J661, Klantgegevens_A!K661)</f>
        <v/>
      </c>
      <c r="K662">
        <f>IF(Klantgegevens_B!K661&lt;&gt;"", AVERAGE(--(Klantgegevens_B!K661="ja"), --(Klantgegevens_B!L661="ja"), --(Klantgegevens_B!M661="ja"), --(Klantgegevens_B!N661="ja"), --(Klantgegevens_B!O661="ja"))*10, Klantgegevens_A!L661)</f>
        <v/>
      </c>
      <c r="L662">
        <f>IF(Klantgegevens_B!K661&lt;&gt;"", Klantgegevens_B!K661, IF(Klantgegevens_A!L661&gt;=7, "ja", "nee"))</f>
        <v/>
      </c>
      <c r="M662">
        <f>IF(Klantgegevens_B!L661&lt;&gt;"", Klantgegevens_B!L661, IF(Klantgegevens_A!L661&gt;=7, "ja", "nee"))</f>
        <v/>
      </c>
      <c r="N662">
        <f>IF(Klantgegevens_B!M661&lt;&gt;"", Klantgegevens_B!M661, IF(Klantgegevens_A!L661&gt;=7, "ja", "nee"))</f>
        <v/>
      </c>
      <c r="O662">
        <f>IF(Klantgegevens_B!N661&lt;&gt;"", Klantgegevens_B!N661, IF(Klantgegevens_A!L661&gt;=7, "ja", "nee"))</f>
        <v/>
      </c>
      <c r="P662">
        <f>IF(Klantgegevens_B!O661&lt;&gt;"", Klantgegevens_B!O661, IF(Klantgegevens_A!L661&gt;=7, "ja", "nee"))</f>
        <v/>
      </c>
      <c r="Q662">
        <f>IF(Klantgegevens_B!P661&lt;&gt;"", Klantgegevens_B!P661, Klantgegevens_A!M661)</f>
        <v/>
      </c>
      <c r="R662">
        <f>IF(Klantgegevens_B!A661&lt;&gt;"", "B", "A")</f>
        <v/>
      </c>
    </row>
    <row r="663">
      <c r="A663">
        <f>IF(Klantgegevens_B!A662&lt;&gt;"", Klantgegevens_B!A662, MID(Klantgegevens_A!A662, FIND(",", Klantgegevens_A!A662)+2, LEN(Klantgegevens_A!A662)))</f>
        <v/>
      </c>
      <c r="B663">
        <f>IF(Klantgegevens_B!B662&lt;&gt;"", Klantgegevens_B!B662, LEFT(Klantgegevens_A!A662, FIND(",", Klantgegevens_A!A662)-1))</f>
        <v/>
      </c>
      <c r="C663">
        <f>C662 &amp; ", " &amp; B662</f>
        <v/>
      </c>
      <c r="D663">
        <f>IF(Klantgegevens_B!F662&lt;&gt;"", Klantgegevens_B!F662, Klantgegevens_A!D662 &amp; " " &amp; Klantgegevens_A!E662 &amp; ", " &amp; Klantgegevens_A!F662)</f>
        <v/>
      </c>
      <c r="E663">
        <f>IF(Klantgegevens_B!G662&lt;&gt;"", Klantgegevens_B!G662, TEXTJOIN(",", TRUE, REPT("Volwassene,", Klantgegevens_A!G662), REPT("Kind,", Klantgegevens_A!H662)))</f>
        <v/>
      </c>
      <c r="F663">
        <f>IF(Klantgegevens_B!G662&lt;&gt;"", LEN(Klantgegevens_B!G662)-LEN(SUBSTITUTE(Klantgegevens_B!G662, ",", ""))+1, Klantgegevens_A!G662)</f>
        <v/>
      </c>
      <c r="G663">
        <f>IF(Klantgegevens_B!G662&lt;&gt;"", 0, Klantgegevens_A!H662)</f>
        <v/>
      </c>
      <c r="H663">
        <f>IF(Klantgegevens_B!H662&lt;&gt;"", Klantgegevens_B!H662, Klantgegevens_A!I662)</f>
        <v/>
      </c>
      <c r="I663">
        <f>IF(Klantgegevens_B!I662&lt;&gt;"", Klantgegevens_B!I662, SWITCH(Klantgegevens_A!J662, "Zelden", 1, "Af en toe", 4, "Regelmatig", 8, "Vaak", 12))</f>
        <v/>
      </c>
      <c r="J663">
        <f>IF(Klantgegevens_B!J662&lt;&gt;"", Klantgegevens_B!J662, Klantgegevens_A!K662)</f>
        <v/>
      </c>
      <c r="K663">
        <f>IF(Klantgegevens_B!K662&lt;&gt;"", AVERAGE(--(Klantgegevens_B!K662="ja"), --(Klantgegevens_B!L662="ja"), --(Klantgegevens_B!M662="ja"), --(Klantgegevens_B!N662="ja"), --(Klantgegevens_B!O662="ja"))*10, Klantgegevens_A!L662)</f>
        <v/>
      </c>
      <c r="L663">
        <f>IF(Klantgegevens_B!K662&lt;&gt;"", Klantgegevens_B!K662, IF(Klantgegevens_A!L662&gt;=7, "ja", "nee"))</f>
        <v/>
      </c>
      <c r="M663">
        <f>IF(Klantgegevens_B!L662&lt;&gt;"", Klantgegevens_B!L662, IF(Klantgegevens_A!L662&gt;=7, "ja", "nee"))</f>
        <v/>
      </c>
      <c r="N663">
        <f>IF(Klantgegevens_B!M662&lt;&gt;"", Klantgegevens_B!M662, IF(Klantgegevens_A!L662&gt;=7, "ja", "nee"))</f>
        <v/>
      </c>
      <c r="O663">
        <f>IF(Klantgegevens_B!N662&lt;&gt;"", Klantgegevens_B!N662, IF(Klantgegevens_A!L662&gt;=7, "ja", "nee"))</f>
        <v/>
      </c>
      <c r="P663">
        <f>IF(Klantgegevens_B!O662&lt;&gt;"", Klantgegevens_B!O662, IF(Klantgegevens_A!L662&gt;=7, "ja", "nee"))</f>
        <v/>
      </c>
      <c r="Q663">
        <f>IF(Klantgegevens_B!P662&lt;&gt;"", Klantgegevens_B!P662, Klantgegevens_A!M662)</f>
        <v/>
      </c>
      <c r="R663">
        <f>IF(Klantgegevens_B!A662&lt;&gt;"", "B", "A")</f>
        <v/>
      </c>
    </row>
    <row r="664">
      <c r="A664">
        <f>IF(Klantgegevens_B!A663&lt;&gt;"", Klantgegevens_B!A663, MID(Klantgegevens_A!A663, FIND(",", Klantgegevens_A!A663)+2, LEN(Klantgegevens_A!A663)))</f>
        <v/>
      </c>
      <c r="B664">
        <f>IF(Klantgegevens_B!B663&lt;&gt;"", Klantgegevens_B!B663, LEFT(Klantgegevens_A!A663, FIND(",", Klantgegevens_A!A663)-1))</f>
        <v/>
      </c>
      <c r="C664">
        <f>C663 &amp; ", " &amp; B663</f>
        <v/>
      </c>
      <c r="D664">
        <f>IF(Klantgegevens_B!F663&lt;&gt;"", Klantgegevens_B!F663, Klantgegevens_A!D663 &amp; " " &amp; Klantgegevens_A!E663 &amp; ", " &amp; Klantgegevens_A!F663)</f>
        <v/>
      </c>
      <c r="E664">
        <f>IF(Klantgegevens_B!G663&lt;&gt;"", Klantgegevens_B!G663, TEXTJOIN(",", TRUE, REPT("Volwassene,", Klantgegevens_A!G663), REPT("Kind,", Klantgegevens_A!H663)))</f>
        <v/>
      </c>
      <c r="F664">
        <f>IF(Klantgegevens_B!G663&lt;&gt;"", LEN(Klantgegevens_B!G663)-LEN(SUBSTITUTE(Klantgegevens_B!G663, ",", ""))+1, Klantgegevens_A!G663)</f>
        <v/>
      </c>
      <c r="G664">
        <f>IF(Klantgegevens_B!G663&lt;&gt;"", 0, Klantgegevens_A!H663)</f>
        <v/>
      </c>
      <c r="H664">
        <f>IF(Klantgegevens_B!H663&lt;&gt;"", Klantgegevens_B!H663, Klantgegevens_A!I663)</f>
        <v/>
      </c>
      <c r="I664">
        <f>IF(Klantgegevens_B!I663&lt;&gt;"", Klantgegevens_B!I663, SWITCH(Klantgegevens_A!J663, "Zelden", 1, "Af en toe", 4, "Regelmatig", 8, "Vaak", 12))</f>
        <v/>
      </c>
      <c r="J664">
        <f>IF(Klantgegevens_B!J663&lt;&gt;"", Klantgegevens_B!J663, Klantgegevens_A!K663)</f>
        <v/>
      </c>
      <c r="K664">
        <f>IF(Klantgegevens_B!K663&lt;&gt;"", AVERAGE(--(Klantgegevens_B!K663="ja"), --(Klantgegevens_B!L663="ja"), --(Klantgegevens_B!M663="ja"), --(Klantgegevens_B!N663="ja"), --(Klantgegevens_B!O663="ja"))*10, Klantgegevens_A!L663)</f>
        <v/>
      </c>
      <c r="L664">
        <f>IF(Klantgegevens_B!K663&lt;&gt;"", Klantgegevens_B!K663, IF(Klantgegevens_A!L663&gt;=7, "ja", "nee"))</f>
        <v/>
      </c>
      <c r="M664">
        <f>IF(Klantgegevens_B!L663&lt;&gt;"", Klantgegevens_B!L663, IF(Klantgegevens_A!L663&gt;=7, "ja", "nee"))</f>
        <v/>
      </c>
      <c r="N664">
        <f>IF(Klantgegevens_B!M663&lt;&gt;"", Klantgegevens_B!M663, IF(Klantgegevens_A!L663&gt;=7, "ja", "nee"))</f>
        <v/>
      </c>
      <c r="O664">
        <f>IF(Klantgegevens_B!N663&lt;&gt;"", Klantgegevens_B!N663, IF(Klantgegevens_A!L663&gt;=7, "ja", "nee"))</f>
        <v/>
      </c>
      <c r="P664">
        <f>IF(Klantgegevens_B!O663&lt;&gt;"", Klantgegevens_B!O663, IF(Klantgegevens_A!L663&gt;=7, "ja", "nee"))</f>
        <v/>
      </c>
      <c r="Q664">
        <f>IF(Klantgegevens_B!P663&lt;&gt;"", Klantgegevens_B!P663, Klantgegevens_A!M663)</f>
        <v/>
      </c>
      <c r="R664">
        <f>IF(Klantgegevens_B!A663&lt;&gt;"", "B", "A")</f>
        <v/>
      </c>
    </row>
    <row r="665">
      <c r="A665">
        <f>IF(Klantgegevens_B!A664&lt;&gt;"", Klantgegevens_B!A664, MID(Klantgegevens_A!A664, FIND(",", Klantgegevens_A!A664)+2, LEN(Klantgegevens_A!A664)))</f>
        <v/>
      </c>
      <c r="B665">
        <f>IF(Klantgegevens_B!B664&lt;&gt;"", Klantgegevens_B!B664, LEFT(Klantgegevens_A!A664, FIND(",", Klantgegevens_A!A664)-1))</f>
        <v/>
      </c>
      <c r="C665">
        <f>C664 &amp; ", " &amp; B664</f>
        <v/>
      </c>
      <c r="D665">
        <f>IF(Klantgegevens_B!F664&lt;&gt;"", Klantgegevens_B!F664, Klantgegevens_A!D664 &amp; " " &amp; Klantgegevens_A!E664 &amp; ", " &amp; Klantgegevens_A!F664)</f>
        <v/>
      </c>
      <c r="E665">
        <f>IF(Klantgegevens_B!G664&lt;&gt;"", Klantgegevens_B!G664, TEXTJOIN(",", TRUE, REPT("Volwassene,", Klantgegevens_A!G664), REPT("Kind,", Klantgegevens_A!H664)))</f>
        <v/>
      </c>
      <c r="F665">
        <f>IF(Klantgegevens_B!G664&lt;&gt;"", LEN(Klantgegevens_B!G664)-LEN(SUBSTITUTE(Klantgegevens_B!G664, ",", ""))+1, Klantgegevens_A!G664)</f>
        <v/>
      </c>
      <c r="G665">
        <f>IF(Klantgegevens_B!G664&lt;&gt;"", 0, Klantgegevens_A!H664)</f>
        <v/>
      </c>
      <c r="H665">
        <f>IF(Klantgegevens_B!H664&lt;&gt;"", Klantgegevens_B!H664, Klantgegevens_A!I664)</f>
        <v/>
      </c>
      <c r="I665">
        <f>IF(Klantgegevens_B!I664&lt;&gt;"", Klantgegevens_B!I664, SWITCH(Klantgegevens_A!J664, "Zelden", 1, "Af en toe", 4, "Regelmatig", 8, "Vaak", 12))</f>
        <v/>
      </c>
      <c r="J665">
        <f>IF(Klantgegevens_B!J664&lt;&gt;"", Klantgegevens_B!J664, Klantgegevens_A!K664)</f>
        <v/>
      </c>
      <c r="K665">
        <f>IF(Klantgegevens_B!K664&lt;&gt;"", AVERAGE(--(Klantgegevens_B!K664="ja"), --(Klantgegevens_B!L664="ja"), --(Klantgegevens_B!M664="ja"), --(Klantgegevens_B!N664="ja"), --(Klantgegevens_B!O664="ja"))*10, Klantgegevens_A!L664)</f>
        <v/>
      </c>
      <c r="L665">
        <f>IF(Klantgegevens_B!K664&lt;&gt;"", Klantgegevens_B!K664, IF(Klantgegevens_A!L664&gt;=7, "ja", "nee"))</f>
        <v/>
      </c>
      <c r="M665">
        <f>IF(Klantgegevens_B!L664&lt;&gt;"", Klantgegevens_B!L664, IF(Klantgegevens_A!L664&gt;=7, "ja", "nee"))</f>
        <v/>
      </c>
      <c r="N665">
        <f>IF(Klantgegevens_B!M664&lt;&gt;"", Klantgegevens_B!M664, IF(Klantgegevens_A!L664&gt;=7, "ja", "nee"))</f>
        <v/>
      </c>
      <c r="O665">
        <f>IF(Klantgegevens_B!N664&lt;&gt;"", Klantgegevens_B!N664, IF(Klantgegevens_A!L664&gt;=7, "ja", "nee"))</f>
        <v/>
      </c>
      <c r="P665">
        <f>IF(Klantgegevens_B!O664&lt;&gt;"", Klantgegevens_B!O664, IF(Klantgegevens_A!L664&gt;=7, "ja", "nee"))</f>
        <v/>
      </c>
      <c r="Q665">
        <f>IF(Klantgegevens_B!P664&lt;&gt;"", Klantgegevens_B!P664, Klantgegevens_A!M664)</f>
        <v/>
      </c>
      <c r="R665">
        <f>IF(Klantgegevens_B!A664&lt;&gt;"", "B", "A")</f>
        <v/>
      </c>
    </row>
    <row r="666">
      <c r="A666">
        <f>IF(Klantgegevens_B!A665&lt;&gt;"", Klantgegevens_B!A665, MID(Klantgegevens_A!A665, FIND(",", Klantgegevens_A!A665)+2, LEN(Klantgegevens_A!A665)))</f>
        <v/>
      </c>
      <c r="B666">
        <f>IF(Klantgegevens_B!B665&lt;&gt;"", Klantgegevens_B!B665, LEFT(Klantgegevens_A!A665, FIND(",", Klantgegevens_A!A665)-1))</f>
        <v/>
      </c>
      <c r="C666">
        <f>C665 &amp; ", " &amp; B665</f>
        <v/>
      </c>
      <c r="D666">
        <f>IF(Klantgegevens_B!F665&lt;&gt;"", Klantgegevens_B!F665, Klantgegevens_A!D665 &amp; " " &amp; Klantgegevens_A!E665 &amp; ", " &amp; Klantgegevens_A!F665)</f>
        <v/>
      </c>
      <c r="E666">
        <f>IF(Klantgegevens_B!G665&lt;&gt;"", Klantgegevens_B!G665, TEXTJOIN(",", TRUE, REPT("Volwassene,", Klantgegevens_A!G665), REPT("Kind,", Klantgegevens_A!H665)))</f>
        <v/>
      </c>
      <c r="F666">
        <f>IF(Klantgegevens_B!G665&lt;&gt;"", LEN(Klantgegevens_B!G665)-LEN(SUBSTITUTE(Klantgegevens_B!G665, ",", ""))+1, Klantgegevens_A!G665)</f>
        <v/>
      </c>
      <c r="G666">
        <f>IF(Klantgegevens_B!G665&lt;&gt;"", 0, Klantgegevens_A!H665)</f>
        <v/>
      </c>
      <c r="H666">
        <f>IF(Klantgegevens_B!H665&lt;&gt;"", Klantgegevens_B!H665, Klantgegevens_A!I665)</f>
        <v/>
      </c>
      <c r="I666">
        <f>IF(Klantgegevens_B!I665&lt;&gt;"", Klantgegevens_B!I665, SWITCH(Klantgegevens_A!J665, "Zelden", 1, "Af en toe", 4, "Regelmatig", 8, "Vaak", 12))</f>
        <v/>
      </c>
      <c r="J666">
        <f>IF(Klantgegevens_B!J665&lt;&gt;"", Klantgegevens_B!J665, Klantgegevens_A!K665)</f>
        <v/>
      </c>
      <c r="K666">
        <f>IF(Klantgegevens_B!K665&lt;&gt;"", AVERAGE(--(Klantgegevens_B!K665="ja"), --(Klantgegevens_B!L665="ja"), --(Klantgegevens_B!M665="ja"), --(Klantgegevens_B!N665="ja"), --(Klantgegevens_B!O665="ja"))*10, Klantgegevens_A!L665)</f>
        <v/>
      </c>
      <c r="L666">
        <f>IF(Klantgegevens_B!K665&lt;&gt;"", Klantgegevens_B!K665, IF(Klantgegevens_A!L665&gt;=7, "ja", "nee"))</f>
        <v/>
      </c>
      <c r="M666">
        <f>IF(Klantgegevens_B!L665&lt;&gt;"", Klantgegevens_B!L665, IF(Klantgegevens_A!L665&gt;=7, "ja", "nee"))</f>
        <v/>
      </c>
      <c r="N666">
        <f>IF(Klantgegevens_B!M665&lt;&gt;"", Klantgegevens_B!M665, IF(Klantgegevens_A!L665&gt;=7, "ja", "nee"))</f>
        <v/>
      </c>
      <c r="O666">
        <f>IF(Klantgegevens_B!N665&lt;&gt;"", Klantgegevens_B!N665, IF(Klantgegevens_A!L665&gt;=7, "ja", "nee"))</f>
        <v/>
      </c>
      <c r="P666">
        <f>IF(Klantgegevens_B!O665&lt;&gt;"", Klantgegevens_B!O665, IF(Klantgegevens_A!L665&gt;=7, "ja", "nee"))</f>
        <v/>
      </c>
      <c r="Q666">
        <f>IF(Klantgegevens_B!P665&lt;&gt;"", Klantgegevens_B!P665, Klantgegevens_A!M665)</f>
        <v/>
      </c>
      <c r="R666">
        <f>IF(Klantgegevens_B!A665&lt;&gt;"", "B", "A")</f>
        <v/>
      </c>
    </row>
    <row r="667">
      <c r="A667">
        <f>IF(Klantgegevens_B!A666&lt;&gt;"", Klantgegevens_B!A666, MID(Klantgegevens_A!A666, FIND(",", Klantgegevens_A!A666)+2, LEN(Klantgegevens_A!A666)))</f>
        <v/>
      </c>
      <c r="B667">
        <f>IF(Klantgegevens_B!B666&lt;&gt;"", Klantgegevens_B!B666, LEFT(Klantgegevens_A!A666, FIND(",", Klantgegevens_A!A666)-1))</f>
        <v/>
      </c>
      <c r="C667">
        <f>C666 &amp; ", " &amp; B666</f>
        <v/>
      </c>
      <c r="D667">
        <f>IF(Klantgegevens_B!F666&lt;&gt;"", Klantgegevens_B!F666, Klantgegevens_A!D666 &amp; " " &amp; Klantgegevens_A!E666 &amp; ", " &amp; Klantgegevens_A!F666)</f>
        <v/>
      </c>
      <c r="E667">
        <f>IF(Klantgegevens_B!G666&lt;&gt;"", Klantgegevens_B!G666, TEXTJOIN(",", TRUE, REPT("Volwassene,", Klantgegevens_A!G666), REPT("Kind,", Klantgegevens_A!H666)))</f>
        <v/>
      </c>
      <c r="F667">
        <f>IF(Klantgegevens_B!G666&lt;&gt;"", LEN(Klantgegevens_B!G666)-LEN(SUBSTITUTE(Klantgegevens_B!G666, ",", ""))+1, Klantgegevens_A!G666)</f>
        <v/>
      </c>
      <c r="G667">
        <f>IF(Klantgegevens_B!G666&lt;&gt;"", 0, Klantgegevens_A!H666)</f>
        <v/>
      </c>
      <c r="H667">
        <f>IF(Klantgegevens_B!H666&lt;&gt;"", Klantgegevens_B!H666, Klantgegevens_A!I666)</f>
        <v/>
      </c>
      <c r="I667">
        <f>IF(Klantgegevens_B!I666&lt;&gt;"", Klantgegevens_B!I666, SWITCH(Klantgegevens_A!J666, "Zelden", 1, "Af en toe", 4, "Regelmatig", 8, "Vaak", 12))</f>
        <v/>
      </c>
      <c r="J667">
        <f>IF(Klantgegevens_B!J666&lt;&gt;"", Klantgegevens_B!J666, Klantgegevens_A!K666)</f>
        <v/>
      </c>
      <c r="K667">
        <f>IF(Klantgegevens_B!K666&lt;&gt;"", AVERAGE(--(Klantgegevens_B!K666="ja"), --(Klantgegevens_B!L666="ja"), --(Klantgegevens_B!M666="ja"), --(Klantgegevens_B!N666="ja"), --(Klantgegevens_B!O666="ja"))*10, Klantgegevens_A!L666)</f>
        <v/>
      </c>
      <c r="L667">
        <f>IF(Klantgegevens_B!K666&lt;&gt;"", Klantgegevens_B!K666, IF(Klantgegevens_A!L666&gt;=7, "ja", "nee"))</f>
        <v/>
      </c>
      <c r="M667">
        <f>IF(Klantgegevens_B!L666&lt;&gt;"", Klantgegevens_B!L666, IF(Klantgegevens_A!L666&gt;=7, "ja", "nee"))</f>
        <v/>
      </c>
      <c r="N667">
        <f>IF(Klantgegevens_B!M666&lt;&gt;"", Klantgegevens_B!M666, IF(Klantgegevens_A!L666&gt;=7, "ja", "nee"))</f>
        <v/>
      </c>
      <c r="O667">
        <f>IF(Klantgegevens_B!N666&lt;&gt;"", Klantgegevens_B!N666, IF(Klantgegevens_A!L666&gt;=7, "ja", "nee"))</f>
        <v/>
      </c>
      <c r="P667">
        <f>IF(Klantgegevens_B!O666&lt;&gt;"", Klantgegevens_B!O666, IF(Klantgegevens_A!L666&gt;=7, "ja", "nee"))</f>
        <v/>
      </c>
      <c r="Q667">
        <f>IF(Klantgegevens_B!P666&lt;&gt;"", Klantgegevens_B!P666, Klantgegevens_A!M666)</f>
        <v/>
      </c>
      <c r="R667">
        <f>IF(Klantgegevens_B!A666&lt;&gt;"", "B", "A")</f>
        <v/>
      </c>
    </row>
    <row r="668">
      <c r="A668">
        <f>IF(Klantgegevens_B!A667&lt;&gt;"", Klantgegevens_B!A667, MID(Klantgegevens_A!A667, FIND(",", Klantgegevens_A!A667)+2, LEN(Klantgegevens_A!A667)))</f>
        <v/>
      </c>
      <c r="B668">
        <f>IF(Klantgegevens_B!B667&lt;&gt;"", Klantgegevens_B!B667, LEFT(Klantgegevens_A!A667, FIND(",", Klantgegevens_A!A667)-1))</f>
        <v/>
      </c>
      <c r="C668">
        <f>C667 &amp; ", " &amp; B667</f>
        <v/>
      </c>
      <c r="D668">
        <f>IF(Klantgegevens_B!F667&lt;&gt;"", Klantgegevens_B!F667, Klantgegevens_A!D667 &amp; " " &amp; Klantgegevens_A!E667 &amp; ", " &amp; Klantgegevens_A!F667)</f>
        <v/>
      </c>
      <c r="E668">
        <f>IF(Klantgegevens_B!G667&lt;&gt;"", Klantgegevens_B!G667, TEXTJOIN(",", TRUE, REPT("Volwassene,", Klantgegevens_A!G667), REPT("Kind,", Klantgegevens_A!H667)))</f>
        <v/>
      </c>
      <c r="F668">
        <f>IF(Klantgegevens_B!G667&lt;&gt;"", LEN(Klantgegevens_B!G667)-LEN(SUBSTITUTE(Klantgegevens_B!G667, ",", ""))+1, Klantgegevens_A!G667)</f>
        <v/>
      </c>
      <c r="G668">
        <f>IF(Klantgegevens_B!G667&lt;&gt;"", 0, Klantgegevens_A!H667)</f>
        <v/>
      </c>
      <c r="H668">
        <f>IF(Klantgegevens_B!H667&lt;&gt;"", Klantgegevens_B!H667, Klantgegevens_A!I667)</f>
        <v/>
      </c>
      <c r="I668">
        <f>IF(Klantgegevens_B!I667&lt;&gt;"", Klantgegevens_B!I667, SWITCH(Klantgegevens_A!J667, "Zelden", 1, "Af en toe", 4, "Regelmatig", 8, "Vaak", 12))</f>
        <v/>
      </c>
      <c r="J668">
        <f>IF(Klantgegevens_B!J667&lt;&gt;"", Klantgegevens_B!J667, Klantgegevens_A!K667)</f>
        <v/>
      </c>
      <c r="K668">
        <f>IF(Klantgegevens_B!K667&lt;&gt;"", AVERAGE(--(Klantgegevens_B!K667="ja"), --(Klantgegevens_B!L667="ja"), --(Klantgegevens_B!M667="ja"), --(Klantgegevens_B!N667="ja"), --(Klantgegevens_B!O667="ja"))*10, Klantgegevens_A!L667)</f>
        <v/>
      </c>
      <c r="L668">
        <f>IF(Klantgegevens_B!K667&lt;&gt;"", Klantgegevens_B!K667, IF(Klantgegevens_A!L667&gt;=7, "ja", "nee"))</f>
        <v/>
      </c>
      <c r="M668">
        <f>IF(Klantgegevens_B!L667&lt;&gt;"", Klantgegevens_B!L667, IF(Klantgegevens_A!L667&gt;=7, "ja", "nee"))</f>
        <v/>
      </c>
      <c r="N668">
        <f>IF(Klantgegevens_B!M667&lt;&gt;"", Klantgegevens_B!M667, IF(Klantgegevens_A!L667&gt;=7, "ja", "nee"))</f>
        <v/>
      </c>
      <c r="O668">
        <f>IF(Klantgegevens_B!N667&lt;&gt;"", Klantgegevens_B!N667, IF(Klantgegevens_A!L667&gt;=7, "ja", "nee"))</f>
        <v/>
      </c>
      <c r="P668">
        <f>IF(Klantgegevens_B!O667&lt;&gt;"", Klantgegevens_B!O667, IF(Klantgegevens_A!L667&gt;=7, "ja", "nee"))</f>
        <v/>
      </c>
      <c r="Q668">
        <f>IF(Klantgegevens_B!P667&lt;&gt;"", Klantgegevens_B!P667, Klantgegevens_A!M667)</f>
        <v/>
      </c>
      <c r="R668">
        <f>IF(Klantgegevens_B!A667&lt;&gt;"", "B", "A")</f>
        <v/>
      </c>
    </row>
    <row r="669">
      <c r="A669">
        <f>IF(Klantgegevens_B!A668&lt;&gt;"", Klantgegevens_B!A668, MID(Klantgegevens_A!A668, FIND(",", Klantgegevens_A!A668)+2, LEN(Klantgegevens_A!A668)))</f>
        <v/>
      </c>
      <c r="B669">
        <f>IF(Klantgegevens_B!B668&lt;&gt;"", Klantgegevens_B!B668, LEFT(Klantgegevens_A!A668, FIND(",", Klantgegevens_A!A668)-1))</f>
        <v/>
      </c>
      <c r="C669">
        <f>C668 &amp; ", " &amp; B668</f>
        <v/>
      </c>
      <c r="D669">
        <f>IF(Klantgegevens_B!F668&lt;&gt;"", Klantgegevens_B!F668, Klantgegevens_A!D668 &amp; " " &amp; Klantgegevens_A!E668 &amp; ", " &amp; Klantgegevens_A!F668)</f>
        <v/>
      </c>
      <c r="E669">
        <f>IF(Klantgegevens_B!G668&lt;&gt;"", Klantgegevens_B!G668, TEXTJOIN(",", TRUE, REPT("Volwassene,", Klantgegevens_A!G668), REPT("Kind,", Klantgegevens_A!H668)))</f>
        <v/>
      </c>
      <c r="F669">
        <f>IF(Klantgegevens_B!G668&lt;&gt;"", LEN(Klantgegevens_B!G668)-LEN(SUBSTITUTE(Klantgegevens_B!G668, ",", ""))+1, Klantgegevens_A!G668)</f>
        <v/>
      </c>
      <c r="G669">
        <f>IF(Klantgegevens_B!G668&lt;&gt;"", 0, Klantgegevens_A!H668)</f>
        <v/>
      </c>
      <c r="H669">
        <f>IF(Klantgegevens_B!H668&lt;&gt;"", Klantgegevens_B!H668, Klantgegevens_A!I668)</f>
        <v/>
      </c>
      <c r="I669">
        <f>IF(Klantgegevens_B!I668&lt;&gt;"", Klantgegevens_B!I668, SWITCH(Klantgegevens_A!J668, "Zelden", 1, "Af en toe", 4, "Regelmatig", 8, "Vaak", 12))</f>
        <v/>
      </c>
      <c r="J669">
        <f>IF(Klantgegevens_B!J668&lt;&gt;"", Klantgegevens_B!J668, Klantgegevens_A!K668)</f>
        <v/>
      </c>
      <c r="K669">
        <f>IF(Klantgegevens_B!K668&lt;&gt;"", AVERAGE(--(Klantgegevens_B!K668="ja"), --(Klantgegevens_B!L668="ja"), --(Klantgegevens_B!M668="ja"), --(Klantgegevens_B!N668="ja"), --(Klantgegevens_B!O668="ja"))*10, Klantgegevens_A!L668)</f>
        <v/>
      </c>
      <c r="L669">
        <f>IF(Klantgegevens_B!K668&lt;&gt;"", Klantgegevens_B!K668, IF(Klantgegevens_A!L668&gt;=7, "ja", "nee"))</f>
        <v/>
      </c>
      <c r="M669">
        <f>IF(Klantgegevens_B!L668&lt;&gt;"", Klantgegevens_B!L668, IF(Klantgegevens_A!L668&gt;=7, "ja", "nee"))</f>
        <v/>
      </c>
      <c r="N669">
        <f>IF(Klantgegevens_B!M668&lt;&gt;"", Klantgegevens_B!M668, IF(Klantgegevens_A!L668&gt;=7, "ja", "nee"))</f>
        <v/>
      </c>
      <c r="O669">
        <f>IF(Klantgegevens_B!N668&lt;&gt;"", Klantgegevens_B!N668, IF(Klantgegevens_A!L668&gt;=7, "ja", "nee"))</f>
        <v/>
      </c>
      <c r="P669">
        <f>IF(Klantgegevens_B!O668&lt;&gt;"", Klantgegevens_B!O668, IF(Klantgegevens_A!L668&gt;=7, "ja", "nee"))</f>
        <v/>
      </c>
      <c r="Q669">
        <f>IF(Klantgegevens_B!P668&lt;&gt;"", Klantgegevens_B!P668, Klantgegevens_A!M668)</f>
        <v/>
      </c>
      <c r="R669">
        <f>IF(Klantgegevens_B!A668&lt;&gt;"", "B", "A")</f>
        <v/>
      </c>
    </row>
    <row r="670">
      <c r="A670">
        <f>IF(Klantgegevens_B!A669&lt;&gt;"", Klantgegevens_B!A669, MID(Klantgegevens_A!A669, FIND(",", Klantgegevens_A!A669)+2, LEN(Klantgegevens_A!A669)))</f>
        <v/>
      </c>
      <c r="B670">
        <f>IF(Klantgegevens_B!B669&lt;&gt;"", Klantgegevens_B!B669, LEFT(Klantgegevens_A!A669, FIND(",", Klantgegevens_A!A669)-1))</f>
        <v/>
      </c>
      <c r="C670">
        <f>C669 &amp; ", " &amp; B669</f>
        <v/>
      </c>
      <c r="D670">
        <f>IF(Klantgegevens_B!F669&lt;&gt;"", Klantgegevens_B!F669, Klantgegevens_A!D669 &amp; " " &amp; Klantgegevens_A!E669 &amp; ", " &amp; Klantgegevens_A!F669)</f>
        <v/>
      </c>
      <c r="E670">
        <f>IF(Klantgegevens_B!G669&lt;&gt;"", Klantgegevens_B!G669, TEXTJOIN(",", TRUE, REPT("Volwassene,", Klantgegevens_A!G669), REPT("Kind,", Klantgegevens_A!H669)))</f>
        <v/>
      </c>
      <c r="F670">
        <f>IF(Klantgegevens_B!G669&lt;&gt;"", LEN(Klantgegevens_B!G669)-LEN(SUBSTITUTE(Klantgegevens_B!G669, ",", ""))+1, Klantgegevens_A!G669)</f>
        <v/>
      </c>
      <c r="G670">
        <f>IF(Klantgegevens_B!G669&lt;&gt;"", 0, Klantgegevens_A!H669)</f>
        <v/>
      </c>
      <c r="H670">
        <f>IF(Klantgegevens_B!H669&lt;&gt;"", Klantgegevens_B!H669, Klantgegevens_A!I669)</f>
        <v/>
      </c>
      <c r="I670">
        <f>IF(Klantgegevens_B!I669&lt;&gt;"", Klantgegevens_B!I669, SWITCH(Klantgegevens_A!J669, "Zelden", 1, "Af en toe", 4, "Regelmatig", 8, "Vaak", 12))</f>
        <v/>
      </c>
      <c r="J670">
        <f>IF(Klantgegevens_B!J669&lt;&gt;"", Klantgegevens_B!J669, Klantgegevens_A!K669)</f>
        <v/>
      </c>
      <c r="K670">
        <f>IF(Klantgegevens_B!K669&lt;&gt;"", AVERAGE(--(Klantgegevens_B!K669="ja"), --(Klantgegevens_B!L669="ja"), --(Klantgegevens_B!M669="ja"), --(Klantgegevens_B!N669="ja"), --(Klantgegevens_B!O669="ja"))*10, Klantgegevens_A!L669)</f>
        <v/>
      </c>
      <c r="L670">
        <f>IF(Klantgegevens_B!K669&lt;&gt;"", Klantgegevens_B!K669, IF(Klantgegevens_A!L669&gt;=7, "ja", "nee"))</f>
        <v/>
      </c>
      <c r="M670">
        <f>IF(Klantgegevens_B!L669&lt;&gt;"", Klantgegevens_B!L669, IF(Klantgegevens_A!L669&gt;=7, "ja", "nee"))</f>
        <v/>
      </c>
      <c r="N670">
        <f>IF(Klantgegevens_B!M669&lt;&gt;"", Klantgegevens_B!M669, IF(Klantgegevens_A!L669&gt;=7, "ja", "nee"))</f>
        <v/>
      </c>
      <c r="O670">
        <f>IF(Klantgegevens_B!N669&lt;&gt;"", Klantgegevens_B!N669, IF(Klantgegevens_A!L669&gt;=7, "ja", "nee"))</f>
        <v/>
      </c>
      <c r="P670">
        <f>IF(Klantgegevens_B!O669&lt;&gt;"", Klantgegevens_B!O669, IF(Klantgegevens_A!L669&gt;=7, "ja", "nee"))</f>
        <v/>
      </c>
      <c r="Q670">
        <f>IF(Klantgegevens_B!P669&lt;&gt;"", Klantgegevens_B!P669, Klantgegevens_A!M669)</f>
        <v/>
      </c>
      <c r="R670">
        <f>IF(Klantgegevens_B!A669&lt;&gt;"", "B", "A")</f>
        <v/>
      </c>
    </row>
    <row r="671">
      <c r="A671">
        <f>IF(Klantgegevens_B!A670&lt;&gt;"", Klantgegevens_B!A670, MID(Klantgegevens_A!A670, FIND(",", Klantgegevens_A!A670)+2, LEN(Klantgegevens_A!A670)))</f>
        <v/>
      </c>
      <c r="B671">
        <f>IF(Klantgegevens_B!B670&lt;&gt;"", Klantgegevens_B!B670, LEFT(Klantgegevens_A!A670, FIND(",", Klantgegevens_A!A670)-1))</f>
        <v/>
      </c>
      <c r="C671">
        <f>C670 &amp; ", " &amp; B670</f>
        <v/>
      </c>
      <c r="D671">
        <f>IF(Klantgegevens_B!F670&lt;&gt;"", Klantgegevens_B!F670, Klantgegevens_A!D670 &amp; " " &amp; Klantgegevens_A!E670 &amp; ", " &amp; Klantgegevens_A!F670)</f>
        <v/>
      </c>
      <c r="E671">
        <f>IF(Klantgegevens_B!G670&lt;&gt;"", Klantgegevens_B!G670, TEXTJOIN(",", TRUE, REPT("Volwassene,", Klantgegevens_A!G670), REPT("Kind,", Klantgegevens_A!H670)))</f>
        <v/>
      </c>
      <c r="F671">
        <f>IF(Klantgegevens_B!G670&lt;&gt;"", LEN(Klantgegevens_B!G670)-LEN(SUBSTITUTE(Klantgegevens_B!G670, ",", ""))+1, Klantgegevens_A!G670)</f>
        <v/>
      </c>
      <c r="G671">
        <f>IF(Klantgegevens_B!G670&lt;&gt;"", 0, Klantgegevens_A!H670)</f>
        <v/>
      </c>
      <c r="H671">
        <f>IF(Klantgegevens_B!H670&lt;&gt;"", Klantgegevens_B!H670, Klantgegevens_A!I670)</f>
        <v/>
      </c>
      <c r="I671">
        <f>IF(Klantgegevens_B!I670&lt;&gt;"", Klantgegevens_B!I670, SWITCH(Klantgegevens_A!J670, "Zelden", 1, "Af en toe", 4, "Regelmatig", 8, "Vaak", 12))</f>
        <v/>
      </c>
      <c r="J671">
        <f>IF(Klantgegevens_B!J670&lt;&gt;"", Klantgegevens_B!J670, Klantgegevens_A!K670)</f>
        <v/>
      </c>
      <c r="K671">
        <f>IF(Klantgegevens_B!K670&lt;&gt;"", AVERAGE(--(Klantgegevens_B!K670="ja"), --(Klantgegevens_B!L670="ja"), --(Klantgegevens_B!M670="ja"), --(Klantgegevens_B!N670="ja"), --(Klantgegevens_B!O670="ja"))*10, Klantgegevens_A!L670)</f>
        <v/>
      </c>
      <c r="L671">
        <f>IF(Klantgegevens_B!K670&lt;&gt;"", Klantgegevens_B!K670, IF(Klantgegevens_A!L670&gt;=7, "ja", "nee"))</f>
        <v/>
      </c>
      <c r="M671">
        <f>IF(Klantgegevens_B!L670&lt;&gt;"", Klantgegevens_B!L670, IF(Klantgegevens_A!L670&gt;=7, "ja", "nee"))</f>
        <v/>
      </c>
      <c r="N671">
        <f>IF(Klantgegevens_B!M670&lt;&gt;"", Klantgegevens_B!M670, IF(Klantgegevens_A!L670&gt;=7, "ja", "nee"))</f>
        <v/>
      </c>
      <c r="O671">
        <f>IF(Klantgegevens_B!N670&lt;&gt;"", Klantgegevens_B!N670, IF(Klantgegevens_A!L670&gt;=7, "ja", "nee"))</f>
        <v/>
      </c>
      <c r="P671">
        <f>IF(Klantgegevens_B!O670&lt;&gt;"", Klantgegevens_B!O670, IF(Klantgegevens_A!L670&gt;=7, "ja", "nee"))</f>
        <v/>
      </c>
      <c r="Q671">
        <f>IF(Klantgegevens_B!P670&lt;&gt;"", Klantgegevens_B!P670, Klantgegevens_A!M670)</f>
        <v/>
      </c>
      <c r="R671">
        <f>IF(Klantgegevens_B!A670&lt;&gt;"", "B", "A")</f>
        <v/>
      </c>
    </row>
    <row r="672">
      <c r="A672">
        <f>IF(Klantgegevens_B!A671&lt;&gt;"", Klantgegevens_B!A671, MID(Klantgegevens_A!A671, FIND(",", Klantgegevens_A!A671)+2, LEN(Klantgegevens_A!A671)))</f>
        <v/>
      </c>
      <c r="B672">
        <f>IF(Klantgegevens_B!B671&lt;&gt;"", Klantgegevens_B!B671, LEFT(Klantgegevens_A!A671, FIND(",", Klantgegevens_A!A671)-1))</f>
        <v/>
      </c>
      <c r="C672">
        <f>C671 &amp; ", " &amp; B671</f>
        <v/>
      </c>
      <c r="D672">
        <f>IF(Klantgegevens_B!F671&lt;&gt;"", Klantgegevens_B!F671, Klantgegevens_A!D671 &amp; " " &amp; Klantgegevens_A!E671 &amp; ", " &amp; Klantgegevens_A!F671)</f>
        <v/>
      </c>
      <c r="E672">
        <f>IF(Klantgegevens_B!G671&lt;&gt;"", Klantgegevens_B!G671, TEXTJOIN(",", TRUE, REPT("Volwassene,", Klantgegevens_A!G671), REPT("Kind,", Klantgegevens_A!H671)))</f>
        <v/>
      </c>
      <c r="F672">
        <f>IF(Klantgegevens_B!G671&lt;&gt;"", LEN(Klantgegevens_B!G671)-LEN(SUBSTITUTE(Klantgegevens_B!G671, ",", ""))+1, Klantgegevens_A!G671)</f>
        <v/>
      </c>
      <c r="G672">
        <f>IF(Klantgegevens_B!G671&lt;&gt;"", 0, Klantgegevens_A!H671)</f>
        <v/>
      </c>
      <c r="H672">
        <f>IF(Klantgegevens_B!H671&lt;&gt;"", Klantgegevens_B!H671, Klantgegevens_A!I671)</f>
        <v/>
      </c>
      <c r="I672">
        <f>IF(Klantgegevens_B!I671&lt;&gt;"", Klantgegevens_B!I671, SWITCH(Klantgegevens_A!J671, "Zelden", 1, "Af en toe", 4, "Regelmatig", 8, "Vaak", 12))</f>
        <v/>
      </c>
      <c r="J672">
        <f>IF(Klantgegevens_B!J671&lt;&gt;"", Klantgegevens_B!J671, Klantgegevens_A!K671)</f>
        <v/>
      </c>
      <c r="K672">
        <f>IF(Klantgegevens_B!K671&lt;&gt;"", AVERAGE(--(Klantgegevens_B!K671="ja"), --(Klantgegevens_B!L671="ja"), --(Klantgegevens_B!M671="ja"), --(Klantgegevens_B!N671="ja"), --(Klantgegevens_B!O671="ja"))*10, Klantgegevens_A!L671)</f>
        <v/>
      </c>
      <c r="L672">
        <f>IF(Klantgegevens_B!K671&lt;&gt;"", Klantgegevens_B!K671, IF(Klantgegevens_A!L671&gt;=7, "ja", "nee"))</f>
        <v/>
      </c>
      <c r="M672">
        <f>IF(Klantgegevens_B!L671&lt;&gt;"", Klantgegevens_B!L671, IF(Klantgegevens_A!L671&gt;=7, "ja", "nee"))</f>
        <v/>
      </c>
      <c r="N672">
        <f>IF(Klantgegevens_B!M671&lt;&gt;"", Klantgegevens_B!M671, IF(Klantgegevens_A!L671&gt;=7, "ja", "nee"))</f>
        <v/>
      </c>
      <c r="O672">
        <f>IF(Klantgegevens_B!N671&lt;&gt;"", Klantgegevens_B!N671, IF(Klantgegevens_A!L671&gt;=7, "ja", "nee"))</f>
        <v/>
      </c>
      <c r="P672">
        <f>IF(Klantgegevens_B!O671&lt;&gt;"", Klantgegevens_B!O671, IF(Klantgegevens_A!L671&gt;=7, "ja", "nee"))</f>
        <v/>
      </c>
      <c r="Q672">
        <f>IF(Klantgegevens_B!P671&lt;&gt;"", Klantgegevens_B!P671, Klantgegevens_A!M671)</f>
        <v/>
      </c>
      <c r="R672">
        <f>IF(Klantgegevens_B!A671&lt;&gt;"", "B", "A")</f>
        <v/>
      </c>
    </row>
    <row r="673">
      <c r="A673">
        <f>IF(Klantgegevens_B!A672&lt;&gt;"", Klantgegevens_B!A672, MID(Klantgegevens_A!A672, FIND(",", Klantgegevens_A!A672)+2, LEN(Klantgegevens_A!A672)))</f>
        <v/>
      </c>
      <c r="B673">
        <f>IF(Klantgegevens_B!B672&lt;&gt;"", Klantgegevens_B!B672, LEFT(Klantgegevens_A!A672, FIND(",", Klantgegevens_A!A672)-1))</f>
        <v/>
      </c>
      <c r="C673">
        <f>C672 &amp; ", " &amp; B672</f>
        <v/>
      </c>
      <c r="D673">
        <f>IF(Klantgegevens_B!F672&lt;&gt;"", Klantgegevens_B!F672, Klantgegevens_A!D672 &amp; " " &amp; Klantgegevens_A!E672 &amp; ", " &amp; Klantgegevens_A!F672)</f>
        <v/>
      </c>
      <c r="E673">
        <f>IF(Klantgegevens_B!G672&lt;&gt;"", Klantgegevens_B!G672, TEXTJOIN(",", TRUE, REPT("Volwassene,", Klantgegevens_A!G672), REPT("Kind,", Klantgegevens_A!H672)))</f>
        <v/>
      </c>
      <c r="F673">
        <f>IF(Klantgegevens_B!G672&lt;&gt;"", LEN(Klantgegevens_B!G672)-LEN(SUBSTITUTE(Klantgegevens_B!G672, ",", ""))+1, Klantgegevens_A!G672)</f>
        <v/>
      </c>
      <c r="G673">
        <f>IF(Klantgegevens_B!G672&lt;&gt;"", 0, Klantgegevens_A!H672)</f>
        <v/>
      </c>
      <c r="H673">
        <f>IF(Klantgegevens_B!H672&lt;&gt;"", Klantgegevens_B!H672, Klantgegevens_A!I672)</f>
        <v/>
      </c>
      <c r="I673">
        <f>IF(Klantgegevens_B!I672&lt;&gt;"", Klantgegevens_B!I672, SWITCH(Klantgegevens_A!J672, "Zelden", 1, "Af en toe", 4, "Regelmatig", 8, "Vaak", 12))</f>
        <v/>
      </c>
      <c r="J673">
        <f>IF(Klantgegevens_B!J672&lt;&gt;"", Klantgegevens_B!J672, Klantgegevens_A!K672)</f>
        <v/>
      </c>
      <c r="K673">
        <f>IF(Klantgegevens_B!K672&lt;&gt;"", AVERAGE(--(Klantgegevens_B!K672="ja"), --(Klantgegevens_B!L672="ja"), --(Klantgegevens_B!M672="ja"), --(Klantgegevens_B!N672="ja"), --(Klantgegevens_B!O672="ja"))*10, Klantgegevens_A!L672)</f>
        <v/>
      </c>
      <c r="L673">
        <f>IF(Klantgegevens_B!K672&lt;&gt;"", Klantgegevens_B!K672, IF(Klantgegevens_A!L672&gt;=7, "ja", "nee"))</f>
        <v/>
      </c>
      <c r="M673">
        <f>IF(Klantgegevens_B!L672&lt;&gt;"", Klantgegevens_B!L672, IF(Klantgegevens_A!L672&gt;=7, "ja", "nee"))</f>
        <v/>
      </c>
      <c r="N673">
        <f>IF(Klantgegevens_B!M672&lt;&gt;"", Klantgegevens_B!M672, IF(Klantgegevens_A!L672&gt;=7, "ja", "nee"))</f>
        <v/>
      </c>
      <c r="O673">
        <f>IF(Klantgegevens_B!N672&lt;&gt;"", Klantgegevens_B!N672, IF(Klantgegevens_A!L672&gt;=7, "ja", "nee"))</f>
        <v/>
      </c>
      <c r="P673">
        <f>IF(Klantgegevens_B!O672&lt;&gt;"", Klantgegevens_B!O672, IF(Klantgegevens_A!L672&gt;=7, "ja", "nee"))</f>
        <v/>
      </c>
      <c r="Q673">
        <f>IF(Klantgegevens_B!P672&lt;&gt;"", Klantgegevens_B!P672, Klantgegevens_A!M672)</f>
        <v/>
      </c>
      <c r="R673">
        <f>IF(Klantgegevens_B!A672&lt;&gt;"", "B", "A")</f>
        <v/>
      </c>
    </row>
    <row r="674">
      <c r="A674">
        <f>IF(Klantgegevens_B!A673&lt;&gt;"", Klantgegevens_B!A673, MID(Klantgegevens_A!A673, FIND(",", Klantgegevens_A!A673)+2, LEN(Klantgegevens_A!A673)))</f>
        <v/>
      </c>
      <c r="B674">
        <f>IF(Klantgegevens_B!B673&lt;&gt;"", Klantgegevens_B!B673, LEFT(Klantgegevens_A!A673, FIND(",", Klantgegevens_A!A673)-1))</f>
        <v/>
      </c>
      <c r="C674">
        <f>C673 &amp; ", " &amp; B673</f>
        <v/>
      </c>
      <c r="D674">
        <f>IF(Klantgegevens_B!F673&lt;&gt;"", Klantgegevens_B!F673, Klantgegevens_A!D673 &amp; " " &amp; Klantgegevens_A!E673 &amp; ", " &amp; Klantgegevens_A!F673)</f>
        <v/>
      </c>
      <c r="E674">
        <f>IF(Klantgegevens_B!G673&lt;&gt;"", Klantgegevens_B!G673, TEXTJOIN(",", TRUE, REPT("Volwassene,", Klantgegevens_A!G673), REPT("Kind,", Klantgegevens_A!H673)))</f>
        <v/>
      </c>
      <c r="F674">
        <f>IF(Klantgegevens_B!G673&lt;&gt;"", LEN(Klantgegevens_B!G673)-LEN(SUBSTITUTE(Klantgegevens_B!G673, ",", ""))+1, Klantgegevens_A!G673)</f>
        <v/>
      </c>
      <c r="G674">
        <f>IF(Klantgegevens_B!G673&lt;&gt;"", 0, Klantgegevens_A!H673)</f>
        <v/>
      </c>
      <c r="H674">
        <f>IF(Klantgegevens_B!H673&lt;&gt;"", Klantgegevens_B!H673, Klantgegevens_A!I673)</f>
        <v/>
      </c>
      <c r="I674">
        <f>IF(Klantgegevens_B!I673&lt;&gt;"", Klantgegevens_B!I673, SWITCH(Klantgegevens_A!J673, "Zelden", 1, "Af en toe", 4, "Regelmatig", 8, "Vaak", 12))</f>
        <v/>
      </c>
      <c r="J674">
        <f>IF(Klantgegevens_B!J673&lt;&gt;"", Klantgegevens_B!J673, Klantgegevens_A!K673)</f>
        <v/>
      </c>
      <c r="K674">
        <f>IF(Klantgegevens_B!K673&lt;&gt;"", AVERAGE(--(Klantgegevens_B!K673="ja"), --(Klantgegevens_B!L673="ja"), --(Klantgegevens_B!M673="ja"), --(Klantgegevens_B!N673="ja"), --(Klantgegevens_B!O673="ja"))*10, Klantgegevens_A!L673)</f>
        <v/>
      </c>
      <c r="L674">
        <f>IF(Klantgegevens_B!K673&lt;&gt;"", Klantgegevens_B!K673, IF(Klantgegevens_A!L673&gt;=7, "ja", "nee"))</f>
        <v/>
      </c>
      <c r="M674">
        <f>IF(Klantgegevens_B!L673&lt;&gt;"", Klantgegevens_B!L673, IF(Klantgegevens_A!L673&gt;=7, "ja", "nee"))</f>
        <v/>
      </c>
      <c r="N674">
        <f>IF(Klantgegevens_B!M673&lt;&gt;"", Klantgegevens_B!M673, IF(Klantgegevens_A!L673&gt;=7, "ja", "nee"))</f>
        <v/>
      </c>
      <c r="O674">
        <f>IF(Klantgegevens_B!N673&lt;&gt;"", Klantgegevens_B!N673, IF(Klantgegevens_A!L673&gt;=7, "ja", "nee"))</f>
        <v/>
      </c>
      <c r="P674">
        <f>IF(Klantgegevens_B!O673&lt;&gt;"", Klantgegevens_B!O673, IF(Klantgegevens_A!L673&gt;=7, "ja", "nee"))</f>
        <v/>
      </c>
      <c r="Q674">
        <f>IF(Klantgegevens_B!P673&lt;&gt;"", Klantgegevens_B!P673, Klantgegevens_A!M673)</f>
        <v/>
      </c>
      <c r="R674">
        <f>IF(Klantgegevens_B!A673&lt;&gt;"", "B", "A")</f>
        <v/>
      </c>
    </row>
    <row r="675">
      <c r="A675">
        <f>IF(Klantgegevens_B!A674&lt;&gt;"", Klantgegevens_B!A674, MID(Klantgegevens_A!A674, FIND(",", Klantgegevens_A!A674)+2, LEN(Klantgegevens_A!A674)))</f>
        <v/>
      </c>
      <c r="B675">
        <f>IF(Klantgegevens_B!B674&lt;&gt;"", Klantgegevens_B!B674, LEFT(Klantgegevens_A!A674, FIND(",", Klantgegevens_A!A674)-1))</f>
        <v/>
      </c>
      <c r="C675">
        <f>C674 &amp; ", " &amp; B674</f>
        <v/>
      </c>
      <c r="D675">
        <f>IF(Klantgegevens_B!F674&lt;&gt;"", Klantgegevens_B!F674, Klantgegevens_A!D674 &amp; " " &amp; Klantgegevens_A!E674 &amp; ", " &amp; Klantgegevens_A!F674)</f>
        <v/>
      </c>
      <c r="E675">
        <f>IF(Klantgegevens_B!G674&lt;&gt;"", Klantgegevens_B!G674, TEXTJOIN(",", TRUE, REPT("Volwassene,", Klantgegevens_A!G674), REPT("Kind,", Klantgegevens_A!H674)))</f>
        <v/>
      </c>
      <c r="F675">
        <f>IF(Klantgegevens_B!G674&lt;&gt;"", LEN(Klantgegevens_B!G674)-LEN(SUBSTITUTE(Klantgegevens_B!G674, ",", ""))+1, Klantgegevens_A!G674)</f>
        <v/>
      </c>
      <c r="G675">
        <f>IF(Klantgegevens_B!G674&lt;&gt;"", 0, Klantgegevens_A!H674)</f>
        <v/>
      </c>
      <c r="H675">
        <f>IF(Klantgegevens_B!H674&lt;&gt;"", Klantgegevens_B!H674, Klantgegevens_A!I674)</f>
        <v/>
      </c>
      <c r="I675">
        <f>IF(Klantgegevens_B!I674&lt;&gt;"", Klantgegevens_B!I674, SWITCH(Klantgegevens_A!J674, "Zelden", 1, "Af en toe", 4, "Regelmatig", 8, "Vaak", 12))</f>
        <v/>
      </c>
      <c r="J675">
        <f>IF(Klantgegevens_B!J674&lt;&gt;"", Klantgegevens_B!J674, Klantgegevens_A!K674)</f>
        <v/>
      </c>
      <c r="K675">
        <f>IF(Klantgegevens_B!K674&lt;&gt;"", AVERAGE(--(Klantgegevens_B!K674="ja"), --(Klantgegevens_B!L674="ja"), --(Klantgegevens_B!M674="ja"), --(Klantgegevens_B!N674="ja"), --(Klantgegevens_B!O674="ja"))*10, Klantgegevens_A!L674)</f>
        <v/>
      </c>
      <c r="L675">
        <f>IF(Klantgegevens_B!K674&lt;&gt;"", Klantgegevens_B!K674, IF(Klantgegevens_A!L674&gt;=7, "ja", "nee"))</f>
        <v/>
      </c>
      <c r="M675">
        <f>IF(Klantgegevens_B!L674&lt;&gt;"", Klantgegevens_B!L674, IF(Klantgegevens_A!L674&gt;=7, "ja", "nee"))</f>
        <v/>
      </c>
      <c r="N675">
        <f>IF(Klantgegevens_B!M674&lt;&gt;"", Klantgegevens_B!M674, IF(Klantgegevens_A!L674&gt;=7, "ja", "nee"))</f>
        <v/>
      </c>
      <c r="O675">
        <f>IF(Klantgegevens_B!N674&lt;&gt;"", Klantgegevens_B!N674, IF(Klantgegevens_A!L674&gt;=7, "ja", "nee"))</f>
        <v/>
      </c>
      <c r="P675">
        <f>IF(Klantgegevens_B!O674&lt;&gt;"", Klantgegevens_B!O674, IF(Klantgegevens_A!L674&gt;=7, "ja", "nee"))</f>
        <v/>
      </c>
      <c r="Q675">
        <f>IF(Klantgegevens_B!P674&lt;&gt;"", Klantgegevens_B!P674, Klantgegevens_A!M674)</f>
        <v/>
      </c>
      <c r="R675">
        <f>IF(Klantgegevens_B!A674&lt;&gt;"", "B", "A")</f>
        <v/>
      </c>
    </row>
    <row r="676">
      <c r="A676">
        <f>IF(Klantgegevens_B!A675&lt;&gt;"", Klantgegevens_B!A675, MID(Klantgegevens_A!A675, FIND(",", Klantgegevens_A!A675)+2, LEN(Klantgegevens_A!A675)))</f>
        <v/>
      </c>
      <c r="B676">
        <f>IF(Klantgegevens_B!B675&lt;&gt;"", Klantgegevens_B!B675, LEFT(Klantgegevens_A!A675, FIND(",", Klantgegevens_A!A675)-1))</f>
        <v/>
      </c>
      <c r="C676">
        <f>C675 &amp; ", " &amp; B675</f>
        <v/>
      </c>
      <c r="D676">
        <f>IF(Klantgegevens_B!F675&lt;&gt;"", Klantgegevens_B!F675, Klantgegevens_A!D675 &amp; " " &amp; Klantgegevens_A!E675 &amp; ", " &amp; Klantgegevens_A!F675)</f>
        <v/>
      </c>
      <c r="E676">
        <f>IF(Klantgegevens_B!G675&lt;&gt;"", Klantgegevens_B!G675, TEXTJOIN(",", TRUE, REPT("Volwassene,", Klantgegevens_A!G675), REPT("Kind,", Klantgegevens_A!H675)))</f>
        <v/>
      </c>
      <c r="F676">
        <f>IF(Klantgegevens_B!G675&lt;&gt;"", LEN(Klantgegevens_B!G675)-LEN(SUBSTITUTE(Klantgegevens_B!G675, ",", ""))+1, Klantgegevens_A!G675)</f>
        <v/>
      </c>
      <c r="G676">
        <f>IF(Klantgegevens_B!G675&lt;&gt;"", 0, Klantgegevens_A!H675)</f>
        <v/>
      </c>
      <c r="H676">
        <f>IF(Klantgegevens_B!H675&lt;&gt;"", Klantgegevens_B!H675, Klantgegevens_A!I675)</f>
        <v/>
      </c>
      <c r="I676">
        <f>IF(Klantgegevens_B!I675&lt;&gt;"", Klantgegevens_B!I675, SWITCH(Klantgegevens_A!J675, "Zelden", 1, "Af en toe", 4, "Regelmatig", 8, "Vaak", 12))</f>
        <v/>
      </c>
      <c r="J676">
        <f>IF(Klantgegevens_B!J675&lt;&gt;"", Klantgegevens_B!J675, Klantgegevens_A!K675)</f>
        <v/>
      </c>
      <c r="K676">
        <f>IF(Klantgegevens_B!K675&lt;&gt;"", AVERAGE(--(Klantgegevens_B!K675="ja"), --(Klantgegevens_B!L675="ja"), --(Klantgegevens_B!M675="ja"), --(Klantgegevens_B!N675="ja"), --(Klantgegevens_B!O675="ja"))*10, Klantgegevens_A!L675)</f>
        <v/>
      </c>
      <c r="L676">
        <f>IF(Klantgegevens_B!K675&lt;&gt;"", Klantgegevens_B!K675, IF(Klantgegevens_A!L675&gt;=7, "ja", "nee"))</f>
        <v/>
      </c>
      <c r="M676">
        <f>IF(Klantgegevens_B!L675&lt;&gt;"", Klantgegevens_B!L675, IF(Klantgegevens_A!L675&gt;=7, "ja", "nee"))</f>
        <v/>
      </c>
      <c r="N676">
        <f>IF(Klantgegevens_B!M675&lt;&gt;"", Klantgegevens_B!M675, IF(Klantgegevens_A!L675&gt;=7, "ja", "nee"))</f>
        <v/>
      </c>
      <c r="O676">
        <f>IF(Klantgegevens_B!N675&lt;&gt;"", Klantgegevens_B!N675, IF(Klantgegevens_A!L675&gt;=7, "ja", "nee"))</f>
        <v/>
      </c>
      <c r="P676">
        <f>IF(Klantgegevens_B!O675&lt;&gt;"", Klantgegevens_B!O675, IF(Klantgegevens_A!L675&gt;=7, "ja", "nee"))</f>
        <v/>
      </c>
      <c r="Q676">
        <f>IF(Klantgegevens_B!P675&lt;&gt;"", Klantgegevens_B!P675, Klantgegevens_A!M675)</f>
        <v/>
      </c>
      <c r="R676">
        <f>IF(Klantgegevens_B!A675&lt;&gt;"", "B", "A")</f>
        <v/>
      </c>
    </row>
    <row r="677">
      <c r="A677">
        <f>IF(Klantgegevens_B!A676&lt;&gt;"", Klantgegevens_B!A676, MID(Klantgegevens_A!A676, FIND(",", Klantgegevens_A!A676)+2, LEN(Klantgegevens_A!A676)))</f>
        <v/>
      </c>
      <c r="B677">
        <f>IF(Klantgegevens_B!B676&lt;&gt;"", Klantgegevens_B!B676, LEFT(Klantgegevens_A!A676, FIND(",", Klantgegevens_A!A676)-1))</f>
        <v/>
      </c>
      <c r="C677">
        <f>C676 &amp; ", " &amp; B676</f>
        <v/>
      </c>
      <c r="D677">
        <f>IF(Klantgegevens_B!F676&lt;&gt;"", Klantgegevens_B!F676, Klantgegevens_A!D676 &amp; " " &amp; Klantgegevens_A!E676 &amp; ", " &amp; Klantgegevens_A!F676)</f>
        <v/>
      </c>
      <c r="E677">
        <f>IF(Klantgegevens_B!G676&lt;&gt;"", Klantgegevens_B!G676, TEXTJOIN(",", TRUE, REPT("Volwassene,", Klantgegevens_A!G676), REPT("Kind,", Klantgegevens_A!H676)))</f>
        <v/>
      </c>
      <c r="F677">
        <f>IF(Klantgegevens_B!G676&lt;&gt;"", LEN(Klantgegevens_B!G676)-LEN(SUBSTITUTE(Klantgegevens_B!G676, ",", ""))+1, Klantgegevens_A!G676)</f>
        <v/>
      </c>
      <c r="G677">
        <f>IF(Klantgegevens_B!G676&lt;&gt;"", 0, Klantgegevens_A!H676)</f>
        <v/>
      </c>
      <c r="H677">
        <f>IF(Klantgegevens_B!H676&lt;&gt;"", Klantgegevens_B!H676, Klantgegevens_A!I676)</f>
        <v/>
      </c>
      <c r="I677">
        <f>IF(Klantgegevens_B!I676&lt;&gt;"", Klantgegevens_B!I676, SWITCH(Klantgegevens_A!J676, "Zelden", 1, "Af en toe", 4, "Regelmatig", 8, "Vaak", 12))</f>
        <v/>
      </c>
      <c r="J677">
        <f>IF(Klantgegevens_B!J676&lt;&gt;"", Klantgegevens_B!J676, Klantgegevens_A!K676)</f>
        <v/>
      </c>
      <c r="K677">
        <f>IF(Klantgegevens_B!K676&lt;&gt;"", AVERAGE(--(Klantgegevens_B!K676="ja"), --(Klantgegevens_B!L676="ja"), --(Klantgegevens_B!M676="ja"), --(Klantgegevens_B!N676="ja"), --(Klantgegevens_B!O676="ja"))*10, Klantgegevens_A!L676)</f>
        <v/>
      </c>
      <c r="L677">
        <f>IF(Klantgegevens_B!K676&lt;&gt;"", Klantgegevens_B!K676, IF(Klantgegevens_A!L676&gt;=7, "ja", "nee"))</f>
        <v/>
      </c>
      <c r="M677">
        <f>IF(Klantgegevens_B!L676&lt;&gt;"", Klantgegevens_B!L676, IF(Klantgegevens_A!L676&gt;=7, "ja", "nee"))</f>
        <v/>
      </c>
      <c r="N677">
        <f>IF(Klantgegevens_B!M676&lt;&gt;"", Klantgegevens_B!M676, IF(Klantgegevens_A!L676&gt;=7, "ja", "nee"))</f>
        <v/>
      </c>
      <c r="O677">
        <f>IF(Klantgegevens_B!N676&lt;&gt;"", Klantgegevens_B!N676, IF(Klantgegevens_A!L676&gt;=7, "ja", "nee"))</f>
        <v/>
      </c>
      <c r="P677">
        <f>IF(Klantgegevens_B!O676&lt;&gt;"", Klantgegevens_B!O676, IF(Klantgegevens_A!L676&gt;=7, "ja", "nee"))</f>
        <v/>
      </c>
      <c r="Q677">
        <f>IF(Klantgegevens_B!P676&lt;&gt;"", Klantgegevens_B!P676, Klantgegevens_A!M676)</f>
        <v/>
      </c>
      <c r="R677">
        <f>IF(Klantgegevens_B!A676&lt;&gt;"", "B", "A")</f>
        <v/>
      </c>
    </row>
    <row r="678">
      <c r="A678">
        <f>IF(Klantgegevens_B!A677&lt;&gt;"", Klantgegevens_B!A677, MID(Klantgegevens_A!A677, FIND(",", Klantgegevens_A!A677)+2, LEN(Klantgegevens_A!A677)))</f>
        <v/>
      </c>
      <c r="B678">
        <f>IF(Klantgegevens_B!B677&lt;&gt;"", Klantgegevens_B!B677, LEFT(Klantgegevens_A!A677, FIND(",", Klantgegevens_A!A677)-1))</f>
        <v/>
      </c>
      <c r="C678">
        <f>C677 &amp; ", " &amp; B677</f>
        <v/>
      </c>
      <c r="D678">
        <f>IF(Klantgegevens_B!F677&lt;&gt;"", Klantgegevens_B!F677, Klantgegevens_A!D677 &amp; " " &amp; Klantgegevens_A!E677 &amp; ", " &amp; Klantgegevens_A!F677)</f>
        <v/>
      </c>
      <c r="E678">
        <f>IF(Klantgegevens_B!G677&lt;&gt;"", Klantgegevens_B!G677, TEXTJOIN(",", TRUE, REPT("Volwassene,", Klantgegevens_A!G677), REPT("Kind,", Klantgegevens_A!H677)))</f>
        <v/>
      </c>
      <c r="F678">
        <f>IF(Klantgegevens_B!G677&lt;&gt;"", LEN(Klantgegevens_B!G677)-LEN(SUBSTITUTE(Klantgegevens_B!G677, ",", ""))+1, Klantgegevens_A!G677)</f>
        <v/>
      </c>
      <c r="G678">
        <f>IF(Klantgegevens_B!G677&lt;&gt;"", 0, Klantgegevens_A!H677)</f>
        <v/>
      </c>
      <c r="H678">
        <f>IF(Klantgegevens_B!H677&lt;&gt;"", Klantgegevens_B!H677, Klantgegevens_A!I677)</f>
        <v/>
      </c>
      <c r="I678">
        <f>IF(Klantgegevens_B!I677&lt;&gt;"", Klantgegevens_B!I677, SWITCH(Klantgegevens_A!J677, "Zelden", 1, "Af en toe", 4, "Regelmatig", 8, "Vaak", 12))</f>
        <v/>
      </c>
      <c r="J678">
        <f>IF(Klantgegevens_B!J677&lt;&gt;"", Klantgegevens_B!J677, Klantgegevens_A!K677)</f>
        <v/>
      </c>
      <c r="K678">
        <f>IF(Klantgegevens_B!K677&lt;&gt;"", AVERAGE(--(Klantgegevens_B!K677="ja"), --(Klantgegevens_B!L677="ja"), --(Klantgegevens_B!M677="ja"), --(Klantgegevens_B!N677="ja"), --(Klantgegevens_B!O677="ja"))*10, Klantgegevens_A!L677)</f>
        <v/>
      </c>
      <c r="L678">
        <f>IF(Klantgegevens_B!K677&lt;&gt;"", Klantgegevens_B!K677, IF(Klantgegevens_A!L677&gt;=7, "ja", "nee"))</f>
        <v/>
      </c>
      <c r="M678">
        <f>IF(Klantgegevens_B!L677&lt;&gt;"", Klantgegevens_B!L677, IF(Klantgegevens_A!L677&gt;=7, "ja", "nee"))</f>
        <v/>
      </c>
      <c r="N678">
        <f>IF(Klantgegevens_B!M677&lt;&gt;"", Klantgegevens_B!M677, IF(Klantgegevens_A!L677&gt;=7, "ja", "nee"))</f>
        <v/>
      </c>
      <c r="O678">
        <f>IF(Klantgegevens_B!N677&lt;&gt;"", Klantgegevens_B!N677, IF(Klantgegevens_A!L677&gt;=7, "ja", "nee"))</f>
        <v/>
      </c>
      <c r="P678">
        <f>IF(Klantgegevens_B!O677&lt;&gt;"", Klantgegevens_B!O677, IF(Klantgegevens_A!L677&gt;=7, "ja", "nee"))</f>
        <v/>
      </c>
      <c r="Q678">
        <f>IF(Klantgegevens_B!P677&lt;&gt;"", Klantgegevens_B!P677, Klantgegevens_A!M677)</f>
        <v/>
      </c>
      <c r="R678">
        <f>IF(Klantgegevens_B!A677&lt;&gt;"", "B", "A")</f>
        <v/>
      </c>
    </row>
    <row r="679">
      <c r="A679">
        <f>IF(Klantgegevens_B!A678&lt;&gt;"", Klantgegevens_B!A678, MID(Klantgegevens_A!A678, FIND(",", Klantgegevens_A!A678)+2, LEN(Klantgegevens_A!A678)))</f>
        <v/>
      </c>
      <c r="B679">
        <f>IF(Klantgegevens_B!B678&lt;&gt;"", Klantgegevens_B!B678, LEFT(Klantgegevens_A!A678, FIND(",", Klantgegevens_A!A678)-1))</f>
        <v/>
      </c>
      <c r="C679">
        <f>C678 &amp; ", " &amp; B678</f>
        <v/>
      </c>
      <c r="D679">
        <f>IF(Klantgegevens_B!F678&lt;&gt;"", Klantgegevens_B!F678, Klantgegevens_A!D678 &amp; " " &amp; Klantgegevens_A!E678 &amp; ", " &amp; Klantgegevens_A!F678)</f>
        <v/>
      </c>
      <c r="E679">
        <f>IF(Klantgegevens_B!G678&lt;&gt;"", Klantgegevens_B!G678, TEXTJOIN(",", TRUE, REPT("Volwassene,", Klantgegevens_A!G678), REPT("Kind,", Klantgegevens_A!H678)))</f>
        <v/>
      </c>
      <c r="F679">
        <f>IF(Klantgegevens_B!G678&lt;&gt;"", LEN(Klantgegevens_B!G678)-LEN(SUBSTITUTE(Klantgegevens_B!G678, ",", ""))+1, Klantgegevens_A!G678)</f>
        <v/>
      </c>
      <c r="G679">
        <f>IF(Klantgegevens_B!G678&lt;&gt;"", 0, Klantgegevens_A!H678)</f>
        <v/>
      </c>
      <c r="H679">
        <f>IF(Klantgegevens_B!H678&lt;&gt;"", Klantgegevens_B!H678, Klantgegevens_A!I678)</f>
        <v/>
      </c>
      <c r="I679">
        <f>IF(Klantgegevens_B!I678&lt;&gt;"", Klantgegevens_B!I678, SWITCH(Klantgegevens_A!J678, "Zelden", 1, "Af en toe", 4, "Regelmatig", 8, "Vaak", 12))</f>
        <v/>
      </c>
      <c r="J679">
        <f>IF(Klantgegevens_B!J678&lt;&gt;"", Klantgegevens_B!J678, Klantgegevens_A!K678)</f>
        <v/>
      </c>
      <c r="K679">
        <f>IF(Klantgegevens_B!K678&lt;&gt;"", AVERAGE(--(Klantgegevens_B!K678="ja"), --(Klantgegevens_B!L678="ja"), --(Klantgegevens_B!M678="ja"), --(Klantgegevens_B!N678="ja"), --(Klantgegevens_B!O678="ja"))*10, Klantgegevens_A!L678)</f>
        <v/>
      </c>
      <c r="L679">
        <f>IF(Klantgegevens_B!K678&lt;&gt;"", Klantgegevens_B!K678, IF(Klantgegevens_A!L678&gt;=7, "ja", "nee"))</f>
        <v/>
      </c>
      <c r="M679">
        <f>IF(Klantgegevens_B!L678&lt;&gt;"", Klantgegevens_B!L678, IF(Klantgegevens_A!L678&gt;=7, "ja", "nee"))</f>
        <v/>
      </c>
      <c r="N679">
        <f>IF(Klantgegevens_B!M678&lt;&gt;"", Klantgegevens_B!M678, IF(Klantgegevens_A!L678&gt;=7, "ja", "nee"))</f>
        <v/>
      </c>
      <c r="O679">
        <f>IF(Klantgegevens_B!N678&lt;&gt;"", Klantgegevens_B!N678, IF(Klantgegevens_A!L678&gt;=7, "ja", "nee"))</f>
        <v/>
      </c>
      <c r="P679">
        <f>IF(Klantgegevens_B!O678&lt;&gt;"", Klantgegevens_B!O678, IF(Klantgegevens_A!L678&gt;=7, "ja", "nee"))</f>
        <v/>
      </c>
      <c r="Q679">
        <f>IF(Klantgegevens_B!P678&lt;&gt;"", Klantgegevens_B!P678, Klantgegevens_A!M678)</f>
        <v/>
      </c>
      <c r="R679">
        <f>IF(Klantgegevens_B!A678&lt;&gt;"", "B", "A")</f>
        <v/>
      </c>
    </row>
    <row r="680">
      <c r="A680">
        <f>IF(Klantgegevens_B!A679&lt;&gt;"", Klantgegevens_B!A679, MID(Klantgegevens_A!A679, FIND(",", Klantgegevens_A!A679)+2, LEN(Klantgegevens_A!A679)))</f>
        <v/>
      </c>
      <c r="B680">
        <f>IF(Klantgegevens_B!B679&lt;&gt;"", Klantgegevens_B!B679, LEFT(Klantgegevens_A!A679, FIND(",", Klantgegevens_A!A679)-1))</f>
        <v/>
      </c>
      <c r="C680">
        <f>C679 &amp; ", " &amp; B679</f>
        <v/>
      </c>
      <c r="D680">
        <f>IF(Klantgegevens_B!F679&lt;&gt;"", Klantgegevens_B!F679, Klantgegevens_A!D679 &amp; " " &amp; Klantgegevens_A!E679 &amp; ", " &amp; Klantgegevens_A!F679)</f>
        <v/>
      </c>
      <c r="E680">
        <f>IF(Klantgegevens_B!G679&lt;&gt;"", Klantgegevens_B!G679, TEXTJOIN(",", TRUE, REPT("Volwassene,", Klantgegevens_A!G679), REPT("Kind,", Klantgegevens_A!H679)))</f>
        <v/>
      </c>
      <c r="F680">
        <f>IF(Klantgegevens_B!G679&lt;&gt;"", LEN(Klantgegevens_B!G679)-LEN(SUBSTITUTE(Klantgegevens_B!G679, ",", ""))+1, Klantgegevens_A!G679)</f>
        <v/>
      </c>
      <c r="G680">
        <f>IF(Klantgegevens_B!G679&lt;&gt;"", 0, Klantgegevens_A!H679)</f>
        <v/>
      </c>
      <c r="H680">
        <f>IF(Klantgegevens_B!H679&lt;&gt;"", Klantgegevens_B!H679, Klantgegevens_A!I679)</f>
        <v/>
      </c>
      <c r="I680">
        <f>IF(Klantgegevens_B!I679&lt;&gt;"", Klantgegevens_B!I679, SWITCH(Klantgegevens_A!J679, "Zelden", 1, "Af en toe", 4, "Regelmatig", 8, "Vaak", 12))</f>
        <v/>
      </c>
      <c r="J680">
        <f>IF(Klantgegevens_B!J679&lt;&gt;"", Klantgegevens_B!J679, Klantgegevens_A!K679)</f>
        <v/>
      </c>
      <c r="K680">
        <f>IF(Klantgegevens_B!K679&lt;&gt;"", AVERAGE(--(Klantgegevens_B!K679="ja"), --(Klantgegevens_B!L679="ja"), --(Klantgegevens_B!M679="ja"), --(Klantgegevens_B!N679="ja"), --(Klantgegevens_B!O679="ja"))*10, Klantgegevens_A!L679)</f>
        <v/>
      </c>
      <c r="L680">
        <f>IF(Klantgegevens_B!K679&lt;&gt;"", Klantgegevens_B!K679, IF(Klantgegevens_A!L679&gt;=7, "ja", "nee"))</f>
        <v/>
      </c>
      <c r="M680">
        <f>IF(Klantgegevens_B!L679&lt;&gt;"", Klantgegevens_B!L679, IF(Klantgegevens_A!L679&gt;=7, "ja", "nee"))</f>
        <v/>
      </c>
      <c r="N680">
        <f>IF(Klantgegevens_B!M679&lt;&gt;"", Klantgegevens_B!M679, IF(Klantgegevens_A!L679&gt;=7, "ja", "nee"))</f>
        <v/>
      </c>
      <c r="O680">
        <f>IF(Klantgegevens_B!N679&lt;&gt;"", Klantgegevens_B!N679, IF(Klantgegevens_A!L679&gt;=7, "ja", "nee"))</f>
        <v/>
      </c>
      <c r="P680">
        <f>IF(Klantgegevens_B!O679&lt;&gt;"", Klantgegevens_B!O679, IF(Klantgegevens_A!L679&gt;=7, "ja", "nee"))</f>
        <v/>
      </c>
      <c r="Q680">
        <f>IF(Klantgegevens_B!P679&lt;&gt;"", Klantgegevens_B!P679, Klantgegevens_A!M679)</f>
        <v/>
      </c>
      <c r="R680">
        <f>IF(Klantgegevens_B!A679&lt;&gt;"", "B", "A")</f>
        <v/>
      </c>
    </row>
    <row r="681">
      <c r="A681">
        <f>IF(Klantgegevens_B!A680&lt;&gt;"", Klantgegevens_B!A680, MID(Klantgegevens_A!A680, FIND(",", Klantgegevens_A!A680)+2, LEN(Klantgegevens_A!A680)))</f>
        <v/>
      </c>
      <c r="B681">
        <f>IF(Klantgegevens_B!B680&lt;&gt;"", Klantgegevens_B!B680, LEFT(Klantgegevens_A!A680, FIND(",", Klantgegevens_A!A680)-1))</f>
        <v/>
      </c>
      <c r="C681">
        <f>C680 &amp; ", " &amp; B680</f>
        <v/>
      </c>
      <c r="D681">
        <f>IF(Klantgegevens_B!F680&lt;&gt;"", Klantgegevens_B!F680, Klantgegevens_A!D680 &amp; " " &amp; Klantgegevens_A!E680 &amp; ", " &amp; Klantgegevens_A!F680)</f>
        <v/>
      </c>
      <c r="E681">
        <f>IF(Klantgegevens_B!G680&lt;&gt;"", Klantgegevens_B!G680, TEXTJOIN(",", TRUE, REPT("Volwassene,", Klantgegevens_A!G680), REPT("Kind,", Klantgegevens_A!H680)))</f>
        <v/>
      </c>
      <c r="F681">
        <f>IF(Klantgegevens_B!G680&lt;&gt;"", LEN(Klantgegevens_B!G680)-LEN(SUBSTITUTE(Klantgegevens_B!G680, ",", ""))+1, Klantgegevens_A!G680)</f>
        <v/>
      </c>
      <c r="G681">
        <f>IF(Klantgegevens_B!G680&lt;&gt;"", 0, Klantgegevens_A!H680)</f>
        <v/>
      </c>
      <c r="H681">
        <f>IF(Klantgegevens_B!H680&lt;&gt;"", Klantgegevens_B!H680, Klantgegevens_A!I680)</f>
        <v/>
      </c>
      <c r="I681">
        <f>IF(Klantgegevens_B!I680&lt;&gt;"", Klantgegevens_B!I680, SWITCH(Klantgegevens_A!J680, "Zelden", 1, "Af en toe", 4, "Regelmatig", 8, "Vaak", 12))</f>
        <v/>
      </c>
      <c r="J681">
        <f>IF(Klantgegevens_B!J680&lt;&gt;"", Klantgegevens_B!J680, Klantgegevens_A!K680)</f>
        <v/>
      </c>
      <c r="K681">
        <f>IF(Klantgegevens_B!K680&lt;&gt;"", AVERAGE(--(Klantgegevens_B!K680="ja"), --(Klantgegevens_B!L680="ja"), --(Klantgegevens_B!M680="ja"), --(Klantgegevens_B!N680="ja"), --(Klantgegevens_B!O680="ja"))*10, Klantgegevens_A!L680)</f>
        <v/>
      </c>
      <c r="L681">
        <f>IF(Klantgegevens_B!K680&lt;&gt;"", Klantgegevens_B!K680, IF(Klantgegevens_A!L680&gt;=7, "ja", "nee"))</f>
        <v/>
      </c>
      <c r="M681">
        <f>IF(Klantgegevens_B!L680&lt;&gt;"", Klantgegevens_B!L680, IF(Klantgegevens_A!L680&gt;=7, "ja", "nee"))</f>
        <v/>
      </c>
      <c r="N681">
        <f>IF(Klantgegevens_B!M680&lt;&gt;"", Klantgegevens_B!M680, IF(Klantgegevens_A!L680&gt;=7, "ja", "nee"))</f>
        <v/>
      </c>
      <c r="O681">
        <f>IF(Klantgegevens_B!N680&lt;&gt;"", Klantgegevens_B!N680, IF(Klantgegevens_A!L680&gt;=7, "ja", "nee"))</f>
        <v/>
      </c>
      <c r="P681">
        <f>IF(Klantgegevens_B!O680&lt;&gt;"", Klantgegevens_B!O680, IF(Klantgegevens_A!L680&gt;=7, "ja", "nee"))</f>
        <v/>
      </c>
      <c r="Q681">
        <f>IF(Klantgegevens_B!P680&lt;&gt;"", Klantgegevens_B!P680, Klantgegevens_A!M680)</f>
        <v/>
      </c>
      <c r="R681">
        <f>IF(Klantgegevens_B!A680&lt;&gt;"", "B", "A")</f>
        <v/>
      </c>
    </row>
    <row r="682">
      <c r="A682">
        <f>IF(Klantgegevens_B!A681&lt;&gt;"", Klantgegevens_B!A681, MID(Klantgegevens_A!A681, FIND(",", Klantgegevens_A!A681)+2, LEN(Klantgegevens_A!A681)))</f>
        <v/>
      </c>
      <c r="B682">
        <f>IF(Klantgegevens_B!B681&lt;&gt;"", Klantgegevens_B!B681, LEFT(Klantgegevens_A!A681, FIND(",", Klantgegevens_A!A681)-1))</f>
        <v/>
      </c>
      <c r="C682">
        <f>C681 &amp; ", " &amp; B681</f>
        <v/>
      </c>
      <c r="D682">
        <f>IF(Klantgegevens_B!F681&lt;&gt;"", Klantgegevens_B!F681, Klantgegevens_A!D681 &amp; " " &amp; Klantgegevens_A!E681 &amp; ", " &amp; Klantgegevens_A!F681)</f>
        <v/>
      </c>
      <c r="E682">
        <f>IF(Klantgegevens_B!G681&lt;&gt;"", Klantgegevens_B!G681, TEXTJOIN(",", TRUE, REPT("Volwassene,", Klantgegevens_A!G681), REPT("Kind,", Klantgegevens_A!H681)))</f>
        <v/>
      </c>
      <c r="F682">
        <f>IF(Klantgegevens_B!G681&lt;&gt;"", LEN(Klantgegevens_B!G681)-LEN(SUBSTITUTE(Klantgegevens_B!G681, ",", ""))+1, Klantgegevens_A!G681)</f>
        <v/>
      </c>
      <c r="G682">
        <f>IF(Klantgegevens_B!G681&lt;&gt;"", 0, Klantgegevens_A!H681)</f>
        <v/>
      </c>
      <c r="H682">
        <f>IF(Klantgegevens_B!H681&lt;&gt;"", Klantgegevens_B!H681, Klantgegevens_A!I681)</f>
        <v/>
      </c>
      <c r="I682">
        <f>IF(Klantgegevens_B!I681&lt;&gt;"", Klantgegevens_B!I681, SWITCH(Klantgegevens_A!J681, "Zelden", 1, "Af en toe", 4, "Regelmatig", 8, "Vaak", 12))</f>
        <v/>
      </c>
      <c r="J682">
        <f>IF(Klantgegevens_B!J681&lt;&gt;"", Klantgegevens_B!J681, Klantgegevens_A!K681)</f>
        <v/>
      </c>
      <c r="K682">
        <f>IF(Klantgegevens_B!K681&lt;&gt;"", AVERAGE(--(Klantgegevens_B!K681="ja"), --(Klantgegevens_B!L681="ja"), --(Klantgegevens_B!M681="ja"), --(Klantgegevens_B!N681="ja"), --(Klantgegevens_B!O681="ja"))*10, Klantgegevens_A!L681)</f>
        <v/>
      </c>
      <c r="L682">
        <f>IF(Klantgegevens_B!K681&lt;&gt;"", Klantgegevens_B!K681, IF(Klantgegevens_A!L681&gt;=7, "ja", "nee"))</f>
        <v/>
      </c>
      <c r="M682">
        <f>IF(Klantgegevens_B!L681&lt;&gt;"", Klantgegevens_B!L681, IF(Klantgegevens_A!L681&gt;=7, "ja", "nee"))</f>
        <v/>
      </c>
      <c r="N682">
        <f>IF(Klantgegevens_B!M681&lt;&gt;"", Klantgegevens_B!M681, IF(Klantgegevens_A!L681&gt;=7, "ja", "nee"))</f>
        <v/>
      </c>
      <c r="O682">
        <f>IF(Klantgegevens_B!N681&lt;&gt;"", Klantgegevens_B!N681, IF(Klantgegevens_A!L681&gt;=7, "ja", "nee"))</f>
        <v/>
      </c>
      <c r="P682">
        <f>IF(Klantgegevens_B!O681&lt;&gt;"", Klantgegevens_B!O681, IF(Klantgegevens_A!L681&gt;=7, "ja", "nee"))</f>
        <v/>
      </c>
      <c r="Q682">
        <f>IF(Klantgegevens_B!P681&lt;&gt;"", Klantgegevens_B!P681, Klantgegevens_A!M681)</f>
        <v/>
      </c>
      <c r="R682">
        <f>IF(Klantgegevens_B!A681&lt;&gt;"", "B", "A")</f>
        <v/>
      </c>
    </row>
    <row r="683">
      <c r="A683">
        <f>IF(Klantgegevens_B!A682&lt;&gt;"", Klantgegevens_B!A682, MID(Klantgegevens_A!A682, FIND(",", Klantgegevens_A!A682)+2, LEN(Klantgegevens_A!A682)))</f>
        <v/>
      </c>
      <c r="B683">
        <f>IF(Klantgegevens_B!B682&lt;&gt;"", Klantgegevens_B!B682, LEFT(Klantgegevens_A!A682, FIND(",", Klantgegevens_A!A682)-1))</f>
        <v/>
      </c>
      <c r="C683">
        <f>C682 &amp; ", " &amp; B682</f>
        <v/>
      </c>
      <c r="D683">
        <f>IF(Klantgegevens_B!F682&lt;&gt;"", Klantgegevens_B!F682, Klantgegevens_A!D682 &amp; " " &amp; Klantgegevens_A!E682 &amp; ", " &amp; Klantgegevens_A!F682)</f>
        <v/>
      </c>
      <c r="E683">
        <f>IF(Klantgegevens_B!G682&lt;&gt;"", Klantgegevens_B!G682, TEXTJOIN(",", TRUE, REPT("Volwassene,", Klantgegevens_A!G682), REPT("Kind,", Klantgegevens_A!H682)))</f>
        <v/>
      </c>
      <c r="F683">
        <f>IF(Klantgegevens_B!G682&lt;&gt;"", LEN(Klantgegevens_B!G682)-LEN(SUBSTITUTE(Klantgegevens_B!G682, ",", ""))+1, Klantgegevens_A!G682)</f>
        <v/>
      </c>
      <c r="G683">
        <f>IF(Klantgegevens_B!G682&lt;&gt;"", 0, Klantgegevens_A!H682)</f>
        <v/>
      </c>
      <c r="H683">
        <f>IF(Klantgegevens_B!H682&lt;&gt;"", Klantgegevens_B!H682, Klantgegevens_A!I682)</f>
        <v/>
      </c>
      <c r="I683">
        <f>IF(Klantgegevens_B!I682&lt;&gt;"", Klantgegevens_B!I682, SWITCH(Klantgegevens_A!J682, "Zelden", 1, "Af en toe", 4, "Regelmatig", 8, "Vaak", 12))</f>
        <v/>
      </c>
      <c r="J683">
        <f>IF(Klantgegevens_B!J682&lt;&gt;"", Klantgegevens_B!J682, Klantgegevens_A!K682)</f>
        <v/>
      </c>
      <c r="K683">
        <f>IF(Klantgegevens_B!K682&lt;&gt;"", AVERAGE(--(Klantgegevens_B!K682="ja"), --(Klantgegevens_B!L682="ja"), --(Klantgegevens_B!M682="ja"), --(Klantgegevens_B!N682="ja"), --(Klantgegevens_B!O682="ja"))*10, Klantgegevens_A!L682)</f>
        <v/>
      </c>
      <c r="L683">
        <f>IF(Klantgegevens_B!K682&lt;&gt;"", Klantgegevens_B!K682, IF(Klantgegevens_A!L682&gt;=7, "ja", "nee"))</f>
        <v/>
      </c>
      <c r="M683">
        <f>IF(Klantgegevens_B!L682&lt;&gt;"", Klantgegevens_B!L682, IF(Klantgegevens_A!L682&gt;=7, "ja", "nee"))</f>
        <v/>
      </c>
      <c r="N683">
        <f>IF(Klantgegevens_B!M682&lt;&gt;"", Klantgegevens_B!M682, IF(Klantgegevens_A!L682&gt;=7, "ja", "nee"))</f>
        <v/>
      </c>
      <c r="O683">
        <f>IF(Klantgegevens_B!N682&lt;&gt;"", Klantgegevens_B!N682, IF(Klantgegevens_A!L682&gt;=7, "ja", "nee"))</f>
        <v/>
      </c>
      <c r="P683">
        <f>IF(Klantgegevens_B!O682&lt;&gt;"", Klantgegevens_B!O682, IF(Klantgegevens_A!L682&gt;=7, "ja", "nee"))</f>
        <v/>
      </c>
      <c r="Q683">
        <f>IF(Klantgegevens_B!P682&lt;&gt;"", Klantgegevens_B!P682, Klantgegevens_A!M682)</f>
        <v/>
      </c>
      <c r="R683">
        <f>IF(Klantgegevens_B!A682&lt;&gt;"", "B", "A")</f>
        <v/>
      </c>
    </row>
    <row r="684">
      <c r="A684">
        <f>IF(Klantgegevens_B!A683&lt;&gt;"", Klantgegevens_B!A683, MID(Klantgegevens_A!A683, FIND(",", Klantgegevens_A!A683)+2, LEN(Klantgegevens_A!A683)))</f>
        <v/>
      </c>
      <c r="B684">
        <f>IF(Klantgegevens_B!B683&lt;&gt;"", Klantgegevens_B!B683, LEFT(Klantgegevens_A!A683, FIND(",", Klantgegevens_A!A683)-1))</f>
        <v/>
      </c>
      <c r="C684">
        <f>C683 &amp; ", " &amp; B683</f>
        <v/>
      </c>
      <c r="D684">
        <f>IF(Klantgegevens_B!F683&lt;&gt;"", Klantgegevens_B!F683, Klantgegevens_A!D683 &amp; " " &amp; Klantgegevens_A!E683 &amp; ", " &amp; Klantgegevens_A!F683)</f>
        <v/>
      </c>
      <c r="E684">
        <f>IF(Klantgegevens_B!G683&lt;&gt;"", Klantgegevens_B!G683, TEXTJOIN(",", TRUE, REPT("Volwassene,", Klantgegevens_A!G683), REPT("Kind,", Klantgegevens_A!H683)))</f>
        <v/>
      </c>
      <c r="F684">
        <f>IF(Klantgegevens_B!G683&lt;&gt;"", LEN(Klantgegevens_B!G683)-LEN(SUBSTITUTE(Klantgegevens_B!G683, ",", ""))+1, Klantgegevens_A!G683)</f>
        <v/>
      </c>
      <c r="G684">
        <f>IF(Klantgegevens_B!G683&lt;&gt;"", 0, Klantgegevens_A!H683)</f>
        <v/>
      </c>
      <c r="H684">
        <f>IF(Klantgegevens_B!H683&lt;&gt;"", Klantgegevens_B!H683, Klantgegevens_A!I683)</f>
        <v/>
      </c>
      <c r="I684">
        <f>IF(Klantgegevens_B!I683&lt;&gt;"", Klantgegevens_B!I683, SWITCH(Klantgegevens_A!J683, "Zelden", 1, "Af en toe", 4, "Regelmatig", 8, "Vaak", 12))</f>
        <v/>
      </c>
      <c r="J684">
        <f>IF(Klantgegevens_B!J683&lt;&gt;"", Klantgegevens_B!J683, Klantgegevens_A!K683)</f>
        <v/>
      </c>
      <c r="K684">
        <f>IF(Klantgegevens_B!K683&lt;&gt;"", AVERAGE(--(Klantgegevens_B!K683="ja"), --(Klantgegevens_B!L683="ja"), --(Klantgegevens_B!M683="ja"), --(Klantgegevens_B!N683="ja"), --(Klantgegevens_B!O683="ja"))*10, Klantgegevens_A!L683)</f>
        <v/>
      </c>
      <c r="L684">
        <f>IF(Klantgegevens_B!K683&lt;&gt;"", Klantgegevens_B!K683, IF(Klantgegevens_A!L683&gt;=7, "ja", "nee"))</f>
        <v/>
      </c>
      <c r="M684">
        <f>IF(Klantgegevens_B!L683&lt;&gt;"", Klantgegevens_B!L683, IF(Klantgegevens_A!L683&gt;=7, "ja", "nee"))</f>
        <v/>
      </c>
      <c r="N684">
        <f>IF(Klantgegevens_B!M683&lt;&gt;"", Klantgegevens_B!M683, IF(Klantgegevens_A!L683&gt;=7, "ja", "nee"))</f>
        <v/>
      </c>
      <c r="O684">
        <f>IF(Klantgegevens_B!N683&lt;&gt;"", Klantgegevens_B!N683, IF(Klantgegevens_A!L683&gt;=7, "ja", "nee"))</f>
        <v/>
      </c>
      <c r="P684">
        <f>IF(Klantgegevens_B!O683&lt;&gt;"", Klantgegevens_B!O683, IF(Klantgegevens_A!L683&gt;=7, "ja", "nee"))</f>
        <v/>
      </c>
      <c r="Q684">
        <f>IF(Klantgegevens_B!P683&lt;&gt;"", Klantgegevens_B!P683, Klantgegevens_A!M683)</f>
        <v/>
      </c>
      <c r="R684">
        <f>IF(Klantgegevens_B!A683&lt;&gt;"", "B", "A")</f>
        <v/>
      </c>
    </row>
    <row r="685">
      <c r="A685">
        <f>IF(Klantgegevens_B!A684&lt;&gt;"", Klantgegevens_B!A684, MID(Klantgegevens_A!A684, FIND(",", Klantgegevens_A!A684)+2, LEN(Klantgegevens_A!A684)))</f>
        <v/>
      </c>
      <c r="B685">
        <f>IF(Klantgegevens_B!B684&lt;&gt;"", Klantgegevens_B!B684, LEFT(Klantgegevens_A!A684, FIND(",", Klantgegevens_A!A684)-1))</f>
        <v/>
      </c>
      <c r="C685">
        <f>C684 &amp; ", " &amp; B684</f>
        <v/>
      </c>
      <c r="D685">
        <f>IF(Klantgegevens_B!F684&lt;&gt;"", Klantgegevens_B!F684, Klantgegevens_A!D684 &amp; " " &amp; Klantgegevens_A!E684 &amp; ", " &amp; Klantgegevens_A!F684)</f>
        <v/>
      </c>
      <c r="E685">
        <f>IF(Klantgegevens_B!G684&lt;&gt;"", Klantgegevens_B!G684, TEXTJOIN(",", TRUE, REPT("Volwassene,", Klantgegevens_A!G684), REPT("Kind,", Klantgegevens_A!H684)))</f>
        <v/>
      </c>
      <c r="F685">
        <f>IF(Klantgegevens_B!G684&lt;&gt;"", LEN(Klantgegevens_B!G684)-LEN(SUBSTITUTE(Klantgegevens_B!G684, ",", ""))+1, Klantgegevens_A!G684)</f>
        <v/>
      </c>
      <c r="G685">
        <f>IF(Klantgegevens_B!G684&lt;&gt;"", 0, Klantgegevens_A!H684)</f>
        <v/>
      </c>
      <c r="H685">
        <f>IF(Klantgegevens_B!H684&lt;&gt;"", Klantgegevens_B!H684, Klantgegevens_A!I684)</f>
        <v/>
      </c>
      <c r="I685">
        <f>IF(Klantgegevens_B!I684&lt;&gt;"", Klantgegevens_B!I684, SWITCH(Klantgegevens_A!J684, "Zelden", 1, "Af en toe", 4, "Regelmatig", 8, "Vaak", 12))</f>
        <v/>
      </c>
      <c r="J685">
        <f>IF(Klantgegevens_B!J684&lt;&gt;"", Klantgegevens_B!J684, Klantgegevens_A!K684)</f>
        <v/>
      </c>
      <c r="K685">
        <f>IF(Klantgegevens_B!K684&lt;&gt;"", AVERAGE(--(Klantgegevens_B!K684="ja"), --(Klantgegevens_B!L684="ja"), --(Klantgegevens_B!M684="ja"), --(Klantgegevens_B!N684="ja"), --(Klantgegevens_B!O684="ja"))*10, Klantgegevens_A!L684)</f>
        <v/>
      </c>
      <c r="L685">
        <f>IF(Klantgegevens_B!K684&lt;&gt;"", Klantgegevens_B!K684, IF(Klantgegevens_A!L684&gt;=7, "ja", "nee"))</f>
        <v/>
      </c>
      <c r="M685">
        <f>IF(Klantgegevens_B!L684&lt;&gt;"", Klantgegevens_B!L684, IF(Klantgegevens_A!L684&gt;=7, "ja", "nee"))</f>
        <v/>
      </c>
      <c r="N685">
        <f>IF(Klantgegevens_B!M684&lt;&gt;"", Klantgegevens_B!M684, IF(Klantgegevens_A!L684&gt;=7, "ja", "nee"))</f>
        <v/>
      </c>
      <c r="O685">
        <f>IF(Klantgegevens_B!N684&lt;&gt;"", Klantgegevens_B!N684, IF(Klantgegevens_A!L684&gt;=7, "ja", "nee"))</f>
        <v/>
      </c>
      <c r="P685">
        <f>IF(Klantgegevens_B!O684&lt;&gt;"", Klantgegevens_B!O684, IF(Klantgegevens_A!L684&gt;=7, "ja", "nee"))</f>
        <v/>
      </c>
      <c r="Q685">
        <f>IF(Klantgegevens_B!P684&lt;&gt;"", Klantgegevens_B!P684, Klantgegevens_A!M684)</f>
        <v/>
      </c>
      <c r="R685">
        <f>IF(Klantgegevens_B!A684&lt;&gt;"", "B", "A")</f>
        <v/>
      </c>
    </row>
    <row r="686">
      <c r="A686">
        <f>IF(Klantgegevens_B!A685&lt;&gt;"", Klantgegevens_B!A685, MID(Klantgegevens_A!A685, FIND(",", Klantgegevens_A!A685)+2, LEN(Klantgegevens_A!A685)))</f>
        <v/>
      </c>
      <c r="B686">
        <f>IF(Klantgegevens_B!B685&lt;&gt;"", Klantgegevens_B!B685, LEFT(Klantgegevens_A!A685, FIND(",", Klantgegevens_A!A685)-1))</f>
        <v/>
      </c>
      <c r="C686">
        <f>C685 &amp; ", " &amp; B685</f>
        <v/>
      </c>
      <c r="D686">
        <f>IF(Klantgegevens_B!F685&lt;&gt;"", Klantgegevens_B!F685, Klantgegevens_A!D685 &amp; " " &amp; Klantgegevens_A!E685 &amp; ", " &amp; Klantgegevens_A!F685)</f>
        <v/>
      </c>
      <c r="E686">
        <f>IF(Klantgegevens_B!G685&lt;&gt;"", Klantgegevens_B!G685, TEXTJOIN(",", TRUE, REPT("Volwassene,", Klantgegevens_A!G685), REPT("Kind,", Klantgegevens_A!H685)))</f>
        <v/>
      </c>
      <c r="F686">
        <f>IF(Klantgegevens_B!G685&lt;&gt;"", LEN(Klantgegevens_B!G685)-LEN(SUBSTITUTE(Klantgegevens_B!G685, ",", ""))+1, Klantgegevens_A!G685)</f>
        <v/>
      </c>
      <c r="G686">
        <f>IF(Klantgegevens_B!G685&lt;&gt;"", 0, Klantgegevens_A!H685)</f>
        <v/>
      </c>
      <c r="H686">
        <f>IF(Klantgegevens_B!H685&lt;&gt;"", Klantgegevens_B!H685, Klantgegevens_A!I685)</f>
        <v/>
      </c>
      <c r="I686">
        <f>IF(Klantgegevens_B!I685&lt;&gt;"", Klantgegevens_B!I685, SWITCH(Klantgegevens_A!J685, "Zelden", 1, "Af en toe", 4, "Regelmatig", 8, "Vaak", 12))</f>
        <v/>
      </c>
      <c r="J686">
        <f>IF(Klantgegevens_B!J685&lt;&gt;"", Klantgegevens_B!J685, Klantgegevens_A!K685)</f>
        <v/>
      </c>
      <c r="K686">
        <f>IF(Klantgegevens_B!K685&lt;&gt;"", AVERAGE(--(Klantgegevens_B!K685="ja"), --(Klantgegevens_B!L685="ja"), --(Klantgegevens_B!M685="ja"), --(Klantgegevens_B!N685="ja"), --(Klantgegevens_B!O685="ja"))*10, Klantgegevens_A!L685)</f>
        <v/>
      </c>
      <c r="L686">
        <f>IF(Klantgegevens_B!K685&lt;&gt;"", Klantgegevens_B!K685, IF(Klantgegevens_A!L685&gt;=7, "ja", "nee"))</f>
        <v/>
      </c>
      <c r="M686">
        <f>IF(Klantgegevens_B!L685&lt;&gt;"", Klantgegevens_B!L685, IF(Klantgegevens_A!L685&gt;=7, "ja", "nee"))</f>
        <v/>
      </c>
      <c r="N686">
        <f>IF(Klantgegevens_B!M685&lt;&gt;"", Klantgegevens_B!M685, IF(Klantgegevens_A!L685&gt;=7, "ja", "nee"))</f>
        <v/>
      </c>
      <c r="O686">
        <f>IF(Klantgegevens_B!N685&lt;&gt;"", Klantgegevens_B!N685, IF(Klantgegevens_A!L685&gt;=7, "ja", "nee"))</f>
        <v/>
      </c>
      <c r="P686">
        <f>IF(Klantgegevens_B!O685&lt;&gt;"", Klantgegevens_B!O685, IF(Klantgegevens_A!L685&gt;=7, "ja", "nee"))</f>
        <v/>
      </c>
      <c r="Q686">
        <f>IF(Klantgegevens_B!P685&lt;&gt;"", Klantgegevens_B!P685, Klantgegevens_A!M685)</f>
        <v/>
      </c>
      <c r="R686">
        <f>IF(Klantgegevens_B!A685&lt;&gt;"", "B", "A")</f>
        <v/>
      </c>
    </row>
    <row r="687">
      <c r="A687">
        <f>IF(Klantgegevens_B!A686&lt;&gt;"", Klantgegevens_B!A686, MID(Klantgegevens_A!A686, FIND(",", Klantgegevens_A!A686)+2, LEN(Klantgegevens_A!A686)))</f>
        <v/>
      </c>
      <c r="B687">
        <f>IF(Klantgegevens_B!B686&lt;&gt;"", Klantgegevens_B!B686, LEFT(Klantgegevens_A!A686, FIND(",", Klantgegevens_A!A686)-1))</f>
        <v/>
      </c>
      <c r="C687">
        <f>C686 &amp; ", " &amp; B686</f>
        <v/>
      </c>
      <c r="D687">
        <f>IF(Klantgegevens_B!F686&lt;&gt;"", Klantgegevens_B!F686, Klantgegevens_A!D686 &amp; " " &amp; Klantgegevens_A!E686 &amp; ", " &amp; Klantgegevens_A!F686)</f>
        <v/>
      </c>
      <c r="E687">
        <f>IF(Klantgegevens_B!G686&lt;&gt;"", Klantgegevens_B!G686, TEXTJOIN(",", TRUE, REPT("Volwassene,", Klantgegevens_A!G686), REPT("Kind,", Klantgegevens_A!H686)))</f>
        <v/>
      </c>
      <c r="F687">
        <f>IF(Klantgegevens_B!G686&lt;&gt;"", LEN(Klantgegevens_B!G686)-LEN(SUBSTITUTE(Klantgegevens_B!G686, ",", ""))+1, Klantgegevens_A!G686)</f>
        <v/>
      </c>
      <c r="G687">
        <f>IF(Klantgegevens_B!G686&lt;&gt;"", 0, Klantgegevens_A!H686)</f>
        <v/>
      </c>
      <c r="H687">
        <f>IF(Klantgegevens_B!H686&lt;&gt;"", Klantgegevens_B!H686, Klantgegevens_A!I686)</f>
        <v/>
      </c>
      <c r="I687">
        <f>IF(Klantgegevens_B!I686&lt;&gt;"", Klantgegevens_B!I686, SWITCH(Klantgegevens_A!J686, "Zelden", 1, "Af en toe", 4, "Regelmatig", 8, "Vaak", 12))</f>
        <v/>
      </c>
      <c r="J687">
        <f>IF(Klantgegevens_B!J686&lt;&gt;"", Klantgegevens_B!J686, Klantgegevens_A!K686)</f>
        <v/>
      </c>
      <c r="K687">
        <f>IF(Klantgegevens_B!K686&lt;&gt;"", AVERAGE(--(Klantgegevens_B!K686="ja"), --(Klantgegevens_B!L686="ja"), --(Klantgegevens_B!M686="ja"), --(Klantgegevens_B!N686="ja"), --(Klantgegevens_B!O686="ja"))*10, Klantgegevens_A!L686)</f>
        <v/>
      </c>
      <c r="L687">
        <f>IF(Klantgegevens_B!K686&lt;&gt;"", Klantgegevens_B!K686, IF(Klantgegevens_A!L686&gt;=7, "ja", "nee"))</f>
        <v/>
      </c>
      <c r="M687">
        <f>IF(Klantgegevens_B!L686&lt;&gt;"", Klantgegevens_B!L686, IF(Klantgegevens_A!L686&gt;=7, "ja", "nee"))</f>
        <v/>
      </c>
      <c r="N687">
        <f>IF(Klantgegevens_B!M686&lt;&gt;"", Klantgegevens_B!M686, IF(Klantgegevens_A!L686&gt;=7, "ja", "nee"))</f>
        <v/>
      </c>
      <c r="O687">
        <f>IF(Klantgegevens_B!N686&lt;&gt;"", Klantgegevens_B!N686, IF(Klantgegevens_A!L686&gt;=7, "ja", "nee"))</f>
        <v/>
      </c>
      <c r="P687">
        <f>IF(Klantgegevens_B!O686&lt;&gt;"", Klantgegevens_B!O686, IF(Klantgegevens_A!L686&gt;=7, "ja", "nee"))</f>
        <v/>
      </c>
      <c r="Q687">
        <f>IF(Klantgegevens_B!P686&lt;&gt;"", Klantgegevens_B!P686, Klantgegevens_A!M686)</f>
        <v/>
      </c>
      <c r="R687">
        <f>IF(Klantgegevens_B!A686&lt;&gt;"", "B", "A")</f>
        <v/>
      </c>
    </row>
    <row r="688">
      <c r="A688">
        <f>IF(Klantgegevens_B!A687&lt;&gt;"", Klantgegevens_B!A687, MID(Klantgegevens_A!A687, FIND(",", Klantgegevens_A!A687)+2, LEN(Klantgegevens_A!A687)))</f>
        <v/>
      </c>
      <c r="B688">
        <f>IF(Klantgegevens_B!B687&lt;&gt;"", Klantgegevens_B!B687, LEFT(Klantgegevens_A!A687, FIND(",", Klantgegevens_A!A687)-1))</f>
        <v/>
      </c>
      <c r="C688">
        <f>C687 &amp; ", " &amp; B687</f>
        <v/>
      </c>
      <c r="D688">
        <f>IF(Klantgegevens_B!F687&lt;&gt;"", Klantgegevens_B!F687, Klantgegevens_A!D687 &amp; " " &amp; Klantgegevens_A!E687 &amp; ", " &amp; Klantgegevens_A!F687)</f>
        <v/>
      </c>
      <c r="E688">
        <f>IF(Klantgegevens_B!G687&lt;&gt;"", Klantgegevens_B!G687, TEXTJOIN(",", TRUE, REPT("Volwassene,", Klantgegevens_A!G687), REPT("Kind,", Klantgegevens_A!H687)))</f>
        <v/>
      </c>
      <c r="F688">
        <f>IF(Klantgegevens_B!G687&lt;&gt;"", LEN(Klantgegevens_B!G687)-LEN(SUBSTITUTE(Klantgegevens_B!G687, ",", ""))+1, Klantgegevens_A!G687)</f>
        <v/>
      </c>
      <c r="G688">
        <f>IF(Klantgegevens_B!G687&lt;&gt;"", 0, Klantgegevens_A!H687)</f>
        <v/>
      </c>
      <c r="H688">
        <f>IF(Klantgegevens_B!H687&lt;&gt;"", Klantgegevens_B!H687, Klantgegevens_A!I687)</f>
        <v/>
      </c>
      <c r="I688">
        <f>IF(Klantgegevens_B!I687&lt;&gt;"", Klantgegevens_B!I687, SWITCH(Klantgegevens_A!J687, "Zelden", 1, "Af en toe", 4, "Regelmatig", 8, "Vaak", 12))</f>
        <v/>
      </c>
      <c r="J688">
        <f>IF(Klantgegevens_B!J687&lt;&gt;"", Klantgegevens_B!J687, Klantgegevens_A!K687)</f>
        <v/>
      </c>
      <c r="K688">
        <f>IF(Klantgegevens_B!K687&lt;&gt;"", AVERAGE(--(Klantgegevens_B!K687="ja"), --(Klantgegevens_B!L687="ja"), --(Klantgegevens_B!M687="ja"), --(Klantgegevens_B!N687="ja"), --(Klantgegevens_B!O687="ja"))*10, Klantgegevens_A!L687)</f>
        <v/>
      </c>
      <c r="L688">
        <f>IF(Klantgegevens_B!K687&lt;&gt;"", Klantgegevens_B!K687, IF(Klantgegevens_A!L687&gt;=7, "ja", "nee"))</f>
        <v/>
      </c>
      <c r="M688">
        <f>IF(Klantgegevens_B!L687&lt;&gt;"", Klantgegevens_B!L687, IF(Klantgegevens_A!L687&gt;=7, "ja", "nee"))</f>
        <v/>
      </c>
      <c r="N688">
        <f>IF(Klantgegevens_B!M687&lt;&gt;"", Klantgegevens_B!M687, IF(Klantgegevens_A!L687&gt;=7, "ja", "nee"))</f>
        <v/>
      </c>
      <c r="O688">
        <f>IF(Klantgegevens_B!N687&lt;&gt;"", Klantgegevens_B!N687, IF(Klantgegevens_A!L687&gt;=7, "ja", "nee"))</f>
        <v/>
      </c>
      <c r="P688">
        <f>IF(Klantgegevens_B!O687&lt;&gt;"", Klantgegevens_B!O687, IF(Klantgegevens_A!L687&gt;=7, "ja", "nee"))</f>
        <v/>
      </c>
      <c r="Q688">
        <f>IF(Klantgegevens_B!P687&lt;&gt;"", Klantgegevens_B!P687, Klantgegevens_A!M687)</f>
        <v/>
      </c>
      <c r="R688">
        <f>IF(Klantgegevens_B!A687&lt;&gt;"", "B", "A")</f>
        <v/>
      </c>
    </row>
    <row r="689">
      <c r="A689">
        <f>IF(Klantgegevens_B!A688&lt;&gt;"", Klantgegevens_B!A688, MID(Klantgegevens_A!A688, FIND(",", Klantgegevens_A!A688)+2, LEN(Klantgegevens_A!A688)))</f>
        <v/>
      </c>
      <c r="B689">
        <f>IF(Klantgegevens_B!B688&lt;&gt;"", Klantgegevens_B!B688, LEFT(Klantgegevens_A!A688, FIND(",", Klantgegevens_A!A688)-1))</f>
        <v/>
      </c>
      <c r="C689">
        <f>C688 &amp; ", " &amp; B688</f>
        <v/>
      </c>
      <c r="D689">
        <f>IF(Klantgegevens_B!F688&lt;&gt;"", Klantgegevens_B!F688, Klantgegevens_A!D688 &amp; " " &amp; Klantgegevens_A!E688 &amp; ", " &amp; Klantgegevens_A!F688)</f>
        <v/>
      </c>
      <c r="E689">
        <f>IF(Klantgegevens_B!G688&lt;&gt;"", Klantgegevens_B!G688, TEXTJOIN(",", TRUE, REPT("Volwassene,", Klantgegevens_A!G688), REPT("Kind,", Klantgegevens_A!H688)))</f>
        <v/>
      </c>
      <c r="F689">
        <f>IF(Klantgegevens_B!G688&lt;&gt;"", LEN(Klantgegevens_B!G688)-LEN(SUBSTITUTE(Klantgegevens_B!G688, ",", ""))+1, Klantgegevens_A!G688)</f>
        <v/>
      </c>
      <c r="G689">
        <f>IF(Klantgegevens_B!G688&lt;&gt;"", 0, Klantgegevens_A!H688)</f>
        <v/>
      </c>
      <c r="H689">
        <f>IF(Klantgegevens_B!H688&lt;&gt;"", Klantgegevens_B!H688, Klantgegevens_A!I688)</f>
        <v/>
      </c>
      <c r="I689">
        <f>IF(Klantgegevens_B!I688&lt;&gt;"", Klantgegevens_B!I688, SWITCH(Klantgegevens_A!J688, "Zelden", 1, "Af en toe", 4, "Regelmatig", 8, "Vaak", 12))</f>
        <v/>
      </c>
      <c r="J689">
        <f>IF(Klantgegevens_B!J688&lt;&gt;"", Klantgegevens_B!J688, Klantgegevens_A!K688)</f>
        <v/>
      </c>
      <c r="K689">
        <f>IF(Klantgegevens_B!K688&lt;&gt;"", AVERAGE(--(Klantgegevens_B!K688="ja"), --(Klantgegevens_B!L688="ja"), --(Klantgegevens_B!M688="ja"), --(Klantgegevens_B!N688="ja"), --(Klantgegevens_B!O688="ja"))*10, Klantgegevens_A!L688)</f>
        <v/>
      </c>
      <c r="L689">
        <f>IF(Klantgegevens_B!K688&lt;&gt;"", Klantgegevens_B!K688, IF(Klantgegevens_A!L688&gt;=7, "ja", "nee"))</f>
        <v/>
      </c>
      <c r="M689">
        <f>IF(Klantgegevens_B!L688&lt;&gt;"", Klantgegevens_B!L688, IF(Klantgegevens_A!L688&gt;=7, "ja", "nee"))</f>
        <v/>
      </c>
      <c r="N689">
        <f>IF(Klantgegevens_B!M688&lt;&gt;"", Klantgegevens_B!M688, IF(Klantgegevens_A!L688&gt;=7, "ja", "nee"))</f>
        <v/>
      </c>
      <c r="O689">
        <f>IF(Klantgegevens_B!N688&lt;&gt;"", Klantgegevens_B!N688, IF(Klantgegevens_A!L688&gt;=7, "ja", "nee"))</f>
        <v/>
      </c>
      <c r="P689">
        <f>IF(Klantgegevens_B!O688&lt;&gt;"", Klantgegevens_B!O688, IF(Klantgegevens_A!L688&gt;=7, "ja", "nee"))</f>
        <v/>
      </c>
      <c r="Q689">
        <f>IF(Klantgegevens_B!P688&lt;&gt;"", Klantgegevens_B!P688, Klantgegevens_A!M688)</f>
        <v/>
      </c>
      <c r="R689">
        <f>IF(Klantgegevens_B!A688&lt;&gt;"", "B", "A")</f>
        <v/>
      </c>
    </row>
    <row r="690">
      <c r="A690">
        <f>IF(Klantgegevens_B!A689&lt;&gt;"", Klantgegevens_B!A689, MID(Klantgegevens_A!A689, FIND(",", Klantgegevens_A!A689)+2, LEN(Klantgegevens_A!A689)))</f>
        <v/>
      </c>
      <c r="B690">
        <f>IF(Klantgegevens_B!B689&lt;&gt;"", Klantgegevens_B!B689, LEFT(Klantgegevens_A!A689, FIND(",", Klantgegevens_A!A689)-1))</f>
        <v/>
      </c>
      <c r="C690">
        <f>C689 &amp; ", " &amp; B689</f>
        <v/>
      </c>
      <c r="D690">
        <f>IF(Klantgegevens_B!F689&lt;&gt;"", Klantgegevens_B!F689, Klantgegevens_A!D689 &amp; " " &amp; Klantgegevens_A!E689 &amp; ", " &amp; Klantgegevens_A!F689)</f>
        <v/>
      </c>
      <c r="E690">
        <f>IF(Klantgegevens_B!G689&lt;&gt;"", Klantgegevens_B!G689, TEXTJOIN(",", TRUE, REPT("Volwassene,", Klantgegevens_A!G689), REPT("Kind,", Klantgegevens_A!H689)))</f>
        <v/>
      </c>
      <c r="F690">
        <f>IF(Klantgegevens_B!G689&lt;&gt;"", LEN(Klantgegevens_B!G689)-LEN(SUBSTITUTE(Klantgegevens_B!G689, ",", ""))+1, Klantgegevens_A!G689)</f>
        <v/>
      </c>
      <c r="G690">
        <f>IF(Klantgegevens_B!G689&lt;&gt;"", 0, Klantgegevens_A!H689)</f>
        <v/>
      </c>
      <c r="H690">
        <f>IF(Klantgegevens_B!H689&lt;&gt;"", Klantgegevens_B!H689, Klantgegevens_A!I689)</f>
        <v/>
      </c>
      <c r="I690">
        <f>IF(Klantgegevens_B!I689&lt;&gt;"", Klantgegevens_B!I689, SWITCH(Klantgegevens_A!J689, "Zelden", 1, "Af en toe", 4, "Regelmatig", 8, "Vaak", 12))</f>
        <v/>
      </c>
      <c r="J690">
        <f>IF(Klantgegevens_B!J689&lt;&gt;"", Klantgegevens_B!J689, Klantgegevens_A!K689)</f>
        <v/>
      </c>
      <c r="K690">
        <f>IF(Klantgegevens_B!K689&lt;&gt;"", AVERAGE(--(Klantgegevens_B!K689="ja"), --(Klantgegevens_B!L689="ja"), --(Klantgegevens_B!M689="ja"), --(Klantgegevens_B!N689="ja"), --(Klantgegevens_B!O689="ja"))*10, Klantgegevens_A!L689)</f>
        <v/>
      </c>
      <c r="L690">
        <f>IF(Klantgegevens_B!K689&lt;&gt;"", Klantgegevens_B!K689, IF(Klantgegevens_A!L689&gt;=7, "ja", "nee"))</f>
        <v/>
      </c>
      <c r="M690">
        <f>IF(Klantgegevens_B!L689&lt;&gt;"", Klantgegevens_B!L689, IF(Klantgegevens_A!L689&gt;=7, "ja", "nee"))</f>
        <v/>
      </c>
      <c r="N690">
        <f>IF(Klantgegevens_B!M689&lt;&gt;"", Klantgegevens_B!M689, IF(Klantgegevens_A!L689&gt;=7, "ja", "nee"))</f>
        <v/>
      </c>
      <c r="O690">
        <f>IF(Klantgegevens_B!N689&lt;&gt;"", Klantgegevens_B!N689, IF(Klantgegevens_A!L689&gt;=7, "ja", "nee"))</f>
        <v/>
      </c>
      <c r="P690">
        <f>IF(Klantgegevens_B!O689&lt;&gt;"", Klantgegevens_B!O689, IF(Klantgegevens_A!L689&gt;=7, "ja", "nee"))</f>
        <v/>
      </c>
      <c r="Q690">
        <f>IF(Klantgegevens_B!P689&lt;&gt;"", Klantgegevens_B!P689, Klantgegevens_A!M689)</f>
        <v/>
      </c>
      <c r="R690">
        <f>IF(Klantgegevens_B!A689&lt;&gt;"", "B", "A")</f>
        <v/>
      </c>
    </row>
    <row r="691">
      <c r="A691">
        <f>IF(Klantgegevens_B!A690&lt;&gt;"", Klantgegevens_B!A690, MID(Klantgegevens_A!A690, FIND(",", Klantgegevens_A!A690)+2, LEN(Klantgegevens_A!A690)))</f>
        <v/>
      </c>
      <c r="B691">
        <f>IF(Klantgegevens_B!B690&lt;&gt;"", Klantgegevens_B!B690, LEFT(Klantgegevens_A!A690, FIND(",", Klantgegevens_A!A690)-1))</f>
        <v/>
      </c>
      <c r="C691">
        <f>C690 &amp; ", " &amp; B690</f>
        <v/>
      </c>
      <c r="D691">
        <f>IF(Klantgegevens_B!F690&lt;&gt;"", Klantgegevens_B!F690, Klantgegevens_A!D690 &amp; " " &amp; Klantgegevens_A!E690 &amp; ", " &amp; Klantgegevens_A!F690)</f>
        <v/>
      </c>
      <c r="E691">
        <f>IF(Klantgegevens_B!G690&lt;&gt;"", Klantgegevens_B!G690, TEXTJOIN(",", TRUE, REPT("Volwassene,", Klantgegevens_A!G690), REPT("Kind,", Klantgegevens_A!H690)))</f>
        <v/>
      </c>
      <c r="F691">
        <f>IF(Klantgegevens_B!G690&lt;&gt;"", LEN(Klantgegevens_B!G690)-LEN(SUBSTITUTE(Klantgegevens_B!G690, ",", ""))+1, Klantgegevens_A!G690)</f>
        <v/>
      </c>
      <c r="G691">
        <f>IF(Klantgegevens_B!G690&lt;&gt;"", 0, Klantgegevens_A!H690)</f>
        <v/>
      </c>
      <c r="H691">
        <f>IF(Klantgegevens_B!H690&lt;&gt;"", Klantgegevens_B!H690, Klantgegevens_A!I690)</f>
        <v/>
      </c>
      <c r="I691">
        <f>IF(Klantgegevens_B!I690&lt;&gt;"", Klantgegevens_B!I690, SWITCH(Klantgegevens_A!J690, "Zelden", 1, "Af en toe", 4, "Regelmatig", 8, "Vaak", 12))</f>
        <v/>
      </c>
      <c r="J691">
        <f>IF(Klantgegevens_B!J690&lt;&gt;"", Klantgegevens_B!J690, Klantgegevens_A!K690)</f>
        <v/>
      </c>
      <c r="K691">
        <f>IF(Klantgegevens_B!K690&lt;&gt;"", AVERAGE(--(Klantgegevens_B!K690="ja"), --(Klantgegevens_B!L690="ja"), --(Klantgegevens_B!M690="ja"), --(Klantgegevens_B!N690="ja"), --(Klantgegevens_B!O690="ja"))*10, Klantgegevens_A!L690)</f>
        <v/>
      </c>
      <c r="L691">
        <f>IF(Klantgegevens_B!K690&lt;&gt;"", Klantgegevens_B!K690, IF(Klantgegevens_A!L690&gt;=7, "ja", "nee"))</f>
        <v/>
      </c>
      <c r="M691">
        <f>IF(Klantgegevens_B!L690&lt;&gt;"", Klantgegevens_B!L690, IF(Klantgegevens_A!L690&gt;=7, "ja", "nee"))</f>
        <v/>
      </c>
      <c r="N691">
        <f>IF(Klantgegevens_B!M690&lt;&gt;"", Klantgegevens_B!M690, IF(Klantgegevens_A!L690&gt;=7, "ja", "nee"))</f>
        <v/>
      </c>
      <c r="O691">
        <f>IF(Klantgegevens_B!N690&lt;&gt;"", Klantgegevens_B!N690, IF(Klantgegevens_A!L690&gt;=7, "ja", "nee"))</f>
        <v/>
      </c>
      <c r="P691">
        <f>IF(Klantgegevens_B!O690&lt;&gt;"", Klantgegevens_B!O690, IF(Klantgegevens_A!L690&gt;=7, "ja", "nee"))</f>
        <v/>
      </c>
      <c r="Q691">
        <f>IF(Klantgegevens_B!P690&lt;&gt;"", Klantgegevens_B!P690, Klantgegevens_A!M690)</f>
        <v/>
      </c>
      <c r="R691">
        <f>IF(Klantgegevens_B!A690&lt;&gt;"", "B", "A")</f>
        <v/>
      </c>
    </row>
    <row r="692">
      <c r="A692">
        <f>IF(Klantgegevens_B!A691&lt;&gt;"", Klantgegevens_B!A691, MID(Klantgegevens_A!A691, FIND(",", Klantgegevens_A!A691)+2, LEN(Klantgegevens_A!A691)))</f>
        <v/>
      </c>
      <c r="B692">
        <f>IF(Klantgegevens_B!B691&lt;&gt;"", Klantgegevens_B!B691, LEFT(Klantgegevens_A!A691, FIND(",", Klantgegevens_A!A691)-1))</f>
        <v/>
      </c>
      <c r="C692">
        <f>C691 &amp; ", " &amp; B691</f>
        <v/>
      </c>
      <c r="D692">
        <f>IF(Klantgegevens_B!F691&lt;&gt;"", Klantgegevens_B!F691, Klantgegevens_A!D691 &amp; " " &amp; Klantgegevens_A!E691 &amp; ", " &amp; Klantgegevens_A!F691)</f>
        <v/>
      </c>
      <c r="E692">
        <f>IF(Klantgegevens_B!G691&lt;&gt;"", Klantgegevens_B!G691, TEXTJOIN(",", TRUE, REPT("Volwassene,", Klantgegevens_A!G691), REPT("Kind,", Klantgegevens_A!H691)))</f>
        <v/>
      </c>
      <c r="F692">
        <f>IF(Klantgegevens_B!G691&lt;&gt;"", LEN(Klantgegevens_B!G691)-LEN(SUBSTITUTE(Klantgegevens_B!G691, ",", ""))+1, Klantgegevens_A!G691)</f>
        <v/>
      </c>
      <c r="G692">
        <f>IF(Klantgegevens_B!G691&lt;&gt;"", 0, Klantgegevens_A!H691)</f>
        <v/>
      </c>
      <c r="H692">
        <f>IF(Klantgegevens_B!H691&lt;&gt;"", Klantgegevens_B!H691, Klantgegevens_A!I691)</f>
        <v/>
      </c>
      <c r="I692">
        <f>IF(Klantgegevens_B!I691&lt;&gt;"", Klantgegevens_B!I691, SWITCH(Klantgegevens_A!J691, "Zelden", 1, "Af en toe", 4, "Regelmatig", 8, "Vaak", 12))</f>
        <v/>
      </c>
      <c r="J692">
        <f>IF(Klantgegevens_B!J691&lt;&gt;"", Klantgegevens_B!J691, Klantgegevens_A!K691)</f>
        <v/>
      </c>
      <c r="K692">
        <f>IF(Klantgegevens_B!K691&lt;&gt;"", AVERAGE(--(Klantgegevens_B!K691="ja"), --(Klantgegevens_B!L691="ja"), --(Klantgegevens_B!M691="ja"), --(Klantgegevens_B!N691="ja"), --(Klantgegevens_B!O691="ja"))*10, Klantgegevens_A!L691)</f>
        <v/>
      </c>
      <c r="L692">
        <f>IF(Klantgegevens_B!K691&lt;&gt;"", Klantgegevens_B!K691, IF(Klantgegevens_A!L691&gt;=7, "ja", "nee"))</f>
        <v/>
      </c>
      <c r="M692">
        <f>IF(Klantgegevens_B!L691&lt;&gt;"", Klantgegevens_B!L691, IF(Klantgegevens_A!L691&gt;=7, "ja", "nee"))</f>
        <v/>
      </c>
      <c r="N692">
        <f>IF(Klantgegevens_B!M691&lt;&gt;"", Klantgegevens_B!M691, IF(Klantgegevens_A!L691&gt;=7, "ja", "nee"))</f>
        <v/>
      </c>
      <c r="O692">
        <f>IF(Klantgegevens_B!N691&lt;&gt;"", Klantgegevens_B!N691, IF(Klantgegevens_A!L691&gt;=7, "ja", "nee"))</f>
        <v/>
      </c>
      <c r="P692">
        <f>IF(Klantgegevens_B!O691&lt;&gt;"", Klantgegevens_B!O691, IF(Klantgegevens_A!L691&gt;=7, "ja", "nee"))</f>
        <v/>
      </c>
      <c r="Q692">
        <f>IF(Klantgegevens_B!P691&lt;&gt;"", Klantgegevens_B!P691, Klantgegevens_A!M691)</f>
        <v/>
      </c>
      <c r="R692">
        <f>IF(Klantgegevens_B!A691&lt;&gt;"", "B", "A")</f>
        <v/>
      </c>
    </row>
    <row r="693">
      <c r="A693">
        <f>IF(Klantgegevens_B!A692&lt;&gt;"", Klantgegevens_B!A692, MID(Klantgegevens_A!A692, FIND(",", Klantgegevens_A!A692)+2, LEN(Klantgegevens_A!A692)))</f>
        <v/>
      </c>
      <c r="B693">
        <f>IF(Klantgegevens_B!B692&lt;&gt;"", Klantgegevens_B!B692, LEFT(Klantgegevens_A!A692, FIND(",", Klantgegevens_A!A692)-1))</f>
        <v/>
      </c>
      <c r="C693">
        <f>C692 &amp; ", " &amp; B692</f>
        <v/>
      </c>
      <c r="D693">
        <f>IF(Klantgegevens_B!F692&lt;&gt;"", Klantgegevens_B!F692, Klantgegevens_A!D692 &amp; " " &amp; Klantgegevens_A!E692 &amp; ", " &amp; Klantgegevens_A!F692)</f>
        <v/>
      </c>
      <c r="E693">
        <f>IF(Klantgegevens_B!G692&lt;&gt;"", Klantgegevens_B!G692, TEXTJOIN(",", TRUE, REPT("Volwassene,", Klantgegevens_A!G692), REPT("Kind,", Klantgegevens_A!H692)))</f>
        <v/>
      </c>
      <c r="F693">
        <f>IF(Klantgegevens_B!G692&lt;&gt;"", LEN(Klantgegevens_B!G692)-LEN(SUBSTITUTE(Klantgegevens_B!G692, ",", ""))+1, Klantgegevens_A!G692)</f>
        <v/>
      </c>
      <c r="G693">
        <f>IF(Klantgegevens_B!G692&lt;&gt;"", 0, Klantgegevens_A!H692)</f>
        <v/>
      </c>
      <c r="H693">
        <f>IF(Klantgegevens_B!H692&lt;&gt;"", Klantgegevens_B!H692, Klantgegevens_A!I692)</f>
        <v/>
      </c>
      <c r="I693">
        <f>IF(Klantgegevens_B!I692&lt;&gt;"", Klantgegevens_B!I692, SWITCH(Klantgegevens_A!J692, "Zelden", 1, "Af en toe", 4, "Regelmatig", 8, "Vaak", 12))</f>
        <v/>
      </c>
      <c r="J693">
        <f>IF(Klantgegevens_B!J692&lt;&gt;"", Klantgegevens_B!J692, Klantgegevens_A!K692)</f>
        <v/>
      </c>
      <c r="K693">
        <f>IF(Klantgegevens_B!K692&lt;&gt;"", AVERAGE(--(Klantgegevens_B!K692="ja"), --(Klantgegevens_B!L692="ja"), --(Klantgegevens_B!M692="ja"), --(Klantgegevens_B!N692="ja"), --(Klantgegevens_B!O692="ja"))*10, Klantgegevens_A!L692)</f>
        <v/>
      </c>
      <c r="L693">
        <f>IF(Klantgegevens_B!K692&lt;&gt;"", Klantgegevens_B!K692, IF(Klantgegevens_A!L692&gt;=7, "ja", "nee"))</f>
        <v/>
      </c>
      <c r="M693">
        <f>IF(Klantgegevens_B!L692&lt;&gt;"", Klantgegevens_B!L692, IF(Klantgegevens_A!L692&gt;=7, "ja", "nee"))</f>
        <v/>
      </c>
      <c r="N693">
        <f>IF(Klantgegevens_B!M692&lt;&gt;"", Klantgegevens_B!M692, IF(Klantgegevens_A!L692&gt;=7, "ja", "nee"))</f>
        <v/>
      </c>
      <c r="O693">
        <f>IF(Klantgegevens_B!N692&lt;&gt;"", Klantgegevens_B!N692, IF(Klantgegevens_A!L692&gt;=7, "ja", "nee"))</f>
        <v/>
      </c>
      <c r="P693">
        <f>IF(Klantgegevens_B!O692&lt;&gt;"", Klantgegevens_B!O692, IF(Klantgegevens_A!L692&gt;=7, "ja", "nee"))</f>
        <v/>
      </c>
      <c r="Q693">
        <f>IF(Klantgegevens_B!P692&lt;&gt;"", Klantgegevens_B!P692, Klantgegevens_A!M692)</f>
        <v/>
      </c>
      <c r="R693">
        <f>IF(Klantgegevens_B!A692&lt;&gt;"", "B", "A")</f>
        <v/>
      </c>
    </row>
    <row r="694">
      <c r="A694">
        <f>IF(Klantgegevens_B!A693&lt;&gt;"", Klantgegevens_B!A693, MID(Klantgegevens_A!A693, FIND(",", Klantgegevens_A!A693)+2, LEN(Klantgegevens_A!A693)))</f>
        <v/>
      </c>
      <c r="B694">
        <f>IF(Klantgegevens_B!B693&lt;&gt;"", Klantgegevens_B!B693, LEFT(Klantgegevens_A!A693, FIND(",", Klantgegevens_A!A693)-1))</f>
        <v/>
      </c>
      <c r="C694">
        <f>C693 &amp; ", " &amp; B693</f>
        <v/>
      </c>
      <c r="D694">
        <f>IF(Klantgegevens_B!F693&lt;&gt;"", Klantgegevens_B!F693, Klantgegevens_A!D693 &amp; " " &amp; Klantgegevens_A!E693 &amp; ", " &amp; Klantgegevens_A!F693)</f>
        <v/>
      </c>
      <c r="E694">
        <f>IF(Klantgegevens_B!G693&lt;&gt;"", Klantgegevens_B!G693, TEXTJOIN(",", TRUE, REPT("Volwassene,", Klantgegevens_A!G693), REPT("Kind,", Klantgegevens_A!H693)))</f>
        <v/>
      </c>
      <c r="F694">
        <f>IF(Klantgegevens_B!G693&lt;&gt;"", LEN(Klantgegevens_B!G693)-LEN(SUBSTITUTE(Klantgegevens_B!G693, ",", ""))+1, Klantgegevens_A!G693)</f>
        <v/>
      </c>
      <c r="G694">
        <f>IF(Klantgegevens_B!G693&lt;&gt;"", 0, Klantgegevens_A!H693)</f>
        <v/>
      </c>
      <c r="H694">
        <f>IF(Klantgegevens_B!H693&lt;&gt;"", Klantgegevens_B!H693, Klantgegevens_A!I693)</f>
        <v/>
      </c>
      <c r="I694">
        <f>IF(Klantgegevens_B!I693&lt;&gt;"", Klantgegevens_B!I693, SWITCH(Klantgegevens_A!J693, "Zelden", 1, "Af en toe", 4, "Regelmatig", 8, "Vaak", 12))</f>
        <v/>
      </c>
      <c r="J694">
        <f>IF(Klantgegevens_B!J693&lt;&gt;"", Klantgegevens_B!J693, Klantgegevens_A!K693)</f>
        <v/>
      </c>
      <c r="K694">
        <f>IF(Klantgegevens_B!K693&lt;&gt;"", AVERAGE(--(Klantgegevens_B!K693="ja"), --(Klantgegevens_B!L693="ja"), --(Klantgegevens_B!M693="ja"), --(Klantgegevens_B!N693="ja"), --(Klantgegevens_B!O693="ja"))*10, Klantgegevens_A!L693)</f>
        <v/>
      </c>
      <c r="L694">
        <f>IF(Klantgegevens_B!K693&lt;&gt;"", Klantgegevens_B!K693, IF(Klantgegevens_A!L693&gt;=7, "ja", "nee"))</f>
        <v/>
      </c>
      <c r="M694">
        <f>IF(Klantgegevens_B!L693&lt;&gt;"", Klantgegevens_B!L693, IF(Klantgegevens_A!L693&gt;=7, "ja", "nee"))</f>
        <v/>
      </c>
      <c r="N694">
        <f>IF(Klantgegevens_B!M693&lt;&gt;"", Klantgegevens_B!M693, IF(Klantgegevens_A!L693&gt;=7, "ja", "nee"))</f>
        <v/>
      </c>
      <c r="O694">
        <f>IF(Klantgegevens_B!N693&lt;&gt;"", Klantgegevens_B!N693, IF(Klantgegevens_A!L693&gt;=7, "ja", "nee"))</f>
        <v/>
      </c>
      <c r="P694">
        <f>IF(Klantgegevens_B!O693&lt;&gt;"", Klantgegevens_B!O693, IF(Klantgegevens_A!L693&gt;=7, "ja", "nee"))</f>
        <v/>
      </c>
      <c r="Q694">
        <f>IF(Klantgegevens_B!P693&lt;&gt;"", Klantgegevens_B!P693, Klantgegevens_A!M693)</f>
        <v/>
      </c>
      <c r="R694">
        <f>IF(Klantgegevens_B!A693&lt;&gt;"", "B", "A")</f>
        <v/>
      </c>
    </row>
    <row r="695">
      <c r="A695">
        <f>IF(Klantgegevens_B!A694&lt;&gt;"", Klantgegevens_B!A694, MID(Klantgegevens_A!A694, FIND(",", Klantgegevens_A!A694)+2, LEN(Klantgegevens_A!A694)))</f>
        <v/>
      </c>
      <c r="B695">
        <f>IF(Klantgegevens_B!B694&lt;&gt;"", Klantgegevens_B!B694, LEFT(Klantgegevens_A!A694, FIND(",", Klantgegevens_A!A694)-1))</f>
        <v/>
      </c>
      <c r="C695">
        <f>C694 &amp; ", " &amp; B694</f>
        <v/>
      </c>
      <c r="D695">
        <f>IF(Klantgegevens_B!F694&lt;&gt;"", Klantgegevens_B!F694, Klantgegevens_A!D694 &amp; " " &amp; Klantgegevens_A!E694 &amp; ", " &amp; Klantgegevens_A!F694)</f>
        <v/>
      </c>
      <c r="E695">
        <f>IF(Klantgegevens_B!G694&lt;&gt;"", Klantgegevens_B!G694, TEXTJOIN(",", TRUE, REPT("Volwassene,", Klantgegevens_A!G694), REPT("Kind,", Klantgegevens_A!H694)))</f>
        <v/>
      </c>
      <c r="F695">
        <f>IF(Klantgegevens_B!G694&lt;&gt;"", LEN(Klantgegevens_B!G694)-LEN(SUBSTITUTE(Klantgegevens_B!G694, ",", ""))+1, Klantgegevens_A!G694)</f>
        <v/>
      </c>
      <c r="G695">
        <f>IF(Klantgegevens_B!G694&lt;&gt;"", 0, Klantgegevens_A!H694)</f>
        <v/>
      </c>
      <c r="H695">
        <f>IF(Klantgegevens_B!H694&lt;&gt;"", Klantgegevens_B!H694, Klantgegevens_A!I694)</f>
        <v/>
      </c>
      <c r="I695">
        <f>IF(Klantgegevens_B!I694&lt;&gt;"", Klantgegevens_B!I694, SWITCH(Klantgegevens_A!J694, "Zelden", 1, "Af en toe", 4, "Regelmatig", 8, "Vaak", 12))</f>
        <v/>
      </c>
      <c r="J695">
        <f>IF(Klantgegevens_B!J694&lt;&gt;"", Klantgegevens_B!J694, Klantgegevens_A!K694)</f>
        <v/>
      </c>
      <c r="K695">
        <f>IF(Klantgegevens_B!K694&lt;&gt;"", AVERAGE(--(Klantgegevens_B!K694="ja"), --(Klantgegevens_B!L694="ja"), --(Klantgegevens_B!M694="ja"), --(Klantgegevens_B!N694="ja"), --(Klantgegevens_B!O694="ja"))*10, Klantgegevens_A!L694)</f>
        <v/>
      </c>
      <c r="L695">
        <f>IF(Klantgegevens_B!K694&lt;&gt;"", Klantgegevens_B!K694, IF(Klantgegevens_A!L694&gt;=7, "ja", "nee"))</f>
        <v/>
      </c>
      <c r="M695">
        <f>IF(Klantgegevens_B!L694&lt;&gt;"", Klantgegevens_B!L694, IF(Klantgegevens_A!L694&gt;=7, "ja", "nee"))</f>
        <v/>
      </c>
      <c r="N695">
        <f>IF(Klantgegevens_B!M694&lt;&gt;"", Klantgegevens_B!M694, IF(Klantgegevens_A!L694&gt;=7, "ja", "nee"))</f>
        <v/>
      </c>
      <c r="O695">
        <f>IF(Klantgegevens_B!N694&lt;&gt;"", Klantgegevens_B!N694, IF(Klantgegevens_A!L694&gt;=7, "ja", "nee"))</f>
        <v/>
      </c>
      <c r="P695">
        <f>IF(Klantgegevens_B!O694&lt;&gt;"", Klantgegevens_B!O694, IF(Klantgegevens_A!L694&gt;=7, "ja", "nee"))</f>
        <v/>
      </c>
      <c r="Q695">
        <f>IF(Klantgegevens_B!P694&lt;&gt;"", Klantgegevens_B!P694, Klantgegevens_A!M694)</f>
        <v/>
      </c>
      <c r="R695">
        <f>IF(Klantgegevens_B!A694&lt;&gt;"", "B", "A")</f>
        <v/>
      </c>
    </row>
    <row r="696">
      <c r="A696">
        <f>IF(Klantgegevens_B!A695&lt;&gt;"", Klantgegevens_B!A695, MID(Klantgegevens_A!A695, FIND(",", Klantgegevens_A!A695)+2, LEN(Klantgegevens_A!A695)))</f>
        <v/>
      </c>
      <c r="B696">
        <f>IF(Klantgegevens_B!B695&lt;&gt;"", Klantgegevens_B!B695, LEFT(Klantgegevens_A!A695, FIND(",", Klantgegevens_A!A695)-1))</f>
        <v/>
      </c>
      <c r="C696">
        <f>C695 &amp; ", " &amp; B695</f>
        <v/>
      </c>
      <c r="D696">
        <f>IF(Klantgegevens_B!F695&lt;&gt;"", Klantgegevens_B!F695, Klantgegevens_A!D695 &amp; " " &amp; Klantgegevens_A!E695 &amp; ", " &amp; Klantgegevens_A!F695)</f>
        <v/>
      </c>
      <c r="E696">
        <f>IF(Klantgegevens_B!G695&lt;&gt;"", Klantgegevens_B!G695, TEXTJOIN(",", TRUE, REPT("Volwassene,", Klantgegevens_A!G695), REPT("Kind,", Klantgegevens_A!H695)))</f>
        <v/>
      </c>
      <c r="F696">
        <f>IF(Klantgegevens_B!G695&lt;&gt;"", LEN(Klantgegevens_B!G695)-LEN(SUBSTITUTE(Klantgegevens_B!G695, ",", ""))+1, Klantgegevens_A!G695)</f>
        <v/>
      </c>
      <c r="G696">
        <f>IF(Klantgegevens_B!G695&lt;&gt;"", 0, Klantgegevens_A!H695)</f>
        <v/>
      </c>
      <c r="H696">
        <f>IF(Klantgegevens_B!H695&lt;&gt;"", Klantgegevens_B!H695, Klantgegevens_A!I695)</f>
        <v/>
      </c>
      <c r="I696">
        <f>IF(Klantgegevens_B!I695&lt;&gt;"", Klantgegevens_B!I695, SWITCH(Klantgegevens_A!J695, "Zelden", 1, "Af en toe", 4, "Regelmatig", 8, "Vaak", 12))</f>
        <v/>
      </c>
      <c r="J696">
        <f>IF(Klantgegevens_B!J695&lt;&gt;"", Klantgegevens_B!J695, Klantgegevens_A!K695)</f>
        <v/>
      </c>
      <c r="K696">
        <f>IF(Klantgegevens_B!K695&lt;&gt;"", AVERAGE(--(Klantgegevens_B!K695="ja"), --(Klantgegevens_B!L695="ja"), --(Klantgegevens_B!M695="ja"), --(Klantgegevens_B!N695="ja"), --(Klantgegevens_B!O695="ja"))*10, Klantgegevens_A!L695)</f>
        <v/>
      </c>
      <c r="L696">
        <f>IF(Klantgegevens_B!K695&lt;&gt;"", Klantgegevens_B!K695, IF(Klantgegevens_A!L695&gt;=7, "ja", "nee"))</f>
        <v/>
      </c>
      <c r="M696">
        <f>IF(Klantgegevens_B!L695&lt;&gt;"", Klantgegevens_B!L695, IF(Klantgegevens_A!L695&gt;=7, "ja", "nee"))</f>
        <v/>
      </c>
      <c r="N696">
        <f>IF(Klantgegevens_B!M695&lt;&gt;"", Klantgegevens_B!M695, IF(Klantgegevens_A!L695&gt;=7, "ja", "nee"))</f>
        <v/>
      </c>
      <c r="O696">
        <f>IF(Klantgegevens_B!N695&lt;&gt;"", Klantgegevens_B!N695, IF(Klantgegevens_A!L695&gt;=7, "ja", "nee"))</f>
        <v/>
      </c>
      <c r="P696">
        <f>IF(Klantgegevens_B!O695&lt;&gt;"", Klantgegevens_B!O695, IF(Klantgegevens_A!L695&gt;=7, "ja", "nee"))</f>
        <v/>
      </c>
      <c r="Q696">
        <f>IF(Klantgegevens_B!P695&lt;&gt;"", Klantgegevens_B!P695, Klantgegevens_A!M695)</f>
        <v/>
      </c>
      <c r="R696">
        <f>IF(Klantgegevens_B!A695&lt;&gt;"", "B", "A")</f>
        <v/>
      </c>
    </row>
    <row r="697">
      <c r="A697">
        <f>IF(Klantgegevens_B!A696&lt;&gt;"", Klantgegevens_B!A696, MID(Klantgegevens_A!A696, FIND(",", Klantgegevens_A!A696)+2, LEN(Klantgegevens_A!A696)))</f>
        <v/>
      </c>
      <c r="B697">
        <f>IF(Klantgegevens_B!B696&lt;&gt;"", Klantgegevens_B!B696, LEFT(Klantgegevens_A!A696, FIND(",", Klantgegevens_A!A696)-1))</f>
        <v/>
      </c>
      <c r="C697">
        <f>C696 &amp; ", " &amp; B696</f>
        <v/>
      </c>
      <c r="D697">
        <f>IF(Klantgegevens_B!F696&lt;&gt;"", Klantgegevens_B!F696, Klantgegevens_A!D696 &amp; " " &amp; Klantgegevens_A!E696 &amp; ", " &amp; Klantgegevens_A!F696)</f>
        <v/>
      </c>
      <c r="E697">
        <f>IF(Klantgegevens_B!G696&lt;&gt;"", Klantgegevens_B!G696, TEXTJOIN(",", TRUE, REPT("Volwassene,", Klantgegevens_A!G696), REPT("Kind,", Klantgegevens_A!H696)))</f>
        <v/>
      </c>
      <c r="F697">
        <f>IF(Klantgegevens_B!G696&lt;&gt;"", LEN(Klantgegevens_B!G696)-LEN(SUBSTITUTE(Klantgegevens_B!G696, ",", ""))+1, Klantgegevens_A!G696)</f>
        <v/>
      </c>
      <c r="G697">
        <f>IF(Klantgegevens_B!G696&lt;&gt;"", 0, Klantgegevens_A!H696)</f>
        <v/>
      </c>
      <c r="H697">
        <f>IF(Klantgegevens_B!H696&lt;&gt;"", Klantgegevens_B!H696, Klantgegevens_A!I696)</f>
        <v/>
      </c>
      <c r="I697">
        <f>IF(Klantgegevens_B!I696&lt;&gt;"", Klantgegevens_B!I696, SWITCH(Klantgegevens_A!J696, "Zelden", 1, "Af en toe", 4, "Regelmatig", 8, "Vaak", 12))</f>
        <v/>
      </c>
      <c r="J697">
        <f>IF(Klantgegevens_B!J696&lt;&gt;"", Klantgegevens_B!J696, Klantgegevens_A!K696)</f>
        <v/>
      </c>
      <c r="K697">
        <f>IF(Klantgegevens_B!K696&lt;&gt;"", AVERAGE(--(Klantgegevens_B!K696="ja"), --(Klantgegevens_B!L696="ja"), --(Klantgegevens_B!M696="ja"), --(Klantgegevens_B!N696="ja"), --(Klantgegevens_B!O696="ja"))*10, Klantgegevens_A!L696)</f>
        <v/>
      </c>
      <c r="L697">
        <f>IF(Klantgegevens_B!K696&lt;&gt;"", Klantgegevens_B!K696, IF(Klantgegevens_A!L696&gt;=7, "ja", "nee"))</f>
        <v/>
      </c>
      <c r="M697">
        <f>IF(Klantgegevens_B!L696&lt;&gt;"", Klantgegevens_B!L696, IF(Klantgegevens_A!L696&gt;=7, "ja", "nee"))</f>
        <v/>
      </c>
      <c r="N697">
        <f>IF(Klantgegevens_B!M696&lt;&gt;"", Klantgegevens_B!M696, IF(Klantgegevens_A!L696&gt;=7, "ja", "nee"))</f>
        <v/>
      </c>
      <c r="O697">
        <f>IF(Klantgegevens_B!N696&lt;&gt;"", Klantgegevens_B!N696, IF(Klantgegevens_A!L696&gt;=7, "ja", "nee"))</f>
        <v/>
      </c>
      <c r="P697">
        <f>IF(Klantgegevens_B!O696&lt;&gt;"", Klantgegevens_B!O696, IF(Klantgegevens_A!L696&gt;=7, "ja", "nee"))</f>
        <v/>
      </c>
      <c r="Q697">
        <f>IF(Klantgegevens_B!P696&lt;&gt;"", Klantgegevens_B!P696, Klantgegevens_A!M696)</f>
        <v/>
      </c>
      <c r="R697">
        <f>IF(Klantgegevens_B!A696&lt;&gt;"", "B", "A")</f>
        <v/>
      </c>
    </row>
    <row r="698">
      <c r="A698">
        <f>IF(Klantgegevens_B!A697&lt;&gt;"", Klantgegevens_B!A697, MID(Klantgegevens_A!A697, FIND(",", Klantgegevens_A!A697)+2, LEN(Klantgegevens_A!A697)))</f>
        <v/>
      </c>
      <c r="B698">
        <f>IF(Klantgegevens_B!B697&lt;&gt;"", Klantgegevens_B!B697, LEFT(Klantgegevens_A!A697, FIND(",", Klantgegevens_A!A697)-1))</f>
        <v/>
      </c>
      <c r="C698">
        <f>C697 &amp; ", " &amp; B697</f>
        <v/>
      </c>
      <c r="D698">
        <f>IF(Klantgegevens_B!F697&lt;&gt;"", Klantgegevens_B!F697, Klantgegevens_A!D697 &amp; " " &amp; Klantgegevens_A!E697 &amp; ", " &amp; Klantgegevens_A!F697)</f>
        <v/>
      </c>
      <c r="E698">
        <f>IF(Klantgegevens_B!G697&lt;&gt;"", Klantgegevens_B!G697, TEXTJOIN(",", TRUE, REPT("Volwassene,", Klantgegevens_A!G697), REPT("Kind,", Klantgegevens_A!H697)))</f>
        <v/>
      </c>
      <c r="F698">
        <f>IF(Klantgegevens_B!G697&lt;&gt;"", LEN(Klantgegevens_B!G697)-LEN(SUBSTITUTE(Klantgegevens_B!G697, ",", ""))+1, Klantgegevens_A!G697)</f>
        <v/>
      </c>
      <c r="G698">
        <f>IF(Klantgegevens_B!G697&lt;&gt;"", 0, Klantgegevens_A!H697)</f>
        <v/>
      </c>
      <c r="H698">
        <f>IF(Klantgegevens_B!H697&lt;&gt;"", Klantgegevens_B!H697, Klantgegevens_A!I697)</f>
        <v/>
      </c>
      <c r="I698">
        <f>IF(Klantgegevens_B!I697&lt;&gt;"", Klantgegevens_B!I697, SWITCH(Klantgegevens_A!J697, "Zelden", 1, "Af en toe", 4, "Regelmatig", 8, "Vaak", 12))</f>
        <v/>
      </c>
      <c r="J698">
        <f>IF(Klantgegevens_B!J697&lt;&gt;"", Klantgegevens_B!J697, Klantgegevens_A!K697)</f>
        <v/>
      </c>
      <c r="K698">
        <f>IF(Klantgegevens_B!K697&lt;&gt;"", AVERAGE(--(Klantgegevens_B!K697="ja"), --(Klantgegevens_B!L697="ja"), --(Klantgegevens_B!M697="ja"), --(Klantgegevens_B!N697="ja"), --(Klantgegevens_B!O697="ja"))*10, Klantgegevens_A!L697)</f>
        <v/>
      </c>
      <c r="L698">
        <f>IF(Klantgegevens_B!K697&lt;&gt;"", Klantgegevens_B!K697, IF(Klantgegevens_A!L697&gt;=7, "ja", "nee"))</f>
        <v/>
      </c>
      <c r="M698">
        <f>IF(Klantgegevens_B!L697&lt;&gt;"", Klantgegevens_B!L697, IF(Klantgegevens_A!L697&gt;=7, "ja", "nee"))</f>
        <v/>
      </c>
      <c r="N698">
        <f>IF(Klantgegevens_B!M697&lt;&gt;"", Klantgegevens_B!M697, IF(Klantgegevens_A!L697&gt;=7, "ja", "nee"))</f>
        <v/>
      </c>
      <c r="O698">
        <f>IF(Klantgegevens_B!N697&lt;&gt;"", Klantgegevens_B!N697, IF(Klantgegevens_A!L697&gt;=7, "ja", "nee"))</f>
        <v/>
      </c>
      <c r="P698">
        <f>IF(Klantgegevens_B!O697&lt;&gt;"", Klantgegevens_B!O697, IF(Klantgegevens_A!L697&gt;=7, "ja", "nee"))</f>
        <v/>
      </c>
      <c r="Q698">
        <f>IF(Klantgegevens_B!P697&lt;&gt;"", Klantgegevens_B!P697, Klantgegevens_A!M697)</f>
        <v/>
      </c>
      <c r="R698">
        <f>IF(Klantgegevens_B!A697&lt;&gt;"", "B", "A")</f>
        <v/>
      </c>
    </row>
    <row r="699">
      <c r="A699">
        <f>IF(Klantgegevens_B!A698&lt;&gt;"", Klantgegevens_B!A698, MID(Klantgegevens_A!A698, FIND(",", Klantgegevens_A!A698)+2, LEN(Klantgegevens_A!A698)))</f>
        <v/>
      </c>
      <c r="B699">
        <f>IF(Klantgegevens_B!B698&lt;&gt;"", Klantgegevens_B!B698, LEFT(Klantgegevens_A!A698, FIND(",", Klantgegevens_A!A698)-1))</f>
        <v/>
      </c>
      <c r="C699">
        <f>C698 &amp; ", " &amp; B698</f>
        <v/>
      </c>
      <c r="D699">
        <f>IF(Klantgegevens_B!F698&lt;&gt;"", Klantgegevens_B!F698, Klantgegevens_A!D698 &amp; " " &amp; Klantgegevens_A!E698 &amp; ", " &amp; Klantgegevens_A!F698)</f>
        <v/>
      </c>
      <c r="E699">
        <f>IF(Klantgegevens_B!G698&lt;&gt;"", Klantgegevens_B!G698, TEXTJOIN(",", TRUE, REPT("Volwassene,", Klantgegevens_A!G698), REPT("Kind,", Klantgegevens_A!H698)))</f>
        <v/>
      </c>
      <c r="F699">
        <f>IF(Klantgegevens_B!G698&lt;&gt;"", LEN(Klantgegevens_B!G698)-LEN(SUBSTITUTE(Klantgegevens_B!G698, ",", ""))+1, Klantgegevens_A!G698)</f>
        <v/>
      </c>
      <c r="G699">
        <f>IF(Klantgegevens_B!G698&lt;&gt;"", 0, Klantgegevens_A!H698)</f>
        <v/>
      </c>
      <c r="H699">
        <f>IF(Klantgegevens_B!H698&lt;&gt;"", Klantgegevens_B!H698, Klantgegevens_A!I698)</f>
        <v/>
      </c>
      <c r="I699">
        <f>IF(Klantgegevens_B!I698&lt;&gt;"", Klantgegevens_B!I698, SWITCH(Klantgegevens_A!J698, "Zelden", 1, "Af en toe", 4, "Regelmatig", 8, "Vaak", 12))</f>
        <v/>
      </c>
      <c r="J699">
        <f>IF(Klantgegevens_B!J698&lt;&gt;"", Klantgegevens_B!J698, Klantgegevens_A!K698)</f>
        <v/>
      </c>
      <c r="K699">
        <f>IF(Klantgegevens_B!K698&lt;&gt;"", AVERAGE(--(Klantgegevens_B!K698="ja"), --(Klantgegevens_B!L698="ja"), --(Klantgegevens_B!M698="ja"), --(Klantgegevens_B!N698="ja"), --(Klantgegevens_B!O698="ja"))*10, Klantgegevens_A!L698)</f>
        <v/>
      </c>
      <c r="L699">
        <f>IF(Klantgegevens_B!K698&lt;&gt;"", Klantgegevens_B!K698, IF(Klantgegevens_A!L698&gt;=7, "ja", "nee"))</f>
        <v/>
      </c>
      <c r="M699">
        <f>IF(Klantgegevens_B!L698&lt;&gt;"", Klantgegevens_B!L698, IF(Klantgegevens_A!L698&gt;=7, "ja", "nee"))</f>
        <v/>
      </c>
      <c r="N699">
        <f>IF(Klantgegevens_B!M698&lt;&gt;"", Klantgegevens_B!M698, IF(Klantgegevens_A!L698&gt;=7, "ja", "nee"))</f>
        <v/>
      </c>
      <c r="O699">
        <f>IF(Klantgegevens_B!N698&lt;&gt;"", Klantgegevens_B!N698, IF(Klantgegevens_A!L698&gt;=7, "ja", "nee"))</f>
        <v/>
      </c>
      <c r="P699">
        <f>IF(Klantgegevens_B!O698&lt;&gt;"", Klantgegevens_B!O698, IF(Klantgegevens_A!L698&gt;=7, "ja", "nee"))</f>
        <v/>
      </c>
      <c r="Q699">
        <f>IF(Klantgegevens_B!P698&lt;&gt;"", Klantgegevens_B!P698, Klantgegevens_A!M698)</f>
        <v/>
      </c>
      <c r="R699">
        <f>IF(Klantgegevens_B!A698&lt;&gt;"", "B", "A")</f>
        <v/>
      </c>
    </row>
    <row r="700">
      <c r="A700">
        <f>IF(Klantgegevens_B!A699&lt;&gt;"", Klantgegevens_B!A699, MID(Klantgegevens_A!A699, FIND(",", Klantgegevens_A!A699)+2, LEN(Klantgegevens_A!A699)))</f>
        <v/>
      </c>
      <c r="B700">
        <f>IF(Klantgegevens_B!B699&lt;&gt;"", Klantgegevens_B!B699, LEFT(Klantgegevens_A!A699, FIND(",", Klantgegevens_A!A699)-1))</f>
        <v/>
      </c>
      <c r="C700">
        <f>C699 &amp; ", " &amp; B699</f>
        <v/>
      </c>
      <c r="D700">
        <f>IF(Klantgegevens_B!F699&lt;&gt;"", Klantgegevens_B!F699, Klantgegevens_A!D699 &amp; " " &amp; Klantgegevens_A!E699 &amp; ", " &amp; Klantgegevens_A!F699)</f>
        <v/>
      </c>
      <c r="E700">
        <f>IF(Klantgegevens_B!G699&lt;&gt;"", Klantgegevens_B!G699, TEXTJOIN(",", TRUE, REPT("Volwassene,", Klantgegevens_A!G699), REPT("Kind,", Klantgegevens_A!H699)))</f>
        <v/>
      </c>
      <c r="F700">
        <f>IF(Klantgegevens_B!G699&lt;&gt;"", LEN(Klantgegevens_B!G699)-LEN(SUBSTITUTE(Klantgegevens_B!G699, ",", ""))+1, Klantgegevens_A!G699)</f>
        <v/>
      </c>
      <c r="G700">
        <f>IF(Klantgegevens_B!G699&lt;&gt;"", 0, Klantgegevens_A!H699)</f>
        <v/>
      </c>
      <c r="H700">
        <f>IF(Klantgegevens_B!H699&lt;&gt;"", Klantgegevens_B!H699, Klantgegevens_A!I699)</f>
        <v/>
      </c>
      <c r="I700">
        <f>IF(Klantgegevens_B!I699&lt;&gt;"", Klantgegevens_B!I699, SWITCH(Klantgegevens_A!J699, "Zelden", 1, "Af en toe", 4, "Regelmatig", 8, "Vaak", 12))</f>
        <v/>
      </c>
      <c r="J700">
        <f>IF(Klantgegevens_B!J699&lt;&gt;"", Klantgegevens_B!J699, Klantgegevens_A!K699)</f>
        <v/>
      </c>
      <c r="K700">
        <f>IF(Klantgegevens_B!K699&lt;&gt;"", AVERAGE(--(Klantgegevens_B!K699="ja"), --(Klantgegevens_B!L699="ja"), --(Klantgegevens_B!M699="ja"), --(Klantgegevens_B!N699="ja"), --(Klantgegevens_B!O699="ja"))*10, Klantgegevens_A!L699)</f>
        <v/>
      </c>
      <c r="L700">
        <f>IF(Klantgegevens_B!K699&lt;&gt;"", Klantgegevens_B!K699, IF(Klantgegevens_A!L699&gt;=7, "ja", "nee"))</f>
        <v/>
      </c>
      <c r="M700">
        <f>IF(Klantgegevens_B!L699&lt;&gt;"", Klantgegevens_B!L699, IF(Klantgegevens_A!L699&gt;=7, "ja", "nee"))</f>
        <v/>
      </c>
      <c r="N700">
        <f>IF(Klantgegevens_B!M699&lt;&gt;"", Klantgegevens_B!M699, IF(Klantgegevens_A!L699&gt;=7, "ja", "nee"))</f>
        <v/>
      </c>
      <c r="O700">
        <f>IF(Klantgegevens_B!N699&lt;&gt;"", Klantgegevens_B!N699, IF(Klantgegevens_A!L699&gt;=7, "ja", "nee"))</f>
        <v/>
      </c>
      <c r="P700">
        <f>IF(Klantgegevens_B!O699&lt;&gt;"", Klantgegevens_B!O699, IF(Klantgegevens_A!L699&gt;=7, "ja", "nee"))</f>
        <v/>
      </c>
      <c r="Q700">
        <f>IF(Klantgegevens_B!P699&lt;&gt;"", Klantgegevens_B!P699, Klantgegevens_A!M699)</f>
        <v/>
      </c>
      <c r="R700">
        <f>IF(Klantgegevens_B!A699&lt;&gt;"", "B", "A")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Excel UI to insert PivotTables from 'Merged_With_Formulas'</t>
        </is>
      </c>
    </row>
    <row r="2">
      <c r="A2" t="inlineStr">
        <is>
          <t>Suggested: Avg satisfaction by visit frequency, total spending by gezinsleden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2025-04-20T22:27:48Z</dcterms:created>
  <dcterms:modified xmlns:dcterms="http://purl.org/dc/terms/" xmlns:xsi="http://www.w3.org/2001/XMLSchema-instance" xsi:type="dcterms:W3CDTF">2025-04-20T22:27:48Z</dcterms:modified>
</cp:coreProperties>
</file>